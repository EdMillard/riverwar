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12.xml" ContentType="application/vnd.openxmlformats-officedocument.spreadsheetml.comments+xml"/>
  <Override PartName="/xl/comments8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JUL" sheetId="9" state="visible" r:id="rId10"/>
    <sheet name="AUG" sheetId="10" state="visible" r:id="rId11"/>
    <sheet name="SEP" sheetId="11" state="visible" r:id="rId12"/>
    <sheet name="OCT" sheetId="12" state="visible" r:id="rId13"/>
  </sheets>
  <definedNames>
    <definedName function="false" hidden="false" localSheetId="5" name="_xlnm.Print_Area" vbProcedure="false">APR!$A$1:$AC$55</definedName>
    <definedName function="false" hidden="false" localSheetId="9" name="_xlnm.Print_Area" vbProcedure="false">AUG!$A$1:$AC$57</definedName>
    <definedName function="false" hidden="false" localSheetId="1" name="_xlnm.Print_Area" vbProcedure="false">DEC!$A$1:$AC$52</definedName>
    <definedName function="false" hidden="false" localSheetId="3" name="_xlnm.Print_Area" vbProcedure="false">FEB!$A$1:$AC$52</definedName>
    <definedName function="false" hidden="false" localSheetId="2" name="_xlnm.Print_Area" vbProcedure="false">JAN!$A$1:$AC$55</definedName>
    <definedName function="false" hidden="false" localSheetId="8" name="_xlnm.Print_Area" vbProcedure="false">JUL!$A$1:$AC$55</definedName>
    <definedName function="false" hidden="false" localSheetId="7" name="_xlnm.Print_Area" vbProcedure="false">JUN!$A$1:$AC$55</definedName>
    <definedName function="false" hidden="false" localSheetId="4" name="_xlnm.Print_Area" vbProcedure="false">MAR!$A$1:$AC$55</definedName>
    <definedName function="false" hidden="false" localSheetId="6" name="_xlnm.Print_Area" vbProcedure="false">MAY!$A$1:$AC$55</definedName>
    <definedName function="false" hidden="false" localSheetId="0" name="_xlnm.Print_Area" vbProcedure="false">NOV!$A$1:$AC$54</definedName>
    <definedName function="false" hidden="false" localSheetId="11" name="_xlnm.Print_Area" vbProcedure="false">OCT!$A$1:$AC$55</definedName>
    <definedName function="false" hidden="false" localSheetId="10" name="_xlnm.Print_Area" vbProcedure="false">SEP!$A$1:$AC$57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23" authorId="0">
      <text>
        <r>
          <rPr>
            <sz val="8"/>
            <color rgb="FF000000"/>
            <rFont val="Tahoma"/>
            <family val="0"/>
          </rPr>
          <t xml:space="preserve">Whenever the Lost Canyon gage drops below 1.00 we enter a 0</t>
        </r>
      </text>
    </comment>
    <comment ref="S51" authorId="0">
      <text>
        <r>
          <rPr>
            <sz val="8"/>
            <color rgb="FF000000"/>
            <rFont val="Tahoma"/>
            <family val="0"/>
          </rPr>
          <t xml:space="preserve">This cell accounts for non MVIC diversion. Use prior years diversion for Cortez = 1557 &amp; MWC = 340  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K51" authorId="0">
      <text>
        <r>
          <rPr>
            <b val="true"/>
            <sz val="8"/>
            <color rgb="FF000000"/>
            <rFont val="Tahoma"/>
            <family val="0"/>
          </rPr>
          <t xml:space="preserve">John Porter:
mvihydro.xlw spreadsheet calculated the amount of non-project water needed each mo of year to satisfy Class 6 land.  Aug needs 138.5 cfs per day.  There were 4 days inflow was less than 138.5</t>
        </r>
      </text>
    </comment>
    <comment ref="K52" authorId="0">
      <text>
        <r>
          <rPr>
            <b val="true"/>
            <sz val="8"/>
            <color rgb="FF000000"/>
            <rFont val="Tahoma"/>
            <family val="0"/>
          </rPr>
          <t xml:space="preserve">John Porter:
This cell added the inflow for the 4 days that DOLDOLCO was less than 138.5 cfs</t>
        </r>
      </text>
    </comment>
    <comment ref="K53" authorId="0">
      <text>
        <r>
          <rPr>
            <b val="true"/>
            <sz val="8"/>
            <color rgb="FF000000"/>
            <rFont val="Tahoma"/>
            <family val="0"/>
          </rPr>
          <t xml:space="preserve">John Porter:
This calculates the amt of Pr water denied MVI because of not enough flow DolDolCo inflow to satisfy the Class 6 land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P22" authorId="0">
      <text>
        <r>
          <rPr>
            <sz val="8"/>
            <color rgb="FF000000"/>
            <rFont val="Tahoma"/>
            <family val="0"/>
          </rPr>
          <t xml:space="preserve">CELLS P-22 THRU Q24 ARE ESTIMATES.  sATELLITE QUIT.
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14" authorId="0">
      <text>
        <r>
          <rPr>
            <sz val="8"/>
            <color rgb="FF000000"/>
            <rFont val="Tahoma"/>
            <family val="0"/>
          </rPr>
          <t xml:space="preserve">Groundhog turned off today</t>
        </r>
      </text>
    </comment>
  </commentList>
</comments>
</file>

<file path=xl/sharedStrings.xml><?xml version="1.0" encoding="utf-8"?>
<sst xmlns="http://schemas.openxmlformats.org/spreadsheetml/2006/main" count="865" uniqueCount="112">
  <si>
    <t xml:space="preserve">MC  PHEE  RESERVOIR  IN/OUT  FLOW  TABULATION</t>
  </si>
  <si>
    <t xml:space="preserve">AF/cfs  CONVERT FACTOR</t>
  </si>
  <si>
    <t xml:space="preserve">NOVEMBER  "98"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</si>
  <si>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</si>
  <si>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</si>
  <si>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</si>
  <si>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</si>
  <si>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</si>
  <si>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</si>
  <si>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</si>
  <si>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RECORDED</t>
  </si>
  <si>
    <t xml:space="preserve">CALC</t>
  </si>
  <si>
    <t xml:space="preserve">TOTAL</t>
  </si>
  <si>
    <t xml:space="preserve">DOLORES TUNNEL</t>
  </si>
  <si>
    <t xml:space="preserve">LONE</t>
  </si>
  <si>
    <t xml:space="preserve">U</t>
  </si>
  <si>
    <t xml:space="preserve">MVI</t>
  </si>
  <si>
    <t xml:space="preserve">DV  CR</t>
  </si>
  <si>
    <t xml:space="preserve">BELOW</t>
  </si>
  <si>
    <t xml:space="preserve">REMAIN</t>
  </si>
  <si>
    <t xml:space="preserve">RAIN</t>
  </si>
  <si>
    <t xml:space="preserve">MAX</t>
  </si>
  <si>
    <t xml:space="preserve">MIN</t>
  </si>
  <si>
    <t xml:space="preserve">"NOV"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</si>
  <si>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</si>
  <si>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</si>
  <si>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</si>
  <si>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</si>
  <si>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</si>
  <si>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CANYON</t>
  </si>
  <si>
    <t xml:space="preserve">INFLOW</t>
  </si>
  <si>
    <t xml:space="preserve">INF/OTF</t>
  </si>
  <si>
    <t xml:space="preserve">TOT DIV</t>
  </si>
  <si>
    <t xml:space="preserve">UTE F&amp;R</t>
  </si>
  <si>
    <t xml:space="preserve">MVI,CTZ</t>
  </si>
  <si>
    <t xml:space="preserve">PINE</t>
  </si>
  <si>
    <t xml:space="preserve">LATERAL</t>
  </si>
  <si>
    <t xml:space="preserve">CALL</t>
  </si>
  <si>
    <t xml:space="preserve">CANAL</t>
  </si>
  <si>
    <t xml:space="preserve">MC  PHEE</t>
  </si>
  <si>
    <t xml:space="preserve">RELEASE</t>
  </si>
  <si>
    <t xml:space="preserve">OUTFLOW</t>
  </si>
  <si>
    <t xml:space="preserve">TMP</t>
  </si>
  <si>
    <t xml:space="preserve">SEASON BAL</t>
  </si>
  <si>
    <t xml:space="preserve">YTD</t>
  </si>
  <si>
    <t xml:space="preserve">MONTH / CFS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</si>
  <si>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</si>
  <si>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</si>
  <si>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</si>
  <si>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</si>
  <si>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</si>
  <si>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</si>
  <si>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</si>
  <si>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DECEMBER  "98"</t>
  </si>
  <si>
    <t xml:space="preserve">"DEC"</t>
  </si>
  <si>
    <t xml:space="preserve">JANUARY  "99"</t>
  </si>
  <si>
    <t xml:space="preserve">"JAN"</t>
  </si>
  <si>
    <t xml:space="preserve">FEBRUARY  "99"</t>
  </si>
  <si>
    <t xml:space="preserve">FEB</t>
  </si>
  <si>
    <t xml:space="preserve">Max active capacity</t>
  </si>
  <si>
    <t xml:space="preserve">Below capacity</t>
  </si>
  <si>
    <t xml:space="preserve">Season low</t>
  </si>
  <si>
    <t xml:space="preserve">MARCH  "99"</t>
  </si>
  <si>
    <t xml:space="preserve">MAR</t>
  </si>
  <si>
    <t xml:space="preserve">APRIL  "99"</t>
  </si>
  <si>
    <t xml:space="preserve">"APR"</t>
  </si>
  <si>
    <t xml:space="preserve">MVI/CTZ/MWC</t>
  </si>
  <si>
    <t xml:space="preserve">Avg</t>
  </si>
  <si>
    <t xml:space="preserve">hi</t>
  </si>
  <si>
    <t xml:space="preserve">lo</t>
  </si>
  <si>
    <t xml:space="preserve">MAY  "99"</t>
  </si>
  <si>
    <t xml:space="preserve">"MAY"</t>
  </si>
  <si>
    <t xml:space="preserve">May 1996 use</t>
  </si>
  <si>
    <t xml:space="preserve">97 decrease</t>
  </si>
  <si>
    <t xml:space="preserve">Total</t>
  </si>
  <si>
    <t xml:space="preserve">JUNE  "99"</t>
  </si>
  <si>
    <t xml:space="preserve">"JUN"</t>
  </si>
  <si>
    <t xml:space="preserve">RUNOFF APR - JUN / 30 yr avg</t>
  </si>
  <si>
    <t xml:space="preserve">Non spill</t>
  </si>
  <si>
    <t xml:space="preserve">RUNOFF APR - JUN / percent</t>
  </si>
  <si>
    <t xml:space="preserve">Add to MVI call</t>
  </si>
  <si>
    <t xml:space="preserve">Ctz/MW</t>
  </si>
  <si>
    <t xml:space="preserve">RUNOFF MAR - JUN / 30 yr avg</t>
  </si>
  <si>
    <t xml:space="preserve">Totten</t>
  </si>
  <si>
    <t xml:space="preserve">RUNOFF MAR - JUN / runoff</t>
  </si>
  <si>
    <t xml:space="preserve">Grhog</t>
  </si>
  <si>
    <t xml:space="preserve">RUNOFF MAR - JUN / percent</t>
  </si>
  <si>
    <t xml:space="preserve">cfs</t>
  </si>
  <si>
    <t xml:space="preserve">JULY  "99"</t>
  </si>
  <si>
    <t xml:space="preserve">"JUL"</t>
  </si>
  <si>
    <t xml:space="preserve">MVI non-project water 6/30 = </t>
  </si>
  <si>
    <t xml:space="preserve">30 yr average</t>
  </si>
  <si>
    <t xml:space="preserve">1996 Runoff  =</t>
  </si>
  <si>
    <t xml:space="preserve">AUGUST  "99"</t>
  </si>
  <si>
    <t xml:space="preserve">"AUG"</t>
  </si>
  <si>
    <t xml:space="preserve">FS limit</t>
  </si>
  <si>
    <t xml:space="preserve">AF left</t>
  </si>
  <si>
    <t xml:space="preserve">Res for underuse</t>
  </si>
  <si>
    <t xml:space="preserve">Bal for wtr bnk / AF</t>
  </si>
  <si>
    <t xml:space="preserve">Bal for wtr bnk / cfs</t>
  </si>
  <si>
    <t xml:space="preserve">Days left @</t>
  </si>
  <si>
    <t xml:space="preserve">SEPTEMBER  "99"</t>
  </si>
  <si>
    <t xml:space="preserve">"SEP"</t>
  </si>
  <si>
    <t xml:space="preserve">EDS</t>
  </si>
  <si>
    <t xml:space="preserve">Avg inflow</t>
  </si>
  <si>
    <t xml:space="preserve">Avg MVI Div</t>
  </si>
  <si>
    <t xml:space="preserve">Avg Pr wtr</t>
  </si>
  <si>
    <t xml:space="preserve">OCTOBER  "99"</t>
  </si>
  <si>
    <t xml:space="preserve">"OCT"</t>
  </si>
  <si>
    <t xml:space="preserve">Ctz &amp; Ute Div</t>
  </si>
  <si>
    <t xml:space="preserve">MWC Div</t>
  </si>
  <si>
    <t xml:space="preserve">MVIC Div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</si>
</sst>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"/>
    <numFmt numFmtId="166" formatCode="##0.0"/>
    <numFmt numFmtId="167" formatCode="0.0"/>
    <numFmt numFmtId="168" formatCode="0.00"/>
    <numFmt numFmtId="169" formatCode="0"/>
    <numFmt numFmtId="170" formatCode="#,##0.0"/>
    <numFmt numFmtId="171" formatCode="0.0000"/>
    <numFmt numFmtId="172" formatCode="0.000"/>
    <numFmt numFmtId="173" formatCode="#,##0.00"/>
    <numFmt numFmtId="174" formatCode="[$-409]d\-mmm"/>
    <numFmt numFmtId="175" formatCode="0%"/>
    <numFmt numFmtId="176" formatCode="[$-409]mmm\-yy"/>
    <numFmt numFmtId="177" formatCode="#,##0.00000"/>
    <numFmt numFmtId="178" formatCode="#,##0.0000"/>
    <numFmt numFmtId="179" formatCode="[$-409]m/d/yyyy"/>
    <numFmt numFmtId="180" formatCode="0.00%"/>
  </numFmts>
  <fonts count="18">
    <font>
      <sz val="8"/>
      <name val="LinePrinte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0"/>
    </font>
    <font>
      <b val="true"/>
      <i val="true"/>
      <sz val="12"/>
      <name val="Arial Narrow"/>
      <family val="0"/>
    </font>
    <font>
      <sz val="6"/>
      <name val="Arial Narrow"/>
      <family val="0"/>
    </font>
    <font>
      <b val="true"/>
      <sz val="6"/>
      <name val="Arial Narrow"/>
      <family val="0"/>
    </font>
    <font>
      <sz val="6"/>
      <name val="Arial Narrow"/>
      <family val="2"/>
    </font>
    <font>
      <b val="true"/>
      <sz val="9"/>
      <name val="Arial Narrow"/>
      <family val="0"/>
    </font>
    <font>
      <sz val="6"/>
      <name val="Arial"/>
      <family val="0"/>
    </font>
    <font>
      <sz val="8"/>
      <name val="Arial"/>
      <family val="0"/>
    </font>
    <font>
      <b val="true"/>
      <sz val="12"/>
      <name val="Arial Narrow"/>
      <family val="0"/>
    </font>
    <font>
      <sz val="4"/>
      <name val="LinePrinter"/>
      <family val="3"/>
    </font>
    <font>
      <sz val="7"/>
      <name val="Arial Narrow"/>
      <family val="2"/>
    </font>
    <font>
      <b val="true"/>
      <sz val="8"/>
      <name val="Arial Narrow"/>
      <family val="0"/>
    </font>
    <font>
      <sz val="8"/>
      <color rgb="FF000000"/>
      <name val="Tahoma"/>
      <family val="0"/>
    </font>
    <font>
      <b val="true"/>
      <sz val="8"/>
      <color rgb="FF000000"/>
      <name val="Tahoma"/>
      <family val="0"/>
    </font>
  </fonts>
  <fills count="5">
    <fill>
      <patternFill patternType="none"/>
    </fill>
    <fill>
      <patternFill patternType="gray125"/>
    </fill>
    <fill>
      <patternFill patternType="solid">
        <fgColor rgb="FF464648"/>
        <bgColor rgb="FF2D2E30"/>
      </patternFill>
    </fill>
    <fill>
      <patternFill patternType="solid">
        <fgColor rgb="FF1EFC1E"/>
        <bgColor rgb="FF33CCCC"/>
      </patternFill>
    </fill>
    <fill>
      <patternFill patternType="solid">
        <fgColor rgb="FF2D2E30"/>
        <bgColor rgb="FF464648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 style="thin">
        <color rgb="FFEEEEEC"/>
      </left>
      <right style="thin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 style="medium">
        <color rgb="FFEEEEEC"/>
      </left>
      <right/>
      <top style="medium">
        <color rgb="FFEEEEEC"/>
      </top>
      <bottom style="medium">
        <color rgb="FFEEEEEC"/>
      </bottom>
      <diagonal/>
    </border>
    <border diagonalUp="false" diagonalDown="false">
      <left/>
      <right/>
      <top style="medium">
        <color rgb="FFEEEEEC"/>
      </top>
      <bottom style="medium">
        <color rgb="FFEEEEEC"/>
      </bottom>
      <diagonal/>
    </border>
    <border diagonalUp="false" diagonalDown="false">
      <left/>
      <right style="medium">
        <color rgb="FFEEEEEC"/>
      </right>
      <top style="medium">
        <color rgb="FFEEEEEC"/>
      </top>
      <bottom style="medium">
        <color rgb="FFEEEEEC"/>
      </bottom>
      <diagonal/>
    </border>
    <border diagonalUp="false" diagonalDown="false">
      <left style="medium">
        <color rgb="FFEEEEEC"/>
      </left>
      <right style="medium">
        <color rgb="FFEEEEEC"/>
      </right>
      <top style="medium">
        <color rgb="FFEEEEEC"/>
      </top>
      <bottom style="medium">
        <color rgb="FFEEEEEC"/>
      </bottom>
      <diagonal/>
    </border>
    <border diagonalUp="false" diagonalDown="false">
      <left/>
      <right/>
      <top/>
      <bottom style="thin">
        <color rgb="FFEEEEEC"/>
      </bottom>
      <diagonal/>
    </border>
    <border diagonalUp="false" diagonalDown="false">
      <left/>
      <right/>
      <top/>
      <bottom style="double">
        <color rgb="FFEEEEEC"/>
      </bottom>
      <diagonal/>
    </border>
    <border diagonalUp="false" diagonalDown="false">
      <left/>
      <right/>
      <top style="thin">
        <color rgb="FFEEEEEC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3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5" fontId="0" fillId="0" borderId="0" applyFont="true" applyBorder="false" applyAlignment="false" applyProtection="false"/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4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IVER054" xfId="20"/>
  </cellStyles>
  <colors>
    <indexedColors>
      <rgbColor rgb="FF000000"/>
      <rgbColor rgb="FFEEEEEC"/>
      <rgbColor rgb="FFFF0000"/>
      <rgbColor rgb="FF1EFC1E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64648"/>
      <rgbColor rgb="FF993300"/>
      <rgbColor rgb="FF993366"/>
      <rgbColor rgb="FF333399"/>
      <rgbColor rgb="FF2D2E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485280</xdr:colOff>
      <xdr:row>28</xdr:row>
      <xdr:rowOff>0</xdr:rowOff>
    </xdr:from>
    <xdr:to>
      <xdr:col>7</xdr:col>
      <xdr:colOff>22320</xdr:colOff>
      <xdr:row>29</xdr:row>
      <xdr:rowOff>28440</xdr:rowOff>
    </xdr:to>
    <xdr:sp>
      <xdr:nvSpPr>
        <xdr:cNvPr id="0" name="Text 1"/>
        <xdr:cNvSpPr/>
      </xdr:nvSpPr>
      <xdr:spPr>
        <a:xfrm>
          <a:off x="2889360" y="3920400"/>
          <a:ext cx="528840" cy="169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pc="-1" strike="noStrike">
              <a:latin typeface="LinePrinter"/>
            </a:rPr>
            <a:t>thawed</a:t>
          </a:r>
          <a:endParaRPr b="0" lang="en-US" sz="800" spc="-1" strike="noStrike">
            <a:latin typeface="Times New Roman"/>
          </a:endParaRPr>
        </a:p>
        <a:p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129240</xdr:colOff>
      <xdr:row>9</xdr:row>
      <xdr:rowOff>57240</xdr:rowOff>
    </xdr:from>
    <xdr:to>
      <xdr:col>22</xdr:col>
      <xdr:colOff>216000</xdr:colOff>
      <xdr:row>11</xdr:row>
      <xdr:rowOff>19440</xdr:rowOff>
    </xdr:to>
    <xdr:sp>
      <xdr:nvSpPr>
        <xdr:cNvPr id="1" name="Text 2"/>
        <xdr:cNvSpPr/>
      </xdr:nvSpPr>
      <xdr:spPr>
        <a:xfrm>
          <a:off x="10217520" y="1299240"/>
          <a:ext cx="496440" cy="2440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400" spc="-1" strike="noStrike">
              <a:latin typeface="LinePrinter"/>
            </a:rPr>
            <a:t>SPILL STARTED</a:t>
          </a:r>
          <a:endParaRPr b="0" lang="en-US" sz="400" spc="-1" strike="noStrike">
            <a:latin typeface="Times New Roman"/>
          </a:endParaRPr>
        </a:p>
        <a:p>
          <a:r>
            <a:rPr b="0" lang="en-US" sz="400" spc="-1" strike="noStrike">
              <a:latin typeface="LinePrinter"/>
            </a:rPr>
            <a:t>NO DEBIT</a:t>
          </a:r>
          <a:endParaRPr b="0" lang="en-US" sz="400" spc="-1" strike="noStrike"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34</xdr:row>
      <xdr:rowOff>0</xdr:rowOff>
    </xdr:from>
    <xdr:to>
      <xdr:col>14</xdr:col>
      <xdr:colOff>720</xdr:colOff>
      <xdr:row>34</xdr:row>
      <xdr:rowOff>140760</xdr:rowOff>
    </xdr:to>
    <xdr:sp>
      <xdr:nvSpPr>
        <xdr:cNvPr id="2" name="Rectangle 1"/>
        <xdr:cNvSpPr/>
      </xdr:nvSpPr>
      <xdr:spPr>
        <a:xfrm>
          <a:off x="6369120" y="4766400"/>
          <a:ext cx="6044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0</xdr:colOff>
      <xdr:row>34</xdr:row>
      <xdr:rowOff>0</xdr:rowOff>
    </xdr:from>
    <xdr:to>
      <xdr:col>14</xdr:col>
      <xdr:colOff>720</xdr:colOff>
      <xdr:row>34</xdr:row>
      <xdr:rowOff>140760</xdr:rowOff>
    </xdr:to>
    <xdr:sp>
      <xdr:nvSpPr>
        <xdr:cNvPr id="3" name="Rectangle 3"/>
        <xdr:cNvSpPr/>
      </xdr:nvSpPr>
      <xdr:spPr>
        <a:xfrm>
          <a:off x="6369120" y="4766400"/>
          <a:ext cx="6044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0</xdr:colOff>
      <xdr:row>34</xdr:row>
      <xdr:rowOff>0</xdr:rowOff>
    </xdr:from>
    <xdr:to>
      <xdr:col>14</xdr:col>
      <xdr:colOff>720</xdr:colOff>
      <xdr:row>34</xdr:row>
      <xdr:rowOff>140760</xdr:rowOff>
    </xdr:to>
    <xdr:sp>
      <xdr:nvSpPr>
        <xdr:cNvPr id="4" name="Rectangle 4"/>
        <xdr:cNvSpPr/>
      </xdr:nvSpPr>
      <xdr:spPr>
        <a:xfrm>
          <a:off x="6369120" y="4766400"/>
          <a:ext cx="6044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0</xdr:colOff>
      <xdr:row>34</xdr:row>
      <xdr:rowOff>0</xdr:rowOff>
    </xdr:from>
    <xdr:to>
      <xdr:col>14</xdr:col>
      <xdr:colOff>720</xdr:colOff>
      <xdr:row>34</xdr:row>
      <xdr:rowOff>140760</xdr:rowOff>
    </xdr:to>
    <xdr:sp>
      <xdr:nvSpPr>
        <xdr:cNvPr id="5" name="Rectangle 6"/>
        <xdr:cNvSpPr/>
      </xdr:nvSpPr>
      <xdr:spPr>
        <a:xfrm>
          <a:off x="6369120" y="4766400"/>
          <a:ext cx="6044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0</xdr:colOff>
      <xdr:row>34</xdr:row>
      <xdr:rowOff>0</xdr:rowOff>
    </xdr:from>
    <xdr:to>
      <xdr:col>14</xdr:col>
      <xdr:colOff>720</xdr:colOff>
      <xdr:row>34</xdr:row>
      <xdr:rowOff>140760</xdr:rowOff>
    </xdr:to>
    <xdr:sp>
      <xdr:nvSpPr>
        <xdr:cNvPr id="6" name="Rectangle 8"/>
        <xdr:cNvSpPr/>
      </xdr:nvSpPr>
      <xdr:spPr>
        <a:xfrm>
          <a:off x="6369120" y="4766400"/>
          <a:ext cx="604440" cy="14076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0</xdr:colOff>
      <xdr:row>34</xdr:row>
      <xdr:rowOff>124200</xdr:rowOff>
    </xdr:from>
    <xdr:to>
      <xdr:col>13</xdr:col>
      <xdr:colOff>11160</xdr:colOff>
      <xdr:row>34</xdr:row>
      <xdr:rowOff>140760</xdr:rowOff>
    </xdr:to>
    <xdr:sp>
      <xdr:nvSpPr>
        <xdr:cNvPr id="7" name="Rectangle 10"/>
        <xdr:cNvSpPr/>
      </xdr:nvSpPr>
      <xdr:spPr>
        <a:xfrm>
          <a:off x="6369120" y="4890600"/>
          <a:ext cx="11160" cy="1656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0</xdr:colOff>
      <xdr:row>34</xdr:row>
      <xdr:rowOff>0</xdr:rowOff>
    </xdr:from>
    <xdr:to>
      <xdr:col>14</xdr:col>
      <xdr:colOff>720</xdr:colOff>
      <xdr:row>34</xdr:row>
      <xdr:rowOff>140760</xdr:rowOff>
    </xdr:to>
    <xdr:sp>
      <xdr:nvSpPr>
        <xdr:cNvPr id="8" name="Rectangle 11"/>
        <xdr:cNvSpPr/>
      </xdr:nvSpPr>
      <xdr:spPr>
        <a:xfrm>
          <a:off x="6369120" y="4766400"/>
          <a:ext cx="604440" cy="1407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0</xdr:colOff>
      <xdr:row>28</xdr:row>
      <xdr:rowOff>0</xdr:rowOff>
    </xdr:from>
    <xdr:to>
      <xdr:col>14</xdr:col>
      <xdr:colOff>720</xdr:colOff>
      <xdr:row>28</xdr:row>
      <xdr:rowOff>141120</xdr:rowOff>
    </xdr:to>
    <xdr:sp>
      <xdr:nvSpPr>
        <xdr:cNvPr id="9" name="Rectangle 12"/>
        <xdr:cNvSpPr/>
      </xdr:nvSpPr>
      <xdr:spPr>
        <a:xfrm>
          <a:off x="6369120" y="3920400"/>
          <a:ext cx="604440" cy="141120"/>
        </a:xfrm>
        <a:prstGeom prst="rect">
          <a:avLst/>
        </a:prstGeom>
        <a:noFill/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13</xdr:col>
      <xdr:colOff>0</xdr:colOff>
      <xdr:row>28</xdr:row>
      <xdr:rowOff>0</xdr:rowOff>
    </xdr:from>
    <xdr:to>
      <xdr:col>14</xdr:col>
      <xdr:colOff>720</xdr:colOff>
      <xdr:row>28</xdr:row>
      <xdr:rowOff>141120</xdr:rowOff>
    </xdr:to>
    <xdr:sp>
      <xdr:nvSpPr>
        <xdr:cNvPr id="10" name="Rectangle 13"/>
        <xdr:cNvSpPr/>
      </xdr:nvSpPr>
      <xdr:spPr>
        <a:xfrm>
          <a:off x="6369120" y="3920400"/>
          <a:ext cx="604440" cy="141120"/>
        </a:xfrm>
        <a:prstGeom prst="rect">
          <a:avLst/>
        </a:prstGeom>
        <a:noFill/>
        <a:ln w="9360">
          <a:solidFill>
            <a:srgbClr val="eeeeec"/>
          </a:solidFill>
          <a:miter/>
        </a:ln>
        <a:effectLst>
          <a:outerShdw dist="17819" dir="2700000" blurRad="0" rotWithShape="0">
            <a:srgbClr val="000000"/>
          </a:outerShdw>
        </a:effectLst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2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26" activePane="bottomRight" state="frozen"/>
      <selection pane="topLeft" activeCell="A1" activeCellId="0" sqref="A1"/>
      <selection pane="topRight" activeCell="B1" activeCellId="0" sqref="B1"/>
      <selection pane="bottomLeft" activeCell="A26" activeCellId="0" sqref="A26"/>
      <selection pane="bottomRight" activeCell="N47" activeCellId="0" sqref="N47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3" min="3" style="1" width="7.32"/>
    <col collapsed="false" customWidth="true" hidden="false" outlineLevel="0" max="4" min="4" style="0" width="6.82"/>
    <col collapsed="false" customWidth="true" hidden="false" outlineLevel="0" max="5" min="5" style="1" width="7.32"/>
    <col collapsed="false" customWidth="true" hidden="false" outlineLevel="0" max="6" min="6" style="0" width="7.66"/>
    <col collapsed="false" customWidth="true" hidden="false" outlineLevel="0" max="7" min="7" style="0" width="6.66"/>
    <col collapsed="false" customWidth="true" hidden="false" outlineLevel="0" max="8" min="8" style="2" width="7.16"/>
    <col collapsed="false" customWidth="true" hidden="false" outlineLevel="0" max="9" min="9" style="0" width="8.82"/>
    <col collapsed="false" customWidth="true" hidden="false" outlineLevel="0" max="11" min="10" style="0" width="6.32"/>
    <col collapsed="false" customWidth="true" hidden="false" outlineLevel="0" max="12" min="12" style="0" width="6.49"/>
    <col collapsed="false" customWidth="true" hidden="false" outlineLevel="0" max="15" min="13" style="3" width="7.49"/>
    <col collapsed="false" customWidth="true" hidden="false" outlineLevel="0" max="16" min="16" style="0" width="5.82"/>
    <col collapsed="false" customWidth="true" hidden="false" outlineLevel="0" max="17" min="17" style="0" width="7.16"/>
    <col collapsed="false" customWidth="true" hidden="false" outlineLevel="0" max="18" min="18" style="0" width="6.66"/>
    <col collapsed="false" customWidth="true" hidden="false" outlineLevel="0" max="19" min="19" style="1" width="6.66"/>
    <col collapsed="false" customWidth="true" hidden="false" outlineLevel="0" max="20" min="20" style="0" width="5.82"/>
    <col collapsed="false" customWidth="true" hidden="false" outlineLevel="0" max="21" min="21" style="0" width="7.49"/>
    <col collapsed="false" customWidth="true" hidden="false" outlineLevel="0" max="22" min="22" style="1" width="6.32"/>
    <col collapsed="false" customWidth="true" hidden="false" outlineLevel="0" max="25" min="23" style="0" width="7.82"/>
    <col collapsed="false" customWidth="true" hidden="false" outlineLevel="0" max="26" min="26" style="4" width="5.66"/>
    <col collapsed="false" customWidth="true" hidden="false" outlineLevel="0" max="28" min="27" style="5" width="5.66"/>
    <col collapsed="false" customWidth="true" hidden="false" outlineLevel="0" max="29" min="29" style="6" width="5.66"/>
  </cols>
  <sheetData>
    <row r="1" customFormat="false" ht="14.1" hidden="false" customHeight="true" outlineLevel="0" collapsed="false">
      <c r="A1" s="7"/>
      <c r="B1" s="7"/>
      <c r="C1" s="8"/>
      <c r="D1" s="7"/>
      <c r="E1" s="8"/>
      <c r="F1" s="7"/>
      <c r="G1" s="7"/>
      <c r="H1" s="9"/>
      <c r="I1" s="7"/>
      <c r="J1" s="7"/>
      <c r="K1" s="10" t="s">
        <v>0</v>
      </c>
      <c r="L1" s="7"/>
      <c r="M1" s="7"/>
      <c r="N1" s="7"/>
      <c r="O1" s="7"/>
      <c r="P1" s="7"/>
      <c r="Q1" s="7"/>
      <c r="R1" s="7"/>
      <c r="S1" s="8"/>
      <c r="T1" s="7"/>
      <c r="U1" s="7"/>
      <c r="V1" s="8"/>
      <c r="W1" s="7"/>
      <c r="X1" s="7"/>
      <c r="Y1" s="7"/>
      <c r="Z1" s="11"/>
      <c r="AA1" s="12"/>
      <c r="AB1" s="12"/>
      <c r="AC1" s="13"/>
    </row>
    <row r="2" customFormat="false" ht="14.1" hidden="false" customHeight="true" outlineLevel="0" collapsed="false">
      <c r="A2" s="7" t="s">
        <v>1</v>
      </c>
      <c r="B2" s="7"/>
      <c r="C2" s="8"/>
      <c r="D2" s="14" t="n">
        <v>1.9835</v>
      </c>
      <c r="E2" s="8"/>
      <c r="F2" s="7"/>
      <c r="G2" s="7"/>
      <c r="H2" s="9"/>
      <c r="I2" s="7"/>
      <c r="J2" s="7"/>
      <c r="K2" s="7"/>
      <c r="L2" s="10" t="s">
        <v>2</v>
      </c>
      <c r="M2" s="7"/>
      <c r="N2" s="7"/>
      <c r="O2" s="7"/>
      <c r="P2" s="7"/>
      <c r="Q2" s="7"/>
      <c r="R2" s="7"/>
      <c r="S2" s="8"/>
      <c r="T2" s="7"/>
      <c r="U2" s="7"/>
      <c r="V2" s="8"/>
      <c r="W2" s="7"/>
      <c r="X2" s="7"/>
      <c r="Y2" s="7"/>
      <c r="Z2" s="11"/>
      <c r="AA2" s="12"/>
      <c r="AB2" s="12"/>
      <c r="AC2" s="13"/>
    </row>
    <row r="3" customFormat="false" ht="11.1" hidden="false" customHeight="true" outlineLevel="0" collapsed="false">
      <c r="A3" s="7"/>
      <c r="B3" s="7"/>
      <c r="C3" s="8"/>
      <c r="D3" s="15"/>
      <c r="E3" s="8"/>
      <c r="F3" s="7"/>
      <c r="G3" s="7"/>
      <c r="H3" s="9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7"/>
      <c r="U3" s="7"/>
      <c r="V3" s="8"/>
      <c r="W3" s="7"/>
      <c r="X3" s="7"/>
      <c r="Y3" s="7"/>
      <c r="Z3" s="11"/>
      <c r="AA3" s="12"/>
      <c r="AB3" s="12"/>
      <c r="AC3" s="13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6" t="s">
        <v>14</v>
      </c>
      <c r="Q4" s="16" t="s">
        <v>15</v>
      </c>
      <c r="R4" s="16" t="s">
        <v>12</v>
      </c>
      <c r="S4" s="17" t="s">
        <v>16</v>
      </c>
      <c r="T4" s="16" t="s">
        <v>17</v>
      </c>
      <c r="U4" s="16" t="s">
        <v>18</v>
      </c>
      <c r="V4" s="17" t="s">
        <v>19</v>
      </c>
      <c r="W4" s="16" t="s">
        <v>10</v>
      </c>
      <c r="X4" s="16" t="s">
        <v>11</v>
      </c>
      <c r="Y4" s="16" t="s">
        <v>12</v>
      </c>
      <c r="Z4" s="20" t="s">
        <v>20</v>
      </c>
      <c r="AA4" s="21" t="s">
        <v>21</v>
      </c>
      <c r="AB4" s="21" t="s">
        <v>22</v>
      </c>
      <c r="AC4" s="21" t="s">
        <v>3</v>
      </c>
    </row>
    <row r="5" customFormat="false" ht="11.1" hidden="false" customHeight="true" outlineLevel="0" collapsed="false">
      <c r="A5" s="22" t="s">
        <v>23</v>
      </c>
      <c r="B5" s="16" t="s">
        <v>24</v>
      </c>
      <c r="C5" s="17" t="s">
        <v>5</v>
      </c>
      <c r="D5" s="16" t="s">
        <v>25</v>
      </c>
      <c r="E5" s="17" t="s">
        <v>26</v>
      </c>
      <c r="F5" s="16" t="s">
        <v>27</v>
      </c>
      <c r="G5" s="16" t="s">
        <v>28</v>
      </c>
      <c r="H5" s="18" t="s">
        <v>29</v>
      </c>
      <c r="I5" s="16" t="s">
        <v>30</v>
      </c>
      <c r="J5" s="16" t="s">
        <v>30</v>
      </c>
      <c r="K5" s="16" t="s">
        <v>30</v>
      </c>
      <c r="L5" s="16" t="s">
        <v>31</v>
      </c>
      <c r="M5" s="16" t="s">
        <v>32</v>
      </c>
      <c r="N5" s="16" t="s">
        <v>33</v>
      </c>
      <c r="O5" s="23" t="s">
        <v>34</v>
      </c>
      <c r="P5" s="16" t="s">
        <v>35</v>
      </c>
      <c r="Q5" s="16" t="s">
        <v>36</v>
      </c>
      <c r="R5" s="16" t="s">
        <v>16</v>
      </c>
      <c r="S5" s="17" t="s">
        <v>37</v>
      </c>
      <c r="T5" s="16" t="s">
        <v>38</v>
      </c>
      <c r="U5" s="16" t="s">
        <v>39</v>
      </c>
      <c r="V5" s="17" t="s">
        <v>40</v>
      </c>
      <c r="W5" s="16" t="s">
        <v>41</v>
      </c>
      <c r="X5" s="16" t="s">
        <v>41</v>
      </c>
      <c r="Y5" s="16" t="s">
        <v>41</v>
      </c>
      <c r="Z5" s="24"/>
      <c r="AA5" s="21" t="s">
        <v>42</v>
      </c>
      <c r="AB5" s="21" t="s">
        <v>42</v>
      </c>
      <c r="AC5" s="25" t="s">
        <v>23</v>
      </c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7"/>
      <c r="T6" s="26"/>
      <c r="U6" s="26"/>
      <c r="V6" s="29"/>
      <c r="W6" s="26"/>
      <c r="X6" s="26"/>
      <c r="Y6" s="26"/>
      <c r="Z6" s="11"/>
      <c r="AA6" s="13"/>
      <c r="AB6" s="13"/>
      <c r="AC6" s="13"/>
    </row>
    <row r="7" customFormat="false" ht="11.1" hidden="false" customHeight="true" outlineLevel="0" collapsed="false">
      <c r="A7" s="7" t="s">
        <v>43</v>
      </c>
      <c r="B7" s="7"/>
      <c r="C7" s="8"/>
      <c r="D7" s="8"/>
      <c r="E7" s="8"/>
      <c r="F7" s="8"/>
      <c r="G7" s="8"/>
      <c r="H7" s="1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30" t="n">
        <f aca="false">V6/D2</f>
        <v>0</v>
      </c>
      <c r="W7" s="8"/>
      <c r="X7" s="8"/>
      <c r="Y7" s="8"/>
      <c r="Z7" s="11"/>
      <c r="AA7" s="12"/>
      <c r="AB7" s="12"/>
      <c r="AC7" s="13"/>
    </row>
    <row r="8" s="1" customFormat="true" ht="11.1" hidden="false" customHeight="true" outlineLevel="0" collapsed="false">
      <c r="A8" s="8" t="s">
        <v>44</v>
      </c>
      <c r="B8" s="31" t="n">
        <v>6892.93</v>
      </c>
      <c r="C8" s="8" t="n">
        <v>258226</v>
      </c>
      <c r="D8" s="8"/>
      <c r="E8" s="8"/>
      <c r="F8" s="8"/>
      <c r="G8" s="8"/>
      <c r="H8" s="12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 t="n">
        <v>6148</v>
      </c>
      <c r="W8" s="8"/>
      <c r="X8" s="8"/>
      <c r="Y8" s="8"/>
      <c r="Z8" s="32"/>
      <c r="AA8" s="12"/>
      <c r="AB8" s="12"/>
      <c r="AC8" s="13"/>
    </row>
    <row r="9" customFormat="false" ht="3" hidden="false" customHeight="true" outlineLevel="0" collapsed="false">
      <c r="A9" s="33"/>
      <c r="B9" s="34"/>
      <c r="C9" s="35"/>
      <c r="D9" s="33"/>
      <c r="E9" s="35"/>
      <c r="F9" s="33"/>
      <c r="G9" s="33"/>
      <c r="H9" s="36"/>
      <c r="I9" s="33"/>
      <c r="J9" s="33"/>
      <c r="K9" s="33"/>
      <c r="L9" s="33"/>
      <c r="M9" s="33"/>
      <c r="N9" s="33"/>
      <c r="O9" s="33"/>
      <c r="P9" s="33"/>
      <c r="Q9" s="33"/>
      <c r="R9" s="33"/>
      <c r="S9" s="35"/>
      <c r="T9" s="33"/>
      <c r="U9" s="33"/>
      <c r="V9" s="35"/>
      <c r="W9" s="33"/>
      <c r="X9" s="33"/>
      <c r="Y9" s="33"/>
      <c r="Z9" s="37"/>
      <c r="AA9" s="38"/>
      <c r="AB9" s="38"/>
      <c r="AC9" s="39"/>
    </row>
    <row r="10" customFormat="false" ht="11.1" hidden="false" customHeight="true" outlineLevel="0" collapsed="false">
      <c r="A10" s="13" t="n">
        <v>1</v>
      </c>
      <c r="B10" s="31" t="n">
        <v>6892.94</v>
      </c>
      <c r="C10" s="8" t="n">
        <v>258261</v>
      </c>
      <c r="D10" s="12" t="n">
        <f aca="false">C10-C8</f>
        <v>35</v>
      </c>
      <c r="E10" s="8" t="n">
        <f aca="false">C10-152000</f>
        <v>106261</v>
      </c>
      <c r="F10" s="7" t="n">
        <f aca="false">D10/$D$2</f>
        <v>17.6455760020166</v>
      </c>
      <c r="G10" s="7" t="n">
        <v>137</v>
      </c>
      <c r="H10" s="9" t="n">
        <v>2</v>
      </c>
      <c r="I10" s="7" t="n">
        <f aca="false">G10+H10</f>
        <v>139</v>
      </c>
      <c r="J10" s="32" t="n">
        <f aca="false">IF(L10&gt;0,L10,0)</f>
        <v>0</v>
      </c>
      <c r="K10" s="7" t="n">
        <f aca="false">I10+J10</f>
        <v>139</v>
      </c>
      <c r="L10" s="7" t="n">
        <f aca="false">F10-(I10-W10)</f>
        <v>-39.9544239979834</v>
      </c>
      <c r="M10" s="7" t="n">
        <v>24</v>
      </c>
      <c r="N10" s="7" t="n">
        <f aca="false">(2.07+1.67)*1.05</f>
        <v>3.927</v>
      </c>
      <c r="O10" s="7" t="n">
        <f aca="false">M10-N10</f>
        <v>20.073</v>
      </c>
      <c r="P10" s="7" t="n">
        <v>0</v>
      </c>
      <c r="Q10" s="7" t="n">
        <v>8.4</v>
      </c>
      <c r="R10" s="7" t="n">
        <f aca="false">SUM(O10:Q10)</f>
        <v>28.473</v>
      </c>
      <c r="S10" s="8"/>
      <c r="T10" s="7" t="n">
        <v>0</v>
      </c>
      <c r="U10" s="7" t="n">
        <v>49</v>
      </c>
      <c r="V10" s="8" t="n">
        <f aca="false">(V7+V8)-U10</f>
        <v>6099</v>
      </c>
      <c r="W10" s="7" t="n">
        <f aca="false">N10+R10+T10+U10</f>
        <v>81.4</v>
      </c>
      <c r="X10" s="7" t="n">
        <f aca="false">IF(L10&lt;0,L10*-1,0)</f>
        <v>39.9544239979834</v>
      </c>
      <c r="Y10" s="7" t="n">
        <f aca="false">W10+X10</f>
        <v>121.354423997983</v>
      </c>
      <c r="Z10" s="11" t="n">
        <v>0</v>
      </c>
      <c r="AA10" s="12" t="n">
        <v>56</v>
      </c>
      <c r="AB10" s="12" t="n">
        <v>31</v>
      </c>
      <c r="AC10" s="13" t="n">
        <v>1</v>
      </c>
    </row>
    <row r="11" customFormat="false" ht="11.1" hidden="false" customHeight="true" outlineLevel="0" collapsed="false">
      <c r="A11" s="13" t="n">
        <f aca="false">A10+1</f>
        <v>2</v>
      </c>
      <c r="B11" s="40" t="n">
        <v>6893.04</v>
      </c>
      <c r="C11" s="8" t="n">
        <v>258609</v>
      </c>
      <c r="D11" s="12" t="n">
        <f aca="false">C11-C10</f>
        <v>348</v>
      </c>
      <c r="E11" s="8" t="n">
        <f aca="false">C11-152000</f>
        <v>106609</v>
      </c>
      <c r="F11" s="7" t="n">
        <f aca="false">D11/$D$2</f>
        <v>175.44744139148</v>
      </c>
      <c r="G11" s="7" t="n">
        <v>144</v>
      </c>
      <c r="H11" s="9" t="n">
        <v>2.4</v>
      </c>
      <c r="I11" s="7" t="n">
        <f aca="false">G11+H11</f>
        <v>146.4</v>
      </c>
      <c r="J11" s="32" t="n">
        <f aca="false">IF(L11&gt;0,L11,0)</f>
        <v>110.34744139148</v>
      </c>
      <c r="K11" s="7" t="n">
        <f aca="false">I11+J11</f>
        <v>256.74744139148</v>
      </c>
      <c r="L11" s="7" t="n">
        <f aca="false">F11-(I11-W11)</f>
        <v>110.34744139148</v>
      </c>
      <c r="M11" s="7" t="n">
        <v>24</v>
      </c>
      <c r="N11" s="7" t="n">
        <f aca="false">(2.6+2.51)*1.05</f>
        <v>5.3655</v>
      </c>
      <c r="O11" s="7" t="n">
        <f aca="false">M11-N11</f>
        <v>18.6345</v>
      </c>
      <c r="P11" s="7" t="n">
        <v>0</v>
      </c>
      <c r="Q11" s="7" t="n">
        <v>8.3</v>
      </c>
      <c r="R11" s="7" t="n">
        <f aca="false">SUM(O11:Q11)</f>
        <v>26.9345</v>
      </c>
      <c r="S11" s="8"/>
      <c r="T11" s="7" t="n">
        <v>0</v>
      </c>
      <c r="U11" s="7" t="n">
        <v>49</v>
      </c>
      <c r="V11" s="8" t="n">
        <f aca="false">V10-U11</f>
        <v>6050</v>
      </c>
      <c r="W11" s="7" t="n">
        <f aca="false">N11+R11+T11+U11</f>
        <v>81.3</v>
      </c>
      <c r="X11" s="7" t="n">
        <f aca="false">IF(L11&lt;0,L11*-1,0)</f>
        <v>0</v>
      </c>
      <c r="Y11" s="7" t="n">
        <f aca="false">W11+X11</f>
        <v>81.3</v>
      </c>
      <c r="Z11" s="11" t="n">
        <v>0.52</v>
      </c>
      <c r="AA11" s="12" t="n">
        <v>48</v>
      </c>
      <c r="AB11" s="12" t="n">
        <v>32</v>
      </c>
      <c r="AC11" s="13" t="n">
        <f aca="false">AC10+1</f>
        <v>2</v>
      </c>
    </row>
    <row r="12" customFormat="false" ht="11.1" hidden="false" customHeight="true" outlineLevel="0" collapsed="false">
      <c r="A12" s="13" t="n">
        <f aca="false">A11+1</f>
        <v>3</v>
      </c>
      <c r="B12" s="31" t="n">
        <v>6893.07</v>
      </c>
      <c r="C12" s="8" t="n">
        <v>258714</v>
      </c>
      <c r="D12" s="12" t="n">
        <f aca="false">C12-C11</f>
        <v>105</v>
      </c>
      <c r="E12" s="8" t="n">
        <f aca="false">C12-152000</f>
        <v>106714</v>
      </c>
      <c r="F12" s="7" t="n">
        <f aca="false">D12/$D$2</f>
        <v>52.9367280060499</v>
      </c>
      <c r="G12" s="7" t="n">
        <v>141</v>
      </c>
      <c r="H12" s="9" t="n">
        <v>2.7</v>
      </c>
      <c r="I12" s="7" t="n">
        <f aca="false">G12+H12</f>
        <v>143.7</v>
      </c>
      <c r="J12" s="32" t="n">
        <f aca="false">IF(L12&gt;0,L12,0)</f>
        <v>0</v>
      </c>
      <c r="K12" s="7" t="n">
        <f aca="false">I12+J12</f>
        <v>143.7</v>
      </c>
      <c r="L12" s="7" t="n">
        <f aca="false">F12-(I12-W12)</f>
        <v>-14.4632719939501</v>
      </c>
      <c r="M12" s="7" t="n">
        <v>24</v>
      </c>
      <c r="N12" s="7" t="n">
        <f aca="false">(2.22+2.62)*1.05</f>
        <v>5.082</v>
      </c>
      <c r="O12" s="7" t="n">
        <f aca="false">M12-N12</f>
        <v>18.918</v>
      </c>
      <c r="P12" s="7" t="n">
        <v>0</v>
      </c>
      <c r="Q12" s="7" t="n">
        <v>8.3</v>
      </c>
      <c r="R12" s="7" t="n">
        <f aca="false">SUM(O12:Q12)</f>
        <v>27.218</v>
      </c>
      <c r="S12" s="8"/>
      <c r="T12" s="7" t="n">
        <v>0</v>
      </c>
      <c r="U12" s="7" t="n">
        <v>44</v>
      </c>
      <c r="V12" s="8" t="n">
        <f aca="false">V11-U12</f>
        <v>6006</v>
      </c>
      <c r="W12" s="7" t="n">
        <f aca="false">N12+R12+T12+U12</f>
        <v>76.3</v>
      </c>
      <c r="X12" s="7" t="n">
        <f aca="false">IF(L12&lt;0,L12*-1,0)</f>
        <v>14.4632719939501</v>
      </c>
      <c r="Y12" s="7" t="n">
        <f aca="false">W12+X12</f>
        <v>90.7632719939501</v>
      </c>
      <c r="Z12" s="11" t="n">
        <v>0</v>
      </c>
      <c r="AA12" s="12" t="n">
        <v>50</v>
      </c>
      <c r="AB12" s="12" t="n">
        <v>28</v>
      </c>
      <c r="AC12" s="13" t="n">
        <f aca="false">AC11+1</f>
        <v>3</v>
      </c>
    </row>
    <row r="13" customFormat="false" ht="11.1" hidden="false" customHeight="true" outlineLevel="0" collapsed="false">
      <c r="A13" s="13" t="n">
        <f aca="false">A12+1</f>
        <v>4</v>
      </c>
      <c r="B13" s="31" t="n">
        <v>6893.11</v>
      </c>
      <c r="C13" s="8" t="n">
        <v>258854</v>
      </c>
      <c r="D13" s="12" t="n">
        <f aca="false">C13-C12</f>
        <v>140</v>
      </c>
      <c r="E13" s="8" t="n">
        <f aca="false">C13-152000</f>
        <v>106854</v>
      </c>
      <c r="F13" s="7" t="n">
        <f aca="false">D13/$D$2</f>
        <v>70.5823040080665</v>
      </c>
      <c r="G13" s="7" t="n">
        <v>118</v>
      </c>
      <c r="H13" s="9" t="n">
        <v>2.1</v>
      </c>
      <c r="I13" s="7" t="n">
        <f aca="false">G13+H13</f>
        <v>120.1</v>
      </c>
      <c r="J13" s="32" t="n">
        <f aca="false">IF(L13&gt;0,L13,0)</f>
        <v>21.6823040080665</v>
      </c>
      <c r="K13" s="7" t="n">
        <f aca="false">I13+J13</f>
        <v>141.782304008067</v>
      </c>
      <c r="L13" s="7" t="n">
        <f aca="false">F13-(I13-W13)</f>
        <v>21.6823040080665</v>
      </c>
      <c r="M13" s="7" t="n">
        <v>23</v>
      </c>
      <c r="N13" s="7" t="n">
        <f aca="false">(2.23+3.91)*1.05</f>
        <v>6.447</v>
      </c>
      <c r="O13" s="7" t="n">
        <f aca="false">M13-N13</f>
        <v>16.553</v>
      </c>
      <c r="P13" s="7" t="n">
        <v>0</v>
      </c>
      <c r="Q13" s="7" t="n">
        <v>8.2</v>
      </c>
      <c r="R13" s="7" t="n">
        <f aca="false">SUM(O13:Q13)</f>
        <v>24.753</v>
      </c>
      <c r="S13" s="8"/>
      <c r="T13" s="7" t="n">
        <v>0</v>
      </c>
      <c r="U13" s="7" t="n">
        <v>40</v>
      </c>
      <c r="V13" s="8" t="n">
        <f aca="false">V12-U13</f>
        <v>5966</v>
      </c>
      <c r="W13" s="7" t="n">
        <f aca="false">N13+R13+T13+U13</f>
        <v>71.2</v>
      </c>
      <c r="X13" s="7" t="n">
        <f aca="false">IF(L13&lt;0,L13*-1,0)</f>
        <v>0</v>
      </c>
      <c r="Y13" s="7" t="n">
        <f aca="false">W13+X13</f>
        <v>71.2</v>
      </c>
      <c r="Z13" s="11" t="n">
        <v>0</v>
      </c>
      <c r="AA13" s="12" t="n">
        <v>53</v>
      </c>
      <c r="AB13" s="12" t="n">
        <v>22</v>
      </c>
      <c r="AC13" s="13" t="n">
        <f aca="false">AC12+1</f>
        <v>4</v>
      </c>
    </row>
    <row r="14" customFormat="false" ht="11.1" hidden="false" customHeight="true" outlineLevel="0" collapsed="false">
      <c r="A14" s="13" t="n">
        <f aca="false">A13+1</f>
        <v>5</v>
      </c>
      <c r="B14" s="31" t="n">
        <v>6893.11</v>
      </c>
      <c r="C14" s="8" t="n">
        <v>258854</v>
      </c>
      <c r="D14" s="12" t="n">
        <f aca="false">C14-C13</f>
        <v>0</v>
      </c>
      <c r="E14" s="8" t="n">
        <f aca="false">C14-152000</f>
        <v>106854</v>
      </c>
      <c r="F14" s="7" t="n">
        <f aca="false">D14/$D$2</f>
        <v>0</v>
      </c>
      <c r="G14" s="7" t="n">
        <v>101</v>
      </c>
      <c r="H14" s="9" t="n">
        <v>1.8</v>
      </c>
      <c r="I14" s="7" t="n">
        <f aca="false">G14+H14</f>
        <v>102.8</v>
      </c>
      <c r="J14" s="32" t="n">
        <f aca="false">IF(L14&gt;0,L14,0)</f>
        <v>0</v>
      </c>
      <c r="K14" s="7" t="n">
        <f aca="false">I14+J14</f>
        <v>102.8</v>
      </c>
      <c r="L14" s="7" t="n">
        <f aca="false">F14-(I14-W14)</f>
        <v>-31.4</v>
      </c>
      <c r="M14" s="7" t="n">
        <v>22</v>
      </c>
      <c r="N14" s="7" t="n">
        <f aca="false">(5.84+5.68)*1.05</f>
        <v>12.096</v>
      </c>
      <c r="O14" s="7" t="n">
        <f aca="false">M14-N14</f>
        <v>9.904</v>
      </c>
      <c r="P14" s="7" t="n">
        <v>0</v>
      </c>
      <c r="Q14" s="7" t="n">
        <v>8.4</v>
      </c>
      <c r="R14" s="7" t="n">
        <f aca="false">SUM(O14:Q14)</f>
        <v>18.304</v>
      </c>
      <c r="S14" s="8"/>
      <c r="T14" s="7" t="n">
        <v>0</v>
      </c>
      <c r="U14" s="7" t="n">
        <v>41</v>
      </c>
      <c r="V14" s="8" t="n">
        <f aca="false">V13-U14</f>
        <v>5925</v>
      </c>
      <c r="W14" s="7" t="n">
        <f aca="false">N14+R14+T14+U14</f>
        <v>71.4</v>
      </c>
      <c r="X14" s="7" t="n">
        <f aca="false">IF(L14&lt;0,L14*-1,0)</f>
        <v>31.4</v>
      </c>
      <c r="Y14" s="7" t="n">
        <f aca="false">W14+X14</f>
        <v>102.8</v>
      </c>
      <c r="Z14" s="11" t="n">
        <v>0</v>
      </c>
      <c r="AA14" s="12" t="n">
        <v>48</v>
      </c>
      <c r="AB14" s="12" t="n">
        <v>24</v>
      </c>
      <c r="AC14" s="13" t="n">
        <f aca="false">AC13+1</f>
        <v>5</v>
      </c>
    </row>
    <row r="15" customFormat="false" ht="11.1" hidden="false" customHeight="true" outlineLevel="0" collapsed="false">
      <c r="A15" s="13" t="n">
        <f aca="false">A14+1</f>
        <v>6</v>
      </c>
      <c r="B15" s="31" t="n">
        <v>6893.11</v>
      </c>
      <c r="C15" s="8" t="n">
        <v>258854</v>
      </c>
      <c r="D15" s="12" t="n">
        <f aca="false">C15-C14</f>
        <v>0</v>
      </c>
      <c r="E15" s="8" t="n">
        <f aca="false">C15-152000</f>
        <v>106854</v>
      </c>
      <c r="F15" s="7" t="n">
        <f aca="false">D15/$D$2</f>
        <v>0</v>
      </c>
      <c r="G15" s="7" t="n">
        <v>115</v>
      </c>
      <c r="H15" s="9" t="n">
        <v>1.6</v>
      </c>
      <c r="I15" s="7" t="n">
        <f aca="false">G15+H15</f>
        <v>116.6</v>
      </c>
      <c r="J15" s="32" t="n">
        <f aca="false">IF(L15&gt;0,L15,0)</f>
        <v>0</v>
      </c>
      <c r="K15" s="7" t="n">
        <f aca="false">I15+J15</f>
        <v>116.6</v>
      </c>
      <c r="L15" s="7" t="n">
        <f aca="false">F15-(I15-W15)</f>
        <v>-46.2</v>
      </c>
      <c r="M15" s="7" t="n">
        <v>22</v>
      </c>
      <c r="N15" s="7" t="n">
        <f aca="false">(6.73+5.81)*1.05</f>
        <v>13.167</v>
      </c>
      <c r="O15" s="7" t="n">
        <f aca="false">M15-N15</f>
        <v>8.833</v>
      </c>
      <c r="P15" s="7" t="n">
        <v>0</v>
      </c>
      <c r="Q15" s="7" t="n">
        <v>8.4</v>
      </c>
      <c r="R15" s="7" t="n">
        <f aca="false">SUM(O15:Q15)</f>
        <v>17.233</v>
      </c>
      <c r="S15" s="8"/>
      <c r="T15" s="7" t="n">
        <v>0</v>
      </c>
      <c r="U15" s="7" t="n">
        <v>40</v>
      </c>
      <c r="V15" s="8" t="n">
        <f aca="false">V14-U15</f>
        <v>5885</v>
      </c>
      <c r="W15" s="7" t="n">
        <f aca="false">N15+R15+T15+U15</f>
        <v>70.4</v>
      </c>
      <c r="X15" s="7" t="n">
        <f aca="false">IF(L15&lt;0,L15*-1,0)</f>
        <v>46.2</v>
      </c>
      <c r="Y15" s="7" t="n">
        <f aca="false">W15+X15</f>
        <v>116.6</v>
      </c>
      <c r="Z15" s="11" t="n">
        <v>0.08</v>
      </c>
      <c r="AA15" s="12" t="n">
        <v>50</v>
      </c>
      <c r="AB15" s="12" t="n">
        <v>24</v>
      </c>
      <c r="AC15" s="13" t="n">
        <f aca="false">AC14+1</f>
        <v>6</v>
      </c>
    </row>
    <row r="16" customFormat="false" ht="11.1" hidden="false" customHeight="true" outlineLevel="0" collapsed="false">
      <c r="A16" s="13" t="n">
        <f aca="false">A15+1</f>
        <v>7</v>
      </c>
      <c r="B16" s="31" t="n">
        <v>6893.11</v>
      </c>
      <c r="C16" s="8" t="n">
        <v>258854</v>
      </c>
      <c r="D16" s="12" t="n">
        <f aca="false">C16-C15</f>
        <v>0</v>
      </c>
      <c r="E16" s="8" t="n">
        <f aca="false">C16-152000</f>
        <v>106854</v>
      </c>
      <c r="F16" s="7" t="n">
        <f aca="false">D16/$D$2</f>
        <v>0</v>
      </c>
      <c r="G16" s="7" t="n">
        <v>112</v>
      </c>
      <c r="H16" s="9" t="n">
        <v>1.8</v>
      </c>
      <c r="I16" s="7" t="n">
        <f aca="false">G16+H16</f>
        <v>113.8</v>
      </c>
      <c r="J16" s="32" t="n">
        <f aca="false">IF(L16&gt;0,L16,0)</f>
        <v>0</v>
      </c>
      <c r="K16" s="7" t="n">
        <f aca="false">I16+J16</f>
        <v>113.8</v>
      </c>
      <c r="L16" s="7" t="n">
        <f aca="false">F16-(I16-W16)</f>
        <v>-43.5</v>
      </c>
      <c r="M16" s="7" t="n">
        <v>22</v>
      </c>
      <c r="N16" s="7" t="n">
        <f aca="false">(3.38+2.87)*1.05</f>
        <v>6.5625</v>
      </c>
      <c r="O16" s="7" t="n">
        <f aca="false">M16-N16</f>
        <v>15.4375</v>
      </c>
      <c r="P16" s="7" t="n">
        <v>0</v>
      </c>
      <c r="Q16" s="7" t="n">
        <v>8.3</v>
      </c>
      <c r="R16" s="7" t="n">
        <f aca="false">SUM(O16:Q16)</f>
        <v>23.7375</v>
      </c>
      <c r="S16" s="8"/>
      <c r="T16" s="7" t="n">
        <v>0</v>
      </c>
      <c r="U16" s="7" t="n">
        <v>40</v>
      </c>
      <c r="V16" s="8" t="n">
        <f aca="false">V15-U16</f>
        <v>5845</v>
      </c>
      <c r="W16" s="7" t="n">
        <f aca="false">N16+R16+T16+U16</f>
        <v>70.3</v>
      </c>
      <c r="X16" s="7" t="n">
        <f aca="false">IF(L16&lt;0,L16*-1,0)</f>
        <v>43.5</v>
      </c>
      <c r="Y16" s="7" t="n">
        <f aca="false">W16+X16</f>
        <v>113.8</v>
      </c>
      <c r="Z16" s="11" t="n">
        <v>0.04</v>
      </c>
      <c r="AA16" s="12" t="n">
        <v>46</v>
      </c>
      <c r="AB16" s="12" t="n">
        <v>24</v>
      </c>
      <c r="AC16" s="13" t="n">
        <f aca="false">AC15+1</f>
        <v>7</v>
      </c>
    </row>
    <row r="17" customFormat="false" ht="11.1" hidden="false" customHeight="true" outlineLevel="0" collapsed="false">
      <c r="A17" s="13" t="n">
        <f aca="false">A16+1</f>
        <v>8</v>
      </c>
      <c r="B17" s="31" t="n">
        <v>6893.29</v>
      </c>
      <c r="C17" s="8" t="n">
        <v>259483</v>
      </c>
      <c r="D17" s="12" t="n">
        <f aca="false">C17-C16</f>
        <v>629</v>
      </c>
      <c r="E17" s="8" t="n">
        <f aca="false">C17-152000</f>
        <v>107483</v>
      </c>
      <c r="F17" s="7" t="n">
        <f aca="false">D17/$D$2</f>
        <v>317.116208721956</v>
      </c>
      <c r="G17" s="7" t="n">
        <v>115</v>
      </c>
      <c r="H17" s="9" t="n">
        <v>1.9</v>
      </c>
      <c r="I17" s="7" t="n">
        <f aca="false">G17+H17</f>
        <v>116.9</v>
      </c>
      <c r="J17" s="32" t="n">
        <f aca="false">IF(L17&gt;0,L17,0)</f>
        <v>270.716208721956</v>
      </c>
      <c r="K17" s="7" t="n">
        <f aca="false">I17+J17</f>
        <v>387.616208721956</v>
      </c>
      <c r="L17" s="7" t="n">
        <f aca="false">F17-(I17-W17)</f>
        <v>270.716208721956</v>
      </c>
      <c r="M17" s="7" t="n">
        <v>22</v>
      </c>
      <c r="N17" s="7" t="n">
        <f aca="false">(1.3+1.11)*1.05</f>
        <v>2.5305</v>
      </c>
      <c r="O17" s="7" t="n">
        <f aca="false">M17-N17</f>
        <v>19.4695</v>
      </c>
      <c r="P17" s="7" t="n">
        <v>0</v>
      </c>
      <c r="Q17" s="7" t="n">
        <v>8.5</v>
      </c>
      <c r="R17" s="7" t="n">
        <f aca="false">SUM(O17:Q17)</f>
        <v>27.9695</v>
      </c>
      <c r="S17" s="8"/>
      <c r="T17" s="7" t="n">
        <v>0</v>
      </c>
      <c r="U17" s="7" t="n">
        <v>40</v>
      </c>
      <c r="V17" s="8" t="n">
        <f aca="false">V16-U17</f>
        <v>5805</v>
      </c>
      <c r="W17" s="7" t="n">
        <f aca="false">N17+R17+T17+U17</f>
        <v>70.5</v>
      </c>
      <c r="X17" s="7" t="n">
        <f aca="false">IF(L17&lt;0,L17*-1,0)</f>
        <v>0</v>
      </c>
      <c r="Y17" s="7" t="n">
        <f aca="false">W17+X17</f>
        <v>70.5</v>
      </c>
      <c r="Z17" s="11" t="n">
        <v>1.51</v>
      </c>
      <c r="AA17" s="12" t="n">
        <v>42</v>
      </c>
      <c r="AB17" s="12" t="n">
        <v>29</v>
      </c>
      <c r="AC17" s="13" t="n">
        <f aca="false">AC16+1</f>
        <v>8</v>
      </c>
    </row>
    <row r="18" customFormat="false" ht="11.1" hidden="false" customHeight="true" outlineLevel="0" collapsed="false">
      <c r="A18" s="13" t="n">
        <f aca="false">A17+1</f>
        <v>9</v>
      </c>
      <c r="B18" s="31" t="n">
        <v>6893.32</v>
      </c>
      <c r="C18" s="8" t="n">
        <v>259588</v>
      </c>
      <c r="D18" s="12" t="n">
        <f aca="false">C18-C17</f>
        <v>105</v>
      </c>
      <c r="E18" s="8" t="n">
        <f aca="false">C18-152000</f>
        <v>107588</v>
      </c>
      <c r="F18" s="7" t="n">
        <f aca="false">D18/$D$2</f>
        <v>52.9367280060499</v>
      </c>
      <c r="G18" s="7" t="n">
        <v>104</v>
      </c>
      <c r="H18" s="9" t="n">
        <v>2.6</v>
      </c>
      <c r="I18" s="7" t="n">
        <f aca="false">G18+H18</f>
        <v>106.6</v>
      </c>
      <c r="J18" s="32" t="n">
        <f aca="false">IF(L18&gt;0,L18,0)</f>
        <v>0</v>
      </c>
      <c r="K18" s="7" t="n">
        <f aca="false">I18+J18</f>
        <v>106.6</v>
      </c>
      <c r="L18" s="7" t="n">
        <f aca="false">F18-(I18-W18)</f>
        <v>-0.46327199395008</v>
      </c>
      <c r="M18" s="7" t="n">
        <v>9.3</v>
      </c>
      <c r="N18" s="7" t="n">
        <v>0</v>
      </c>
      <c r="O18" s="7" t="n">
        <f aca="false">M18-N18</f>
        <v>9.3</v>
      </c>
      <c r="P18" s="7" t="n">
        <v>0</v>
      </c>
      <c r="Q18" s="7" t="n">
        <v>3.9</v>
      </c>
      <c r="R18" s="7" t="n">
        <f aca="false">SUM(O18:Q18)</f>
        <v>13.2</v>
      </c>
      <c r="S18" s="8"/>
      <c r="T18" s="7" t="n">
        <v>0</v>
      </c>
      <c r="U18" s="7" t="n">
        <v>40</v>
      </c>
      <c r="V18" s="8" t="n">
        <f aca="false">V17-U18</f>
        <v>5765</v>
      </c>
      <c r="W18" s="7" t="n">
        <f aca="false">N18+R18+T18+U18</f>
        <v>53.2</v>
      </c>
      <c r="X18" s="7" t="n">
        <f aca="false">IF(L18&lt;0,L18*-1,0)</f>
        <v>0.46327199395008</v>
      </c>
      <c r="Y18" s="7" t="n">
        <f aca="false">W18+X18</f>
        <v>53.6632719939501</v>
      </c>
      <c r="Z18" s="11" t="n">
        <v>0.1</v>
      </c>
      <c r="AA18" s="41" t="n">
        <v>32</v>
      </c>
      <c r="AB18" s="12" t="n">
        <v>18</v>
      </c>
      <c r="AC18" s="13" t="n">
        <f aca="false">AC17+1</f>
        <v>9</v>
      </c>
    </row>
    <row r="19" customFormat="false" ht="11.1" hidden="false" customHeight="true" outlineLevel="0" collapsed="false">
      <c r="A19" s="13" t="n">
        <f aca="false">A18+1</f>
        <v>10</v>
      </c>
      <c r="B19" s="31" t="n">
        <v>6893.36</v>
      </c>
      <c r="C19" s="8" t="n">
        <v>259728</v>
      </c>
      <c r="D19" s="12" t="n">
        <f aca="false">C19-C18</f>
        <v>140</v>
      </c>
      <c r="E19" s="8" t="n">
        <f aca="false">C19-152000</f>
        <v>107728</v>
      </c>
      <c r="F19" s="7" t="n">
        <f aca="false">D19/$D$2</f>
        <v>70.5823040080665</v>
      </c>
      <c r="G19" s="7" t="n">
        <v>105</v>
      </c>
      <c r="H19" s="9" t="n">
        <v>1.8</v>
      </c>
      <c r="I19" s="7" t="n">
        <f aca="false">G19+H19</f>
        <v>106.8</v>
      </c>
      <c r="J19" s="32" t="n">
        <f aca="false">IF(L19&gt;0,L19,0)</f>
        <v>10.1823040080665</v>
      </c>
      <c r="K19" s="7" t="n">
        <f aca="false">I19+J19</f>
        <v>116.982304008067</v>
      </c>
      <c r="L19" s="7" t="n">
        <f aca="false">F19-(I19-W19)</f>
        <v>10.1823040080665</v>
      </c>
      <c r="M19" s="7" t="n">
        <v>4.5</v>
      </c>
      <c r="N19" s="7" t="n">
        <v>0</v>
      </c>
      <c r="O19" s="7" t="n">
        <f aca="false">M19-N19</f>
        <v>4.5</v>
      </c>
      <c r="P19" s="7" t="n">
        <v>0</v>
      </c>
      <c r="Q19" s="7" t="n">
        <v>1.9</v>
      </c>
      <c r="R19" s="7" t="n">
        <f aca="false">SUM(O19:Q19)</f>
        <v>6.4</v>
      </c>
      <c r="S19" s="8"/>
      <c r="T19" s="7" t="n">
        <v>0</v>
      </c>
      <c r="U19" s="7" t="n">
        <v>40</v>
      </c>
      <c r="V19" s="8" t="n">
        <f aca="false">V18-U19</f>
        <v>5725</v>
      </c>
      <c r="W19" s="7" t="n">
        <f aca="false">N19+R19+T19+U19</f>
        <v>46.4</v>
      </c>
      <c r="X19" s="7" t="n">
        <f aca="false">IF(L19&lt;0,L19*-1,0)</f>
        <v>0</v>
      </c>
      <c r="Y19" s="7" t="n">
        <f aca="false">W19+X19</f>
        <v>46.4</v>
      </c>
      <c r="Z19" s="11" t="n">
        <v>0</v>
      </c>
      <c r="AA19" s="12" t="n">
        <v>38</v>
      </c>
      <c r="AB19" s="12" t="n">
        <v>4</v>
      </c>
      <c r="AC19" s="13" t="n">
        <f aca="false">AC18+1</f>
        <v>10</v>
      </c>
    </row>
    <row r="20" customFormat="false" ht="11.1" hidden="false" customHeight="true" outlineLevel="0" collapsed="false">
      <c r="A20" s="13" t="n">
        <f aca="false">A19+1</f>
        <v>11</v>
      </c>
      <c r="B20" s="31" t="n">
        <v>6893.37</v>
      </c>
      <c r="C20" s="8" t="n">
        <v>259763</v>
      </c>
      <c r="D20" s="12" t="n">
        <f aca="false">C20-C19</f>
        <v>35</v>
      </c>
      <c r="E20" s="8" t="n">
        <f aca="false">C20-152000</f>
        <v>107763</v>
      </c>
      <c r="F20" s="7" t="n">
        <f aca="false">D20/$D$2</f>
        <v>17.6455760020166</v>
      </c>
      <c r="G20" s="7" t="n">
        <v>105</v>
      </c>
      <c r="H20" s="9" t="n">
        <v>1.8</v>
      </c>
      <c r="I20" s="7" t="n">
        <f aca="false">G20+H20</f>
        <v>106.8</v>
      </c>
      <c r="J20" s="32" t="n">
        <f aca="false">IF(L20&gt;0,L20,0)</f>
        <v>0</v>
      </c>
      <c r="K20" s="7" t="n">
        <f aca="false">I20+J20</f>
        <v>106.8</v>
      </c>
      <c r="L20" s="7" t="n">
        <f aca="false">F20-(I20-W20)</f>
        <v>-43.0544239979834</v>
      </c>
      <c r="M20" s="7" t="n">
        <v>4.1</v>
      </c>
      <c r="N20" s="7" t="n">
        <v>0</v>
      </c>
      <c r="O20" s="7" t="n">
        <f aca="false">M20-N20</f>
        <v>4.1</v>
      </c>
      <c r="P20" s="7" t="n">
        <v>0</v>
      </c>
      <c r="Q20" s="7" t="n">
        <v>2</v>
      </c>
      <c r="R20" s="7" t="n">
        <f aca="false">SUM(O20:Q20)</f>
        <v>6.1</v>
      </c>
      <c r="S20" s="8"/>
      <c r="T20" s="7" t="n">
        <v>0</v>
      </c>
      <c r="U20" s="7" t="n">
        <v>40</v>
      </c>
      <c r="V20" s="8" t="n">
        <f aca="false">V19-U20</f>
        <v>5685</v>
      </c>
      <c r="W20" s="7" t="n">
        <f aca="false">N20+R20+T20+U20</f>
        <v>46.1</v>
      </c>
      <c r="X20" s="7" t="n">
        <f aca="false">IF(L20&lt;0,L20*-1,0)</f>
        <v>43.0544239979834</v>
      </c>
      <c r="Y20" s="7" t="n">
        <f aca="false">W20+X20</f>
        <v>89.1544239979834</v>
      </c>
      <c r="Z20" s="11" t="n">
        <v>0.07</v>
      </c>
      <c r="AA20" s="12" t="n">
        <v>38</v>
      </c>
      <c r="AB20" s="12" t="n">
        <v>14</v>
      </c>
      <c r="AC20" s="13" t="n">
        <f aca="false">AC19+1</f>
        <v>11</v>
      </c>
    </row>
    <row r="21" customFormat="false" ht="11.1" hidden="false" customHeight="true" outlineLevel="0" collapsed="false">
      <c r="A21" s="13" t="n">
        <f aca="false">A20+1</f>
        <v>12</v>
      </c>
      <c r="B21" s="31" t="n">
        <v>6893.44</v>
      </c>
      <c r="C21" s="8" t="n">
        <v>260008</v>
      </c>
      <c r="D21" s="12" t="n">
        <f aca="false">C21-C20</f>
        <v>245</v>
      </c>
      <c r="E21" s="8" t="n">
        <f aca="false">C21-152000</f>
        <v>108008</v>
      </c>
      <c r="F21" s="7" t="n">
        <f aca="false">D21/$D$2</f>
        <v>123.519032014116</v>
      </c>
      <c r="G21" s="7" t="n">
        <v>122</v>
      </c>
      <c r="H21" s="9" t="n">
        <v>2.4</v>
      </c>
      <c r="I21" s="7" t="n">
        <f aca="false">G21+H21</f>
        <v>124.4</v>
      </c>
      <c r="J21" s="32" t="n">
        <f aca="false">IF(L21&gt;0,L21,0)</f>
        <v>44.5190320141165</v>
      </c>
      <c r="K21" s="7" t="n">
        <f aca="false">I21+J21</f>
        <v>168.919032014116</v>
      </c>
      <c r="L21" s="7" t="n">
        <f aca="false">F21-(I21-W21)</f>
        <v>44.5190320141165</v>
      </c>
      <c r="M21" s="7" t="n">
        <v>3.8</v>
      </c>
      <c r="N21" s="7" t="n">
        <v>0</v>
      </c>
      <c r="O21" s="7" t="n">
        <f aca="false">M21-N21</f>
        <v>3.8</v>
      </c>
      <c r="P21" s="7" t="n">
        <v>0</v>
      </c>
      <c r="Q21" s="7" t="n">
        <v>0.6</v>
      </c>
      <c r="R21" s="7" t="n">
        <f aca="false">SUM(O21:Q21)</f>
        <v>4.4</v>
      </c>
      <c r="S21" s="8"/>
      <c r="T21" s="7" t="n">
        <v>0</v>
      </c>
      <c r="U21" s="7" t="n">
        <v>41</v>
      </c>
      <c r="V21" s="8" t="n">
        <f aca="false">V20-U21</f>
        <v>5644</v>
      </c>
      <c r="W21" s="7" t="n">
        <f aca="false">N21+R21+T21+U21</f>
        <v>45.4</v>
      </c>
      <c r="X21" s="7" t="n">
        <f aca="false">IF(L21&lt;0,L21*-1,0)</f>
        <v>0</v>
      </c>
      <c r="Y21" s="7" t="n">
        <f aca="false">W21+X21</f>
        <v>45.4</v>
      </c>
      <c r="Z21" s="11" t="n">
        <v>0</v>
      </c>
      <c r="AA21" s="12" t="n">
        <v>57</v>
      </c>
      <c r="AB21" s="12" t="n">
        <v>24</v>
      </c>
      <c r="AC21" s="13" t="n">
        <f aca="false">AC20+1</f>
        <v>12</v>
      </c>
    </row>
    <row r="22" customFormat="false" ht="11.1" hidden="false" customHeight="true" outlineLevel="0" collapsed="false">
      <c r="A22" s="13" t="n">
        <f aca="false">A21+1</f>
        <v>13</v>
      </c>
      <c r="B22" s="31" t="n">
        <v>6893.5</v>
      </c>
      <c r="C22" s="8" t="n">
        <v>260218</v>
      </c>
      <c r="D22" s="12" t="n">
        <f aca="false">C22-C21</f>
        <v>210</v>
      </c>
      <c r="E22" s="8" t="n">
        <f aca="false">C22-152000</f>
        <v>108218</v>
      </c>
      <c r="F22" s="7" t="n">
        <f aca="false">D22/$D$2</f>
        <v>105.8734560121</v>
      </c>
      <c r="G22" s="7" t="n">
        <v>114</v>
      </c>
      <c r="H22" s="9" t="n">
        <v>2.5</v>
      </c>
      <c r="I22" s="7" t="n">
        <f aca="false">G22+H22</f>
        <v>116.5</v>
      </c>
      <c r="J22" s="32" t="n">
        <f aca="false">IF(L22&gt;0,L22,0)</f>
        <v>34.0734560120998</v>
      </c>
      <c r="K22" s="7" t="n">
        <f aca="false">I22+J22</f>
        <v>150.5734560121</v>
      </c>
      <c r="L22" s="7" t="n">
        <f aca="false">F22-(I22-W22)</f>
        <v>34.0734560120998</v>
      </c>
      <c r="M22" s="7" t="n">
        <v>4.7</v>
      </c>
      <c r="N22" s="7" t="n">
        <v>0</v>
      </c>
      <c r="O22" s="7" t="n">
        <f aca="false">M22-N22</f>
        <v>4.7</v>
      </c>
      <c r="P22" s="7" t="n">
        <v>0</v>
      </c>
      <c r="Q22" s="7" t="n">
        <v>0</v>
      </c>
      <c r="R22" s="7" t="n">
        <f aca="false">SUM(O22:Q22)</f>
        <v>4.7</v>
      </c>
      <c r="S22" s="8"/>
      <c r="T22" s="7" t="n">
        <v>0</v>
      </c>
      <c r="U22" s="7" t="n">
        <v>40</v>
      </c>
      <c r="V22" s="8" t="n">
        <f aca="false">V21-U22</f>
        <v>5604</v>
      </c>
      <c r="W22" s="7" t="n">
        <f aca="false">N22+R22+T22+U22</f>
        <v>44.7</v>
      </c>
      <c r="X22" s="7" t="n">
        <f aca="false">IF(L22&lt;0,L22*-1,0)</f>
        <v>0</v>
      </c>
      <c r="Y22" s="7" t="n">
        <f aca="false">W22+X22</f>
        <v>44.7</v>
      </c>
      <c r="Z22" s="11" t="n">
        <v>0</v>
      </c>
      <c r="AA22" s="12" t="n">
        <v>48</v>
      </c>
      <c r="AB22" s="12" t="n">
        <v>23</v>
      </c>
      <c r="AC22" s="13" t="n">
        <f aca="false">AC21+1</f>
        <v>13</v>
      </c>
    </row>
    <row r="23" customFormat="false" ht="11.1" hidden="false" customHeight="true" outlineLevel="0" collapsed="false">
      <c r="A23" s="13" t="n">
        <f aca="false">A22+1</f>
        <v>14</v>
      </c>
      <c r="B23" s="31" t="n">
        <v>6893.56</v>
      </c>
      <c r="C23" s="8" t="n">
        <v>260428</v>
      </c>
      <c r="D23" s="12" t="n">
        <f aca="false">C23-C22</f>
        <v>210</v>
      </c>
      <c r="E23" s="8" t="n">
        <f aca="false">C23-152000</f>
        <v>108428</v>
      </c>
      <c r="F23" s="7" t="n">
        <f aca="false">D23/$D$2</f>
        <v>105.8734560121</v>
      </c>
      <c r="G23" s="7" t="n">
        <v>120</v>
      </c>
      <c r="H23" s="9" t="n">
        <v>2.6</v>
      </c>
      <c r="I23" s="7" t="n">
        <f aca="false">G23+H23</f>
        <v>122.6</v>
      </c>
      <c r="J23" s="32" t="n">
        <f aca="false">IF(L23&gt;0,L23,0)</f>
        <v>28.3734560120998</v>
      </c>
      <c r="K23" s="7" t="n">
        <f aca="false">I23+J23</f>
        <v>150.9734560121</v>
      </c>
      <c r="L23" s="7" t="n">
        <f aca="false">F23-(I23-W23)</f>
        <v>28.3734560120998</v>
      </c>
      <c r="M23" s="7" t="n">
        <v>5.1</v>
      </c>
      <c r="N23" s="7" t="n">
        <v>0</v>
      </c>
      <c r="O23" s="7" t="n">
        <f aca="false">M23-N23</f>
        <v>5.1</v>
      </c>
      <c r="P23" s="7" t="n">
        <v>0</v>
      </c>
      <c r="Q23" s="7" t="n">
        <v>0</v>
      </c>
      <c r="R23" s="7" t="n">
        <f aca="false">SUM(O23:Q23)</f>
        <v>5.1</v>
      </c>
      <c r="S23" s="8"/>
      <c r="T23" s="7" t="n">
        <v>0</v>
      </c>
      <c r="U23" s="7" t="n">
        <v>40</v>
      </c>
      <c r="V23" s="8" t="n">
        <f aca="false">V22-U23</f>
        <v>5564</v>
      </c>
      <c r="W23" s="7" t="n">
        <f aca="false">N23+R23+T23+U23</f>
        <v>45.1</v>
      </c>
      <c r="X23" s="7" t="n">
        <f aca="false">IF(L23&lt;0,L23*-1,0)</f>
        <v>0</v>
      </c>
      <c r="Y23" s="7" t="n">
        <f aca="false">W23+X23</f>
        <v>45.1</v>
      </c>
      <c r="Z23" s="11" t="n">
        <v>0</v>
      </c>
      <c r="AA23" s="41" t="n">
        <v>62</v>
      </c>
      <c r="AB23" s="12" t="n">
        <v>25</v>
      </c>
      <c r="AC23" s="13" t="n">
        <f aca="false">AC22+1</f>
        <v>14</v>
      </c>
    </row>
    <row r="24" customFormat="false" ht="11.1" hidden="false" customHeight="true" outlineLevel="0" collapsed="false">
      <c r="A24" s="13" t="n">
        <f aca="false">A23+1</f>
        <v>15</v>
      </c>
      <c r="B24" s="31" t="n">
        <v>6893.62</v>
      </c>
      <c r="C24" s="8" t="n">
        <v>260638</v>
      </c>
      <c r="D24" s="12" t="n">
        <f aca="false">C24-C23</f>
        <v>210</v>
      </c>
      <c r="E24" s="8" t="n">
        <f aca="false">C24-152000</f>
        <v>108638</v>
      </c>
      <c r="F24" s="7" t="n">
        <f aca="false">D24/$D$2</f>
        <v>105.8734560121</v>
      </c>
      <c r="G24" s="7" t="n">
        <v>128</v>
      </c>
      <c r="H24" s="9" t="n">
        <v>2.7</v>
      </c>
      <c r="I24" s="7" t="n">
        <f aca="false">G24</f>
        <v>128</v>
      </c>
      <c r="J24" s="32" t="n">
        <f aca="false">IF(L24&gt;0,L24,0)</f>
        <v>22.9734560120998</v>
      </c>
      <c r="K24" s="7" t="n">
        <f aca="false">I24+J24</f>
        <v>150.9734560121</v>
      </c>
      <c r="L24" s="7" t="n">
        <f aca="false">F24-(I24-W24)</f>
        <v>22.9734560120998</v>
      </c>
      <c r="M24" s="7" t="n">
        <v>5.1</v>
      </c>
      <c r="N24" s="7" t="n">
        <v>0</v>
      </c>
      <c r="O24" s="7" t="n">
        <f aca="false">M24-N24</f>
        <v>5.1</v>
      </c>
      <c r="P24" s="7" t="n">
        <v>0</v>
      </c>
      <c r="Q24" s="7" t="n">
        <v>0</v>
      </c>
      <c r="R24" s="7" t="n">
        <f aca="false">SUM(O24:Q24)</f>
        <v>5.1</v>
      </c>
      <c r="S24" s="8"/>
      <c r="T24" s="7" t="n">
        <v>0</v>
      </c>
      <c r="U24" s="7" t="n">
        <v>40</v>
      </c>
      <c r="V24" s="8" t="n">
        <f aca="false">V23-U24</f>
        <v>5524</v>
      </c>
      <c r="W24" s="7" t="n">
        <f aca="false">N24+R24+T24+U24</f>
        <v>45.1</v>
      </c>
      <c r="X24" s="7" t="n">
        <f aca="false">IF(L24&lt;0,L24*-1,0)</f>
        <v>0</v>
      </c>
      <c r="Y24" s="7" t="n">
        <f aca="false">W24+X24</f>
        <v>45.1</v>
      </c>
      <c r="Z24" s="11" t="n">
        <v>0</v>
      </c>
      <c r="AA24" s="41" t="n">
        <v>64</v>
      </c>
      <c r="AB24" s="12" t="n">
        <v>29</v>
      </c>
      <c r="AC24" s="13" t="n">
        <f aca="false">AC23+1</f>
        <v>15</v>
      </c>
    </row>
    <row r="25" customFormat="false" ht="11.1" hidden="false" customHeight="true" outlineLevel="0" collapsed="false">
      <c r="A25" s="13" t="n">
        <f aca="false">A24+1</f>
        <v>16</v>
      </c>
      <c r="B25" s="31" t="n">
        <v>6893.66</v>
      </c>
      <c r="C25" s="8" t="n">
        <v>260778</v>
      </c>
      <c r="D25" s="12" t="n">
        <f aca="false">C25-C24</f>
        <v>140</v>
      </c>
      <c r="E25" s="8" t="n">
        <f aca="false">C25-152000</f>
        <v>108778</v>
      </c>
      <c r="F25" s="7" t="n">
        <f aca="false">D25/$D$2</f>
        <v>70.5823040080665</v>
      </c>
      <c r="G25" s="7" t="n">
        <v>131</v>
      </c>
      <c r="H25" s="9" t="n">
        <v>2.8</v>
      </c>
      <c r="I25" s="7" t="n">
        <f aca="false">G25+H25</f>
        <v>133.8</v>
      </c>
      <c r="J25" s="32" t="n">
        <f aca="false">IF(L25&gt;0,L25,0)</f>
        <v>0</v>
      </c>
      <c r="K25" s="7" t="n">
        <f aca="false">I25+J25</f>
        <v>133.8</v>
      </c>
      <c r="L25" s="7" t="n">
        <f aca="false">F25-(I25-W25)</f>
        <v>-18.6176959919335</v>
      </c>
      <c r="M25" s="7" t="n">
        <v>4.6</v>
      </c>
      <c r="N25" s="7" t="n">
        <v>0</v>
      </c>
      <c r="O25" s="7" t="n">
        <f aca="false">M25-N25</f>
        <v>4.6</v>
      </c>
      <c r="P25" s="7" t="n">
        <v>0</v>
      </c>
      <c r="Q25" s="7" t="n">
        <v>0</v>
      </c>
      <c r="R25" s="7" t="n">
        <f aca="false">SUM(O25:Q25)</f>
        <v>4.6</v>
      </c>
      <c r="S25" s="8"/>
      <c r="T25" s="7" t="n">
        <v>0</v>
      </c>
      <c r="U25" s="7" t="n">
        <v>40</v>
      </c>
      <c r="V25" s="8" t="n">
        <f aca="false">V24-U25</f>
        <v>5484</v>
      </c>
      <c r="W25" s="7" t="n">
        <f aca="false">N25+R25+T25+U25</f>
        <v>44.6</v>
      </c>
      <c r="X25" s="7" t="n">
        <f aca="false">IF(L25&lt;0,L25*-1,0)</f>
        <v>18.6176959919335</v>
      </c>
      <c r="Y25" s="7" t="n">
        <f aca="false">W25+X25</f>
        <v>63.2176959919335</v>
      </c>
      <c r="Z25" s="11" t="n">
        <v>0</v>
      </c>
      <c r="AA25" s="41" t="n">
        <v>61</v>
      </c>
      <c r="AB25" s="12" t="n">
        <v>27</v>
      </c>
      <c r="AC25" s="13" t="n">
        <f aca="false">AC24+1</f>
        <v>16</v>
      </c>
    </row>
    <row r="26" customFormat="false" ht="11.1" hidden="false" customHeight="true" outlineLevel="0" collapsed="false">
      <c r="A26" s="13" t="n">
        <f aca="false">A25+1</f>
        <v>17</v>
      </c>
      <c r="B26" s="31" t="n">
        <v>6893.71</v>
      </c>
      <c r="C26" s="8" t="n">
        <v>260918</v>
      </c>
      <c r="D26" s="12" t="n">
        <f aca="false">C26-C25</f>
        <v>140</v>
      </c>
      <c r="E26" s="8" t="n">
        <f aca="false">C26-152000</f>
        <v>108918</v>
      </c>
      <c r="F26" s="7" t="n">
        <f aca="false">D26/$D$2</f>
        <v>70.5823040080665</v>
      </c>
      <c r="G26" s="7" t="n">
        <v>136</v>
      </c>
      <c r="H26" s="9" t="n">
        <v>2.9</v>
      </c>
      <c r="I26" s="7" t="n">
        <f aca="false">G26+H26</f>
        <v>138.9</v>
      </c>
      <c r="J26" s="32" t="n">
        <f aca="false">IF(L26&gt;0,L26,0)</f>
        <v>0</v>
      </c>
      <c r="K26" s="7" t="n">
        <f aca="false">I26+J26</f>
        <v>138.9</v>
      </c>
      <c r="L26" s="7" t="n">
        <f aca="false">F26-(I26-W26)</f>
        <v>-25.2176959919335</v>
      </c>
      <c r="M26" s="7" t="n">
        <v>4.1</v>
      </c>
      <c r="N26" s="7" t="n">
        <v>0</v>
      </c>
      <c r="O26" s="7" t="n">
        <f aca="false">M26-N26</f>
        <v>4.1</v>
      </c>
      <c r="P26" s="7" t="n">
        <v>0</v>
      </c>
      <c r="Q26" s="7" t="n">
        <v>0</v>
      </c>
      <c r="R26" s="7" t="n">
        <f aca="false">SUM(O26:Q26)</f>
        <v>4.1</v>
      </c>
      <c r="S26" s="8"/>
      <c r="T26" s="7" t="n">
        <v>0</v>
      </c>
      <c r="U26" s="7" t="n">
        <v>39</v>
      </c>
      <c r="V26" s="8" t="n">
        <f aca="false">V25-U26</f>
        <v>5445</v>
      </c>
      <c r="W26" s="7" t="n">
        <f aca="false">N26+R26+T26+U26</f>
        <v>43.1</v>
      </c>
      <c r="X26" s="7" t="n">
        <f aca="false">IF(L26&lt;0,L26*-1,0)</f>
        <v>25.2176959919335</v>
      </c>
      <c r="Y26" s="7" t="n">
        <f aca="false">W26+X26</f>
        <v>68.3176959919335</v>
      </c>
      <c r="Z26" s="11" t="n">
        <v>0</v>
      </c>
      <c r="AA26" s="41" t="n">
        <v>60</v>
      </c>
      <c r="AB26" s="12" t="n">
        <v>31</v>
      </c>
      <c r="AC26" s="13" t="n">
        <f aca="false">AC25+1</f>
        <v>17</v>
      </c>
    </row>
    <row r="27" customFormat="false" ht="11.1" hidden="false" customHeight="true" outlineLevel="0" collapsed="false">
      <c r="A27" s="13" t="n">
        <f aca="false">A26+1</f>
        <v>18</v>
      </c>
      <c r="B27" s="31" t="n">
        <v>6893.76</v>
      </c>
      <c r="C27" s="8" t="n">
        <v>261127</v>
      </c>
      <c r="D27" s="12" t="n">
        <f aca="false">C27-C26</f>
        <v>209</v>
      </c>
      <c r="E27" s="8" t="n">
        <f aca="false">C27-152000</f>
        <v>109127</v>
      </c>
      <c r="F27" s="7" t="n">
        <f aca="false">D27/$D$2</f>
        <v>105.369296697756</v>
      </c>
      <c r="G27" s="7" t="n">
        <v>126</v>
      </c>
      <c r="H27" s="9" t="n">
        <v>2.5</v>
      </c>
      <c r="I27" s="7" t="n">
        <f aca="false">G27+H27</f>
        <v>128.5</v>
      </c>
      <c r="J27" s="32" t="n">
        <f aca="false">IF(L27&gt;0,L27,0)</f>
        <v>19.9692966977565</v>
      </c>
      <c r="K27" s="7" t="n">
        <f aca="false">I27+J27</f>
        <v>148.469296697756</v>
      </c>
      <c r="L27" s="7" t="n">
        <f aca="false">F27-(I27-W27)</f>
        <v>19.9692966977565</v>
      </c>
      <c r="M27" s="7" t="n">
        <v>4.1</v>
      </c>
      <c r="N27" s="7" t="n">
        <v>0</v>
      </c>
      <c r="O27" s="7" t="n">
        <f aca="false">M27-N27</f>
        <v>4.1</v>
      </c>
      <c r="P27" s="7" t="n">
        <v>0</v>
      </c>
      <c r="Q27" s="7" t="n">
        <v>0</v>
      </c>
      <c r="R27" s="7" t="n">
        <f aca="false">SUM(O27:Q27)</f>
        <v>4.1</v>
      </c>
      <c r="S27" s="8"/>
      <c r="T27" s="7" t="n">
        <v>0</v>
      </c>
      <c r="U27" s="7" t="n">
        <v>39</v>
      </c>
      <c r="V27" s="8" t="n">
        <f aca="false">V26-U27</f>
        <v>5406</v>
      </c>
      <c r="W27" s="7" t="n">
        <f aca="false">N27+R27+T27+U27</f>
        <v>43.1</v>
      </c>
      <c r="X27" s="7" t="n">
        <f aca="false">IF(L27&lt;0,L27*-1,0)</f>
        <v>0</v>
      </c>
      <c r="Y27" s="7" t="n">
        <f aca="false">W27+X27</f>
        <v>43.1</v>
      </c>
      <c r="Z27" s="11" t="n">
        <v>0</v>
      </c>
      <c r="AA27" s="41" t="n">
        <v>53</v>
      </c>
      <c r="AB27" s="12" t="n">
        <v>25</v>
      </c>
      <c r="AC27" s="13" t="n">
        <f aca="false">AC26+1</f>
        <v>18</v>
      </c>
    </row>
    <row r="28" customFormat="false" ht="11.1" hidden="false" customHeight="true" outlineLevel="0" collapsed="false">
      <c r="A28" s="13" t="n">
        <f aca="false">A27+1</f>
        <v>19</v>
      </c>
      <c r="B28" s="31" t="n">
        <v>6893.79</v>
      </c>
      <c r="C28" s="8" t="n">
        <v>261232</v>
      </c>
      <c r="D28" s="12" t="n">
        <f aca="false">C28-C27</f>
        <v>105</v>
      </c>
      <c r="E28" s="8" t="n">
        <f aca="false">C28-152000</f>
        <v>109232</v>
      </c>
      <c r="F28" s="7" t="n">
        <f aca="false">D28/$D$2</f>
        <v>52.9367280060499</v>
      </c>
      <c r="G28" s="7" t="n">
        <v>109</v>
      </c>
      <c r="H28" s="9" t="n">
        <v>2.4</v>
      </c>
      <c r="I28" s="7" t="n">
        <f aca="false">G28+H28</f>
        <v>111.4</v>
      </c>
      <c r="J28" s="32" t="n">
        <f aca="false">IF(L28&gt;0,L28,0)</f>
        <v>0</v>
      </c>
      <c r="K28" s="7" t="n">
        <f aca="false">I28+J28</f>
        <v>111.4</v>
      </c>
      <c r="L28" s="7" t="n">
        <f aca="false">F28-(I28-W28)</f>
        <v>-15.3632719939501</v>
      </c>
      <c r="M28" s="7" t="n">
        <v>4.1</v>
      </c>
      <c r="N28" s="7" t="n">
        <v>0</v>
      </c>
      <c r="O28" s="7" t="n">
        <f aca="false">M28-N28</f>
        <v>4.1</v>
      </c>
      <c r="P28" s="7" t="n">
        <v>0</v>
      </c>
      <c r="Q28" s="7" t="n">
        <v>0</v>
      </c>
      <c r="R28" s="7" t="n">
        <f aca="false">SUM(O28:Q28)</f>
        <v>4.1</v>
      </c>
      <c r="S28" s="8"/>
      <c r="T28" s="7" t="n">
        <v>0</v>
      </c>
      <c r="U28" s="7" t="n">
        <v>39</v>
      </c>
      <c r="V28" s="8" t="n">
        <f aca="false">V27-U28</f>
        <v>5367</v>
      </c>
      <c r="W28" s="7" t="n">
        <f aca="false">N28+R28+T28+U28</f>
        <v>43.1</v>
      </c>
      <c r="X28" s="7" t="n">
        <f aca="false">IF(L28&lt;0,L28*-1,0)</f>
        <v>15.3632719939501</v>
      </c>
      <c r="Y28" s="7" t="n">
        <f aca="false">W28+X28</f>
        <v>58.4632719939501</v>
      </c>
      <c r="Z28" s="11" t="n">
        <v>0</v>
      </c>
      <c r="AA28" s="41" t="n">
        <v>46</v>
      </c>
      <c r="AB28" s="12" t="n">
        <v>22</v>
      </c>
      <c r="AC28" s="13" t="n">
        <f aca="false">AC27+1</f>
        <v>19</v>
      </c>
    </row>
    <row r="29" customFormat="false" ht="11.1" hidden="false" customHeight="true" outlineLevel="0" collapsed="false">
      <c r="A29" s="13" t="n">
        <f aca="false">A28+1</f>
        <v>20</v>
      </c>
      <c r="B29" s="31" t="n">
        <v>6893.82</v>
      </c>
      <c r="C29" s="8" t="n">
        <v>261337</v>
      </c>
      <c r="D29" s="12" t="n">
        <f aca="false">C29-C28</f>
        <v>105</v>
      </c>
      <c r="E29" s="8" t="n">
        <f aca="false">C29-152000</f>
        <v>109337</v>
      </c>
      <c r="F29" s="7" t="n">
        <f aca="false">D29/$D$2</f>
        <v>52.9367280060499</v>
      </c>
      <c r="G29" s="7" t="n">
        <v>94</v>
      </c>
      <c r="H29" s="9" t="n">
        <v>2.5</v>
      </c>
      <c r="I29" s="7" t="n">
        <f aca="false">G29+H29</f>
        <v>96.5</v>
      </c>
      <c r="J29" s="32" t="n">
        <f aca="false">IF(L29&gt;0,L29,0)</f>
        <v>0</v>
      </c>
      <c r="K29" s="7" t="n">
        <f aca="false">I29+J29</f>
        <v>96.5</v>
      </c>
      <c r="L29" s="7" t="n">
        <f aca="false">F29-(I29-W29)</f>
        <v>-0.463271993950087</v>
      </c>
      <c r="M29" s="7" t="n">
        <v>4.1</v>
      </c>
      <c r="N29" s="7" t="n">
        <v>0</v>
      </c>
      <c r="O29" s="7" t="n">
        <f aca="false">M29-N29</f>
        <v>4.1</v>
      </c>
      <c r="P29" s="7" t="n">
        <v>0</v>
      </c>
      <c r="Q29" s="7" t="n">
        <v>0</v>
      </c>
      <c r="R29" s="7" t="n">
        <f aca="false">SUM(O29:Q29)</f>
        <v>4.1</v>
      </c>
      <c r="S29" s="8"/>
      <c r="T29" s="7" t="n">
        <v>0</v>
      </c>
      <c r="U29" s="7" t="n">
        <v>39</v>
      </c>
      <c r="V29" s="8" t="n">
        <f aca="false">V28-U29</f>
        <v>5328</v>
      </c>
      <c r="W29" s="7" t="n">
        <f aca="false">N29+R29+T29+U29</f>
        <v>43.1</v>
      </c>
      <c r="X29" s="7" t="n">
        <f aca="false">IF(L29&lt;0,L29*-1,0)</f>
        <v>0.463271993950087</v>
      </c>
      <c r="Y29" s="7" t="n">
        <f aca="false">W29+X29</f>
        <v>43.5632719939501</v>
      </c>
      <c r="Z29" s="11" t="n">
        <v>0</v>
      </c>
      <c r="AA29" s="41" t="n">
        <v>47</v>
      </c>
      <c r="AB29" s="12" t="n">
        <v>15</v>
      </c>
      <c r="AC29" s="13" t="n">
        <f aca="false">AC28+1</f>
        <v>20</v>
      </c>
    </row>
    <row r="30" customFormat="false" ht="11.1" hidden="false" customHeight="true" outlineLevel="0" collapsed="false">
      <c r="A30" s="13" t="n">
        <f aca="false">A29+1</f>
        <v>21</v>
      </c>
      <c r="B30" s="31" t="n">
        <v>6893.84</v>
      </c>
      <c r="C30" s="8" t="n">
        <v>261407</v>
      </c>
      <c r="D30" s="12" t="n">
        <f aca="false">C30-C29</f>
        <v>70</v>
      </c>
      <c r="E30" s="8" t="n">
        <f aca="false">C30-152000</f>
        <v>109407</v>
      </c>
      <c r="F30" s="7" t="n">
        <f aca="false">D30/$D$2</f>
        <v>35.2911520040333</v>
      </c>
      <c r="G30" s="7" t="n">
        <v>92</v>
      </c>
      <c r="H30" s="9" t="n">
        <v>1.9</v>
      </c>
      <c r="I30" s="7" t="n">
        <f aca="false">G30+H30</f>
        <v>93.9</v>
      </c>
      <c r="J30" s="32" t="n">
        <f aca="false">IF(L30&gt;0,L30,0)</f>
        <v>0</v>
      </c>
      <c r="K30" s="7" t="n">
        <f aca="false">I30+J30</f>
        <v>93.9</v>
      </c>
      <c r="L30" s="7" t="n">
        <f aca="false">F30-(I30-W30)</f>
        <v>-14.9088479959667</v>
      </c>
      <c r="M30" s="7" t="n">
        <v>4.7</v>
      </c>
      <c r="N30" s="7" t="n">
        <v>0</v>
      </c>
      <c r="O30" s="7" t="n">
        <f aca="false">M30-N30</f>
        <v>4.7</v>
      </c>
      <c r="P30" s="7" t="n">
        <v>0</v>
      </c>
      <c r="Q30" s="7" t="n">
        <v>0</v>
      </c>
      <c r="R30" s="7" t="n">
        <f aca="false">SUM(O30:Q30)</f>
        <v>4.7</v>
      </c>
      <c r="S30" s="8"/>
      <c r="T30" s="7" t="n">
        <v>0</v>
      </c>
      <c r="U30" s="7" t="n">
        <v>39</v>
      </c>
      <c r="V30" s="8" t="n">
        <f aca="false">V29-U30</f>
        <v>5289</v>
      </c>
      <c r="W30" s="7" t="n">
        <f aca="false">N30+R30+T30+U30</f>
        <v>43.7</v>
      </c>
      <c r="X30" s="7" t="n">
        <f aca="false">IF(L30&lt;0,L30*-1,0)</f>
        <v>14.9088479959667</v>
      </c>
      <c r="Y30" s="7" t="n">
        <f aca="false">W30+X30</f>
        <v>58.6088479959667</v>
      </c>
      <c r="Z30" s="11" t="n">
        <v>0</v>
      </c>
      <c r="AA30" s="12" t="n">
        <v>54</v>
      </c>
      <c r="AB30" s="12" t="n">
        <v>18</v>
      </c>
      <c r="AC30" s="13" t="n">
        <f aca="false">AC29+1</f>
        <v>21</v>
      </c>
    </row>
    <row r="31" customFormat="false" ht="11.1" hidden="false" customHeight="true" outlineLevel="0" collapsed="false">
      <c r="A31" s="13" t="n">
        <f aca="false">A30+1</f>
        <v>22</v>
      </c>
      <c r="B31" s="31" t="n">
        <v>6893.86</v>
      </c>
      <c r="C31" s="8" t="n">
        <v>261477</v>
      </c>
      <c r="D31" s="12" t="n">
        <f aca="false">C31-C30</f>
        <v>70</v>
      </c>
      <c r="E31" s="8" t="n">
        <f aca="false">C31-152000</f>
        <v>109477</v>
      </c>
      <c r="F31" s="7" t="n">
        <f aca="false">D31/$D$2</f>
        <v>35.2911520040333</v>
      </c>
      <c r="G31" s="7" t="n">
        <v>92</v>
      </c>
      <c r="H31" s="9" t="n">
        <v>2.2</v>
      </c>
      <c r="I31" s="7" t="n">
        <f aca="false">G31+H31</f>
        <v>94.2</v>
      </c>
      <c r="J31" s="32" t="n">
        <f aca="false">IF(L31&gt;0,L31,0)</f>
        <v>0</v>
      </c>
      <c r="K31" s="7" t="n">
        <f aca="false">I31+J31</f>
        <v>94.2</v>
      </c>
      <c r="L31" s="7" t="n">
        <f aca="false">F31-(I31-W31)</f>
        <v>-14.6088479959667</v>
      </c>
      <c r="M31" s="7" t="n">
        <v>5.3</v>
      </c>
      <c r="N31" s="7" t="n">
        <v>0</v>
      </c>
      <c r="O31" s="7" t="n">
        <f aca="false">M31-N31</f>
        <v>5.3</v>
      </c>
      <c r="P31" s="7" t="n">
        <v>0</v>
      </c>
      <c r="Q31" s="7" t="n">
        <v>0</v>
      </c>
      <c r="R31" s="7" t="n">
        <f aca="false">SUM(O31:Q31)</f>
        <v>5.3</v>
      </c>
      <c r="S31" s="8"/>
      <c r="T31" s="7" t="n">
        <v>0</v>
      </c>
      <c r="U31" s="7" t="n">
        <v>39</v>
      </c>
      <c r="V31" s="8" t="n">
        <f aca="false">V30-U31</f>
        <v>5250</v>
      </c>
      <c r="W31" s="7" t="n">
        <f aca="false">N31+R31+T31+U31</f>
        <v>44.3</v>
      </c>
      <c r="X31" s="7" t="n">
        <f aca="false">IF(L31&lt;0,L31*-1,0)</f>
        <v>14.6088479959667</v>
      </c>
      <c r="Y31" s="7" t="n">
        <f aca="false">W31+X31</f>
        <v>58.9088479959667</v>
      </c>
      <c r="Z31" s="11" t="n">
        <v>0</v>
      </c>
      <c r="AA31" s="12" t="n">
        <v>62</v>
      </c>
      <c r="AB31" s="12" t="n">
        <v>27</v>
      </c>
      <c r="AC31" s="13" t="n">
        <f aca="false">AC30+1</f>
        <v>22</v>
      </c>
    </row>
    <row r="32" customFormat="false" ht="11.1" hidden="false" customHeight="true" outlineLevel="0" collapsed="false">
      <c r="A32" s="13" t="n">
        <f aca="false">A31+1</f>
        <v>23</v>
      </c>
      <c r="B32" s="31" t="n">
        <v>6893.91</v>
      </c>
      <c r="C32" s="8" t="n">
        <v>261652</v>
      </c>
      <c r="D32" s="12" t="n">
        <f aca="false">C32-C31</f>
        <v>175</v>
      </c>
      <c r="E32" s="8" t="n">
        <f aca="false">C32-152000</f>
        <v>109652</v>
      </c>
      <c r="F32" s="7" t="n">
        <f aca="false">D32/$D$2</f>
        <v>88.2278800100832</v>
      </c>
      <c r="G32" s="7" t="n">
        <v>94</v>
      </c>
      <c r="H32" s="9" t="n">
        <v>1.9</v>
      </c>
      <c r="I32" s="7" t="n">
        <f aca="false">G32+H32</f>
        <v>95.9</v>
      </c>
      <c r="J32" s="32" t="n">
        <f aca="false">IF(L32&gt;0,L32,0)</f>
        <v>36.0278800100832</v>
      </c>
      <c r="K32" s="7" t="n">
        <f aca="false">I32+J32</f>
        <v>131.927880010083</v>
      </c>
      <c r="L32" s="7" t="n">
        <f aca="false">F32-(I32-W32)</f>
        <v>36.0278800100832</v>
      </c>
      <c r="M32" s="7" t="n">
        <v>4.7</v>
      </c>
      <c r="N32" s="7" t="n">
        <v>0</v>
      </c>
      <c r="O32" s="7" t="n">
        <f aca="false">M32-N32</f>
        <v>4.7</v>
      </c>
      <c r="P32" s="7" t="n">
        <v>0</v>
      </c>
      <c r="Q32" s="7" t="n">
        <v>0</v>
      </c>
      <c r="R32" s="7" t="n">
        <f aca="false">SUM(O32:Q32)</f>
        <v>4.7</v>
      </c>
      <c r="S32" s="8"/>
      <c r="T32" s="7" t="n">
        <v>0</v>
      </c>
      <c r="U32" s="7" t="n">
        <v>39</v>
      </c>
      <c r="V32" s="8" t="n">
        <f aca="false">V31-U32</f>
        <v>5211</v>
      </c>
      <c r="W32" s="7" t="n">
        <f aca="false">N32+R32+T32+U32</f>
        <v>43.7</v>
      </c>
      <c r="X32" s="7" t="n">
        <f aca="false">IF(L32&lt;0,L32*-1,0)</f>
        <v>0</v>
      </c>
      <c r="Y32" s="7" t="n">
        <f aca="false">W32+X32</f>
        <v>43.7</v>
      </c>
      <c r="Z32" s="11" t="n">
        <v>0</v>
      </c>
      <c r="AA32" s="12" t="n">
        <v>64</v>
      </c>
      <c r="AB32" s="41" t="n">
        <v>29</v>
      </c>
      <c r="AC32" s="13" t="n">
        <f aca="false">AC31+1</f>
        <v>23</v>
      </c>
    </row>
    <row r="33" customFormat="false" ht="11.1" hidden="false" customHeight="true" outlineLevel="0" collapsed="false">
      <c r="A33" s="13" t="n">
        <f aca="false">A32+1</f>
        <v>24</v>
      </c>
      <c r="B33" s="31" t="n">
        <v>6893.94</v>
      </c>
      <c r="C33" s="8" t="n">
        <v>261757</v>
      </c>
      <c r="D33" s="12" t="n">
        <f aca="false">C33-C32</f>
        <v>105</v>
      </c>
      <c r="E33" s="8" t="n">
        <f aca="false">C33-152000</f>
        <v>109757</v>
      </c>
      <c r="F33" s="7" t="n">
        <f aca="false">D33/$D$2</f>
        <v>52.9367280060499</v>
      </c>
      <c r="G33" s="7" t="n">
        <v>94</v>
      </c>
      <c r="H33" s="9" t="n">
        <v>1.9</v>
      </c>
      <c r="I33" s="7" t="n">
        <f aca="false">G33+H33</f>
        <v>95.9</v>
      </c>
      <c r="J33" s="32" t="n">
        <f aca="false">IF(L33&gt;0,L33,0)</f>
        <v>0.436728006049904</v>
      </c>
      <c r="K33" s="7" t="n">
        <f aca="false">I33+J33</f>
        <v>96.3367280060499</v>
      </c>
      <c r="L33" s="7" t="n">
        <f aca="false">F33-(I33-W33)</f>
        <v>0.436728006049904</v>
      </c>
      <c r="M33" s="7" t="n">
        <v>4.4</v>
      </c>
      <c r="N33" s="7" t="n">
        <v>0</v>
      </c>
      <c r="O33" s="7" t="n">
        <f aca="false">M33-N33</f>
        <v>4.4</v>
      </c>
      <c r="P33" s="7" t="n">
        <v>0</v>
      </c>
      <c r="Q33" s="7" t="n">
        <v>0</v>
      </c>
      <c r="R33" s="7" t="n">
        <f aca="false">SUM(O33:Q33)</f>
        <v>4.4</v>
      </c>
      <c r="S33" s="8"/>
      <c r="T33" s="7" t="n">
        <v>0</v>
      </c>
      <c r="U33" s="7" t="n">
        <v>39</v>
      </c>
      <c r="V33" s="8" t="n">
        <f aca="false">V32-U33</f>
        <v>5172</v>
      </c>
      <c r="W33" s="7" t="n">
        <f aca="false">N33+R33+T33+U33</f>
        <v>43.4</v>
      </c>
      <c r="X33" s="7" t="n">
        <f aca="false">IF(L33&lt;0,L33*-1,0)</f>
        <v>0</v>
      </c>
      <c r="Y33" s="7" t="n">
        <f aca="false">W33+X33</f>
        <v>43.4</v>
      </c>
      <c r="Z33" s="11" t="n">
        <v>0</v>
      </c>
      <c r="AA33" s="12" t="n">
        <v>61</v>
      </c>
      <c r="AB33" s="41" t="n">
        <v>28</v>
      </c>
      <c r="AC33" s="13" t="n">
        <f aca="false">AC32+1</f>
        <v>24</v>
      </c>
    </row>
    <row r="34" customFormat="false" ht="11.1" hidden="false" customHeight="true" outlineLevel="0" collapsed="false">
      <c r="A34" s="13" t="n">
        <f aca="false">A33+1</f>
        <v>25</v>
      </c>
      <c r="B34" s="31" t="n">
        <v>6893.97</v>
      </c>
      <c r="C34" s="8" t="n">
        <v>261862</v>
      </c>
      <c r="D34" s="12" t="n">
        <f aca="false">C34-C33</f>
        <v>105</v>
      </c>
      <c r="E34" s="8" t="n">
        <f aca="false">C34-152000</f>
        <v>109862</v>
      </c>
      <c r="F34" s="7" t="n">
        <f aca="false">D34/$D$2</f>
        <v>52.9367280060499</v>
      </c>
      <c r="G34" s="7" t="n">
        <v>90</v>
      </c>
      <c r="H34" s="9" t="n">
        <v>1.7</v>
      </c>
      <c r="I34" s="7" t="n">
        <f aca="false">G34+H34</f>
        <v>91.7</v>
      </c>
      <c r="J34" s="32" t="n">
        <f aca="false">IF(L34&gt;0,L34,0)</f>
        <v>4.63672800604991</v>
      </c>
      <c r="K34" s="7" t="n">
        <f aca="false">I34+J34</f>
        <v>96.3367280060499</v>
      </c>
      <c r="L34" s="7" t="n">
        <f aca="false">F34-(I34-W34)</f>
        <v>4.63672800604991</v>
      </c>
      <c r="M34" s="7" t="n">
        <v>4.4</v>
      </c>
      <c r="N34" s="7" t="n">
        <v>0</v>
      </c>
      <c r="O34" s="7" t="n">
        <f aca="false">M34-N34</f>
        <v>4.4</v>
      </c>
      <c r="P34" s="7" t="n">
        <v>0</v>
      </c>
      <c r="Q34" s="7" t="n">
        <v>0</v>
      </c>
      <c r="R34" s="7" t="n">
        <f aca="false">SUM(O34:Q34)</f>
        <v>4.4</v>
      </c>
      <c r="S34" s="8"/>
      <c r="T34" s="7" t="n">
        <v>0</v>
      </c>
      <c r="U34" s="7" t="n">
        <v>39</v>
      </c>
      <c r="V34" s="8" t="n">
        <f aca="false">V33-U34</f>
        <v>5133</v>
      </c>
      <c r="W34" s="7" t="n">
        <f aca="false">N34+R34+T34+U34</f>
        <v>43.4</v>
      </c>
      <c r="X34" s="7" t="n">
        <f aca="false">IF(L34&lt;0,L34*-1,0)</f>
        <v>0</v>
      </c>
      <c r="Y34" s="7" t="n">
        <f aca="false">W34+X34</f>
        <v>43.4</v>
      </c>
      <c r="Z34" s="11" t="n">
        <v>0</v>
      </c>
      <c r="AA34" s="12" t="n">
        <v>60</v>
      </c>
      <c r="AB34" s="41" t="n">
        <v>26</v>
      </c>
      <c r="AC34" s="13" t="n">
        <f aca="false">AC33+1</f>
        <v>25</v>
      </c>
    </row>
    <row r="35" customFormat="false" ht="11.1" hidden="false" customHeight="true" outlineLevel="0" collapsed="false">
      <c r="A35" s="13" t="n">
        <f aca="false">A34+1</f>
        <v>26</v>
      </c>
      <c r="B35" s="31" t="n">
        <v>6893.99</v>
      </c>
      <c r="C35" s="8" t="n">
        <v>261932</v>
      </c>
      <c r="D35" s="12" t="n">
        <f aca="false">C35-C34</f>
        <v>70</v>
      </c>
      <c r="E35" s="8" t="n">
        <f aca="false">C35-152000</f>
        <v>109932</v>
      </c>
      <c r="F35" s="7" t="n">
        <f aca="false">D35/$D$2</f>
        <v>35.2911520040333</v>
      </c>
      <c r="G35" s="7" t="n">
        <v>88</v>
      </c>
      <c r="H35" s="9" t="n">
        <v>1.7</v>
      </c>
      <c r="I35" s="7" t="n">
        <f aca="false">G35+H35</f>
        <v>89.7</v>
      </c>
      <c r="J35" s="32" t="n">
        <f aca="false">IF(L35&gt;0,L35,0)</f>
        <v>0</v>
      </c>
      <c r="K35" s="7" t="n">
        <f aca="false">I35+J35</f>
        <v>89.7</v>
      </c>
      <c r="L35" s="7" t="n">
        <f aca="false">F35-(I35-W35)</f>
        <v>-11.0088479959667</v>
      </c>
      <c r="M35" s="7" t="n">
        <v>4.4</v>
      </c>
      <c r="N35" s="7" t="n">
        <v>0</v>
      </c>
      <c r="O35" s="7" t="n">
        <f aca="false">M35-N35</f>
        <v>4.4</v>
      </c>
      <c r="P35" s="7" t="n">
        <v>0</v>
      </c>
      <c r="Q35" s="7" t="n">
        <v>0</v>
      </c>
      <c r="R35" s="7" t="n">
        <f aca="false">SUM(O35:Q35)</f>
        <v>4.4</v>
      </c>
      <c r="S35" s="8"/>
      <c r="T35" s="7" t="n">
        <v>0</v>
      </c>
      <c r="U35" s="7" t="n">
        <v>39</v>
      </c>
      <c r="V35" s="8" t="n">
        <f aca="false">V34-U35</f>
        <v>5094</v>
      </c>
      <c r="W35" s="7" t="n">
        <f aca="false">N35+R35+T35+U35</f>
        <v>43.4</v>
      </c>
      <c r="X35" s="7" t="n">
        <f aca="false">IF(L35&lt;0,L35*-1,0)</f>
        <v>11.0088479959667</v>
      </c>
      <c r="Y35" s="7" t="n">
        <f aca="false">W35+X35</f>
        <v>54.4088479959667</v>
      </c>
      <c r="Z35" s="11" t="n">
        <v>0</v>
      </c>
      <c r="AA35" s="12" t="n">
        <v>65</v>
      </c>
      <c r="AB35" s="12" t="n">
        <v>28</v>
      </c>
      <c r="AC35" s="13" t="n">
        <f aca="false">AC34+1</f>
        <v>26</v>
      </c>
    </row>
    <row r="36" customFormat="false" ht="11.1" hidden="false" customHeight="true" outlineLevel="0" collapsed="false">
      <c r="A36" s="13" t="n">
        <f aca="false">A35+1</f>
        <v>27</v>
      </c>
      <c r="B36" s="31" t="n">
        <v>6894.04</v>
      </c>
      <c r="C36" s="8" t="n">
        <v>262108</v>
      </c>
      <c r="D36" s="12" t="n">
        <f aca="false">C36-C35</f>
        <v>176</v>
      </c>
      <c r="E36" s="8" t="n">
        <f aca="false">C36-152000</f>
        <v>110108</v>
      </c>
      <c r="F36" s="7" t="n">
        <f aca="false">D36/$D$2</f>
        <v>88.7320393244265</v>
      </c>
      <c r="G36" s="7" t="n">
        <v>94</v>
      </c>
      <c r="H36" s="9" t="n">
        <v>1.8</v>
      </c>
      <c r="I36" s="7" t="n">
        <f aca="false">G36+H36</f>
        <v>95.8</v>
      </c>
      <c r="J36" s="32" t="n">
        <f aca="false">IF(L36&gt;0,L36,0)</f>
        <v>36.3320393244265</v>
      </c>
      <c r="K36" s="7" t="n">
        <f aca="false">I36+J36</f>
        <v>132.132039324427</v>
      </c>
      <c r="L36" s="7" t="n">
        <f aca="false">F36-(I36-W36)</f>
        <v>36.3320393244265</v>
      </c>
      <c r="M36" s="7" t="n">
        <v>4.4</v>
      </c>
      <c r="N36" s="7" t="n">
        <v>0</v>
      </c>
      <c r="O36" s="7" t="n">
        <f aca="false">M36-N36</f>
        <v>4.4</v>
      </c>
      <c r="P36" s="7" t="n">
        <v>0</v>
      </c>
      <c r="Q36" s="7" t="n">
        <v>0</v>
      </c>
      <c r="R36" s="7" t="n">
        <f aca="false">SUM(O36:Q36)</f>
        <v>4.4</v>
      </c>
      <c r="S36" s="8"/>
      <c r="T36" s="7" t="n">
        <v>0</v>
      </c>
      <c r="U36" s="7" t="n">
        <v>39</v>
      </c>
      <c r="V36" s="8" t="n">
        <f aca="false">V35-U36</f>
        <v>5055</v>
      </c>
      <c r="W36" s="7" t="n">
        <f aca="false">N36+R36+T36+U36</f>
        <v>43.4</v>
      </c>
      <c r="X36" s="7" t="n">
        <f aca="false">IF(L36&lt;0,L36*-1,0)</f>
        <v>0</v>
      </c>
      <c r="Y36" s="7" t="n">
        <f aca="false">W36+X36</f>
        <v>43.4</v>
      </c>
      <c r="Z36" s="11" t="n">
        <v>0</v>
      </c>
      <c r="AA36" s="12" t="n">
        <v>68</v>
      </c>
      <c r="AB36" s="12" t="n">
        <v>31</v>
      </c>
      <c r="AC36" s="13" t="n">
        <f aca="false">AC35+1</f>
        <v>27</v>
      </c>
    </row>
    <row r="37" customFormat="false" ht="11.1" hidden="false" customHeight="true" outlineLevel="0" collapsed="false">
      <c r="A37" s="13" t="n">
        <f aca="false">A36+1</f>
        <v>28</v>
      </c>
      <c r="B37" s="31" t="n">
        <v>6894.14</v>
      </c>
      <c r="C37" s="8" t="n">
        <v>262461</v>
      </c>
      <c r="D37" s="12" t="n">
        <f aca="false">C37-C36</f>
        <v>353</v>
      </c>
      <c r="E37" s="8" t="n">
        <f aca="false">C37-152000</f>
        <v>110461</v>
      </c>
      <c r="F37" s="7" t="n">
        <f aca="false">D37/$D$2</f>
        <v>177.968237963196</v>
      </c>
      <c r="G37" s="7" t="n">
        <v>104</v>
      </c>
      <c r="H37" s="9" t="n">
        <v>2.1</v>
      </c>
      <c r="I37" s="7" t="n">
        <f aca="false">G37+H37</f>
        <v>106.1</v>
      </c>
      <c r="J37" s="32" t="n">
        <f aca="false">IF(L37&gt;0,L37,0)</f>
        <v>115.268237963196</v>
      </c>
      <c r="K37" s="7" t="n">
        <f aca="false">I37+J37</f>
        <v>221.368237963196</v>
      </c>
      <c r="L37" s="7" t="n">
        <f aca="false">F37-(I37-W37)</f>
        <v>115.268237963196</v>
      </c>
      <c r="M37" s="7" t="n">
        <v>4.4</v>
      </c>
      <c r="N37" s="7" t="n">
        <v>0</v>
      </c>
      <c r="O37" s="7" t="n">
        <f aca="false">M37-N37</f>
        <v>4.4</v>
      </c>
      <c r="P37" s="7" t="n">
        <v>0</v>
      </c>
      <c r="Q37" s="7" t="n">
        <v>0</v>
      </c>
      <c r="R37" s="7" t="n">
        <f aca="false">SUM(O37:Q37)</f>
        <v>4.4</v>
      </c>
      <c r="S37" s="8"/>
      <c r="T37" s="7" t="n">
        <v>0</v>
      </c>
      <c r="U37" s="7" t="n">
        <v>39</v>
      </c>
      <c r="V37" s="8" t="n">
        <f aca="false">V36-U37</f>
        <v>5016</v>
      </c>
      <c r="W37" s="7" t="n">
        <f aca="false">N37+R37+T37+U37</f>
        <v>43.4</v>
      </c>
      <c r="X37" s="7" t="n">
        <f aca="false">IF(L37&lt;0,L37*-1,0)</f>
        <v>0</v>
      </c>
      <c r="Y37" s="7" t="n">
        <f aca="false">W37+X37</f>
        <v>43.4</v>
      </c>
      <c r="Z37" s="11" t="n">
        <v>0.35</v>
      </c>
      <c r="AA37" s="12" t="n">
        <v>56</v>
      </c>
      <c r="AB37" s="12" t="n">
        <v>33</v>
      </c>
      <c r="AC37" s="13" t="n">
        <f aca="false">AC36+1</f>
        <v>28</v>
      </c>
    </row>
    <row r="38" customFormat="false" ht="11.1" hidden="false" customHeight="true" outlineLevel="0" collapsed="false">
      <c r="A38" s="13" t="n">
        <f aca="false">A37+1</f>
        <v>29</v>
      </c>
      <c r="B38" s="31" t="n">
        <v>6894.22</v>
      </c>
      <c r="C38" s="8" t="n">
        <v>262743</v>
      </c>
      <c r="D38" s="12" t="n">
        <f aca="false">C38-C37</f>
        <v>282</v>
      </c>
      <c r="E38" s="8" t="n">
        <f aca="false">C38-152000</f>
        <v>110743</v>
      </c>
      <c r="F38" s="7" t="n">
        <f aca="false">D38/$D$2</f>
        <v>142.17292664482</v>
      </c>
      <c r="G38" s="7" t="n">
        <v>127</v>
      </c>
      <c r="H38" s="9" t="n">
        <v>3.6</v>
      </c>
      <c r="I38" s="7" t="n">
        <f aca="false">G38+H38</f>
        <v>130.6</v>
      </c>
      <c r="J38" s="32" t="n">
        <f aca="false">IF(L38&gt;0,L38,0)</f>
        <v>54.9729266448198</v>
      </c>
      <c r="K38" s="7" t="n">
        <f aca="false">I38+J38</f>
        <v>185.57292664482</v>
      </c>
      <c r="L38" s="7" t="n">
        <f aca="false">F38-(I38-W38)</f>
        <v>54.9729266448198</v>
      </c>
      <c r="M38" s="7" t="n">
        <v>4.4</v>
      </c>
      <c r="N38" s="7" t="n">
        <v>0</v>
      </c>
      <c r="O38" s="7" t="n">
        <f aca="false">M38-N38</f>
        <v>4.4</v>
      </c>
      <c r="P38" s="7" t="n">
        <v>0</v>
      </c>
      <c r="Q38" s="7" t="n">
        <v>0</v>
      </c>
      <c r="R38" s="7" t="n">
        <f aca="false">SUM(O38:Q38)</f>
        <v>4.4</v>
      </c>
      <c r="S38" s="8"/>
      <c r="T38" s="7" t="n">
        <v>0</v>
      </c>
      <c r="U38" s="7" t="n">
        <v>39</v>
      </c>
      <c r="V38" s="8" t="n">
        <f aca="false">V37-U38</f>
        <v>4977</v>
      </c>
      <c r="W38" s="7" t="n">
        <f aca="false">N38+R38+T38+U38</f>
        <v>43.4</v>
      </c>
      <c r="X38" s="7" t="n">
        <f aca="false">IF(L38&lt;0,L38*-1,0)</f>
        <v>0</v>
      </c>
      <c r="Y38" s="7" t="n">
        <f aca="false">W38+X38</f>
        <v>43.4</v>
      </c>
      <c r="Z38" s="11" t="n">
        <v>0.38</v>
      </c>
      <c r="AA38" s="41" t="n">
        <v>45</v>
      </c>
      <c r="AB38" s="12" t="n">
        <v>32</v>
      </c>
      <c r="AC38" s="13" t="n">
        <f aca="false">AC37+1</f>
        <v>29</v>
      </c>
    </row>
    <row r="39" customFormat="false" ht="11.1" hidden="false" customHeight="true" outlineLevel="0" collapsed="false">
      <c r="A39" s="13" t="n">
        <v>30</v>
      </c>
      <c r="B39" s="31" t="n">
        <v>6894.27</v>
      </c>
      <c r="C39" s="8" t="n">
        <v>262920</v>
      </c>
      <c r="D39" s="12" t="n">
        <f aca="false">C39-C38</f>
        <v>177</v>
      </c>
      <c r="E39" s="8" t="n">
        <f aca="false">C39-152000</f>
        <v>110920</v>
      </c>
      <c r="F39" s="7" t="n">
        <f aca="false">D39/$D$2</f>
        <v>89.2361986387698</v>
      </c>
      <c r="G39" s="7" t="n">
        <v>110</v>
      </c>
      <c r="H39" s="9" t="n">
        <v>3.3</v>
      </c>
      <c r="I39" s="7" t="n">
        <f aca="false">G39+H39</f>
        <v>113.3</v>
      </c>
      <c r="J39" s="32" t="n">
        <f aca="false">IF(L39&gt;0,L39,0)</f>
        <v>18.8361986387698</v>
      </c>
      <c r="K39" s="7" t="n">
        <f aca="false">I39+J39</f>
        <v>132.13619863877</v>
      </c>
      <c r="L39" s="7" t="n">
        <f aca="false">F39-(I39-W39)</f>
        <v>18.8361986387698</v>
      </c>
      <c r="M39" s="7" t="n">
        <v>3.9</v>
      </c>
      <c r="N39" s="7" t="n">
        <v>0</v>
      </c>
      <c r="O39" s="7" t="n">
        <f aca="false">M39-N39</f>
        <v>3.9</v>
      </c>
      <c r="P39" s="7" t="n">
        <v>0</v>
      </c>
      <c r="Q39" s="7" t="n">
        <v>0</v>
      </c>
      <c r="R39" s="7" t="n">
        <f aca="false">SUM(O39:Q39)</f>
        <v>3.9</v>
      </c>
      <c r="S39" s="8"/>
      <c r="T39" s="7" t="n">
        <v>0</v>
      </c>
      <c r="U39" s="7" t="n">
        <v>39</v>
      </c>
      <c r="V39" s="8" t="n">
        <f aca="false">V38-U39</f>
        <v>4938</v>
      </c>
      <c r="W39" s="7" t="n">
        <f aca="false">N39+R39+T39+U39</f>
        <v>42.9</v>
      </c>
      <c r="X39" s="7" t="n">
        <f aca="false">IF(L39&lt;0,L39*-1,0)</f>
        <v>0</v>
      </c>
      <c r="Y39" s="7" t="n">
        <f aca="false">W39+X39</f>
        <v>42.9</v>
      </c>
      <c r="Z39" s="11" t="n">
        <v>0</v>
      </c>
      <c r="AA39" s="41" t="n">
        <v>57</v>
      </c>
      <c r="AB39" s="12" t="n">
        <v>24</v>
      </c>
      <c r="AC39" s="13" t="n">
        <v>30</v>
      </c>
    </row>
    <row r="40" customFormat="false" ht="3" hidden="false" customHeight="true" outlineLevel="0" collapsed="false">
      <c r="A40" s="33"/>
      <c r="B40" s="33"/>
      <c r="C40" s="35"/>
      <c r="D40" s="33"/>
      <c r="E40" s="35"/>
      <c r="F40" s="33"/>
      <c r="G40" s="33"/>
      <c r="H40" s="36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5"/>
      <c r="T40" s="33"/>
      <c r="U40" s="33"/>
      <c r="V40" s="33"/>
      <c r="W40" s="33"/>
      <c r="X40" s="33"/>
      <c r="Y40" s="33"/>
      <c r="Z40" s="37"/>
      <c r="AA40" s="38"/>
      <c r="AB40" s="38"/>
      <c r="AC40" s="39"/>
    </row>
    <row r="41" customFormat="false" ht="11.1" hidden="false" customHeight="true" outlineLevel="0" collapsed="false">
      <c r="A41" s="7" t="s">
        <v>45</v>
      </c>
      <c r="B41" s="7"/>
      <c r="C41" s="8"/>
      <c r="D41" s="8"/>
      <c r="E41" s="8"/>
      <c r="F41" s="8" t="n">
        <f aca="false">SUM(F10:F39)</f>
        <v>2366.5238215276</v>
      </c>
      <c r="G41" s="8" t="n">
        <f aca="false">SUM(G10:G39)</f>
        <v>3362</v>
      </c>
      <c r="H41" s="8" t="n">
        <f aca="false">SUM(H10:H39)</f>
        <v>67.9</v>
      </c>
      <c r="I41" s="8" t="n">
        <f aca="false">SUM(I10:I39)</f>
        <v>3427.2</v>
      </c>
      <c r="J41" s="8" t="n">
        <f aca="false">SUM(J10:J39)</f>
        <v>829.347693471137</v>
      </c>
      <c r="K41" s="8" t="n">
        <f aca="false">SUM(K10:K39)</f>
        <v>4256.54769347114</v>
      </c>
      <c r="L41" s="8" t="n">
        <f aca="false">SUM(L10:L39)</f>
        <v>510.123821527603</v>
      </c>
      <c r="M41" s="8" t="n">
        <f aca="false">SUM(M10:M39)</f>
        <v>285.6</v>
      </c>
      <c r="N41" s="8" t="n">
        <f aca="false">SUM(N10:N39)</f>
        <v>55.1775</v>
      </c>
      <c r="O41" s="8" t="n">
        <f aca="false">SUM(O10:O39)</f>
        <v>230.4225</v>
      </c>
      <c r="P41" s="8" t="n">
        <f aca="false">SUM(P10:P39)</f>
        <v>0</v>
      </c>
      <c r="Q41" s="8" t="n">
        <f aca="false">SUM(Q10:Q39)</f>
        <v>75.2</v>
      </c>
      <c r="R41" s="8" t="n">
        <f aca="false">SUM(R10:R39)</f>
        <v>305.6225</v>
      </c>
      <c r="S41" s="8"/>
      <c r="T41" s="8" t="n">
        <f aca="false">SUM(T10:T39)</f>
        <v>0</v>
      </c>
      <c r="U41" s="8" t="n">
        <f aca="false">SUM(U10:U39)</f>
        <v>1210</v>
      </c>
      <c r="V41" s="8"/>
      <c r="W41" s="8" t="n">
        <f aca="false">SUM(W10:W39)</f>
        <v>1570.8</v>
      </c>
      <c r="X41" s="8" t="n">
        <f aca="false">SUM(X10:X39)</f>
        <v>319.223871943534</v>
      </c>
      <c r="Y41" s="8" t="n">
        <f aca="false">SUM(Y10:Y39)</f>
        <v>1890.02387194353</v>
      </c>
      <c r="Z41" s="11" t="n">
        <f aca="false">SUM(Z10:Z39)</f>
        <v>3.05</v>
      </c>
      <c r="AA41" s="12" t="n">
        <f aca="false">AVERAGE(AA10:AA39)</f>
        <v>53.0333333333333</v>
      </c>
      <c r="AB41" s="12" t="n">
        <f aca="false">AVERAGE(AB10:AB39)</f>
        <v>24.9</v>
      </c>
      <c r="AC41" s="13"/>
    </row>
    <row r="42" customFormat="false" ht="11.1" hidden="false" customHeight="true" outlineLevel="0" collapsed="false">
      <c r="A42" s="7" t="s">
        <v>46</v>
      </c>
      <c r="B42" s="7"/>
      <c r="C42" s="8"/>
      <c r="D42" s="8" t="n">
        <f aca="false">SUM(D10:D39)</f>
        <v>4694</v>
      </c>
      <c r="E42" s="8"/>
      <c r="F42" s="8" t="n">
        <f aca="false">F41*$D$2</f>
        <v>4694</v>
      </c>
      <c r="G42" s="8" t="n">
        <f aca="false">G41*$D$2</f>
        <v>6668.527</v>
      </c>
      <c r="H42" s="8" t="n">
        <f aca="false">H41*$D$2</f>
        <v>134.67965</v>
      </c>
      <c r="I42" s="8" t="n">
        <f aca="false">I41*$D$2</f>
        <v>6797.8512</v>
      </c>
      <c r="J42" s="8" t="n">
        <f aca="false">J41*$D$2</f>
        <v>1645.01115</v>
      </c>
      <c r="K42" s="8" t="n">
        <f aca="false">K41*$D$2</f>
        <v>8442.86235</v>
      </c>
      <c r="L42" s="8" t="n">
        <f aca="false">L41*$D$2</f>
        <v>1011.8306</v>
      </c>
      <c r="M42" s="8" t="n">
        <f aca="false">M41*$D$2</f>
        <v>566.4876</v>
      </c>
      <c r="N42" s="8" t="n">
        <f aca="false">N41*$D$2</f>
        <v>109.44457125</v>
      </c>
      <c r="O42" s="8" t="n">
        <f aca="false">O41*$D$2</f>
        <v>457.04302875</v>
      </c>
      <c r="P42" s="8" t="n">
        <f aca="false">P41*$D$2</f>
        <v>0</v>
      </c>
      <c r="Q42" s="8" t="n">
        <f aca="false">Q41*$D$2</f>
        <v>149.1592</v>
      </c>
      <c r="R42" s="8" t="n">
        <f aca="false">R41*$D$2</f>
        <v>606.20222875</v>
      </c>
      <c r="S42" s="8"/>
      <c r="T42" s="8" t="n">
        <f aca="false">T41*$D$2</f>
        <v>0</v>
      </c>
      <c r="U42" s="8" t="n">
        <f aca="false">U41*$D$2</f>
        <v>2400.035</v>
      </c>
      <c r="V42" s="8"/>
      <c r="W42" s="8" t="n">
        <f aca="false">W41*$D$2</f>
        <v>3115.6818</v>
      </c>
      <c r="X42" s="8" t="n">
        <f aca="false">X41*$D$2</f>
        <v>633.18055</v>
      </c>
      <c r="Y42" s="8" t="n">
        <f aca="false">Y41*$D$2</f>
        <v>3748.86235</v>
      </c>
      <c r="Z42" s="11"/>
      <c r="AA42" s="12" t="n">
        <f aca="false">MAX(AA10:AA39)</f>
        <v>68</v>
      </c>
      <c r="AB42" s="12" t="n">
        <f aca="false">MAX(AB10:AB39)</f>
        <v>33</v>
      </c>
      <c r="AC42" s="13" t="s">
        <v>47</v>
      </c>
    </row>
    <row r="43" customFormat="false" ht="3" hidden="false" customHeight="true" outlineLevel="0" collapsed="false">
      <c r="A43" s="33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3"/>
      <c r="W43" s="35"/>
      <c r="X43" s="35"/>
      <c r="Y43" s="35"/>
      <c r="Z43" s="11"/>
      <c r="AA43" s="12"/>
      <c r="AB43" s="12"/>
      <c r="AC43" s="13"/>
    </row>
    <row r="44" customFormat="false" ht="11.1" hidden="false" customHeight="true" outlineLevel="0" collapsed="false">
      <c r="A44" s="7" t="s">
        <v>48</v>
      </c>
      <c r="B44" s="7"/>
      <c r="C44" s="8"/>
      <c r="D44" s="8"/>
      <c r="E44" s="8"/>
      <c r="F44" s="8"/>
      <c r="G44" s="8"/>
      <c r="H44" s="12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11"/>
      <c r="AA44" s="12" t="n">
        <f aca="false">MIN(AA10:AA39)</f>
        <v>32</v>
      </c>
      <c r="AB44" s="12" t="n">
        <f aca="false">MIN(AB10:AB39)</f>
        <v>4</v>
      </c>
      <c r="AC44" s="13" t="s">
        <v>49</v>
      </c>
    </row>
    <row r="45" customFormat="false" ht="11.1" hidden="false" customHeight="true" outlineLevel="0" collapsed="false">
      <c r="A45" s="7" t="s">
        <v>50</v>
      </c>
      <c r="B45" s="7"/>
      <c r="C45" s="8"/>
      <c r="D45" s="8"/>
      <c r="E45" s="8"/>
      <c r="F45" s="8"/>
      <c r="G45" s="8"/>
      <c r="H45" s="12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11"/>
      <c r="AA45" s="12"/>
      <c r="AB45" s="12"/>
      <c r="AC45" s="13"/>
    </row>
    <row r="46" customFormat="false" ht="3" hidden="false" customHeight="true" outlineLevel="0" collapsed="false">
      <c r="A46" s="33"/>
      <c r="B46" s="33"/>
      <c r="C46" s="35"/>
      <c r="D46" s="35"/>
      <c r="E46" s="35"/>
      <c r="F46" s="35"/>
      <c r="G46" s="35"/>
      <c r="H46" s="38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7"/>
      <c r="AA46" s="12"/>
      <c r="AB46" s="12"/>
      <c r="AC46" s="13"/>
    </row>
    <row r="47" customFormat="false" ht="11.1" hidden="false" customHeight="true" outlineLevel="0" collapsed="false">
      <c r="A47" s="7" t="s">
        <v>51</v>
      </c>
      <c r="B47" s="7"/>
      <c r="C47" s="8"/>
      <c r="D47" s="8"/>
      <c r="E47" s="8"/>
      <c r="F47" s="8" t="n">
        <f aca="false">F8+F41</f>
        <v>2366.5238215276</v>
      </c>
      <c r="G47" s="8" t="n">
        <f aca="false">G8+G41</f>
        <v>3362</v>
      </c>
      <c r="H47" s="12" t="n">
        <f aca="false">H8+H41</f>
        <v>67.9</v>
      </c>
      <c r="I47" s="8" t="n">
        <f aca="false">I8+I41</f>
        <v>3427.2</v>
      </c>
      <c r="J47" s="8" t="n">
        <f aca="false">J8+J41</f>
        <v>829.347693471137</v>
      </c>
      <c r="K47" s="8" t="n">
        <f aca="false">K8+K41</f>
        <v>4256.54769347114</v>
      </c>
      <c r="L47" s="8" t="n">
        <f aca="false">L8+L41</f>
        <v>510.123821527603</v>
      </c>
      <c r="M47" s="8" t="n">
        <f aca="false">M8+M41</f>
        <v>285.6</v>
      </c>
      <c r="N47" s="8"/>
      <c r="O47" s="8"/>
      <c r="P47" s="8" t="n">
        <f aca="false">P8+P41</f>
        <v>0</v>
      </c>
      <c r="Q47" s="8" t="n">
        <f aca="false">Q8+Q41</f>
        <v>75.2</v>
      </c>
      <c r="R47" s="8" t="n">
        <f aca="false">R8+R41</f>
        <v>305.6225</v>
      </c>
      <c r="S47" s="8"/>
      <c r="T47" s="8" t="n">
        <f aca="false">T8+T41</f>
        <v>0</v>
      </c>
      <c r="U47" s="8" t="n">
        <f aca="false">U8+U41</f>
        <v>1210</v>
      </c>
      <c r="V47" s="8" t="n">
        <f aca="false">V39</f>
        <v>4938</v>
      </c>
      <c r="W47" s="8" t="n">
        <f aca="false">W8+W41</f>
        <v>1570.8</v>
      </c>
      <c r="X47" s="8" t="n">
        <f aca="false">X8+X41</f>
        <v>319.223871943534</v>
      </c>
      <c r="Y47" s="8" t="n">
        <f aca="false">Y8+Y41</f>
        <v>1890.02387194353</v>
      </c>
      <c r="Z47" s="32" t="n">
        <f aca="false">Z8+Z41</f>
        <v>3.05</v>
      </c>
      <c r="AA47" s="12"/>
      <c r="AB47" s="12"/>
      <c r="AC47" s="13"/>
    </row>
    <row r="48" customFormat="false" ht="11.1" hidden="false" customHeight="true" outlineLevel="0" collapsed="false">
      <c r="A48" s="7" t="s">
        <v>52</v>
      </c>
      <c r="B48" s="7"/>
      <c r="C48" s="8"/>
      <c r="D48" s="8" t="n">
        <f aca="false">D8+D42</f>
        <v>4694</v>
      </c>
      <c r="E48" s="8" t="n">
        <f aca="false">E39</f>
        <v>110920</v>
      </c>
      <c r="F48" s="8" t="n">
        <f aca="false">F47*$D$2</f>
        <v>4694</v>
      </c>
      <c r="G48" s="8" t="n">
        <f aca="false">G47*$D$2</f>
        <v>6668.527</v>
      </c>
      <c r="H48" s="12" t="n">
        <f aca="false">H47*$D$2</f>
        <v>134.67965</v>
      </c>
      <c r="I48" s="8" t="n">
        <f aca="false">I47*$D$2</f>
        <v>6797.8512</v>
      </c>
      <c r="J48" s="8" t="n">
        <f aca="false">J47*$D$2</f>
        <v>1645.01115</v>
      </c>
      <c r="K48" s="8" t="n">
        <f aca="false">K47*$D$2</f>
        <v>8442.86235</v>
      </c>
      <c r="L48" s="8" t="n">
        <f aca="false">L47*$D$2</f>
        <v>1011.8306</v>
      </c>
      <c r="M48" s="8" t="n">
        <f aca="false">M47*$D$2</f>
        <v>566.4876</v>
      </c>
      <c r="N48" s="8"/>
      <c r="O48" s="8"/>
      <c r="P48" s="8" t="n">
        <f aca="false">P47*$D$2</f>
        <v>0</v>
      </c>
      <c r="Q48" s="8" t="n">
        <f aca="false">Q47*$D$2</f>
        <v>149.1592</v>
      </c>
      <c r="R48" s="8" t="n">
        <f aca="false">R47*$D$2</f>
        <v>606.20222875</v>
      </c>
      <c r="S48" s="8" t="n">
        <f aca="false">S47*$D$2</f>
        <v>0</v>
      </c>
      <c r="T48" s="8" t="n">
        <f aca="false">T47*$D$2</f>
        <v>0</v>
      </c>
      <c r="U48" s="8" t="n">
        <f aca="false">U47*$D$2</f>
        <v>2400.035</v>
      </c>
      <c r="V48" s="8" t="n">
        <f aca="false">V47*$D$2</f>
        <v>9794.523</v>
      </c>
      <c r="W48" s="8" t="n">
        <f aca="false">W47*$D$2</f>
        <v>3115.6818</v>
      </c>
      <c r="X48" s="8" t="n">
        <f aca="false">X47*$D$2</f>
        <v>633.18055</v>
      </c>
      <c r="Y48" s="8" t="n">
        <f aca="false">Y47*$D$2</f>
        <v>3748.86235</v>
      </c>
      <c r="Z48" s="11"/>
      <c r="AA48" s="12"/>
      <c r="AB48" s="12"/>
      <c r="AC48" s="13"/>
    </row>
    <row r="49" customFormat="false" ht="11.1" hidden="false" customHeight="true" outlineLevel="0" collapsed="false">
      <c r="A49" s="33"/>
      <c r="B49" s="33"/>
      <c r="C49" s="35"/>
      <c r="D49" s="33"/>
      <c r="E49" s="35"/>
      <c r="F49" s="33"/>
      <c r="G49" s="33"/>
      <c r="H49" s="36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5"/>
      <c r="T49" s="33"/>
      <c r="U49" s="33"/>
      <c r="V49" s="35"/>
      <c r="W49" s="33"/>
      <c r="X49" s="33"/>
      <c r="Y49" s="33"/>
      <c r="Z49" s="11"/>
      <c r="AA49" s="12"/>
      <c r="AB49" s="12"/>
      <c r="AC49" s="13"/>
    </row>
    <row r="50" customFormat="false" ht="14.1" hidden="false" customHeight="true" outlineLevel="0" collapsed="false">
      <c r="A50" s="42"/>
      <c r="B50" s="43"/>
      <c r="C50" s="8"/>
      <c r="D50" s="7"/>
      <c r="E50" s="8"/>
      <c r="F50" s="7"/>
      <c r="G50" s="7"/>
      <c r="H50" s="9"/>
      <c r="I50" s="7"/>
      <c r="J50" s="7"/>
      <c r="K50" s="7"/>
      <c r="L50" s="7"/>
      <c r="M50" s="7"/>
      <c r="N50" s="7"/>
      <c r="O50" s="7"/>
      <c r="P50" s="7"/>
      <c r="Q50" s="7"/>
      <c r="R50" s="7"/>
      <c r="S50" s="8"/>
      <c r="T50" s="7"/>
      <c r="U50" s="7"/>
      <c r="V50" s="8"/>
      <c r="W50" s="7"/>
      <c r="X50" s="7"/>
      <c r="Y50" s="7"/>
      <c r="Z50" s="11"/>
      <c r="AA50" s="12"/>
      <c r="AB50" s="12"/>
      <c r="AC50" s="13"/>
    </row>
    <row r="51" customFormat="false" ht="11.1" hidden="false" customHeight="true" outlineLevel="0" collapsed="false">
      <c r="A51" s="7"/>
      <c r="B51" s="31"/>
      <c r="C51" s="8"/>
      <c r="D51" s="41"/>
      <c r="E51" s="8"/>
      <c r="F51" s="7"/>
      <c r="G51" s="7"/>
      <c r="H51" s="41"/>
      <c r="I51" s="9"/>
      <c r="J51" s="7"/>
      <c r="K51" s="44"/>
      <c r="L51" s="7"/>
      <c r="M51" s="7"/>
      <c r="N51" s="7"/>
      <c r="O51" s="7"/>
      <c r="P51" s="7"/>
      <c r="Q51" s="7"/>
      <c r="R51" s="7"/>
      <c r="S51" s="8"/>
      <c r="T51" s="7"/>
      <c r="U51" s="7"/>
      <c r="V51" s="8"/>
      <c r="W51" s="7"/>
      <c r="X51" s="7"/>
      <c r="Y51" s="7"/>
      <c r="Z51" s="11"/>
      <c r="AA51" s="12"/>
      <c r="AB51" s="12"/>
      <c r="AC51" s="13"/>
    </row>
    <row r="52" customFormat="false" ht="11.1" hidden="false" customHeight="true" outlineLevel="0" collapsed="false">
      <c r="B52" s="41"/>
      <c r="C52" s="8"/>
      <c r="D52" s="8"/>
      <c r="E52" s="8"/>
      <c r="F52" s="41"/>
      <c r="G52" s="41"/>
      <c r="H52" s="9"/>
      <c r="I52" s="41"/>
      <c r="J52" s="41"/>
      <c r="K52" s="41"/>
      <c r="L52" s="41"/>
      <c r="M52" s="32"/>
      <c r="N52" s="32"/>
      <c r="O52" s="32"/>
      <c r="P52" s="41"/>
      <c r="Q52" s="41"/>
      <c r="R52" s="41"/>
      <c r="S52" s="8"/>
      <c r="T52" s="41"/>
      <c r="U52" s="41"/>
      <c r="V52" s="8"/>
      <c r="W52" s="41"/>
      <c r="X52" s="41"/>
      <c r="Y52" s="41"/>
      <c r="Z52" s="11"/>
      <c r="AA52" s="12"/>
      <c r="AB52" s="12"/>
      <c r="AC52" s="13"/>
    </row>
    <row r="53" customFormat="false" ht="11.1" hidden="false" customHeight="true" outlineLevel="0" collapsed="false">
      <c r="A53" s="41"/>
      <c r="B53" s="11"/>
      <c r="C53" s="8"/>
      <c r="D53" s="8"/>
      <c r="E53" s="8"/>
      <c r="F53" s="41"/>
      <c r="G53" s="41"/>
      <c r="H53" s="9"/>
      <c r="I53" s="41"/>
      <c r="J53" s="41"/>
      <c r="K53" s="41"/>
      <c r="L53" s="41"/>
      <c r="M53" s="32"/>
      <c r="N53" s="32"/>
      <c r="O53" s="32"/>
      <c r="P53" s="41"/>
      <c r="Q53" s="41"/>
      <c r="R53" s="41"/>
      <c r="S53" s="8"/>
      <c r="T53" s="41"/>
      <c r="U53" s="41"/>
      <c r="V53" s="8"/>
      <c r="W53" s="41"/>
      <c r="X53" s="41"/>
      <c r="Y53" s="41"/>
      <c r="Z53" s="11"/>
      <c r="AA53" s="12"/>
      <c r="AB53" s="12"/>
      <c r="AC53" s="13"/>
    </row>
    <row r="54" customFormat="false" ht="11.1" hidden="false" customHeight="true" outlineLevel="0" collapsed="false">
      <c r="A54" s="41"/>
      <c r="B54" s="41"/>
      <c r="C54" s="8"/>
      <c r="D54" s="41"/>
      <c r="E54" s="8"/>
      <c r="F54" s="41"/>
      <c r="G54" s="45"/>
      <c r="H54" s="9"/>
      <c r="I54" s="41"/>
      <c r="J54" s="41"/>
      <c r="K54" s="41"/>
      <c r="L54" s="41"/>
      <c r="M54" s="32"/>
      <c r="N54" s="32"/>
      <c r="O54" s="32"/>
      <c r="P54" s="41"/>
      <c r="Q54" s="41"/>
      <c r="R54" s="41"/>
      <c r="S54" s="8"/>
      <c r="T54" s="41"/>
      <c r="U54" s="41"/>
      <c r="V54" s="8"/>
      <c r="W54" s="41"/>
      <c r="X54" s="41"/>
      <c r="Y54" s="41"/>
      <c r="Z54" s="11"/>
      <c r="AA54" s="12"/>
      <c r="AB54" s="12"/>
      <c r="AC54" s="13"/>
    </row>
  </sheetData>
  <mergeCells count="1"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55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pane xSplit="1" ySplit="7" topLeftCell="B29" activePane="bottomRight" state="frozen"/>
      <selection pane="topLeft" activeCell="A3" activeCellId="0" sqref="A3"/>
      <selection pane="topRight" activeCell="B3" activeCellId="0" sqref="B3"/>
      <selection pane="bottomLeft" activeCell="A29" activeCellId="0" sqref="A29"/>
      <selection pane="bottomRight" activeCell="AG5" activeCellId="0" sqref="AG5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6.82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6.66"/>
    <col collapsed="false" customWidth="true" hidden="false" outlineLevel="0" max="19" min="19" style="47" width="6.66"/>
    <col collapsed="false" customWidth="true" hidden="false" outlineLevel="0" max="20" min="20" style="46" width="5.82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</row>
    <row r="2" customFormat="false" ht="14.1" hidden="false" customHeight="true" outlineLevel="0" collapsed="false">
      <c r="A2" s="53" t="s">
        <v>1</v>
      </c>
      <c r="B2" s="53"/>
      <c r="C2" s="54"/>
      <c r="D2" s="60" t="n">
        <v>1.9835</v>
      </c>
      <c r="E2" s="54"/>
      <c r="F2" s="53"/>
      <c r="G2" s="53"/>
      <c r="H2" s="55"/>
      <c r="I2" s="53"/>
      <c r="J2" s="53"/>
      <c r="K2" s="61" t="s">
        <v>53</v>
      </c>
      <c r="L2" s="61"/>
      <c r="M2" s="61"/>
      <c r="N2" s="61"/>
      <c r="O2" s="61"/>
      <c r="P2" s="61"/>
      <c r="Q2" s="61"/>
      <c r="R2" s="61"/>
      <c r="S2" s="61"/>
      <c r="T2" s="61"/>
      <c r="U2" s="53"/>
      <c r="V2" s="54"/>
      <c r="W2" s="53"/>
      <c r="X2" s="53"/>
      <c r="Y2" s="53"/>
      <c r="Z2" s="57"/>
      <c r="AA2" s="58"/>
      <c r="AB2" s="58"/>
      <c r="AC2" s="59"/>
    </row>
    <row r="3" customFormat="false" ht="11.1" hidden="false" customHeight="true" outlineLevel="0" collapsed="false">
      <c r="A3" s="53"/>
      <c r="B3" s="53"/>
      <c r="C3" s="54"/>
      <c r="D3" s="62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14</v>
      </c>
      <c r="Q4" s="63" t="s">
        <v>15</v>
      </c>
      <c r="R4" s="63" t="s">
        <v>12</v>
      </c>
      <c r="S4" s="64" t="s">
        <v>16</v>
      </c>
      <c r="T4" s="63" t="s">
        <v>17</v>
      </c>
      <c r="U4" s="63" t="s">
        <v>18</v>
      </c>
      <c r="V4" s="64" t="s">
        <v>19</v>
      </c>
      <c r="W4" s="63" t="s">
        <v>10</v>
      </c>
      <c r="X4" s="63" t="s">
        <v>11</v>
      </c>
      <c r="Y4" s="63" t="s">
        <v>12</v>
      </c>
      <c r="Z4" s="66" t="s">
        <v>20</v>
      </c>
      <c r="AA4" s="67" t="s">
        <v>21</v>
      </c>
      <c r="AB4" s="67" t="s">
        <v>22</v>
      </c>
      <c r="AC4" s="67" t="s">
        <v>3</v>
      </c>
    </row>
    <row r="5" customFormat="false" ht="11.1" hidden="false" customHeight="true" outlineLevel="0" collapsed="false">
      <c r="A5" s="68" t="s">
        <v>54</v>
      </c>
      <c r="B5" s="63" t="s">
        <v>24</v>
      </c>
      <c r="C5" s="64" t="s">
        <v>5</v>
      </c>
      <c r="D5" s="63" t="s">
        <v>25</v>
      </c>
      <c r="E5" s="64" t="s">
        <v>26</v>
      </c>
      <c r="F5" s="63" t="s">
        <v>27</v>
      </c>
      <c r="G5" s="63" t="s">
        <v>28</v>
      </c>
      <c r="H5" s="65" t="s">
        <v>29</v>
      </c>
      <c r="I5" s="63" t="s">
        <v>30</v>
      </c>
      <c r="J5" s="63" t="s">
        <v>30</v>
      </c>
      <c r="K5" s="63" t="s">
        <v>30</v>
      </c>
      <c r="L5" s="63" t="s">
        <v>31</v>
      </c>
      <c r="M5" s="63" t="s">
        <v>32</v>
      </c>
      <c r="N5" s="63" t="s">
        <v>33</v>
      </c>
      <c r="O5" s="63" t="s">
        <v>34</v>
      </c>
      <c r="P5" s="63" t="s">
        <v>35</v>
      </c>
      <c r="Q5" s="63" t="s">
        <v>36</v>
      </c>
      <c r="R5" s="63" t="s">
        <v>16</v>
      </c>
      <c r="S5" s="64" t="s">
        <v>37</v>
      </c>
      <c r="T5" s="63" t="s">
        <v>38</v>
      </c>
      <c r="U5" s="63" t="s">
        <v>39</v>
      </c>
      <c r="V5" s="64" t="s">
        <v>40</v>
      </c>
      <c r="W5" s="63" t="s">
        <v>41</v>
      </c>
      <c r="X5" s="63" t="s">
        <v>41</v>
      </c>
      <c r="Y5" s="63" t="s">
        <v>41</v>
      </c>
      <c r="Z5" s="69"/>
      <c r="AA5" s="67" t="s">
        <v>42</v>
      </c>
      <c r="AB5" s="67" t="s">
        <v>42</v>
      </c>
      <c r="AC5" s="70" t="s">
        <v>54</v>
      </c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</row>
    <row r="7" customFormat="false" ht="11.1" hidden="false" customHeight="true" outlineLevel="0" collapsed="false">
      <c r="A7" s="53" t="s">
        <v>43</v>
      </c>
      <c r="B7" s="53"/>
      <c r="C7" s="54"/>
      <c r="D7" s="54"/>
      <c r="E7" s="54"/>
      <c r="F7" s="54"/>
      <c r="G7" s="54"/>
      <c r="H7" s="58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7"/>
      <c r="AA7" s="58"/>
      <c r="AB7" s="58"/>
      <c r="AC7" s="59"/>
    </row>
    <row r="8" s="47" customFormat="true" ht="11.1" hidden="false" customHeight="true" outlineLevel="0" collapsed="false">
      <c r="A8" s="54" t="s">
        <v>44</v>
      </c>
      <c r="B8" s="74" t="n">
        <f aca="false" t="array" ref="B8:C8">NOV!$B$39:$C$39</f>
        <v>6894.27</v>
      </c>
      <c r="C8" s="54" t="n">
        <v>262920</v>
      </c>
      <c r="D8" s="54" t="n">
        <f aca="false" t="array" ref="D8:E8">NOV!$D$48:$E$48</f>
        <v>4694</v>
      </c>
      <c r="E8" s="54" t="n">
        <v>110920</v>
      </c>
      <c r="F8" s="54" t="n">
        <f aca="false" t="array" ref="F8:Z8">NOV!$F$47:$Z$47</f>
        <v>2366.5238215276</v>
      </c>
      <c r="G8" s="54" t="n">
        <v>3362</v>
      </c>
      <c r="H8" s="58" t="n">
        <v>67.9</v>
      </c>
      <c r="I8" s="54" t="n">
        <v>3427.2</v>
      </c>
      <c r="J8" s="54" t="n">
        <v>829.347693471137</v>
      </c>
      <c r="K8" s="54" t="n">
        <v>4256.54769347114</v>
      </c>
      <c r="L8" s="54" t="n">
        <v>510.123821527603</v>
      </c>
      <c r="M8" s="54" t="n">
        <v>285.6</v>
      </c>
      <c r="N8" s="54" t="n">
        <v>0</v>
      </c>
      <c r="O8" s="54" t="n">
        <v>0</v>
      </c>
      <c r="P8" s="54" t="n">
        <v>0</v>
      </c>
      <c r="Q8" s="54" t="n">
        <v>75.2</v>
      </c>
      <c r="R8" s="54" t="n">
        <v>305.6225</v>
      </c>
      <c r="S8" s="54" t="n">
        <v>0</v>
      </c>
      <c r="T8" s="54" t="n">
        <v>0</v>
      </c>
      <c r="U8" s="54" t="n">
        <v>1210</v>
      </c>
      <c r="V8" s="54" t="n">
        <v>4938</v>
      </c>
      <c r="W8" s="54" t="n">
        <v>1570.8</v>
      </c>
      <c r="X8" s="54" t="n">
        <v>319.223871943534</v>
      </c>
      <c r="Y8" s="54" t="n">
        <v>1890.02387194353</v>
      </c>
      <c r="Z8" s="75" t="n">
        <v>3.05</v>
      </c>
      <c r="AA8" s="58"/>
      <c r="AB8" s="58"/>
      <c r="AC8" s="59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79"/>
      <c r="I9" s="76"/>
      <c r="J9" s="76"/>
      <c r="K9" s="76"/>
      <c r="L9" s="76"/>
      <c r="M9" s="76"/>
      <c r="N9" s="76"/>
      <c r="O9" s="76"/>
      <c r="P9" s="76"/>
      <c r="Q9" s="76"/>
      <c r="R9" s="76"/>
      <c r="S9" s="78"/>
      <c r="T9" s="76"/>
      <c r="U9" s="76"/>
      <c r="V9" s="78"/>
      <c r="W9" s="76"/>
      <c r="X9" s="76"/>
      <c r="Y9" s="76"/>
      <c r="Z9" s="80"/>
      <c r="AA9" s="81"/>
      <c r="AB9" s="81"/>
      <c r="AC9" s="82"/>
    </row>
    <row r="10" customFormat="false" ht="11.1" hidden="false" customHeight="true" outlineLevel="0" collapsed="false">
      <c r="A10" s="59" t="n">
        <v>1</v>
      </c>
      <c r="B10" s="74" t="n">
        <v>6894.31</v>
      </c>
      <c r="C10" s="54" t="n">
        <v>263061</v>
      </c>
      <c r="D10" s="58" t="n">
        <f aca="false">C10-C8</f>
        <v>141</v>
      </c>
      <c r="E10" s="54" t="n">
        <f aca="false">C10-152000</f>
        <v>111061</v>
      </c>
      <c r="F10" s="53" t="n">
        <f aca="false">D10/$D$2</f>
        <v>71.0864633224099</v>
      </c>
      <c r="G10" s="53" t="n">
        <v>99</v>
      </c>
      <c r="H10" s="55" t="n">
        <v>3</v>
      </c>
      <c r="I10" s="53" t="n">
        <f aca="false">G10+H10</f>
        <v>102</v>
      </c>
      <c r="J10" s="75" t="n">
        <f aca="false">IF(L10&gt;0,L10,0)</f>
        <v>11.7864633224099</v>
      </c>
      <c r="K10" s="53" t="n">
        <f aca="false">I10+J10</f>
        <v>113.78646332241</v>
      </c>
      <c r="L10" s="53" t="n">
        <f aca="false">F10-(I10-W10)</f>
        <v>11.7864633224099</v>
      </c>
      <c r="M10" s="53" t="n">
        <v>3.7</v>
      </c>
      <c r="N10" s="53" t="n">
        <v>0</v>
      </c>
      <c r="O10" s="53" t="n">
        <f aca="false">M10-N10</f>
        <v>3.7</v>
      </c>
      <c r="P10" s="53" t="n">
        <v>0</v>
      </c>
      <c r="Q10" s="53" t="n">
        <v>0</v>
      </c>
      <c r="R10" s="53" t="n">
        <f aca="false">SUM(O10:Q10)</f>
        <v>3.7</v>
      </c>
      <c r="S10" s="54"/>
      <c r="T10" s="53" t="n">
        <v>0</v>
      </c>
      <c r="U10" s="53" t="n">
        <v>39</v>
      </c>
      <c r="V10" s="54" t="n">
        <f aca="false">V8-U10</f>
        <v>4899</v>
      </c>
      <c r="W10" s="53" t="n">
        <f aca="false">R10+T10+N10+U10</f>
        <v>42.7</v>
      </c>
      <c r="X10" s="53" t="n">
        <f aca="false">IF(L10&lt;0,L10*-1,0)</f>
        <v>0</v>
      </c>
      <c r="Y10" s="53" t="n">
        <f aca="false">W10+X10</f>
        <v>42.7</v>
      </c>
      <c r="Z10" s="57" t="n">
        <v>0</v>
      </c>
      <c r="AA10" s="58" t="n">
        <v>62</v>
      </c>
      <c r="AB10" s="58" t="n">
        <v>26</v>
      </c>
      <c r="AC10" s="59" t="n">
        <v>1</v>
      </c>
    </row>
    <row r="11" customFormat="false" ht="11.1" hidden="false" customHeight="true" outlineLevel="0" collapsed="false">
      <c r="A11" s="59" t="n">
        <f aca="false">A10+1</f>
        <v>2</v>
      </c>
      <c r="B11" s="74" t="n">
        <v>6894.37</v>
      </c>
      <c r="C11" s="54" t="n">
        <v>263273</v>
      </c>
      <c r="D11" s="58" t="n">
        <f aca="false">C11-C10</f>
        <v>212</v>
      </c>
      <c r="E11" s="54" t="n">
        <f aca="false">C11-152000</f>
        <v>111273</v>
      </c>
      <c r="F11" s="53" t="n">
        <f aca="false">D11/$D$2</f>
        <v>106.881774640787</v>
      </c>
      <c r="G11" s="53" t="n">
        <v>104</v>
      </c>
      <c r="H11" s="55" t="n">
        <v>2.8</v>
      </c>
      <c r="I11" s="53" t="n">
        <f aca="false">G11+H11</f>
        <v>106.8</v>
      </c>
      <c r="J11" s="75" t="n">
        <f aca="false">IF(L11&gt;0,L11,0)</f>
        <v>43.5817746407865</v>
      </c>
      <c r="K11" s="53" t="n">
        <f aca="false">I11+J11</f>
        <v>150.381774640786</v>
      </c>
      <c r="L11" s="53" t="n">
        <f aca="false">F11-(I11-W11)</f>
        <v>43.5817746407865</v>
      </c>
      <c r="M11" s="53" t="n">
        <v>4.5</v>
      </c>
      <c r="N11" s="53" t="n">
        <v>0</v>
      </c>
      <c r="O11" s="53" t="n">
        <f aca="false">M11-N11</f>
        <v>4.5</v>
      </c>
      <c r="P11" s="53" t="n">
        <v>0</v>
      </c>
      <c r="Q11" s="53" t="n">
        <v>0</v>
      </c>
      <c r="R11" s="53" t="n">
        <f aca="false">SUM(O11:Q11)</f>
        <v>4.5</v>
      </c>
      <c r="S11" s="54"/>
      <c r="T11" s="53" t="n">
        <v>0</v>
      </c>
      <c r="U11" s="53" t="n">
        <v>39</v>
      </c>
      <c r="V11" s="54" t="n">
        <f aca="false">V10-U11</f>
        <v>4860</v>
      </c>
      <c r="W11" s="53" t="n">
        <f aca="false">R11+T11+N11+U11</f>
        <v>43.5</v>
      </c>
      <c r="X11" s="53" t="n">
        <f aca="false">IF(L11&lt;0,L11*-1,0)</f>
        <v>0</v>
      </c>
      <c r="Y11" s="53" t="n">
        <f aca="false">W11+X11</f>
        <v>43.5</v>
      </c>
      <c r="Z11" s="57" t="n">
        <v>0</v>
      </c>
      <c r="AA11" s="58" t="n">
        <v>60</v>
      </c>
      <c r="AB11" s="58" t="n">
        <v>30</v>
      </c>
      <c r="AC11" s="59" t="n">
        <f aca="false">AC10+1</f>
        <v>2</v>
      </c>
    </row>
    <row r="12" customFormat="false" ht="11.1" hidden="false" customHeight="true" outlineLevel="0" collapsed="false">
      <c r="A12" s="59" t="n">
        <f aca="false">A11+1</f>
        <v>3</v>
      </c>
      <c r="B12" s="74" t="n">
        <v>6894.41</v>
      </c>
      <c r="C12" s="54" t="n">
        <v>263414</v>
      </c>
      <c r="D12" s="58" t="n">
        <f aca="false">C12-C11</f>
        <v>141</v>
      </c>
      <c r="E12" s="54" t="n">
        <f aca="false">C12-152000</f>
        <v>111414</v>
      </c>
      <c r="F12" s="53" t="n">
        <f aca="false">D12/$D$2</f>
        <v>71.0864633224099</v>
      </c>
      <c r="G12" s="53" t="n">
        <v>99</v>
      </c>
      <c r="H12" s="55" t="n">
        <v>2.3</v>
      </c>
      <c r="I12" s="53" t="n">
        <f aca="false">G12+H12</f>
        <v>101.3</v>
      </c>
      <c r="J12" s="75" t="n">
        <f aca="false">IF(L12&gt;0,L12,0)</f>
        <v>14.1864633224099</v>
      </c>
      <c r="K12" s="53" t="n">
        <f aca="false">I12+J12</f>
        <v>115.48646332241</v>
      </c>
      <c r="L12" s="53" t="n">
        <f aca="false">F12-(I12-W12)</f>
        <v>14.1864633224099</v>
      </c>
      <c r="M12" s="53" t="n">
        <v>5.4</v>
      </c>
      <c r="N12" s="53" t="n">
        <v>0</v>
      </c>
      <c r="O12" s="53" t="n">
        <f aca="false">M12-N12</f>
        <v>5.4</v>
      </c>
      <c r="P12" s="53" t="n">
        <v>0</v>
      </c>
      <c r="Q12" s="53" t="n">
        <v>0</v>
      </c>
      <c r="R12" s="53" t="n">
        <f aca="false">SUM(O12:Q12)</f>
        <v>5.4</v>
      </c>
      <c r="S12" s="54"/>
      <c r="T12" s="53" t="n">
        <v>0</v>
      </c>
      <c r="U12" s="53" t="n">
        <v>39</v>
      </c>
      <c r="V12" s="54" t="n">
        <f aca="false">V11-U12</f>
        <v>4821</v>
      </c>
      <c r="W12" s="53" t="n">
        <f aca="false">R12+T12+N12+U12</f>
        <v>44.4</v>
      </c>
      <c r="X12" s="53" t="n">
        <f aca="false">IF(L12&lt;0,L12*-1,0)</f>
        <v>0</v>
      </c>
      <c r="Y12" s="53" t="n">
        <f aca="false">W12+X12</f>
        <v>44.4</v>
      </c>
      <c r="Z12" s="57" t="n">
        <v>0</v>
      </c>
      <c r="AA12" s="58" t="n">
        <v>58</v>
      </c>
      <c r="AB12" s="58" t="n">
        <v>28</v>
      </c>
      <c r="AC12" s="59" t="n">
        <f aca="false">AC11+1</f>
        <v>3</v>
      </c>
    </row>
    <row r="13" customFormat="false" ht="11.1" hidden="false" customHeight="true" outlineLevel="0" collapsed="false">
      <c r="A13" s="59" t="n">
        <f aca="false">A12+1</f>
        <v>4</v>
      </c>
      <c r="B13" s="74" t="n">
        <v>6894.45</v>
      </c>
      <c r="C13" s="54" t="n">
        <v>263555</v>
      </c>
      <c r="D13" s="58" t="n">
        <f aca="false">C13-C12</f>
        <v>141</v>
      </c>
      <c r="E13" s="54" t="n">
        <f aca="false">C13-152000</f>
        <v>111555</v>
      </c>
      <c r="F13" s="53" t="n">
        <f aca="false">D13/$D$2</f>
        <v>71.0864633224099</v>
      </c>
      <c r="G13" s="53" t="n">
        <v>96</v>
      </c>
      <c r="H13" s="55" t="n">
        <v>2.1</v>
      </c>
      <c r="I13" s="53" t="n">
        <f aca="false">G13+H13</f>
        <v>98.1</v>
      </c>
      <c r="J13" s="75" t="n">
        <f aca="false">IF(L13&gt;0,L13,0)</f>
        <v>17.0864633224099</v>
      </c>
      <c r="K13" s="53" t="n">
        <f aca="false">I13+J13</f>
        <v>115.18646332241</v>
      </c>
      <c r="L13" s="53" t="n">
        <f aca="false">F13-(I13-W13)</f>
        <v>17.0864633224099</v>
      </c>
      <c r="M13" s="53" t="n">
        <v>5.1</v>
      </c>
      <c r="N13" s="53" t="n">
        <v>0</v>
      </c>
      <c r="O13" s="53" t="n">
        <f aca="false">M13-N13</f>
        <v>5.1</v>
      </c>
      <c r="P13" s="53" t="n">
        <v>0</v>
      </c>
      <c r="Q13" s="53" t="n">
        <v>0</v>
      </c>
      <c r="R13" s="53" t="n">
        <f aca="false">SUM(O13:Q13)</f>
        <v>5.1</v>
      </c>
      <c r="S13" s="54"/>
      <c r="T13" s="53" t="n">
        <v>0</v>
      </c>
      <c r="U13" s="53" t="n">
        <v>39</v>
      </c>
      <c r="V13" s="54" t="n">
        <f aca="false">V12-U13</f>
        <v>4782</v>
      </c>
      <c r="W13" s="53" t="n">
        <f aca="false">R13+T13+N13+U13</f>
        <v>44.1</v>
      </c>
      <c r="X13" s="53" t="n">
        <f aca="false">IF(L13&lt;0,L13*-1,0)</f>
        <v>0</v>
      </c>
      <c r="Y13" s="53" t="n">
        <f aca="false">W13+X13</f>
        <v>44.1</v>
      </c>
      <c r="Z13" s="57" t="n">
        <v>0.2</v>
      </c>
      <c r="AA13" s="58" t="n">
        <v>54</v>
      </c>
      <c r="AB13" s="58" t="n">
        <v>29</v>
      </c>
      <c r="AC13" s="59" t="n">
        <f aca="false">AC12+1</f>
        <v>4</v>
      </c>
    </row>
    <row r="14" customFormat="false" ht="11.1" hidden="false" customHeight="true" outlineLevel="0" collapsed="false">
      <c r="A14" s="59" t="n">
        <f aca="false">A13+1</f>
        <v>5</v>
      </c>
      <c r="B14" s="74" t="n">
        <v>6894.49</v>
      </c>
      <c r="C14" s="54" t="n">
        <v>263696</v>
      </c>
      <c r="D14" s="58" t="n">
        <f aca="false">C14-C13</f>
        <v>141</v>
      </c>
      <c r="E14" s="54" t="n">
        <f aca="false">C14-152000</f>
        <v>111696</v>
      </c>
      <c r="F14" s="53" t="n">
        <f aca="false">D14/$D$2</f>
        <v>71.0864633224099</v>
      </c>
      <c r="G14" s="53" t="n">
        <v>98</v>
      </c>
      <c r="H14" s="55" t="n">
        <v>2.1</v>
      </c>
      <c r="I14" s="53" t="n">
        <f aca="false">G14+H14</f>
        <v>100.1</v>
      </c>
      <c r="J14" s="75" t="n">
        <f aca="false">IF(L14&gt;0,L14,0)</f>
        <v>15.0864633224099</v>
      </c>
      <c r="K14" s="53" t="n">
        <f aca="false">I14+J14</f>
        <v>115.18646332241</v>
      </c>
      <c r="L14" s="53" t="n">
        <f aca="false">F14-(I14-W14)</f>
        <v>15.0864633224099</v>
      </c>
      <c r="M14" s="53" t="n">
        <v>5.1</v>
      </c>
      <c r="N14" s="53" t="n">
        <v>0</v>
      </c>
      <c r="O14" s="53" t="n">
        <f aca="false">M14-N14</f>
        <v>5.1</v>
      </c>
      <c r="P14" s="53" t="n">
        <v>0</v>
      </c>
      <c r="Q14" s="53" t="n">
        <v>0</v>
      </c>
      <c r="R14" s="53" t="n">
        <f aca="false">SUM(O14:Q14)</f>
        <v>5.1</v>
      </c>
      <c r="S14" s="54"/>
      <c r="T14" s="53" t="n">
        <v>0</v>
      </c>
      <c r="U14" s="53" t="n">
        <v>39</v>
      </c>
      <c r="V14" s="54" t="n">
        <f aca="false">V13-U14</f>
        <v>4743</v>
      </c>
      <c r="W14" s="53" t="n">
        <f aca="false">R14+T14+N14+U14</f>
        <v>44.1</v>
      </c>
      <c r="X14" s="53" t="n">
        <f aca="false">IF(L14&lt;0,L14*-1,0)</f>
        <v>0</v>
      </c>
      <c r="Y14" s="53" t="n">
        <f aca="false">W14+X14</f>
        <v>44.1</v>
      </c>
      <c r="Z14" s="57" t="n">
        <v>0.09</v>
      </c>
      <c r="AA14" s="58" t="n">
        <v>38</v>
      </c>
      <c r="AB14" s="58" t="n">
        <v>18</v>
      </c>
      <c r="AC14" s="59" t="n">
        <f aca="false">AC13+1</f>
        <v>5</v>
      </c>
    </row>
    <row r="15" customFormat="false" ht="11.1" hidden="false" customHeight="true" outlineLevel="0" collapsed="false">
      <c r="A15" s="59" t="n">
        <f aca="false">A14+1</f>
        <v>6</v>
      </c>
      <c r="B15" s="74" t="n">
        <v>6894.52</v>
      </c>
      <c r="C15" s="54" t="n">
        <v>263802</v>
      </c>
      <c r="D15" s="58" t="n">
        <f aca="false">C15-C14</f>
        <v>106</v>
      </c>
      <c r="E15" s="54" t="n">
        <f aca="false">C15-152000</f>
        <v>111802</v>
      </c>
      <c r="F15" s="53" t="n">
        <f aca="false">D15/$D$2</f>
        <v>53.4408873203932</v>
      </c>
      <c r="G15" s="53" t="n">
        <v>90</v>
      </c>
      <c r="H15" s="55" t="n">
        <v>2.4</v>
      </c>
      <c r="I15" s="53" t="n">
        <f aca="false">G15</f>
        <v>90</v>
      </c>
      <c r="J15" s="75" t="n">
        <f aca="false">IF(L15&gt;0,L15,0)</f>
        <v>7.54088732039325</v>
      </c>
      <c r="K15" s="53" t="n">
        <f aca="false">I15+J15</f>
        <v>97.5408873203932</v>
      </c>
      <c r="L15" s="53" t="n">
        <f aca="false">F15-(I15-W15)</f>
        <v>7.54088732039325</v>
      </c>
      <c r="M15" s="53" t="n">
        <v>5.1</v>
      </c>
      <c r="N15" s="53" t="n">
        <v>0</v>
      </c>
      <c r="O15" s="53" t="n">
        <f aca="false">M15-N15</f>
        <v>5.1</v>
      </c>
      <c r="P15" s="53" t="n">
        <v>0</v>
      </c>
      <c r="Q15" s="53" t="n">
        <v>0</v>
      </c>
      <c r="R15" s="53" t="n">
        <f aca="false">SUM(O15:Q15)</f>
        <v>5.1</v>
      </c>
      <c r="S15" s="54"/>
      <c r="T15" s="53" t="n">
        <v>0</v>
      </c>
      <c r="U15" s="53" t="n">
        <v>39</v>
      </c>
      <c r="V15" s="54" t="n">
        <f aca="false">V14-U15</f>
        <v>4704</v>
      </c>
      <c r="W15" s="53" t="n">
        <f aca="false">R15+T15+N15+U15</f>
        <v>44.1</v>
      </c>
      <c r="X15" s="53" t="n">
        <f aca="false">IF(L15&lt;0,L15*-1,0)</f>
        <v>0</v>
      </c>
      <c r="Y15" s="53" t="n">
        <f aca="false">W15+X15</f>
        <v>44.1</v>
      </c>
      <c r="Z15" s="57" t="n">
        <v>0</v>
      </c>
      <c r="AA15" s="58" t="n">
        <v>33</v>
      </c>
      <c r="AB15" s="58" t="n">
        <v>-1</v>
      </c>
      <c r="AC15" s="59" t="n">
        <f aca="false">AC14+1</f>
        <v>6</v>
      </c>
    </row>
    <row r="16" customFormat="false" ht="11.1" hidden="false" customHeight="true" outlineLevel="0" collapsed="false">
      <c r="A16" s="59" t="n">
        <f aca="false">A15+1</f>
        <v>7</v>
      </c>
      <c r="B16" s="74" t="n">
        <v>6894.52</v>
      </c>
      <c r="C16" s="54" t="n">
        <v>263802</v>
      </c>
      <c r="D16" s="58" t="n">
        <f aca="false">C16-C15</f>
        <v>0</v>
      </c>
      <c r="E16" s="54" t="n">
        <f aca="false">C16-152000</f>
        <v>111802</v>
      </c>
      <c r="F16" s="53" t="n">
        <f aca="false">D16/$D$2</f>
        <v>0</v>
      </c>
      <c r="G16" s="53" t="n">
        <v>76</v>
      </c>
      <c r="H16" s="55" t="n">
        <v>4.5</v>
      </c>
      <c r="I16" s="53" t="n">
        <f aca="false">G16+H16</f>
        <v>80.5</v>
      </c>
      <c r="J16" s="75" t="n">
        <f aca="false">IF(L16&gt;0,L16,0)</f>
        <v>0</v>
      </c>
      <c r="K16" s="53" t="n">
        <f aca="false">I16+J16</f>
        <v>80.5</v>
      </c>
      <c r="L16" s="53" t="n">
        <f aca="false">F16-(I16-W16)</f>
        <v>-36.1</v>
      </c>
      <c r="M16" s="53" t="n">
        <v>5.4</v>
      </c>
      <c r="N16" s="53" t="n">
        <v>0</v>
      </c>
      <c r="O16" s="53" t="n">
        <f aca="false">M16-N16</f>
        <v>5.4</v>
      </c>
      <c r="P16" s="53" t="n">
        <v>0</v>
      </c>
      <c r="Q16" s="53" t="n">
        <v>0</v>
      </c>
      <c r="R16" s="53" t="n">
        <f aca="false">SUM(O16:Q16)</f>
        <v>5.4</v>
      </c>
      <c r="S16" s="54"/>
      <c r="T16" s="53" t="n">
        <v>0</v>
      </c>
      <c r="U16" s="53" t="n">
        <v>39</v>
      </c>
      <c r="V16" s="54" t="n">
        <f aca="false">V15-U16</f>
        <v>4665</v>
      </c>
      <c r="W16" s="53" t="n">
        <f aca="false">R16+T16+N16+U16</f>
        <v>44.4</v>
      </c>
      <c r="X16" s="53" t="n">
        <f aca="false">IF(L16&lt;0,L16*-1,0)</f>
        <v>36.1</v>
      </c>
      <c r="Y16" s="53" t="n">
        <f aca="false">W16+X16</f>
        <v>80.5</v>
      </c>
      <c r="Z16" s="57" t="n">
        <v>0</v>
      </c>
      <c r="AA16" s="58" t="n">
        <v>38</v>
      </c>
      <c r="AB16" s="58" t="n">
        <v>2</v>
      </c>
      <c r="AC16" s="59" t="n">
        <f aca="false">AC15+1</f>
        <v>7</v>
      </c>
    </row>
    <row r="17" customFormat="false" ht="11.1" hidden="false" customHeight="true" outlineLevel="0" collapsed="false">
      <c r="A17" s="59" t="n">
        <f aca="false">A16+1</f>
        <v>8</v>
      </c>
      <c r="B17" s="74" t="n">
        <v>6894.53</v>
      </c>
      <c r="C17" s="54" t="n">
        <v>263837</v>
      </c>
      <c r="D17" s="58" t="n">
        <f aca="false">C17-C16</f>
        <v>35</v>
      </c>
      <c r="E17" s="54" t="n">
        <f aca="false">C17-152000</f>
        <v>111837</v>
      </c>
      <c r="F17" s="53" t="n">
        <f aca="false">D17/$D$2</f>
        <v>17.6455760020166</v>
      </c>
      <c r="G17" s="53" t="n">
        <v>44</v>
      </c>
      <c r="H17" s="55" t="n">
        <v>2</v>
      </c>
      <c r="I17" s="53" t="n">
        <f aca="false">G17+H17</f>
        <v>46</v>
      </c>
      <c r="J17" s="75" t="n">
        <f aca="false">IF(L17&gt;0,L17,0)</f>
        <v>16.2455760020166</v>
      </c>
      <c r="K17" s="53" t="n">
        <f aca="false">I17+J17</f>
        <v>62.2455760020166</v>
      </c>
      <c r="L17" s="53" t="n">
        <f aca="false">F17-(I17-W17)</f>
        <v>16.2455760020166</v>
      </c>
      <c r="M17" s="53" t="n">
        <v>5.6</v>
      </c>
      <c r="N17" s="53" t="n">
        <v>0</v>
      </c>
      <c r="O17" s="53" t="n">
        <f aca="false">M17-N17</f>
        <v>5.6</v>
      </c>
      <c r="P17" s="53" t="n">
        <v>0</v>
      </c>
      <c r="Q17" s="53" t="n">
        <v>0</v>
      </c>
      <c r="R17" s="53" t="n">
        <f aca="false">SUM(O17:Q17)</f>
        <v>5.6</v>
      </c>
      <c r="S17" s="54"/>
      <c r="T17" s="53" t="n">
        <v>0</v>
      </c>
      <c r="U17" s="53" t="n">
        <v>39</v>
      </c>
      <c r="V17" s="54" t="n">
        <f aca="false">V16-U17</f>
        <v>4626</v>
      </c>
      <c r="W17" s="53" t="n">
        <f aca="false">R17+T17+N17+U17</f>
        <v>44.6</v>
      </c>
      <c r="X17" s="53" t="n">
        <f aca="false">IF(L17&lt;0,L17*-1,0)</f>
        <v>0</v>
      </c>
      <c r="Y17" s="53" t="n">
        <f aca="false">W17+X17</f>
        <v>44.6</v>
      </c>
      <c r="Z17" s="57" t="n">
        <v>0</v>
      </c>
      <c r="AA17" s="58" t="n">
        <v>36</v>
      </c>
      <c r="AB17" s="58" t="n">
        <v>2</v>
      </c>
      <c r="AC17" s="59" t="n">
        <f aca="false">AC16+1</f>
        <v>8</v>
      </c>
    </row>
    <row r="18" customFormat="false" ht="11.1" hidden="false" customHeight="true" outlineLevel="0" collapsed="false">
      <c r="A18" s="59" t="n">
        <f aca="false">A17+1</f>
        <v>9</v>
      </c>
      <c r="B18" s="74" t="n">
        <v>6894.54</v>
      </c>
      <c r="C18" s="54" t="n">
        <v>263872</v>
      </c>
      <c r="D18" s="58" t="n">
        <f aca="false">C18-C17</f>
        <v>35</v>
      </c>
      <c r="E18" s="54" t="n">
        <f aca="false">C18-152000</f>
        <v>111872</v>
      </c>
      <c r="F18" s="53" t="n">
        <f aca="false">D18/$D$2</f>
        <v>17.6455760020166</v>
      </c>
      <c r="G18" s="53" t="n">
        <v>55</v>
      </c>
      <c r="H18" s="55" t="n">
        <v>1.7</v>
      </c>
      <c r="I18" s="53" t="n">
        <f aca="false">G18+H18</f>
        <v>56.7</v>
      </c>
      <c r="J18" s="75" t="n">
        <f aca="false">IF(L18&gt;0,L18,0)</f>
        <v>5.44557600201663</v>
      </c>
      <c r="K18" s="53" t="n">
        <f aca="false">I18+J18</f>
        <v>62.1455760020166</v>
      </c>
      <c r="L18" s="53" t="n">
        <f aca="false">F18-(I18-W18)</f>
        <v>5.44557600201663</v>
      </c>
      <c r="M18" s="53" t="n">
        <v>5.5</v>
      </c>
      <c r="N18" s="53" t="n">
        <v>0</v>
      </c>
      <c r="O18" s="53" t="n">
        <f aca="false">M18-N18</f>
        <v>5.5</v>
      </c>
      <c r="P18" s="53" t="n">
        <v>0</v>
      </c>
      <c r="Q18" s="53" t="n">
        <v>0</v>
      </c>
      <c r="R18" s="53" t="n">
        <f aca="false">SUM(O18:Q18)</f>
        <v>5.5</v>
      </c>
      <c r="S18" s="54"/>
      <c r="T18" s="53" t="n">
        <v>0</v>
      </c>
      <c r="U18" s="53" t="n">
        <v>39</v>
      </c>
      <c r="V18" s="54" t="n">
        <f aca="false">V17-U18</f>
        <v>4587</v>
      </c>
      <c r="W18" s="53" t="n">
        <f aca="false">R18+T18+N18+U18</f>
        <v>44.5</v>
      </c>
      <c r="X18" s="53" t="n">
        <f aca="false">IF(L18&lt;0,L18*-1,0)</f>
        <v>0</v>
      </c>
      <c r="Y18" s="53" t="n">
        <f aca="false">W18+X18</f>
        <v>44.5</v>
      </c>
      <c r="Z18" s="57" t="n">
        <v>0.05</v>
      </c>
      <c r="AA18" s="83" t="n">
        <v>32</v>
      </c>
      <c r="AB18" s="58" t="n">
        <v>13</v>
      </c>
      <c r="AC18" s="59" t="n">
        <f aca="false">AC17+1</f>
        <v>9</v>
      </c>
    </row>
    <row r="19" customFormat="false" ht="11.1" hidden="false" customHeight="true" outlineLevel="0" collapsed="false">
      <c r="A19" s="59" t="n">
        <f aca="false">A18+1</f>
        <v>10</v>
      </c>
      <c r="B19" s="74" t="n">
        <v>6894.55</v>
      </c>
      <c r="C19" s="54" t="n">
        <v>263908</v>
      </c>
      <c r="D19" s="58" t="n">
        <f aca="false">C19-C18</f>
        <v>36</v>
      </c>
      <c r="E19" s="54" t="n">
        <f aca="false">C19-152000</f>
        <v>111908</v>
      </c>
      <c r="F19" s="53" t="n">
        <f aca="false">D19/$D$2</f>
        <v>18.14973531636</v>
      </c>
      <c r="G19" s="53" t="n">
        <v>68</v>
      </c>
      <c r="H19" s="55" t="n">
        <v>1.7</v>
      </c>
      <c r="I19" s="53" t="n">
        <f aca="false">G19+H19</f>
        <v>69.7</v>
      </c>
      <c r="J19" s="75" t="n">
        <f aca="false">IF(L19&gt;0,L19,0)</f>
        <v>0</v>
      </c>
      <c r="K19" s="53" t="n">
        <f aca="false">I19+J19</f>
        <v>69.7</v>
      </c>
      <c r="L19" s="53" t="n">
        <f aca="false">F19-(I19-W19)</f>
        <v>-7.05026468364003</v>
      </c>
      <c r="M19" s="53" t="n">
        <v>5.5</v>
      </c>
      <c r="N19" s="53" t="n">
        <v>0</v>
      </c>
      <c r="O19" s="53" t="n">
        <f aca="false">M19-N19</f>
        <v>5.5</v>
      </c>
      <c r="P19" s="53" t="n">
        <v>0</v>
      </c>
      <c r="Q19" s="53" t="n">
        <v>0</v>
      </c>
      <c r="R19" s="53" t="n">
        <f aca="false">SUM(O19:Q19)</f>
        <v>5.5</v>
      </c>
      <c r="S19" s="54"/>
      <c r="T19" s="53" t="n">
        <v>0</v>
      </c>
      <c r="U19" s="53" t="n">
        <v>39</v>
      </c>
      <c r="V19" s="54" t="n">
        <f aca="false">V18-U19</f>
        <v>4548</v>
      </c>
      <c r="W19" s="53" t="n">
        <f aca="false">R19+T19+N19+U19</f>
        <v>44.5</v>
      </c>
      <c r="X19" s="53" t="n">
        <f aca="false">IF(L19&lt;0,L19*-1,0)</f>
        <v>7.05026468364003</v>
      </c>
      <c r="Y19" s="53" t="n">
        <f aca="false">W19+X19</f>
        <v>51.55026468364</v>
      </c>
      <c r="Z19" s="57" t="n">
        <v>0</v>
      </c>
      <c r="AA19" s="58" t="n">
        <v>41</v>
      </c>
      <c r="AB19" s="58" t="n">
        <v>10</v>
      </c>
      <c r="AC19" s="59" t="n">
        <f aca="false">AC18+1</f>
        <v>10</v>
      </c>
    </row>
    <row r="20" customFormat="false" ht="11.1" hidden="false" customHeight="true" outlineLevel="0" collapsed="false">
      <c r="A20" s="59" t="n">
        <f aca="false">A19+1</f>
        <v>11</v>
      </c>
      <c r="B20" s="74" t="n">
        <v>6894.56</v>
      </c>
      <c r="C20" s="54" t="n">
        <v>263943</v>
      </c>
      <c r="D20" s="58" t="n">
        <f aca="false">C20-C19</f>
        <v>35</v>
      </c>
      <c r="E20" s="54" t="n">
        <f aca="false">C20-152000</f>
        <v>111943</v>
      </c>
      <c r="F20" s="53" t="n">
        <f aca="false">D20/$D$2</f>
        <v>17.6455760020166</v>
      </c>
      <c r="G20" s="53" t="n">
        <v>68</v>
      </c>
      <c r="H20" s="55" t="n">
        <v>1.7</v>
      </c>
      <c r="I20" s="53" t="n">
        <f aca="false">G20+H20</f>
        <v>69.7</v>
      </c>
      <c r="J20" s="75" t="n">
        <f aca="false">IF(L20&gt;0,L20,0)</f>
        <v>0</v>
      </c>
      <c r="K20" s="53" t="n">
        <f aca="false">I20+J20</f>
        <v>69.7</v>
      </c>
      <c r="L20" s="53" t="n">
        <f aca="false">F20-(I20-W20)</f>
        <v>-7.55442399798337</v>
      </c>
      <c r="M20" s="53" t="n">
        <v>5.5</v>
      </c>
      <c r="N20" s="53" t="n">
        <v>0</v>
      </c>
      <c r="O20" s="53" t="n">
        <f aca="false">M20-N20</f>
        <v>5.5</v>
      </c>
      <c r="P20" s="53" t="n">
        <v>0</v>
      </c>
      <c r="Q20" s="53" t="n">
        <v>0</v>
      </c>
      <c r="R20" s="53" t="n">
        <f aca="false">SUM(O20:Q20)</f>
        <v>5.5</v>
      </c>
      <c r="S20" s="54"/>
      <c r="T20" s="53" t="n">
        <v>0</v>
      </c>
      <c r="U20" s="53" t="n">
        <v>39</v>
      </c>
      <c r="V20" s="54" t="n">
        <f aca="false">V19-U20</f>
        <v>4509</v>
      </c>
      <c r="W20" s="53" t="n">
        <f aca="false">R20+T20+N20+U20</f>
        <v>44.5</v>
      </c>
      <c r="X20" s="53" t="n">
        <f aca="false">IF(L20&lt;0,L20*-1,0)</f>
        <v>7.55442399798337</v>
      </c>
      <c r="Y20" s="53" t="n">
        <f aca="false">W20+X20</f>
        <v>52.0544239979834</v>
      </c>
      <c r="Z20" s="57" t="n">
        <v>0</v>
      </c>
      <c r="AA20" s="58" t="n">
        <v>47</v>
      </c>
      <c r="AB20" s="58" t="n">
        <v>7</v>
      </c>
      <c r="AC20" s="59" t="n">
        <f aca="false">AC19+1</f>
        <v>11</v>
      </c>
    </row>
    <row r="21" customFormat="false" ht="11.1" hidden="false" customHeight="true" outlineLevel="0" collapsed="false">
      <c r="A21" s="59" t="n">
        <f aca="false">A20+1</f>
        <v>12</v>
      </c>
      <c r="B21" s="74" t="n">
        <v>6894.58</v>
      </c>
      <c r="C21" s="54" t="n">
        <v>264014</v>
      </c>
      <c r="D21" s="58" t="n">
        <f aca="false">C21-C20</f>
        <v>71</v>
      </c>
      <c r="E21" s="54" t="n">
        <f aca="false">C21-152000</f>
        <v>112014</v>
      </c>
      <c r="F21" s="53" t="n">
        <f aca="false">D21/$D$2</f>
        <v>35.7953113183766</v>
      </c>
      <c r="G21" s="53" t="n">
        <v>62</v>
      </c>
      <c r="H21" s="55" t="n">
        <v>1.6</v>
      </c>
      <c r="I21" s="53" t="n">
        <f aca="false">G21+H21</f>
        <v>63.6</v>
      </c>
      <c r="J21" s="75" t="n">
        <f aca="false">IF(L21&gt;0,L21,0)</f>
        <v>16.6953113183766</v>
      </c>
      <c r="K21" s="53" t="n">
        <f aca="false">I21+J21</f>
        <v>80.2953113183766</v>
      </c>
      <c r="L21" s="53" t="n">
        <f aca="false">F21-(I21-W21)</f>
        <v>16.6953113183766</v>
      </c>
      <c r="M21" s="53" t="n">
        <v>5.5</v>
      </c>
      <c r="N21" s="53" t="n">
        <v>0</v>
      </c>
      <c r="O21" s="53" t="n">
        <f aca="false">M21-N21</f>
        <v>5.5</v>
      </c>
      <c r="P21" s="53" t="n">
        <v>0</v>
      </c>
      <c r="Q21" s="53" t="n">
        <v>0</v>
      </c>
      <c r="R21" s="53" t="n">
        <f aca="false">SUM(O21:Q21)</f>
        <v>5.5</v>
      </c>
      <c r="S21" s="54"/>
      <c r="T21" s="53" t="n">
        <v>0</v>
      </c>
      <c r="U21" s="53" t="n">
        <v>39</v>
      </c>
      <c r="V21" s="54" t="n">
        <f aca="false">V20-U21</f>
        <v>4470</v>
      </c>
      <c r="W21" s="53" t="n">
        <f aca="false">R21+T21+N21+U21</f>
        <v>44.5</v>
      </c>
      <c r="X21" s="53" t="n">
        <f aca="false">IF(L21&lt;0,L21*-1,0)</f>
        <v>0</v>
      </c>
      <c r="Y21" s="53" t="n">
        <f aca="false">W21+X21</f>
        <v>44.5</v>
      </c>
      <c r="Z21" s="57" t="n">
        <v>0</v>
      </c>
      <c r="AA21" s="58" t="n">
        <v>51</v>
      </c>
      <c r="AB21" s="58" t="n">
        <v>11</v>
      </c>
      <c r="AC21" s="59" t="n">
        <f aca="false">AC20+1</f>
        <v>12</v>
      </c>
    </row>
    <row r="22" customFormat="false" ht="11.1" hidden="false" customHeight="true" outlineLevel="0" collapsed="false">
      <c r="A22" s="59" t="n">
        <f aca="false">A21+1</f>
        <v>13</v>
      </c>
      <c r="B22" s="74" t="n">
        <v>6894.61</v>
      </c>
      <c r="C22" s="54" t="n">
        <v>264119</v>
      </c>
      <c r="D22" s="58" t="n">
        <f aca="false">C22-C21</f>
        <v>105</v>
      </c>
      <c r="E22" s="54" t="n">
        <f aca="false">C22-152000</f>
        <v>112119</v>
      </c>
      <c r="F22" s="53" t="n">
        <f aca="false">D22/$D$2</f>
        <v>52.9367280060499</v>
      </c>
      <c r="G22" s="53" t="n">
        <v>66</v>
      </c>
      <c r="H22" s="55" t="n">
        <v>1.4</v>
      </c>
      <c r="I22" s="53" t="n">
        <f aca="false">G22+H22</f>
        <v>67.4</v>
      </c>
      <c r="J22" s="75" t="n">
        <f aca="false">IF(L22&gt;0,L22,0)</f>
        <v>30.0367280060499</v>
      </c>
      <c r="K22" s="53" t="n">
        <f aca="false">I22+J22</f>
        <v>97.4367280060499</v>
      </c>
      <c r="L22" s="53" t="n">
        <f aca="false">F22-(I22-W22)</f>
        <v>30.0367280060499</v>
      </c>
      <c r="M22" s="53" t="n">
        <v>5.5</v>
      </c>
      <c r="N22" s="53" t="n">
        <v>0</v>
      </c>
      <c r="O22" s="53" t="n">
        <f aca="false">M22-N22</f>
        <v>5.5</v>
      </c>
      <c r="P22" s="53" t="n">
        <v>0</v>
      </c>
      <c r="Q22" s="53" t="n">
        <v>0</v>
      </c>
      <c r="R22" s="53" t="n">
        <f aca="false">SUM(O22:Q22)</f>
        <v>5.5</v>
      </c>
      <c r="S22" s="54"/>
      <c r="T22" s="53" t="n">
        <v>0</v>
      </c>
      <c r="U22" s="53" t="n">
        <v>39</v>
      </c>
      <c r="V22" s="54" t="n">
        <f aca="false">V21-U22</f>
        <v>4431</v>
      </c>
      <c r="W22" s="53" t="n">
        <f aca="false">R22+T22+N22+U22</f>
        <v>44.5</v>
      </c>
      <c r="X22" s="53" t="n">
        <f aca="false">IF(L22&lt;0,L22*-1,0)</f>
        <v>0</v>
      </c>
      <c r="Y22" s="53" t="n">
        <f aca="false">W22+X22</f>
        <v>44.5</v>
      </c>
      <c r="Z22" s="57" t="n">
        <v>0</v>
      </c>
      <c r="AA22" s="58" t="n">
        <v>56</v>
      </c>
      <c r="AB22" s="58" t="n">
        <v>16</v>
      </c>
      <c r="AC22" s="59" t="n">
        <f aca="false">AC21+1</f>
        <v>13</v>
      </c>
    </row>
    <row r="23" customFormat="false" ht="11.1" hidden="false" customHeight="true" outlineLevel="0" collapsed="false">
      <c r="A23" s="59" t="n">
        <f aca="false">A22+1</f>
        <v>14</v>
      </c>
      <c r="B23" s="74" t="n">
        <v>6894.61</v>
      </c>
      <c r="C23" s="54" t="n">
        <v>264119</v>
      </c>
      <c r="D23" s="58" t="n">
        <f aca="false">C23-C22</f>
        <v>0</v>
      </c>
      <c r="E23" s="54" t="n">
        <f aca="false">C23-152000</f>
        <v>112119</v>
      </c>
      <c r="F23" s="53" t="n">
        <f aca="false">D23/$D$2</f>
        <v>0</v>
      </c>
      <c r="G23" s="53" t="n">
        <v>68</v>
      </c>
      <c r="H23" s="55" t="n">
        <v>1.1</v>
      </c>
      <c r="I23" s="53" t="n">
        <f aca="false">G23+H23</f>
        <v>69.1</v>
      </c>
      <c r="J23" s="75" t="n">
        <f aca="false">IF(L23&gt;0,L23,0)</f>
        <v>0</v>
      </c>
      <c r="K23" s="53" t="n">
        <f aca="false">I23+J23</f>
        <v>69.1</v>
      </c>
      <c r="L23" s="53" t="n">
        <f aca="false">F23-(I23-W23)</f>
        <v>-24.6</v>
      </c>
      <c r="M23" s="53" t="n">
        <v>5.5</v>
      </c>
      <c r="N23" s="53" t="n">
        <v>0</v>
      </c>
      <c r="O23" s="53" t="n">
        <f aca="false">M23-N23</f>
        <v>5.5</v>
      </c>
      <c r="P23" s="53" t="n">
        <v>0</v>
      </c>
      <c r="Q23" s="53" t="n">
        <v>0</v>
      </c>
      <c r="R23" s="53" t="n">
        <f aca="false">SUM(O23:Q23)</f>
        <v>5.5</v>
      </c>
      <c r="S23" s="54"/>
      <c r="T23" s="53" t="n">
        <v>0</v>
      </c>
      <c r="U23" s="53" t="n">
        <v>39</v>
      </c>
      <c r="V23" s="54" t="n">
        <f aca="false">V22-U23</f>
        <v>4392</v>
      </c>
      <c r="W23" s="53" t="n">
        <f aca="false">R23+T23+N23+U23</f>
        <v>44.5</v>
      </c>
      <c r="X23" s="53" t="n">
        <f aca="false">IF(L23&lt;0,L23*-1,0)</f>
        <v>24.6</v>
      </c>
      <c r="Y23" s="53" t="n">
        <f aca="false">W23+X23</f>
        <v>69.1</v>
      </c>
      <c r="Z23" s="57" t="n">
        <v>0</v>
      </c>
      <c r="AA23" s="83" t="n">
        <v>54</v>
      </c>
      <c r="AB23" s="58" t="n">
        <v>20</v>
      </c>
      <c r="AC23" s="59" t="n">
        <f aca="false">AC22+1</f>
        <v>14</v>
      </c>
    </row>
    <row r="24" customFormat="false" ht="11.1" hidden="false" customHeight="true" outlineLevel="0" collapsed="false">
      <c r="A24" s="59" t="n">
        <f aca="false">A23+1</f>
        <v>15</v>
      </c>
      <c r="B24" s="74" t="n">
        <v>6894.63</v>
      </c>
      <c r="C24" s="54" t="n">
        <v>264190</v>
      </c>
      <c r="D24" s="58" t="n">
        <f aca="false">C24-C23</f>
        <v>71</v>
      </c>
      <c r="E24" s="54" t="n">
        <f aca="false">C24-152000</f>
        <v>112190</v>
      </c>
      <c r="F24" s="53" t="n">
        <f aca="false">D24/$D$2</f>
        <v>35.7953113183766</v>
      </c>
      <c r="G24" s="53" t="n">
        <v>66</v>
      </c>
      <c r="H24" s="55" t="n">
        <v>0.9</v>
      </c>
      <c r="I24" s="53" t="n">
        <f aca="false">G24+H24</f>
        <v>66.9</v>
      </c>
      <c r="J24" s="75" t="n">
        <f aca="false">IF(L24&gt;0,L24,0)</f>
        <v>14.3953113183766</v>
      </c>
      <c r="K24" s="53" t="n">
        <f aca="false">I24+J24</f>
        <v>81.2953113183766</v>
      </c>
      <c r="L24" s="53" t="n">
        <f aca="false">F24-(I24-W24)</f>
        <v>14.3953113183766</v>
      </c>
      <c r="M24" s="53" t="n">
        <v>5.5</v>
      </c>
      <c r="N24" s="53" t="n">
        <v>0</v>
      </c>
      <c r="O24" s="53" t="n">
        <f aca="false">M24-N24</f>
        <v>5.5</v>
      </c>
      <c r="P24" s="53" t="n">
        <v>0</v>
      </c>
      <c r="Q24" s="53" t="n">
        <v>0</v>
      </c>
      <c r="R24" s="53" t="n">
        <f aca="false">SUM(O24:Q24)</f>
        <v>5.5</v>
      </c>
      <c r="S24" s="54"/>
      <c r="T24" s="53" t="n">
        <v>0</v>
      </c>
      <c r="U24" s="53" t="n">
        <v>40</v>
      </c>
      <c r="V24" s="54" t="n">
        <f aca="false">V23-U24</f>
        <v>4352</v>
      </c>
      <c r="W24" s="53" t="n">
        <f aca="false">R24+T24+N24+U24</f>
        <v>45.5</v>
      </c>
      <c r="X24" s="53" t="n">
        <f aca="false">IF(L24&lt;0,L24*-1,0)</f>
        <v>0</v>
      </c>
      <c r="Y24" s="53" t="n">
        <f aca="false">W24+X24</f>
        <v>45.5</v>
      </c>
      <c r="Z24" s="57" t="n">
        <v>0</v>
      </c>
      <c r="AA24" s="83" t="n">
        <v>59</v>
      </c>
      <c r="AB24" s="58" t="n">
        <v>19</v>
      </c>
      <c r="AC24" s="59" t="n">
        <f aca="false">AC23+1</f>
        <v>15</v>
      </c>
    </row>
    <row r="25" customFormat="false" ht="11.1" hidden="false" customHeight="true" outlineLevel="0" collapsed="false">
      <c r="A25" s="59" t="n">
        <f aca="false">A24+1</f>
        <v>16</v>
      </c>
      <c r="B25" s="74" t="n">
        <v>6894.65</v>
      </c>
      <c r="C25" s="54" t="n">
        <v>264261</v>
      </c>
      <c r="D25" s="58" t="n">
        <f aca="false">C25-C24</f>
        <v>71</v>
      </c>
      <c r="E25" s="54" t="n">
        <f aca="false">C25-152000</f>
        <v>112261</v>
      </c>
      <c r="F25" s="53" t="n">
        <f aca="false">D25/$D$2</f>
        <v>35.7953113183766</v>
      </c>
      <c r="G25" s="53" t="n">
        <v>66</v>
      </c>
      <c r="H25" s="55" t="n">
        <v>0.7</v>
      </c>
      <c r="I25" s="53" t="n">
        <f aca="false">G25+H25</f>
        <v>66.7</v>
      </c>
      <c r="J25" s="75" t="n">
        <f aca="false">IF(L25&gt;0,L25,0)</f>
        <v>8.79531131837661</v>
      </c>
      <c r="K25" s="53" t="n">
        <v>78.2</v>
      </c>
      <c r="L25" s="53" t="n">
        <f aca="false">F25-(I25-W25)</f>
        <v>8.79531131837661</v>
      </c>
      <c r="M25" s="53" t="n">
        <v>5.7</v>
      </c>
      <c r="N25" s="53" t="n">
        <v>0</v>
      </c>
      <c r="O25" s="53" t="n">
        <f aca="false">M25-N25</f>
        <v>5.7</v>
      </c>
      <c r="P25" s="53" t="n">
        <v>0</v>
      </c>
      <c r="Q25" s="53" t="n">
        <v>0</v>
      </c>
      <c r="R25" s="53" t="n">
        <f aca="false">SUM(O25:Q25)</f>
        <v>5.7</v>
      </c>
      <c r="S25" s="54"/>
      <c r="T25" s="53" t="n">
        <v>0</v>
      </c>
      <c r="U25" s="53" t="n">
        <v>34</v>
      </c>
      <c r="V25" s="54" t="n">
        <f aca="false">V24-U25</f>
        <v>4318</v>
      </c>
      <c r="W25" s="53" t="n">
        <f aca="false">R25+T25+N25+U25</f>
        <v>39.7</v>
      </c>
      <c r="X25" s="53" t="n">
        <f aca="false">IF(L25&lt;0,L25*-1,0)</f>
        <v>0</v>
      </c>
      <c r="Y25" s="53" t="n">
        <f aca="false">W25+X25</f>
        <v>39.7</v>
      </c>
      <c r="Z25" s="57" t="n">
        <v>0</v>
      </c>
      <c r="AA25" s="83" t="n">
        <v>56</v>
      </c>
      <c r="AB25" s="58" t="n">
        <v>26</v>
      </c>
      <c r="AC25" s="59" t="n">
        <f aca="false">AC24+1</f>
        <v>16</v>
      </c>
    </row>
    <row r="26" customFormat="false" ht="11.1" hidden="false" customHeight="true" outlineLevel="0" collapsed="false">
      <c r="A26" s="59" t="n">
        <f aca="false">A25+1</f>
        <v>17</v>
      </c>
      <c r="B26" s="74" t="n">
        <v>6894.67</v>
      </c>
      <c r="C26" s="54" t="n">
        <v>264331</v>
      </c>
      <c r="D26" s="58" t="n">
        <f aca="false">C26-C25</f>
        <v>70</v>
      </c>
      <c r="E26" s="54" t="n">
        <f aca="false">C26-152000</f>
        <v>112331</v>
      </c>
      <c r="F26" s="53" t="n">
        <f aca="false">D26/$D$2</f>
        <v>35.2911520040333</v>
      </c>
      <c r="G26" s="53" t="n">
        <v>68</v>
      </c>
      <c r="H26" s="55" t="n">
        <v>0.7</v>
      </c>
      <c r="I26" s="53" t="n">
        <f aca="false">G26+H26</f>
        <v>68.7</v>
      </c>
      <c r="J26" s="75" t="n">
        <f aca="false">IF(L26&gt;0,L26,0)</f>
        <v>9.49115200403327</v>
      </c>
      <c r="K26" s="53" t="n">
        <f aca="false">I26+J26</f>
        <v>78.1911520040333</v>
      </c>
      <c r="L26" s="53" t="n">
        <f aca="false">F26-(I26-W26)</f>
        <v>9.49115200403327</v>
      </c>
      <c r="M26" s="53" t="n">
        <v>5.9</v>
      </c>
      <c r="N26" s="53" t="n">
        <v>0</v>
      </c>
      <c r="O26" s="53" t="n">
        <f aca="false">M26-N26</f>
        <v>5.9</v>
      </c>
      <c r="P26" s="53" t="n">
        <v>0</v>
      </c>
      <c r="Q26" s="53" t="n">
        <v>0</v>
      </c>
      <c r="R26" s="53" t="n">
        <f aca="false">SUM(O26:Q26)</f>
        <v>5.9</v>
      </c>
      <c r="S26" s="54"/>
      <c r="T26" s="53" t="n">
        <v>0</v>
      </c>
      <c r="U26" s="53" t="n">
        <v>37</v>
      </c>
      <c r="V26" s="54" t="n">
        <f aca="false">V25-U26</f>
        <v>4281</v>
      </c>
      <c r="W26" s="53" t="n">
        <f aca="false">R26+T26+N26+U26</f>
        <v>42.9</v>
      </c>
      <c r="X26" s="53" t="n">
        <f aca="false">IF(L26&lt;0,L26*-1,0)</f>
        <v>0</v>
      </c>
      <c r="Y26" s="53" t="n">
        <f aca="false">W26+X26</f>
        <v>42.9</v>
      </c>
      <c r="Z26" s="57" t="n">
        <v>0</v>
      </c>
      <c r="AA26" s="83" t="n">
        <v>58</v>
      </c>
      <c r="AB26" s="58" t="n">
        <v>26</v>
      </c>
      <c r="AC26" s="59" t="n">
        <f aca="false">AC25+1</f>
        <v>17</v>
      </c>
    </row>
    <row r="27" customFormat="false" ht="11.1" hidden="false" customHeight="true" outlineLevel="0" collapsed="false">
      <c r="A27" s="59" t="n">
        <f aca="false">A26+1</f>
        <v>18</v>
      </c>
      <c r="B27" s="74" t="n">
        <v>6894.68</v>
      </c>
      <c r="C27" s="54" t="n">
        <v>264366</v>
      </c>
      <c r="D27" s="58" t="n">
        <f aca="false">C27-C26</f>
        <v>35</v>
      </c>
      <c r="E27" s="54" t="n">
        <f aca="false">C27-152000</f>
        <v>112366</v>
      </c>
      <c r="F27" s="53" t="n">
        <f aca="false">D27/$D$2</f>
        <v>17.6455760020166</v>
      </c>
      <c r="G27" s="53" t="n">
        <v>70</v>
      </c>
      <c r="H27" s="55" t="n">
        <v>1</v>
      </c>
      <c r="I27" s="53" t="n">
        <f aca="false">G27+H27</f>
        <v>71</v>
      </c>
      <c r="J27" s="75" t="n">
        <f aca="false">IF(L27&gt;0,L27,0)</f>
        <v>0</v>
      </c>
      <c r="K27" s="53" t="n">
        <f aca="false">I27+J27</f>
        <v>71</v>
      </c>
      <c r="L27" s="53" t="n">
        <f aca="false">F27-(I27-W27)</f>
        <v>-9.45442399798337</v>
      </c>
      <c r="M27" s="53" t="n">
        <v>5.9</v>
      </c>
      <c r="N27" s="53" t="n">
        <v>0</v>
      </c>
      <c r="O27" s="53" t="n">
        <f aca="false">M27-N27</f>
        <v>5.9</v>
      </c>
      <c r="P27" s="53" t="n">
        <v>0</v>
      </c>
      <c r="Q27" s="53" t="n">
        <v>0</v>
      </c>
      <c r="R27" s="53" t="n">
        <f aca="false">SUM(O27:Q27)</f>
        <v>5.9</v>
      </c>
      <c r="S27" s="54"/>
      <c r="T27" s="53" t="n">
        <v>0</v>
      </c>
      <c r="U27" s="53" t="n">
        <v>38</v>
      </c>
      <c r="V27" s="54" t="n">
        <f aca="false">V26-U27</f>
        <v>4243</v>
      </c>
      <c r="W27" s="53" t="n">
        <f aca="false">R27+T27+N27+U27</f>
        <v>43.9</v>
      </c>
      <c r="X27" s="53" t="n">
        <f aca="false">IF(L27&lt;0,L27*-1,0)</f>
        <v>9.45442399798337</v>
      </c>
      <c r="Y27" s="53" t="n">
        <f aca="false">W27+X27</f>
        <v>53.3544239979834</v>
      </c>
      <c r="Z27" s="57" t="n">
        <v>0</v>
      </c>
      <c r="AA27" s="83" t="n">
        <v>50</v>
      </c>
      <c r="AB27" s="58" t="n">
        <v>21</v>
      </c>
      <c r="AC27" s="59" t="n">
        <f aca="false">AC26+1</f>
        <v>18</v>
      </c>
    </row>
    <row r="28" customFormat="false" ht="11.1" hidden="false" customHeight="true" outlineLevel="0" collapsed="false">
      <c r="A28" s="59" t="n">
        <f aca="false">A27+1</f>
        <v>19</v>
      </c>
      <c r="B28" s="74" t="n">
        <v>6894.68</v>
      </c>
      <c r="C28" s="54" t="n">
        <v>264366</v>
      </c>
      <c r="D28" s="58" t="n">
        <f aca="false">C28-C27</f>
        <v>0</v>
      </c>
      <c r="E28" s="54" t="n">
        <f aca="false">C28-152000</f>
        <v>112366</v>
      </c>
      <c r="F28" s="53" t="n">
        <f aca="false">D28/$D$2</f>
        <v>0</v>
      </c>
      <c r="G28" s="53" t="n">
        <v>70</v>
      </c>
      <c r="H28" s="55" t="n">
        <v>1.3</v>
      </c>
      <c r="I28" s="53" t="n">
        <f aca="false">G28+H28</f>
        <v>71.3</v>
      </c>
      <c r="J28" s="75" t="n">
        <f aca="false">IF(L28&gt;0,L28,0)</f>
        <v>0</v>
      </c>
      <c r="K28" s="53" t="n">
        <f aca="false">I28+J28</f>
        <v>71.3</v>
      </c>
      <c r="L28" s="53" t="n">
        <f aca="false">F28-(I28-W28)</f>
        <v>-26.6</v>
      </c>
      <c r="M28" s="53" t="n">
        <v>5.7</v>
      </c>
      <c r="N28" s="53" t="n">
        <v>0</v>
      </c>
      <c r="O28" s="53" t="n">
        <f aca="false">M28-N28</f>
        <v>5.7</v>
      </c>
      <c r="P28" s="53" t="n">
        <v>0</v>
      </c>
      <c r="Q28" s="53" t="n">
        <v>0</v>
      </c>
      <c r="R28" s="53" t="n">
        <f aca="false">SUM(O28:Q28)</f>
        <v>5.7</v>
      </c>
      <c r="S28" s="54"/>
      <c r="T28" s="53" t="n">
        <v>0</v>
      </c>
      <c r="U28" s="53" t="n">
        <v>39</v>
      </c>
      <c r="V28" s="54" t="n">
        <f aca="false">V27-U28</f>
        <v>4204</v>
      </c>
      <c r="W28" s="53" t="n">
        <f aca="false">R28+T28+N28+U28</f>
        <v>44.7</v>
      </c>
      <c r="X28" s="53" t="n">
        <f aca="false">IF(L28&lt;0,L28*-1,0)</f>
        <v>26.6</v>
      </c>
      <c r="Y28" s="53" t="n">
        <f aca="false">W28+X28</f>
        <v>71.3</v>
      </c>
      <c r="Z28" s="57" t="n">
        <v>0.19</v>
      </c>
      <c r="AA28" s="83" t="n">
        <v>45</v>
      </c>
      <c r="AB28" s="58" t="n">
        <v>18</v>
      </c>
      <c r="AC28" s="59" t="n">
        <f aca="false">AC27+1</f>
        <v>19</v>
      </c>
    </row>
    <row r="29" customFormat="false" ht="11.1" hidden="false" customHeight="true" outlineLevel="0" collapsed="false">
      <c r="A29" s="59" t="n">
        <f aca="false">A28+1</f>
        <v>20</v>
      </c>
      <c r="B29" s="74" t="n">
        <v>6894.69</v>
      </c>
      <c r="C29" s="54" t="n">
        <v>264402</v>
      </c>
      <c r="D29" s="58" t="n">
        <f aca="false">C29-C28</f>
        <v>36</v>
      </c>
      <c r="E29" s="54" t="n">
        <f aca="false">C29-152000</f>
        <v>112402</v>
      </c>
      <c r="F29" s="53" t="n">
        <f aca="false">D29/$D$2</f>
        <v>18.14973531636</v>
      </c>
      <c r="G29" s="53" t="n">
        <v>70</v>
      </c>
      <c r="H29" s="55" t="n">
        <v>1.4</v>
      </c>
      <c r="I29" s="53" t="n">
        <f aca="false">G29+H29</f>
        <v>71.4</v>
      </c>
      <c r="J29" s="75" t="n">
        <f aca="false">IF(L29&gt;0,L29,0)</f>
        <v>0</v>
      </c>
      <c r="K29" s="53" t="n">
        <f aca="false">I29+J29</f>
        <v>71.4</v>
      </c>
      <c r="L29" s="53" t="n">
        <f aca="false">F29-(I29-W29)</f>
        <v>-8.35026468364004</v>
      </c>
      <c r="M29" s="53" t="n">
        <v>5.9</v>
      </c>
      <c r="N29" s="53" t="n">
        <v>0</v>
      </c>
      <c r="O29" s="53" t="n">
        <f aca="false">M29-N29</f>
        <v>5.9</v>
      </c>
      <c r="P29" s="53" t="n">
        <v>0</v>
      </c>
      <c r="Q29" s="53" t="n">
        <v>0</v>
      </c>
      <c r="R29" s="53" t="n">
        <f aca="false">SUM(O29:Q29)</f>
        <v>5.9</v>
      </c>
      <c r="S29" s="54"/>
      <c r="T29" s="53" t="n">
        <v>0</v>
      </c>
      <c r="U29" s="53" t="n">
        <v>39</v>
      </c>
      <c r="V29" s="54" t="n">
        <f aca="false">V28-U29</f>
        <v>4165</v>
      </c>
      <c r="W29" s="53" t="n">
        <f aca="false">R29+T29+N29+U29</f>
        <v>44.9</v>
      </c>
      <c r="X29" s="53" t="n">
        <f aca="false">IF(L29&lt;0,L29*-1,0)</f>
        <v>8.35026468364004</v>
      </c>
      <c r="Y29" s="53" t="n">
        <f aca="false">W29+X29</f>
        <v>53.25026468364</v>
      </c>
      <c r="Z29" s="57" t="n">
        <v>0</v>
      </c>
      <c r="AA29" s="83" t="n">
        <v>37</v>
      </c>
      <c r="AB29" s="58" t="n">
        <v>34</v>
      </c>
      <c r="AC29" s="59" t="n">
        <f aca="false">AC28+1</f>
        <v>20</v>
      </c>
    </row>
    <row r="30" customFormat="false" ht="11.1" hidden="false" customHeight="true" outlineLevel="0" collapsed="false">
      <c r="A30" s="59" t="n">
        <f aca="false">A29+1</f>
        <v>21</v>
      </c>
      <c r="B30" s="74" t="n">
        <v>6894.7</v>
      </c>
      <c r="C30" s="54" t="n">
        <v>264437</v>
      </c>
      <c r="D30" s="58" t="n">
        <f aca="false">C30-C29</f>
        <v>35</v>
      </c>
      <c r="E30" s="54" t="n">
        <f aca="false">C30-152000</f>
        <v>112437</v>
      </c>
      <c r="F30" s="53" t="n">
        <f aca="false">D30/$D$2</f>
        <v>17.6455760020166</v>
      </c>
      <c r="G30" s="53" t="n">
        <v>70</v>
      </c>
      <c r="H30" s="55" t="n">
        <v>1.4</v>
      </c>
      <c r="I30" s="53" t="n">
        <f aca="false">G30+H30</f>
        <v>71.4</v>
      </c>
      <c r="J30" s="75" t="n">
        <f aca="false">IF(L30&gt;0,L30,0)</f>
        <v>0</v>
      </c>
      <c r="K30" s="53" t="n">
        <f aca="false">I30+J30</f>
        <v>71.4</v>
      </c>
      <c r="L30" s="53" t="n">
        <f aca="false">F30-(I30-W30)</f>
        <v>-9.15442399798337</v>
      </c>
      <c r="M30" s="53" t="n">
        <v>5.6</v>
      </c>
      <c r="N30" s="53" t="n">
        <v>0</v>
      </c>
      <c r="O30" s="53" t="n">
        <f aca="false">M30-N30</f>
        <v>5.6</v>
      </c>
      <c r="P30" s="53" t="n">
        <v>0</v>
      </c>
      <c r="Q30" s="53" t="n">
        <v>0</v>
      </c>
      <c r="R30" s="53" t="n">
        <f aca="false">SUM(O30:Q30)</f>
        <v>5.6</v>
      </c>
      <c r="S30" s="54"/>
      <c r="T30" s="53" t="n">
        <v>0</v>
      </c>
      <c r="U30" s="53" t="n">
        <v>39</v>
      </c>
      <c r="V30" s="54" t="n">
        <f aca="false">V29-U30</f>
        <v>4126</v>
      </c>
      <c r="W30" s="53" t="n">
        <f aca="false">R30+T30+N30+U30</f>
        <v>44.6</v>
      </c>
      <c r="X30" s="53" t="n">
        <f aca="false">IF(L30&lt;0,L30*-1,0)</f>
        <v>9.15442399798337</v>
      </c>
      <c r="Y30" s="53" t="n">
        <f aca="false">W30+X30</f>
        <v>53.7544239979834</v>
      </c>
      <c r="Z30" s="57" t="n">
        <v>0</v>
      </c>
      <c r="AA30" s="58" t="n">
        <v>20</v>
      </c>
      <c r="AB30" s="58" t="n">
        <v>8</v>
      </c>
      <c r="AC30" s="59" t="n">
        <f aca="false">AC29+1</f>
        <v>21</v>
      </c>
    </row>
    <row r="31" customFormat="false" ht="11.1" hidden="false" customHeight="true" outlineLevel="0" collapsed="false">
      <c r="A31" s="59" t="n">
        <f aca="false">A30+1</f>
        <v>22</v>
      </c>
      <c r="B31" s="74" t="n">
        <v>6894.71</v>
      </c>
      <c r="C31" s="54" t="n">
        <v>264472</v>
      </c>
      <c r="D31" s="58" t="n">
        <f aca="false">C31-C30</f>
        <v>35</v>
      </c>
      <c r="E31" s="54" t="n">
        <f aca="false">C31-152000</f>
        <v>112472</v>
      </c>
      <c r="F31" s="53" t="n">
        <f aca="false">D31/$D$2</f>
        <v>17.6455760020166</v>
      </c>
      <c r="G31" s="53" t="n">
        <v>64</v>
      </c>
      <c r="H31" s="55" t="n">
        <v>1.2</v>
      </c>
      <c r="I31" s="53" t="n">
        <f aca="false">G31+H31</f>
        <v>65.2</v>
      </c>
      <c r="J31" s="75" t="n">
        <f aca="false">IF(L31&gt;0,L31,0)</f>
        <v>0</v>
      </c>
      <c r="K31" s="53" t="n">
        <f aca="false">I31+J31</f>
        <v>65.2</v>
      </c>
      <c r="L31" s="53" t="n">
        <f aca="false">F31-(I31-W31)</f>
        <v>-1.25442399798337</v>
      </c>
      <c r="M31" s="53" t="n">
        <v>5.3</v>
      </c>
      <c r="N31" s="53" t="n">
        <v>0</v>
      </c>
      <c r="O31" s="53" t="n">
        <f aca="false">M31-N31</f>
        <v>5.3</v>
      </c>
      <c r="P31" s="53" t="n">
        <v>0</v>
      </c>
      <c r="Q31" s="53" t="n">
        <v>0</v>
      </c>
      <c r="R31" s="53" t="n">
        <f aca="false">SUM(O31:Q31)</f>
        <v>5.3</v>
      </c>
      <c r="S31" s="54"/>
      <c r="T31" s="53" t="n">
        <v>0</v>
      </c>
      <c r="U31" s="53" t="n">
        <v>41</v>
      </c>
      <c r="V31" s="54" t="n">
        <f aca="false">V30-U31</f>
        <v>4085</v>
      </c>
      <c r="W31" s="53" t="n">
        <f aca="false">R31+T31+N31+U31</f>
        <v>46.3</v>
      </c>
      <c r="X31" s="53" t="n">
        <f aca="false">IF(L31&lt;0,L31*-1,0)</f>
        <v>1.25442399798337</v>
      </c>
      <c r="Y31" s="53" t="n">
        <f aca="false">W31+X31</f>
        <v>47.5544239979834</v>
      </c>
      <c r="Z31" s="57" t="n">
        <v>0</v>
      </c>
      <c r="AA31" s="58" t="n">
        <v>36</v>
      </c>
      <c r="AB31" s="58" t="n">
        <v>-3</v>
      </c>
      <c r="AC31" s="59" t="n">
        <f aca="false">AC30+1</f>
        <v>22</v>
      </c>
    </row>
    <row r="32" customFormat="false" ht="11.1" hidden="false" customHeight="true" outlineLevel="0" collapsed="false">
      <c r="A32" s="59" t="n">
        <f aca="false">A31+1</f>
        <v>23</v>
      </c>
      <c r="B32" s="74" t="n">
        <v>6894.72</v>
      </c>
      <c r="C32" s="54" t="n">
        <v>264508</v>
      </c>
      <c r="D32" s="58" t="n">
        <f aca="false">C32-C31</f>
        <v>36</v>
      </c>
      <c r="E32" s="54" t="n">
        <f aca="false">C32-152000</f>
        <v>112508</v>
      </c>
      <c r="F32" s="53" t="n">
        <f aca="false">D32/$D$2</f>
        <v>18.14973531636</v>
      </c>
      <c r="G32" s="53" t="n">
        <v>56</v>
      </c>
      <c r="H32" s="55" t="n">
        <v>1.5</v>
      </c>
      <c r="I32" s="53" t="n">
        <f aca="false">G32+H32</f>
        <v>57.5</v>
      </c>
      <c r="J32" s="75" t="n">
        <f aca="false">IF(L32&gt;0,L32,0)</f>
        <v>10.74973531636</v>
      </c>
      <c r="K32" s="53" t="n">
        <f aca="false">I32+J32</f>
        <v>68.24973531636</v>
      </c>
      <c r="L32" s="53" t="n">
        <f aca="false">F32-(I32-W32)</f>
        <v>10.74973531636</v>
      </c>
      <c r="M32" s="53" t="n">
        <v>5.1</v>
      </c>
      <c r="N32" s="53" t="n">
        <v>0</v>
      </c>
      <c r="O32" s="53" t="n">
        <f aca="false">M32-N32</f>
        <v>5.1</v>
      </c>
      <c r="P32" s="53" t="n">
        <v>0</v>
      </c>
      <c r="Q32" s="53" t="n">
        <v>0</v>
      </c>
      <c r="R32" s="53" t="n">
        <f aca="false">SUM(O32:Q32)</f>
        <v>5.1</v>
      </c>
      <c r="S32" s="54"/>
      <c r="T32" s="53" t="n">
        <v>0</v>
      </c>
      <c r="U32" s="53" t="n">
        <v>45</v>
      </c>
      <c r="V32" s="54" t="n">
        <f aca="false">V31-U32</f>
        <v>4040</v>
      </c>
      <c r="W32" s="53" t="n">
        <f aca="false">R32+T32+N32+U32</f>
        <v>50.1</v>
      </c>
      <c r="X32" s="53" t="n">
        <f aca="false">IF(L32&lt;0,L32*-1,0)</f>
        <v>0</v>
      </c>
      <c r="Y32" s="53" t="n">
        <f aca="false">W32+X32</f>
        <v>50.1</v>
      </c>
      <c r="Z32" s="57" t="n">
        <v>0</v>
      </c>
      <c r="AA32" s="58" t="n">
        <v>34</v>
      </c>
      <c r="AB32" s="83" t="n">
        <v>3</v>
      </c>
      <c r="AC32" s="59" t="n">
        <f aca="false">AC31+1</f>
        <v>23</v>
      </c>
    </row>
    <row r="33" customFormat="false" ht="11.1" hidden="false" customHeight="true" outlineLevel="0" collapsed="false">
      <c r="A33" s="59" t="n">
        <f aca="false">A32+1</f>
        <v>24</v>
      </c>
      <c r="B33" s="74" t="n">
        <v>6894.73</v>
      </c>
      <c r="C33" s="54" t="n">
        <v>264543</v>
      </c>
      <c r="D33" s="58" t="n">
        <f aca="false">C33-C32</f>
        <v>35</v>
      </c>
      <c r="E33" s="54" t="n">
        <f aca="false">C33-152000</f>
        <v>112543</v>
      </c>
      <c r="F33" s="53" t="n">
        <f aca="false">D33/$D$2</f>
        <v>17.6455760020166</v>
      </c>
      <c r="G33" s="53" t="n">
        <v>52</v>
      </c>
      <c r="H33" s="55" t="n">
        <v>1.4</v>
      </c>
      <c r="I33" s="53" t="n">
        <f aca="false">G33+H33</f>
        <v>53.4</v>
      </c>
      <c r="J33" s="75" t="n">
        <f aca="false">IF(L33&gt;0,L33,0)</f>
        <v>7.34557600201664</v>
      </c>
      <c r="K33" s="53" t="n">
        <f aca="false">I33+J33</f>
        <v>60.7455760020166</v>
      </c>
      <c r="L33" s="53" t="n">
        <f aca="false">F33-(I33-W33)</f>
        <v>7.34557600201664</v>
      </c>
      <c r="M33" s="53" t="n">
        <v>5.1</v>
      </c>
      <c r="N33" s="53" t="n">
        <v>0</v>
      </c>
      <c r="O33" s="53" t="n">
        <f aca="false">M33-N33</f>
        <v>5.1</v>
      </c>
      <c r="P33" s="53" t="n">
        <v>0</v>
      </c>
      <c r="Q33" s="53" t="n">
        <v>0</v>
      </c>
      <c r="R33" s="53" t="n">
        <f aca="false">SUM(O33:Q33)</f>
        <v>5.1</v>
      </c>
      <c r="S33" s="54"/>
      <c r="T33" s="53" t="n">
        <v>0</v>
      </c>
      <c r="U33" s="53" t="n">
        <v>38</v>
      </c>
      <c r="V33" s="54" t="n">
        <f aca="false">V32-U33</f>
        <v>4002</v>
      </c>
      <c r="W33" s="53" t="n">
        <f aca="false">R33+T33+N33+U33</f>
        <v>43.1</v>
      </c>
      <c r="X33" s="53" t="n">
        <f aca="false">IF(L33&lt;0,L33*-1,0)</f>
        <v>0</v>
      </c>
      <c r="Y33" s="53" t="n">
        <f aca="false">W33+X33</f>
        <v>43.1</v>
      </c>
      <c r="Z33" s="57" t="n">
        <v>0</v>
      </c>
      <c r="AA33" s="58" t="n">
        <v>36</v>
      </c>
      <c r="AB33" s="83" t="n">
        <v>1</v>
      </c>
      <c r="AC33" s="59" t="n">
        <f aca="false">AC32+1</f>
        <v>24</v>
      </c>
    </row>
    <row r="34" customFormat="false" ht="11.1" hidden="false" customHeight="true" outlineLevel="0" collapsed="false">
      <c r="A34" s="59" t="n">
        <f aca="false">A33+1</f>
        <v>25</v>
      </c>
      <c r="B34" s="74" t="n">
        <v>6894.74</v>
      </c>
      <c r="C34" s="54" t="n">
        <v>264578</v>
      </c>
      <c r="D34" s="58" t="n">
        <f aca="false">C34-C33</f>
        <v>35</v>
      </c>
      <c r="E34" s="54" t="n">
        <f aca="false">C34-152000</f>
        <v>112578</v>
      </c>
      <c r="F34" s="53" t="n">
        <f aca="false">D34/$D$2</f>
        <v>17.6455760020166</v>
      </c>
      <c r="G34" s="53" t="n">
        <v>52</v>
      </c>
      <c r="H34" s="55" t="n">
        <v>1.5</v>
      </c>
      <c r="I34" s="53" t="n">
        <f aca="false">G34+H34</f>
        <v>53.5</v>
      </c>
      <c r="J34" s="75" t="n">
        <f aca="false">IF(L34&gt;0,L34,0)</f>
        <v>7.24557600201664</v>
      </c>
      <c r="K34" s="53" t="n">
        <f aca="false">I34+J34</f>
        <v>60.7455760020166</v>
      </c>
      <c r="L34" s="53" t="n">
        <f aca="false">F34-(I34-W34)</f>
        <v>7.24557600201664</v>
      </c>
      <c r="M34" s="53" t="n">
        <v>5.1</v>
      </c>
      <c r="N34" s="53" t="n">
        <v>0</v>
      </c>
      <c r="O34" s="53" t="n">
        <f aca="false">M34-N34</f>
        <v>5.1</v>
      </c>
      <c r="P34" s="53" t="n">
        <v>0</v>
      </c>
      <c r="Q34" s="53" t="n">
        <v>0</v>
      </c>
      <c r="R34" s="53" t="n">
        <f aca="false">SUM(O34:Q34)</f>
        <v>5.1</v>
      </c>
      <c r="S34" s="54"/>
      <c r="T34" s="53" t="n">
        <v>0</v>
      </c>
      <c r="U34" s="53" t="n">
        <v>38</v>
      </c>
      <c r="V34" s="54" t="n">
        <f aca="false">V33-U34</f>
        <v>3964</v>
      </c>
      <c r="W34" s="53" t="n">
        <f aca="false">R34+T34+N34+U34</f>
        <v>43.1</v>
      </c>
      <c r="X34" s="53" t="n">
        <f aca="false">IF(L34&lt;0,L34*-1,0)</f>
        <v>0</v>
      </c>
      <c r="Y34" s="53" t="n">
        <f aca="false">W34+X34</f>
        <v>43.1</v>
      </c>
      <c r="Z34" s="57" t="n">
        <v>0</v>
      </c>
      <c r="AA34" s="58" t="n">
        <v>44</v>
      </c>
      <c r="AB34" s="83" t="n">
        <v>8</v>
      </c>
      <c r="AC34" s="59" t="n">
        <f aca="false">AC33+1</f>
        <v>25</v>
      </c>
    </row>
    <row r="35" customFormat="false" ht="11.1" hidden="false" customHeight="true" outlineLevel="0" collapsed="false">
      <c r="A35" s="59" t="n">
        <f aca="false">A34+1</f>
        <v>26</v>
      </c>
      <c r="B35" s="74" t="n">
        <v>6894.74</v>
      </c>
      <c r="C35" s="54" t="n">
        <v>264578</v>
      </c>
      <c r="D35" s="58" t="n">
        <f aca="false">C35-C34</f>
        <v>0</v>
      </c>
      <c r="E35" s="54" t="n">
        <f aca="false">C35-152000</f>
        <v>112578</v>
      </c>
      <c r="F35" s="53" t="n">
        <f aca="false">D35/$D$2</f>
        <v>0</v>
      </c>
      <c r="G35" s="53" t="n">
        <v>52</v>
      </c>
      <c r="H35" s="55" t="n">
        <v>1.7</v>
      </c>
      <c r="I35" s="53" t="n">
        <f aca="false">G35+H35</f>
        <v>53.7</v>
      </c>
      <c r="J35" s="75" t="n">
        <f aca="false">IF(L35&gt;0,L35,0)</f>
        <v>0</v>
      </c>
      <c r="K35" s="53" t="n">
        <f aca="false">I35+J35</f>
        <v>53.7</v>
      </c>
      <c r="L35" s="53" t="n">
        <f aca="false">F35-(I35-W35)</f>
        <v>-10.6</v>
      </c>
      <c r="M35" s="53" t="n">
        <v>5.1</v>
      </c>
      <c r="N35" s="53" t="n">
        <v>0</v>
      </c>
      <c r="O35" s="53" t="n">
        <f aca="false">M35-N35</f>
        <v>5.1</v>
      </c>
      <c r="P35" s="53" t="n">
        <v>0</v>
      </c>
      <c r="Q35" s="53" t="n">
        <v>0</v>
      </c>
      <c r="R35" s="53" t="n">
        <f aca="false">SUM(O35:Q35)</f>
        <v>5.1</v>
      </c>
      <c r="S35" s="54"/>
      <c r="T35" s="53" t="n">
        <v>0</v>
      </c>
      <c r="U35" s="53" t="n">
        <v>38</v>
      </c>
      <c r="V35" s="54" t="n">
        <f aca="false">V34-U35</f>
        <v>3926</v>
      </c>
      <c r="W35" s="53" t="n">
        <f aca="false">R35+T35+N35+U35</f>
        <v>43.1</v>
      </c>
      <c r="X35" s="53" t="n">
        <f aca="false">IF(L35&lt;0,L35*-1,0)</f>
        <v>10.6</v>
      </c>
      <c r="Y35" s="53" t="n">
        <f aca="false">W35+X35</f>
        <v>53.7</v>
      </c>
      <c r="Z35" s="57" t="n">
        <v>0</v>
      </c>
      <c r="AA35" s="58" t="n">
        <v>42</v>
      </c>
      <c r="AB35" s="58" t="n">
        <v>14</v>
      </c>
      <c r="AC35" s="59" t="n">
        <f aca="false">AC34+1</f>
        <v>26</v>
      </c>
    </row>
    <row r="36" customFormat="false" ht="11.1" hidden="false" customHeight="true" outlineLevel="0" collapsed="false">
      <c r="A36" s="59" t="n">
        <f aca="false">A35+1</f>
        <v>27</v>
      </c>
      <c r="B36" s="74" t="n">
        <v>6894.75</v>
      </c>
      <c r="C36" s="54" t="n">
        <v>264613</v>
      </c>
      <c r="D36" s="58" t="n">
        <f aca="false">C36-C35</f>
        <v>35</v>
      </c>
      <c r="E36" s="54" t="n">
        <f aca="false">C36-152000</f>
        <v>112613</v>
      </c>
      <c r="F36" s="53" t="n">
        <f aca="false">D36/$D$2</f>
        <v>17.6455760020166</v>
      </c>
      <c r="G36" s="53" t="n">
        <v>52</v>
      </c>
      <c r="H36" s="55" t="n">
        <v>1.8</v>
      </c>
      <c r="I36" s="53" t="n">
        <f aca="false">G36+H36</f>
        <v>53.8</v>
      </c>
      <c r="J36" s="75" t="n">
        <f aca="false">IF(L36&gt;0,L36,0)</f>
        <v>6.94557600201664</v>
      </c>
      <c r="K36" s="53" t="n">
        <f aca="false">I36+J36</f>
        <v>60.7455760020166</v>
      </c>
      <c r="L36" s="53" t="n">
        <f aca="false">F36-(I36-W36)</f>
        <v>6.94557600201664</v>
      </c>
      <c r="M36" s="53" t="n">
        <v>5.1</v>
      </c>
      <c r="N36" s="53" t="n">
        <v>0</v>
      </c>
      <c r="O36" s="53" t="n">
        <f aca="false">M36-N36</f>
        <v>5.1</v>
      </c>
      <c r="P36" s="53" t="n">
        <v>0</v>
      </c>
      <c r="Q36" s="53" t="n">
        <v>0</v>
      </c>
      <c r="R36" s="53" t="n">
        <f aca="false">SUM(O36:Q36)</f>
        <v>5.1</v>
      </c>
      <c r="S36" s="54"/>
      <c r="T36" s="53" t="n">
        <v>0</v>
      </c>
      <c r="U36" s="53" t="n">
        <v>38</v>
      </c>
      <c r="V36" s="54" t="n">
        <f aca="false">V35-U36</f>
        <v>3888</v>
      </c>
      <c r="W36" s="53" t="n">
        <f aca="false">R36+T36+N36+U36</f>
        <v>43.1</v>
      </c>
      <c r="X36" s="53" t="n">
        <f aca="false">IF(L36&lt;0,L36*-1,0)</f>
        <v>0</v>
      </c>
      <c r="Y36" s="53" t="n">
        <f aca="false">W36+X36</f>
        <v>43.1</v>
      </c>
      <c r="Z36" s="57" t="n">
        <v>0</v>
      </c>
      <c r="AA36" s="58" t="n">
        <v>44</v>
      </c>
      <c r="AB36" s="58" t="n">
        <v>20</v>
      </c>
      <c r="AC36" s="59" t="n">
        <f aca="false">AC35+1</f>
        <v>27</v>
      </c>
    </row>
    <row r="37" customFormat="false" ht="11.1" hidden="false" customHeight="true" outlineLevel="0" collapsed="false">
      <c r="A37" s="59" t="n">
        <f aca="false">A36+1</f>
        <v>28</v>
      </c>
      <c r="B37" s="74" t="n">
        <v>6894.75</v>
      </c>
      <c r="C37" s="54" t="n">
        <v>264613</v>
      </c>
      <c r="D37" s="58" t="n">
        <f aca="false">C37-C36</f>
        <v>0</v>
      </c>
      <c r="E37" s="54" t="n">
        <f aca="false">C37-152000</f>
        <v>112613</v>
      </c>
      <c r="F37" s="53" t="n">
        <f aca="false">D37/$D$2</f>
        <v>0</v>
      </c>
      <c r="G37" s="53" t="n">
        <v>55</v>
      </c>
      <c r="H37" s="55" t="n">
        <v>1.8</v>
      </c>
      <c r="I37" s="53" t="n">
        <f aca="false">G37+H37</f>
        <v>56.8</v>
      </c>
      <c r="J37" s="75" t="n">
        <f aca="false">IF(L37&gt;0,L37,0)</f>
        <v>0</v>
      </c>
      <c r="K37" s="53" t="n">
        <f aca="false">I37+J37</f>
        <v>56.8</v>
      </c>
      <c r="L37" s="53" t="n">
        <f aca="false">F37-(I37-W37)</f>
        <v>-13.1</v>
      </c>
      <c r="M37" s="53" t="n">
        <v>4.7</v>
      </c>
      <c r="N37" s="53" t="n">
        <v>0</v>
      </c>
      <c r="O37" s="53" t="n">
        <f aca="false">M37-N37</f>
        <v>4.7</v>
      </c>
      <c r="P37" s="53" t="n">
        <v>0</v>
      </c>
      <c r="Q37" s="53" t="n">
        <v>0</v>
      </c>
      <c r="R37" s="53" t="n">
        <f aca="false">SUM(O37:Q37)</f>
        <v>4.7</v>
      </c>
      <c r="S37" s="54"/>
      <c r="T37" s="53" t="n">
        <v>0</v>
      </c>
      <c r="U37" s="53" t="n">
        <v>39</v>
      </c>
      <c r="V37" s="54" t="n">
        <f aca="false">V36-U37</f>
        <v>3849</v>
      </c>
      <c r="W37" s="53" t="n">
        <f aca="false">R37+T37+N37+U37</f>
        <v>43.7</v>
      </c>
      <c r="X37" s="53" t="n">
        <f aca="false">IF(L37&lt;0,L37*-1,0)</f>
        <v>13.1</v>
      </c>
      <c r="Y37" s="53" t="n">
        <f aca="false">W37+X37</f>
        <v>56.8</v>
      </c>
      <c r="Z37" s="57" t="n">
        <v>0</v>
      </c>
      <c r="AA37" s="58" t="n">
        <v>48</v>
      </c>
      <c r="AB37" s="58" t="n">
        <v>18</v>
      </c>
      <c r="AC37" s="59" t="n">
        <f aca="false">AC36+1</f>
        <v>28</v>
      </c>
    </row>
    <row r="38" customFormat="false" ht="11.1" hidden="false" customHeight="true" outlineLevel="0" collapsed="false">
      <c r="A38" s="59" t="n">
        <f aca="false">A37+1</f>
        <v>29</v>
      </c>
      <c r="B38" s="74" t="n">
        <v>6894.76</v>
      </c>
      <c r="C38" s="54" t="n">
        <v>264649</v>
      </c>
      <c r="D38" s="58" t="n">
        <f aca="false">C38-C37</f>
        <v>36</v>
      </c>
      <c r="E38" s="54" t="n">
        <f aca="false">C38-152000</f>
        <v>112649</v>
      </c>
      <c r="F38" s="53" t="n">
        <f aca="false">D38/$D$2</f>
        <v>18.14973531636</v>
      </c>
      <c r="G38" s="53" t="n">
        <v>57</v>
      </c>
      <c r="H38" s="55" t="n">
        <v>1.8</v>
      </c>
      <c r="I38" s="53" t="n">
        <f aca="false">G38+H38</f>
        <v>58.8</v>
      </c>
      <c r="J38" s="75" t="n">
        <f aca="false">IF(L38&gt;0,L38,0)</f>
        <v>2.54973531635997</v>
      </c>
      <c r="K38" s="53" t="n">
        <f aca="false">I38+J38</f>
        <v>61.34973531636</v>
      </c>
      <c r="L38" s="53" t="n">
        <f aca="false">F38-(I38-W38)</f>
        <v>2.54973531635997</v>
      </c>
      <c r="M38" s="53" t="n">
        <v>4.2</v>
      </c>
      <c r="N38" s="53" t="n">
        <v>0</v>
      </c>
      <c r="O38" s="53" t="n">
        <f aca="false">M38-N38</f>
        <v>4.2</v>
      </c>
      <c r="P38" s="53" t="n">
        <v>0</v>
      </c>
      <c r="Q38" s="53" t="n">
        <v>0</v>
      </c>
      <c r="R38" s="53" t="n">
        <f aca="false">SUM(O38:Q38)</f>
        <v>4.2</v>
      </c>
      <c r="S38" s="54"/>
      <c r="T38" s="53" t="n">
        <v>0</v>
      </c>
      <c r="U38" s="53" t="n">
        <v>39</v>
      </c>
      <c r="V38" s="54" t="n">
        <f aca="false">V37-U38</f>
        <v>3810</v>
      </c>
      <c r="W38" s="53" t="n">
        <f aca="false">R38+T38+N38+U38</f>
        <v>43.2</v>
      </c>
      <c r="X38" s="53" t="n">
        <f aca="false">IF(L38&lt;0,L38*-1,0)</f>
        <v>0</v>
      </c>
      <c r="Y38" s="53" t="n">
        <f aca="false">W38+X38</f>
        <v>43.2</v>
      </c>
      <c r="Z38" s="57" t="n">
        <v>0</v>
      </c>
      <c r="AA38" s="83" t="n">
        <v>53</v>
      </c>
      <c r="AB38" s="58" t="n">
        <v>20</v>
      </c>
      <c r="AC38" s="59" t="n">
        <f aca="false">AC37+1</f>
        <v>29</v>
      </c>
    </row>
    <row r="39" customFormat="false" ht="11.1" hidden="false" customHeight="true" outlineLevel="0" collapsed="false">
      <c r="A39" s="59" t="n">
        <v>30</v>
      </c>
      <c r="B39" s="74" t="n">
        <v>6894.79</v>
      </c>
      <c r="C39" s="54" t="n">
        <v>264755</v>
      </c>
      <c r="D39" s="58" t="n">
        <f aca="false">C39-C38</f>
        <v>106</v>
      </c>
      <c r="E39" s="54" t="n">
        <f aca="false">C39-152000</f>
        <v>112755</v>
      </c>
      <c r="F39" s="53" t="n">
        <f aca="false">D39/$D$2</f>
        <v>53.4408873203932</v>
      </c>
      <c r="G39" s="53" t="n">
        <v>58</v>
      </c>
      <c r="H39" s="55" t="n">
        <v>1.8</v>
      </c>
      <c r="I39" s="53" t="n">
        <f aca="false">G39+H39</f>
        <v>59.8</v>
      </c>
      <c r="J39" s="75" t="n">
        <f aca="false">IF(L39&gt;0,L39,0)</f>
        <v>37.4408873203932</v>
      </c>
      <c r="K39" s="53" t="n">
        <f aca="false">I39+J39</f>
        <v>97.2408873203932</v>
      </c>
      <c r="L39" s="53" t="n">
        <f aca="false">F39-(I39-W39)</f>
        <v>37.4408873203932</v>
      </c>
      <c r="M39" s="53" t="n">
        <v>3.8</v>
      </c>
      <c r="N39" s="53" t="n">
        <v>0</v>
      </c>
      <c r="O39" s="53" t="n">
        <f aca="false">M39-N39</f>
        <v>3.8</v>
      </c>
      <c r="P39" s="53" t="n">
        <v>0</v>
      </c>
      <c r="Q39" s="53" t="n">
        <v>0</v>
      </c>
      <c r="R39" s="53" t="n">
        <f aca="false">SUM(O39:Q39)</f>
        <v>3.8</v>
      </c>
      <c r="S39" s="54"/>
      <c r="T39" s="53" t="n">
        <v>0</v>
      </c>
      <c r="U39" s="53" t="n">
        <v>40</v>
      </c>
      <c r="V39" s="54" t="n">
        <f aca="false">V38-U39</f>
        <v>3770</v>
      </c>
      <c r="W39" s="53" t="n">
        <f aca="false">R39+T39+N39+U39</f>
        <v>43.8</v>
      </c>
      <c r="X39" s="53" t="n">
        <f aca="false">IF(L39&lt;0,L39*-1,0)</f>
        <v>0</v>
      </c>
      <c r="Y39" s="53" t="n">
        <f aca="false">W39+X39</f>
        <v>43.8</v>
      </c>
      <c r="Z39" s="57" t="n">
        <v>0</v>
      </c>
      <c r="AA39" s="83" t="n">
        <v>42</v>
      </c>
      <c r="AB39" s="58" t="n">
        <v>24</v>
      </c>
      <c r="AC39" s="59" t="n">
        <v>30</v>
      </c>
    </row>
    <row r="40" customFormat="false" ht="11.1" hidden="false" customHeight="true" outlineLevel="0" collapsed="false">
      <c r="A40" s="59" t="n">
        <v>31</v>
      </c>
      <c r="B40" s="74" t="n">
        <v>6894.81</v>
      </c>
      <c r="C40" s="54" t="n">
        <v>264825</v>
      </c>
      <c r="D40" s="58" t="n">
        <f aca="false">C40-C39</f>
        <v>70</v>
      </c>
      <c r="E40" s="54" t="n">
        <f aca="false">C40-152000</f>
        <v>112825</v>
      </c>
      <c r="F40" s="53" t="n">
        <f aca="false">D40/$D$2</f>
        <v>35.2911520040333</v>
      </c>
      <c r="G40" s="53" t="n">
        <v>56</v>
      </c>
      <c r="H40" s="55" t="n">
        <v>2</v>
      </c>
      <c r="I40" s="53" t="n">
        <f aca="false">G40+H40</f>
        <v>58</v>
      </c>
      <c r="J40" s="75" t="n">
        <f aca="false">IF(L40&gt;0,L40,0)</f>
        <v>20.9911520040333</v>
      </c>
      <c r="K40" s="53" t="n">
        <f aca="false">I40+J40</f>
        <v>78.9911520040333</v>
      </c>
      <c r="L40" s="53" t="n">
        <f aca="false">F40-(I40-W40)</f>
        <v>20.9911520040333</v>
      </c>
      <c r="M40" s="53" t="n">
        <v>3.7</v>
      </c>
      <c r="N40" s="53" t="n">
        <v>0</v>
      </c>
      <c r="O40" s="53" t="n">
        <f aca="false">M40-N40</f>
        <v>3.7</v>
      </c>
      <c r="P40" s="53" t="n">
        <v>0</v>
      </c>
      <c r="Q40" s="53" t="n">
        <v>0</v>
      </c>
      <c r="R40" s="53" t="n">
        <f aca="false">SUM(O40:Q40)</f>
        <v>3.7</v>
      </c>
      <c r="S40" s="54"/>
      <c r="T40" s="53" t="n">
        <v>0</v>
      </c>
      <c r="U40" s="53" t="n">
        <v>40</v>
      </c>
      <c r="V40" s="54" t="n">
        <f aca="false">V39-U40</f>
        <v>3730</v>
      </c>
      <c r="W40" s="53" t="n">
        <f aca="false">R40+T40+N40+U40</f>
        <v>43.7</v>
      </c>
      <c r="X40" s="53" t="n">
        <f aca="false">IF(L40&lt;0,L40*-1,0)</f>
        <v>0</v>
      </c>
      <c r="Y40" s="53" t="n">
        <f aca="false">W40+X40</f>
        <v>43.7</v>
      </c>
      <c r="Z40" s="57" t="n">
        <v>0</v>
      </c>
      <c r="AA40" s="83" t="n">
        <v>50</v>
      </c>
      <c r="AB40" s="58" t="n">
        <v>25</v>
      </c>
      <c r="AC40" s="59" t="n">
        <v>31</v>
      </c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79"/>
      <c r="I41" s="76"/>
      <c r="J41" s="76"/>
      <c r="K41" s="76"/>
      <c r="L41" s="84"/>
      <c r="M41" s="84"/>
      <c r="N41" s="76"/>
      <c r="O41" s="76"/>
      <c r="P41" s="76"/>
      <c r="Q41" s="76"/>
      <c r="R41" s="76"/>
      <c r="S41" s="78"/>
      <c r="T41" s="76"/>
      <c r="U41" s="84"/>
      <c r="V41" s="76"/>
      <c r="W41" s="76"/>
      <c r="X41" s="76"/>
      <c r="Y41" s="76"/>
      <c r="Z41" s="80"/>
      <c r="AA41" s="81"/>
      <c r="AB41" s="81"/>
      <c r="AC41" s="82"/>
    </row>
    <row r="42" customFormat="false" ht="11.1" hidden="false" customHeight="true" outlineLevel="0" collapsed="false">
      <c r="A42" s="53" t="s">
        <v>45</v>
      </c>
      <c r="B42" s="53"/>
      <c r="C42" s="54"/>
      <c r="D42" s="54"/>
      <c r="E42" s="54"/>
      <c r="F42" s="54" t="n">
        <f aca="false">SUM(F10:F40)</f>
        <v>960.423493824048</v>
      </c>
      <c r="G42" s="54" t="n">
        <f aca="false">SUM(G10:G40)</f>
        <v>2127</v>
      </c>
      <c r="H42" s="54" t="n">
        <f aca="false">SUM(H10:H40)</f>
        <v>54.3</v>
      </c>
      <c r="I42" s="54" t="n">
        <f aca="false">SUM(I10:I40)</f>
        <v>2178.9</v>
      </c>
      <c r="J42" s="54" t="n">
        <f aca="false">SUM(J10:J40)</f>
        <v>303.641719183262</v>
      </c>
      <c r="K42" s="54" t="n">
        <f aca="false">SUM(K10:K40)</f>
        <v>2485.24640786489</v>
      </c>
      <c r="L42" s="54" t="n">
        <f aca="false">SUM(L10:L40)</f>
        <v>149.823493824048</v>
      </c>
      <c r="M42" s="54" t="n">
        <f aca="false">SUM(M10:M40)</f>
        <v>160.3</v>
      </c>
      <c r="N42" s="54" t="n">
        <f aca="false">SUM(N10:N40)</f>
        <v>0</v>
      </c>
      <c r="O42" s="54" t="n">
        <f aca="false">SUM(O10:O40)</f>
        <v>160.3</v>
      </c>
      <c r="P42" s="54" t="n">
        <f aca="false">SUM(P10:P40)</f>
        <v>0</v>
      </c>
      <c r="Q42" s="54" t="n">
        <f aca="false">SUM(Q10:Q40)</f>
        <v>0</v>
      </c>
      <c r="R42" s="54" t="n">
        <f aca="false">SUM(R10:R40)</f>
        <v>160.3</v>
      </c>
      <c r="S42" s="54"/>
      <c r="T42" s="54" t="n">
        <f aca="false">SUM(T10:T40)</f>
        <v>0</v>
      </c>
      <c r="U42" s="54" t="n">
        <f aca="false">SUM(U10:U40)</f>
        <v>1208</v>
      </c>
      <c r="V42" s="54" t="n">
        <f aca="false">V40</f>
        <v>3730</v>
      </c>
      <c r="W42" s="54" t="n">
        <f aca="false">SUM(W10:W40)</f>
        <v>1368.3</v>
      </c>
      <c r="X42" s="54" t="n">
        <f aca="false">SUM(X10:X40)</f>
        <v>153.818225359214</v>
      </c>
      <c r="Y42" s="54" t="n">
        <f aca="false">SUM(Y10:Y40)</f>
        <v>1522.11822535921</v>
      </c>
      <c r="Z42" s="57" t="n">
        <f aca="false">SUM(Z10:Z40)</f>
        <v>0.53</v>
      </c>
      <c r="AA42" s="58" t="n">
        <f aca="false">AVERAGE(AA10:AA40)</f>
        <v>45.6129032258064</v>
      </c>
      <c r="AB42" s="58" t="n">
        <f aca="false">AVERAGE(AB10:AB40)</f>
        <v>15.9032258064516</v>
      </c>
      <c r="AC42" s="59"/>
    </row>
    <row r="43" customFormat="false" ht="11.1" hidden="false" customHeight="true" outlineLevel="0" collapsed="false">
      <c r="A43" s="53" t="s">
        <v>46</v>
      </c>
      <c r="B43" s="53"/>
      <c r="C43" s="54"/>
      <c r="D43" s="54" t="n">
        <f aca="false">SUM(D10:D40)</f>
        <v>1905</v>
      </c>
      <c r="E43" s="54"/>
      <c r="F43" s="54" t="n">
        <f aca="false">F42*$D$2</f>
        <v>1905</v>
      </c>
      <c r="G43" s="54" t="n">
        <f aca="false">G42*$D$2</f>
        <v>4218.9045</v>
      </c>
      <c r="H43" s="54" t="n">
        <f aca="false">H42*$D$2</f>
        <v>107.70405</v>
      </c>
      <c r="I43" s="54" t="n">
        <f aca="false">I42*$D$2</f>
        <v>4321.84815</v>
      </c>
      <c r="J43" s="54" t="n">
        <f aca="false">J42*$D$2</f>
        <v>602.27335</v>
      </c>
      <c r="K43" s="54" t="n">
        <f aca="false">K42*$D$2</f>
        <v>4929.48625</v>
      </c>
      <c r="L43" s="54" t="n">
        <f aca="false">L42*$D$2</f>
        <v>297.1749</v>
      </c>
      <c r="M43" s="54" t="n">
        <f aca="false">M42*$D$2</f>
        <v>317.95505</v>
      </c>
      <c r="N43" s="54" t="n">
        <f aca="false">N42*$D$2</f>
        <v>0</v>
      </c>
      <c r="O43" s="54" t="n">
        <f aca="false">O42*$D$2</f>
        <v>317.95505</v>
      </c>
      <c r="P43" s="54" t="n">
        <f aca="false">P42*$D$2</f>
        <v>0</v>
      </c>
      <c r="Q43" s="54" t="n">
        <f aca="false">Q42*$D$2</f>
        <v>0</v>
      </c>
      <c r="R43" s="54" t="n">
        <f aca="false">R42*$D$2</f>
        <v>317.95505</v>
      </c>
      <c r="S43" s="54"/>
      <c r="T43" s="54" t="n">
        <f aca="false">T42*$D$2</f>
        <v>0</v>
      </c>
      <c r="U43" s="54" t="n">
        <f aca="false">U42*$D$2</f>
        <v>2396.068</v>
      </c>
      <c r="V43" s="54" t="n">
        <f aca="false">V42*$D$2</f>
        <v>7398.455</v>
      </c>
      <c r="W43" s="54" t="n">
        <f aca="false">W42*$D$2</f>
        <v>2714.02305</v>
      </c>
      <c r="X43" s="54" t="n">
        <f aca="false">X42*$D$2</f>
        <v>305.09845</v>
      </c>
      <c r="Y43" s="54" t="n">
        <f aca="false">Y42*$D$2</f>
        <v>3019.1215</v>
      </c>
      <c r="Z43" s="57"/>
      <c r="AA43" s="58" t="n">
        <f aca="false">MAX(AA10:AA40)</f>
        <v>62</v>
      </c>
      <c r="AB43" s="58" t="n">
        <f aca="false">MAX(AB10:AB40)</f>
        <v>34</v>
      </c>
      <c r="AC43" s="59" t="s">
        <v>47</v>
      </c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6"/>
      <c r="W44" s="78"/>
      <c r="X44" s="78"/>
      <c r="Y44" s="78"/>
      <c r="Z44" s="57"/>
      <c r="AA44" s="58"/>
      <c r="AB44" s="58"/>
      <c r="AC44" s="59"/>
    </row>
    <row r="45" customFormat="false" ht="11.1" hidden="false" customHeight="true" outlineLevel="0" collapsed="false">
      <c r="A45" s="53" t="s">
        <v>48</v>
      </c>
      <c r="B45" s="53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7"/>
      <c r="AA45" s="58" t="n">
        <f aca="false">MIN(AA10:AA40)</f>
        <v>20</v>
      </c>
      <c r="AB45" s="58" t="n">
        <f aca="false">MIN(AB10:AB40)</f>
        <v>-3</v>
      </c>
      <c r="AC45" s="59" t="s">
        <v>49</v>
      </c>
    </row>
    <row r="46" customFormat="false" ht="11.1" hidden="false" customHeight="true" outlineLevel="0" collapsed="false">
      <c r="A46" s="53" t="s">
        <v>50</v>
      </c>
      <c r="B46" s="53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7"/>
      <c r="AA46" s="58"/>
      <c r="AB46" s="58"/>
      <c r="AC46" s="59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1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80"/>
      <c r="AA47" s="58"/>
      <c r="AB47" s="58"/>
      <c r="AC47" s="59"/>
    </row>
    <row r="48" customFormat="false" ht="11.1" hidden="false" customHeight="true" outlineLevel="0" collapsed="false">
      <c r="A48" s="53" t="s">
        <v>51</v>
      </c>
      <c r="B48" s="53"/>
      <c r="C48" s="54"/>
      <c r="D48" s="54"/>
      <c r="E48" s="54"/>
      <c r="F48" s="54" t="n">
        <f aca="false">F8+F42</f>
        <v>3326.94731535165</v>
      </c>
      <c r="G48" s="54" t="n">
        <f aca="false">G8+G42</f>
        <v>5489</v>
      </c>
      <c r="H48" s="58" t="n">
        <f aca="false">H8+H42</f>
        <v>122.2</v>
      </c>
      <c r="I48" s="54" t="n">
        <f aca="false">I8+I42</f>
        <v>5606.1</v>
      </c>
      <c r="J48" s="54" t="n">
        <f aca="false">J8+J42</f>
        <v>1132.9894126544</v>
      </c>
      <c r="K48" s="54" t="n">
        <f aca="false">K8+K42</f>
        <v>6741.79410133602</v>
      </c>
      <c r="L48" s="54" t="n">
        <f aca="false">L8+L42</f>
        <v>659.947315351651</v>
      </c>
      <c r="M48" s="54" t="n">
        <f aca="false">M8+M42</f>
        <v>445.9</v>
      </c>
      <c r="N48" s="54" t="n">
        <f aca="false">N8+N42</f>
        <v>0</v>
      </c>
      <c r="O48" s="54" t="n">
        <f aca="false">O8+O42</f>
        <v>160.3</v>
      </c>
      <c r="P48" s="54" t="n">
        <f aca="false">P8+P42</f>
        <v>0</v>
      </c>
      <c r="Q48" s="54" t="n">
        <f aca="false">Q8+Q42</f>
        <v>75.2</v>
      </c>
      <c r="R48" s="54" t="n">
        <f aca="false">R8+R42</f>
        <v>465.9225</v>
      </c>
      <c r="S48" s="54"/>
      <c r="T48" s="54" t="n">
        <f aca="false">T8+T42</f>
        <v>0</v>
      </c>
      <c r="U48" s="54" t="n">
        <f aca="false">U8+U42</f>
        <v>2418</v>
      </c>
      <c r="V48" s="54" t="n">
        <f aca="false">V40</f>
        <v>3730</v>
      </c>
      <c r="W48" s="54" t="n">
        <f aca="false">W8+W42</f>
        <v>2939.1</v>
      </c>
      <c r="X48" s="54" t="n">
        <f aca="false">X8+X42</f>
        <v>473.042097302748</v>
      </c>
      <c r="Y48" s="54" t="n">
        <f aca="false">Y8+Y42</f>
        <v>3412.14209730275</v>
      </c>
      <c r="Z48" s="75" t="n">
        <f aca="false">Z8+Z42</f>
        <v>3.58</v>
      </c>
      <c r="AA48" s="58"/>
      <c r="AB48" s="58"/>
      <c r="AC48" s="59"/>
    </row>
    <row r="49" customFormat="false" ht="11.1" hidden="false" customHeight="true" outlineLevel="0" collapsed="false">
      <c r="A49" s="53" t="s">
        <v>52</v>
      </c>
      <c r="B49" s="53"/>
      <c r="C49" s="54"/>
      <c r="D49" s="54" t="n">
        <f aca="false">D8+D43</f>
        <v>6599</v>
      </c>
      <c r="E49" s="54" t="n">
        <f aca="false">E40</f>
        <v>112825</v>
      </c>
      <c r="F49" s="54" t="n">
        <f aca="false">F48*$D$2</f>
        <v>6599</v>
      </c>
      <c r="G49" s="54" t="n">
        <f aca="false">G48*$D$2</f>
        <v>10887.4315</v>
      </c>
      <c r="H49" s="58" t="n">
        <f aca="false">H48*$D$2</f>
        <v>242.3837</v>
      </c>
      <c r="I49" s="54" t="n">
        <f aca="false">I48*$D$2</f>
        <v>11119.69935</v>
      </c>
      <c r="J49" s="54" t="n">
        <f aca="false">J48*$D$2</f>
        <v>2247.2845</v>
      </c>
      <c r="K49" s="54" t="n">
        <f aca="false">K48*$D$2</f>
        <v>13372.3486</v>
      </c>
      <c r="L49" s="54" t="n">
        <f aca="false">L48*$D$2</f>
        <v>1309.0055</v>
      </c>
      <c r="M49" s="54" t="n">
        <f aca="false">M48*$D$2</f>
        <v>884.44265</v>
      </c>
      <c r="N49" s="54" t="n">
        <f aca="false">N48*$D$2</f>
        <v>0</v>
      </c>
      <c r="O49" s="54" t="n">
        <f aca="false">O48*$D$2</f>
        <v>317.95505</v>
      </c>
      <c r="P49" s="54" t="n">
        <f aca="false">P48*$D$2</f>
        <v>0</v>
      </c>
      <c r="Q49" s="54" t="n">
        <f aca="false">Q48*$D$2</f>
        <v>149.1592</v>
      </c>
      <c r="R49" s="54" t="n">
        <f aca="false">R48*$D$2</f>
        <v>924.15727875</v>
      </c>
      <c r="S49" s="54" t="n">
        <f aca="false">S48*$D$2</f>
        <v>0</v>
      </c>
      <c r="T49" s="54" t="n">
        <f aca="false">T48*$D$2</f>
        <v>0</v>
      </c>
      <c r="U49" s="54" t="n">
        <f aca="false">U48*$D$2</f>
        <v>4796.103</v>
      </c>
      <c r="V49" s="54" t="n">
        <f aca="false">V40*$D$2</f>
        <v>7398.455</v>
      </c>
      <c r="W49" s="54" t="n">
        <f aca="false">W48*$D$2</f>
        <v>5829.70485</v>
      </c>
      <c r="X49" s="54" t="n">
        <f aca="false">X48*$D$2</f>
        <v>938.279</v>
      </c>
      <c r="Y49" s="54" t="n">
        <f aca="false">Y48*$D$2</f>
        <v>6767.98385</v>
      </c>
      <c r="Z49" s="57"/>
      <c r="AA49" s="58"/>
      <c r="AB49" s="58"/>
      <c r="AC49" s="59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79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8"/>
      <c r="T50" s="76"/>
      <c r="U50" s="76"/>
      <c r="V50" s="78"/>
      <c r="W50" s="76"/>
      <c r="X50" s="76"/>
      <c r="Y50" s="76"/>
      <c r="Z50" s="57"/>
      <c r="AA50" s="58"/>
      <c r="AB50" s="58"/>
      <c r="AC50" s="59"/>
    </row>
    <row r="51" customFormat="false" ht="11.1" hidden="false" customHeight="true" outlineLevel="0" collapsed="false">
      <c r="A51" s="53" t="str">
        <f aca="false">"JUN /9"</f>
        <v>JUN /9</v>
      </c>
      <c r="B51" s="85"/>
      <c r="C51" s="54"/>
      <c r="D51" s="53"/>
      <c r="E51" s="54"/>
      <c r="F51" s="53"/>
      <c r="G51" s="53"/>
      <c r="H51" s="55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4"/>
      <c r="T51" s="53"/>
      <c r="U51" s="53"/>
      <c r="V51" s="54"/>
      <c r="W51" s="53"/>
      <c r="X51" s="53"/>
      <c r="Y51" s="53"/>
      <c r="Z51" s="57"/>
      <c r="AA51" s="58"/>
      <c r="AB51" s="58"/>
      <c r="AC51" s="59"/>
    </row>
    <row r="52" customFormat="false" ht="11.1" hidden="false" customHeight="true" outlineLevel="0" collapsed="false">
      <c r="A52" s="53"/>
      <c r="B52" s="74" t="n">
        <v>6924.15</v>
      </c>
      <c r="C52" s="54" t="n">
        <v>381833</v>
      </c>
      <c r="D52" s="83"/>
      <c r="E52" s="54" t="n">
        <f aca="false">C52-152000</f>
        <v>229833</v>
      </c>
      <c r="F52" s="53"/>
      <c r="G52" s="53"/>
      <c r="H52" s="83"/>
      <c r="I52" s="55"/>
      <c r="J52" s="53"/>
      <c r="K52" s="44"/>
      <c r="L52" s="53"/>
      <c r="M52" s="53"/>
      <c r="N52" s="53"/>
      <c r="O52" s="53"/>
      <c r="P52" s="53"/>
      <c r="Q52" s="53"/>
      <c r="R52" s="53"/>
      <c r="S52" s="54"/>
      <c r="T52" s="53"/>
      <c r="U52" s="53"/>
      <c r="V52" s="54"/>
      <c r="W52" s="53"/>
      <c r="X52" s="53"/>
      <c r="Y52" s="53"/>
      <c r="Z52" s="57"/>
      <c r="AA52" s="58"/>
      <c r="AB52" s="58"/>
      <c r="AC52" s="59"/>
    </row>
    <row r="53" customFormat="false" ht="11.1" hidden="false" customHeight="true" outlineLevel="0" collapsed="false">
      <c r="A53" s="83" t="str">
        <f aca="false">"5/12/94 thru 6/9/94"</f>
        <v>5/12/94 thru 6/9/94</v>
      </c>
      <c r="B53" s="83"/>
      <c r="C53" s="54"/>
      <c r="D53" s="54"/>
      <c r="E53" s="54"/>
      <c r="F53" s="83"/>
      <c r="G53" s="83"/>
      <c r="H53" s="55"/>
      <c r="I53" s="83"/>
      <c r="J53" s="83"/>
      <c r="K53" s="83"/>
      <c r="L53" s="83"/>
      <c r="M53" s="75"/>
      <c r="N53" s="75"/>
      <c r="O53" s="75"/>
      <c r="P53" s="83"/>
      <c r="Q53" s="83"/>
      <c r="R53" s="83"/>
      <c r="S53" s="54"/>
      <c r="T53" s="83"/>
      <c r="U53" s="83"/>
      <c r="V53" s="54"/>
      <c r="W53" s="83"/>
      <c r="X53" s="83"/>
      <c r="Y53" s="83"/>
      <c r="Z53" s="57"/>
      <c r="AA53" s="58"/>
      <c r="AB53" s="58"/>
      <c r="AC53" s="59"/>
    </row>
    <row r="54" customFormat="false" ht="11.1" hidden="false" customHeight="true" outlineLevel="0" collapsed="false">
      <c r="A54" s="83"/>
      <c r="B54" s="57" t="n">
        <f aca="false">B52-B21</f>
        <v>29.5699999999997</v>
      </c>
      <c r="C54" s="54"/>
      <c r="D54" s="54" t="n">
        <f aca="false">C52-C22</f>
        <v>117714</v>
      </c>
      <c r="E54" s="54"/>
      <c r="F54" s="83"/>
      <c r="G54" s="83"/>
      <c r="H54" s="55"/>
      <c r="I54" s="83"/>
      <c r="J54" s="83"/>
      <c r="K54" s="83"/>
      <c r="L54" s="83"/>
      <c r="M54" s="75"/>
      <c r="N54" s="75"/>
      <c r="O54" s="75"/>
      <c r="P54" s="83"/>
      <c r="Q54" s="83"/>
      <c r="R54" s="83"/>
      <c r="S54" s="54"/>
      <c r="T54" s="83"/>
      <c r="U54" s="83"/>
      <c r="V54" s="54"/>
      <c r="W54" s="83"/>
      <c r="X54" s="83"/>
      <c r="Y54" s="83"/>
      <c r="Z54" s="57"/>
      <c r="AA54" s="58"/>
      <c r="AB54" s="58"/>
      <c r="AC54" s="59"/>
    </row>
    <row r="55" customFormat="false" ht="11.1" hidden="false" customHeight="true" outlineLevel="0" collapsed="false">
      <c r="A55" s="83"/>
      <c r="B55" s="83"/>
      <c r="C55" s="54"/>
      <c r="D55" s="83"/>
      <c r="E55" s="54"/>
      <c r="F55" s="83"/>
      <c r="G55" s="86"/>
      <c r="H55" s="55"/>
      <c r="I55" s="83"/>
      <c r="J55" s="83"/>
      <c r="K55" s="83"/>
      <c r="L55" s="83"/>
      <c r="M55" s="75"/>
      <c r="N55" s="75"/>
      <c r="O55" s="75"/>
      <c r="P55" s="83"/>
      <c r="Q55" s="83"/>
      <c r="R55" s="83"/>
      <c r="S55" s="54"/>
      <c r="T55" s="83"/>
      <c r="U55" s="83"/>
      <c r="V55" s="54"/>
      <c r="W55" s="83"/>
      <c r="X55" s="83"/>
      <c r="Y55" s="83"/>
      <c r="Z55" s="57"/>
      <c r="AA55" s="58"/>
      <c r="AB55" s="58"/>
      <c r="AC55" s="59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P21" activePane="bottomRight" state="frozen"/>
      <selection pane="topLeft" activeCell="A1" activeCellId="0" sqref="A1"/>
      <selection pane="topRight" activeCell="P1" activeCellId="0" sqref="P1"/>
      <selection pane="bottomLeft" activeCell="A21" activeCellId="0" sqref="A21"/>
      <selection pane="bottomRight" activeCell="U41" activeCellId="0" sqref="U41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6.82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6.66"/>
    <col collapsed="false" customWidth="true" hidden="false" outlineLevel="0" max="19" min="19" style="47" width="6.66"/>
    <col collapsed="false" customWidth="true" hidden="false" outlineLevel="0" max="20" min="20" style="46" width="5.82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87"/>
      <c r="AE1" s="87"/>
    </row>
    <row r="2" customFormat="false" ht="14.1" hidden="false" customHeight="true" outlineLevel="0" collapsed="false">
      <c r="A2" s="53" t="s">
        <v>1</v>
      </c>
      <c r="B2" s="53"/>
      <c r="C2" s="54"/>
      <c r="D2" s="60" t="n">
        <v>1.9835</v>
      </c>
      <c r="E2" s="54"/>
      <c r="F2" s="53"/>
      <c r="G2" s="53"/>
      <c r="H2" s="55"/>
      <c r="I2" s="53"/>
      <c r="J2" s="53"/>
      <c r="K2" s="61" t="s">
        <v>55</v>
      </c>
      <c r="L2" s="61"/>
      <c r="M2" s="61"/>
      <c r="N2" s="61"/>
      <c r="O2" s="61"/>
      <c r="P2" s="61"/>
      <c r="Q2" s="61"/>
      <c r="R2" s="61"/>
      <c r="S2" s="61"/>
      <c r="T2" s="61"/>
      <c r="U2" s="53"/>
      <c r="V2" s="54"/>
      <c r="W2" s="53"/>
      <c r="X2" s="53"/>
      <c r="Y2" s="53"/>
      <c r="Z2" s="57"/>
      <c r="AA2" s="58"/>
      <c r="AB2" s="58"/>
      <c r="AC2" s="59"/>
      <c r="AD2" s="87"/>
      <c r="AE2" s="87"/>
    </row>
    <row r="3" customFormat="false" ht="11.1" hidden="false" customHeight="true" outlineLevel="0" collapsed="false">
      <c r="A3" s="53"/>
      <c r="B3" s="53"/>
      <c r="C3" s="54"/>
      <c r="D3" s="62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87"/>
      <c r="AE3" s="87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14</v>
      </c>
      <c r="Q4" s="63" t="s">
        <v>15</v>
      </c>
      <c r="R4" s="63" t="s">
        <v>12</v>
      </c>
      <c r="S4" s="64" t="s">
        <v>16</v>
      </c>
      <c r="T4" s="63" t="s">
        <v>17</v>
      </c>
      <c r="U4" s="63" t="s">
        <v>18</v>
      </c>
      <c r="V4" s="64" t="s">
        <v>19</v>
      </c>
      <c r="W4" s="63" t="s">
        <v>10</v>
      </c>
      <c r="X4" s="63" t="s">
        <v>11</v>
      </c>
      <c r="Y4" s="63" t="s">
        <v>12</v>
      </c>
      <c r="Z4" s="66" t="s">
        <v>20</v>
      </c>
      <c r="AA4" s="67" t="s">
        <v>21</v>
      </c>
      <c r="AB4" s="67" t="s">
        <v>22</v>
      </c>
      <c r="AC4" s="67" t="s">
        <v>3</v>
      </c>
      <c r="AD4" s="87"/>
      <c r="AE4" s="87"/>
    </row>
    <row r="5" customFormat="false" ht="11.1" hidden="false" customHeight="true" outlineLevel="0" collapsed="false">
      <c r="A5" s="68" t="s">
        <v>56</v>
      </c>
      <c r="B5" s="63" t="s">
        <v>24</v>
      </c>
      <c r="C5" s="64" t="s">
        <v>5</v>
      </c>
      <c r="D5" s="63" t="s">
        <v>25</v>
      </c>
      <c r="E5" s="64" t="s">
        <v>26</v>
      </c>
      <c r="F5" s="63" t="s">
        <v>27</v>
      </c>
      <c r="G5" s="63" t="s">
        <v>28</v>
      </c>
      <c r="H5" s="65" t="s">
        <v>29</v>
      </c>
      <c r="I5" s="63" t="s">
        <v>30</v>
      </c>
      <c r="J5" s="63" t="s">
        <v>30</v>
      </c>
      <c r="K5" s="63" t="s">
        <v>30</v>
      </c>
      <c r="L5" s="63" t="s">
        <v>31</v>
      </c>
      <c r="M5" s="63" t="s">
        <v>32</v>
      </c>
      <c r="N5" s="63" t="s">
        <v>33</v>
      </c>
      <c r="O5" s="63" t="s">
        <v>34</v>
      </c>
      <c r="P5" s="63" t="s">
        <v>35</v>
      </c>
      <c r="Q5" s="63" t="s">
        <v>36</v>
      </c>
      <c r="R5" s="63" t="s">
        <v>16</v>
      </c>
      <c r="S5" s="64" t="s">
        <v>37</v>
      </c>
      <c r="T5" s="63" t="s">
        <v>38</v>
      </c>
      <c r="U5" s="63" t="s">
        <v>39</v>
      </c>
      <c r="V5" s="64" t="s">
        <v>40</v>
      </c>
      <c r="W5" s="63" t="s">
        <v>41</v>
      </c>
      <c r="X5" s="63" t="s">
        <v>41</v>
      </c>
      <c r="Y5" s="63" t="s">
        <v>41</v>
      </c>
      <c r="Z5" s="69"/>
      <c r="AA5" s="67" t="s">
        <v>42</v>
      </c>
      <c r="AB5" s="67" t="s">
        <v>42</v>
      </c>
      <c r="AC5" s="70" t="s">
        <v>56</v>
      </c>
      <c r="AD5" s="87"/>
      <c r="AE5" s="87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  <c r="AD6" s="88"/>
      <c r="AE6" s="88"/>
      <c r="AF6" s="89"/>
    </row>
    <row r="7" customFormat="false" ht="11.1" hidden="false" customHeight="true" outlineLevel="0" collapsed="false">
      <c r="A7" s="53" t="s">
        <v>43</v>
      </c>
      <c r="B7" s="53"/>
      <c r="C7" s="54"/>
      <c r="D7" s="54"/>
      <c r="E7" s="54"/>
      <c r="F7" s="54"/>
      <c r="G7" s="54"/>
      <c r="H7" s="58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7"/>
      <c r="AA7" s="58"/>
      <c r="AB7" s="58"/>
      <c r="AC7" s="59"/>
      <c r="AD7" s="88"/>
      <c r="AE7" s="89"/>
      <c r="AF7" s="89"/>
    </row>
    <row r="8" s="47" customFormat="true" ht="11.1" hidden="false" customHeight="true" outlineLevel="0" collapsed="false">
      <c r="A8" s="54" t="s">
        <v>44</v>
      </c>
      <c r="B8" s="74" t="n">
        <f aca="false" t="array" ref="B8:C8">DEC!$B$40:$C$40</f>
        <v>6894.81</v>
      </c>
      <c r="C8" s="54" t="n">
        <v>264825</v>
      </c>
      <c r="D8" s="54" t="n">
        <f aca="false" t="array" ref="D8:E8">DEC!$D$49:$E$49</f>
        <v>6599</v>
      </c>
      <c r="E8" s="54" t="n">
        <v>112825</v>
      </c>
      <c r="F8" s="54" t="n">
        <f aca="false" t="array" ref="F8:Z8">DEC!$F$48:$Z$48</f>
        <v>3326.94731535165</v>
      </c>
      <c r="G8" s="54" t="n">
        <v>5489</v>
      </c>
      <c r="H8" s="58" t="n">
        <v>122.2</v>
      </c>
      <c r="I8" s="54" t="n">
        <v>5606.1</v>
      </c>
      <c r="J8" s="54" t="n">
        <v>1132.9894126544</v>
      </c>
      <c r="K8" s="54" t="n">
        <v>6741.79410133602</v>
      </c>
      <c r="L8" s="54" t="n">
        <v>659.947315351651</v>
      </c>
      <c r="M8" s="54" t="n">
        <v>445.9</v>
      </c>
      <c r="N8" s="54" t="n">
        <v>0</v>
      </c>
      <c r="O8" s="54" t="n">
        <v>160.3</v>
      </c>
      <c r="P8" s="54" t="n">
        <v>0</v>
      </c>
      <c r="Q8" s="54" t="n">
        <v>75.2</v>
      </c>
      <c r="R8" s="54" t="n">
        <v>465.9225</v>
      </c>
      <c r="S8" s="54" t="n">
        <v>0</v>
      </c>
      <c r="T8" s="54" t="n">
        <v>0</v>
      </c>
      <c r="U8" s="54" t="n">
        <v>2418</v>
      </c>
      <c r="V8" s="54" t="n">
        <v>3730</v>
      </c>
      <c r="W8" s="54" t="n">
        <v>2939.1</v>
      </c>
      <c r="X8" s="54" t="n">
        <v>473.042097302748</v>
      </c>
      <c r="Y8" s="54" t="n">
        <v>3412.14209730275</v>
      </c>
      <c r="Z8" s="75" t="n">
        <v>3.58</v>
      </c>
      <c r="AA8" s="58"/>
      <c r="AB8" s="58"/>
      <c r="AC8" s="59"/>
      <c r="AD8" s="90"/>
      <c r="AE8" s="88"/>
      <c r="AF8" s="90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79"/>
      <c r="I9" s="76"/>
      <c r="J9" s="76"/>
      <c r="K9" s="76"/>
      <c r="L9" s="76"/>
      <c r="M9" s="76"/>
      <c r="N9" s="76"/>
      <c r="O9" s="76"/>
      <c r="P9" s="76"/>
      <c r="Q9" s="76"/>
      <c r="R9" s="76"/>
      <c r="S9" s="78"/>
      <c r="T9" s="76"/>
      <c r="U9" s="76"/>
      <c r="V9" s="78"/>
      <c r="W9" s="76"/>
      <c r="X9" s="76"/>
      <c r="Y9" s="76"/>
      <c r="Z9" s="80"/>
      <c r="AA9" s="81"/>
      <c r="AB9" s="81"/>
      <c r="AC9" s="82"/>
      <c r="AD9" s="88"/>
      <c r="AE9" s="88"/>
      <c r="AF9" s="89"/>
    </row>
    <row r="10" customFormat="false" ht="11.1" hidden="false" customHeight="true" outlineLevel="0" collapsed="false">
      <c r="A10" s="59" t="n">
        <v>1</v>
      </c>
      <c r="B10" s="74" t="n">
        <v>6894.84</v>
      </c>
      <c r="C10" s="54" t="n">
        <v>264931</v>
      </c>
      <c r="D10" s="58" t="n">
        <f aca="false">C10-C8</f>
        <v>106</v>
      </c>
      <c r="E10" s="54" t="n">
        <f aca="false">C10-152000</f>
        <v>112931</v>
      </c>
      <c r="F10" s="53" t="n">
        <f aca="false">D10/$D$2</f>
        <v>53.4408873203932</v>
      </c>
      <c r="G10" s="53" t="n">
        <v>56</v>
      </c>
      <c r="H10" s="55" t="n">
        <v>1.9</v>
      </c>
      <c r="I10" s="53" t="n">
        <f aca="false">G10+H10</f>
        <v>57.9</v>
      </c>
      <c r="J10" s="75" t="n">
        <f aca="false">IF(L10&gt;0,L10,0)</f>
        <v>38.2408873203932</v>
      </c>
      <c r="K10" s="53" t="n">
        <f aca="false">I10+J10</f>
        <v>96.1408873203932</v>
      </c>
      <c r="L10" s="53" t="n">
        <f aca="false">F10-(I10-W10)</f>
        <v>38.2408873203932</v>
      </c>
      <c r="M10" s="53" t="n">
        <v>3.7</v>
      </c>
      <c r="N10" s="53" t="n">
        <v>0</v>
      </c>
      <c r="O10" s="53" t="n">
        <f aca="false">M10-N10</f>
        <v>3.7</v>
      </c>
      <c r="P10" s="53" t="n">
        <v>0</v>
      </c>
      <c r="Q10" s="53" t="n">
        <v>0</v>
      </c>
      <c r="R10" s="53" t="n">
        <f aca="false">SUM(O10:Q10)</f>
        <v>3.7</v>
      </c>
      <c r="S10" s="54"/>
      <c r="T10" s="53" t="n">
        <v>0</v>
      </c>
      <c r="U10" s="53" t="n">
        <v>39</v>
      </c>
      <c r="V10" s="54" t="n">
        <f aca="false">V8-U10</f>
        <v>3691</v>
      </c>
      <c r="W10" s="53" t="n">
        <f aca="false">R10+T10+N10+U10</f>
        <v>42.7</v>
      </c>
      <c r="X10" s="53" t="n">
        <f aca="false">IF(L10&lt;0,L10*-1,0)</f>
        <v>0</v>
      </c>
      <c r="Y10" s="53" t="n">
        <f aca="false">W10+X10</f>
        <v>42.7</v>
      </c>
      <c r="Z10" s="57" t="n">
        <v>0.02</v>
      </c>
      <c r="AA10" s="58" t="n">
        <v>42</v>
      </c>
      <c r="AB10" s="58" t="n">
        <v>28</v>
      </c>
      <c r="AC10" s="59" t="n">
        <v>1</v>
      </c>
      <c r="AD10" s="89"/>
      <c r="AE10" s="90"/>
      <c r="AF10" s="89"/>
    </row>
    <row r="11" customFormat="false" ht="11.1" hidden="false" customHeight="true" outlineLevel="0" collapsed="false">
      <c r="A11" s="59" t="n">
        <f aca="false">A10+1</f>
        <v>2</v>
      </c>
      <c r="B11" s="74" t="n">
        <v>6894.85</v>
      </c>
      <c r="C11" s="54" t="n">
        <v>264966</v>
      </c>
      <c r="D11" s="58" t="n">
        <f aca="false">C11-C10</f>
        <v>35</v>
      </c>
      <c r="E11" s="54" t="n">
        <f aca="false">C11-152000</f>
        <v>112966</v>
      </c>
      <c r="F11" s="53" t="n">
        <f aca="false">D11/$D$2</f>
        <v>17.6455760020166</v>
      </c>
      <c r="G11" s="53" t="n">
        <v>60</v>
      </c>
      <c r="H11" s="55" t="n">
        <v>1.7</v>
      </c>
      <c r="I11" s="53" t="n">
        <f aca="false">G11+H11</f>
        <v>61.7</v>
      </c>
      <c r="J11" s="75" t="n">
        <f aca="false">IF(L11&gt;0,L11,0)</f>
        <v>0</v>
      </c>
      <c r="K11" s="53" t="n">
        <f aca="false">I11+J11</f>
        <v>61.7</v>
      </c>
      <c r="L11" s="53" t="n">
        <f aca="false">F11-(I11-W11)</f>
        <v>-1.35442399798336</v>
      </c>
      <c r="M11" s="53" t="n">
        <v>3.7</v>
      </c>
      <c r="N11" s="53" t="n">
        <v>0</v>
      </c>
      <c r="O11" s="53" t="n">
        <f aca="false">M11-N11</f>
        <v>3.7</v>
      </c>
      <c r="P11" s="53" t="n">
        <v>0</v>
      </c>
      <c r="Q11" s="53" t="n">
        <v>0</v>
      </c>
      <c r="R11" s="53" t="n">
        <f aca="false">SUM(O11:Q11)</f>
        <v>3.7</v>
      </c>
      <c r="S11" s="54"/>
      <c r="T11" s="53" t="n">
        <v>0</v>
      </c>
      <c r="U11" s="53" t="n">
        <v>39</v>
      </c>
      <c r="V11" s="54" t="n">
        <f aca="false">V10-U11</f>
        <v>3652</v>
      </c>
      <c r="W11" s="53" t="n">
        <f aca="false">R11+T11+N11+U11</f>
        <v>42.7</v>
      </c>
      <c r="X11" s="53" t="n">
        <f aca="false">IF(L11&lt;0,L11*-1,0)</f>
        <v>1.35442399798336</v>
      </c>
      <c r="Y11" s="53" t="n">
        <f aca="false">W11+X11</f>
        <v>44.0544239979834</v>
      </c>
      <c r="Z11" s="57" t="n">
        <v>0</v>
      </c>
      <c r="AA11" s="58" t="n">
        <v>42</v>
      </c>
      <c r="AB11" s="58" t="n">
        <v>20</v>
      </c>
      <c r="AC11" s="59" t="n">
        <f aca="false">AC10+1</f>
        <v>2</v>
      </c>
      <c r="AD11" s="89"/>
      <c r="AE11" s="90"/>
      <c r="AF11" s="89"/>
    </row>
    <row r="12" customFormat="false" ht="11.1" hidden="false" customHeight="true" outlineLevel="0" collapsed="false">
      <c r="A12" s="59" t="n">
        <f aca="false">A11+1</f>
        <v>3</v>
      </c>
      <c r="B12" s="74" t="n">
        <v>6894.86</v>
      </c>
      <c r="C12" s="54" t="n">
        <v>265002</v>
      </c>
      <c r="D12" s="58" t="n">
        <f aca="false">C12-C11</f>
        <v>36</v>
      </c>
      <c r="E12" s="54" t="n">
        <f aca="false">C12-152000</f>
        <v>113002</v>
      </c>
      <c r="F12" s="53" t="n">
        <f aca="false">D12/$D$2</f>
        <v>18.14973531636</v>
      </c>
      <c r="G12" s="53" t="n">
        <v>54</v>
      </c>
      <c r="H12" s="55" t="n">
        <v>1.5</v>
      </c>
      <c r="I12" s="53" t="n">
        <f aca="false">G12+H12</f>
        <v>55.5</v>
      </c>
      <c r="J12" s="75" t="n">
        <f aca="false">IF(L12&gt;0,L12,0)</f>
        <v>5.34973531635997</v>
      </c>
      <c r="K12" s="53" t="n">
        <f aca="false">I12+J12</f>
        <v>60.84973531636</v>
      </c>
      <c r="L12" s="53" t="n">
        <f aca="false">F12-(I12-W12)</f>
        <v>5.34973531635997</v>
      </c>
      <c r="M12" s="53" t="n">
        <v>3.7</v>
      </c>
      <c r="N12" s="53" t="n">
        <v>0</v>
      </c>
      <c r="O12" s="53" t="n">
        <f aca="false">M12-N12</f>
        <v>3.7</v>
      </c>
      <c r="P12" s="53" t="n">
        <v>0</v>
      </c>
      <c r="Q12" s="53" t="n">
        <v>0</v>
      </c>
      <c r="R12" s="53" t="n">
        <f aca="false">SUM(O12:Q12)</f>
        <v>3.7</v>
      </c>
      <c r="S12" s="54"/>
      <c r="T12" s="53" t="n">
        <v>0</v>
      </c>
      <c r="U12" s="53" t="n">
        <v>39</v>
      </c>
      <c r="V12" s="54" t="n">
        <f aca="false">V11-U12</f>
        <v>3613</v>
      </c>
      <c r="W12" s="53" t="n">
        <f aca="false">R12+T12+N12+U12</f>
        <v>42.7</v>
      </c>
      <c r="X12" s="53" t="n">
        <f aca="false">IF(L12&lt;0,L12*-1,0)</f>
        <v>0</v>
      </c>
      <c r="Y12" s="53" t="n">
        <f aca="false">W12+X12</f>
        <v>42.7</v>
      </c>
      <c r="Z12" s="57" t="n">
        <v>0</v>
      </c>
      <c r="AA12" s="58" t="n">
        <v>33</v>
      </c>
      <c r="AB12" s="58" t="n">
        <v>16</v>
      </c>
      <c r="AC12" s="59" t="n">
        <f aca="false">AC11+1</f>
        <v>3</v>
      </c>
      <c r="AD12" s="89"/>
      <c r="AE12" s="90"/>
      <c r="AF12" s="89"/>
    </row>
    <row r="13" customFormat="false" ht="11.1" hidden="false" customHeight="true" outlineLevel="0" collapsed="false">
      <c r="A13" s="59" t="n">
        <f aca="false">A12+1</f>
        <v>4</v>
      </c>
      <c r="B13" s="74" t="n">
        <v>6894.67</v>
      </c>
      <c r="C13" s="54" t="n">
        <v>265037</v>
      </c>
      <c r="D13" s="58" t="n">
        <f aca="false">C13-C12</f>
        <v>35</v>
      </c>
      <c r="E13" s="54" t="n">
        <f aca="false">C13-152000</f>
        <v>113037</v>
      </c>
      <c r="F13" s="53" t="n">
        <f aca="false">D13/$D$2</f>
        <v>17.6455760020166</v>
      </c>
      <c r="G13" s="53" t="n">
        <v>48</v>
      </c>
      <c r="H13" s="55" t="n">
        <v>1.7</v>
      </c>
      <c r="I13" s="53" t="n">
        <f aca="false">G13+H13</f>
        <v>49.7</v>
      </c>
      <c r="J13" s="75" t="n">
        <f aca="false">IF(L13&gt;0,L13,0)</f>
        <v>10.6455760020166</v>
      </c>
      <c r="K13" s="53" t="n">
        <f aca="false">I13+J13</f>
        <v>60.3455760020166</v>
      </c>
      <c r="L13" s="53" t="n">
        <f aca="false">F13-(I13-W13)</f>
        <v>10.6455760020166</v>
      </c>
      <c r="M13" s="53" t="n">
        <v>3.7</v>
      </c>
      <c r="N13" s="53" t="n">
        <v>0</v>
      </c>
      <c r="O13" s="53" t="n">
        <f aca="false">M13-N13</f>
        <v>3.7</v>
      </c>
      <c r="P13" s="53" t="n">
        <v>0</v>
      </c>
      <c r="Q13" s="53" t="n">
        <v>0</v>
      </c>
      <c r="R13" s="53" t="n">
        <f aca="false">SUM(O13:Q13)</f>
        <v>3.7</v>
      </c>
      <c r="S13" s="54"/>
      <c r="T13" s="53" t="n">
        <v>0</v>
      </c>
      <c r="U13" s="53" t="n">
        <v>39</v>
      </c>
      <c r="V13" s="54" t="n">
        <f aca="false">V12-U13</f>
        <v>3574</v>
      </c>
      <c r="W13" s="53" t="n">
        <f aca="false">R13+T13+N13+U13</f>
        <v>42.7</v>
      </c>
      <c r="X13" s="53" t="n">
        <f aca="false">IF(L13&lt;0,L13*-1,0)</f>
        <v>0</v>
      </c>
      <c r="Y13" s="53" t="n">
        <f aca="false">W13+X13</f>
        <v>42.7</v>
      </c>
      <c r="Z13" s="57" t="n">
        <v>0</v>
      </c>
      <c r="AA13" s="58" t="n">
        <v>40</v>
      </c>
      <c r="AB13" s="58" t="n">
        <v>12</v>
      </c>
      <c r="AC13" s="59" t="n">
        <f aca="false">AC12+1</f>
        <v>4</v>
      </c>
      <c r="AD13" s="89"/>
      <c r="AE13" s="90"/>
      <c r="AF13" s="89"/>
    </row>
    <row r="14" customFormat="false" ht="11.1" hidden="false" customHeight="true" outlineLevel="0" collapsed="false">
      <c r="A14" s="59" t="n">
        <f aca="false">A13+1</f>
        <v>5</v>
      </c>
      <c r="B14" s="74" t="n">
        <v>6894.68</v>
      </c>
      <c r="C14" s="54" t="n">
        <v>265072</v>
      </c>
      <c r="D14" s="58" t="n">
        <f aca="false">C14-C13</f>
        <v>35</v>
      </c>
      <c r="E14" s="54" t="n">
        <f aca="false">C14-152000</f>
        <v>113072</v>
      </c>
      <c r="F14" s="53" t="n">
        <f aca="false">D14/$D$2</f>
        <v>17.6455760020166</v>
      </c>
      <c r="G14" s="53" t="n">
        <v>47</v>
      </c>
      <c r="H14" s="55" t="n">
        <v>1.4</v>
      </c>
      <c r="I14" s="53" t="n">
        <f aca="false">G14+H14</f>
        <v>48.4</v>
      </c>
      <c r="J14" s="75" t="n">
        <f aca="false">IF(L14&gt;0,L14,0)</f>
        <v>11.9455760020166</v>
      </c>
      <c r="K14" s="53" t="n">
        <f aca="false">I14+J14</f>
        <v>60.3455760020166</v>
      </c>
      <c r="L14" s="53" t="n">
        <f aca="false">F14-(I14-W14)</f>
        <v>11.9455760020166</v>
      </c>
      <c r="M14" s="53" t="n">
        <v>3.7</v>
      </c>
      <c r="N14" s="53" t="n">
        <v>0</v>
      </c>
      <c r="O14" s="53" t="n">
        <f aca="false">M14-N14</f>
        <v>3.7</v>
      </c>
      <c r="P14" s="53" t="n">
        <v>0</v>
      </c>
      <c r="Q14" s="53" t="n">
        <v>0</v>
      </c>
      <c r="R14" s="53" t="n">
        <f aca="false">SUM(O14:Q14)</f>
        <v>3.7</v>
      </c>
      <c r="S14" s="54"/>
      <c r="T14" s="53" t="n">
        <v>0</v>
      </c>
      <c r="U14" s="53" t="n">
        <v>39</v>
      </c>
      <c r="V14" s="54" t="n">
        <f aca="false">V13-U14</f>
        <v>3535</v>
      </c>
      <c r="W14" s="53" t="n">
        <f aca="false">R14+T14+N14+U14</f>
        <v>42.7</v>
      </c>
      <c r="X14" s="53" t="n">
        <f aca="false">IF(L14&lt;0,L14*-1,0)</f>
        <v>0</v>
      </c>
      <c r="Y14" s="53" t="n">
        <f aca="false">W14+X14</f>
        <v>42.7</v>
      </c>
      <c r="Z14" s="57" t="n">
        <v>0</v>
      </c>
      <c r="AA14" s="58" t="n">
        <v>49</v>
      </c>
      <c r="AB14" s="58" t="n">
        <v>19</v>
      </c>
      <c r="AC14" s="59" t="n">
        <f aca="false">AC13+1</f>
        <v>5</v>
      </c>
      <c r="AD14" s="89"/>
      <c r="AE14" s="90"/>
      <c r="AF14" s="89"/>
    </row>
    <row r="15" customFormat="false" ht="11.1" hidden="false" customHeight="true" outlineLevel="0" collapsed="false">
      <c r="A15" s="59" t="n">
        <f aca="false">A14+1</f>
        <v>6</v>
      </c>
      <c r="B15" s="74" t="n">
        <v>6894.89</v>
      </c>
      <c r="C15" s="54" t="n">
        <v>265108</v>
      </c>
      <c r="D15" s="58" t="n">
        <f aca="false">C15-C14</f>
        <v>36</v>
      </c>
      <c r="E15" s="54" t="n">
        <f aca="false">C15-152000</f>
        <v>113108</v>
      </c>
      <c r="F15" s="53" t="n">
        <f aca="false">D15/$D$2</f>
        <v>18.14973531636</v>
      </c>
      <c r="G15" s="53" t="n">
        <v>49</v>
      </c>
      <c r="H15" s="55" t="n">
        <v>1.4</v>
      </c>
      <c r="I15" s="53" t="n">
        <f aca="false">G15+H15</f>
        <v>50.4</v>
      </c>
      <c r="J15" s="75" t="n">
        <f aca="false">IF(L15&gt;0,L15,0)</f>
        <v>10.44973531636</v>
      </c>
      <c r="K15" s="53" t="n">
        <f aca="false">I15+J15</f>
        <v>60.84973531636</v>
      </c>
      <c r="L15" s="53" t="n">
        <f aca="false">F15-(I15-W15)</f>
        <v>10.44973531636</v>
      </c>
      <c r="M15" s="53" t="n">
        <v>3.7</v>
      </c>
      <c r="N15" s="53" t="n">
        <v>0</v>
      </c>
      <c r="O15" s="53" t="n">
        <f aca="false">M15-N15</f>
        <v>3.7</v>
      </c>
      <c r="P15" s="53" t="n">
        <v>0</v>
      </c>
      <c r="Q15" s="53" t="n">
        <v>0</v>
      </c>
      <c r="R15" s="53" t="n">
        <f aca="false">SUM(O15:Q15)</f>
        <v>3.7</v>
      </c>
      <c r="S15" s="54"/>
      <c r="T15" s="53" t="n">
        <v>0</v>
      </c>
      <c r="U15" s="53" t="n">
        <v>39</v>
      </c>
      <c r="V15" s="54" t="n">
        <f aca="false">V14-U15</f>
        <v>3496</v>
      </c>
      <c r="W15" s="53" t="n">
        <f aca="false">R15+T15+N15+U15</f>
        <v>42.7</v>
      </c>
      <c r="X15" s="53" t="n">
        <f aca="false">IF(L15&lt;0,L15*-1,0)</f>
        <v>0</v>
      </c>
      <c r="Y15" s="53" t="n">
        <f aca="false">W15+X15</f>
        <v>42.7</v>
      </c>
      <c r="Z15" s="57" t="n">
        <v>0</v>
      </c>
      <c r="AA15" s="58" t="n">
        <v>50</v>
      </c>
      <c r="AB15" s="58" t="n">
        <v>20</v>
      </c>
      <c r="AC15" s="59" t="n">
        <f aca="false">AC14+1</f>
        <v>6</v>
      </c>
      <c r="AD15" s="88"/>
      <c r="AE15" s="90"/>
      <c r="AF15" s="89"/>
    </row>
    <row r="16" customFormat="false" ht="11.1" hidden="false" customHeight="true" outlineLevel="0" collapsed="false">
      <c r="A16" s="59" t="n">
        <f aca="false">A15+1</f>
        <v>7</v>
      </c>
      <c r="B16" s="74" t="n">
        <v>6894.9</v>
      </c>
      <c r="C16" s="54" t="n">
        <v>265143</v>
      </c>
      <c r="D16" s="58" t="n">
        <f aca="false">C16-C15</f>
        <v>35</v>
      </c>
      <c r="E16" s="54" t="n">
        <f aca="false">C16-152000</f>
        <v>113143</v>
      </c>
      <c r="F16" s="53" t="n">
        <f aca="false">D16/$D$2</f>
        <v>17.6455760020166</v>
      </c>
      <c r="G16" s="53" t="n">
        <v>51</v>
      </c>
      <c r="H16" s="55" t="n">
        <v>1.4</v>
      </c>
      <c r="I16" s="53" t="n">
        <f aca="false">G16+H16</f>
        <v>52.4</v>
      </c>
      <c r="J16" s="75" t="n">
        <f aca="false">IF(L16&gt;0,L16,0)</f>
        <v>7.94557600201664</v>
      </c>
      <c r="K16" s="53" t="n">
        <f aca="false">I16+J16</f>
        <v>60.3455760020166</v>
      </c>
      <c r="L16" s="53" t="n">
        <f aca="false">F16-(I16-W16)</f>
        <v>7.94557600201664</v>
      </c>
      <c r="M16" s="53" t="n">
        <v>3.7</v>
      </c>
      <c r="N16" s="53" t="n">
        <v>0</v>
      </c>
      <c r="O16" s="53" t="n">
        <f aca="false">M16-N16</f>
        <v>3.7</v>
      </c>
      <c r="P16" s="53" t="n">
        <v>0</v>
      </c>
      <c r="Q16" s="53" t="n">
        <v>0</v>
      </c>
      <c r="R16" s="53" t="n">
        <f aca="false">SUM(O16:Q16)</f>
        <v>3.7</v>
      </c>
      <c r="S16" s="54"/>
      <c r="T16" s="53" t="n">
        <v>0</v>
      </c>
      <c r="U16" s="53" t="n">
        <v>39</v>
      </c>
      <c r="V16" s="54" t="n">
        <f aca="false">V15-U16</f>
        <v>3457</v>
      </c>
      <c r="W16" s="53" t="n">
        <f aca="false">R16+T16+N16+U16</f>
        <v>42.7</v>
      </c>
      <c r="X16" s="53" t="n">
        <f aca="false">IF(L16&lt;0,L16*-1,0)</f>
        <v>0</v>
      </c>
      <c r="Y16" s="53" t="n">
        <f aca="false">W16+X16</f>
        <v>42.7</v>
      </c>
      <c r="Z16" s="57" t="n">
        <v>0</v>
      </c>
      <c r="AA16" s="58" t="n">
        <v>50</v>
      </c>
      <c r="AB16" s="58" t="n">
        <v>26</v>
      </c>
      <c r="AC16" s="59" t="n">
        <f aca="false">AC15+1</f>
        <v>7</v>
      </c>
      <c r="AD16" s="88"/>
      <c r="AE16" s="90"/>
      <c r="AF16" s="89"/>
    </row>
    <row r="17" customFormat="false" ht="11.1" hidden="false" customHeight="true" outlineLevel="0" collapsed="false">
      <c r="A17" s="59" t="n">
        <f aca="false">A16+1</f>
        <v>8</v>
      </c>
      <c r="B17" s="74" t="n">
        <v>6894.91</v>
      </c>
      <c r="C17" s="54" t="n">
        <v>265178</v>
      </c>
      <c r="D17" s="58" t="n">
        <f aca="false">C17-C16</f>
        <v>35</v>
      </c>
      <c r="E17" s="54" t="n">
        <f aca="false">C17-152000</f>
        <v>113178</v>
      </c>
      <c r="F17" s="53" t="n">
        <f aca="false">D17/$D$2</f>
        <v>17.6455760020166</v>
      </c>
      <c r="G17" s="53" t="n">
        <v>51</v>
      </c>
      <c r="H17" s="55" t="n">
        <v>1.3</v>
      </c>
      <c r="I17" s="53" t="n">
        <f aca="false">G17+H17</f>
        <v>52.3</v>
      </c>
      <c r="J17" s="75" t="n">
        <f aca="false">IF(L17&gt;0,L17,0)</f>
        <v>8.04557600201664</v>
      </c>
      <c r="K17" s="53" t="n">
        <f aca="false">I17+J17</f>
        <v>60.3455760020166</v>
      </c>
      <c r="L17" s="53" t="n">
        <f aca="false">F17-(I17-W17)</f>
        <v>8.04557600201664</v>
      </c>
      <c r="M17" s="53" t="n">
        <v>3.7</v>
      </c>
      <c r="N17" s="53" t="n">
        <v>0</v>
      </c>
      <c r="O17" s="53" t="n">
        <f aca="false">M17-N17</f>
        <v>3.7</v>
      </c>
      <c r="P17" s="53" t="n">
        <v>0</v>
      </c>
      <c r="Q17" s="53" t="n">
        <v>0</v>
      </c>
      <c r="R17" s="53" t="n">
        <f aca="false">SUM(O17:Q17)</f>
        <v>3.7</v>
      </c>
      <c r="S17" s="54"/>
      <c r="T17" s="53" t="n">
        <v>0</v>
      </c>
      <c r="U17" s="53" t="n">
        <v>39</v>
      </c>
      <c r="V17" s="54" t="n">
        <f aca="false">V16-U17</f>
        <v>3418</v>
      </c>
      <c r="W17" s="53" t="n">
        <f aca="false">R17+T17+N17+U17</f>
        <v>42.7</v>
      </c>
      <c r="X17" s="53" t="n">
        <f aca="false">IF(L17&lt;0,L17*-1,0)</f>
        <v>0</v>
      </c>
      <c r="Y17" s="53" t="n">
        <f aca="false">W17+X17</f>
        <v>42.7</v>
      </c>
      <c r="Z17" s="57" t="n">
        <v>0</v>
      </c>
      <c r="AA17" s="58" t="n">
        <v>41</v>
      </c>
      <c r="AB17" s="58" t="n">
        <v>24</v>
      </c>
      <c r="AC17" s="59" t="n">
        <f aca="false">AC16+1</f>
        <v>8</v>
      </c>
      <c r="AD17" s="88"/>
      <c r="AE17" s="90"/>
      <c r="AF17" s="89"/>
    </row>
    <row r="18" customFormat="false" ht="11.1" hidden="false" customHeight="true" outlineLevel="0" collapsed="false">
      <c r="A18" s="59" t="n">
        <f aca="false">A17+1</f>
        <v>9</v>
      </c>
      <c r="B18" s="74" t="n">
        <v>6894.92</v>
      </c>
      <c r="C18" s="54" t="n">
        <v>265213</v>
      </c>
      <c r="D18" s="58" t="n">
        <f aca="false">C18-C17</f>
        <v>35</v>
      </c>
      <c r="E18" s="54" t="n">
        <f aca="false">C18-152000</f>
        <v>113213</v>
      </c>
      <c r="F18" s="53" t="n">
        <f aca="false">D18/$D$2</f>
        <v>17.6455760020166</v>
      </c>
      <c r="G18" s="53" t="n">
        <v>49</v>
      </c>
      <c r="H18" s="55" t="n">
        <v>1.3</v>
      </c>
      <c r="I18" s="53" t="n">
        <f aca="false">G18+H18</f>
        <v>50.3</v>
      </c>
      <c r="J18" s="75" t="n">
        <f aca="false">IF(L18&gt;0,L18,0)</f>
        <v>10.0455760020166</v>
      </c>
      <c r="K18" s="53" t="n">
        <f aca="false">I18+J18</f>
        <v>60.3455760020166</v>
      </c>
      <c r="L18" s="53" t="n">
        <f aca="false">F18-(I18-W18)</f>
        <v>10.0455760020166</v>
      </c>
      <c r="M18" s="53" t="n">
        <v>3.7</v>
      </c>
      <c r="N18" s="53" t="n">
        <v>0</v>
      </c>
      <c r="O18" s="53" t="n">
        <f aca="false">M18-N18</f>
        <v>3.7</v>
      </c>
      <c r="P18" s="53" t="n">
        <v>0</v>
      </c>
      <c r="Q18" s="53" t="n">
        <v>0</v>
      </c>
      <c r="R18" s="53" t="n">
        <f aca="false">SUM(O18:Q18)</f>
        <v>3.7</v>
      </c>
      <c r="S18" s="54"/>
      <c r="T18" s="53" t="n">
        <v>0</v>
      </c>
      <c r="U18" s="53" t="n">
        <v>39</v>
      </c>
      <c r="V18" s="54" t="n">
        <f aca="false">V17-U18</f>
        <v>3379</v>
      </c>
      <c r="W18" s="53" t="n">
        <f aca="false">R18+T18+N18+U18</f>
        <v>42.7</v>
      </c>
      <c r="X18" s="53" t="n">
        <f aca="false">IF(L18&lt;0,L18*-1,0)</f>
        <v>0</v>
      </c>
      <c r="Y18" s="53" t="n">
        <f aca="false">W18+X18</f>
        <v>42.7</v>
      </c>
      <c r="Z18" s="57" t="n">
        <v>0</v>
      </c>
      <c r="AA18" s="83" t="n">
        <v>45</v>
      </c>
      <c r="AB18" s="58" t="n">
        <v>22</v>
      </c>
      <c r="AC18" s="59" t="n">
        <f aca="false">AC17+1</f>
        <v>9</v>
      </c>
      <c r="AD18" s="88"/>
      <c r="AE18" s="90"/>
      <c r="AF18" s="89"/>
    </row>
    <row r="19" customFormat="false" ht="11.1" hidden="false" customHeight="true" outlineLevel="0" collapsed="false">
      <c r="A19" s="59" t="n">
        <f aca="false">A18+1</f>
        <v>10</v>
      </c>
      <c r="B19" s="74" t="n">
        <v>6894.93</v>
      </c>
      <c r="C19" s="54" t="n">
        <v>265249</v>
      </c>
      <c r="D19" s="58" t="n">
        <f aca="false">C19-C18</f>
        <v>36</v>
      </c>
      <c r="E19" s="54" t="n">
        <f aca="false">C19-152000</f>
        <v>113249</v>
      </c>
      <c r="F19" s="53" t="n">
        <f aca="false">D19/$D$2</f>
        <v>18.14973531636</v>
      </c>
      <c r="G19" s="53" t="n">
        <v>46</v>
      </c>
      <c r="H19" s="55" t="n">
        <v>1.1</v>
      </c>
      <c r="I19" s="53" t="n">
        <f aca="false">G19+H19</f>
        <v>47.1</v>
      </c>
      <c r="J19" s="75" t="n">
        <f aca="false">IF(L19&gt;0,L19,0)</f>
        <v>13.74973531636</v>
      </c>
      <c r="K19" s="53" t="n">
        <f aca="false">I19+J19</f>
        <v>60.84973531636</v>
      </c>
      <c r="L19" s="53" t="n">
        <f aca="false">F19-(I19-W19)</f>
        <v>13.74973531636</v>
      </c>
      <c r="M19" s="53" t="n">
        <v>3.7</v>
      </c>
      <c r="N19" s="53" t="n">
        <v>0</v>
      </c>
      <c r="O19" s="53" t="n">
        <f aca="false">M19-N19</f>
        <v>3.7</v>
      </c>
      <c r="P19" s="53" t="n">
        <v>0</v>
      </c>
      <c r="Q19" s="53" t="n">
        <v>0</v>
      </c>
      <c r="R19" s="53" t="n">
        <f aca="false">SUM(O19:Q19)</f>
        <v>3.7</v>
      </c>
      <c r="S19" s="54"/>
      <c r="T19" s="53" t="n">
        <v>0</v>
      </c>
      <c r="U19" s="53" t="n">
        <v>39</v>
      </c>
      <c r="V19" s="54" t="n">
        <f aca="false">V18-U19</f>
        <v>3340</v>
      </c>
      <c r="W19" s="53" t="n">
        <f aca="false">R19+T19+N19+U19</f>
        <v>42.7</v>
      </c>
      <c r="X19" s="53" t="n">
        <f aca="false">IF(L19&lt;0,L19*-1,0)</f>
        <v>0</v>
      </c>
      <c r="Y19" s="53" t="n">
        <f aca="false">W19+X19</f>
        <v>42.7</v>
      </c>
      <c r="Z19" s="57" t="n">
        <v>0</v>
      </c>
      <c r="AA19" s="58" t="n">
        <v>51</v>
      </c>
      <c r="AB19" s="58" t="n">
        <v>21</v>
      </c>
      <c r="AC19" s="59" t="n">
        <f aca="false">AC18+1</f>
        <v>10</v>
      </c>
      <c r="AD19" s="88"/>
      <c r="AE19" s="90"/>
      <c r="AF19" s="89"/>
    </row>
    <row r="20" customFormat="false" ht="11.1" hidden="false" customHeight="true" outlineLevel="0" collapsed="false">
      <c r="A20" s="59" t="n">
        <f aca="false">A19+1</f>
        <v>11</v>
      </c>
      <c r="B20" s="74" t="n">
        <v>6894.94</v>
      </c>
      <c r="C20" s="54" t="n">
        <v>265284</v>
      </c>
      <c r="D20" s="58" t="n">
        <f aca="false">C20-C19</f>
        <v>35</v>
      </c>
      <c r="E20" s="54" t="n">
        <f aca="false">C20-152000</f>
        <v>113284</v>
      </c>
      <c r="F20" s="53" t="n">
        <f aca="false">D20/$D$2</f>
        <v>17.6455760020166</v>
      </c>
      <c r="G20" s="53" t="n">
        <v>47</v>
      </c>
      <c r="H20" s="55" t="n">
        <v>1</v>
      </c>
      <c r="I20" s="53" t="n">
        <f aca="false">G20+H20</f>
        <v>48</v>
      </c>
      <c r="J20" s="75" t="n">
        <f aca="false">IF(L20&gt;0,L20,0)</f>
        <v>12.3455760020166</v>
      </c>
      <c r="K20" s="53" t="n">
        <f aca="false">I20+J20</f>
        <v>60.3455760020166</v>
      </c>
      <c r="L20" s="53" t="n">
        <f aca="false">F20-(I20-W20)</f>
        <v>12.3455760020166</v>
      </c>
      <c r="M20" s="53" t="n">
        <v>3.7</v>
      </c>
      <c r="N20" s="53" t="n">
        <v>0</v>
      </c>
      <c r="O20" s="53" t="n">
        <f aca="false">M20-N20</f>
        <v>3.7</v>
      </c>
      <c r="P20" s="53" t="n">
        <v>0</v>
      </c>
      <c r="Q20" s="53" t="n">
        <v>0</v>
      </c>
      <c r="R20" s="53" t="n">
        <f aca="false">SUM(O20:Q20)</f>
        <v>3.7</v>
      </c>
      <c r="S20" s="54"/>
      <c r="T20" s="53" t="n">
        <v>0</v>
      </c>
      <c r="U20" s="53" t="n">
        <v>39</v>
      </c>
      <c r="V20" s="54" t="n">
        <f aca="false">V19-U20</f>
        <v>3301</v>
      </c>
      <c r="W20" s="53" t="n">
        <f aca="false">R20+T20+N20+U20</f>
        <v>42.7</v>
      </c>
      <c r="X20" s="53" t="n">
        <f aca="false">IF(L20&lt;0,L20*-1,0)</f>
        <v>0</v>
      </c>
      <c r="Y20" s="53" t="n">
        <f aca="false">W20+X20</f>
        <v>42.7</v>
      </c>
      <c r="Z20" s="57" t="n">
        <v>0</v>
      </c>
      <c r="AA20" s="58" t="n">
        <v>57</v>
      </c>
      <c r="AB20" s="58" t="n">
        <v>21</v>
      </c>
      <c r="AC20" s="59" t="n">
        <f aca="false">AC19+1</f>
        <v>11</v>
      </c>
      <c r="AD20" s="88"/>
      <c r="AE20" s="90"/>
      <c r="AF20" s="89"/>
    </row>
    <row r="21" customFormat="false" ht="11.1" hidden="false" customHeight="true" outlineLevel="0" collapsed="false">
      <c r="A21" s="59" t="n">
        <f aca="false">A20+1</f>
        <v>12</v>
      </c>
      <c r="B21" s="74" t="n">
        <v>6894.95</v>
      </c>
      <c r="C21" s="54" t="n">
        <v>265319</v>
      </c>
      <c r="D21" s="58" t="n">
        <f aca="false">C21-C20</f>
        <v>35</v>
      </c>
      <c r="E21" s="54" t="n">
        <f aca="false">C21-152000</f>
        <v>113319</v>
      </c>
      <c r="F21" s="53" t="n">
        <f aca="false">D21/$D$2</f>
        <v>17.6455760020166</v>
      </c>
      <c r="G21" s="53" t="n">
        <v>49</v>
      </c>
      <c r="H21" s="55" t="n">
        <v>1.1</v>
      </c>
      <c r="I21" s="53" t="n">
        <f aca="false">G21+H21</f>
        <v>50.1</v>
      </c>
      <c r="J21" s="75" t="n">
        <f aca="false">IF(L21&gt;0,L21,0)</f>
        <v>10.2455760020166</v>
      </c>
      <c r="K21" s="53" t="n">
        <f aca="false">I21+J21</f>
        <v>60.3455760020166</v>
      </c>
      <c r="L21" s="53" t="n">
        <f aca="false">F21-(I21-W21)</f>
        <v>10.2455760020166</v>
      </c>
      <c r="M21" s="53" t="n">
        <v>3.7</v>
      </c>
      <c r="N21" s="53" t="n">
        <v>0</v>
      </c>
      <c r="O21" s="53" t="n">
        <f aca="false">M21-N21</f>
        <v>3.7</v>
      </c>
      <c r="P21" s="53" t="n">
        <v>0</v>
      </c>
      <c r="Q21" s="53" t="n">
        <v>0</v>
      </c>
      <c r="R21" s="53" t="n">
        <f aca="false">SUM(O21:Q21)</f>
        <v>3.7</v>
      </c>
      <c r="S21" s="54"/>
      <c r="T21" s="53" t="n">
        <v>0</v>
      </c>
      <c r="U21" s="53" t="n">
        <v>39</v>
      </c>
      <c r="V21" s="54" t="n">
        <f aca="false">V20-U21</f>
        <v>3262</v>
      </c>
      <c r="W21" s="53" t="n">
        <f aca="false">R21+T21+N21+U21</f>
        <v>42.7</v>
      </c>
      <c r="X21" s="53" t="n">
        <f aca="false">IF(L21&lt;0,L21*-1,0)</f>
        <v>0</v>
      </c>
      <c r="Y21" s="53" t="n">
        <f aca="false">W21+X21</f>
        <v>42.7</v>
      </c>
      <c r="Z21" s="57" t="n">
        <v>0</v>
      </c>
      <c r="AA21" s="58" t="n">
        <v>47</v>
      </c>
      <c r="AB21" s="58" t="n">
        <v>21</v>
      </c>
      <c r="AC21" s="59" t="n">
        <f aca="false">AC20+1</f>
        <v>12</v>
      </c>
      <c r="AD21" s="88"/>
      <c r="AE21" s="90"/>
      <c r="AF21" s="89"/>
    </row>
    <row r="22" customFormat="false" ht="11.1" hidden="false" customHeight="true" outlineLevel="0" collapsed="false">
      <c r="A22" s="59" t="n">
        <v>13</v>
      </c>
      <c r="B22" s="74" t="n">
        <v>6894.96</v>
      </c>
      <c r="C22" s="54" t="n">
        <v>265355</v>
      </c>
      <c r="D22" s="58" t="n">
        <f aca="false">C22-C21</f>
        <v>36</v>
      </c>
      <c r="E22" s="54" t="n">
        <f aca="false">C22-152000</f>
        <v>113355</v>
      </c>
      <c r="F22" s="53" t="n">
        <f aca="false">D22/$D$2</f>
        <v>18.14973531636</v>
      </c>
      <c r="G22" s="53" t="n">
        <v>53</v>
      </c>
      <c r="H22" s="55" t="n">
        <v>1.4</v>
      </c>
      <c r="I22" s="53" t="n">
        <f aca="false">G22+H22</f>
        <v>54.4</v>
      </c>
      <c r="J22" s="75" t="n">
        <f aca="false">IF(L22&gt;0,L22,0)</f>
        <v>6.44973531635997</v>
      </c>
      <c r="K22" s="53" t="n">
        <f aca="false">I22+J22</f>
        <v>60.84973531636</v>
      </c>
      <c r="L22" s="53" t="n">
        <f aca="false">F22-(I22-W22)</f>
        <v>6.44973531635997</v>
      </c>
      <c r="M22" s="53" t="n">
        <v>3.7</v>
      </c>
      <c r="N22" s="53" t="n">
        <v>0</v>
      </c>
      <c r="O22" s="53" t="n">
        <f aca="false">M22-N22</f>
        <v>3.7</v>
      </c>
      <c r="P22" s="53" t="n">
        <v>0</v>
      </c>
      <c r="Q22" s="53" t="n">
        <v>0</v>
      </c>
      <c r="R22" s="53" t="n">
        <f aca="false">SUM(O22:Q22)</f>
        <v>3.7</v>
      </c>
      <c r="S22" s="54"/>
      <c r="T22" s="53" t="n">
        <v>0</v>
      </c>
      <c r="U22" s="53" t="n">
        <v>39</v>
      </c>
      <c r="V22" s="54" t="n">
        <f aca="false">V21-U22</f>
        <v>3223</v>
      </c>
      <c r="W22" s="53" t="n">
        <f aca="false">R22+T22+N22+U22</f>
        <v>42.7</v>
      </c>
      <c r="X22" s="53" t="n">
        <f aca="false">IF(L22&lt;0,L22*-1,0)</f>
        <v>0</v>
      </c>
      <c r="Y22" s="53" t="n">
        <f aca="false">W22+X22</f>
        <v>42.7</v>
      </c>
      <c r="Z22" s="57" t="n">
        <v>0</v>
      </c>
      <c r="AA22" s="58" t="n">
        <v>46</v>
      </c>
      <c r="AB22" s="58" t="n">
        <v>18</v>
      </c>
      <c r="AC22" s="59" t="n">
        <f aca="false">AC21+1</f>
        <v>13</v>
      </c>
      <c r="AD22" s="88"/>
      <c r="AE22" s="90"/>
      <c r="AF22" s="89"/>
    </row>
    <row r="23" customFormat="false" ht="11.1" hidden="false" customHeight="true" outlineLevel="0" collapsed="false">
      <c r="A23" s="59" t="n">
        <f aca="false">A22+1</f>
        <v>14</v>
      </c>
      <c r="B23" s="74" t="n">
        <v>6894.97</v>
      </c>
      <c r="C23" s="54" t="n">
        <v>265390</v>
      </c>
      <c r="D23" s="58" t="n">
        <f aca="false">C23-C22</f>
        <v>35</v>
      </c>
      <c r="E23" s="54" t="n">
        <f aca="false">C23-152000</f>
        <v>113390</v>
      </c>
      <c r="F23" s="53" t="n">
        <f aca="false">D23/$D$2</f>
        <v>17.6455760020166</v>
      </c>
      <c r="G23" s="53" t="n">
        <v>48</v>
      </c>
      <c r="H23" s="55" t="n">
        <v>1.5</v>
      </c>
      <c r="I23" s="53" t="n">
        <f aca="false">G23+H23</f>
        <v>49.5</v>
      </c>
      <c r="J23" s="75" t="n">
        <f aca="false">IF(L23&gt;0,L23,0)</f>
        <v>12.8455760020166</v>
      </c>
      <c r="K23" s="53" t="n">
        <f aca="false">I23+J23</f>
        <v>62.3455760020166</v>
      </c>
      <c r="L23" s="53" t="n">
        <f aca="false">F23-(I23-W23)</f>
        <v>12.8455760020166</v>
      </c>
      <c r="M23" s="53" t="n">
        <v>3.7</v>
      </c>
      <c r="N23" s="53" t="n">
        <v>0</v>
      </c>
      <c r="O23" s="53" t="n">
        <f aca="false">M23-N23</f>
        <v>3.7</v>
      </c>
      <c r="P23" s="53" t="n">
        <v>0</v>
      </c>
      <c r="Q23" s="53" t="n">
        <v>0</v>
      </c>
      <c r="R23" s="53" t="n">
        <f aca="false">SUM(O23:Q23)</f>
        <v>3.7</v>
      </c>
      <c r="S23" s="54"/>
      <c r="T23" s="53" t="n">
        <v>0</v>
      </c>
      <c r="U23" s="53" t="n">
        <v>41</v>
      </c>
      <c r="V23" s="54" t="n">
        <f aca="false">V22-U23</f>
        <v>3182</v>
      </c>
      <c r="W23" s="53" t="n">
        <f aca="false">R23+T23+N23+U23</f>
        <v>44.7</v>
      </c>
      <c r="X23" s="53" t="n">
        <f aca="false">IF(L23&lt;0,L23*-1,0)</f>
        <v>0</v>
      </c>
      <c r="Y23" s="53" t="n">
        <f aca="false">W23+X23</f>
        <v>44.7</v>
      </c>
      <c r="Z23" s="57" t="n">
        <v>0</v>
      </c>
      <c r="AA23" s="83" t="n">
        <v>48</v>
      </c>
      <c r="AB23" s="58" t="n">
        <v>16</v>
      </c>
      <c r="AC23" s="59" t="n">
        <f aca="false">AC22+1</f>
        <v>14</v>
      </c>
      <c r="AD23" s="88"/>
      <c r="AE23" s="90"/>
      <c r="AF23" s="89"/>
    </row>
    <row r="24" customFormat="false" ht="11.1" hidden="false" customHeight="true" outlineLevel="0" collapsed="false">
      <c r="A24" s="59" t="n">
        <f aca="false">A23+1</f>
        <v>15</v>
      </c>
      <c r="B24" s="74" t="n">
        <v>6894.98</v>
      </c>
      <c r="C24" s="54" t="n">
        <v>265425</v>
      </c>
      <c r="D24" s="58" t="n">
        <f aca="false">C24-C23</f>
        <v>35</v>
      </c>
      <c r="E24" s="54" t="n">
        <f aca="false">C24-152000</f>
        <v>113425</v>
      </c>
      <c r="F24" s="53" t="n">
        <f aca="false">D24/$D$2</f>
        <v>17.6455760020166</v>
      </c>
      <c r="G24" s="53" t="n">
        <v>46</v>
      </c>
      <c r="H24" s="55" t="n">
        <v>1.4</v>
      </c>
      <c r="I24" s="53" t="n">
        <f aca="false">G24+H24</f>
        <v>47.4</v>
      </c>
      <c r="J24" s="75" t="n">
        <f aca="false">IF(L24&gt;0,L24,0)</f>
        <v>15.9455760020166</v>
      </c>
      <c r="K24" s="53" t="n">
        <f aca="false">I24+J24</f>
        <v>63.3455760020166</v>
      </c>
      <c r="L24" s="53" t="n">
        <f aca="false">F24-(I24-W24)</f>
        <v>15.9455760020166</v>
      </c>
      <c r="M24" s="53" t="n">
        <v>3.7</v>
      </c>
      <c r="N24" s="53" t="n">
        <v>0</v>
      </c>
      <c r="O24" s="53" t="n">
        <f aca="false">M24-N24</f>
        <v>3.7</v>
      </c>
      <c r="P24" s="53" t="n">
        <v>0</v>
      </c>
      <c r="Q24" s="53" t="n">
        <v>0</v>
      </c>
      <c r="R24" s="53" t="n">
        <f aca="false">SUM(O24:Q24)</f>
        <v>3.7</v>
      </c>
      <c r="S24" s="54"/>
      <c r="T24" s="53" t="n">
        <v>0</v>
      </c>
      <c r="U24" s="53" t="n">
        <v>42</v>
      </c>
      <c r="V24" s="54" t="n">
        <f aca="false">V23-U24</f>
        <v>3140</v>
      </c>
      <c r="W24" s="53" t="n">
        <f aca="false">R24+T24+N24+U24</f>
        <v>45.7</v>
      </c>
      <c r="X24" s="53" t="n">
        <f aca="false">IF(L24&lt;0,L24*-1,0)</f>
        <v>0</v>
      </c>
      <c r="Y24" s="53" t="n">
        <f aca="false">W24+X24</f>
        <v>45.7</v>
      </c>
      <c r="Z24" s="57" t="n">
        <v>0</v>
      </c>
      <c r="AA24" s="83" t="n">
        <v>47</v>
      </c>
      <c r="AB24" s="58" t="n">
        <v>19</v>
      </c>
      <c r="AC24" s="59" t="n">
        <f aca="false">AC23+1</f>
        <v>15</v>
      </c>
      <c r="AD24" s="88"/>
      <c r="AE24" s="90"/>
      <c r="AF24" s="89"/>
    </row>
    <row r="25" customFormat="false" ht="11.1" hidden="false" customHeight="true" outlineLevel="0" collapsed="false">
      <c r="A25" s="59" t="n">
        <f aca="false">A24+1</f>
        <v>16</v>
      </c>
      <c r="B25" s="74" t="n">
        <v>6894.99</v>
      </c>
      <c r="C25" s="54" t="n">
        <v>265460</v>
      </c>
      <c r="D25" s="58" t="n">
        <f aca="false">C25-C24</f>
        <v>35</v>
      </c>
      <c r="E25" s="54" t="n">
        <f aca="false">C25-152000</f>
        <v>113460</v>
      </c>
      <c r="F25" s="53" t="n">
        <f aca="false">D25/$D$2</f>
        <v>17.6455760020166</v>
      </c>
      <c r="G25" s="53" t="n">
        <v>46</v>
      </c>
      <c r="H25" s="55" t="n">
        <v>1.2</v>
      </c>
      <c r="I25" s="53" t="n">
        <f aca="false">G25+H25</f>
        <v>47.2</v>
      </c>
      <c r="J25" s="75" t="n">
        <f aca="false">IF(L25&gt;0,L25,0)</f>
        <v>16.1455760020166</v>
      </c>
      <c r="K25" s="53" t="n">
        <f aca="false">I25+J25</f>
        <v>63.3455760020166</v>
      </c>
      <c r="L25" s="53" t="n">
        <f aca="false">F25-(I25-W25)</f>
        <v>16.1455760020166</v>
      </c>
      <c r="M25" s="53" t="n">
        <v>3.7</v>
      </c>
      <c r="N25" s="53" t="n">
        <v>0</v>
      </c>
      <c r="O25" s="53" t="n">
        <f aca="false">M25-N25</f>
        <v>3.7</v>
      </c>
      <c r="P25" s="53" t="n">
        <v>0</v>
      </c>
      <c r="Q25" s="53" t="n">
        <v>0</v>
      </c>
      <c r="R25" s="53" t="n">
        <f aca="false">SUM(O25:Q25)</f>
        <v>3.7</v>
      </c>
      <c r="S25" s="54"/>
      <c r="T25" s="53" t="n">
        <v>0</v>
      </c>
      <c r="U25" s="53" t="n">
        <v>42</v>
      </c>
      <c r="V25" s="54" t="n">
        <f aca="false">V24-U25</f>
        <v>3098</v>
      </c>
      <c r="W25" s="53" t="n">
        <f aca="false">R25+T25+N25+U25</f>
        <v>45.7</v>
      </c>
      <c r="X25" s="53" t="n">
        <f aca="false">IF(L25&lt;0,L25*-1,0)</f>
        <v>0</v>
      </c>
      <c r="Y25" s="53" t="n">
        <f aca="false">W25+X25</f>
        <v>45.7</v>
      </c>
      <c r="Z25" s="57" t="n">
        <v>0</v>
      </c>
      <c r="AA25" s="83" t="n">
        <v>44</v>
      </c>
      <c r="AB25" s="58" t="n">
        <v>20</v>
      </c>
      <c r="AC25" s="59" t="n">
        <f aca="false">AC24+1</f>
        <v>16</v>
      </c>
      <c r="AD25" s="88"/>
      <c r="AE25" s="91"/>
      <c r="AF25" s="89"/>
    </row>
    <row r="26" customFormat="false" ht="11.1" hidden="false" customHeight="true" outlineLevel="0" collapsed="false">
      <c r="A26" s="59" t="n">
        <f aca="false">A25+1</f>
        <v>17</v>
      </c>
      <c r="B26" s="74" t="n">
        <v>6895.02</v>
      </c>
      <c r="C26" s="54" t="n">
        <v>265567</v>
      </c>
      <c r="D26" s="58" t="n">
        <f aca="false">C26-C25</f>
        <v>107</v>
      </c>
      <c r="E26" s="54" t="n">
        <f aca="false">C26-152000</f>
        <v>113567</v>
      </c>
      <c r="F26" s="53" t="n">
        <f aca="false">D26/$D$2</f>
        <v>53.9450466347366</v>
      </c>
      <c r="G26" s="53" t="n">
        <v>47</v>
      </c>
      <c r="H26" s="55" t="n">
        <v>1.1</v>
      </c>
      <c r="I26" s="53" t="n">
        <f aca="false">G26+H26</f>
        <v>48.1</v>
      </c>
      <c r="J26" s="75" t="n">
        <f aca="false">IF(L26&gt;0,L26,0)</f>
        <v>51.5450466347366</v>
      </c>
      <c r="K26" s="53" t="n">
        <f aca="false">I26+J26</f>
        <v>99.6450466347366</v>
      </c>
      <c r="L26" s="53" t="n">
        <f aca="false">F26-(I26-W26)</f>
        <v>51.5450466347366</v>
      </c>
      <c r="M26" s="53" t="n">
        <v>3.7</v>
      </c>
      <c r="N26" s="53" t="n">
        <v>0</v>
      </c>
      <c r="O26" s="53" t="n">
        <f aca="false">M26-N26</f>
        <v>3.7</v>
      </c>
      <c r="P26" s="53" t="n">
        <v>0</v>
      </c>
      <c r="Q26" s="53" t="n">
        <v>0</v>
      </c>
      <c r="R26" s="53" t="n">
        <f aca="false">SUM(O26:Q26)</f>
        <v>3.7</v>
      </c>
      <c r="S26" s="54"/>
      <c r="T26" s="53" t="n">
        <v>0</v>
      </c>
      <c r="U26" s="53" t="n">
        <v>42</v>
      </c>
      <c r="V26" s="54" t="n">
        <f aca="false">V25-U26</f>
        <v>3056</v>
      </c>
      <c r="W26" s="53" t="n">
        <f aca="false">R26+T26+N26+U26</f>
        <v>45.7</v>
      </c>
      <c r="X26" s="53" t="n">
        <f aca="false">IF(L26&lt;0,L26*-1,0)</f>
        <v>0</v>
      </c>
      <c r="Y26" s="53" t="n">
        <f aca="false">W26+X26</f>
        <v>45.7</v>
      </c>
      <c r="Z26" s="57" t="n">
        <v>0</v>
      </c>
      <c r="AA26" s="83" t="n">
        <v>49</v>
      </c>
      <c r="AB26" s="58" t="n">
        <v>20</v>
      </c>
      <c r="AC26" s="59" t="n">
        <f aca="false">AC25+1</f>
        <v>17</v>
      </c>
      <c r="AD26" s="88"/>
      <c r="AE26" s="90"/>
      <c r="AF26" s="89"/>
    </row>
    <row r="27" customFormat="false" ht="11.1" hidden="false" customHeight="true" outlineLevel="0" collapsed="false">
      <c r="A27" s="59" t="n">
        <f aca="false">A26+1</f>
        <v>18</v>
      </c>
      <c r="B27" s="74" t="n">
        <v>6895.04</v>
      </c>
      <c r="C27" s="54" t="n">
        <v>265638</v>
      </c>
      <c r="D27" s="58" t="n">
        <f aca="false">C27-C26</f>
        <v>71</v>
      </c>
      <c r="E27" s="54" t="n">
        <f aca="false">C27-152000</f>
        <v>113638</v>
      </c>
      <c r="F27" s="53" t="n">
        <f aca="false">D27/$D$2</f>
        <v>35.7953113183766</v>
      </c>
      <c r="G27" s="53" t="n">
        <v>48</v>
      </c>
      <c r="H27" s="55" t="n">
        <v>1.2</v>
      </c>
      <c r="I27" s="53" t="n">
        <f aca="false">G27+H27</f>
        <v>49.2</v>
      </c>
      <c r="J27" s="75" t="n">
        <f aca="false">IF(L27&gt;0,L27,0)</f>
        <v>30.2953113183766</v>
      </c>
      <c r="K27" s="53" t="n">
        <f aca="false">I27+J27</f>
        <v>79.4953113183766</v>
      </c>
      <c r="L27" s="53" t="n">
        <f aca="false">F27-(I27-W27)</f>
        <v>30.2953113183766</v>
      </c>
      <c r="M27" s="53" t="n">
        <v>3.7</v>
      </c>
      <c r="N27" s="53" t="n">
        <v>0</v>
      </c>
      <c r="O27" s="53" t="n">
        <f aca="false">M27-N27</f>
        <v>3.7</v>
      </c>
      <c r="P27" s="53" t="n">
        <v>0</v>
      </c>
      <c r="Q27" s="53" t="n">
        <v>0</v>
      </c>
      <c r="R27" s="53" t="n">
        <f aca="false">SUM(O27:Q27)</f>
        <v>3.7</v>
      </c>
      <c r="S27" s="54"/>
      <c r="T27" s="53" t="n">
        <v>0</v>
      </c>
      <c r="U27" s="53" t="n">
        <v>40</v>
      </c>
      <c r="V27" s="54" t="n">
        <f aca="false">V26-U27</f>
        <v>3016</v>
      </c>
      <c r="W27" s="53" t="n">
        <f aca="false">R27+T27+N27+U27</f>
        <v>43.7</v>
      </c>
      <c r="X27" s="53" t="n">
        <f aca="false">IF(L27&lt;0,L27*-1,0)</f>
        <v>0</v>
      </c>
      <c r="Y27" s="53" t="n">
        <f aca="false">W27+X27</f>
        <v>43.7</v>
      </c>
      <c r="Z27" s="57" t="n">
        <v>0</v>
      </c>
      <c r="AA27" s="83" t="n">
        <v>54</v>
      </c>
      <c r="AB27" s="58" t="n">
        <v>29</v>
      </c>
      <c r="AC27" s="59" t="n">
        <f aca="false">AC26+1</f>
        <v>18</v>
      </c>
      <c r="AD27" s="88"/>
      <c r="AE27" s="90"/>
      <c r="AF27" s="89"/>
    </row>
    <row r="28" customFormat="false" ht="11.1" hidden="false" customHeight="true" outlineLevel="0" collapsed="false">
      <c r="A28" s="59" t="n">
        <f aca="false">A27+1</f>
        <v>19</v>
      </c>
      <c r="B28" s="74" t="n">
        <v>6895.06</v>
      </c>
      <c r="C28" s="54" t="n">
        <v>265709</v>
      </c>
      <c r="D28" s="58" t="n">
        <f aca="false">C28-C27</f>
        <v>71</v>
      </c>
      <c r="E28" s="54" t="n">
        <f aca="false">C28-152000</f>
        <v>113709</v>
      </c>
      <c r="F28" s="53" t="n">
        <f aca="false">D28/$D$2</f>
        <v>35.7953113183766</v>
      </c>
      <c r="G28" s="53" t="n">
        <v>46</v>
      </c>
      <c r="H28" s="55" t="n">
        <v>1.3</v>
      </c>
      <c r="I28" s="53" t="n">
        <f aca="false">G28+H28</f>
        <v>47.3</v>
      </c>
      <c r="J28" s="75" t="n">
        <f aca="false">IF(L28&gt;0,L28,0)</f>
        <v>31.1953113183766</v>
      </c>
      <c r="K28" s="53" t="n">
        <f aca="false">I28+J28</f>
        <v>78.4953113183766</v>
      </c>
      <c r="L28" s="53" t="n">
        <f aca="false">F28-(I28-W28)</f>
        <v>31.1953113183766</v>
      </c>
      <c r="M28" s="53" t="n">
        <v>3.7</v>
      </c>
      <c r="N28" s="53" t="n">
        <v>0</v>
      </c>
      <c r="O28" s="53" t="n">
        <f aca="false">M28-N28</f>
        <v>3.7</v>
      </c>
      <c r="P28" s="53" t="n">
        <v>0</v>
      </c>
      <c r="Q28" s="53" t="n">
        <v>0</v>
      </c>
      <c r="R28" s="53" t="n">
        <f aca="false">SUM(O28:Q28)</f>
        <v>3.7</v>
      </c>
      <c r="S28" s="54"/>
      <c r="T28" s="53" t="n">
        <v>0</v>
      </c>
      <c r="U28" s="53" t="n">
        <v>39</v>
      </c>
      <c r="V28" s="54" t="n">
        <f aca="false">V27-U28</f>
        <v>2977</v>
      </c>
      <c r="W28" s="53" t="n">
        <f aca="false">R28+T28+N28+U28</f>
        <v>42.7</v>
      </c>
      <c r="X28" s="53" t="n">
        <f aca="false">IF(L28&lt;0,L28*-1,0)</f>
        <v>0</v>
      </c>
      <c r="Y28" s="53" t="n">
        <f aca="false">W28+X28</f>
        <v>42.7</v>
      </c>
      <c r="Z28" s="57" t="n">
        <v>0.02</v>
      </c>
      <c r="AA28" s="83" t="n">
        <v>55</v>
      </c>
      <c r="AB28" s="58" t="n">
        <v>25</v>
      </c>
      <c r="AC28" s="59" t="n">
        <f aca="false">AC27+1</f>
        <v>19</v>
      </c>
      <c r="AD28" s="88"/>
      <c r="AE28" s="90"/>
      <c r="AF28" s="89"/>
    </row>
    <row r="29" customFormat="false" ht="11.1" hidden="false" customHeight="true" outlineLevel="0" collapsed="false">
      <c r="A29" s="59" t="n">
        <f aca="false">A28+1</f>
        <v>20</v>
      </c>
      <c r="B29" s="74" t="n">
        <v>6895.07</v>
      </c>
      <c r="C29" s="54" t="n">
        <v>265745</v>
      </c>
      <c r="D29" s="58" t="n">
        <f aca="false">C29-C28</f>
        <v>36</v>
      </c>
      <c r="E29" s="54" t="n">
        <f aca="false">C29-152000</f>
        <v>113745</v>
      </c>
      <c r="F29" s="53" t="n">
        <f aca="false">D29/$D$2</f>
        <v>18.14973531636</v>
      </c>
      <c r="G29" s="53" t="n">
        <v>47</v>
      </c>
      <c r="H29" s="55" t="n">
        <v>1.4</v>
      </c>
      <c r="I29" s="53" t="n">
        <f aca="false">G29+H29</f>
        <v>48.4</v>
      </c>
      <c r="J29" s="75" t="n">
        <f aca="false">IF(L29&gt;0,L29,0)</f>
        <v>13.44973531636</v>
      </c>
      <c r="K29" s="53" t="n">
        <f aca="false">I29+J29</f>
        <v>61.84973531636</v>
      </c>
      <c r="L29" s="53" t="n">
        <f aca="false">F29-(I29-W29)</f>
        <v>13.44973531636</v>
      </c>
      <c r="M29" s="53" t="n">
        <v>3.7</v>
      </c>
      <c r="N29" s="53" t="n">
        <v>0</v>
      </c>
      <c r="O29" s="53" t="n">
        <f aca="false">M29-N29</f>
        <v>3.7</v>
      </c>
      <c r="P29" s="53" t="n">
        <v>0</v>
      </c>
      <c r="Q29" s="53" t="n">
        <v>0</v>
      </c>
      <c r="R29" s="53" t="n">
        <f aca="false">SUM(O29:Q29)</f>
        <v>3.7</v>
      </c>
      <c r="S29" s="54"/>
      <c r="T29" s="53" t="n">
        <v>0</v>
      </c>
      <c r="U29" s="53" t="n">
        <v>40</v>
      </c>
      <c r="V29" s="54" t="n">
        <f aca="false">V28-U29</f>
        <v>2937</v>
      </c>
      <c r="W29" s="53" t="n">
        <f aca="false">R29+T29+N29+U29</f>
        <v>43.7</v>
      </c>
      <c r="X29" s="53" t="n">
        <f aca="false">IF(L29&lt;0,L29*-1,0)</f>
        <v>0</v>
      </c>
      <c r="Y29" s="53" t="n">
        <f aca="false">W29+X29</f>
        <v>43.7</v>
      </c>
      <c r="Z29" s="57" t="n">
        <v>0.6</v>
      </c>
      <c r="AA29" s="83" t="n">
        <v>42</v>
      </c>
      <c r="AB29" s="58" t="n">
        <v>34</v>
      </c>
      <c r="AC29" s="59" t="n">
        <f aca="false">AC28+1</f>
        <v>20</v>
      </c>
      <c r="AD29" s="88"/>
      <c r="AE29" s="90"/>
      <c r="AF29" s="89"/>
    </row>
    <row r="30" customFormat="false" ht="11.1" hidden="false" customHeight="true" outlineLevel="0" collapsed="false">
      <c r="A30" s="59" t="n">
        <f aca="false">A29+1</f>
        <v>21</v>
      </c>
      <c r="B30" s="74" t="n">
        <v>6895.08</v>
      </c>
      <c r="C30" s="54" t="n">
        <v>265780</v>
      </c>
      <c r="D30" s="58" t="n">
        <f aca="false">C30-C29</f>
        <v>35</v>
      </c>
      <c r="E30" s="54" t="n">
        <f aca="false">C30-152000</f>
        <v>113780</v>
      </c>
      <c r="F30" s="53" t="n">
        <f aca="false">D30/$D$2</f>
        <v>17.6455760020166</v>
      </c>
      <c r="G30" s="53" t="n">
        <v>47</v>
      </c>
      <c r="H30" s="55" t="n">
        <v>1.6</v>
      </c>
      <c r="I30" s="53" t="n">
        <f aca="false">G30+H30</f>
        <v>48.6</v>
      </c>
      <c r="J30" s="75" t="n">
        <f aca="false">IF(L30&gt;0,L30,0)</f>
        <v>11.7455760020166</v>
      </c>
      <c r="K30" s="53" t="n">
        <f aca="false">I30+J30</f>
        <v>60.3455760020166</v>
      </c>
      <c r="L30" s="53" t="n">
        <f aca="false">F30-(I30-W30)</f>
        <v>11.7455760020166</v>
      </c>
      <c r="M30" s="53" t="n">
        <v>3.7</v>
      </c>
      <c r="N30" s="53" t="n">
        <v>0</v>
      </c>
      <c r="O30" s="53" t="n">
        <f aca="false">M30-N30</f>
        <v>3.7</v>
      </c>
      <c r="P30" s="53" t="n">
        <v>0</v>
      </c>
      <c r="Q30" s="53" t="n">
        <v>0</v>
      </c>
      <c r="R30" s="53" t="n">
        <f aca="false">SUM(O30:Q30)</f>
        <v>3.7</v>
      </c>
      <c r="S30" s="54"/>
      <c r="T30" s="53" t="n">
        <v>0</v>
      </c>
      <c r="U30" s="53" t="n">
        <v>39</v>
      </c>
      <c r="V30" s="54" t="n">
        <f aca="false">V29-U30</f>
        <v>2898</v>
      </c>
      <c r="W30" s="53" t="n">
        <f aca="false">R30+T30+N30+U30</f>
        <v>42.7</v>
      </c>
      <c r="X30" s="53" t="n">
        <f aca="false">IF(L30&lt;0,L30*-1,0)</f>
        <v>0</v>
      </c>
      <c r="Y30" s="53" t="n">
        <f aca="false">W30+X30</f>
        <v>42.7</v>
      </c>
      <c r="Z30" s="57" t="n">
        <v>0</v>
      </c>
      <c r="AA30" s="58" t="n">
        <v>42</v>
      </c>
      <c r="AB30" s="58" t="n">
        <v>26</v>
      </c>
      <c r="AC30" s="59" t="n">
        <f aca="false">AC29+1</f>
        <v>21</v>
      </c>
      <c r="AD30" s="88"/>
      <c r="AE30" s="90"/>
      <c r="AF30" s="89"/>
    </row>
    <row r="31" customFormat="false" ht="11.1" hidden="false" customHeight="true" outlineLevel="0" collapsed="false">
      <c r="A31" s="59" t="n">
        <f aca="false">A30+1</f>
        <v>22</v>
      </c>
      <c r="B31" s="74" t="n">
        <v>6895.1</v>
      </c>
      <c r="C31" s="54" t="n">
        <v>265852</v>
      </c>
      <c r="D31" s="58" t="n">
        <f aca="false">C31-C30</f>
        <v>72</v>
      </c>
      <c r="E31" s="54" t="n">
        <f aca="false">C31-152000</f>
        <v>113852</v>
      </c>
      <c r="F31" s="53" t="n">
        <f aca="false">D31/$D$2</f>
        <v>36.2994706327199</v>
      </c>
      <c r="G31" s="53" t="n">
        <v>46</v>
      </c>
      <c r="H31" s="55" t="n">
        <v>1.8</v>
      </c>
      <c r="I31" s="53" t="n">
        <f aca="false">G31+H31</f>
        <v>47.8</v>
      </c>
      <c r="J31" s="75" t="n">
        <f aca="false">IF(L31&gt;0,L31,0)</f>
        <v>31.1994706327199</v>
      </c>
      <c r="K31" s="53" t="n">
        <f aca="false">I31+J31</f>
        <v>78.99947063272</v>
      </c>
      <c r="L31" s="53" t="n">
        <f aca="false">F31-(I31-W31)</f>
        <v>31.1994706327199</v>
      </c>
      <c r="M31" s="53" t="n">
        <v>3.7</v>
      </c>
      <c r="N31" s="53" t="n">
        <v>0</v>
      </c>
      <c r="O31" s="53" t="n">
        <f aca="false">M31-N31</f>
        <v>3.7</v>
      </c>
      <c r="P31" s="53" t="n">
        <v>0</v>
      </c>
      <c r="Q31" s="53" t="n">
        <v>0</v>
      </c>
      <c r="R31" s="53" t="n">
        <f aca="false">SUM(O31:Q31)</f>
        <v>3.7</v>
      </c>
      <c r="S31" s="54"/>
      <c r="T31" s="53" t="n">
        <v>0</v>
      </c>
      <c r="U31" s="53" t="n">
        <v>39</v>
      </c>
      <c r="V31" s="54" t="n">
        <f aca="false">V30-U31</f>
        <v>2859</v>
      </c>
      <c r="W31" s="53" t="n">
        <f aca="false">R31+T31+N31+U31</f>
        <v>42.7</v>
      </c>
      <c r="X31" s="53" t="n">
        <f aca="false">IF(L31&lt;0,L31*-1,0)</f>
        <v>0</v>
      </c>
      <c r="Y31" s="53" t="n">
        <f aca="false">W31+X31</f>
        <v>42.7</v>
      </c>
      <c r="Z31" s="57" t="n">
        <v>0</v>
      </c>
      <c r="AA31" s="58" t="n">
        <v>42</v>
      </c>
      <c r="AB31" s="58" t="n">
        <v>20</v>
      </c>
      <c r="AC31" s="59" t="n">
        <f aca="false">AC30+1</f>
        <v>22</v>
      </c>
      <c r="AD31" s="88"/>
      <c r="AE31" s="90"/>
      <c r="AF31" s="89"/>
    </row>
    <row r="32" customFormat="false" ht="11.1" hidden="false" customHeight="true" outlineLevel="0" collapsed="false">
      <c r="A32" s="59" t="n">
        <f aca="false">A31+1</f>
        <v>23</v>
      </c>
      <c r="B32" s="74" t="n">
        <v>6895.12</v>
      </c>
      <c r="C32" s="54" t="n">
        <v>265923</v>
      </c>
      <c r="D32" s="58" t="n">
        <f aca="false">C32-C31</f>
        <v>71</v>
      </c>
      <c r="E32" s="54" t="n">
        <f aca="false">C32-152000</f>
        <v>113923</v>
      </c>
      <c r="F32" s="53" t="n">
        <f aca="false">D32/$D$2</f>
        <v>35.7953113183766</v>
      </c>
      <c r="G32" s="53" t="n">
        <v>44</v>
      </c>
      <c r="H32" s="55" t="n">
        <v>1.6</v>
      </c>
      <c r="I32" s="53" t="n">
        <f aca="false">G32+H32</f>
        <v>45.6</v>
      </c>
      <c r="J32" s="75" t="n">
        <f aca="false">IF(L32&gt;0,L32,0)</f>
        <v>33.2953113183766</v>
      </c>
      <c r="K32" s="53" t="n">
        <f aca="false">I32+J32</f>
        <v>78.8953113183766</v>
      </c>
      <c r="L32" s="53" t="n">
        <f aca="false">F32-(I32-W32)</f>
        <v>33.2953113183766</v>
      </c>
      <c r="M32" s="53" t="n">
        <v>4.1</v>
      </c>
      <c r="N32" s="53" t="n">
        <v>0</v>
      </c>
      <c r="O32" s="53" t="n">
        <f aca="false">M32-N32</f>
        <v>4.1</v>
      </c>
      <c r="P32" s="53" t="n">
        <v>0</v>
      </c>
      <c r="Q32" s="53" t="n">
        <v>0</v>
      </c>
      <c r="R32" s="53" t="n">
        <f aca="false">SUM(O32:Q32)</f>
        <v>4.1</v>
      </c>
      <c r="S32" s="54"/>
      <c r="T32" s="53" t="n">
        <v>0</v>
      </c>
      <c r="U32" s="53" t="n">
        <v>39</v>
      </c>
      <c r="V32" s="54" t="n">
        <f aca="false">V31-U32</f>
        <v>2820</v>
      </c>
      <c r="W32" s="53" t="n">
        <f aca="false">R32+T32+N32+U32</f>
        <v>43.1</v>
      </c>
      <c r="X32" s="53" t="n">
        <f aca="false">IF(L32&lt;0,L32*-1,0)</f>
        <v>0</v>
      </c>
      <c r="Y32" s="53" t="n">
        <f aca="false">W32+X32</f>
        <v>43.1</v>
      </c>
      <c r="Z32" s="57" t="n">
        <v>0</v>
      </c>
      <c r="AA32" s="58" t="n">
        <v>50</v>
      </c>
      <c r="AB32" s="83" t="n">
        <v>14</v>
      </c>
      <c r="AC32" s="59" t="n">
        <f aca="false">AC31+1</f>
        <v>23</v>
      </c>
      <c r="AD32" s="88"/>
      <c r="AE32" s="90"/>
      <c r="AF32" s="89"/>
    </row>
    <row r="33" customFormat="false" ht="11.1" hidden="false" customHeight="true" outlineLevel="0" collapsed="false">
      <c r="A33" s="59" t="n">
        <f aca="false">A32+1</f>
        <v>24</v>
      </c>
      <c r="B33" s="74" t="n">
        <v>6895.13</v>
      </c>
      <c r="C33" s="54" t="n">
        <v>265958</v>
      </c>
      <c r="D33" s="58" t="n">
        <f aca="false">C33-C32</f>
        <v>35</v>
      </c>
      <c r="E33" s="54" t="n">
        <f aca="false">C33-152000</f>
        <v>113958</v>
      </c>
      <c r="F33" s="53" t="n">
        <f aca="false">D33/$D$2</f>
        <v>17.6455760020166</v>
      </c>
      <c r="G33" s="53" t="n">
        <v>44</v>
      </c>
      <c r="H33" s="55" t="n">
        <v>1.5</v>
      </c>
      <c r="I33" s="53" t="n">
        <f aca="false">G33+H33</f>
        <v>45.5</v>
      </c>
      <c r="J33" s="75" t="n">
        <f aca="false">IF(L33&gt;0,L33,0)</f>
        <v>15.5455760020166</v>
      </c>
      <c r="K33" s="53" t="n">
        <f aca="false">I33+J33</f>
        <v>61.0455760020166</v>
      </c>
      <c r="L33" s="53" t="n">
        <f aca="false">F33-(I33-W33)</f>
        <v>15.5455760020166</v>
      </c>
      <c r="M33" s="53" t="n">
        <v>4.4</v>
      </c>
      <c r="N33" s="53" t="n">
        <v>0</v>
      </c>
      <c r="O33" s="53" t="n">
        <f aca="false">M33-N33</f>
        <v>4.4</v>
      </c>
      <c r="P33" s="53" t="n">
        <v>0</v>
      </c>
      <c r="Q33" s="53" t="n">
        <v>0</v>
      </c>
      <c r="R33" s="53" t="n">
        <f aca="false">SUM(O33:Q33)</f>
        <v>4.4</v>
      </c>
      <c r="S33" s="54"/>
      <c r="T33" s="53" t="n">
        <v>0</v>
      </c>
      <c r="U33" s="53" t="n">
        <v>39</v>
      </c>
      <c r="V33" s="54" t="n">
        <f aca="false">V32-U33</f>
        <v>2781</v>
      </c>
      <c r="W33" s="53" t="n">
        <f aca="false">R33+T33+N33+U33</f>
        <v>43.4</v>
      </c>
      <c r="X33" s="53" t="n">
        <f aca="false">IF(L33&lt;0,L33*-1,0)</f>
        <v>0</v>
      </c>
      <c r="Y33" s="53" t="n">
        <f aca="false">W33+X33</f>
        <v>43.4</v>
      </c>
      <c r="Z33" s="57" t="n">
        <v>0</v>
      </c>
      <c r="AA33" s="58" t="n">
        <v>50</v>
      </c>
      <c r="AB33" s="83" t="n">
        <v>30</v>
      </c>
      <c r="AC33" s="59" t="n">
        <f aca="false">AC32+1</f>
        <v>24</v>
      </c>
      <c r="AD33" s="88"/>
      <c r="AE33" s="90"/>
      <c r="AF33" s="89"/>
    </row>
    <row r="34" customFormat="false" ht="11.1" hidden="false" customHeight="true" outlineLevel="0" collapsed="false">
      <c r="A34" s="59" t="n">
        <f aca="false">A33+1</f>
        <v>25</v>
      </c>
      <c r="B34" s="74" t="n">
        <v>6895.14</v>
      </c>
      <c r="C34" s="54" t="n">
        <v>265994</v>
      </c>
      <c r="D34" s="58" t="n">
        <f aca="false">C34-C33</f>
        <v>36</v>
      </c>
      <c r="E34" s="54" t="n">
        <f aca="false">C34-152000</f>
        <v>113994</v>
      </c>
      <c r="F34" s="53" t="n">
        <f aca="false">D34/$D$2</f>
        <v>18.14973531636</v>
      </c>
      <c r="G34" s="53" t="n">
        <v>46</v>
      </c>
      <c r="H34" s="55" t="n">
        <v>1.5</v>
      </c>
      <c r="I34" s="53" t="n">
        <f aca="false">G34+H34</f>
        <v>47.5</v>
      </c>
      <c r="J34" s="75" t="n">
        <f aca="false">IF(L34&gt;0,L34,0)</f>
        <v>13.64973531636</v>
      </c>
      <c r="K34" s="53" t="n">
        <f aca="false">I34+J34</f>
        <v>61.14973531636</v>
      </c>
      <c r="L34" s="53" t="n">
        <f aca="false">F34-(I34-W34)</f>
        <v>13.64973531636</v>
      </c>
      <c r="M34" s="53" t="n">
        <v>4</v>
      </c>
      <c r="N34" s="53" t="n">
        <v>0</v>
      </c>
      <c r="O34" s="53" t="n">
        <f aca="false">M34-N34</f>
        <v>4</v>
      </c>
      <c r="P34" s="53" t="n">
        <v>0</v>
      </c>
      <c r="Q34" s="53" t="n">
        <v>0</v>
      </c>
      <c r="R34" s="53" t="n">
        <f aca="false">SUM(O34:Q34)</f>
        <v>4</v>
      </c>
      <c r="S34" s="54"/>
      <c r="T34" s="53" t="n">
        <v>0</v>
      </c>
      <c r="U34" s="53" t="n">
        <v>39</v>
      </c>
      <c r="V34" s="54" t="n">
        <f aca="false">V33-U34</f>
        <v>2742</v>
      </c>
      <c r="W34" s="53" t="n">
        <f aca="false">R34+T34+N34+U34</f>
        <v>43</v>
      </c>
      <c r="X34" s="53" t="n">
        <f aca="false">IF(L34&lt;0,L34*-1,0)</f>
        <v>0</v>
      </c>
      <c r="Y34" s="53" t="n">
        <f aca="false">W34+X34</f>
        <v>43</v>
      </c>
      <c r="Z34" s="57" t="n">
        <v>0.04</v>
      </c>
      <c r="AA34" s="58" t="n">
        <v>49</v>
      </c>
      <c r="AB34" s="83" t="n">
        <v>38</v>
      </c>
      <c r="AC34" s="59" t="n">
        <f aca="false">AC33+1</f>
        <v>25</v>
      </c>
      <c r="AD34" s="88"/>
      <c r="AE34" s="90"/>
      <c r="AF34" s="89"/>
    </row>
    <row r="35" customFormat="false" ht="11.1" hidden="false" customHeight="true" outlineLevel="0" collapsed="false">
      <c r="A35" s="59" t="n">
        <f aca="false">A34+1</f>
        <v>26</v>
      </c>
      <c r="B35" s="74" t="n">
        <v>6895.15</v>
      </c>
      <c r="C35" s="54" t="n">
        <v>266030</v>
      </c>
      <c r="D35" s="58" t="n">
        <f aca="false">C35-C34</f>
        <v>36</v>
      </c>
      <c r="E35" s="54" t="n">
        <f aca="false">C35-152000</f>
        <v>114030</v>
      </c>
      <c r="F35" s="53" t="n">
        <f aca="false">D35/$D$2</f>
        <v>18.14973531636</v>
      </c>
      <c r="G35" s="53" t="n">
        <v>45</v>
      </c>
      <c r="H35" s="55" t="n">
        <v>1.6</v>
      </c>
      <c r="I35" s="53" t="n">
        <f aca="false">G35+H35</f>
        <v>46.6</v>
      </c>
      <c r="J35" s="75" t="n">
        <f aca="false">IF(L35&gt;0,L35,0)</f>
        <v>14.44973531636</v>
      </c>
      <c r="K35" s="53" t="n">
        <f aca="false">I35+J35</f>
        <v>61.04973531636</v>
      </c>
      <c r="L35" s="53" t="n">
        <f aca="false">F35-(I35-W35)</f>
        <v>14.44973531636</v>
      </c>
      <c r="M35" s="53" t="n">
        <v>3.9</v>
      </c>
      <c r="N35" s="53" t="n">
        <v>0</v>
      </c>
      <c r="O35" s="53" t="n">
        <f aca="false">M35-N35</f>
        <v>3.9</v>
      </c>
      <c r="P35" s="53" t="n">
        <v>0</v>
      </c>
      <c r="Q35" s="53" t="n">
        <v>0</v>
      </c>
      <c r="R35" s="53" t="n">
        <f aca="false">SUM(O35:Q35)</f>
        <v>3.9</v>
      </c>
      <c r="S35" s="54"/>
      <c r="T35" s="53" t="n">
        <v>0</v>
      </c>
      <c r="U35" s="53" t="n">
        <v>39</v>
      </c>
      <c r="V35" s="54" t="n">
        <f aca="false">V34-U35</f>
        <v>2703</v>
      </c>
      <c r="W35" s="53" t="n">
        <f aca="false">R35+T35+N35+U35</f>
        <v>42.9</v>
      </c>
      <c r="X35" s="53" t="n">
        <f aca="false">IF(L35&lt;0,L35*-1,0)</f>
        <v>0</v>
      </c>
      <c r="Y35" s="53" t="n">
        <f aca="false">W35+X35</f>
        <v>42.9</v>
      </c>
      <c r="Z35" s="57" t="n">
        <v>0.12</v>
      </c>
      <c r="AA35" s="58" t="n">
        <v>32</v>
      </c>
      <c r="AB35" s="58" t="n">
        <v>26</v>
      </c>
      <c r="AC35" s="59" t="n">
        <f aca="false">AC34+1</f>
        <v>26</v>
      </c>
      <c r="AD35" s="88"/>
      <c r="AE35" s="90"/>
      <c r="AF35" s="89"/>
    </row>
    <row r="36" customFormat="false" ht="11.1" hidden="false" customHeight="true" outlineLevel="0" collapsed="false">
      <c r="A36" s="59" t="n">
        <f aca="false">A35+1</f>
        <v>27</v>
      </c>
      <c r="B36" s="74" t="n">
        <v>6895.16</v>
      </c>
      <c r="C36" s="54" t="n">
        <v>266065</v>
      </c>
      <c r="D36" s="58" t="n">
        <f aca="false">C36-C35</f>
        <v>35</v>
      </c>
      <c r="E36" s="54" t="n">
        <f aca="false">C36-152000</f>
        <v>114065</v>
      </c>
      <c r="F36" s="53" t="n">
        <f aca="false">D36/$D$2</f>
        <v>17.6455760020166</v>
      </c>
      <c r="G36" s="53" t="n">
        <v>44</v>
      </c>
      <c r="H36" s="55" t="n">
        <v>1.5</v>
      </c>
      <c r="I36" s="53" t="n">
        <f aca="false">G36+H36</f>
        <v>45.5</v>
      </c>
      <c r="J36" s="75" t="n">
        <f aca="false">IF(L36&gt;0,L36,0)</f>
        <v>14.8455760020166</v>
      </c>
      <c r="K36" s="53" t="n">
        <f aca="false">I36+J36</f>
        <v>60.3455760020166</v>
      </c>
      <c r="L36" s="53" t="n">
        <f aca="false">F36-(I36-W36)</f>
        <v>14.8455760020166</v>
      </c>
      <c r="M36" s="53" t="n">
        <v>3.7</v>
      </c>
      <c r="N36" s="53" t="n">
        <v>0</v>
      </c>
      <c r="O36" s="53" t="n">
        <f aca="false">M36-N36</f>
        <v>3.7</v>
      </c>
      <c r="P36" s="53" t="n">
        <v>0</v>
      </c>
      <c r="Q36" s="53" t="n">
        <v>0</v>
      </c>
      <c r="R36" s="53" t="n">
        <f aca="false">SUM(O36:Q36)</f>
        <v>3.7</v>
      </c>
      <c r="S36" s="54"/>
      <c r="T36" s="53" t="n">
        <v>0</v>
      </c>
      <c r="U36" s="53" t="n">
        <v>39</v>
      </c>
      <c r="V36" s="54" t="n">
        <f aca="false">V35-U36</f>
        <v>2664</v>
      </c>
      <c r="W36" s="53" t="n">
        <f aca="false">R36+T36+N36+U36</f>
        <v>42.7</v>
      </c>
      <c r="X36" s="53" t="n">
        <f aca="false">IF(L36&lt;0,L36*-1,0)</f>
        <v>0</v>
      </c>
      <c r="Y36" s="53" t="n">
        <f aca="false">W36+X36</f>
        <v>42.7</v>
      </c>
      <c r="Z36" s="57" t="n">
        <v>0</v>
      </c>
      <c r="AA36" s="58" t="n">
        <v>42</v>
      </c>
      <c r="AB36" s="58" t="n">
        <v>17</v>
      </c>
      <c r="AC36" s="59" t="n">
        <f aca="false">AC35+1</f>
        <v>27</v>
      </c>
      <c r="AD36" s="88"/>
      <c r="AE36" s="90"/>
      <c r="AF36" s="89"/>
    </row>
    <row r="37" customFormat="false" ht="11.1" hidden="false" customHeight="true" outlineLevel="0" collapsed="false">
      <c r="A37" s="59" t="n">
        <f aca="false">A36+1</f>
        <v>28</v>
      </c>
      <c r="B37" s="74" t="n">
        <v>6895.17</v>
      </c>
      <c r="C37" s="54" t="n">
        <v>266101</v>
      </c>
      <c r="D37" s="58" t="n">
        <f aca="false">C37-C36</f>
        <v>36</v>
      </c>
      <c r="E37" s="54" t="n">
        <f aca="false">C37-152000</f>
        <v>114101</v>
      </c>
      <c r="F37" s="53" t="n">
        <f aca="false">D37/$D$2</f>
        <v>18.14973531636</v>
      </c>
      <c r="G37" s="53" t="n">
        <v>42</v>
      </c>
      <c r="H37" s="55" t="n">
        <v>1.4</v>
      </c>
      <c r="I37" s="53" t="n">
        <f aca="false">G37+H37</f>
        <v>43.4</v>
      </c>
      <c r="J37" s="75" t="n">
        <f aca="false">IF(L37&gt;0,L37,0)</f>
        <v>17.44973531636</v>
      </c>
      <c r="K37" s="53" t="n">
        <f aca="false">I37+J37</f>
        <v>60.84973531636</v>
      </c>
      <c r="L37" s="53" t="n">
        <f aca="false">F37-(I37-W37)</f>
        <v>17.44973531636</v>
      </c>
      <c r="M37" s="53" t="n">
        <v>3.7</v>
      </c>
      <c r="N37" s="53" t="n">
        <v>0</v>
      </c>
      <c r="O37" s="53" t="n">
        <f aca="false">M37-N37</f>
        <v>3.7</v>
      </c>
      <c r="P37" s="53" t="n">
        <v>0</v>
      </c>
      <c r="Q37" s="53" t="n">
        <v>0</v>
      </c>
      <c r="R37" s="53" t="n">
        <f aca="false">SUM(O37:Q37)</f>
        <v>3.7</v>
      </c>
      <c r="S37" s="54"/>
      <c r="T37" s="53" t="n">
        <v>0</v>
      </c>
      <c r="U37" s="53" t="n">
        <v>39</v>
      </c>
      <c r="V37" s="54" t="n">
        <f aca="false">V36-U37</f>
        <v>2625</v>
      </c>
      <c r="W37" s="53" t="n">
        <f aca="false">R37+T37+N37+U37</f>
        <v>42.7</v>
      </c>
      <c r="X37" s="53" t="n">
        <f aca="false">IF(L37&lt;0,L37*-1,0)</f>
        <v>0</v>
      </c>
      <c r="Y37" s="53" t="n">
        <f aca="false">W37+X37</f>
        <v>42.7</v>
      </c>
      <c r="Z37" s="57" t="n">
        <v>0</v>
      </c>
      <c r="AA37" s="58" t="n">
        <v>50</v>
      </c>
      <c r="AB37" s="58" t="n">
        <v>12</v>
      </c>
      <c r="AC37" s="59" t="n">
        <f aca="false">AC36+1</f>
        <v>28</v>
      </c>
      <c r="AD37" s="88"/>
      <c r="AE37" s="90"/>
      <c r="AF37" s="89"/>
    </row>
    <row r="38" customFormat="false" ht="11.1" hidden="false" customHeight="true" outlineLevel="0" collapsed="false">
      <c r="A38" s="59" t="n">
        <f aca="false">A37+1</f>
        <v>29</v>
      </c>
      <c r="B38" s="74" t="n">
        <v>6895.18</v>
      </c>
      <c r="C38" s="54" t="n">
        <v>266136</v>
      </c>
      <c r="D38" s="58" t="n">
        <f aca="false">C38-C37</f>
        <v>35</v>
      </c>
      <c r="E38" s="54" t="n">
        <f aca="false">C38-152000</f>
        <v>114136</v>
      </c>
      <c r="F38" s="53" t="n">
        <f aca="false">D38/$D$2</f>
        <v>17.6455760020166</v>
      </c>
      <c r="G38" s="53" t="n">
        <v>39</v>
      </c>
      <c r="H38" s="55" t="n">
        <v>1.3</v>
      </c>
      <c r="I38" s="53" t="n">
        <f aca="false">G38+H38</f>
        <v>40.3</v>
      </c>
      <c r="J38" s="75" t="n">
        <f aca="false">IF(L38&gt;0,L38,0)</f>
        <v>20.0455760020166</v>
      </c>
      <c r="K38" s="53" t="n">
        <f aca="false">I38+J38</f>
        <v>60.3455760020166</v>
      </c>
      <c r="L38" s="53" t="n">
        <f aca="false">F38-(I38-W38)</f>
        <v>20.0455760020166</v>
      </c>
      <c r="M38" s="53" t="n">
        <v>3.7</v>
      </c>
      <c r="N38" s="53" t="n">
        <v>0</v>
      </c>
      <c r="O38" s="53" t="n">
        <f aca="false">M38-N38</f>
        <v>3.7</v>
      </c>
      <c r="P38" s="53" t="n">
        <v>0</v>
      </c>
      <c r="Q38" s="53" t="n">
        <v>0</v>
      </c>
      <c r="R38" s="53" t="n">
        <f aca="false">SUM(O38:Q38)</f>
        <v>3.7</v>
      </c>
      <c r="S38" s="54"/>
      <c r="T38" s="53" t="n">
        <v>0</v>
      </c>
      <c r="U38" s="53" t="n">
        <v>39</v>
      </c>
      <c r="V38" s="54" t="n">
        <f aca="false">V37-U38</f>
        <v>2586</v>
      </c>
      <c r="W38" s="53" t="n">
        <f aca="false">R38+T38+N38+U38</f>
        <v>42.7</v>
      </c>
      <c r="X38" s="53" t="n">
        <f aca="false">IF(L38&lt;0,L38*-1,0)</f>
        <v>0</v>
      </c>
      <c r="Y38" s="53" t="n">
        <f aca="false">W38+X38</f>
        <v>42.7</v>
      </c>
      <c r="Z38" s="57" t="n">
        <v>0</v>
      </c>
      <c r="AA38" s="83" t="n">
        <v>48</v>
      </c>
      <c r="AB38" s="58" t="n">
        <v>30</v>
      </c>
      <c r="AC38" s="59" t="n">
        <f aca="false">AC37+1</f>
        <v>29</v>
      </c>
      <c r="AD38" s="88"/>
      <c r="AE38" s="90"/>
      <c r="AF38" s="89"/>
    </row>
    <row r="39" customFormat="false" ht="11.1" hidden="false" customHeight="true" outlineLevel="0" collapsed="false">
      <c r="A39" s="59" t="n">
        <v>30</v>
      </c>
      <c r="B39" s="74" t="n">
        <v>6895.19</v>
      </c>
      <c r="C39" s="54" t="n">
        <v>266172</v>
      </c>
      <c r="D39" s="58" t="n">
        <f aca="false">C39-C38</f>
        <v>36</v>
      </c>
      <c r="E39" s="54" t="n">
        <f aca="false">C39-152000</f>
        <v>114172</v>
      </c>
      <c r="F39" s="53" t="n">
        <f aca="false">D39/$D$2</f>
        <v>18.14973531636</v>
      </c>
      <c r="G39" s="53" t="n">
        <v>39</v>
      </c>
      <c r="H39" s="55" t="n">
        <v>1.3</v>
      </c>
      <c r="I39" s="53" t="n">
        <f aca="false">G39+H39</f>
        <v>40.3</v>
      </c>
      <c r="J39" s="75" t="n">
        <f aca="false">IF(L39&gt;0,L39,0)</f>
        <v>20.54973531636</v>
      </c>
      <c r="K39" s="53" t="n">
        <f aca="false">I39+J39</f>
        <v>60.84973531636</v>
      </c>
      <c r="L39" s="53" t="n">
        <f aca="false">F39-(I39-W39)</f>
        <v>20.54973531636</v>
      </c>
      <c r="M39" s="53" t="n">
        <v>3.7</v>
      </c>
      <c r="N39" s="53" t="n">
        <v>0</v>
      </c>
      <c r="O39" s="53" t="n">
        <f aca="false">M39-N39</f>
        <v>3.7</v>
      </c>
      <c r="P39" s="53" t="n">
        <v>0</v>
      </c>
      <c r="Q39" s="53" t="n">
        <v>0</v>
      </c>
      <c r="R39" s="53" t="n">
        <f aca="false">SUM(O39:Q39)</f>
        <v>3.7</v>
      </c>
      <c r="S39" s="54"/>
      <c r="T39" s="53" t="n">
        <v>0</v>
      </c>
      <c r="U39" s="53" t="n">
        <v>39</v>
      </c>
      <c r="V39" s="54" t="n">
        <f aca="false">V38-U39</f>
        <v>2547</v>
      </c>
      <c r="W39" s="53" t="n">
        <f aca="false">R39+T39+N39+U39</f>
        <v>42.7</v>
      </c>
      <c r="X39" s="53" t="n">
        <f aca="false">IF(L39&lt;0,L39*-1,0)</f>
        <v>0</v>
      </c>
      <c r="Y39" s="53" t="n">
        <f aca="false">W39+X39</f>
        <v>42.7</v>
      </c>
      <c r="Z39" s="57" t="n">
        <v>0</v>
      </c>
      <c r="AA39" s="83" t="n">
        <v>49</v>
      </c>
      <c r="AB39" s="58" t="n">
        <v>12</v>
      </c>
      <c r="AC39" s="59" t="n">
        <v>30</v>
      </c>
      <c r="AD39" s="88"/>
      <c r="AE39" s="90"/>
      <c r="AF39" s="89"/>
    </row>
    <row r="40" customFormat="false" ht="11.1" hidden="false" customHeight="true" outlineLevel="0" collapsed="false">
      <c r="A40" s="59" t="n">
        <v>31</v>
      </c>
      <c r="B40" s="74" t="n">
        <v>6895.2</v>
      </c>
      <c r="C40" s="54" t="n">
        <v>266207</v>
      </c>
      <c r="D40" s="58" t="n">
        <f aca="false">C40-C39</f>
        <v>35</v>
      </c>
      <c r="E40" s="54" t="n">
        <f aca="false">C40-152000</f>
        <v>114207</v>
      </c>
      <c r="F40" s="53" t="n">
        <f aca="false">D40/$D$2</f>
        <v>17.6455760020166</v>
      </c>
      <c r="G40" s="53" t="n">
        <v>36</v>
      </c>
      <c r="H40" s="55" t="n">
        <v>1.3</v>
      </c>
      <c r="I40" s="53" t="n">
        <f aca="false">G40+H40</f>
        <v>37.3</v>
      </c>
      <c r="J40" s="75" t="n">
        <f aca="false">IF(L40&gt;0,L40,0)</f>
        <v>23.0455760020166</v>
      </c>
      <c r="K40" s="53" t="n">
        <f aca="false">I40+J40</f>
        <v>60.3455760020166</v>
      </c>
      <c r="L40" s="53" t="n">
        <f aca="false">F40-(I40-W40)</f>
        <v>23.0455760020166</v>
      </c>
      <c r="M40" s="53" t="n">
        <v>3.7</v>
      </c>
      <c r="N40" s="53" t="n">
        <v>0</v>
      </c>
      <c r="O40" s="53" t="n">
        <f aca="false">M40-N40</f>
        <v>3.7</v>
      </c>
      <c r="P40" s="53" t="n">
        <v>0</v>
      </c>
      <c r="Q40" s="53" t="n">
        <v>0</v>
      </c>
      <c r="R40" s="53" t="n">
        <f aca="false">SUM(O40:Q40)</f>
        <v>3.7</v>
      </c>
      <c r="S40" s="54"/>
      <c r="T40" s="53" t="n">
        <v>0</v>
      </c>
      <c r="U40" s="53" t="n">
        <v>39</v>
      </c>
      <c r="V40" s="54" t="n">
        <f aca="false">V39-U40</f>
        <v>2508</v>
      </c>
      <c r="W40" s="53" t="n">
        <f aca="false">R40+T40+N40+U40</f>
        <v>42.7</v>
      </c>
      <c r="X40" s="53" t="n">
        <f aca="false">IF(L40&lt;0,L40*-1,0)</f>
        <v>0</v>
      </c>
      <c r="Y40" s="53" t="n">
        <f aca="false">W40+X40</f>
        <v>42.7</v>
      </c>
      <c r="Z40" s="57" t="n">
        <v>0.01</v>
      </c>
      <c r="AA40" s="83" t="n">
        <v>52</v>
      </c>
      <c r="AB40" s="58" t="n">
        <v>19</v>
      </c>
      <c r="AC40" s="59" t="n">
        <v>31</v>
      </c>
      <c r="AD40" s="88"/>
      <c r="AE40" s="88"/>
      <c r="AF40" s="89"/>
    </row>
    <row r="41" customFormat="false" ht="3" hidden="false" customHeight="true" outlineLevel="0" collapsed="false">
      <c r="A41" s="76"/>
      <c r="B41" s="84"/>
      <c r="C41" s="78"/>
      <c r="D41" s="76"/>
      <c r="E41" s="78"/>
      <c r="F41" s="76"/>
      <c r="G41" s="84"/>
      <c r="H41" s="79"/>
      <c r="I41" s="76"/>
      <c r="J41" s="76"/>
      <c r="K41" s="76"/>
      <c r="L41" s="76"/>
      <c r="M41" s="84"/>
      <c r="N41" s="76"/>
      <c r="O41" s="76"/>
      <c r="P41" s="76"/>
      <c r="Q41" s="76"/>
      <c r="R41" s="76"/>
      <c r="S41" s="78"/>
      <c r="T41" s="76"/>
      <c r="U41" s="84"/>
      <c r="V41" s="76"/>
      <c r="W41" s="76"/>
      <c r="X41" s="76"/>
      <c r="Y41" s="76"/>
      <c r="Z41" s="80"/>
      <c r="AA41" s="81" t="n">
        <v>39</v>
      </c>
      <c r="AB41" s="81"/>
      <c r="AC41" s="82"/>
      <c r="AD41" s="88"/>
      <c r="AE41" s="88"/>
      <c r="AF41" s="89"/>
    </row>
    <row r="42" customFormat="false" ht="11.1" hidden="false" customHeight="true" outlineLevel="0" collapsed="false">
      <c r="A42" s="53" t="s">
        <v>45</v>
      </c>
      <c r="B42" s="53"/>
      <c r="C42" s="54"/>
      <c r="D42" s="54"/>
      <c r="E42" s="54"/>
      <c r="F42" s="54" t="n">
        <f aca="false">SUM(F10:F40)</f>
        <v>696.748172422485</v>
      </c>
      <c r="G42" s="54" t="n">
        <f aca="false">SUM(G10:G40)</f>
        <v>1460</v>
      </c>
      <c r="H42" s="54" t="n">
        <f aca="false">SUM(H10:H40)</f>
        <v>43.7</v>
      </c>
      <c r="I42" s="54" t="n">
        <f aca="false">SUM(I10:I40)</f>
        <v>1503.7</v>
      </c>
      <c r="J42" s="54" t="n">
        <f aca="false">SUM(J10:J40)</f>
        <v>532.702596420469</v>
      </c>
      <c r="K42" s="54" t="n">
        <f aca="false">SUM(K10:K40)</f>
        <v>2036.40259642047</v>
      </c>
      <c r="L42" s="54" t="n">
        <f aca="false">SUM(L10:L40)</f>
        <v>531.348172422485</v>
      </c>
      <c r="M42" s="54" t="n">
        <f aca="false">SUM(M10:M40)</f>
        <v>116.3</v>
      </c>
      <c r="N42" s="54" t="n">
        <f aca="false">SUM(N10:N40)</f>
        <v>0</v>
      </c>
      <c r="O42" s="54" t="n">
        <f aca="false">SUM(O10:O40)</f>
        <v>116.3</v>
      </c>
      <c r="P42" s="54" t="n">
        <f aca="false">SUM(P10:P40)</f>
        <v>0</v>
      </c>
      <c r="Q42" s="54" t="n">
        <f aca="false">SUM(Q10:Q40)</f>
        <v>0</v>
      </c>
      <c r="R42" s="54" t="n">
        <f aca="false">SUM(R10:R40)</f>
        <v>116.3</v>
      </c>
      <c r="S42" s="54"/>
      <c r="T42" s="54" t="n">
        <f aca="false">SUM(T10:T40)</f>
        <v>0</v>
      </c>
      <c r="U42" s="54" t="n">
        <f aca="false">SUM(U10:U40)</f>
        <v>1222</v>
      </c>
      <c r="V42" s="54"/>
      <c r="W42" s="54" t="n">
        <f aca="false">SUM(W10:W40)</f>
        <v>1338.3</v>
      </c>
      <c r="X42" s="54" t="n">
        <f aca="false">SUM(X10:X40)</f>
        <v>1.35442399798336</v>
      </c>
      <c r="Y42" s="54" t="n">
        <f aca="false">SUM(Y10:Y40)</f>
        <v>1339.65442399798</v>
      </c>
      <c r="Z42" s="57" t="n">
        <f aca="false">SUM(Z10:Z40)</f>
        <v>0.81</v>
      </c>
      <c r="AA42" s="58" t="n">
        <f aca="false">AVERAGE(AA10:AA40)</f>
        <v>46.3870967741936</v>
      </c>
      <c r="AB42" s="58" t="n">
        <f aca="false">AVERAGE(AB10:AB40)</f>
        <v>21.7741935483871</v>
      </c>
      <c r="AC42" s="59"/>
      <c r="AD42" s="88"/>
      <c r="AE42" s="88"/>
      <c r="AF42" s="89"/>
    </row>
    <row r="43" customFormat="false" ht="11.1" hidden="false" customHeight="true" outlineLevel="0" collapsed="false">
      <c r="A43" s="53" t="s">
        <v>46</v>
      </c>
      <c r="B43" s="53"/>
      <c r="C43" s="54"/>
      <c r="D43" s="54" t="n">
        <f aca="false">SUM(D10:D40)</f>
        <v>1382</v>
      </c>
      <c r="E43" s="54"/>
      <c r="F43" s="54" t="n">
        <f aca="false">F42*$D$2</f>
        <v>1382</v>
      </c>
      <c r="G43" s="54" t="n">
        <f aca="false">G42*$D$2</f>
        <v>2895.91</v>
      </c>
      <c r="H43" s="54" t="n">
        <f aca="false">H42*$D$2</f>
        <v>86.67895</v>
      </c>
      <c r="I43" s="54" t="n">
        <f aca="false">I42*$D$2</f>
        <v>2982.58895</v>
      </c>
      <c r="J43" s="54" t="n">
        <f aca="false">J42*$D$2</f>
        <v>1056.6156</v>
      </c>
      <c r="K43" s="54" t="n">
        <f aca="false">K42*$D$2</f>
        <v>4039.20455</v>
      </c>
      <c r="L43" s="54" t="n">
        <f aca="false">L42*$D$2</f>
        <v>1053.9291</v>
      </c>
      <c r="M43" s="54" t="n">
        <f aca="false">M42*$D$2</f>
        <v>230.68105</v>
      </c>
      <c r="N43" s="54" t="n">
        <f aca="false">N42*$D$2</f>
        <v>0</v>
      </c>
      <c r="O43" s="54" t="n">
        <f aca="false">O42*$D$2</f>
        <v>230.68105</v>
      </c>
      <c r="P43" s="54" t="n">
        <f aca="false">P42*$D$2</f>
        <v>0</v>
      </c>
      <c r="Q43" s="54" t="n">
        <f aca="false">Q42*$D$2</f>
        <v>0</v>
      </c>
      <c r="R43" s="54" t="n">
        <f aca="false">R42*$D$2</f>
        <v>230.68105</v>
      </c>
      <c r="S43" s="54"/>
      <c r="T43" s="54" t="n">
        <f aca="false">T42*$D$2</f>
        <v>0</v>
      </c>
      <c r="U43" s="54" t="n">
        <f aca="false">U42*$D$2</f>
        <v>2423.837</v>
      </c>
      <c r="V43" s="54"/>
      <c r="W43" s="54" t="n">
        <f aca="false">W42*$D$2</f>
        <v>2654.51805</v>
      </c>
      <c r="X43" s="54" t="n">
        <f aca="false">X42*$D$2</f>
        <v>2.6865</v>
      </c>
      <c r="Y43" s="54" t="n">
        <f aca="false">Y42*$D$2</f>
        <v>2657.20455</v>
      </c>
      <c r="Z43" s="57"/>
      <c r="AA43" s="58" t="n">
        <f aca="false">MAX(AA10:AA40)</f>
        <v>57</v>
      </c>
      <c r="AB43" s="58" t="n">
        <f aca="false">MAX(AB10:AB40)</f>
        <v>38</v>
      </c>
      <c r="AC43" s="59" t="s">
        <v>47</v>
      </c>
      <c r="AD43" s="88"/>
      <c r="AE43" s="88"/>
      <c r="AF43" s="89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6"/>
      <c r="W44" s="78"/>
      <c r="X44" s="78"/>
      <c r="Y44" s="78"/>
      <c r="Z44" s="57"/>
      <c r="AA44" s="58"/>
      <c r="AB44" s="58"/>
      <c r="AC44" s="59"/>
      <c r="AD44" s="88"/>
      <c r="AE44" s="88"/>
      <c r="AF44" s="89"/>
    </row>
    <row r="45" customFormat="false" ht="11.1" hidden="false" customHeight="true" outlineLevel="0" collapsed="false">
      <c r="A45" s="53" t="s">
        <v>48</v>
      </c>
      <c r="B45" s="53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7"/>
      <c r="AA45" s="58" t="n">
        <f aca="false">MIN(AA10:AA40)</f>
        <v>32</v>
      </c>
      <c r="AB45" s="58" t="n">
        <f aca="false">MIN(AB10:AB40)</f>
        <v>12</v>
      </c>
      <c r="AC45" s="59" t="s">
        <v>49</v>
      </c>
      <c r="AD45" s="88"/>
      <c r="AE45" s="88"/>
      <c r="AF45" s="89"/>
    </row>
    <row r="46" customFormat="false" ht="11.1" hidden="false" customHeight="true" outlineLevel="0" collapsed="false">
      <c r="A46" s="53" t="s">
        <v>50</v>
      </c>
      <c r="B46" s="53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7"/>
      <c r="AA46" s="58"/>
      <c r="AB46" s="58"/>
      <c r="AC46" s="59"/>
      <c r="AD46" s="88"/>
      <c r="AE46" s="88"/>
      <c r="AF46" s="89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1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80"/>
      <c r="AA47" s="58"/>
      <c r="AB47" s="58"/>
      <c r="AC47" s="59"/>
      <c r="AD47" s="88"/>
      <c r="AE47" s="88"/>
      <c r="AF47" s="89"/>
    </row>
    <row r="48" customFormat="false" ht="11.1" hidden="false" customHeight="true" outlineLevel="0" collapsed="false">
      <c r="A48" s="53" t="s">
        <v>51</v>
      </c>
      <c r="B48" s="53"/>
      <c r="C48" s="54"/>
      <c r="D48" s="54"/>
      <c r="E48" s="54"/>
      <c r="F48" s="54" t="n">
        <f aca="false">F8+F42</f>
        <v>4023.69548777414</v>
      </c>
      <c r="G48" s="54" t="n">
        <f aca="false">G8+G42</f>
        <v>6949</v>
      </c>
      <c r="H48" s="58" t="n">
        <f aca="false">H8+H42</f>
        <v>165.9</v>
      </c>
      <c r="I48" s="54" t="n">
        <f aca="false">I8+I42</f>
        <v>7109.8</v>
      </c>
      <c r="J48" s="54" t="n">
        <f aca="false">J8+J42</f>
        <v>1665.69200907487</v>
      </c>
      <c r="K48" s="54" t="n">
        <f aca="false">K8+K42</f>
        <v>8778.19669775649</v>
      </c>
      <c r="L48" s="54" t="n">
        <f aca="false">L8+L42</f>
        <v>1191.29548777414</v>
      </c>
      <c r="M48" s="54" t="n">
        <f aca="false">M8+M42</f>
        <v>562.2</v>
      </c>
      <c r="N48" s="54" t="n">
        <f aca="false">N8+N42</f>
        <v>0</v>
      </c>
      <c r="O48" s="54" t="n">
        <f aca="false">O8+O42</f>
        <v>276.6</v>
      </c>
      <c r="P48" s="54" t="n">
        <f aca="false">P8+P42</f>
        <v>0</v>
      </c>
      <c r="Q48" s="54" t="n">
        <f aca="false">Q8+Q42</f>
        <v>75.2</v>
      </c>
      <c r="R48" s="54" t="n">
        <f aca="false">R8+R42</f>
        <v>582.2225</v>
      </c>
      <c r="S48" s="54"/>
      <c r="T48" s="54" t="n">
        <f aca="false">T8+T42</f>
        <v>0</v>
      </c>
      <c r="U48" s="54" t="n">
        <f aca="false">U8+U42</f>
        <v>3640</v>
      </c>
      <c r="V48" s="54" t="n">
        <f aca="false">V40</f>
        <v>2508</v>
      </c>
      <c r="W48" s="54" t="n">
        <f aca="false">W8+W42</f>
        <v>4277.4</v>
      </c>
      <c r="X48" s="54" t="n">
        <f aca="false">X8+X42</f>
        <v>474.396521300731</v>
      </c>
      <c r="Y48" s="54" t="n">
        <f aca="false">Y8+Y42</f>
        <v>4751.79652130073</v>
      </c>
      <c r="Z48" s="75" t="n">
        <f aca="false">Z8+Z42</f>
        <v>4.39</v>
      </c>
      <c r="AA48" s="58"/>
      <c r="AB48" s="58"/>
      <c r="AC48" s="59"/>
      <c r="AD48" s="88"/>
      <c r="AE48" s="88"/>
      <c r="AF48" s="89"/>
    </row>
    <row r="49" customFormat="false" ht="11.1" hidden="false" customHeight="true" outlineLevel="0" collapsed="false">
      <c r="A49" s="53" t="s">
        <v>52</v>
      </c>
      <c r="B49" s="53"/>
      <c r="C49" s="54"/>
      <c r="D49" s="54" t="n">
        <f aca="false">D8+D43</f>
        <v>7981</v>
      </c>
      <c r="E49" s="54" t="n">
        <f aca="false">E40</f>
        <v>114207</v>
      </c>
      <c r="F49" s="54" t="n">
        <f aca="false">F48*$D$2</f>
        <v>7981</v>
      </c>
      <c r="G49" s="54" t="n">
        <f aca="false">G48*$D$2</f>
        <v>13783.3415</v>
      </c>
      <c r="H49" s="58" t="n">
        <f aca="false">H48*$D$2</f>
        <v>329.06265</v>
      </c>
      <c r="I49" s="54" t="n">
        <f aca="false">I48*$D$2</f>
        <v>14102.2883</v>
      </c>
      <c r="J49" s="54" t="n">
        <f aca="false">J48*$D$2</f>
        <v>3303.9001</v>
      </c>
      <c r="K49" s="54" t="n">
        <f aca="false">K48*$D$2</f>
        <v>17411.55315</v>
      </c>
      <c r="L49" s="54" t="n">
        <f aca="false">L48*$D$2</f>
        <v>2362.9346</v>
      </c>
      <c r="M49" s="54" t="n">
        <f aca="false">M48*$D$2</f>
        <v>1115.1237</v>
      </c>
      <c r="N49" s="54" t="n">
        <f aca="false">N48*$D$2</f>
        <v>0</v>
      </c>
      <c r="O49" s="54" t="n">
        <f aca="false">O48*$D$2</f>
        <v>548.6361</v>
      </c>
      <c r="P49" s="54" t="n">
        <f aca="false">P48*$D$2</f>
        <v>0</v>
      </c>
      <c r="Q49" s="54" t="n">
        <f aca="false">Q48*$D$2</f>
        <v>149.1592</v>
      </c>
      <c r="R49" s="54" t="n">
        <f aca="false">R48*$D$2</f>
        <v>1154.83832875</v>
      </c>
      <c r="S49" s="54" t="n">
        <f aca="false">S48*$D$2</f>
        <v>0</v>
      </c>
      <c r="T49" s="54" t="n">
        <f aca="false">T48*$D$2</f>
        <v>0</v>
      </c>
      <c r="U49" s="54" t="n">
        <f aca="false">U48*$D$2</f>
        <v>7219.94</v>
      </c>
      <c r="V49" s="54" t="n">
        <f aca="false">V40*$D$2</f>
        <v>4974.618</v>
      </c>
      <c r="W49" s="54" t="n">
        <f aca="false">W48*$D$2</f>
        <v>8484.2229</v>
      </c>
      <c r="X49" s="54" t="n">
        <f aca="false">X48*$D$2</f>
        <v>940.9655</v>
      </c>
      <c r="Y49" s="54" t="n">
        <f aca="false">Y48*$D$2</f>
        <v>9425.1884</v>
      </c>
      <c r="Z49" s="57"/>
      <c r="AA49" s="58"/>
      <c r="AB49" s="58"/>
      <c r="AC49" s="59"/>
      <c r="AD49" s="88"/>
      <c r="AE49" s="88"/>
      <c r="AF49" s="89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79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8"/>
      <c r="T50" s="76"/>
      <c r="U50" s="76"/>
      <c r="V50" s="78"/>
      <c r="W50" s="76"/>
      <c r="X50" s="76"/>
      <c r="Y50" s="76"/>
      <c r="Z50" s="57"/>
      <c r="AA50" s="58"/>
      <c r="AB50" s="58"/>
      <c r="AC50" s="59"/>
      <c r="AD50" s="88"/>
      <c r="AE50" s="88"/>
      <c r="AF50" s="89"/>
    </row>
    <row r="51" customFormat="false" ht="11.1" hidden="false" customHeight="true" outlineLevel="0" collapsed="false">
      <c r="A51" s="53" t="str">
        <f aca="false">"JUN /9"</f>
        <v>JUN /9</v>
      </c>
      <c r="B51" s="85"/>
      <c r="C51" s="54"/>
      <c r="D51" s="53"/>
      <c r="E51" s="54"/>
      <c r="F51" s="53"/>
      <c r="G51" s="53"/>
      <c r="H51" s="55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4"/>
      <c r="T51" s="53"/>
      <c r="U51" s="53"/>
      <c r="V51" s="54" t="n">
        <v>2615</v>
      </c>
      <c r="W51" s="53"/>
      <c r="X51" s="53"/>
      <c r="Y51" s="53"/>
      <c r="Z51" s="57"/>
      <c r="AA51" s="58"/>
      <c r="AB51" s="58"/>
      <c r="AC51" s="59"/>
      <c r="AD51" s="87"/>
      <c r="AE51" s="87"/>
    </row>
    <row r="52" customFormat="false" ht="11.1" hidden="false" customHeight="true" outlineLevel="0" collapsed="false">
      <c r="A52" s="53"/>
      <c r="B52" s="74" t="n">
        <v>6924.15</v>
      </c>
      <c r="C52" s="54" t="n">
        <v>381833</v>
      </c>
      <c r="D52" s="83"/>
      <c r="E52" s="54" t="n">
        <f aca="false">C52-152000</f>
        <v>229833</v>
      </c>
      <c r="F52" s="53"/>
      <c r="G52" s="53"/>
      <c r="H52" s="83"/>
      <c r="I52" s="55"/>
      <c r="J52" s="53"/>
      <c r="K52" s="44"/>
      <c r="L52" s="53"/>
      <c r="M52" s="53"/>
      <c r="N52" s="53"/>
      <c r="O52" s="53"/>
      <c r="P52" s="53"/>
      <c r="Q52" s="53"/>
      <c r="R52" s="53"/>
      <c r="S52" s="54"/>
      <c r="T52" s="53"/>
      <c r="U52" s="53"/>
      <c r="V52" s="54" t="n">
        <f aca="false">V49-V51</f>
        <v>2359.618</v>
      </c>
      <c r="W52" s="53"/>
      <c r="X52" s="53"/>
      <c r="Y52" s="53"/>
      <c r="Z52" s="57"/>
      <c r="AA52" s="58"/>
      <c r="AB52" s="58"/>
      <c r="AC52" s="59"/>
      <c r="AD52" s="87"/>
      <c r="AE52" s="87"/>
    </row>
    <row r="53" customFormat="false" ht="11.1" hidden="false" customHeight="true" outlineLevel="0" collapsed="false">
      <c r="A53" s="83" t="str">
        <f aca="false">"5/12/94 thru 6/9/94"</f>
        <v>5/12/94 thru 6/9/94</v>
      </c>
      <c r="B53" s="83"/>
      <c r="C53" s="54"/>
      <c r="D53" s="54"/>
      <c r="E53" s="54"/>
      <c r="F53" s="83"/>
      <c r="G53" s="83"/>
      <c r="H53" s="55"/>
      <c r="I53" s="83"/>
      <c r="J53" s="83"/>
      <c r="K53" s="83"/>
      <c r="L53" s="83"/>
      <c r="M53" s="75"/>
      <c r="N53" s="75"/>
      <c r="O53" s="75"/>
      <c r="P53" s="83"/>
      <c r="Q53" s="83"/>
      <c r="R53" s="83"/>
      <c r="S53" s="54"/>
      <c r="T53" s="83"/>
      <c r="U53" s="83"/>
      <c r="V53" s="54"/>
      <c r="W53" s="83"/>
      <c r="X53" s="83"/>
      <c r="Y53" s="83"/>
      <c r="Z53" s="57"/>
      <c r="AA53" s="58"/>
      <c r="AB53" s="58"/>
      <c r="AC53" s="59"/>
      <c r="AD53" s="92"/>
      <c r="AE53" s="92"/>
    </row>
    <row r="54" customFormat="false" ht="11.1" hidden="false" customHeight="true" outlineLevel="0" collapsed="false">
      <c r="A54" s="83"/>
      <c r="B54" s="57" t="n">
        <f aca="false">B52-B21</f>
        <v>29.1999999999998</v>
      </c>
      <c r="C54" s="54"/>
      <c r="D54" s="54" t="n">
        <f aca="false">C52-C23</f>
        <v>116443</v>
      </c>
      <c r="E54" s="54"/>
      <c r="F54" s="83"/>
      <c r="G54" s="83"/>
      <c r="H54" s="55"/>
      <c r="I54" s="83"/>
      <c r="J54" s="83"/>
      <c r="K54" s="83"/>
      <c r="L54" s="83"/>
      <c r="M54" s="75"/>
      <c r="N54" s="75"/>
      <c r="O54" s="75"/>
      <c r="P54" s="83"/>
      <c r="Q54" s="83"/>
      <c r="R54" s="83"/>
      <c r="S54" s="54"/>
      <c r="T54" s="83"/>
      <c r="U54" s="83"/>
      <c r="V54" s="54"/>
      <c r="W54" s="83"/>
      <c r="X54" s="83"/>
      <c r="Y54" s="83"/>
      <c r="Z54" s="57"/>
      <c r="AA54" s="58"/>
      <c r="AB54" s="58"/>
      <c r="AC54" s="59"/>
      <c r="AD54" s="92"/>
      <c r="AE54" s="92"/>
    </row>
    <row r="55" customFormat="false" ht="11.1" hidden="false" customHeight="true" outlineLevel="0" collapsed="false">
      <c r="A55" s="83"/>
      <c r="B55" s="83"/>
      <c r="C55" s="54"/>
      <c r="D55" s="83"/>
      <c r="E55" s="54"/>
      <c r="F55" s="83"/>
      <c r="G55" s="86"/>
      <c r="H55" s="55"/>
      <c r="I55" s="83"/>
      <c r="J55" s="83"/>
      <c r="K55" s="83"/>
      <c r="L55" s="83"/>
      <c r="M55" s="75"/>
      <c r="N55" s="75"/>
      <c r="O55" s="75"/>
      <c r="P55" s="83"/>
      <c r="Q55" s="83"/>
      <c r="R55" s="83"/>
      <c r="S55" s="54"/>
      <c r="T55" s="83"/>
      <c r="U55" s="83"/>
      <c r="V55" s="54"/>
      <c r="W55" s="83"/>
      <c r="X55" s="83"/>
      <c r="Y55" s="83"/>
      <c r="Z55" s="57"/>
      <c r="AA55" s="58"/>
      <c r="AB55" s="58"/>
      <c r="AC55" s="59"/>
      <c r="AD55" s="92"/>
      <c r="AE55" s="92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V18" activePane="bottomRight" state="frozen"/>
      <selection pane="topLeft" activeCell="A1" activeCellId="0" sqref="A1"/>
      <selection pane="topRight" activeCell="V1" activeCellId="0" sqref="V1"/>
      <selection pane="bottomLeft" activeCell="A18" activeCellId="0" sqref="A18"/>
      <selection pane="bottomRight" activeCell="I39" activeCellId="0" sqref="I39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6.82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6.66"/>
    <col collapsed="false" customWidth="true" hidden="false" outlineLevel="0" max="19" min="19" style="47" width="6.66"/>
    <col collapsed="false" customWidth="true" hidden="false" outlineLevel="0" max="20" min="20" style="46" width="5.82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87"/>
      <c r="AE1" s="87"/>
    </row>
    <row r="2" customFormat="false" ht="14.1" hidden="false" customHeight="true" outlineLevel="0" collapsed="false">
      <c r="A2" s="53" t="s">
        <v>1</v>
      </c>
      <c r="B2" s="53"/>
      <c r="C2" s="54"/>
      <c r="D2" s="60" t="n">
        <v>1.9835</v>
      </c>
      <c r="E2" s="54"/>
      <c r="F2" s="53"/>
      <c r="G2" s="53"/>
      <c r="H2" s="55"/>
      <c r="I2" s="53"/>
      <c r="J2" s="53"/>
      <c r="K2" s="61" t="s">
        <v>57</v>
      </c>
      <c r="L2" s="61"/>
      <c r="M2" s="61"/>
      <c r="N2" s="61"/>
      <c r="O2" s="61"/>
      <c r="P2" s="61"/>
      <c r="Q2" s="61"/>
      <c r="R2" s="61"/>
      <c r="S2" s="61"/>
      <c r="T2" s="61"/>
      <c r="U2" s="53"/>
      <c r="V2" s="54"/>
      <c r="W2" s="53"/>
      <c r="X2" s="53"/>
      <c r="Y2" s="53"/>
      <c r="Z2" s="57"/>
      <c r="AA2" s="58"/>
      <c r="AB2" s="58"/>
      <c r="AC2" s="59"/>
      <c r="AD2" s="87"/>
      <c r="AE2" s="87"/>
    </row>
    <row r="3" customFormat="false" ht="11.1" hidden="false" customHeight="true" outlineLevel="0" collapsed="false">
      <c r="A3" s="53"/>
      <c r="B3" s="53"/>
      <c r="C3" s="54"/>
      <c r="D3" s="62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87"/>
      <c r="AE3" s="87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14</v>
      </c>
      <c r="Q4" s="63" t="s">
        <v>15</v>
      </c>
      <c r="R4" s="63" t="s">
        <v>12</v>
      </c>
      <c r="S4" s="64" t="s">
        <v>16</v>
      </c>
      <c r="T4" s="63" t="s">
        <v>17</v>
      </c>
      <c r="U4" s="63" t="s">
        <v>18</v>
      </c>
      <c r="V4" s="64" t="s">
        <v>19</v>
      </c>
      <c r="W4" s="63" t="s">
        <v>10</v>
      </c>
      <c r="X4" s="63" t="s">
        <v>11</v>
      </c>
      <c r="Y4" s="63" t="s">
        <v>12</v>
      </c>
      <c r="Z4" s="66" t="s">
        <v>20</v>
      </c>
      <c r="AA4" s="67" t="s">
        <v>21</v>
      </c>
      <c r="AB4" s="67" t="s">
        <v>22</v>
      </c>
      <c r="AC4" s="67" t="s">
        <v>3</v>
      </c>
      <c r="AD4" s="87"/>
      <c r="AE4" s="87"/>
    </row>
    <row r="5" customFormat="false" ht="11.1" hidden="false" customHeight="true" outlineLevel="0" collapsed="false">
      <c r="A5" s="68" t="s">
        <v>58</v>
      </c>
      <c r="B5" s="63" t="s">
        <v>24</v>
      </c>
      <c r="C5" s="64" t="s">
        <v>5</v>
      </c>
      <c r="D5" s="63" t="s">
        <v>25</v>
      </c>
      <c r="E5" s="64" t="s">
        <v>26</v>
      </c>
      <c r="F5" s="63" t="s">
        <v>27</v>
      </c>
      <c r="G5" s="63" t="s">
        <v>28</v>
      </c>
      <c r="H5" s="65" t="s">
        <v>29</v>
      </c>
      <c r="I5" s="63" t="s">
        <v>30</v>
      </c>
      <c r="J5" s="63" t="s">
        <v>30</v>
      </c>
      <c r="K5" s="63" t="s">
        <v>30</v>
      </c>
      <c r="L5" s="63" t="s">
        <v>31</v>
      </c>
      <c r="M5" s="63" t="s">
        <v>32</v>
      </c>
      <c r="N5" s="63" t="s">
        <v>33</v>
      </c>
      <c r="O5" s="63" t="s">
        <v>34</v>
      </c>
      <c r="P5" s="63" t="s">
        <v>35</v>
      </c>
      <c r="Q5" s="63" t="s">
        <v>36</v>
      </c>
      <c r="R5" s="63" t="s">
        <v>16</v>
      </c>
      <c r="S5" s="64" t="s">
        <v>37</v>
      </c>
      <c r="T5" s="63" t="s">
        <v>38</v>
      </c>
      <c r="U5" s="63" t="s">
        <v>39</v>
      </c>
      <c r="V5" s="64" t="s">
        <v>40</v>
      </c>
      <c r="W5" s="63" t="s">
        <v>41</v>
      </c>
      <c r="X5" s="63" t="s">
        <v>41</v>
      </c>
      <c r="Y5" s="63" t="s">
        <v>41</v>
      </c>
      <c r="Z5" s="69"/>
      <c r="AA5" s="67" t="s">
        <v>42</v>
      </c>
      <c r="AB5" s="67" t="s">
        <v>42</v>
      </c>
      <c r="AC5" s="70" t="s">
        <v>58</v>
      </c>
      <c r="AD5" s="87"/>
      <c r="AE5" s="87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  <c r="AD6" s="88"/>
      <c r="AE6" s="88"/>
      <c r="AF6" s="89"/>
    </row>
    <row r="7" customFormat="false" ht="11.1" hidden="false" customHeight="true" outlineLevel="0" collapsed="false">
      <c r="A7" s="53" t="s">
        <v>43</v>
      </c>
      <c r="B7" s="53"/>
      <c r="C7" s="54"/>
      <c r="D7" s="54"/>
      <c r="E7" s="54"/>
      <c r="F7" s="54"/>
      <c r="G7" s="54"/>
      <c r="H7" s="58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7"/>
      <c r="AA7" s="58"/>
      <c r="AB7" s="58"/>
      <c r="AC7" s="59"/>
      <c r="AD7" s="88"/>
      <c r="AE7" s="89"/>
      <c r="AF7" s="89"/>
    </row>
    <row r="8" s="47" customFormat="true" ht="11.1" hidden="false" customHeight="true" outlineLevel="0" collapsed="false">
      <c r="A8" s="54" t="s">
        <v>44</v>
      </c>
      <c r="B8" s="74" t="n">
        <f aca="false" t="array" ref="B8:C8">JAN!$B$40:$C$40</f>
        <v>6895.2</v>
      </c>
      <c r="C8" s="54" t="n">
        <v>266207</v>
      </c>
      <c r="D8" s="54" t="n">
        <f aca="false" t="array" ref="D8:E8">JAN!$D$49:$E$49</f>
        <v>7981</v>
      </c>
      <c r="E8" s="54" t="n">
        <v>114207</v>
      </c>
      <c r="F8" s="54" t="n">
        <f aca="false" t="array" ref="F8:Z8">JAN!$F$48:$Z$48</f>
        <v>4023.69548777414</v>
      </c>
      <c r="G8" s="54" t="n">
        <v>6949</v>
      </c>
      <c r="H8" s="58" t="n">
        <v>165.9</v>
      </c>
      <c r="I8" s="54" t="n">
        <v>7109.8</v>
      </c>
      <c r="J8" s="54" t="n">
        <v>1665.69200907487</v>
      </c>
      <c r="K8" s="54" t="n">
        <v>8778.19669775649</v>
      </c>
      <c r="L8" s="54" t="n">
        <v>1191.29548777414</v>
      </c>
      <c r="M8" s="54" t="n">
        <v>562.2</v>
      </c>
      <c r="N8" s="54" t="n">
        <v>0</v>
      </c>
      <c r="O8" s="54" t="n">
        <v>276.6</v>
      </c>
      <c r="P8" s="54" t="n">
        <v>0</v>
      </c>
      <c r="Q8" s="54" t="n">
        <v>75.2</v>
      </c>
      <c r="R8" s="54" t="n">
        <v>582.2225</v>
      </c>
      <c r="S8" s="54" t="n">
        <v>0</v>
      </c>
      <c r="T8" s="54" t="n">
        <v>0</v>
      </c>
      <c r="U8" s="54" t="n">
        <v>3640</v>
      </c>
      <c r="V8" s="54" t="n">
        <v>2508</v>
      </c>
      <c r="W8" s="54" t="n">
        <v>4277.4</v>
      </c>
      <c r="X8" s="54" t="n">
        <v>474.396521300731</v>
      </c>
      <c r="Y8" s="54" t="n">
        <v>4751.79652130073</v>
      </c>
      <c r="Z8" s="75" t="n">
        <v>4.39</v>
      </c>
      <c r="AA8" s="58"/>
      <c r="AB8" s="58"/>
      <c r="AC8" s="59"/>
      <c r="AD8" s="90"/>
      <c r="AE8" s="88"/>
      <c r="AF8" s="90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79"/>
      <c r="I9" s="76"/>
      <c r="J9" s="76"/>
      <c r="K9" s="76"/>
      <c r="L9" s="76"/>
      <c r="M9" s="76"/>
      <c r="N9" s="76"/>
      <c r="O9" s="76"/>
      <c r="P9" s="76"/>
      <c r="Q9" s="76"/>
      <c r="R9" s="76"/>
      <c r="S9" s="78"/>
      <c r="T9" s="76"/>
      <c r="U9" s="76"/>
      <c r="V9" s="78"/>
      <c r="W9" s="76"/>
      <c r="X9" s="76"/>
      <c r="Y9" s="76"/>
      <c r="Z9" s="80"/>
      <c r="AA9" s="81"/>
      <c r="AB9" s="81"/>
      <c r="AC9" s="82"/>
      <c r="AD9" s="88"/>
      <c r="AE9" s="88"/>
      <c r="AF9" s="89"/>
    </row>
    <row r="10" customFormat="false" ht="11.1" hidden="false" customHeight="true" outlineLevel="0" collapsed="false">
      <c r="A10" s="59" t="n">
        <v>1</v>
      </c>
      <c r="B10" s="74" t="n">
        <v>6895.21</v>
      </c>
      <c r="C10" s="54" t="n">
        <v>266243</v>
      </c>
      <c r="D10" s="58" t="n">
        <f aca="false">C10-C8</f>
        <v>36</v>
      </c>
      <c r="E10" s="54" t="n">
        <f aca="false">C10-152000</f>
        <v>114243</v>
      </c>
      <c r="F10" s="53" t="n">
        <f aca="false">D10/$D$2</f>
        <v>18.14973531636</v>
      </c>
      <c r="G10" s="53" t="n">
        <v>38</v>
      </c>
      <c r="H10" s="55" t="n">
        <v>1.4</v>
      </c>
      <c r="I10" s="53" t="n">
        <f aca="false">G10+H10</f>
        <v>39.4</v>
      </c>
      <c r="J10" s="75" t="n">
        <f aca="false">IF(L10&gt;0,L10,0)</f>
        <v>21.44973531636</v>
      </c>
      <c r="K10" s="53" t="n">
        <f aca="false">I10+J10</f>
        <v>60.84973531636</v>
      </c>
      <c r="L10" s="53" t="n">
        <f aca="false">F10-(I10-W10)</f>
        <v>21.44973531636</v>
      </c>
      <c r="M10" s="53" t="n">
        <v>3.7</v>
      </c>
      <c r="N10" s="53" t="n">
        <v>0</v>
      </c>
      <c r="O10" s="53" t="n">
        <f aca="false">M10-N10</f>
        <v>3.7</v>
      </c>
      <c r="P10" s="53" t="n">
        <v>0</v>
      </c>
      <c r="Q10" s="53" t="n">
        <v>0</v>
      </c>
      <c r="R10" s="53" t="n">
        <f aca="false">SUM(O10:Q10)</f>
        <v>3.7</v>
      </c>
      <c r="S10" s="54"/>
      <c r="T10" s="53" t="n">
        <v>0</v>
      </c>
      <c r="U10" s="53" t="n">
        <v>39</v>
      </c>
      <c r="V10" s="54" t="n">
        <f aca="false">V8-U10</f>
        <v>2469</v>
      </c>
      <c r="W10" s="53" t="n">
        <f aca="false">R10+T10+N10+U10</f>
        <v>42.7</v>
      </c>
      <c r="X10" s="53" t="n">
        <f aca="false">IF(L10&lt;0,L10*-1,0)</f>
        <v>0</v>
      </c>
      <c r="Y10" s="53" t="n">
        <f aca="false">W10+X10</f>
        <v>42.7</v>
      </c>
      <c r="Z10" s="57" t="n">
        <v>0</v>
      </c>
      <c r="AA10" s="58" t="n">
        <v>39</v>
      </c>
      <c r="AB10" s="58" t="n">
        <v>22</v>
      </c>
      <c r="AC10" s="59" t="n">
        <v>1</v>
      </c>
      <c r="AD10" s="89"/>
      <c r="AE10" s="90"/>
      <c r="AF10" s="89"/>
    </row>
    <row r="11" customFormat="false" ht="11.1" hidden="false" customHeight="true" outlineLevel="0" collapsed="false">
      <c r="A11" s="59" t="n">
        <f aca="false">A10+1</f>
        <v>2</v>
      </c>
      <c r="B11" s="74" t="n">
        <v>6895.22</v>
      </c>
      <c r="C11" s="54" t="n">
        <v>266279</v>
      </c>
      <c r="D11" s="58" t="n">
        <f aca="false">C11-C10</f>
        <v>36</v>
      </c>
      <c r="E11" s="54" t="n">
        <f aca="false">C11-152000</f>
        <v>114279</v>
      </c>
      <c r="F11" s="53" t="n">
        <f aca="false">D11/$D$2</f>
        <v>18.14973531636</v>
      </c>
      <c r="G11" s="53" t="n">
        <v>39</v>
      </c>
      <c r="H11" s="55" t="n">
        <v>1.3</v>
      </c>
      <c r="I11" s="53" t="n">
        <f aca="false">G11+H11</f>
        <v>40.3</v>
      </c>
      <c r="J11" s="75" t="n">
        <f aca="false">IF(L11&gt;0,L11,0)</f>
        <v>20.54973531636</v>
      </c>
      <c r="K11" s="53" t="n">
        <f aca="false">I11+J11</f>
        <v>60.84973531636</v>
      </c>
      <c r="L11" s="53" t="n">
        <f aca="false">F11-(I11-W11)</f>
        <v>20.54973531636</v>
      </c>
      <c r="M11" s="53" t="n">
        <v>3.7</v>
      </c>
      <c r="N11" s="53" t="n">
        <v>0</v>
      </c>
      <c r="O11" s="53" t="n">
        <f aca="false">M11-N11</f>
        <v>3.7</v>
      </c>
      <c r="P11" s="53" t="n">
        <v>0</v>
      </c>
      <c r="Q11" s="53" t="n">
        <v>0</v>
      </c>
      <c r="R11" s="53" t="n">
        <f aca="false">SUM(O11:Q11)</f>
        <v>3.7</v>
      </c>
      <c r="S11" s="54"/>
      <c r="T11" s="53" t="n">
        <v>0</v>
      </c>
      <c r="U11" s="53" t="n">
        <v>39</v>
      </c>
      <c r="V11" s="54" t="n">
        <f aca="false">V10-U11</f>
        <v>2430</v>
      </c>
      <c r="W11" s="53" t="n">
        <f aca="false">R11+T11+N11+U11</f>
        <v>42.7</v>
      </c>
      <c r="X11" s="53" t="n">
        <f aca="false">IF(L11&lt;0,L11*-1,0)</f>
        <v>0</v>
      </c>
      <c r="Y11" s="53" t="n">
        <f aca="false">W11+X11</f>
        <v>42.7</v>
      </c>
      <c r="Z11" s="57" t="n">
        <v>0</v>
      </c>
      <c r="AA11" s="58" t="n">
        <v>43</v>
      </c>
      <c r="AB11" s="58" t="n">
        <v>12</v>
      </c>
      <c r="AC11" s="59" t="n">
        <f aca="false">AC10+1</f>
        <v>2</v>
      </c>
      <c r="AD11" s="89"/>
      <c r="AE11" s="90"/>
      <c r="AF11" s="89"/>
    </row>
    <row r="12" customFormat="false" ht="11.1" hidden="false" customHeight="true" outlineLevel="0" collapsed="false">
      <c r="A12" s="59" t="n">
        <f aca="false">A11+1</f>
        <v>3</v>
      </c>
      <c r="B12" s="74" t="n">
        <v>6895.23</v>
      </c>
      <c r="C12" s="54" t="n">
        <v>266314</v>
      </c>
      <c r="D12" s="58" t="n">
        <f aca="false">C12-C11</f>
        <v>35</v>
      </c>
      <c r="E12" s="54" t="n">
        <f aca="false">C12-152000</f>
        <v>114314</v>
      </c>
      <c r="F12" s="53" t="n">
        <f aca="false">D12/$D$2</f>
        <v>17.6455760020166</v>
      </c>
      <c r="G12" s="53" t="n">
        <v>40</v>
      </c>
      <c r="H12" s="55" t="n">
        <v>1.3</v>
      </c>
      <c r="I12" s="53" t="n">
        <f aca="false">G12+H12</f>
        <v>41.3</v>
      </c>
      <c r="J12" s="75" t="n">
        <f aca="false">IF(L12&gt;0,L12,0)</f>
        <v>19.0455760020166</v>
      </c>
      <c r="K12" s="53" t="n">
        <f aca="false">I12+J12</f>
        <v>60.3455760020166</v>
      </c>
      <c r="L12" s="53" t="n">
        <f aca="false">F12-(I12-W12)</f>
        <v>19.0455760020166</v>
      </c>
      <c r="M12" s="53" t="n">
        <v>3.7</v>
      </c>
      <c r="N12" s="53" t="n">
        <v>0</v>
      </c>
      <c r="O12" s="53" t="n">
        <f aca="false">M12-N12</f>
        <v>3.7</v>
      </c>
      <c r="P12" s="53" t="n">
        <v>0</v>
      </c>
      <c r="Q12" s="53" t="n">
        <v>0</v>
      </c>
      <c r="R12" s="53" t="n">
        <f aca="false">SUM(O12:Q12)</f>
        <v>3.7</v>
      </c>
      <c r="S12" s="54"/>
      <c r="T12" s="53" t="n">
        <v>0</v>
      </c>
      <c r="U12" s="53" t="n">
        <v>39</v>
      </c>
      <c r="V12" s="54" t="n">
        <f aca="false">V11-U12</f>
        <v>2391</v>
      </c>
      <c r="W12" s="53" t="n">
        <f aca="false">R12+T12+N12+U12</f>
        <v>42.7</v>
      </c>
      <c r="X12" s="53" t="n">
        <f aca="false">IF(L12&lt;0,L12*-1,0)</f>
        <v>0</v>
      </c>
      <c r="Y12" s="53" t="n">
        <f aca="false">W12+X12</f>
        <v>42.7</v>
      </c>
      <c r="Z12" s="57" t="n">
        <v>0.44</v>
      </c>
      <c r="AA12" s="58" t="n">
        <v>55</v>
      </c>
      <c r="AB12" s="58" t="n">
        <v>26</v>
      </c>
      <c r="AC12" s="59" t="n">
        <f aca="false">AC11+1</f>
        <v>3</v>
      </c>
      <c r="AD12" s="89"/>
      <c r="AE12" s="90"/>
      <c r="AF12" s="89"/>
    </row>
    <row r="13" customFormat="false" ht="11.1" hidden="false" customHeight="true" outlineLevel="0" collapsed="false">
      <c r="A13" s="59" t="n">
        <f aca="false">A12+1</f>
        <v>4</v>
      </c>
      <c r="B13" s="74" t="n">
        <v>6895.3</v>
      </c>
      <c r="C13" s="54" t="n">
        <v>266563</v>
      </c>
      <c r="D13" s="58" t="n">
        <f aca="false">C13-C12</f>
        <v>249</v>
      </c>
      <c r="E13" s="54" t="n">
        <f aca="false">C13-152000</f>
        <v>114563</v>
      </c>
      <c r="F13" s="53" t="n">
        <f aca="false">D13/$D$2</f>
        <v>125.53566927149</v>
      </c>
      <c r="G13" s="53" t="n">
        <v>42</v>
      </c>
      <c r="H13" s="55" t="n">
        <v>1.3</v>
      </c>
      <c r="I13" s="53" t="n">
        <f aca="false">G13+H13</f>
        <v>43.3</v>
      </c>
      <c r="J13" s="75" t="n">
        <f aca="false">IF(L13&gt;0,L13,0)</f>
        <v>125.93566927149</v>
      </c>
      <c r="K13" s="53" t="n">
        <f aca="false">I13+J13</f>
        <v>169.23566927149</v>
      </c>
      <c r="L13" s="53" t="n">
        <f aca="false">F13-(I13-W13)</f>
        <v>125.93566927149</v>
      </c>
      <c r="M13" s="53" t="n">
        <v>3.7</v>
      </c>
      <c r="N13" s="53" t="n">
        <v>0</v>
      </c>
      <c r="O13" s="53" t="n">
        <f aca="false">M13-N13</f>
        <v>3.7</v>
      </c>
      <c r="P13" s="53" t="n">
        <v>0</v>
      </c>
      <c r="Q13" s="53" t="n">
        <v>0</v>
      </c>
      <c r="R13" s="53" t="n">
        <f aca="false">SUM(O13:Q13)</f>
        <v>3.7</v>
      </c>
      <c r="S13" s="54"/>
      <c r="T13" s="53" t="n">
        <v>0</v>
      </c>
      <c r="U13" s="53" t="n">
        <v>40</v>
      </c>
      <c r="V13" s="54" t="n">
        <f aca="false">V12-U13</f>
        <v>2351</v>
      </c>
      <c r="W13" s="53" t="n">
        <f aca="false">R13+T13+N13+U13</f>
        <v>43.7</v>
      </c>
      <c r="X13" s="53" t="n">
        <f aca="false">IF(L13&lt;0,L13*-1,0)</f>
        <v>0</v>
      </c>
      <c r="Y13" s="53" t="n">
        <f aca="false">W13+X13</f>
        <v>43.7</v>
      </c>
      <c r="Z13" s="57" t="n">
        <v>0</v>
      </c>
      <c r="AA13" s="58" t="n">
        <v>49</v>
      </c>
      <c r="AB13" s="58" t="n">
        <v>32</v>
      </c>
      <c r="AC13" s="59" t="n">
        <f aca="false">AC12+1</f>
        <v>4</v>
      </c>
      <c r="AD13" s="89"/>
      <c r="AE13" s="90"/>
      <c r="AF13" s="89"/>
    </row>
    <row r="14" customFormat="false" ht="11.1" hidden="false" customHeight="true" outlineLevel="0" collapsed="false">
      <c r="A14" s="59" t="n">
        <f aca="false">A13+1</f>
        <v>5</v>
      </c>
      <c r="B14" s="74" t="n">
        <v>6895.32</v>
      </c>
      <c r="C14" s="54" t="n">
        <v>266635</v>
      </c>
      <c r="D14" s="58" t="n">
        <f aca="false">C14-C13</f>
        <v>72</v>
      </c>
      <c r="E14" s="54" t="n">
        <f aca="false">C14-152000</f>
        <v>114635</v>
      </c>
      <c r="F14" s="53" t="n">
        <f aca="false">D14/$D$2</f>
        <v>36.2994706327199</v>
      </c>
      <c r="G14" s="53" t="n">
        <v>45</v>
      </c>
      <c r="H14" s="55" t="n">
        <v>1.4</v>
      </c>
      <c r="I14" s="53" t="n">
        <f aca="false">G14+H14</f>
        <v>46.4</v>
      </c>
      <c r="J14" s="75" t="n">
        <f aca="false">IF(L14&gt;0,L14,0)</f>
        <v>33.5994706327199</v>
      </c>
      <c r="K14" s="53" t="n">
        <f aca="false">I14+J14</f>
        <v>79.9994706327199</v>
      </c>
      <c r="L14" s="53" t="n">
        <f aca="false">F14-(I14-W14)</f>
        <v>33.5994706327199</v>
      </c>
      <c r="M14" s="53" t="n">
        <v>3.7</v>
      </c>
      <c r="N14" s="53" t="n">
        <v>0</v>
      </c>
      <c r="O14" s="53" t="n">
        <f aca="false">M14-N14</f>
        <v>3.7</v>
      </c>
      <c r="P14" s="53" t="n">
        <v>0</v>
      </c>
      <c r="Q14" s="53" t="n">
        <v>0</v>
      </c>
      <c r="R14" s="53" t="n">
        <f aca="false">SUM(O14:Q14)</f>
        <v>3.7</v>
      </c>
      <c r="S14" s="54"/>
      <c r="T14" s="53" t="n">
        <v>0</v>
      </c>
      <c r="U14" s="53" t="n">
        <v>40</v>
      </c>
      <c r="V14" s="54" t="n">
        <f aca="false">V13-U14</f>
        <v>2311</v>
      </c>
      <c r="W14" s="53" t="n">
        <f aca="false">R14+T14+N14+U14</f>
        <v>43.7</v>
      </c>
      <c r="X14" s="53" t="n">
        <f aca="false">IF(L14&lt;0,L14*-1,0)</f>
        <v>0</v>
      </c>
      <c r="Y14" s="53" t="n">
        <f aca="false">W14+X14</f>
        <v>43.7</v>
      </c>
      <c r="Z14" s="57" t="n">
        <v>0</v>
      </c>
      <c r="AA14" s="58" t="n">
        <v>42</v>
      </c>
      <c r="AB14" s="58" t="n">
        <v>19</v>
      </c>
      <c r="AC14" s="59" t="n">
        <f aca="false">AC13+1</f>
        <v>5</v>
      </c>
      <c r="AD14" s="89"/>
      <c r="AE14" s="90"/>
      <c r="AF14" s="89"/>
    </row>
    <row r="15" customFormat="false" ht="11.1" hidden="false" customHeight="true" outlineLevel="0" collapsed="false">
      <c r="A15" s="59" t="n">
        <f aca="false">A14+1</f>
        <v>6</v>
      </c>
      <c r="B15" s="74" t="n">
        <v>6895.34</v>
      </c>
      <c r="C15" s="54" t="n">
        <v>266706</v>
      </c>
      <c r="D15" s="58" t="n">
        <f aca="false">C15-C14</f>
        <v>71</v>
      </c>
      <c r="E15" s="54" t="n">
        <f aca="false">C15-152000</f>
        <v>114706</v>
      </c>
      <c r="F15" s="53" t="n">
        <f aca="false">D15/$D$2</f>
        <v>35.7953113183766</v>
      </c>
      <c r="G15" s="53" t="n">
        <v>47</v>
      </c>
      <c r="H15" s="55" t="n">
        <v>1.6</v>
      </c>
      <c r="I15" s="53" t="n">
        <f aca="false">G15+H15</f>
        <v>48.6</v>
      </c>
      <c r="J15" s="75" t="n">
        <f aca="false">IF(L15&gt;0,L15,0)</f>
        <v>30.8953113183766</v>
      </c>
      <c r="K15" s="53" t="n">
        <f aca="false">I15+J15</f>
        <v>79.4953113183766</v>
      </c>
      <c r="L15" s="53" t="n">
        <f aca="false">F15-(I15-W15)</f>
        <v>30.8953113183766</v>
      </c>
      <c r="M15" s="53" t="n">
        <v>3.7</v>
      </c>
      <c r="N15" s="53" t="n">
        <v>0</v>
      </c>
      <c r="O15" s="53" t="n">
        <f aca="false">M15-N15</f>
        <v>3.7</v>
      </c>
      <c r="P15" s="53" t="n">
        <v>0</v>
      </c>
      <c r="Q15" s="53" t="n">
        <v>0</v>
      </c>
      <c r="R15" s="53" t="n">
        <f aca="false">SUM(O15:Q15)</f>
        <v>3.7</v>
      </c>
      <c r="S15" s="54"/>
      <c r="T15" s="53" t="n">
        <v>0</v>
      </c>
      <c r="U15" s="53" t="n">
        <v>40</v>
      </c>
      <c r="V15" s="54" t="n">
        <f aca="false">V14-U15</f>
        <v>2271</v>
      </c>
      <c r="W15" s="53" t="n">
        <f aca="false">R15+T15+N15+U15</f>
        <v>43.7</v>
      </c>
      <c r="X15" s="53" t="n">
        <f aca="false">IF(L15&lt;0,L15*-1,0)</f>
        <v>0</v>
      </c>
      <c r="Y15" s="53" t="n">
        <f aca="false">W15+X15</f>
        <v>43.7</v>
      </c>
      <c r="Z15" s="57" t="n">
        <v>0</v>
      </c>
      <c r="AA15" s="58" t="n">
        <v>46</v>
      </c>
      <c r="AB15" s="58" t="n">
        <v>25</v>
      </c>
      <c r="AC15" s="59" t="n">
        <f aca="false">AC14+1</f>
        <v>6</v>
      </c>
      <c r="AD15" s="88"/>
      <c r="AE15" s="90"/>
      <c r="AF15" s="89"/>
    </row>
    <row r="16" customFormat="false" ht="11.1" hidden="false" customHeight="true" outlineLevel="0" collapsed="false">
      <c r="A16" s="59" t="n">
        <f aca="false">A15+1</f>
        <v>7</v>
      </c>
      <c r="B16" s="74" t="n">
        <v>6895.35</v>
      </c>
      <c r="C16" s="54" t="n">
        <v>266741</v>
      </c>
      <c r="D16" s="58" t="n">
        <f aca="false">C16-C15</f>
        <v>35</v>
      </c>
      <c r="E16" s="54" t="n">
        <f aca="false">C16-152000</f>
        <v>114741</v>
      </c>
      <c r="F16" s="53" t="n">
        <f aca="false">D16/$D$2</f>
        <v>17.6455760020166</v>
      </c>
      <c r="G16" s="53" t="n">
        <v>41</v>
      </c>
      <c r="H16" s="55" t="n">
        <v>1.7</v>
      </c>
      <c r="I16" s="53" t="n">
        <f aca="false">G16+H16</f>
        <v>42.7</v>
      </c>
      <c r="J16" s="75" t="n">
        <f aca="false">IF(L16&gt;0,L16,0)</f>
        <v>18.6455760020166</v>
      </c>
      <c r="K16" s="53" t="n">
        <f aca="false">I16+J16</f>
        <v>61.3455760020166</v>
      </c>
      <c r="L16" s="53" t="n">
        <f aca="false">F16-(I16-W16)</f>
        <v>18.6455760020166</v>
      </c>
      <c r="M16" s="53" t="n">
        <v>3.7</v>
      </c>
      <c r="N16" s="53" t="n">
        <v>0</v>
      </c>
      <c r="O16" s="53" t="n">
        <f aca="false">M16-N16</f>
        <v>3.7</v>
      </c>
      <c r="P16" s="53" t="n">
        <v>0</v>
      </c>
      <c r="Q16" s="53" t="n">
        <v>0</v>
      </c>
      <c r="R16" s="53" t="n">
        <f aca="false">SUM(O16:Q16)</f>
        <v>3.7</v>
      </c>
      <c r="S16" s="54"/>
      <c r="T16" s="53" t="n">
        <v>0</v>
      </c>
      <c r="U16" s="53" t="n">
        <v>40</v>
      </c>
      <c r="V16" s="54" t="n">
        <f aca="false">V15-U16</f>
        <v>2231</v>
      </c>
      <c r="W16" s="53" t="n">
        <f aca="false">R16+T16+N16+U16</f>
        <v>43.7</v>
      </c>
      <c r="X16" s="53" t="n">
        <f aca="false">IF(L16&lt;0,L16*-1,0)</f>
        <v>0</v>
      </c>
      <c r="Y16" s="53" t="n">
        <f aca="false">W16+X16</f>
        <v>43.7</v>
      </c>
      <c r="Z16" s="57" t="n">
        <v>0</v>
      </c>
      <c r="AA16" s="58" t="n">
        <v>50</v>
      </c>
      <c r="AB16" s="58" t="n">
        <v>22</v>
      </c>
      <c r="AC16" s="59" t="n">
        <f aca="false">AC15+1</f>
        <v>7</v>
      </c>
      <c r="AD16" s="88"/>
      <c r="AE16" s="90"/>
      <c r="AF16" s="89"/>
    </row>
    <row r="17" customFormat="false" ht="11.1" hidden="false" customHeight="true" outlineLevel="0" collapsed="false">
      <c r="A17" s="59" t="n">
        <f aca="false">A16+1</f>
        <v>8</v>
      </c>
      <c r="B17" s="74" t="n">
        <v>6895.36</v>
      </c>
      <c r="C17" s="54" t="n">
        <v>266777</v>
      </c>
      <c r="D17" s="58" t="n">
        <f aca="false">C17-C16</f>
        <v>36</v>
      </c>
      <c r="E17" s="54" t="n">
        <f aca="false">C17-152000</f>
        <v>114777</v>
      </c>
      <c r="F17" s="53" t="n">
        <f aca="false">D17/$D$2</f>
        <v>18.14973531636</v>
      </c>
      <c r="G17" s="53" t="n">
        <v>43</v>
      </c>
      <c r="H17" s="55" t="n">
        <v>1.8</v>
      </c>
      <c r="I17" s="53" t="n">
        <f aca="false">G17+H17</f>
        <v>44.8</v>
      </c>
      <c r="J17" s="75" t="n">
        <f aca="false">IF(L17&gt;0,L17,0)</f>
        <v>16.14973531636</v>
      </c>
      <c r="K17" s="53" t="n">
        <f aca="false">I17+J17</f>
        <v>60.94973531636</v>
      </c>
      <c r="L17" s="53" t="n">
        <f aca="false">F17-(I17-W17)</f>
        <v>16.14973531636</v>
      </c>
      <c r="M17" s="53" t="n">
        <v>3.8</v>
      </c>
      <c r="N17" s="53" t="n">
        <v>0</v>
      </c>
      <c r="O17" s="53" t="n">
        <f aca="false">M17-N17</f>
        <v>3.8</v>
      </c>
      <c r="P17" s="53" t="n">
        <v>0</v>
      </c>
      <c r="Q17" s="53" t="n">
        <v>0</v>
      </c>
      <c r="R17" s="53" t="n">
        <f aca="false">SUM(O17:Q17)</f>
        <v>3.8</v>
      </c>
      <c r="S17" s="54"/>
      <c r="T17" s="53" t="n">
        <v>0</v>
      </c>
      <c r="U17" s="53" t="n">
        <v>39</v>
      </c>
      <c r="V17" s="54" t="n">
        <f aca="false">V16-U17</f>
        <v>2192</v>
      </c>
      <c r="W17" s="53" t="n">
        <f aca="false">R17+T17+N17+U17</f>
        <v>42.8</v>
      </c>
      <c r="X17" s="53" t="n">
        <f aca="false">IF(L17&lt;0,L17*-1,0)</f>
        <v>0</v>
      </c>
      <c r="Y17" s="53" t="n">
        <f aca="false">W17+X17</f>
        <v>42.8</v>
      </c>
      <c r="Z17" s="57" t="n">
        <v>0</v>
      </c>
      <c r="AA17" s="58" t="n">
        <v>51</v>
      </c>
      <c r="AB17" s="58" t="n">
        <v>26</v>
      </c>
      <c r="AC17" s="59" t="n">
        <f aca="false">AC16+1</f>
        <v>8</v>
      </c>
      <c r="AD17" s="88"/>
      <c r="AE17" s="90"/>
      <c r="AF17" s="89"/>
    </row>
    <row r="18" customFormat="false" ht="11.1" hidden="false" customHeight="true" outlineLevel="0" collapsed="false">
      <c r="A18" s="59" t="n">
        <f aca="false">A17+1</f>
        <v>9</v>
      </c>
      <c r="B18" s="74" t="n">
        <v>6895.37</v>
      </c>
      <c r="C18" s="54" t="n">
        <v>266812</v>
      </c>
      <c r="D18" s="58" t="n">
        <f aca="false">C18-C17</f>
        <v>35</v>
      </c>
      <c r="E18" s="54" t="n">
        <f aca="false">C18-152000</f>
        <v>114812</v>
      </c>
      <c r="F18" s="53" t="n">
        <f aca="false">D18/$D$2</f>
        <v>17.6455760020166</v>
      </c>
      <c r="G18" s="53" t="n">
        <v>46</v>
      </c>
      <c r="H18" s="55" t="n">
        <v>1.9</v>
      </c>
      <c r="I18" s="53" t="n">
        <f aca="false">G18+H18</f>
        <v>47.9</v>
      </c>
      <c r="J18" s="75" t="n">
        <f aca="false">IF(L18&gt;0,L18,0)</f>
        <v>13.5455760020166</v>
      </c>
      <c r="K18" s="53" t="n">
        <f aca="false">I18+J18</f>
        <v>61.4455760020166</v>
      </c>
      <c r="L18" s="53" t="n">
        <f aca="false">F18-(I18-W18)</f>
        <v>13.5455760020166</v>
      </c>
      <c r="M18" s="53" t="n">
        <v>3.8</v>
      </c>
      <c r="N18" s="53" t="n">
        <v>0</v>
      </c>
      <c r="O18" s="53" t="n">
        <f aca="false">M18-N18</f>
        <v>3.8</v>
      </c>
      <c r="P18" s="53" t="n">
        <v>0</v>
      </c>
      <c r="Q18" s="53" t="n">
        <v>0</v>
      </c>
      <c r="R18" s="53" t="n">
        <f aca="false">SUM(O18:Q18)</f>
        <v>3.8</v>
      </c>
      <c r="S18" s="54"/>
      <c r="T18" s="53" t="n">
        <v>0</v>
      </c>
      <c r="U18" s="53" t="n">
        <v>40</v>
      </c>
      <c r="V18" s="54" t="n">
        <f aca="false">V17-U18</f>
        <v>2152</v>
      </c>
      <c r="W18" s="53" t="n">
        <f aca="false">R18+T18+N18+U18</f>
        <v>43.8</v>
      </c>
      <c r="X18" s="53" t="n">
        <f aca="false">IF(L18&lt;0,L18*-1,0)</f>
        <v>0</v>
      </c>
      <c r="Y18" s="53" t="n">
        <f aca="false">W18+X18</f>
        <v>43.8</v>
      </c>
      <c r="Z18" s="57" t="n">
        <v>0</v>
      </c>
      <c r="AA18" s="83" t="n">
        <v>56</v>
      </c>
      <c r="AB18" s="58" t="n">
        <v>32</v>
      </c>
      <c r="AC18" s="59" t="n">
        <f aca="false">AC17+1</f>
        <v>9</v>
      </c>
      <c r="AD18" s="88"/>
      <c r="AE18" s="90"/>
      <c r="AF18" s="89"/>
    </row>
    <row r="19" customFormat="false" ht="11.1" hidden="false" customHeight="true" outlineLevel="0" collapsed="false">
      <c r="A19" s="59" t="n">
        <f aca="false">A18+1</f>
        <v>10</v>
      </c>
      <c r="B19" s="74" t="n">
        <v>6895.39</v>
      </c>
      <c r="C19" s="54" t="n">
        <v>266884</v>
      </c>
      <c r="D19" s="58" t="n">
        <f aca="false">C19-C18</f>
        <v>72</v>
      </c>
      <c r="E19" s="54" t="n">
        <f aca="false">C19-152000</f>
        <v>114884</v>
      </c>
      <c r="F19" s="53" t="n">
        <f aca="false">D19/$D$2</f>
        <v>36.2994706327199</v>
      </c>
      <c r="G19" s="53" t="n">
        <v>45</v>
      </c>
      <c r="H19" s="55" t="n">
        <v>2</v>
      </c>
      <c r="I19" s="53" t="n">
        <f aca="false">G19+H19</f>
        <v>47</v>
      </c>
      <c r="J19" s="75" t="n">
        <f aca="false">IF(L19&gt;0,L19,0)</f>
        <v>32.9994706327199</v>
      </c>
      <c r="K19" s="53" t="n">
        <f aca="false">I19+J19</f>
        <v>79.9994706327199</v>
      </c>
      <c r="L19" s="53" t="n">
        <f aca="false">F19-(I19-W19)</f>
        <v>32.9994706327199</v>
      </c>
      <c r="M19" s="53" t="n">
        <v>3.7</v>
      </c>
      <c r="N19" s="53" t="n">
        <v>0</v>
      </c>
      <c r="O19" s="53" t="n">
        <f aca="false">M19-N19</f>
        <v>3.7</v>
      </c>
      <c r="P19" s="53" t="n">
        <v>0</v>
      </c>
      <c r="Q19" s="53" t="n">
        <v>0</v>
      </c>
      <c r="R19" s="53" t="n">
        <f aca="false">SUM(O19:Q19)</f>
        <v>3.7</v>
      </c>
      <c r="S19" s="54"/>
      <c r="T19" s="53" t="n">
        <v>0</v>
      </c>
      <c r="U19" s="53" t="n">
        <v>40</v>
      </c>
      <c r="V19" s="54" t="n">
        <f aca="false">V18-U19</f>
        <v>2112</v>
      </c>
      <c r="W19" s="53" t="n">
        <f aca="false">R19+T19+N19+U19</f>
        <v>43.7</v>
      </c>
      <c r="X19" s="53" t="n">
        <f aca="false">IF(L19&lt;0,L19*-1,0)</f>
        <v>0</v>
      </c>
      <c r="Y19" s="53" t="n">
        <f aca="false">W19+X19</f>
        <v>43.7</v>
      </c>
      <c r="Z19" s="57" t="n">
        <v>0.04</v>
      </c>
      <c r="AA19" s="58" t="n">
        <v>43</v>
      </c>
      <c r="AB19" s="58" t="n">
        <v>21</v>
      </c>
      <c r="AC19" s="59" t="n">
        <f aca="false">AC18+1</f>
        <v>10</v>
      </c>
      <c r="AD19" s="88"/>
      <c r="AE19" s="90"/>
      <c r="AF19" s="89"/>
    </row>
    <row r="20" customFormat="false" ht="11.1" hidden="false" customHeight="true" outlineLevel="0" collapsed="false">
      <c r="A20" s="59" t="n">
        <f aca="false">A19+1</f>
        <v>11</v>
      </c>
      <c r="B20" s="74" t="n">
        <v>6895.4</v>
      </c>
      <c r="C20" s="54" t="n">
        <v>266919</v>
      </c>
      <c r="D20" s="58" t="n">
        <f aca="false">C20-C19</f>
        <v>35</v>
      </c>
      <c r="E20" s="54" t="n">
        <f aca="false">C20-152000</f>
        <v>114919</v>
      </c>
      <c r="F20" s="53" t="n">
        <f aca="false">D20/$D$2</f>
        <v>17.6455760020166</v>
      </c>
      <c r="G20" s="53" t="n">
        <v>43</v>
      </c>
      <c r="H20" s="55" t="n">
        <v>2.3</v>
      </c>
      <c r="I20" s="53" t="n">
        <f aca="false">G20+H20</f>
        <v>45.3</v>
      </c>
      <c r="J20" s="75" t="n">
        <f aca="false">IF(L20&gt;0,L20,0)</f>
        <v>16.0455760020166</v>
      </c>
      <c r="K20" s="53" t="n">
        <f aca="false">I20+J20</f>
        <v>61.3455760020166</v>
      </c>
      <c r="L20" s="53" t="n">
        <f aca="false">F20-(I20-W20)</f>
        <v>16.0455760020166</v>
      </c>
      <c r="M20" s="53" t="n">
        <v>3.7</v>
      </c>
      <c r="N20" s="53" t="n">
        <v>0</v>
      </c>
      <c r="O20" s="53" t="n">
        <f aca="false">M20-N20</f>
        <v>3.7</v>
      </c>
      <c r="P20" s="53" t="n">
        <v>0</v>
      </c>
      <c r="Q20" s="53" t="n">
        <v>0</v>
      </c>
      <c r="R20" s="53" t="n">
        <f aca="false">SUM(O20:Q20)</f>
        <v>3.7</v>
      </c>
      <c r="S20" s="54"/>
      <c r="T20" s="53" t="n">
        <v>0</v>
      </c>
      <c r="U20" s="53" t="n">
        <v>40</v>
      </c>
      <c r="V20" s="54" t="n">
        <f aca="false">V19-U20</f>
        <v>2072</v>
      </c>
      <c r="W20" s="53" t="n">
        <f aca="false">R20+T20+N20+U20</f>
        <v>43.7</v>
      </c>
      <c r="X20" s="53" t="n">
        <f aca="false">IF(L20&lt;0,L20*-1,0)</f>
        <v>0</v>
      </c>
      <c r="Y20" s="53" t="n">
        <f aca="false">W20+X20</f>
        <v>43.7</v>
      </c>
      <c r="Z20" s="57" t="n">
        <v>0</v>
      </c>
      <c r="AA20" s="58" t="n">
        <v>29</v>
      </c>
      <c r="AB20" s="58" t="n">
        <v>6</v>
      </c>
      <c r="AC20" s="59" t="n">
        <f aca="false">AC19+1</f>
        <v>11</v>
      </c>
      <c r="AD20" s="88"/>
      <c r="AE20" s="90"/>
      <c r="AF20" s="89"/>
    </row>
    <row r="21" customFormat="false" ht="11.1" hidden="false" customHeight="true" outlineLevel="0" collapsed="false">
      <c r="A21" s="59" t="n">
        <f aca="false">A20+1</f>
        <v>12</v>
      </c>
      <c r="B21" s="74" t="n">
        <v>6895.41</v>
      </c>
      <c r="C21" s="54" t="n">
        <v>266955</v>
      </c>
      <c r="D21" s="58" t="n">
        <f aca="false">C21-C20</f>
        <v>36</v>
      </c>
      <c r="E21" s="54" t="n">
        <f aca="false">C21-152000</f>
        <v>114955</v>
      </c>
      <c r="F21" s="53" t="n">
        <f aca="false">D21/$D$2</f>
        <v>18.14973531636</v>
      </c>
      <c r="G21" s="53" t="n">
        <v>42</v>
      </c>
      <c r="H21" s="55" t="n">
        <v>2.4</v>
      </c>
      <c r="I21" s="53" t="n">
        <f aca="false">G21+H21</f>
        <v>44.4</v>
      </c>
      <c r="J21" s="75" t="n">
        <f aca="false">IF(L21&gt;0,L21,0)</f>
        <v>17.44973531636</v>
      </c>
      <c r="K21" s="53" t="n">
        <f aca="false">I21+J21</f>
        <v>61.84973531636</v>
      </c>
      <c r="L21" s="53" t="n">
        <f aca="false">F21-(I21-W21)</f>
        <v>17.44973531636</v>
      </c>
      <c r="M21" s="53" t="n">
        <v>3.7</v>
      </c>
      <c r="N21" s="53" t="n">
        <v>0</v>
      </c>
      <c r="O21" s="53" t="n">
        <f aca="false">M21-N21</f>
        <v>3.7</v>
      </c>
      <c r="P21" s="53" t="n">
        <v>0</v>
      </c>
      <c r="Q21" s="53" t="n">
        <v>0</v>
      </c>
      <c r="R21" s="53" t="n">
        <f aca="false">SUM(O21:Q21)</f>
        <v>3.7</v>
      </c>
      <c r="S21" s="54"/>
      <c r="T21" s="53" t="n">
        <v>0</v>
      </c>
      <c r="U21" s="53" t="n">
        <v>40</v>
      </c>
      <c r="V21" s="54" t="n">
        <f aca="false">V20-U21</f>
        <v>2032</v>
      </c>
      <c r="W21" s="53" t="n">
        <f aca="false">R21+T21+N21+U21</f>
        <v>43.7</v>
      </c>
      <c r="X21" s="53" t="n">
        <f aca="false">IF(L21&lt;0,L21*-1,0)</f>
        <v>0</v>
      </c>
      <c r="Y21" s="53" t="n">
        <f aca="false">W21+X21</f>
        <v>43.7</v>
      </c>
      <c r="Z21" s="57" t="n">
        <v>0</v>
      </c>
      <c r="AA21" s="58" t="n">
        <v>38</v>
      </c>
      <c r="AB21" s="58" t="n">
        <v>15</v>
      </c>
      <c r="AC21" s="59" t="n">
        <f aca="false">AC20+1</f>
        <v>12</v>
      </c>
      <c r="AD21" s="88"/>
      <c r="AE21" s="90"/>
      <c r="AF21" s="89"/>
    </row>
    <row r="22" customFormat="false" ht="11.1" hidden="false" customHeight="true" outlineLevel="0" collapsed="false">
      <c r="A22" s="59" t="n">
        <f aca="false">A21+1</f>
        <v>13</v>
      </c>
      <c r="B22" s="74" t="n">
        <v>6895.42</v>
      </c>
      <c r="C22" s="54" t="n">
        <v>266990</v>
      </c>
      <c r="D22" s="58" t="n">
        <f aca="false">C22-C21</f>
        <v>35</v>
      </c>
      <c r="E22" s="54" t="n">
        <f aca="false">C22-152000</f>
        <v>114990</v>
      </c>
      <c r="F22" s="53" t="n">
        <f aca="false">D22/$D$2</f>
        <v>17.6455760020166</v>
      </c>
      <c r="G22" s="53" t="n">
        <v>40</v>
      </c>
      <c r="H22" s="55" t="n">
        <v>2.3</v>
      </c>
      <c r="I22" s="53" t="n">
        <f aca="false">G22+H22</f>
        <v>42.3</v>
      </c>
      <c r="J22" s="75" t="n">
        <f aca="false">IF(L22&gt;0,L22,0)</f>
        <v>19.0455760020166</v>
      </c>
      <c r="K22" s="53" t="n">
        <f aca="false">I22+J22</f>
        <v>61.3455760020166</v>
      </c>
      <c r="L22" s="53" t="n">
        <f aca="false">F22-(I22-W22)</f>
        <v>19.0455760020166</v>
      </c>
      <c r="M22" s="53" t="n">
        <v>3.7</v>
      </c>
      <c r="N22" s="53" t="n">
        <v>0</v>
      </c>
      <c r="O22" s="53" t="n">
        <f aca="false">M22-N22</f>
        <v>3.7</v>
      </c>
      <c r="P22" s="53" t="n">
        <v>0</v>
      </c>
      <c r="Q22" s="53" t="n">
        <v>0</v>
      </c>
      <c r="R22" s="53" t="n">
        <f aca="false">SUM(O22:Q22)</f>
        <v>3.7</v>
      </c>
      <c r="S22" s="54"/>
      <c r="T22" s="53" t="n">
        <v>0</v>
      </c>
      <c r="U22" s="53" t="n">
        <v>40</v>
      </c>
      <c r="V22" s="54" t="n">
        <f aca="false">V21-U22</f>
        <v>1992</v>
      </c>
      <c r="W22" s="53" t="n">
        <f aca="false">R22+T22+N22+U22</f>
        <v>43.7</v>
      </c>
      <c r="X22" s="53" t="n">
        <f aca="false">IF(L22&lt;0,L22*-1,0)</f>
        <v>0</v>
      </c>
      <c r="Y22" s="53" t="n">
        <f aca="false">W22+X22</f>
        <v>43.7</v>
      </c>
      <c r="Z22" s="57" t="n">
        <v>0</v>
      </c>
      <c r="AA22" s="58" t="n">
        <v>62</v>
      </c>
      <c r="AB22" s="58" t="n">
        <v>20</v>
      </c>
      <c r="AC22" s="59" t="n">
        <f aca="false">AC21+1</f>
        <v>13</v>
      </c>
      <c r="AD22" s="88"/>
      <c r="AE22" s="90"/>
      <c r="AF22" s="89"/>
    </row>
    <row r="23" customFormat="false" ht="11.1" hidden="false" customHeight="true" outlineLevel="0" collapsed="false">
      <c r="A23" s="59" t="n">
        <f aca="false">A22+1</f>
        <v>14</v>
      </c>
      <c r="B23" s="74" t="n">
        <v>6895.43</v>
      </c>
      <c r="C23" s="54" t="n">
        <v>267026</v>
      </c>
      <c r="D23" s="58" t="n">
        <f aca="false">C23-C22</f>
        <v>36</v>
      </c>
      <c r="E23" s="54" t="n">
        <f aca="false">C23-152000</f>
        <v>115026</v>
      </c>
      <c r="F23" s="53" t="n">
        <f aca="false">D23/$D$2</f>
        <v>18.14973531636</v>
      </c>
      <c r="G23" s="53" t="n">
        <v>42</v>
      </c>
      <c r="H23" s="55" t="n">
        <v>2.2</v>
      </c>
      <c r="I23" s="53" t="n">
        <f aca="false">G23+H23</f>
        <v>44.2</v>
      </c>
      <c r="J23" s="75" t="n">
        <f aca="false">IF(L23&gt;0,L23,0)</f>
        <v>17.64973531636</v>
      </c>
      <c r="K23" s="53" t="n">
        <f aca="false">I23+J23</f>
        <v>61.84973531636</v>
      </c>
      <c r="L23" s="53" t="n">
        <f aca="false">F23-(I23-W23)</f>
        <v>17.64973531636</v>
      </c>
      <c r="M23" s="53" t="n">
        <v>3.7</v>
      </c>
      <c r="N23" s="53" t="n">
        <v>0</v>
      </c>
      <c r="O23" s="53" t="n">
        <f aca="false">M23-N23</f>
        <v>3.7</v>
      </c>
      <c r="P23" s="53" t="n">
        <v>0</v>
      </c>
      <c r="Q23" s="53" t="n">
        <v>0</v>
      </c>
      <c r="R23" s="53" t="n">
        <f aca="false">SUM(O23:Q23)</f>
        <v>3.7</v>
      </c>
      <c r="S23" s="54"/>
      <c r="T23" s="53" t="n">
        <v>0</v>
      </c>
      <c r="U23" s="53" t="n">
        <v>40</v>
      </c>
      <c r="V23" s="54" t="n">
        <f aca="false">V22-U23</f>
        <v>1952</v>
      </c>
      <c r="W23" s="53" t="n">
        <f aca="false">R23+T23+N23+U23</f>
        <v>43.7</v>
      </c>
      <c r="X23" s="53" t="n">
        <f aca="false">IF(L23&lt;0,L23*-1,0)</f>
        <v>0</v>
      </c>
      <c r="Y23" s="53" t="n">
        <f aca="false">W23+X23</f>
        <v>43.7</v>
      </c>
      <c r="Z23" s="57" t="n">
        <v>0</v>
      </c>
      <c r="AA23" s="83" t="n">
        <v>55</v>
      </c>
      <c r="AB23" s="58" t="n">
        <v>29</v>
      </c>
      <c r="AC23" s="59" t="n">
        <f aca="false">AC22+1</f>
        <v>14</v>
      </c>
      <c r="AD23" s="88"/>
      <c r="AE23" s="90"/>
      <c r="AF23" s="89"/>
    </row>
    <row r="24" customFormat="false" ht="11.1" hidden="false" customHeight="true" outlineLevel="0" collapsed="false">
      <c r="A24" s="59" t="n">
        <f aca="false">A23+1</f>
        <v>15</v>
      </c>
      <c r="B24" s="74" t="n">
        <v>6895.44</v>
      </c>
      <c r="C24" s="54" t="n">
        <v>267062</v>
      </c>
      <c r="D24" s="58" t="n">
        <f aca="false">C24-C23</f>
        <v>36</v>
      </c>
      <c r="E24" s="54" t="n">
        <f aca="false">C24-152000</f>
        <v>115062</v>
      </c>
      <c r="F24" s="53" t="n">
        <f aca="false">D24/$D$2</f>
        <v>18.14973531636</v>
      </c>
      <c r="G24" s="53" t="n">
        <v>43</v>
      </c>
      <c r="H24" s="55" t="n">
        <v>2.1</v>
      </c>
      <c r="I24" s="53" t="n">
        <f aca="false">G24+H24</f>
        <v>45.1</v>
      </c>
      <c r="J24" s="75" t="n">
        <f aca="false">IF(L24&gt;0,L24,0)</f>
        <v>16.74973531636</v>
      </c>
      <c r="K24" s="53" t="n">
        <f aca="false">I24+J24</f>
        <v>61.84973531636</v>
      </c>
      <c r="L24" s="53" t="n">
        <f aca="false">F24-(I24-W24)</f>
        <v>16.74973531636</v>
      </c>
      <c r="M24" s="53" t="n">
        <v>3.7</v>
      </c>
      <c r="N24" s="53" t="n">
        <v>0</v>
      </c>
      <c r="O24" s="53" t="n">
        <f aca="false">M24-N24</f>
        <v>3.7</v>
      </c>
      <c r="P24" s="53" t="n">
        <v>0</v>
      </c>
      <c r="Q24" s="53" t="n">
        <v>0</v>
      </c>
      <c r="R24" s="53" t="n">
        <f aca="false">SUM(O24:Q24)</f>
        <v>3.7</v>
      </c>
      <c r="S24" s="54"/>
      <c r="T24" s="53" t="n">
        <v>0</v>
      </c>
      <c r="U24" s="53" t="n">
        <v>40</v>
      </c>
      <c r="V24" s="54" t="n">
        <f aca="false">V23-U24</f>
        <v>1912</v>
      </c>
      <c r="W24" s="53" t="n">
        <f aca="false">R24+T24+N24+U24</f>
        <v>43.7</v>
      </c>
      <c r="X24" s="53" t="n">
        <f aca="false">IF(L24&lt;0,L24*-1,0)</f>
        <v>0</v>
      </c>
      <c r="Y24" s="53" t="n">
        <f aca="false">W24+X24</f>
        <v>43.7</v>
      </c>
      <c r="Z24" s="57" t="n">
        <v>0</v>
      </c>
      <c r="AA24" s="83" t="n">
        <v>53</v>
      </c>
      <c r="AB24" s="58" t="n">
        <v>28</v>
      </c>
      <c r="AC24" s="59" t="n">
        <f aca="false">AC23+1</f>
        <v>15</v>
      </c>
      <c r="AD24" s="88"/>
      <c r="AE24" s="90"/>
      <c r="AF24" s="89"/>
    </row>
    <row r="25" customFormat="false" ht="11.1" hidden="false" customHeight="true" outlineLevel="0" collapsed="false">
      <c r="A25" s="59" t="n">
        <f aca="false">A24+1</f>
        <v>16</v>
      </c>
      <c r="B25" s="74" t="n">
        <v>6895.45</v>
      </c>
      <c r="C25" s="54" t="n">
        <v>267097</v>
      </c>
      <c r="D25" s="58" t="n">
        <f aca="false">C25-C24</f>
        <v>35</v>
      </c>
      <c r="E25" s="54" t="n">
        <f aca="false">C25-152000</f>
        <v>115097</v>
      </c>
      <c r="F25" s="53" t="n">
        <f aca="false">D25/$D$2</f>
        <v>17.6455760020166</v>
      </c>
      <c r="G25" s="53" t="n">
        <v>47</v>
      </c>
      <c r="H25" s="55" t="n">
        <v>2.2</v>
      </c>
      <c r="I25" s="53" t="n">
        <f aca="false">G25+H25</f>
        <v>49.2</v>
      </c>
      <c r="J25" s="75" t="n">
        <f aca="false">IF(L25&gt;0,L25,0)</f>
        <v>12.3455760020166</v>
      </c>
      <c r="K25" s="53" t="n">
        <f aca="false">I25+J25</f>
        <v>61.5455760020166</v>
      </c>
      <c r="L25" s="53" t="n">
        <f aca="false">F25-(I25-W25)</f>
        <v>12.3455760020166</v>
      </c>
      <c r="M25" s="53" t="n">
        <v>3.9</v>
      </c>
      <c r="N25" s="53" t="n">
        <v>0</v>
      </c>
      <c r="O25" s="53" t="n">
        <f aca="false">M25-N25</f>
        <v>3.9</v>
      </c>
      <c r="P25" s="53" t="n">
        <v>0</v>
      </c>
      <c r="Q25" s="53" t="n">
        <v>0</v>
      </c>
      <c r="R25" s="53" t="n">
        <f aca="false">SUM(O25:Q25)</f>
        <v>3.9</v>
      </c>
      <c r="S25" s="54"/>
      <c r="T25" s="53" t="n">
        <v>0</v>
      </c>
      <c r="U25" s="53" t="n">
        <v>40</v>
      </c>
      <c r="V25" s="54" t="n">
        <f aca="false">V24-U25</f>
        <v>1872</v>
      </c>
      <c r="W25" s="53" t="n">
        <f aca="false">R25+T25+N25+U25</f>
        <v>43.9</v>
      </c>
      <c r="X25" s="53" t="n">
        <f aca="false">IF(L25&lt;0,L25*-1,0)</f>
        <v>0</v>
      </c>
      <c r="Y25" s="53" t="n">
        <f aca="false">W25+X25</f>
        <v>43.9</v>
      </c>
      <c r="Z25" s="57" t="n">
        <v>0</v>
      </c>
      <c r="AA25" s="83" t="n">
        <v>51</v>
      </c>
      <c r="AB25" s="58" t="n">
        <v>19</v>
      </c>
      <c r="AC25" s="59" t="n">
        <f aca="false">AC24+1</f>
        <v>16</v>
      </c>
      <c r="AD25" s="88"/>
      <c r="AE25" s="91"/>
      <c r="AF25" s="89"/>
    </row>
    <row r="26" customFormat="false" ht="11.1" hidden="false" customHeight="true" outlineLevel="0" collapsed="false">
      <c r="A26" s="59" t="n">
        <f aca="false">A25+1</f>
        <v>17</v>
      </c>
      <c r="B26" s="74" t="n">
        <v>6895.47</v>
      </c>
      <c r="C26" s="54" t="n">
        <v>267168</v>
      </c>
      <c r="D26" s="58" t="n">
        <f aca="false">C26-C25</f>
        <v>71</v>
      </c>
      <c r="E26" s="54" t="n">
        <f aca="false">C26-152000</f>
        <v>115168</v>
      </c>
      <c r="F26" s="53" t="n">
        <f aca="false">D26/$D$2</f>
        <v>35.7953113183766</v>
      </c>
      <c r="G26" s="53" t="n">
        <v>49</v>
      </c>
      <c r="H26" s="55" t="n">
        <v>2.2</v>
      </c>
      <c r="I26" s="53" t="n">
        <f aca="false">G26+H26</f>
        <v>51.2</v>
      </c>
      <c r="J26" s="75" t="n">
        <f aca="false">IF(L26&gt;0,L26,0)</f>
        <v>28.6953113183766</v>
      </c>
      <c r="K26" s="53" t="n">
        <f aca="false">I26+J26</f>
        <v>79.8953113183766</v>
      </c>
      <c r="L26" s="53" t="n">
        <f aca="false">F26-(I26-W26)</f>
        <v>28.6953113183766</v>
      </c>
      <c r="M26" s="53" t="n">
        <v>4.1</v>
      </c>
      <c r="N26" s="53" t="n">
        <v>0</v>
      </c>
      <c r="O26" s="53" t="n">
        <f aca="false">M26-N26</f>
        <v>4.1</v>
      </c>
      <c r="P26" s="53" t="n">
        <v>0</v>
      </c>
      <c r="Q26" s="53" t="n">
        <v>0</v>
      </c>
      <c r="R26" s="53" t="n">
        <f aca="false">SUM(O26:Q26)</f>
        <v>4.1</v>
      </c>
      <c r="S26" s="54"/>
      <c r="T26" s="53" t="n">
        <v>0</v>
      </c>
      <c r="U26" s="53" t="n">
        <v>40</v>
      </c>
      <c r="V26" s="54" t="n">
        <f aca="false">V25-U26</f>
        <v>1832</v>
      </c>
      <c r="W26" s="53" t="n">
        <f aca="false">R26+T26+N26+U26</f>
        <v>44.1</v>
      </c>
      <c r="X26" s="53" t="n">
        <f aca="false">IF(L26&lt;0,L26*-1,0)</f>
        <v>0</v>
      </c>
      <c r="Y26" s="53" t="n">
        <f aca="false">W26+X26</f>
        <v>44.1</v>
      </c>
      <c r="Z26" s="57" t="n">
        <v>0</v>
      </c>
      <c r="AA26" s="83" t="n">
        <v>50</v>
      </c>
      <c r="AB26" s="58" t="n">
        <v>21</v>
      </c>
      <c r="AC26" s="59" t="n">
        <f aca="false">AC25+1</f>
        <v>17</v>
      </c>
      <c r="AD26" s="88"/>
      <c r="AE26" s="90"/>
      <c r="AF26" s="89"/>
    </row>
    <row r="27" customFormat="false" ht="11.1" hidden="false" customHeight="true" outlineLevel="0" collapsed="false">
      <c r="A27" s="59" t="n">
        <f aca="false">A26+1</f>
        <v>18</v>
      </c>
      <c r="B27" s="74" t="n">
        <v>6895.49</v>
      </c>
      <c r="C27" s="54" t="n">
        <v>267240</v>
      </c>
      <c r="D27" s="58" t="n">
        <f aca="false">C27-C26</f>
        <v>72</v>
      </c>
      <c r="E27" s="54" t="n">
        <f aca="false">C27-152000</f>
        <v>115240</v>
      </c>
      <c r="F27" s="53" t="n">
        <f aca="false">D27/$D$2</f>
        <v>36.2994706327199</v>
      </c>
      <c r="G27" s="53" t="n">
        <v>50</v>
      </c>
      <c r="H27" s="55" t="n">
        <v>2</v>
      </c>
      <c r="I27" s="53" t="n">
        <f aca="false">G27+H27</f>
        <v>52</v>
      </c>
      <c r="J27" s="75" t="n">
        <f aca="false">IF(L27&gt;0,L27,0)</f>
        <v>28.3994706327199</v>
      </c>
      <c r="K27" s="53" t="n">
        <f aca="false">I27+J27</f>
        <v>80.3994706327199</v>
      </c>
      <c r="L27" s="53" t="n">
        <f aca="false">F27-(I27-W27)</f>
        <v>28.3994706327199</v>
      </c>
      <c r="M27" s="53" t="n">
        <v>4.1</v>
      </c>
      <c r="N27" s="53" t="n">
        <v>0</v>
      </c>
      <c r="O27" s="53" t="n">
        <f aca="false">M27-N27</f>
        <v>4.1</v>
      </c>
      <c r="P27" s="53" t="n">
        <v>0</v>
      </c>
      <c r="Q27" s="53" t="n">
        <v>0</v>
      </c>
      <c r="R27" s="53" t="n">
        <f aca="false">SUM(O27:Q27)</f>
        <v>4.1</v>
      </c>
      <c r="S27" s="54"/>
      <c r="T27" s="53" t="n">
        <v>0</v>
      </c>
      <c r="U27" s="53" t="n">
        <v>40</v>
      </c>
      <c r="V27" s="54" t="n">
        <f aca="false">V26-U27</f>
        <v>1792</v>
      </c>
      <c r="W27" s="53" t="n">
        <f aca="false">R27+T27+N27+U27</f>
        <v>44.1</v>
      </c>
      <c r="X27" s="53" t="n">
        <f aca="false">IF(L27&lt;0,L27*-1,0)</f>
        <v>0</v>
      </c>
      <c r="Y27" s="53" t="n">
        <f aca="false">W27+X27</f>
        <v>44.1</v>
      </c>
      <c r="Z27" s="93" t="n">
        <v>0</v>
      </c>
      <c r="AA27" s="83" t="n">
        <v>52</v>
      </c>
      <c r="AB27" s="58" t="n">
        <v>26</v>
      </c>
      <c r="AC27" s="59" t="n">
        <f aca="false">AC26+1</f>
        <v>18</v>
      </c>
      <c r="AD27" s="88"/>
      <c r="AE27" s="90"/>
      <c r="AF27" s="89"/>
    </row>
    <row r="28" customFormat="false" ht="11.1" hidden="false" customHeight="true" outlineLevel="0" collapsed="false">
      <c r="A28" s="59" t="n">
        <f aca="false">A27+1</f>
        <v>19</v>
      </c>
      <c r="B28" s="74" t="n">
        <v>6895.5</v>
      </c>
      <c r="C28" s="94" t="n">
        <v>267275</v>
      </c>
      <c r="D28" s="58" t="n">
        <f aca="false">C28-C27</f>
        <v>35</v>
      </c>
      <c r="E28" s="54" t="n">
        <f aca="false">C28-152000</f>
        <v>115275</v>
      </c>
      <c r="F28" s="53" t="n">
        <f aca="false">D28/$D$2</f>
        <v>17.6455760020166</v>
      </c>
      <c r="G28" s="53" t="n">
        <v>50</v>
      </c>
      <c r="H28" s="55" t="n">
        <v>2.1</v>
      </c>
      <c r="I28" s="53" t="n">
        <f aca="false">G28+H28</f>
        <v>52.1</v>
      </c>
      <c r="J28" s="75" t="n">
        <f aca="false">IF(L28&gt;0,L28,0)</f>
        <v>9.64557600201664</v>
      </c>
      <c r="K28" s="53" t="n">
        <f aca="false">I28+J28</f>
        <v>61.7455760020166</v>
      </c>
      <c r="L28" s="53" t="n">
        <f aca="false">F28-(I28-W28)</f>
        <v>9.64557600201664</v>
      </c>
      <c r="M28" s="53" t="n">
        <v>4.1</v>
      </c>
      <c r="N28" s="53" t="n">
        <v>0</v>
      </c>
      <c r="O28" s="53" t="n">
        <f aca="false">M28-N28</f>
        <v>4.1</v>
      </c>
      <c r="P28" s="53" t="n">
        <v>0</v>
      </c>
      <c r="Q28" s="53" t="n">
        <v>0</v>
      </c>
      <c r="R28" s="53" t="n">
        <f aca="false">SUM(O28:Q28)</f>
        <v>4.1</v>
      </c>
      <c r="S28" s="54"/>
      <c r="T28" s="53" t="n">
        <v>0</v>
      </c>
      <c r="U28" s="53" t="n">
        <v>40</v>
      </c>
      <c r="V28" s="54" t="n">
        <f aca="false">V27-U28</f>
        <v>1752</v>
      </c>
      <c r="W28" s="53" t="n">
        <f aca="false">R28+T28+N28+U28</f>
        <v>44.1</v>
      </c>
      <c r="X28" s="53" t="n">
        <f aca="false">IF(L28&lt;0,L28*-1,0)</f>
        <v>0</v>
      </c>
      <c r="Y28" s="53" t="n">
        <f aca="false">W28+X28</f>
        <v>44.1</v>
      </c>
      <c r="Z28" s="57" t="n">
        <v>0</v>
      </c>
      <c r="AA28" s="83" t="n">
        <v>53</v>
      </c>
      <c r="AB28" s="58" t="n">
        <v>14</v>
      </c>
      <c r="AC28" s="59" t="n">
        <f aca="false">AC27+1</f>
        <v>19</v>
      </c>
      <c r="AD28" s="88"/>
      <c r="AE28" s="90"/>
      <c r="AF28" s="89"/>
    </row>
    <row r="29" customFormat="false" ht="11.1" hidden="false" customHeight="true" outlineLevel="0" collapsed="false">
      <c r="A29" s="59" t="n">
        <f aca="false">A28+1</f>
        <v>20</v>
      </c>
      <c r="B29" s="74" t="n">
        <v>6895.51</v>
      </c>
      <c r="C29" s="54" t="n">
        <v>267311</v>
      </c>
      <c r="D29" s="58" t="n">
        <f aca="false">C29-C28</f>
        <v>36</v>
      </c>
      <c r="E29" s="54" t="n">
        <f aca="false">C29-152000</f>
        <v>115311</v>
      </c>
      <c r="F29" s="53" t="n">
        <f aca="false">D29/$D$2</f>
        <v>18.14973531636</v>
      </c>
      <c r="G29" s="53" t="n">
        <v>52</v>
      </c>
      <c r="H29" s="55" t="n">
        <v>2.3</v>
      </c>
      <c r="I29" s="53" t="n">
        <f aca="false">G29+H29</f>
        <v>54.3</v>
      </c>
      <c r="J29" s="75" t="n">
        <f aca="false">IF(L29&gt;0,L29,0)</f>
        <v>7.94973531635997</v>
      </c>
      <c r="K29" s="53" t="n">
        <f aca="false">I29+J29</f>
        <v>62.24973531636</v>
      </c>
      <c r="L29" s="53" t="n">
        <f aca="false">F29-(I29-W29)</f>
        <v>7.94973531635997</v>
      </c>
      <c r="M29" s="53" t="n">
        <v>4.1</v>
      </c>
      <c r="N29" s="53" t="n">
        <v>0</v>
      </c>
      <c r="O29" s="53" t="n">
        <f aca="false">M29-N29</f>
        <v>4.1</v>
      </c>
      <c r="P29" s="53" t="n">
        <v>0</v>
      </c>
      <c r="Q29" s="53" t="n">
        <v>0</v>
      </c>
      <c r="R29" s="53" t="n">
        <f aca="false">SUM(O29:Q29)</f>
        <v>4.1</v>
      </c>
      <c r="S29" s="54"/>
      <c r="T29" s="53" t="n">
        <v>0</v>
      </c>
      <c r="U29" s="53" t="n">
        <v>40</v>
      </c>
      <c r="V29" s="54" t="n">
        <f aca="false">V28-U29</f>
        <v>1712</v>
      </c>
      <c r="W29" s="53" t="n">
        <f aca="false">R29+T29+N29+U29</f>
        <v>44.1</v>
      </c>
      <c r="X29" s="53" t="n">
        <f aca="false">IF(L29&lt;0,L29*-1,0)</f>
        <v>0</v>
      </c>
      <c r="Y29" s="53" t="n">
        <f aca="false">W29+X29</f>
        <v>44.1</v>
      </c>
      <c r="Z29" s="57" t="n">
        <v>0</v>
      </c>
      <c r="AA29" s="83" t="n">
        <v>51</v>
      </c>
      <c r="AB29" s="58" t="n">
        <v>20</v>
      </c>
      <c r="AC29" s="59" t="n">
        <f aca="false">AC28+1</f>
        <v>20</v>
      </c>
      <c r="AD29" s="88"/>
      <c r="AE29" s="90"/>
      <c r="AF29" s="89"/>
    </row>
    <row r="30" customFormat="false" ht="11.1" hidden="false" customHeight="true" outlineLevel="0" collapsed="false">
      <c r="A30" s="59" t="n">
        <f aca="false">A29+1</f>
        <v>21</v>
      </c>
      <c r="B30" s="74" t="n">
        <v>6895.52</v>
      </c>
      <c r="C30" s="54" t="n">
        <v>267346</v>
      </c>
      <c r="D30" s="58" t="n">
        <f aca="false">C30-C29</f>
        <v>35</v>
      </c>
      <c r="E30" s="54" t="n">
        <f aca="false">C30-152000</f>
        <v>115346</v>
      </c>
      <c r="F30" s="53" t="n">
        <f aca="false">D30/$D$2</f>
        <v>17.6455760020166</v>
      </c>
      <c r="G30" s="53" t="n">
        <v>47</v>
      </c>
      <c r="H30" s="55" t="n">
        <v>2.6</v>
      </c>
      <c r="I30" s="53" t="n">
        <f aca="false">G30+H30</f>
        <v>49.6</v>
      </c>
      <c r="J30" s="75" t="n">
        <f aca="false">IF(L30&gt;0,L30,0)</f>
        <v>12.1455760020166</v>
      </c>
      <c r="K30" s="53" t="n">
        <f aca="false">I30+J30</f>
        <v>61.7455760020166</v>
      </c>
      <c r="L30" s="53" t="n">
        <f aca="false">F30-(I30-W30)</f>
        <v>12.1455760020166</v>
      </c>
      <c r="M30" s="53" t="n">
        <v>4.1</v>
      </c>
      <c r="N30" s="53" t="n">
        <v>0</v>
      </c>
      <c r="O30" s="53" t="n">
        <f aca="false">M30-N30</f>
        <v>4.1</v>
      </c>
      <c r="P30" s="53" t="n">
        <v>0</v>
      </c>
      <c r="Q30" s="53" t="n">
        <v>0</v>
      </c>
      <c r="R30" s="53" t="n">
        <f aca="false">SUM(O30:Q30)</f>
        <v>4.1</v>
      </c>
      <c r="S30" s="54"/>
      <c r="T30" s="53" t="n">
        <v>0</v>
      </c>
      <c r="U30" s="53" t="n">
        <v>40</v>
      </c>
      <c r="V30" s="54" t="n">
        <f aca="false">V29-U30</f>
        <v>1672</v>
      </c>
      <c r="W30" s="53" t="n">
        <f aca="false">R30+T30+N30+U30</f>
        <v>44.1</v>
      </c>
      <c r="X30" s="53" t="n">
        <f aca="false">IF(L30&lt;0,L30*-1,0)</f>
        <v>0</v>
      </c>
      <c r="Y30" s="53" t="n">
        <f aca="false">W30+X30</f>
        <v>44.1</v>
      </c>
      <c r="Z30" s="57" t="n">
        <v>0</v>
      </c>
      <c r="AA30" s="58" t="n">
        <v>53</v>
      </c>
      <c r="AB30" s="58" t="n">
        <v>19</v>
      </c>
      <c r="AC30" s="59" t="n">
        <f aca="false">AC29+1</f>
        <v>21</v>
      </c>
      <c r="AD30" s="88"/>
      <c r="AE30" s="90"/>
      <c r="AF30" s="89"/>
    </row>
    <row r="31" customFormat="false" ht="11.1" hidden="false" customHeight="true" outlineLevel="0" collapsed="false">
      <c r="A31" s="59" t="n">
        <f aca="false">A30+1</f>
        <v>22</v>
      </c>
      <c r="B31" s="74" t="n">
        <v>6895.54</v>
      </c>
      <c r="C31" s="54" t="n">
        <v>267418</v>
      </c>
      <c r="D31" s="58" t="n">
        <f aca="false">C31-C30</f>
        <v>72</v>
      </c>
      <c r="E31" s="54" t="n">
        <f aca="false">C31-152000</f>
        <v>115418</v>
      </c>
      <c r="F31" s="53" t="n">
        <f aca="false">D31/$D$2</f>
        <v>36.2994706327199</v>
      </c>
      <c r="G31" s="53" t="n">
        <v>47</v>
      </c>
      <c r="H31" s="55" t="n">
        <v>2.6</v>
      </c>
      <c r="I31" s="53" t="n">
        <f aca="false">G31+H31</f>
        <v>49.6</v>
      </c>
      <c r="J31" s="75" t="n">
        <f aca="false">IF(L31&gt;0,L31,0)</f>
        <v>30.7994706327199</v>
      </c>
      <c r="K31" s="53" t="n">
        <f aca="false">I31+J31</f>
        <v>80.3994706327199</v>
      </c>
      <c r="L31" s="53" t="n">
        <f aca="false">F31-(I31-W31)</f>
        <v>30.7994706327199</v>
      </c>
      <c r="M31" s="53" t="n">
        <v>4.1</v>
      </c>
      <c r="N31" s="53" t="n">
        <v>0</v>
      </c>
      <c r="O31" s="53" t="n">
        <f aca="false">M31-N31</f>
        <v>4.1</v>
      </c>
      <c r="P31" s="53" t="n">
        <v>0</v>
      </c>
      <c r="Q31" s="53" t="n">
        <v>0</v>
      </c>
      <c r="R31" s="53" t="n">
        <f aca="false">SUM(O31:Q31)</f>
        <v>4.1</v>
      </c>
      <c r="S31" s="54"/>
      <c r="T31" s="53" t="n">
        <v>0</v>
      </c>
      <c r="U31" s="53" t="n">
        <v>40</v>
      </c>
      <c r="V31" s="54" t="n">
        <f aca="false">V30-U31</f>
        <v>1632</v>
      </c>
      <c r="W31" s="53" t="n">
        <f aca="false">R31+T31+N31+U31</f>
        <v>44.1</v>
      </c>
      <c r="X31" s="53" t="n">
        <f aca="false">IF(L31&lt;0,L31*-1,0)</f>
        <v>0</v>
      </c>
      <c r="Y31" s="53" t="n">
        <f aca="false">W31+X31</f>
        <v>44.1</v>
      </c>
      <c r="Z31" s="57" t="n">
        <v>0</v>
      </c>
      <c r="AA31" s="58" t="n">
        <v>37</v>
      </c>
      <c r="AB31" s="58" t="n">
        <v>15</v>
      </c>
      <c r="AC31" s="59" t="n">
        <f aca="false">AC30+1</f>
        <v>22</v>
      </c>
      <c r="AD31" s="88"/>
      <c r="AE31" s="90"/>
      <c r="AF31" s="89"/>
    </row>
    <row r="32" customFormat="false" ht="11.1" hidden="false" customHeight="true" outlineLevel="0" collapsed="false">
      <c r="A32" s="59" t="n">
        <f aca="false">A31+1</f>
        <v>23</v>
      </c>
      <c r="B32" s="74" t="n">
        <v>6895.55</v>
      </c>
      <c r="C32" s="54" t="n">
        <v>267453</v>
      </c>
      <c r="D32" s="58" t="n">
        <f aca="false">C32-C31</f>
        <v>35</v>
      </c>
      <c r="E32" s="54" t="n">
        <f aca="false">C32-152000</f>
        <v>115453</v>
      </c>
      <c r="F32" s="53" t="n">
        <f aca="false">D32/$D$2</f>
        <v>17.6455760020166</v>
      </c>
      <c r="G32" s="53" t="n">
        <v>49</v>
      </c>
      <c r="H32" s="55" t="n">
        <v>2.5</v>
      </c>
      <c r="I32" s="53" t="n">
        <f aca="false">G32+H32</f>
        <v>51.5</v>
      </c>
      <c r="J32" s="75" t="n">
        <f aca="false">IF(L32&gt;0,L32,0)</f>
        <v>10.2455760020166</v>
      </c>
      <c r="K32" s="53" t="n">
        <f aca="false">I32+J32</f>
        <v>61.7455760020166</v>
      </c>
      <c r="L32" s="53" t="n">
        <f aca="false">F32-(I32-W32)</f>
        <v>10.2455760020166</v>
      </c>
      <c r="M32" s="53" t="n">
        <v>4.1</v>
      </c>
      <c r="N32" s="53" t="n">
        <v>0</v>
      </c>
      <c r="O32" s="53" t="n">
        <f aca="false">M32-N32</f>
        <v>4.1</v>
      </c>
      <c r="P32" s="53" t="n">
        <v>0</v>
      </c>
      <c r="Q32" s="53" t="n">
        <v>0</v>
      </c>
      <c r="R32" s="53" t="n">
        <f aca="false">SUM(O32:Q32)</f>
        <v>4.1</v>
      </c>
      <c r="S32" s="54"/>
      <c r="T32" s="53" t="n">
        <v>0</v>
      </c>
      <c r="U32" s="53" t="n">
        <v>40</v>
      </c>
      <c r="V32" s="54" t="n">
        <f aca="false">V31-U32</f>
        <v>1592</v>
      </c>
      <c r="W32" s="53" t="n">
        <f aca="false">R32+T32+N32+U32</f>
        <v>44.1</v>
      </c>
      <c r="X32" s="53" t="n">
        <f aca="false">IF(L32&lt;0,L32*-1,0)</f>
        <v>0</v>
      </c>
      <c r="Y32" s="53" t="n">
        <f aca="false">W32+X32</f>
        <v>44.1</v>
      </c>
      <c r="Z32" s="57" t="n">
        <v>0</v>
      </c>
      <c r="AA32" s="58" t="n">
        <v>50</v>
      </c>
      <c r="AB32" s="83" t="n">
        <v>19</v>
      </c>
      <c r="AC32" s="59" t="n">
        <f aca="false">AC31+1</f>
        <v>23</v>
      </c>
      <c r="AD32" s="88"/>
      <c r="AE32" s="90"/>
      <c r="AF32" s="89"/>
    </row>
    <row r="33" customFormat="false" ht="11.1" hidden="false" customHeight="true" outlineLevel="0" collapsed="false">
      <c r="A33" s="59" t="n">
        <f aca="false">A32+1</f>
        <v>24</v>
      </c>
      <c r="B33" s="74" t="n">
        <v>6895.57</v>
      </c>
      <c r="C33" s="54" t="n">
        <v>267524</v>
      </c>
      <c r="D33" s="58" t="n">
        <f aca="false">C33-C32</f>
        <v>71</v>
      </c>
      <c r="E33" s="54" t="n">
        <f aca="false">C33-152000</f>
        <v>115524</v>
      </c>
      <c r="F33" s="53" t="n">
        <f aca="false">D33/$D$2</f>
        <v>35.7953113183766</v>
      </c>
      <c r="G33" s="53" t="n">
        <v>52</v>
      </c>
      <c r="H33" s="55" t="n">
        <v>2.6</v>
      </c>
      <c r="I33" s="53" t="n">
        <f aca="false">G33+H33</f>
        <v>54.6</v>
      </c>
      <c r="J33" s="75" t="n">
        <f aca="false">IF(L33&gt;0,L33,0)</f>
        <v>25.2953113183766</v>
      </c>
      <c r="K33" s="53" t="n">
        <f aca="false">I33+J33</f>
        <v>79.8953113183766</v>
      </c>
      <c r="L33" s="53" t="n">
        <f aca="false">F33-(I33-W33)</f>
        <v>25.2953113183766</v>
      </c>
      <c r="M33" s="53" t="n">
        <v>4.1</v>
      </c>
      <c r="N33" s="53" t="n">
        <v>0</v>
      </c>
      <c r="O33" s="53" t="n">
        <f aca="false">M33-N33</f>
        <v>4.1</v>
      </c>
      <c r="P33" s="53" t="n">
        <v>0</v>
      </c>
      <c r="Q33" s="53" t="n">
        <v>0</v>
      </c>
      <c r="R33" s="53" t="n">
        <f aca="false">SUM(O33:Q33)</f>
        <v>4.1</v>
      </c>
      <c r="S33" s="54"/>
      <c r="T33" s="53" t="n">
        <v>0</v>
      </c>
      <c r="U33" s="53" t="n">
        <v>40</v>
      </c>
      <c r="V33" s="54" t="n">
        <f aca="false">V32-U33</f>
        <v>1552</v>
      </c>
      <c r="W33" s="53" t="n">
        <f aca="false">R33+T33+N33+U33</f>
        <v>44.1</v>
      </c>
      <c r="X33" s="53" t="n">
        <f aca="false">IF(L33&lt;0,L33*-1,0)</f>
        <v>0</v>
      </c>
      <c r="Y33" s="53" t="n">
        <f aca="false">W33+X33</f>
        <v>44.1</v>
      </c>
      <c r="Z33" s="57" t="n">
        <v>0</v>
      </c>
      <c r="AA33" s="58" t="n">
        <v>59</v>
      </c>
      <c r="AB33" s="83" t="n">
        <v>24</v>
      </c>
      <c r="AC33" s="59" t="n">
        <f aca="false">AC32+1</f>
        <v>24</v>
      </c>
      <c r="AD33" s="88"/>
      <c r="AE33" s="90"/>
      <c r="AF33" s="89"/>
    </row>
    <row r="34" customFormat="false" ht="11.1" hidden="false" customHeight="true" outlineLevel="0" collapsed="false">
      <c r="A34" s="59" t="n">
        <f aca="false">A33+1</f>
        <v>25</v>
      </c>
      <c r="B34" s="74" t="n">
        <v>6895.6</v>
      </c>
      <c r="C34" s="54" t="n">
        <v>267631</v>
      </c>
      <c r="D34" s="58" t="n">
        <f aca="false">C34-C33</f>
        <v>107</v>
      </c>
      <c r="E34" s="54" t="n">
        <f aca="false">C34-152000</f>
        <v>115631</v>
      </c>
      <c r="F34" s="53" t="n">
        <f aca="false">D34/$D$2</f>
        <v>53.9450466347366</v>
      </c>
      <c r="G34" s="53" t="n">
        <v>60</v>
      </c>
      <c r="H34" s="55" t="n">
        <v>2.9</v>
      </c>
      <c r="I34" s="53" t="n">
        <f aca="false">G34+H34</f>
        <v>62.9</v>
      </c>
      <c r="J34" s="75" t="n">
        <f aca="false">IF(L34&gt;0,L34,0)</f>
        <v>36.1450466347366</v>
      </c>
      <c r="K34" s="53" t="n">
        <f aca="false">I34+J34</f>
        <v>99.0450466347366</v>
      </c>
      <c r="L34" s="53" t="n">
        <f aca="false">F34-(I34-W34)</f>
        <v>36.1450466347366</v>
      </c>
      <c r="M34" s="53" t="n">
        <v>4.1</v>
      </c>
      <c r="N34" s="53" t="n">
        <v>0</v>
      </c>
      <c r="O34" s="53" t="n">
        <f aca="false">M34-N34</f>
        <v>4.1</v>
      </c>
      <c r="P34" s="53" t="n">
        <v>0</v>
      </c>
      <c r="Q34" s="53" t="n">
        <v>0</v>
      </c>
      <c r="R34" s="53" t="n">
        <f aca="false">SUM(O34:Q34)</f>
        <v>4.1</v>
      </c>
      <c r="S34" s="54"/>
      <c r="T34" s="53" t="n">
        <v>0</v>
      </c>
      <c r="U34" s="53" t="n">
        <v>41</v>
      </c>
      <c r="V34" s="54" t="n">
        <f aca="false">V33-U34</f>
        <v>1511</v>
      </c>
      <c r="W34" s="53" t="n">
        <f aca="false">R34+T34+N34+U34</f>
        <v>45.1</v>
      </c>
      <c r="X34" s="53" t="n">
        <f aca="false">IF(L34&lt;0,L34*-1,0)</f>
        <v>0</v>
      </c>
      <c r="Y34" s="53" t="n">
        <f aca="false">W34+X34</f>
        <v>45.1</v>
      </c>
      <c r="Z34" s="57" t="n">
        <v>0</v>
      </c>
      <c r="AA34" s="58" t="n">
        <v>58</v>
      </c>
      <c r="AB34" s="83" t="n">
        <v>31</v>
      </c>
      <c r="AC34" s="59" t="n">
        <f aca="false">AC33+1</f>
        <v>25</v>
      </c>
      <c r="AD34" s="88"/>
      <c r="AE34" s="90"/>
      <c r="AF34" s="89"/>
    </row>
    <row r="35" customFormat="false" ht="11.1" hidden="false" customHeight="true" outlineLevel="0" collapsed="false">
      <c r="A35" s="59" t="n">
        <f aca="false">A34+1</f>
        <v>26</v>
      </c>
      <c r="B35" s="74" t="n">
        <v>6895.65</v>
      </c>
      <c r="C35" s="54" t="n">
        <v>267809</v>
      </c>
      <c r="D35" s="58" t="n">
        <f aca="false">C35-C34</f>
        <v>178</v>
      </c>
      <c r="E35" s="54" t="n">
        <f aca="false">C35-152000</f>
        <v>115809</v>
      </c>
      <c r="F35" s="53" t="n">
        <f aca="false">D35/$D$2</f>
        <v>89.7403579531132</v>
      </c>
      <c r="G35" s="53" t="n">
        <v>63</v>
      </c>
      <c r="H35" s="55" t="n">
        <v>3.5</v>
      </c>
      <c r="I35" s="53" t="n">
        <f aca="false">G35+H35</f>
        <v>66.5</v>
      </c>
      <c r="J35" s="75" t="n">
        <f aca="false">IF(L35&gt;0,L35,0)</f>
        <v>67.3403579531132</v>
      </c>
      <c r="K35" s="53" t="n">
        <f aca="false">I35+J35</f>
        <v>133.840357953113</v>
      </c>
      <c r="L35" s="53" t="n">
        <f aca="false">F35-(I35-W35)</f>
        <v>67.3403579531132</v>
      </c>
      <c r="M35" s="53" t="n">
        <v>4.1</v>
      </c>
      <c r="N35" s="53" t="n">
        <v>0</v>
      </c>
      <c r="O35" s="53" t="n">
        <f aca="false">M35-N35</f>
        <v>4.1</v>
      </c>
      <c r="P35" s="53" t="n">
        <v>0</v>
      </c>
      <c r="Q35" s="53" t="n">
        <v>0</v>
      </c>
      <c r="R35" s="53" t="n">
        <f aca="false">SUM(O35:Q35)</f>
        <v>4.1</v>
      </c>
      <c r="S35" s="54"/>
      <c r="T35" s="53" t="n">
        <v>0</v>
      </c>
      <c r="U35" s="53" t="n">
        <v>40</v>
      </c>
      <c r="V35" s="54" t="n">
        <f aca="false">V34-U35</f>
        <v>1471</v>
      </c>
      <c r="W35" s="53" t="n">
        <f aca="false">R35+T35+N35+U35</f>
        <v>44.1</v>
      </c>
      <c r="X35" s="53" t="n">
        <f aca="false">IF(L35&lt;0,L35*-1,0)</f>
        <v>0</v>
      </c>
      <c r="Y35" s="53" t="n">
        <f aca="false">W35+X35</f>
        <v>44.1</v>
      </c>
      <c r="Z35" s="57" t="n">
        <v>0</v>
      </c>
      <c r="AA35" s="58" t="n">
        <v>51</v>
      </c>
      <c r="AB35" s="58" t="n">
        <v>17</v>
      </c>
      <c r="AC35" s="59" t="n">
        <f aca="false">AC34+1</f>
        <v>26</v>
      </c>
      <c r="AD35" s="88"/>
      <c r="AE35" s="90"/>
      <c r="AF35" s="89"/>
    </row>
    <row r="36" customFormat="false" ht="11.1" hidden="false" customHeight="true" outlineLevel="0" collapsed="false">
      <c r="A36" s="59" t="n">
        <f aca="false">A35+1</f>
        <v>27</v>
      </c>
      <c r="B36" s="74" t="n">
        <v>6895.68</v>
      </c>
      <c r="C36" s="54" t="n">
        <v>267916</v>
      </c>
      <c r="D36" s="58" t="n">
        <f aca="false">C36-C35</f>
        <v>107</v>
      </c>
      <c r="E36" s="54" t="n">
        <f aca="false">C36-152000</f>
        <v>115916</v>
      </c>
      <c r="F36" s="53" t="n">
        <f aca="false">D36/$D$2</f>
        <v>53.9450466347366</v>
      </c>
      <c r="G36" s="53" t="n">
        <v>63</v>
      </c>
      <c r="H36" s="55" t="n">
        <v>3.7</v>
      </c>
      <c r="I36" s="53" t="n">
        <f aca="false">G36+H36</f>
        <v>66.7</v>
      </c>
      <c r="J36" s="75" t="n">
        <f aca="false">IF(L36&gt;0,L36,0)</f>
        <v>31.3450466347366</v>
      </c>
      <c r="K36" s="53" t="n">
        <f aca="false">I36+J36</f>
        <v>98.0450466347366</v>
      </c>
      <c r="L36" s="53" t="n">
        <f aca="false">F36-(I36-W36)</f>
        <v>31.3450466347366</v>
      </c>
      <c r="M36" s="53" t="n">
        <v>4.1</v>
      </c>
      <c r="N36" s="53" t="n">
        <v>0</v>
      </c>
      <c r="O36" s="53" t="n">
        <f aca="false">M36-N36</f>
        <v>4.1</v>
      </c>
      <c r="P36" s="53" t="n">
        <v>0</v>
      </c>
      <c r="Q36" s="53" t="n">
        <v>0</v>
      </c>
      <c r="R36" s="53" t="n">
        <f aca="false">SUM(O36:Q36)</f>
        <v>4.1</v>
      </c>
      <c r="S36" s="54"/>
      <c r="T36" s="53" t="n">
        <v>0</v>
      </c>
      <c r="U36" s="53" t="n">
        <v>40</v>
      </c>
      <c r="V36" s="54" t="n">
        <f aca="false">V35-U36</f>
        <v>1431</v>
      </c>
      <c r="W36" s="53" t="n">
        <f aca="false">R36+T36+N36+U36</f>
        <v>44.1</v>
      </c>
      <c r="X36" s="53" t="n">
        <f aca="false">IF(L36&lt;0,L36*-1,0)</f>
        <v>0</v>
      </c>
      <c r="Y36" s="53" t="n">
        <f aca="false">W36+X36</f>
        <v>44.1</v>
      </c>
      <c r="Z36" s="57" t="n">
        <v>0</v>
      </c>
      <c r="AA36" s="58" t="n">
        <v>55</v>
      </c>
      <c r="AB36" s="58" t="n">
        <v>21</v>
      </c>
      <c r="AC36" s="59" t="n">
        <f aca="false">AC35+1</f>
        <v>27</v>
      </c>
      <c r="AD36" s="88"/>
      <c r="AE36" s="90"/>
      <c r="AF36" s="89"/>
    </row>
    <row r="37" customFormat="false" ht="11.1" hidden="false" customHeight="true" outlineLevel="0" collapsed="false">
      <c r="A37" s="59" t="n">
        <v>28</v>
      </c>
      <c r="B37" s="74" t="n">
        <v>6895.77</v>
      </c>
      <c r="C37" s="54" t="n">
        <v>268236</v>
      </c>
      <c r="D37" s="58" t="n">
        <f aca="false">C37-C35</f>
        <v>427</v>
      </c>
      <c r="E37" s="54" t="n">
        <f aca="false">C37-152000</f>
        <v>116236</v>
      </c>
      <c r="F37" s="53" t="n">
        <f aca="false">D37/$D$2</f>
        <v>215.276027224603</v>
      </c>
      <c r="G37" s="53" t="n">
        <v>64</v>
      </c>
      <c r="H37" s="55" t="n">
        <v>3.7</v>
      </c>
      <c r="I37" s="53" t="n">
        <f aca="false">G37+H37</f>
        <v>67.7</v>
      </c>
      <c r="J37" s="75" t="n">
        <f aca="false">IF(L37&gt;0,L37,0)</f>
        <v>191.676027224603</v>
      </c>
      <c r="K37" s="53" t="n">
        <f aca="false">I37+J37</f>
        <v>259.376027224603</v>
      </c>
      <c r="L37" s="53" t="n">
        <f aca="false">F37-(I37-W37)</f>
        <v>191.676027224603</v>
      </c>
      <c r="M37" s="53" t="n">
        <v>4.1</v>
      </c>
      <c r="N37" s="53" t="n">
        <v>0</v>
      </c>
      <c r="O37" s="53" t="n">
        <f aca="false">M37-N37</f>
        <v>4.1</v>
      </c>
      <c r="P37" s="53" t="n">
        <v>0</v>
      </c>
      <c r="Q37" s="53" t="n">
        <v>0</v>
      </c>
      <c r="R37" s="53" t="n">
        <f aca="false">SUM(O37:Q37)</f>
        <v>4.1</v>
      </c>
      <c r="S37" s="54"/>
      <c r="T37" s="53" t="n">
        <v>0</v>
      </c>
      <c r="U37" s="53" t="n">
        <v>40</v>
      </c>
      <c r="V37" s="54" t="n">
        <f aca="false">V35-U37</f>
        <v>1431</v>
      </c>
      <c r="W37" s="53" t="n">
        <f aca="false">R37+T37+N37+U37</f>
        <v>44.1</v>
      </c>
      <c r="X37" s="53" t="n">
        <f aca="false">IF(L37&lt;0,L37*-1,0)</f>
        <v>0</v>
      </c>
      <c r="Y37" s="53" t="n">
        <f aca="false">W37+X37</f>
        <v>44.1</v>
      </c>
      <c r="Z37" s="57" t="n">
        <v>0</v>
      </c>
      <c r="AA37" s="58" t="n">
        <v>60</v>
      </c>
      <c r="AB37" s="58" t="n">
        <v>24</v>
      </c>
      <c r="AC37" s="59" t="n">
        <v>28</v>
      </c>
      <c r="AD37" s="88"/>
      <c r="AE37" s="90"/>
      <c r="AF37" s="89"/>
    </row>
    <row r="38" customFormat="false" ht="3" hidden="false" customHeight="true" outlineLevel="0" collapsed="false">
      <c r="A38" s="76"/>
      <c r="B38" s="76"/>
      <c r="C38" s="78"/>
      <c r="D38" s="76"/>
      <c r="E38" s="78"/>
      <c r="F38" s="76"/>
      <c r="G38" s="76"/>
      <c r="H38" s="79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8"/>
      <c r="T38" s="76"/>
      <c r="U38" s="76"/>
      <c r="V38" s="76"/>
      <c r="W38" s="76"/>
      <c r="X38" s="76"/>
      <c r="Y38" s="76"/>
      <c r="Z38" s="80"/>
      <c r="AA38" s="81"/>
      <c r="AB38" s="81"/>
      <c r="AC38" s="82"/>
      <c r="AD38" s="88"/>
      <c r="AE38" s="88"/>
      <c r="AF38" s="89"/>
    </row>
    <row r="39" customFormat="false" ht="11.1" hidden="false" customHeight="true" outlineLevel="0" collapsed="false">
      <c r="A39" s="53" t="s">
        <v>45</v>
      </c>
      <c r="B39" s="53"/>
      <c r="C39" s="54"/>
      <c r="D39" s="54"/>
      <c r="E39" s="54"/>
      <c r="F39" s="54" t="n">
        <f aca="false">SUM(F10:F37)</f>
        <v>1076.88429543736</v>
      </c>
      <c r="G39" s="54" t="n">
        <f aca="false">SUM(G10:G37)</f>
        <v>1329</v>
      </c>
      <c r="H39" s="54" t="n">
        <f aca="false">SUM(H10:H37)</f>
        <v>61.9</v>
      </c>
      <c r="I39" s="54" t="n">
        <f aca="false">SUM(I10:I37)</f>
        <v>1390.9</v>
      </c>
      <c r="J39" s="54" t="n">
        <f aca="false">SUM(J10:J37)</f>
        <v>911.784295437358</v>
      </c>
      <c r="K39" s="54" t="n">
        <f aca="false">SUM(K10:K37)</f>
        <v>2302.68429543736</v>
      </c>
      <c r="L39" s="54" t="n">
        <f aca="false">SUM(L10:L37)</f>
        <v>911.784295437358</v>
      </c>
      <c r="M39" s="54" t="n">
        <f aca="false">SUM(M10:M37)</f>
        <v>108.8</v>
      </c>
      <c r="N39" s="54" t="n">
        <f aca="false">SUM(N10:N37)</f>
        <v>0</v>
      </c>
      <c r="O39" s="54" t="n">
        <f aca="false">SUM(O10:O37)</f>
        <v>108.8</v>
      </c>
      <c r="P39" s="54" t="n">
        <f aca="false">SUM(P10:P37)</f>
        <v>0</v>
      </c>
      <c r="Q39" s="54" t="n">
        <f aca="false">SUM(Q10:Q37)</f>
        <v>0</v>
      </c>
      <c r="R39" s="54" t="n">
        <f aca="false">SUM(R10:R37)</f>
        <v>108.8</v>
      </c>
      <c r="S39" s="54"/>
      <c r="T39" s="54" t="n">
        <f aca="false">SUM(T10:T37)</f>
        <v>0</v>
      </c>
      <c r="U39" s="54" t="n">
        <f aca="false">SUM(U10:U37)</f>
        <v>1117</v>
      </c>
      <c r="V39" s="54"/>
      <c r="W39" s="54" t="n">
        <f aca="false">SUM(W10:W37)</f>
        <v>1225.8</v>
      </c>
      <c r="X39" s="54" t="n">
        <f aca="false">SUM(X10:X37)</f>
        <v>0</v>
      </c>
      <c r="Y39" s="54" t="n">
        <f aca="false">SUM(Y10:Y37)</f>
        <v>1225.8</v>
      </c>
      <c r="Z39" s="57" t="n">
        <f aca="false">SUM(Z10:Z37)</f>
        <v>0.48</v>
      </c>
      <c r="AA39" s="58" t="n">
        <f aca="false">AVERAGE(AA10:AA37)</f>
        <v>49.6785714285714</v>
      </c>
      <c r="AB39" s="58" t="n">
        <f aca="false">AVERAGE(AB10:AB37)</f>
        <v>21.6071428571429</v>
      </c>
      <c r="AC39" s="59"/>
      <c r="AD39" s="88"/>
      <c r="AE39" s="88"/>
      <c r="AF39" s="89"/>
    </row>
    <row r="40" customFormat="false" ht="11.1" hidden="false" customHeight="true" outlineLevel="0" collapsed="false">
      <c r="A40" s="53" t="s">
        <v>46</v>
      </c>
      <c r="B40" s="53"/>
      <c r="C40" s="54"/>
      <c r="D40" s="54" t="n">
        <f aca="false">SUM(D10:D37)</f>
        <v>2136</v>
      </c>
      <c r="E40" s="54"/>
      <c r="F40" s="54" t="n">
        <f aca="false">F39*$D$2</f>
        <v>2136</v>
      </c>
      <c r="G40" s="54" t="n">
        <f aca="false">G39*$D$2</f>
        <v>2636.0715</v>
      </c>
      <c r="H40" s="54" t="n">
        <f aca="false">H39*$D$2</f>
        <v>122.77865</v>
      </c>
      <c r="I40" s="54" t="n">
        <f aca="false">I39*$D$2</f>
        <v>2758.85015</v>
      </c>
      <c r="J40" s="54" t="n">
        <f aca="false">J39*$D$2</f>
        <v>1808.52415</v>
      </c>
      <c r="K40" s="54" t="n">
        <f aca="false">K39*$D$2</f>
        <v>4567.3743</v>
      </c>
      <c r="L40" s="54" t="n">
        <f aca="false">L39*$D$2</f>
        <v>1808.52415</v>
      </c>
      <c r="M40" s="54" t="n">
        <f aca="false">M39*$D$2</f>
        <v>215.8048</v>
      </c>
      <c r="N40" s="54" t="n">
        <f aca="false">N39*$D$2</f>
        <v>0</v>
      </c>
      <c r="O40" s="54" t="n">
        <f aca="false">O39*$D$2</f>
        <v>215.8048</v>
      </c>
      <c r="P40" s="54" t="n">
        <f aca="false">P39*$D$2</f>
        <v>0</v>
      </c>
      <c r="Q40" s="54" t="n">
        <f aca="false">Q39*$D$2</f>
        <v>0</v>
      </c>
      <c r="R40" s="54" t="n">
        <f aca="false">R39*$D$2</f>
        <v>215.8048</v>
      </c>
      <c r="S40" s="54"/>
      <c r="T40" s="54" t="n">
        <f aca="false">T39*$D$2</f>
        <v>0</v>
      </c>
      <c r="U40" s="54" t="n">
        <f aca="false">U39*$D$2</f>
        <v>2215.5695</v>
      </c>
      <c r="V40" s="54" t="n">
        <f aca="false">V39*$D$2</f>
        <v>0</v>
      </c>
      <c r="W40" s="54" t="n">
        <f aca="false">W39*$D$2</f>
        <v>2431.3743</v>
      </c>
      <c r="X40" s="54" t="n">
        <f aca="false">X39*$D$2</f>
        <v>0</v>
      </c>
      <c r="Y40" s="54" t="n">
        <f aca="false">Y39*$D$2</f>
        <v>2431.3743</v>
      </c>
      <c r="Z40" s="57"/>
      <c r="AA40" s="58" t="n">
        <f aca="false">MAX(AA10:AA37)</f>
        <v>62</v>
      </c>
      <c r="AB40" s="58" t="n">
        <f aca="false">MAX(AB10:AB37)</f>
        <v>32</v>
      </c>
      <c r="AC40" s="59" t="s">
        <v>47</v>
      </c>
      <c r="AD40" s="88"/>
      <c r="AE40" s="88"/>
      <c r="AF40" s="89"/>
    </row>
    <row r="41" customFormat="false" ht="3" hidden="false" customHeight="true" outlineLevel="0" collapsed="false">
      <c r="A41" s="76"/>
      <c r="B41" s="76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6"/>
      <c r="W41" s="78"/>
      <c r="X41" s="78"/>
      <c r="Y41" s="78"/>
      <c r="Z41" s="57"/>
      <c r="AA41" s="58"/>
      <c r="AB41" s="58"/>
      <c r="AC41" s="59"/>
      <c r="AD41" s="88"/>
      <c r="AE41" s="88"/>
      <c r="AF41" s="89"/>
    </row>
    <row r="42" customFormat="false" ht="11.1" hidden="false" customHeight="true" outlineLevel="0" collapsed="false">
      <c r="A42" s="53" t="s">
        <v>48</v>
      </c>
      <c r="B42" s="53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7"/>
      <c r="AA42" s="58" t="n">
        <f aca="false">MIN(AA10:AA37)</f>
        <v>29</v>
      </c>
      <c r="AB42" s="58" t="n">
        <f aca="false">MIN(AB10:AB37)</f>
        <v>6</v>
      </c>
      <c r="AC42" s="59" t="s">
        <v>49</v>
      </c>
      <c r="AD42" s="88"/>
      <c r="AE42" s="88"/>
      <c r="AF42" s="89"/>
    </row>
    <row r="43" customFormat="false" ht="11.1" hidden="false" customHeight="true" outlineLevel="0" collapsed="false">
      <c r="A43" s="53" t="s">
        <v>50</v>
      </c>
      <c r="B43" s="53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7"/>
      <c r="AA43" s="58"/>
      <c r="AB43" s="58"/>
      <c r="AC43" s="59"/>
      <c r="AD43" s="88"/>
      <c r="AE43" s="88"/>
      <c r="AF43" s="89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81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80"/>
      <c r="AA44" s="58"/>
      <c r="AB44" s="58"/>
      <c r="AC44" s="59"/>
      <c r="AD44" s="88"/>
      <c r="AE44" s="88"/>
      <c r="AF44" s="89"/>
    </row>
    <row r="45" customFormat="false" ht="11.1" hidden="false" customHeight="true" outlineLevel="0" collapsed="false">
      <c r="A45" s="53" t="s">
        <v>51</v>
      </c>
      <c r="B45" s="53"/>
      <c r="C45" s="54"/>
      <c r="D45" s="54"/>
      <c r="E45" s="54"/>
      <c r="F45" s="54" t="n">
        <f aca="false">F8+F39</f>
        <v>5100.57978321149</v>
      </c>
      <c r="G45" s="54" t="n">
        <f aca="false">G8+G39</f>
        <v>8278</v>
      </c>
      <c r="H45" s="58" t="n">
        <f aca="false">H8+H39</f>
        <v>227.8</v>
      </c>
      <c r="I45" s="54" t="n">
        <f aca="false">I8+I39</f>
        <v>8500.7</v>
      </c>
      <c r="J45" s="54" t="n">
        <f aca="false">J8+J39</f>
        <v>2577.47630451223</v>
      </c>
      <c r="K45" s="54" t="n">
        <f aca="false">K8+K39</f>
        <v>11080.8809931939</v>
      </c>
      <c r="L45" s="54" t="n">
        <f aca="false">L8+L39</f>
        <v>2103.07978321149</v>
      </c>
      <c r="M45" s="54" t="n">
        <f aca="false">M8+M39</f>
        <v>671</v>
      </c>
      <c r="N45" s="54" t="n">
        <f aca="false">N8+N39</f>
        <v>0</v>
      </c>
      <c r="O45" s="54" t="n">
        <f aca="false">O8+O39</f>
        <v>385.4</v>
      </c>
      <c r="P45" s="54" t="n">
        <f aca="false">P8+P39</f>
        <v>0</v>
      </c>
      <c r="Q45" s="54" t="n">
        <f aca="false">Q8+Q39</f>
        <v>75.2</v>
      </c>
      <c r="R45" s="54" t="n">
        <f aca="false">R8+R39</f>
        <v>691.0225</v>
      </c>
      <c r="S45" s="54"/>
      <c r="T45" s="54" t="n">
        <f aca="false">T8+T39</f>
        <v>0</v>
      </c>
      <c r="U45" s="54" t="n">
        <f aca="false">U8+U39</f>
        <v>4757</v>
      </c>
      <c r="V45" s="54" t="n">
        <f aca="false">V37</f>
        <v>1431</v>
      </c>
      <c r="W45" s="54" t="n">
        <f aca="false">W8+W39</f>
        <v>5503.2</v>
      </c>
      <c r="X45" s="54" t="n">
        <f aca="false">X8+X39</f>
        <v>474.396521300731</v>
      </c>
      <c r="Y45" s="54" t="n">
        <f aca="false">Y8+Y39</f>
        <v>5977.59652130073</v>
      </c>
      <c r="Z45" s="75" t="n">
        <f aca="false">Z8+Z39</f>
        <v>4.87</v>
      </c>
      <c r="AA45" s="58"/>
      <c r="AB45" s="58"/>
      <c r="AC45" s="59"/>
      <c r="AD45" s="88"/>
      <c r="AE45" s="88"/>
      <c r="AF45" s="89"/>
    </row>
    <row r="46" customFormat="false" ht="11.1" hidden="false" customHeight="true" outlineLevel="0" collapsed="false">
      <c r="A46" s="53" t="s">
        <v>52</v>
      </c>
      <c r="B46" s="53"/>
      <c r="C46" s="54"/>
      <c r="D46" s="54" t="n">
        <f aca="false">D8+D40</f>
        <v>10117</v>
      </c>
      <c r="E46" s="54" t="n">
        <f aca="false">E37</f>
        <v>116236</v>
      </c>
      <c r="F46" s="54" t="n">
        <f aca="false">F45*$D$2</f>
        <v>10117</v>
      </c>
      <c r="G46" s="54" t="n">
        <f aca="false">G45*$D$2</f>
        <v>16419.413</v>
      </c>
      <c r="H46" s="58" t="n">
        <f aca="false">H45*$D$2</f>
        <v>451.8413</v>
      </c>
      <c r="I46" s="54" t="n">
        <f aca="false">I45*$D$2</f>
        <v>16861.13845</v>
      </c>
      <c r="J46" s="54" t="n">
        <f aca="false">J45*$D$2</f>
        <v>5112.42425</v>
      </c>
      <c r="K46" s="54" t="n">
        <f aca="false">K45*$D$2</f>
        <v>21978.92745</v>
      </c>
      <c r="L46" s="54" t="n">
        <f aca="false">L45*$D$2</f>
        <v>4171.45875</v>
      </c>
      <c r="M46" s="54" t="n">
        <f aca="false">M45*$D$2</f>
        <v>1330.9285</v>
      </c>
      <c r="N46" s="54" t="n">
        <f aca="false">N45*$D$2</f>
        <v>0</v>
      </c>
      <c r="O46" s="54" t="n">
        <f aca="false">O45*$D$2</f>
        <v>764.4409</v>
      </c>
      <c r="P46" s="54" t="n">
        <f aca="false">P45*$D$2</f>
        <v>0</v>
      </c>
      <c r="Q46" s="54" t="n">
        <f aca="false">Q45*$D$2</f>
        <v>149.1592</v>
      </c>
      <c r="R46" s="54" t="n">
        <f aca="false">R45*$D$2</f>
        <v>1370.64312875</v>
      </c>
      <c r="S46" s="54" t="n">
        <f aca="false">S45*$D$2</f>
        <v>0</v>
      </c>
      <c r="T46" s="54" t="n">
        <f aca="false">T45*$D$2</f>
        <v>0</v>
      </c>
      <c r="U46" s="54" t="n">
        <f aca="false">U45*$D$2</f>
        <v>9435.5095</v>
      </c>
      <c r="V46" s="54" t="n">
        <f aca="false">V45*$D$2</f>
        <v>2838.3885</v>
      </c>
      <c r="W46" s="54" t="n">
        <f aca="false">W45*$D$2</f>
        <v>10915.5972</v>
      </c>
      <c r="X46" s="54" t="n">
        <f aca="false">X45*$D$2</f>
        <v>940.9655</v>
      </c>
      <c r="Y46" s="54" t="n">
        <f aca="false">Y45*$D$2</f>
        <v>11856.5627</v>
      </c>
      <c r="Z46" s="57"/>
      <c r="AA46" s="58"/>
      <c r="AB46" s="58"/>
      <c r="AC46" s="59"/>
      <c r="AD46" s="88"/>
      <c r="AE46" s="88"/>
      <c r="AF46" s="89"/>
    </row>
    <row r="47" customFormat="false" ht="3" hidden="false" customHeight="true" outlineLevel="0" collapsed="false">
      <c r="A47" s="76"/>
      <c r="B47" s="76"/>
      <c r="C47" s="78"/>
      <c r="D47" s="76"/>
      <c r="E47" s="78"/>
      <c r="F47" s="76"/>
      <c r="G47" s="76"/>
      <c r="H47" s="79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8"/>
      <c r="T47" s="76"/>
      <c r="U47" s="76"/>
      <c r="V47" s="78"/>
      <c r="W47" s="76"/>
      <c r="X47" s="76"/>
      <c r="Y47" s="76"/>
      <c r="Z47" s="57"/>
      <c r="AA47" s="58"/>
      <c r="AB47" s="58"/>
      <c r="AC47" s="59"/>
      <c r="AD47" s="88"/>
      <c r="AE47" s="88"/>
      <c r="AF47" s="89"/>
    </row>
    <row r="48" customFormat="false" ht="11.1" hidden="false" customHeight="true" outlineLevel="0" collapsed="false">
      <c r="A48" s="53" t="str">
        <f aca="false">"MAR 13"</f>
        <v>MAR 13</v>
      </c>
      <c r="B48" s="85"/>
      <c r="C48" s="54"/>
      <c r="D48" s="53"/>
      <c r="E48" s="54"/>
      <c r="F48" s="53"/>
      <c r="G48" s="53"/>
      <c r="H48" s="55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4"/>
      <c r="T48" s="53"/>
      <c r="U48" s="53"/>
      <c r="V48" s="54"/>
      <c r="W48" s="53"/>
      <c r="X48" s="53"/>
      <c r="Y48" s="53"/>
      <c r="Z48" s="57"/>
      <c r="AA48" s="58"/>
      <c r="AB48" s="58"/>
      <c r="AC48" s="59"/>
      <c r="AD48" s="87"/>
      <c r="AE48" s="87"/>
    </row>
    <row r="49" customFormat="false" ht="11.1" hidden="false" customHeight="true" outlineLevel="0" collapsed="false">
      <c r="A49" s="53"/>
      <c r="B49" s="74" t="n">
        <v>6896.75</v>
      </c>
      <c r="C49" s="54" t="n">
        <v>271746</v>
      </c>
      <c r="D49" s="83"/>
      <c r="E49" s="54" t="n">
        <f aca="false">C49-152000</f>
        <v>119746</v>
      </c>
      <c r="F49" s="53"/>
      <c r="G49" s="53" t="s">
        <v>59</v>
      </c>
      <c r="H49" s="0"/>
      <c r="I49" s="54" t="n">
        <v>229182</v>
      </c>
      <c r="J49" s="53"/>
      <c r="K49" s="44"/>
      <c r="L49" s="53"/>
      <c r="M49" s="53"/>
      <c r="N49" s="53"/>
      <c r="O49" s="53"/>
      <c r="P49" s="53"/>
      <c r="Q49" s="53"/>
      <c r="R49" s="53"/>
      <c r="S49" s="54"/>
      <c r="T49" s="53"/>
      <c r="U49" s="53"/>
      <c r="V49" s="54"/>
      <c r="W49" s="53"/>
      <c r="X49" s="53"/>
      <c r="Y49" s="53"/>
      <c r="Z49" s="57"/>
      <c r="AA49" s="58"/>
      <c r="AB49" s="58"/>
      <c r="AC49" s="59"/>
      <c r="AD49" s="87"/>
      <c r="AE49" s="87"/>
    </row>
    <row r="50" customFormat="false" ht="11.1" hidden="false" customHeight="true" outlineLevel="0" collapsed="false">
      <c r="A50" s="83" t="str">
        <f aca="false">"2/13/97 thru 3/13/97"</f>
        <v>2/13/97 thru 3/13/97</v>
      </c>
      <c r="B50" s="83"/>
      <c r="C50" s="54"/>
      <c r="D50" s="54"/>
      <c r="E50" s="54"/>
      <c r="F50" s="83"/>
      <c r="G50" s="95" t="s">
        <v>60</v>
      </c>
      <c r="H50" s="96"/>
      <c r="I50" s="97" t="n">
        <f aca="false">I49-E49</f>
        <v>109436</v>
      </c>
      <c r="J50" s="83"/>
      <c r="K50" s="83"/>
      <c r="L50" s="83"/>
      <c r="M50" s="75"/>
      <c r="N50" s="75"/>
      <c r="O50" s="75"/>
      <c r="P50" s="83"/>
      <c r="Q50" s="83"/>
      <c r="R50" s="83"/>
      <c r="S50" s="54"/>
      <c r="T50" s="83"/>
      <c r="U50" s="83"/>
      <c r="V50" s="54"/>
      <c r="W50" s="83"/>
      <c r="X50" s="83"/>
      <c r="Y50" s="83"/>
      <c r="Z50" s="57"/>
      <c r="AA50" s="58"/>
      <c r="AB50" s="58"/>
      <c r="AC50" s="59"/>
      <c r="AD50" s="92"/>
      <c r="AE50" s="92"/>
    </row>
    <row r="51" customFormat="false" ht="11.1" hidden="false" customHeight="true" outlineLevel="0" collapsed="false">
      <c r="A51" s="83"/>
      <c r="B51" s="57" t="n">
        <f aca="false">B49-B22</f>
        <v>1.32999999999993</v>
      </c>
      <c r="C51" s="54"/>
      <c r="D51" s="98" t="n">
        <f aca="false">C49-C22</f>
        <v>4756</v>
      </c>
      <c r="E51" s="54"/>
      <c r="F51" s="83"/>
      <c r="G51" s="83" t="s">
        <v>61</v>
      </c>
      <c r="H51" s="55"/>
      <c r="I51" s="54" t="n">
        <f aca="false">I50+D46</f>
        <v>119553</v>
      </c>
      <c r="J51" s="83"/>
      <c r="K51" s="83"/>
      <c r="L51" s="83"/>
      <c r="M51" s="75"/>
      <c r="N51" s="75"/>
      <c r="O51" s="75"/>
      <c r="P51" s="83"/>
      <c r="Q51" s="83"/>
      <c r="R51" s="83"/>
      <c r="S51" s="54"/>
      <c r="T51" s="83"/>
      <c r="U51" s="83"/>
      <c r="V51" s="54"/>
      <c r="W51" s="83"/>
      <c r="X51" s="83"/>
      <c r="Y51" s="83"/>
      <c r="Z51" s="57"/>
      <c r="AA51" s="58"/>
      <c r="AB51" s="58"/>
      <c r="AC51" s="59"/>
      <c r="AD51" s="92"/>
      <c r="AE51" s="92"/>
    </row>
    <row r="52" customFormat="false" ht="11.1" hidden="false" customHeight="true" outlineLevel="0" collapsed="false">
      <c r="A52" s="83"/>
      <c r="B52" s="83"/>
      <c r="C52" s="54"/>
      <c r="D52" s="83"/>
      <c r="E52" s="54"/>
      <c r="F52" s="83"/>
      <c r="G52" s="86"/>
      <c r="H52" s="55"/>
      <c r="I52" s="83"/>
      <c r="J52" s="83"/>
      <c r="K52" s="83"/>
      <c r="L52" s="83"/>
      <c r="M52" s="75"/>
      <c r="N52" s="75"/>
      <c r="O52" s="75"/>
      <c r="P52" s="83"/>
      <c r="Q52" s="83"/>
      <c r="R52" s="83"/>
      <c r="S52" s="54"/>
      <c r="T52" s="83"/>
      <c r="U52" s="83"/>
      <c r="V52" s="54"/>
      <c r="W52" s="83"/>
      <c r="X52" s="83"/>
      <c r="Y52" s="83"/>
      <c r="Z52" s="57"/>
      <c r="AA52" s="58"/>
      <c r="AB52" s="58"/>
      <c r="AC52" s="59"/>
      <c r="AD52" s="92"/>
      <c r="AE52" s="92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V21" activePane="bottomRight" state="frozen"/>
      <selection pane="topLeft" activeCell="A1" activeCellId="0" sqref="A1"/>
      <selection pane="topRight" activeCell="V1" activeCellId="0" sqref="V1"/>
      <selection pane="bottomLeft" activeCell="A21" activeCellId="0" sqref="A21"/>
      <selection pane="bottomRight" activeCell="U41" activeCellId="0" sqref="U41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6.82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6.66"/>
    <col collapsed="false" customWidth="true" hidden="false" outlineLevel="0" max="19" min="19" style="47" width="6.66"/>
    <col collapsed="false" customWidth="true" hidden="false" outlineLevel="0" max="20" min="20" style="46" width="5.82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87"/>
      <c r="AE1" s="87"/>
    </row>
    <row r="2" customFormat="false" ht="14.1" hidden="false" customHeight="true" outlineLevel="0" collapsed="false">
      <c r="A2" s="53" t="s">
        <v>1</v>
      </c>
      <c r="B2" s="53"/>
      <c r="C2" s="54"/>
      <c r="D2" s="60" t="n">
        <v>1.9835</v>
      </c>
      <c r="E2" s="54"/>
      <c r="F2" s="53"/>
      <c r="G2" s="53"/>
      <c r="H2" s="55"/>
      <c r="I2" s="53"/>
      <c r="J2" s="53"/>
      <c r="K2" s="61" t="s">
        <v>62</v>
      </c>
      <c r="L2" s="61"/>
      <c r="M2" s="61"/>
      <c r="N2" s="61"/>
      <c r="O2" s="61"/>
      <c r="P2" s="61"/>
      <c r="Q2" s="61"/>
      <c r="R2" s="61"/>
      <c r="S2" s="61"/>
      <c r="T2" s="61"/>
      <c r="U2" s="53"/>
      <c r="V2" s="54"/>
      <c r="W2" s="53"/>
      <c r="X2" s="53"/>
      <c r="Y2" s="53"/>
      <c r="Z2" s="57"/>
      <c r="AA2" s="58"/>
      <c r="AB2" s="58"/>
      <c r="AC2" s="59"/>
      <c r="AD2" s="87"/>
      <c r="AE2" s="87"/>
    </row>
    <row r="3" customFormat="false" ht="11.1" hidden="false" customHeight="true" outlineLevel="0" collapsed="false">
      <c r="A3" s="53"/>
      <c r="B3" s="53"/>
      <c r="C3" s="54"/>
      <c r="D3" s="62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87"/>
      <c r="AE3" s="87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14</v>
      </c>
      <c r="Q4" s="63" t="s">
        <v>15</v>
      </c>
      <c r="R4" s="63" t="s">
        <v>12</v>
      </c>
      <c r="S4" s="64" t="s">
        <v>16</v>
      </c>
      <c r="T4" s="63" t="s">
        <v>17</v>
      </c>
      <c r="U4" s="63" t="s">
        <v>18</v>
      </c>
      <c r="V4" s="64" t="s">
        <v>19</v>
      </c>
      <c r="W4" s="63" t="s">
        <v>10</v>
      </c>
      <c r="X4" s="63" t="s">
        <v>11</v>
      </c>
      <c r="Y4" s="63" t="s">
        <v>12</v>
      </c>
      <c r="Z4" s="66" t="s">
        <v>20</v>
      </c>
      <c r="AA4" s="67" t="s">
        <v>21</v>
      </c>
      <c r="AB4" s="67" t="s">
        <v>22</v>
      </c>
      <c r="AC4" s="67" t="s">
        <v>3</v>
      </c>
      <c r="AD4" s="87"/>
      <c r="AE4" s="87"/>
    </row>
    <row r="5" customFormat="false" ht="11.1" hidden="false" customHeight="true" outlineLevel="0" collapsed="false">
      <c r="A5" s="68" t="s">
        <v>63</v>
      </c>
      <c r="B5" s="63" t="s">
        <v>24</v>
      </c>
      <c r="C5" s="64" t="s">
        <v>5</v>
      </c>
      <c r="D5" s="63" t="s">
        <v>25</v>
      </c>
      <c r="E5" s="64" t="s">
        <v>26</v>
      </c>
      <c r="F5" s="63" t="s">
        <v>27</v>
      </c>
      <c r="G5" s="63" t="s">
        <v>28</v>
      </c>
      <c r="H5" s="65" t="s">
        <v>29</v>
      </c>
      <c r="I5" s="63" t="s">
        <v>30</v>
      </c>
      <c r="J5" s="63" t="s">
        <v>30</v>
      </c>
      <c r="K5" s="63" t="s">
        <v>30</v>
      </c>
      <c r="L5" s="63" t="s">
        <v>31</v>
      </c>
      <c r="M5" s="63" t="s">
        <v>32</v>
      </c>
      <c r="N5" s="63" t="s">
        <v>33</v>
      </c>
      <c r="O5" s="63" t="s">
        <v>34</v>
      </c>
      <c r="P5" s="63" t="s">
        <v>35</v>
      </c>
      <c r="Q5" s="63" t="s">
        <v>36</v>
      </c>
      <c r="R5" s="63" t="s">
        <v>16</v>
      </c>
      <c r="S5" s="64" t="s">
        <v>37</v>
      </c>
      <c r="T5" s="63" t="s">
        <v>38</v>
      </c>
      <c r="U5" s="63" t="s">
        <v>39</v>
      </c>
      <c r="V5" s="64" t="s">
        <v>40</v>
      </c>
      <c r="W5" s="63" t="s">
        <v>41</v>
      </c>
      <c r="X5" s="63" t="s">
        <v>41</v>
      </c>
      <c r="Y5" s="63" t="s">
        <v>41</v>
      </c>
      <c r="Z5" s="69"/>
      <c r="AA5" s="67" t="s">
        <v>42</v>
      </c>
      <c r="AB5" s="67" t="s">
        <v>42</v>
      </c>
      <c r="AC5" s="70" t="s">
        <v>63</v>
      </c>
      <c r="AD5" s="87"/>
      <c r="AE5" s="87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  <c r="AD6" s="88"/>
      <c r="AE6" s="88"/>
      <c r="AF6" s="89"/>
    </row>
    <row r="7" customFormat="false" ht="11.1" hidden="false" customHeight="true" outlineLevel="0" collapsed="false">
      <c r="A7" s="53" t="s">
        <v>43</v>
      </c>
      <c r="B7" s="53"/>
      <c r="C7" s="54"/>
      <c r="D7" s="54"/>
      <c r="E7" s="54"/>
      <c r="F7" s="54"/>
      <c r="G7" s="54"/>
      <c r="H7" s="58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7"/>
      <c r="AA7" s="58"/>
      <c r="AB7" s="58"/>
      <c r="AC7" s="59"/>
      <c r="AD7" s="88"/>
      <c r="AE7" s="89"/>
      <c r="AF7" s="89"/>
    </row>
    <row r="8" s="47" customFormat="true" ht="11.1" hidden="false" customHeight="true" outlineLevel="0" collapsed="false">
      <c r="A8" s="54" t="s">
        <v>44</v>
      </c>
      <c r="B8" s="74" t="n">
        <f aca="false" t="array" ref="B8:C8">FEB!$B$37:$C$37</f>
        <v>6895.77</v>
      </c>
      <c r="C8" s="54" t="n">
        <v>268236</v>
      </c>
      <c r="D8" s="54" t="n">
        <f aca="false" t="array" ref="D8:E8">FEB!$D$46:$E$46</f>
        <v>10117</v>
      </c>
      <c r="E8" s="54" t="n">
        <v>116236</v>
      </c>
      <c r="F8" s="54" t="n">
        <f aca="false" t="array" ref="F8:Z8">FEB!$F$45:$Z$45</f>
        <v>5100.57978321149</v>
      </c>
      <c r="G8" s="54" t="n">
        <v>8278</v>
      </c>
      <c r="H8" s="58" t="n">
        <v>227.8</v>
      </c>
      <c r="I8" s="54" t="n">
        <v>8500.7</v>
      </c>
      <c r="J8" s="54" t="n">
        <v>2577.47630451223</v>
      </c>
      <c r="K8" s="54" t="n">
        <v>11080.8809931939</v>
      </c>
      <c r="L8" s="54" t="n">
        <v>2103.07978321149</v>
      </c>
      <c r="M8" s="54" t="n">
        <v>671</v>
      </c>
      <c r="N8" s="54" t="n">
        <v>0</v>
      </c>
      <c r="O8" s="54" t="n">
        <v>385.4</v>
      </c>
      <c r="P8" s="54" t="n">
        <v>0</v>
      </c>
      <c r="Q8" s="54" t="n">
        <v>75.2</v>
      </c>
      <c r="R8" s="54" t="n">
        <v>691.0225</v>
      </c>
      <c r="S8" s="54" t="n">
        <v>0</v>
      </c>
      <c r="T8" s="54" t="n">
        <v>0</v>
      </c>
      <c r="U8" s="54" t="n">
        <v>4757</v>
      </c>
      <c r="V8" s="54" t="n">
        <v>1431</v>
      </c>
      <c r="W8" s="54" t="n">
        <v>5503.2</v>
      </c>
      <c r="X8" s="54" t="n">
        <v>474.396521300731</v>
      </c>
      <c r="Y8" s="54" t="n">
        <v>5977.59652130073</v>
      </c>
      <c r="Z8" s="75" t="n">
        <v>4.87</v>
      </c>
      <c r="AA8" s="58"/>
      <c r="AB8" s="58"/>
      <c r="AC8" s="59"/>
      <c r="AD8" s="90"/>
      <c r="AE8" s="88"/>
      <c r="AF8" s="90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79"/>
      <c r="I9" s="76"/>
      <c r="J9" s="76"/>
      <c r="K9" s="76"/>
      <c r="L9" s="76"/>
      <c r="M9" s="76"/>
      <c r="N9" s="76"/>
      <c r="O9" s="76"/>
      <c r="P9" s="76"/>
      <c r="Q9" s="76"/>
      <c r="R9" s="76"/>
      <c r="S9" s="78"/>
      <c r="T9" s="76"/>
      <c r="U9" s="76"/>
      <c r="V9" s="78"/>
      <c r="W9" s="76"/>
      <c r="X9" s="76"/>
      <c r="Y9" s="76"/>
      <c r="Z9" s="80"/>
      <c r="AA9" s="81"/>
      <c r="AB9" s="81"/>
      <c r="AC9" s="82"/>
      <c r="AD9" s="88"/>
      <c r="AE9" s="88"/>
      <c r="AF9" s="89"/>
    </row>
    <row r="10" customFormat="false" ht="11.1" hidden="false" customHeight="true" outlineLevel="0" collapsed="false">
      <c r="A10" s="59" t="n">
        <v>1</v>
      </c>
      <c r="B10" s="74" t="n">
        <v>6895.88</v>
      </c>
      <c r="C10" s="54" t="n">
        <v>268628</v>
      </c>
      <c r="D10" s="58" t="n">
        <f aca="false">C10-C8</f>
        <v>392</v>
      </c>
      <c r="E10" s="54" t="n">
        <f aca="false">C10-152000</f>
        <v>116628</v>
      </c>
      <c r="F10" s="53" t="n">
        <f aca="false">D10/$D$2</f>
        <v>197.630451222586</v>
      </c>
      <c r="G10" s="53" t="n">
        <v>74</v>
      </c>
      <c r="H10" s="99" t="n">
        <v>4</v>
      </c>
      <c r="I10" s="53" t="n">
        <f aca="false">G10+H10</f>
        <v>78</v>
      </c>
      <c r="J10" s="75" t="n">
        <f aca="false">IF(L10&gt;0,L10,0)</f>
        <v>170.830451222586</v>
      </c>
      <c r="K10" s="53" t="n">
        <f aca="false">I10+J10</f>
        <v>248.830451222586</v>
      </c>
      <c r="L10" s="53" t="n">
        <f aca="false">F10-(I10-W10)</f>
        <v>170.830451222586</v>
      </c>
      <c r="M10" s="53" t="n">
        <v>4.2</v>
      </c>
      <c r="N10" s="53" t="n">
        <v>0</v>
      </c>
      <c r="O10" s="53" t="n">
        <f aca="false">M10-N10</f>
        <v>4.2</v>
      </c>
      <c r="P10" s="53" t="n">
        <v>0</v>
      </c>
      <c r="Q10" s="53" t="n">
        <v>0</v>
      </c>
      <c r="R10" s="53" t="n">
        <f aca="false">SUM(O10:Q10)</f>
        <v>4.2</v>
      </c>
      <c r="S10" s="54"/>
      <c r="T10" s="53" t="n">
        <v>0</v>
      </c>
      <c r="U10" s="53" t="n">
        <v>47</v>
      </c>
      <c r="V10" s="54" t="n">
        <f aca="false">V8-U10</f>
        <v>1384</v>
      </c>
      <c r="W10" s="53" t="n">
        <f aca="false">R10+T10+N10+U10</f>
        <v>51.2</v>
      </c>
      <c r="X10" s="53" t="n">
        <f aca="false">IF(L10&lt;0,L10*-1,0)</f>
        <v>0</v>
      </c>
      <c r="Y10" s="53" t="n">
        <f aca="false">W10+X10</f>
        <v>51.2</v>
      </c>
      <c r="Z10" s="57" t="n">
        <v>0</v>
      </c>
      <c r="AA10" s="58" t="n">
        <v>61</v>
      </c>
      <c r="AB10" s="58" t="n">
        <v>30</v>
      </c>
      <c r="AC10" s="59" t="n">
        <v>1</v>
      </c>
      <c r="AD10" s="89"/>
      <c r="AE10" s="90"/>
      <c r="AF10" s="89"/>
    </row>
    <row r="11" customFormat="false" ht="11.1" hidden="false" customHeight="true" outlineLevel="0" collapsed="false">
      <c r="A11" s="59" t="n">
        <f aca="false">A10+1</f>
        <v>2</v>
      </c>
      <c r="B11" s="74" t="n">
        <v>6895.95</v>
      </c>
      <c r="C11" s="54" t="n">
        <v>268877</v>
      </c>
      <c r="D11" s="58" t="n">
        <f aca="false">C11-C10</f>
        <v>249</v>
      </c>
      <c r="E11" s="54" t="n">
        <f aca="false">C11-152000</f>
        <v>116877</v>
      </c>
      <c r="F11" s="53" t="n">
        <f aca="false">D11/$D$2</f>
        <v>125.53566927149</v>
      </c>
      <c r="G11" s="53" t="n">
        <v>88</v>
      </c>
      <c r="H11" s="99" t="n">
        <v>4</v>
      </c>
      <c r="I11" s="53" t="n">
        <f aca="false">G11+H11</f>
        <v>92</v>
      </c>
      <c r="J11" s="75" t="n">
        <f aca="false">IF(L11&gt;0,L11,0)</f>
        <v>89.8356692714898</v>
      </c>
      <c r="K11" s="53" t="n">
        <f aca="false">I11+J11</f>
        <v>181.83566927149</v>
      </c>
      <c r="L11" s="53" t="n">
        <f aca="false">F11-(I11-W11)</f>
        <v>89.8356692714898</v>
      </c>
      <c r="M11" s="53" t="n">
        <v>4.3</v>
      </c>
      <c r="N11" s="53" t="n">
        <v>0</v>
      </c>
      <c r="O11" s="53" t="n">
        <f aca="false">M11-N11</f>
        <v>4.3</v>
      </c>
      <c r="P11" s="53" t="n">
        <v>0</v>
      </c>
      <c r="Q11" s="53" t="n">
        <v>0</v>
      </c>
      <c r="R11" s="53" t="n">
        <f aca="false">SUM(O11:Q11)</f>
        <v>4.3</v>
      </c>
      <c r="S11" s="54"/>
      <c r="T11" s="53" t="n">
        <v>0</v>
      </c>
      <c r="U11" s="53" t="n">
        <v>52</v>
      </c>
      <c r="V11" s="54" t="n">
        <f aca="false">V10-U11</f>
        <v>1332</v>
      </c>
      <c r="W11" s="53" t="n">
        <f aca="false">R11+T11+N11+U11</f>
        <v>56.3</v>
      </c>
      <c r="X11" s="53" t="n">
        <f aca="false">IF(L11&lt;0,L11*-1,0)</f>
        <v>0</v>
      </c>
      <c r="Y11" s="53" t="n">
        <f aca="false">W11+X11</f>
        <v>56.3</v>
      </c>
      <c r="Z11" s="57" t="n">
        <v>0</v>
      </c>
      <c r="AA11" s="58" t="n">
        <v>56</v>
      </c>
      <c r="AB11" s="58" t="n">
        <v>26</v>
      </c>
      <c r="AC11" s="59" t="n">
        <f aca="false">AC10+1</f>
        <v>2</v>
      </c>
      <c r="AD11" s="89"/>
      <c r="AE11" s="90"/>
      <c r="AF11" s="89"/>
    </row>
    <row r="12" customFormat="false" ht="11.1" hidden="false" customHeight="true" outlineLevel="0" collapsed="false">
      <c r="A12" s="59" t="n">
        <f aca="false">A11+1</f>
        <v>3</v>
      </c>
      <c r="B12" s="74" t="n">
        <v>6896.03</v>
      </c>
      <c r="C12" s="54" t="n">
        <v>269162</v>
      </c>
      <c r="D12" s="58" t="n">
        <f aca="false">C12-C11</f>
        <v>285</v>
      </c>
      <c r="E12" s="54" t="n">
        <f aca="false">C12-152000</f>
        <v>117162</v>
      </c>
      <c r="F12" s="53" t="n">
        <f aca="false">D12/$D$2</f>
        <v>143.68540458785</v>
      </c>
      <c r="G12" s="53" t="n">
        <v>104</v>
      </c>
      <c r="H12" s="99" t="n">
        <v>4.2</v>
      </c>
      <c r="I12" s="53" t="n">
        <f aca="false">G12+H12</f>
        <v>108.2</v>
      </c>
      <c r="J12" s="75" t="n">
        <f aca="false">IF(L12&gt;0,L12,0)</f>
        <v>92.4854045878497</v>
      </c>
      <c r="K12" s="53" t="n">
        <f aca="false">I12+J12</f>
        <v>200.68540458785</v>
      </c>
      <c r="L12" s="53" t="n">
        <f aca="false">F12-(I12-W12)</f>
        <v>92.4854045878497</v>
      </c>
      <c r="M12" s="53" t="n">
        <v>5</v>
      </c>
      <c r="N12" s="53" t="n">
        <v>0</v>
      </c>
      <c r="O12" s="53" t="n">
        <f aca="false">M12-N12</f>
        <v>5</v>
      </c>
      <c r="P12" s="53" t="n">
        <v>0</v>
      </c>
      <c r="Q12" s="53" t="n">
        <v>0</v>
      </c>
      <c r="R12" s="53" t="n">
        <f aca="false">SUM(O12:Q12)</f>
        <v>5</v>
      </c>
      <c r="S12" s="54"/>
      <c r="T12" s="53" t="n">
        <v>0</v>
      </c>
      <c r="U12" s="53" t="n">
        <v>52</v>
      </c>
      <c r="V12" s="54" t="n">
        <f aca="false">V11-U12</f>
        <v>1280</v>
      </c>
      <c r="W12" s="53" t="n">
        <f aca="false">R12+T12+N12+U12</f>
        <v>57</v>
      </c>
      <c r="X12" s="53" t="n">
        <f aca="false">IF(L12&lt;0,L12*-1,0)</f>
        <v>0</v>
      </c>
      <c r="Y12" s="53" t="n">
        <f aca="false">W12+X12</f>
        <v>57</v>
      </c>
      <c r="Z12" s="57" t="n">
        <v>0</v>
      </c>
      <c r="AA12" s="58" t="n">
        <v>58</v>
      </c>
      <c r="AB12" s="58" t="n">
        <v>25</v>
      </c>
      <c r="AC12" s="59" t="n">
        <f aca="false">AC11+1</f>
        <v>3</v>
      </c>
      <c r="AD12" s="89"/>
      <c r="AE12" s="90"/>
      <c r="AF12" s="89"/>
    </row>
    <row r="13" customFormat="false" ht="11.1" hidden="false" customHeight="true" outlineLevel="0" collapsed="false">
      <c r="A13" s="59" t="n">
        <f aca="false">A12+1</f>
        <v>4</v>
      </c>
      <c r="B13" s="74" t="n">
        <v>6896.12</v>
      </c>
      <c r="C13" s="54" t="n">
        <v>269485</v>
      </c>
      <c r="D13" s="58" t="n">
        <f aca="false">C13-C12</f>
        <v>323</v>
      </c>
      <c r="E13" s="54" t="n">
        <f aca="false">C13-152000</f>
        <v>117485</v>
      </c>
      <c r="F13" s="53" t="n">
        <f aca="false">D13/$D$2</f>
        <v>162.843458532896</v>
      </c>
      <c r="G13" s="53" t="n">
        <v>113</v>
      </c>
      <c r="H13" s="99" t="n">
        <v>4.6</v>
      </c>
      <c r="I13" s="53" t="n">
        <f aca="false">G13+H13</f>
        <v>117.6</v>
      </c>
      <c r="J13" s="75" t="n">
        <f aca="false">IF(L13&gt;0,L13,0)</f>
        <v>101.543458532896</v>
      </c>
      <c r="K13" s="53" t="n">
        <f aca="false">I13+J13</f>
        <v>219.143458532896</v>
      </c>
      <c r="L13" s="53" t="n">
        <f aca="false">F13-(I13-W13)</f>
        <v>101.543458532896</v>
      </c>
      <c r="M13" s="53" t="n">
        <v>5.3</v>
      </c>
      <c r="N13" s="53" t="n">
        <v>0</v>
      </c>
      <c r="O13" s="53" t="n">
        <f aca="false">M13-N13</f>
        <v>5.3</v>
      </c>
      <c r="P13" s="53" t="n">
        <v>0</v>
      </c>
      <c r="Q13" s="53" t="n">
        <v>0</v>
      </c>
      <c r="R13" s="53" t="n">
        <f aca="false">SUM(O13:Q13)</f>
        <v>5.3</v>
      </c>
      <c r="S13" s="54"/>
      <c r="T13" s="53" t="n">
        <v>0</v>
      </c>
      <c r="U13" s="53" t="n">
        <v>51</v>
      </c>
      <c r="V13" s="54" t="n">
        <f aca="false">V12-U13</f>
        <v>1229</v>
      </c>
      <c r="W13" s="53" t="n">
        <f aca="false">R13+T13+N13+U13</f>
        <v>56.3</v>
      </c>
      <c r="X13" s="53" t="n">
        <f aca="false">IF(L13&lt;0,L13*-1,0)</f>
        <v>0</v>
      </c>
      <c r="Y13" s="53" t="n">
        <f aca="false">W13+X13</f>
        <v>56.3</v>
      </c>
      <c r="Z13" s="57" t="n">
        <v>0</v>
      </c>
      <c r="AA13" s="58" t="n">
        <v>60</v>
      </c>
      <c r="AB13" s="58" t="n">
        <v>24</v>
      </c>
      <c r="AC13" s="59" t="n">
        <f aca="false">AC12+1</f>
        <v>4</v>
      </c>
      <c r="AD13" s="89"/>
      <c r="AE13" s="90"/>
      <c r="AF13" s="89"/>
    </row>
    <row r="14" customFormat="false" ht="11.1" hidden="false" customHeight="true" outlineLevel="0" collapsed="false">
      <c r="A14" s="59" t="n">
        <f aca="false">A13+1</f>
        <v>5</v>
      </c>
      <c r="B14" s="74" t="n">
        <v>6896.2</v>
      </c>
      <c r="C14" s="54" t="n">
        <v>269772</v>
      </c>
      <c r="D14" s="58" t="n">
        <f aca="false">C14-C13</f>
        <v>287</v>
      </c>
      <c r="E14" s="54" t="n">
        <f aca="false">C14-152000</f>
        <v>117772</v>
      </c>
      <c r="F14" s="53" t="n">
        <f aca="false">D14/$D$2</f>
        <v>144.693723216536</v>
      </c>
      <c r="G14" s="53" t="n">
        <v>113</v>
      </c>
      <c r="H14" s="99" t="n">
        <v>4.1</v>
      </c>
      <c r="I14" s="53" t="n">
        <f aca="false">G14+H14</f>
        <v>117.1</v>
      </c>
      <c r="J14" s="75" t="n">
        <f aca="false">IF(L14&gt;0,L14,0)</f>
        <v>83.8937232165364</v>
      </c>
      <c r="K14" s="53" t="n">
        <f aca="false">I14+J14</f>
        <v>200.993723216536</v>
      </c>
      <c r="L14" s="53" t="n">
        <f aca="false">F14-(I14-W14)</f>
        <v>83.8937232165364</v>
      </c>
      <c r="M14" s="53" t="n">
        <v>5.3</v>
      </c>
      <c r="N14" s="53" t="n">
        <v>0</v>
      </c>
      <c r="O14" s="53" t="n">
        <f aca="false">M14-N14</f>
        <v>5.3</v>
      </c>
      <c r="P14" s="53" t="n">
        <v>0</v>
      </c>
      <c r="Q14" s="53" t="n">
        <v>0</v>
      </c>
      <c r="R14" s="53" t="n">
        <f aca="false">SUM(O14:Q14)</f>
        <v>5.3</v>
      </c>
      <c r="S14" s="54"/>
      <c r="T14" s="53" t="n">
        <v>0</v>
      </c>
      <c r="U14" s="53" t="n">
        <v>51</v>
      </c>
      <c r="V14" s="54" t="n">
        <f aca="false">V13-U14</f>
        <v>1178</v>
      </c>
      <c r="W14" s="53" t="n">
        <f aca="false">R14+T14+N14+U14</f>
        <v>56.3</v>
      </c>
      <c r="X14" s="53" t="n">
        <f aca="false">IF(L14&lt;0,L14*-1,0)</f>
        <v>0</v>
      </c>
      <c r="Y14" s="53" t="n">
        <f aca="false">W14+X14</f>
        <v>56.3</v>
      </c>
      <c r="Z14" s="57" t="n">
        <v>0</v>
      </c>
      <c r="AA14" s="58" t="n">
        <v>54</v>
      </c>
      <c r="AB14" s="58" t="n">
        <v>22</v>
      </c>
      <c r="AC14" s="59" t="n">
        <f aca="false">AC13+1</f>
        <v>5</v>
      </c>
      <c r="AD14" s="89"/>
      <c r="AE14" s="90"/>
      <c r="AF14" s="89"/>
    </row>
    <row r="15" customFormat="false" ht="11.1" hidden="false" customHeight="true" outlineLevel="0" collapsed="false">
      <c r="A15" s="59" t="n">
        <f aca="false">A14+1</f>
        <v>6</v>
      </c>
      <c r="B15" s="74" t="n">
        <v>6896.25</v>
      </c>
      <c r="C15" s="54" t="n">
        <v>269952</v>
      </c>
      <c r="D15" s="58" t="n">
        <f aca="false">C15-C14</f>
        <v>180</v>
      </c>
      <c r="E15" s="54" t="n">
        <f aca="false">C15-152000</f>
        <v>117952</v>
      </c>
      <c r="F15" s="53" t="n">
        <f aca="false">D15/$D$2</f>
        <v>90.7486765817998</v>
      </c>
      <c r="G15" s="53" t="n">
        <v>99</v>
      </c>
      <c r="H15" s="99" t="n">
        <v>3.9</v>
      </c>
      <c r="I15" s="53" t="n">
        <f aca="false">G15+H15</f>
        <v>102.9</v>
      </c>
      <c r="J15" s="75" t="n">
        <f aca="false">IF(L15&gt;0,L15,0)</f>
        <v>44.7486765817998</v>
      </c>
      <c r="K15" s="53" t="n">
        <f aca="false">I15+J15</f>
        <v>147.6486765818</v>
      </c>
      <c r="L15" s="53" t="n">
        <f aca="false">F15-(I15-W15)</f>
        <v>44.7486765817998</v>
      </c>
      <c r="M15" s="53" t="n">
        <v>5.9</v>
      </c>
      <c r="N15" s="53" t="n">
        <v>0</v>
      </c>
      <c r="O15" s="53" t="n">
        <f aca="false">M15-N15</f>
        <v>5.9</v>
      </c>
      <c r="P15" s="53" t="n">
        <v>0</v>
      </c>
      <c r="Q15" s="53" t="n">
        <v>0</v>
      </c>
      <c r="R15" s="53" t="n">
        <f aca="false">SUM(O15:Q15)</f>
        <v>5.9</v>
      </c>
      <c r="S15" s="54"/>
      <c r="T15" s="53" t="n">
        <v>0</v>
      </c>
      <c r="U15" s="53" t="n">
        <v>51</v>
      </c>
      <c r="V15" s="54" t="n">
        <f aca="false">V14-U15</f>
        <v>1127</v>
      </c>
      <c r="W15" s="53" t="n">
        <f aca="false">R15+T15+N15+U15</f>
        <v>56.9</v>
      </c>
      <c r="X15" s="53" t="n">
        <f aca="false">IF(L15&lt;0,L15*-1,0)</f>
        <v>0</v>
      </c>
      <c r="Y15" s="53" t="n">
        <f aca="false">W15+X15</f>
        <v>56.9</v>
      </c>
      <c r="Z15" s="57" t="n">
        <v>0</v>
      </c>
      <c r="AA15" s="58" t="n">
        <v>59</v>
      </c>
      <c r="AB15" s="58" t="n">
        <v>24</v>
      </c>
      <c r="AC15" s="59" t="n">
        <f aca="false">AC14+1</f>
        <v>6</v>
      </c>
      <c r="AD15" s="88"/>
      <c r="AE15" s="90"/>
      <c r="AF15" s="89"/>
    </row>
    <row r="16" customFormat="false" ht="11.1" hidden="false" customHeight="true" outlineLevel="0" collapsed="false">
      <c r="A16" s="59" t="n">
        <f aca="false">A15+1</f>
        <v>7</v>
      </c>
      <c r="B16" s="74" t="n">
        <v>6896.33</v>
      </c>
      <c r="C16" s="54" t="n">
        <v>270239</v>
      </c>
      <c r="D16" s="58" t="n">
        <f aca="false">C16-C15</f>
        <v>287</v>
      </c>
      <c r="E16" s="54" t="n">
        <f aca="false">C16-152000</f>
        <v>118239</v>
      </c>
      <c r="F16" s="53" t="n">
        <f aca="false">D16/$D$2</f>
        <v>144.693723216536</v>
      </c>
      <c r="G16" s="53" t="n">
        <v>96</v>
      </c>
      <c r="H16" s="99" t="n">
        <v>3.8</v>
      </c>
      <c r="I16" s="53" t="n">
        <f aca="false">G16+H16</f>
        <v>99.8</v>
      </c>
      <c r="J16" s="75" t="n">
        <f aca="false">IF(L16&gt;0,L16,0)</f>
        <v>101.793723216536</v>
      </c>
      <c r="K16" s="53" t="n">
        <f aca="false">I16+J16</f>
        <v>201.593723216536</v>
      </c>
      <c r="L16" s="53" t="n">
        <f aca="false">F16-(I16-W16)</f>
        <v>101.793723216536</v>
      </c>
      <c r="M16" s="53" t="n">
        <v>5.9</v>
      </c>
      <c r="N16" s="53" t="n">
        <v>0</v>
      </c>
      <c r="O16" s="53" t="n">
        <f aca="false">M16-N16</f>
        <v>5.9</v>
      </c>
      <c r="P16" s="53" t="n">
        <v>0</v>
      </c>
      <c r="Q16" s="53" t="n">
        <v>0</v>
      </c>
      <c r="R16" s="53" t="n">
        <f aca="false">SUM(O16:Q16)</f>
        <v>5.9</v>
      </c>
      <c r="S16" s="54"/>
      <c r="T16" s="53" t="n">
        <v>0</v>
      </c>
      <c r="U16" s="53" t="n">
        <v>51</v>
      </c>
      <c r="V16" s="54" t="n">
        <f aca="false">V15-U16</f>
        <v>1076</v>
      </c>
      <c r="W16" s="53" t="n">
        <f aca="false">R16+T16+N16+U16</f>
        <v>56.9</v>
      </c>
      <c r="X16" s="53" t="n">
        <f aca="false">IF(L16&lt;0,L16*-1,0)</f>
        <v>0</v>
      </c>
      <c r="Y16" s="53" t="n">
        <f aca="false">W16+X16</f>
        <v>56.9</v>
      </c>
      <c r="Z16" s="57" t="n">
        <v>0.06</v>
      </c>
      <c r="AA16" s="58" t="n">
        <v>51</v>
      </c>
      <c r="AB16" s="58" t="n">
        <v>39</v>
      </c>
      <c r="AC16" s="59" t="n">
        <f aca="false">AC15+1</f>
        <v>7</v>
      </c>
      <c r="AD16" s="88"/>
      <c r="AE16" s="90"/>
      <c r="AF16" s="89"/>
    </row>
    <row r="17" customFormat="false" ht="11.1" hidden="false" customHeight="true" outlineLevel="0" collapsed="false">
      <c r="A17" s="59" t="n">
        <f aca="false">A16+1</f>
        <v>8</v>
      </c>
      <c r="B17" s="74" t="n">
        <v>6896.35</v>
      </c>
      <c r="C17" s="54" t="n">
        <v>270311</v>
      </c>
      <c r="D17" s="58" t="n">
        <f aca="false">C17-C16</f>
        <v>72</v>
      </c>
      <c r="E17" s="54" t="n">
        <f aca="false">C17-152000</f>
        <v>118311</v>
      </c>
      <c r="F17" s="53" t="n">
        <f aca="false">D17/$D$2</f>
        <v>36.2994706327199</v>
      </c>
      <c r="G17" s="53" t="n">
        <v>97</v>
      </c>
      <c r="H17" s="99" t="n">
        <v>3.6</v>
      </c>
      <c r="I17" s="53" t="n">
        <f aca="false">G17+H17</f>
        <v>100.6</v>
      </c>
      <c r="J17" s="75" t="n">
        <f aca="false">IF(L17&gt;0,L17,0)</f>
        <v>0</v>
      </c>
      <c r="K17" s="53" t="n">
        <f aca="false">I17+J17</f>
        <v>100.6</v>
      </c>
      <c r="L17" s="53" t="n">
        <f aca="false">F17-(I17-W17)</f>
        <v>-7.60052936728005</v>
      </c>
      <c r="M17" s="53" t="n">
        <v>5.7</v>
      </c>
      <c r="N17" s="53" t="n">
        <v>0</v>
      </c>
      <c r="O17" s="53" t="n">
        <f aca="false">M17-N17</f>
        <v>5.7</v>
      </c>
      <c r="P17" s="53" t="n">
        <v>0</v>
      </c>
      <c r="Q17" s="53" t="n">
        <v>0</v>
      </c>
      <c r="R17" s="53" t="n">
        <f aca="false">SUM(O17:Q17)</f>
        <v>5.7</v>
      </c>
      <c r="S17" s="54"/>
      <c r="T17" s="53" t="n">
        <v>0</v>
      </c>
      <c r="U17" s="53" t="n">
        <v>51</v>
      </c>
      <c r="V17" s="54" t="n">
        <f aca="false">V16-U17</f>
        <v>1025</v>
      </c>
      <c r="W17" s="53" t="n">
        <f aca="false">R17+T17+N17+U17</f>
        <v>56.7</v>
      </c>
      <c r="X17" s="53" t="n">
        <f aca="false">IF(L17&lt;0,L17*-1,0)</f>
        <v>7.60052936728005</v>
      </c>
      <c r="Y17" s="53" t="n">
        <f aca="false">W17+X17</f>
        <v>64.3005293672801</v>
      </c>
      <c r="Z17" s="57" t="n">
        <v>0</v>
      </c>
      <c r="AA17" s="58" t="n">
        <v>54</v>
      </c>
      <c r="AB17" s="58" t="n">
        <v>23</v>
      </c>
      <c r="AC17" s="59" t="n">
        <f aca="false">AC16+1</f>
        <v>8</v>
      </c>
      <c r="AD17" s="88"/>
      <c r="AE17" s="90"/>
      <c r="AF17" s="89"/>
    </row>
    <row r="18" customFormat="false" ht="11.1" hidden="false" customHeight="true" outlineLevel="0" collapsed="false">
      <c r="A18" s="59" t="n">
        <f aca="false">A17+1</f>
        <v>9</v>
      </c>
      <c r="B18" s="74" t="n">
        <v>6896.38</v>
      </c>
      <c r="C18" s="54" t="n">
        <v>270418</v>
      </c>
      <c r="D18" s="58" t="n">
        <f aca="false">C18-C17</f>
        <v>107</v>
      </c>
      <c r="E18" s="54" t="n">
        <f aca="false">C18-152000</f>
        <v>118418</v>
      </c>
      <c r="F18" s="53" t="n">
        <f aca="false">D18/$D$2</f>
        <v>53.9450466347366</v>
      </c>
      <c r="G18" s="53" t="n">
        <v>90</v>
      </c>
      <c r="H18" s="99" t="n">
        <v>3.6</v>
      </c>
      <c r="I18" s="53" t="n">
        <f aca="false">G18+H18</f>
        <v>93.6</v>
      </c>
      <c r="J18" s="75" t="n">
        <f aca="false">IF(L18&gt;0,L18,0)</f>
        <v>17.2450466347366</v>
      </c>
      <c r="K18" s="53" t="n">
        <f aca="false">I18+J18</f>
        <v>110.845046634737</v>
      </c>
      <c r="L18" s="53" t="n">
        <f aca="false">F18-(I18-W18)</f>
        <v>17.2450466347366</v>
      </c>
      <c r="M18" s="53" t="n">
        <v>5.9</v>
      </c>
      <c r="N18" s="53" t="n">
        <v>0</v>
      </c>
      <c r="O18" s="53" t="n">
        <f aca="false">M18-N18</f>
        <v>5.9</v>
      </c>
      <c r="P18" s="53" t="n">
        <v>0</v>
      </c>
      <c r="Q18" s="53" t="n">
        <v>0</v>
      </c>
      <c r="R18" s="53" t="n">
        <f aca="false">SUM(O18:Q18)</f>
        <v>5.9</v>
      </c>
      <c r="S18" s="54"/>
      <c r="T18" s="53" t="n">
        <v>0</v>
      </c>
      <c r="U18" s="53" t="n">
        <v>51</v>
      </c>
      <c r="V18" s="54" t="n">
        <f aca="false">V17-U18</f>
        <v>974</v>
      </c>
      <c r="W18" s="53" t="n">
        <f aca="false">R18+T18+N18+U18</f>
        <v>56.9</v>
      </c>
      <c r="X18" s="53" t="n">
        <f aca="false">IF(L18&lt;0,L18*-1,0)</f>
        <v>0</v>
      </c>
      <c r="Y18" s="53" t="n">
        <f aca="false">W18+X18</f>
        <v>56.9</v>
      </c>
      <c r="Z18" s="57" t="n">
        <v>0</v>
      </c>
      <c r="AA18" s="83" t="n">
        <v>56</v>
      </c>
      <c r="AB18" s="58" t="n">
        <v>21</v>
      </c>
      <c r="AC18" s="59" t="n">
        <f aca="false">AC17+1</f>
        <v>9</v>
      </c>
      <c r="AD18" s="88"/>
      <c r="AE18" s="90"/>
      <c r="AF18" s="89"/>
    </row>
    <row r="19" customFormat="false" ht="11.1" hidden="false" customHeight="true" outlineLevel="0" collapsed="false">
      <c r="A19" s="59" t="n">
        <f aca="false">A18+1</f>
        <v>10</v>
      </c>
      <c r="B19" s="74" t="n">
        <v>6896.43</v>
      </c>
      <c r="C19" s="54" t="n">
        <v>270598</v>
      </c>
      <c r="D19" s="58" t="n">
        <f aca="false">C19-C18</f>
        <v>180</v>
      </c>
      <c r="E19" s="54" t="n">
        <f aca="false">C19-152000</f>
        <v>118598</v>
      </c>
      <c r="F19" s="53" t="n">
        <f aca="false">D19/$D$2</f>
        <v>90.7486765817998</v>
      </c>
      <c r="G19" s="53" t="n">
        <v>90</v>
      </c>
      <c r="H19" s="99" t="n">
        <v>3.6</v>
      </c>
      <c r="I19" s="53" t="n">
        <f aca="false">G19+H19</f>
        <v>93.6</v>
      </c>
      <c r="J19" s="75" t="n">
        <f aca="false">IF(L19&gt;0,L19,0)</f>
        <v>54.0486765817998</v>
      </c>
      <c r="K19" s="53" t="n">
        <f aca="false">I19+J19</f>
        <v>147.6486765818</v>
      </c>
      <c r="L19" s="53" t="n">
        <f aca="false">F19-(I19-W19)</f>
        <v>54.0486765817998</v>
      </c>
      <c r="M19" s="100" t="n">
        <v>5.9</v>
      </c>
      <c r="N19" s="53" t="n">
        <v>0</v>
      </c>
      <c r="O19" s="53" t="n">
        <f aca="false">M19-N19</f>
        <v>5.9</v>
      </c>
      <c r="P19" s="53" t="n">
        <v>0</v>
      </c>
      <c r="Q19" s="53" t="n">
        <v>0</v>
      </c>
      <c r="R19" s="53" t="n">
        <f aca="false">SUM(O19:Q19)</f>
        <v>5.9</v>
      </c>
      <c r="S19" s="54"/>
      <c r="T19" s="53" t="n">
        <v>0</v>
      </c>
      <c r="U19" s="53" t="n">
        <v>51</v>
      </c>
      <c r="V19" s="54" t="n">
        <f aca="false">V18-U19</f>
        <v>923</v>
      </c>
      <c r="W19" s="53" t="n">
        <f aca="false">R19+T19+N19+U19</f>
        <v>56.9</v>
      </c>
      <c r="X19" s="53" t="n">
        <f aca="false">IF(L19&lt;0,L19*-1,0)</f>
        <v>0</v>
      </c>
      <c r="Y19" s="53" t="n">
        <f aca="false">W19+X19</f>
        <v>56.9</v>
      </c>
      <c r="Z19" s="57" t="n">
        <v>0</v>
      </c>
      <c r="AA19" s="58" t="n">
        <v>54</v>
      </c>
      <c r="AB19" s="58" t="n">
        <v>26</v>
      </c>
      <c r="AC19" s="59" t="n">
        <f aca="false">AC18+1</f>
        <v>10</v>
      </c>
      <c r="AD19" s="88"/>
      <c r="AE19" s="90"/>
      <c r="AF19" s="89"/>
    </row>
    <row r="20" customFormat="false" ht="11.1" hidden="false" customHeight="true" outlineLevel="0" collapsed="false">
      <c r="A20" s="59" t="n">
        <f aca="false">A19+1</f>
        <v>11</v>
      </c>
      <c r="B20" s="74" t="n">
        <v>6896.45</v>
      </c>
      <c r="C20" s="54" t="n">
        <v>270670</v>
      </c>
      <c r="D20" s="58" t="n">
        <f aca="false">C20-C19</f>
        <v>72</v>
      </c>
      <c r="E20" s="54" t="n">
        <f aca="false">C20-152000</f>
        <v>118670</v>
      </c>
      <c r="F20" s="53" t="n">
        <f aca="false">D20/$D$2</f>
        <v>36.2994706327199</v>
      </c>
      <c r="G20" s="53" t="n">
        <v>91</v>
      </c>
      <c r="H20" s="99" t="n">
        <v>3.7</v>
      </c>
      <c r="I20" s="53" t="n">
        <f aca="false">G20+H20</f>
        <v>94.7</v>
      </c>
      <c r="J20" s="75" t="n">
        <f aca="false">IF(L20&gt;0,L20,0)</f>
        <v>0</v>
      </c>
      <c r="K20" s="53" t="n">
        <f aca="false">I20+J20</f>
        <v>94.7</v>
      </c>
      <c r="L20" s="53" t="n">
        <f aca="false">F20-(I20-W20)</f>
        <v>-1.50052936728007</v>
      </c>
      <c r="M20" s="100" t="n">
        <v>5.9</v>
      </c>
      <c r="N20" s="53" t="n">
        <v>0</v>
      </c>
      <c r="O20" s="53" t="n">
        <f aca="false">M20-N20</f>
        <v>5.9</v>
      </c>
      <c r="P20" s="53" t="n">
        <v>0</v>
      </c>
      <c r="Q20" s="53" t="n">
        <v>0</v>
      </c>
      <c r="R20" s="53" t="n">
        <f aca="false">SUM(O20:Q20)</f>
        <v>5.9</v>
      </c>
      <c r="S20" s="54"/>
      <c r="T20" s="53" t="n">
        <v>0</v>
      </c>
      <c r="U20" s="53" t="n">
        <v>51</v>
      </c>
      <c r="V20" s="54" t="n">
        <f aca="false">V19-U20</f>
        <v>872</v>
      </c>
      <c r="W20" s="53" t="n">
        <f aca="false">R20+T20+N20+U20</f>
        <v>56.9</v>
      </c>
      <c r="X20" s="53" t="n">
        <f aca="false">IF(L20&lt;0,L20*-1,0)</f>
        <v>1.50052936728007</v>
      </c>
      <c r="Y20" s="53" t="n">
        <f aca="false">W20+X20</f>
        <v>58.4005293672801</v>
      </c>
      <c r="Z20" s="57" t="n">
        <v>0.03</v>
      </c>
      <c r="AA20" s="58" t="n">
        <v>55</v>
      </c>
      <c r="AB20" s="58" t="n">
        <v>34</v>
      </c>
      <c r="AC20" s="59" t="n">
        <f aca="false">AC19+1</f>
        <v>11</v>
      </c>
      <c r="AD20" s="88"/>
      <c r="AE20" s="90"/>
      <c r="AF20" s="89"/>
    </row>
    <row r="21" customFormat="false" ht="11.1" hidden="false" customHeight="true" outlineLevel="0" collapsed="false">
      <c r="A21" s="59" t="n">
        <f aca="false">A20+1</f>
        <v>12</v>
      </c>
      <c r="B21" s="74" t="n">
        <v>6896.47</v>
      </c>
      <c r="C21" s="54" t="n">
        <v>270741</v>
      </c>
      <c r="D21" s="58" t="n">
        <f aca="false">C21-C20</f>
        <v>71</v>
      </c>
      <c r="E21" s="54" t="n">
        <f aca="false">C21-152000</f>
        <v>118741</v>
      </c>
      <c r="F21" s="53" t="n">
        <f aca="false">D21/$D$2</f>
        <v>35.7953113183766</v>
      </c>
      <c r="G21" s="53" t="n">
        <v>92</v>
      </c>
      <c r="H21" s="99" t="n">
        <v>3.9</v>
      </c>
      <c r="I21" s="53" t="n">
        <f aca="false">G21+H21</f>
        <v>95.9</v>
      </c>
      <c r="J21" s="75" t="n">
        <f aca="false">IF(L21&gt;0,L21,0)</f>
        <v>0</v>
      </c>
      <c r="K21" s="53" t="n">
        <f aca="false">I21+J21</f>
        <v>95.9</v>
      </c>
      <c r="L21" s="53" t="n">
        <f aca="false">F21-(I21-W21)</f>
        <v>-3.2046886816234</v>
      </c>
      <c r="M21" s="100" t="n">
        <v>5.9</v>
      </c>
      <c r="N21" s="53" t="n">
        <v>0</v>
      </c>
      <c r="O21" s="53" t="n">
        <f aca="false">M21-N21</f>
        <v>5.9</v>
      </c>
      <c r="P21" s="53" t="n">
        <v>0</v>
      </c>
      <c r="Q21" s="53" t="n">
        <v>0</v>
      </c>
      <c r="R21" s="53" t="n">
        <f aca="false">SUM(O21:Q21)</f>
        <v>5.9</v>
      </c>
      <c r="S21" s="54"/>
      <c r="T21" s="53" t="n">
        <v>0</v>
      </c>
      <c r="U21" s="53" t="n">
        <v>51</v>
      </c>
      <c r="V21" s="54" t="n">
        <f aca="false">V20-U21</f>
        <v>821</v>
      </c>
      <c r="W21" s="53" t="n">
        <f aca="false">R21+T21+N21+U21</f>
        <v>56.9</v>
      </c>
      <c r="X21" s="53" t="n">
        <f aca="false">IF(L21&lt;0,L21*-1,0)</f>
        <v>3.2046886816234</v>
      </c>
      <c r="Y21" s="53" t="n">
        <f aca="false">W21+X21</f>
        <v>60.1046886816234</v>
      </c>
      <c r="Z21" s="57" t="n">
        <v>0</v>
      </c>
      <c r="AA21" s="58" t="n">
        <v>45</v>
      </c>
      <c r="AB21" s="58" t="n">
        <v>27</v>
      </c>
      <c r="AC21" s="59" t="n">
        <f aca="false">AC20+1</f>
        <v>12</v>
      </c>
      <c r="AD21" s="88"/>
      <c r="AE21" s="90"/>
      <c r="AF21" s="89"/>
    </row>
    <row r="22" customFormat="false" ht="11.1" hidden="false" customHeight="true" outlineLevel="0" collapsed="false">
      <c r="A22" s="59" t="n">
        <f aca="false">A21+1</f>
        <v>13</v>
      </c>
      <c r="B22" s="74" t="n">
        <v>6896.5</v>
      </c>
      <c r="C22" s="54" t="n">
        <v>270849</v>
      </c>
      <c r="D22" s="58" t="n">
        <f aca="false">C22-C21</f>
        <v>108</v>
      </c>
      <c r="E22" s="54" t="n">
        <f aca="false">C22-152000</f>
        <v>118849</v>
      </c>
      <c r="F22" s="53" t="n">
        <f aca="false">D22/$D$2</f>
        <v>54.4492059490799</v>
      </c>
      <c r="G22" s="53" t="n">
        <v>81</v>
      </c>
      <c r="H22" s="99" t="n">
        <v>3.4</v>
      </c>
      <c r="I22" s="53" t="n">
        <f aca="false">G22+H22</f>
        <v>84.4</v>
      </c>
      <c r="J22" s="75" t="n">
        <f aca="false">IF(L22&gt;0,L22,0)</f>
        <v>26.9492059490799</v>
      </c>
      <c r="K22" s="53" t="n">
        <f aca="false">I22+J22</f>
        <v>111.34920594908</v>
      </c>
      <c r="L22" s="53" t="n">
        <f aca="false">F22-(I22-W22)</f>
        <v>26.9492059490799</v>
      </c>
      <c r="M22" s="100" t="n">
        <v>5.9</v>
      </c>
      <c r="N22" s="53" t="n">
        <v>0</v>
      </c>
      <c r="O22" s="53" t="n">
        <f aca="false">M22-N22</f>
        <v>5.9</v>
      </c>
      <c r="P22" s="53" t="n">
        <v>0</v>
      </c>
      <c r="Q22" s="53" t="n">
        <v>0</v>
      </c>
      <c r="R22" s="53" t="n">
        <f aca="false">SUM(O22:Q22)</f>
        <v>5.9</v>
      </c>
      <c r="S22" s="54"/>
      <c r="T22" s="53" t="n">
        <v>0</v>
      </c>
      <c r="U22" s="53" t="n">
        <v>51</v>
      </c>
      <c r="V22" s="54" t="n">
        <f aca="false">V21-U22</f>
        <v>770</v>
      </c>
      <c r="W22" s="53" t="n">
        <f aca="false">R22+T22+N22+U22</f>
        <v>56.9</v>
      </c>
      <c r="X22" s="53" t="n">
        <f aca="false">IF(L22&lt;0,L22*-1,0)</f>
        <v>0</v>
      </c>
      <c r="Y22" s="53" t="n">
        <f aca="false">W22+X22</f>
        <v>56.9</v>
      </c>
      <c r="Z22" s="57" t="n">
        <v>0</v>
      </c>
      <c r="AA22" s="58" t="n">
        <v>60</v>
      </c>
      <c r="AB22" s="58" t="n">
        <v>21</v>
      </c>
      <c r="AC22" s="59" t="n">
        <f aca="false">AC21+1</f>
        <v>13</v>
      </c>
      <c r="AD22" s="88"/>
      <c r="AE22" s="90"/>
      <c r="AF22" s="89"/>
    </row>
    <row r="23" customFormat="false" ht="11.1" hidden="false" customHeight="true" outlineLevel="0" collapsed="false">
      <c r="A23" s="59" t="n">
        <f aca="false">A22+1</f>
        <v>14</v>
      </c>
      <c r="B23" s="74" t="n">
        <v>6896.54</v>
      </c>
      <c r="C23" s="54" t="n">
        <v>270992</v>
      </c>
      <c r="D23" s="58" t="n">
        <f aca="false">C23-C22</f>
        <v>143</v>
      </c>
      <c r="E23" s="54" t="n">
        <f aca="false">C23-152000</f>
        <v>118992</v>
      </c>
      <c r="F23" s="53" t="n">
        <f aca="false">D23/$D$2</f>
        <v>72.0947819510966</v>
      </c>
      <c r="G23" s="53" t="n">
        <v>88</v>
      </c>
      <c r="H23" s="55" t="n">
        <v>3.7</v>
      </c>
      <c r="I23" s="53" t="n">
        <f aca="false">G23+H23</f>
        <v>91.7</v>
      </c>
      <c r="J23" s="75" t="n">
        <f aca="false">IF(L23&gt;0,L23,0)</f>
        <v>37.2947819510965</v>
      </c>
      <c r="K23" s="53" t="n">
        <f aca="false">I23+J23</f>
        <v>128.994781951097</v>
      </c>
      <c r="L23" s="53" t="n">
        <f aca="false">F23-(I23-W23)</f>
        <v>37.2947819510965</v>
      </c>
      <c r="M23" s="53" t="n">
        <v>5.9</v>
      </c>
      <c r="N23" s="53" t="n">
        <v>0</v>
      </c>
      <c r="O23" s="53" t="n">
        <f aca="false">M23-N23</f>
        <v>5.9</v>
      </c>
      <c r="P23" s="53" t="n">
        <v>0</v>
      </c>
      <c r="Q23" s="53" t="n">
        <v>0</v>
      </c>
      <c r="R23" s="53" t="n">
        <f aca="false">SUM(O23:Q23)</f>
        <v>5.9</v>
      </c>
      <c r="S23" s="54"/>
      <c r="T23" s="53" t="n">
        <v>0</v>
      </c>
      <c r="U23" s="53" t="n">
        <v>51</v>
      </c>
      <c r="V23" s="54" t="n">
        <f aca="false">V22-U23</f>
        <v>719</v>
      </c>
      <c r="W23" s="53" t="n">
        <f aca="false">R23+T23+N23+U23</f>
        <v>56.9</v>
      </c>
      <c r="X23" s="53" t="n">
        <f aca="false">IF(L23&lt;0,L23*-1,0)</f>
        <v>0</v>
      </c>
      <c r="Y23" s="53" t="n">
        <f aca="false">W23+X23</f>
        <v>56.9</v>
      </c>
      <c r="Z23" s="57" t="n">
        <v>0</v>
      </c>
      <c r="AA23" s="83" t="n">
        <v>64</v>
      </c>
      <c r="AB23" s="58" t="n">
        <v>22</v>
      </c>
      <c r="AC23" s="59" t="n">
        <f aca="false">AC22+1</f>
        <v>14</v>
      </c>
      <c r="AD23" s="88"/>
      <c r="AE23" s="90"/>
      <c r="AF23" s="89"/>
    </row>
    <row r="24" customFormat="false" ht="11.1" hidden="false" customHeight="true" outlineLevel="0" collapsed="false">
      <c r="A24" s="59" t="n">
        <f aca="false">A23+1</f>
        <v>15</v>
      </c>
      <c r="B24" s="74" t="n">
        <v>6896.61</v>
      </c>
      <c r="C24" s="54" t="n">
        <v>271244</v>
      </c>
      <c r="D24" s="58" t="n">
        <f aca="false">C24-C23</f>
        <v>252</v>
      </c>
      <c r="E24" s="54" t="n">
        <f aca="false">C24-152000</f>
        <v>119244</v>
      </c>
      <c r="F24" s="53" t="n">
        <f aca="false">D24/$D$2</f>
        <v>127.04814721452</v>
      </c>
      <c r="G24" s="53" t="n">
        <v>107</v>
      </c>
      <c r="H24" s="55" t="n">
        <v>4.7</v>
      </c>
      <c r="I24" s="53" t="n">
        <f aca="false">G24+H24</f>
        <v>111.7</v>
      </c>
      <c r="J24" s="75" t="n">
        <f aca="false">IF(L24&gt;0,L24,0)</f>
        <v>72.2481472145198</v>
      </c>
      <c r="K24" s="53" t="n">
        <f aca="false">I24+J24</f>
        <v>183.94814721452</v>
      </c>
      <c r="L24" s="53" t="n">
        <f aca="false">F24-(I24-W24)</f>
        <v>72.2481472145198</v>
      </c>
      <c r="M24" s="53" t="n">
        <v>5.9</v>
      </c>
      <c r="N24" s="53" t="n">
        <v>0</v>
      </c>
      <c r="O24" s="53" t="n">
        <f aca="false">M24-N24</f>
        <v>5.9</v>
      </c>
      <c r="P24" s="53" t="n">
        <v>0</v>
      </c>
      <c r="Q24" s="53" t="n">
        <v>0</v>
      </c>
      <c r="R24" s="53" t="n">
        <f aca="false">SUM(O24:Q24)</f>
        <v>5.9</v>
      </c>
      <c r="S24" s="54"/>
      <c r="T24" s="53" t="n">
        <v>0</v>
      </c>
      <c r="U24" s="53" t="n">
        <v>51</v>
      </c>
      <c r="V24" s="54" t="n">
        <f aca="false">V23-U24</f>
        <v>668</v>
      </c>
      <c r="W24" s="53" t="n">
        <f aca="false">R24+T24+N24+U24</f>
        <v>56.9</v>
      </c>
      <c r="X24" s="53" t="n">
        <f aca="false">IF(L24&lt;0,L24*-1,0)</f>
        <v>0</v>
      </c>
      <c r="Y24" s="53" t="n">
        <f aca="false">W24+X24</f>
        <v>56.9</v>
      </c>
      <c r="Z24" s="57" t="n">
        <v>0</v>
      </c>
      <c r="AA24" s="83" t="n">
        <v>66</v>
      </c>
      <c r="AB24" s="58" t="n">
        <v>31</v>
      </c>
      <c r="AC24" s="59" t="n">
        <f aca="false">AC23+1</f>
        <v>15</v>
      </c>
      <c r="AD24" s="88"/>
      <c r="AE24" s="90"/>
      <c r="AF24" s="89"/>
    </row>
    <row r="25" customFormat="false" ht="11.1" hidden="false" customHeight="true" outlineLevel="0" collapsed="false">
      <c r="A25" s="59" t="n">
        <f aca="false">A24+1</f>
        <v>16</v>
      </c>
      <c r="B25" s="74" t="n">
        <v>6896.75</v>
      </c>
      <c r="C25" s="54" t="n">
        <v>271746</v>
      </c>
      <c r="D25" s="58" t="n">
        <f aca="false">C25-C24</f>
        <v>502</v>
      </c>
      <c r="E25" s="54" t="n">
        <f aca="false">C25-152000</f>
        <v>119746</v>
      </c>
      <c r="F25" s="53" t="n">
        <f aca="false">D25/$D$2</f>
        <v>253.087975800353</v>
      </c>
      <c r="G25" s="53" t="n">
        <v>122</v>
      </c>
      <c r="H25" s="55" t="n">
        <v>4.4</v>
      </c>
      <c r="I25" s="53" t="n">
        <f aca="false">G25+H25</f>
        <v>126.4</v>
      </c>
      <c r="J25" s="75" t="n">
        <f aca="false">IF(L25&gt;0,L25,0)</f>
        <v>183.587975800353</v>
      </c>
      <c r="K25" s="53" t="n">
        <f aca="false">I25+J25</f>
        <v>309.987975800353</v>
      </c>
      <c r="L25" s="53" t="n">
        <f aca="false">F25-(I25-W25)</f>
        <v>183.587975800353</v>
      </c>
      <c r="M25" s="53" t="n">
        <v>5.9</v>
      </c>
      <c r="N25" s="53" t="n">
        <v>0</v>
      </c>
      <c r="O25" s="53" t="n">
        <f aca="false">M25-N25</f>
        <v>5.9</v>
      </c>
      <c r="P25" s="53" t="n">
        <v>0</v>
      </c>
      <c r="Q25" s="53" t="n">
        <v>0</v>
      </c>
      <c r="R25" s="53" t="n">
        <f aca="false">SUM(O25:Q25)</f>
        <v>5.9</v>
      </c>
      <c r="S25" s="54"/>
      <c r="T25" s="53" t="n">
        <v>0</v>
      </c>
      <c r="U25" s="53" t="n">
        <v>51</v>
      </c>
      <c r="V25" s="54" t="n">
        <f aca="false">V24-U25</f>
        <v>617</v>
      </c>
      <c r="W25" s="53" t="n">
        <f aca="false">R25+T25+N25+U25</f>
        <v>56.9</v>
      </c>
      <c r="X25" s="53" t="n">
        <f aca="false">IF(L25&lt;0,L25*-1,0)</f>
        <v>0</v>
      </c>
      <c r="Y25" s="53" t="n">
        <f aca="false">W25+X25</f>
        <v>56.9</v>
      </c>
      <c r="Z25" s="57" t="n">
        <v>0</v>
      </c>
      <c r="AA25" s="83" t="n">
        <v>67</v>
      </c>
      <c r="AB25" s="58" t="n">
        <v>30</v>
      </c>
      <c r="AC25" s="59" t="n">
        <f aca="false">AC24+1</f>
        <v>16</v>
      </c>
      <c r="AD25" s="88"/>
      <c r="AE25" s="91"/>
      <c r="AF25" s="89"/>
    </row>
    <row r="26" customFormat="false" ht="11.1" hidden="false" customHeight="true" outlineLevel="0" collapsed="false">
      <c r="A26" s="59" t="n">
        <f aca="false">A25+1</f>
        <v>17</v>
      </c>
      <c r="B26" s="74" t="n">
        <v>6896.8</v>
      </c>
      <c r="C26" s="54" t="n">
        <v>271926</v>
      </c>
      <c r="D26" s="58" t="n">
        <f aca="false">C26-C25</f>
        <v>180</v>
      </c>
      <c r="E26" s="54" t="n">
        <f aca="false">C26-152000</f>
        <v>119926</v>
      </c>
      <c r="F26" s="53" t="n">
        <f aca="false">D26/$D$2</f>
        <v>90.7486765817998</v>
      </c>
      <c r="G26" s="53" t="n">
        <v>140</v>
      </c>
      <c r="H26" s="55" t="n">
        <v>3</v>
      </c>
      <c r="I26" s="53" t="n">
        <f aca="false">G26+H26</f>
        <v>143</v>
      </c>
      <c r="J26" s="75" t="n">
        <f aca="false">IF(L26&gt;0,L26,0)</f>
        <v>15.7486765817998</v>
      </c>
      <c r="K26" s="53" t="n">
        <f aca="false">I26+J26</f>
        <v>158.7486765818</v>
      </c>
      <c r="L26" s="53" t="n">
        <f aca="false">F26-(I26-W26)</f>
        <v>15.7486765817998</v>
      </c>
      <c r="M26" s="53" t="n">
        <v>17</v>
      </c>
      <c r="N26" s="53" t="n">
        <v>0</v>
      </c>
      <c r="O26" s="53" t="n">
        <f aca="false">M26-N26</f>
        <v>17</v>
      </c>
      <c r="P26" s="53" t="n">
        <v>0</v>
      </c>
      <c r="Q26" s="53" t="n">
        <v>0</v>
      </c>
      <c r="R26" s="53" t="n">
        <f aca="false">SUM(O26:Q26)</f>
        <v>17</v>
      </c>
      <c r="S26" s="54"/>
      <c r="T26" s="53" t="n">
        <v>0</v>
      </c>
      <c r="U26" s="53" t="n">
        <v>51</v>
      </c>
      <c r="V26" s="54" t="n">
        <f aca="false">V25-U26</f>
        <v>566</v>
      </c>
      <c r="W26" s="53" t="n">
        <f aca="false">R26+T26+N26+U26</f>
        <v>68</v>
      </c>
      <c r="X26" s="53" t="n">
        <f aca="false">IF(L26&lt;0,L26*-1,0)</f>
        <v>0</v>
      </c>
      <c r="Y26" s="53" t="n">
        <f aca="false">W26+X26</f>
        <v>68</v>
      </c>
      <c r="Z26" s="57" t="n">
        <v>0.02</v>
      </c>
      <c r="AA26" s="83" t="n">
        <v>62</v>
      </c>
      <c r="AB26" s="58" t="n">
        <v>34</v>
      </c>
      <c r="AC26" s="59" t="n">
        <f aca="false">AC25+1</f>
        <v>17</v>
      </c>
      <c r="AD26" s="88"/>
      <c r="AE26" s="90"/>
      <c r="AF26" s="89"/>
    </row>
    <row r="27" customFormat="false" ht="11.1" hidden="false" customHeight="true" outlineLevel="0" collapsed="false">
      <c r="A27" s="59" t="n">
        <f aca="false">A26+1</f>
        <v>18</v>
      </c>
      <c r="B27" s="74" t="n">
        <v>6896.89</v>
      </c>
      <c r="C27" s="54" t="n">
        <v>272248</v>
      </c>
      <c r="D27" s="58" t="n">
        <f aca="false">C27-C26</f>
        <v>322</v>
      </c>
      <c r="E27" s="54" t="n">
        <f aca="false">C27-152000</f>
        <v>120248</v>
      </c>
      <c r="F27" s="53" t="n">
        <f aca="false">D27/$D$2</f>
        <v>162.339299218553</v>
      </c>
      <c r="G27" s="53" t="n">
        <v>150</v>
      </c>
      <c r="H27" s="55" t="n">
        <v>2.7</v>
      </c>
      <c r="I27" s="53" t="n">
        <f aca="false">G27+H27</f>
        <v>152.7</v>
      </c>
      <c r="J27" s="75" t="n">
        <f aca="false">IF(L27&gt;0,L27,0)</f>
        <v>79.6392992185531</v>
      </c>
      <c r="K27" s="53" t="n">
        <f aca="false">I27+J27</f>
        <v>232.339299218553</v>
      </c>
      <c r="L27" s="53" t="n">
        <f aca="false">F27-(I27-W27)</f>
        <v>79.6392992185531</v>
      </c>
      <c r="M27" s="53" t="n">
        <v>19</v>
      </c>
      <c r="N27" s="53" t="n">
        <v>0</v>
      </c>
      <c r="O27" s="53" t="n">
        <f aca="false">M27-N27</f>
        <v>19</v>
      </c>
      <c r="P27" s="53" t="n">
        <v>0</v>
      </c>
      <c r="Q27" s="53" t="n">
        <v>0</v>
      </c>
      <c r="R27" s="53" t="n">
        <f aca="false">SUM(O27:Q27)</f>
        <v>19</v>
      </c>
      <c r="S27" s="54"/>
      <c r="T27" s="53" t="n">
        <v>0</v>
      </c>
      <c r="U27" s="53" t="n">
        <v>51</v>
      </c>
      <c r="V27" s="54" t="n">
        <f aca="false">V26-U27</f>
        <v>515</v>
      </c>
      <c r="W27" s="53" t="n">
        <f aca="false">R27+T27+N27+U27</f>
        <v>70</v>
      </c>
      <c r="X27" s="53" t="n">
        <f aca="false">IF(L27&lt;0,L27*-1,0)</f>
        <v>0</v>
      </c>
      <c r="Y27" s="53" t="n">
        <f aca="false">W27+X27</f>
        <v>70</v>
      </c>
      <c r="Z27" s="57" t="n">
        <v>0</v>
      </c>
      <c r="AA27" s="83" t="n">
        <v>60</v>
      </c>
      <c r="AB27" s="58" t="n">
        <v>25</v>
      </c>
      <c r="AC27" s="59" t="n">
        <f aca="false">AC26+1</f>
        <v>18</v>
      </c>
      <c r="AD27" s="88"/>
      <c r="AE27" s="90"/>
      <c r="AF27" s="89"/>
    </row>
    <row r="28" customFormat="false" ht="11.1" hidden="false" customHeight="true" outlineLevel="0" collapsed="false">
      <c r="A28" s="59" t="n">
        <f aca="false">A27+1</f>
        <v>19</v>
      </c>
      <c r="B28" s="74" t="n">
        <v>6896.98</v>
      </c>
      <c r="C28" s="94" t="n">
        <v>272571</v>
      </c>
      <c r="D28" s="58" t="n">
        <f aca="false">C28-C27</f>
        <v>323</v>
      </c>
      <c r="E28" s="54" t="n">
        <f aca="false">C28-152000</f>
        <v>120571</v>
      </c>
      <c r="F28" s="53" t="n">
        <f aca="false">D28/$D$2</f>
        <v>162.843458532896</v>
      </c>
      <c r="G28" s="53" t="n">
        <v>165</v>
      </c>
      <c r="H28" s="55" t="n">
        <v>2.9</v>
      </c>
      <c r="I28" s="53" t="n">
        <f aca="false">G28+H28</f>
        <v>167.9</v>
      </c>
      <c r="J28" s="75" t="n">
        <f aca="false">IF(L28&gt;0,L28,0)</f>
        <v>56.9434585328964</v>
      </c>
      <c r="K28" s="53" t="n">
        <f aca="false">I28+J28</f>
        <v>224.843458532896</v>
      </c>
      <c r="L28" s="53" t="n">
        <f aca="false">F28-(I28-W28)</f>
        <v>56.9434585328964</v>
      </c>
      <c r="M28" s="53" t="n">
        <v>11</v>
      </c>
      <c r="N28" s="53" t="n">
        <v>0</v>
      </c>
      <c r="O28" s="53" t="n">
        <f aca="false">M28-N28</f>
        <v>11</v>
      </c>
      <c r="P28" s="53" t="n">
        <v>0</v>
      </c>
      <c r="Q28" s="53" t="n">
        <v>0</v>
      </c>
      <c r="R28" s="53" t="n">
        <f aca="false">SUM(O28:Q28)</f>
        <v>11</v>
      </c>
      <c r="S28" s="54"/>
      <c r="T28" s="53" t="n">
        <v>0</v>
      </c>
      <c r="U28" s="53" t="n">
        <v>51</v>
      </c>
      <c r="V28" s="54" t="n">
        <f aca="false">V27-U28</f>
        <v>464</v>
      </c>
      <c r="W28" s="53" t="n">
        <f aca="false">R28+T28+N28+U28</f>
        <v>62</v>
      </c>
      <c r="X28" s="53" t="n">
        <f aca="false">IF(L28&lt;0,L28*-1,0)</f>
        <v>0</v>
      </c>
      <c r="Y28" s="53" t="n">
        <f aca="false">W28+X28</f>
        <v>62</v>
      </c>
      <c r="Z28" s="57" t="n">
        <v>0</v>
      </c>
      <c r="AA28" s="83" t="n">
        <v>62</v>
      </c>
      <c r="AB28" s="58" t="n">
        <v>26</v>
      </c>
      <c r="AC28" s="59" t="n">
        <f aca="false">AC27+1</f>
        <v>19</v>
      </c>
      <c r="AD28" s="88"/>
      <c r="AE28" s="90"/>
      <c r="AF28" s="89"/>
    </row>
    <row r="29" customFormat="false" ht="11.1" hidden="false" customHeight="true" outlineLevel="0" collapsed="false">
      <c r="A29" s="59" t="n">
        <f aca="false">A28+1</f>
        <v>20</v>
      </c>
      <c r="B29" s="74" t="n">
        <v>6897.07</v>
      </c>
      <c r="C29" s="54" t="n">
        <v>272896</v>
      </c>
      <c r="D29" s="58" t="n">
        <f aca="false">C29-C28</f>
        <v>325</v>
      </c>
      <c r="E29" s="54" t="n">
        <f aca="false">C29-152000</f>
        <v>120896</v>
      </c>
      <c r="F29" s="53" t="n">
        <f aca="false">D29/$D$2</f>
        <v>163.851777161583</v>
      </c>
      <c r="G29" s="53" t="n">
        <v>207</v>
      </c>
      <c r="H29" s="55" t="n">
        <v>3.1</v>
      </c>
      <c r="I29" s="53" t="n">
        <f aca="false">G29+H29</f>
        <v>210.1</v>
      </c>
      <c r="J29" s="75" t="n">
        <f aca="false">IF(L29&gt;0,L29,0)</f>
        <v>17.751777161583</v>
      </c>
      <c r="K29" s="53" t="n">
        <f aca="false">I29+J29</f>
        <v>227.851777161583</v>
      </c>
      <c r="L29" s="53" t="n">
        <f aca="false">F29-(I29-W29)</f>
        <v>17.751777161583</v>
      </c>
      <c r="M29" s="53" t="n">
        <v>13</v>
      </c>
      <c r="N29" s="53" t="n">
        <v>0</v>
      </c>
      <c r="O29" s="53" t="n">
        <f aca="false">M29-N29</f>
        <v>13</v>
      </c>
      <c r="P29" s="53" t="n">
        <v>0</v>
      </c>
      <c r="Q29" s="53" t="n">
        <v>0</v>
      </c>
      <c r="R29" s="53" t="n">
        <f aca="false">SUM(O29:Q29)</f>
        <v>13</v>
      </c>
      <c r="S29" s="54"/>
      <c r="T29" s="53" t="n">
        <v>0</v>
      </c>
      <c r="U29" s="53" t="n">
        <v>51</v>
      </c>
      <c r="V29" s="54" t="n">
        <f aca="false">V28-U29</f>
        <v>413</v>
      </c>
      <c r="W29" s="53" t="n">
        <f aca="false">R29+T29+N29+U29</f>
        <v>64</v>
      </c>
      <c r="X29" s="53" t="n">
        <f aca="false">IF(L29&lt;0,L29*-1,0)</f>
        <v>0</v>
      </c>
      <c r="Y29" s="53" t="n">
        <f aca="false">W29+X29</f>
        <v>64</v>
      </c>
      <c r="Z29" s="57" t="n">
        <v>0</v>
      </c>
      <c r="AA29" s="83" t="n">
        <v>66</v>
      </c>
      <c r="AB29" s="58" t="n">
        <v>30</v>
      </c>
      <c r="AC29" s="59" t="n">
        <f aca="false">AC28+1</f>
        <v>20</v>
      </c>
      <c r="AD29" s="88"/>
      <c r="AE29" s="90"/>
      <c r="AF29" s="89"/>
    </row>
    <row r="30" customFormat="false" ht="11.1" hidden="false" customHeight="true" outlineLevel="0" collapsed="false">
      <c r="A30" s="59" t="n">
        <f aca="false">A29+1</f>
        <v>21</v>
      </c>
      <c r="B30" s="74" t="n">
        <v>6897.25</v>
      </c>
      <c r="C30" s="54" t="n">
        <v>273548</v>
      </c>
      <c r="D30" s="58" t="n">
        <f aca="false">C30-C29</f>
        <v>652</v>
      </c>
      <c r="E30" s="54" t="n">
        <f aca="false">C30-152000</f>
        <v>121548</v>
      </c>
      <c r="F30" s="53" t="n">
        <f aca="false">D30/$D$2</f>
        <v>328.711872951853</v>
      </c>
      <c r="G30" s="100" t="n">
        <v>254</v>
      </c>
      <c r="H30" s="55" t="n">
        <v>3.5</v>
      </c>
      <c r="I30" s="53" t="n">
        <f aca="false">G30+H30</f>
        <v>257.5</v>
      </c>
      <c r="J30" s="75" t="n">
        <f aca="false">IF(L30&gt;0,L30,0)</f>
        <v>135.211872951853</v>
      </c>
      <c r="K30" s="53" t="n">
        <f aca="false">I30+J30</f>
        <v>392.711872951853</v>
      </c>
      <c r="L30" s="53" t="n">
        <f aca="false">F30-(I30-W30)</f>
        <v>135.211872951853</v>
      </c>
      <c r="M30" s="53" t="n">
        <v>13</v>
      </c>
      <c r="N30" s="53" t="n">
        <v>0</v>
      </c>
      <c r="O30" s="53" t="n">
        <f aca="false">M30-N30</f>
        <v>13</v>
      </c>
      <c r="P30" s="53" t="n">
        <v>0</v>
      </c>
      <c r="Q30" s="53" t="n">
        <v>0</v>
      </c>
      <c r="R30" s="53" t="n">
        <f aca="false">SUM(O30:Q30)</f>
        <v>13</v>
      </c>
      <c r="S30" s="54"/>
      <c r="T30" s="53" t="n">
        <v>0</v>
      </c>
      <c r="U30" s="53" t="n">
        <v>51</v>
      </c>
      <c r="V30" s="54" t="n">
        <f aca="false">V29-U30</f>
        <v>362</v>
      </c>
      <c r="W30" s="53" t="n">
        <f aca="false">R30+T30+N30+U30</f>
        <v>64</v>
      </c>
      <c r="X30" s="53" t="n">
        <f aca="false">IF(L30&lt;0,L30*-1,0)</f>
        <v>0</v>
      </c>
      <c r="Y30" s="53" t="n">
        <f aca="false">W30+X30</f>
        <v>64</v>
      </c>
      <c r="Z30" s="57" t="n">
        <v>0</v>
      </c>
      <c r="AA30" s="58" t="n">
        <v>66</v>
      </c>
      <c r="AB30" s="58" t="n">
        <v>40</v>
      </c>
      <c r="AC30" s="59" t="n">
        <f aca="false">AC29+1</f>
        <v>21</v>
      </c>
      <c r="AD30" s="88"/>
      <c r="AE30" s="90"/>
      <c r="AF30" s="89"/>
    </row>
    <row r="31" customFormat="false" ht="11.1" hidden="false" customHeight="true" outlineLevel="0" collapsed="false">
      <c r="A31" s="59" t="n">
        <f aca="false">A30+1</f>
        <v>22</v>
      </c>
      <c r="B31" s="74" t="n">
        <v>6897.4</v>
      </c>
      <c r="C31" s="54" t="n">
        <v>274090</v>
      </c>
      <c r="D31" s="58" t="n">
        <f aca="false">C31-C30</f>
        <v>542</v>
      </c>
      <c r="E31" s="54" t="n">
        <f aca="false">C31-152000</f>
        <v>122090</v>
      </c>
      <c r="F31" s="53" t="n">
        <f aca="false">D31/$D$2</f>
        <v>273.254348374086</v>
      </c>
      <c r="G31" s="53" t="n">
        <v>304</v>
      </c>
      <c r="H31" s="55" t="n">
        <v>3.5</v>
      </c>
      <c r="I31" s="53" t="n">
        <f aca="false">G31+H31</f>
        <v>307.5</v>
      </c>
      <c r="J31" s="75" t="n">
        <f aca="false">IF(L31&gt;0,L31,0)</f>
        <v>66.7543483740862</v>
      </c>
      <c r="K31" s="53" t="n">
        <f aca="false">I31+J31</f>
        <v>374.254348374086</v>
      </c>
      <c r="L31" s="53" t="n">
        <f aca="false">F31-(I31-W31)</f>
        <v>66.7543483740862</v>
      </c>
      <c r="M31" s="53" t="n">
        <v>50</v>
      </c>
      <c r="N31" s="53" t="n">
        <v>0</v>
      </c>
      <c r="O31" s="53" t="n">
        <f aca="false">M31-N31</f>
        <v>50</v>
      </c>
      <c r="P31" s="53" t="n">
        <v>0</v>
      </c>
      <c r="Q31" s="53" t="n">
        <v>0</v>
      </c>
      <c r="R31" s="53" t="n">
        <f aca="false">SUM(O31:Q31)</f>
        <v>50</v>
      </c>
      <c r="S31" s="54"/>
      <c r="T31" s="53" t="n">
        <v>0</v>
      </c>
      <c r="U31" s="53" t="n">
        <v>51</v>
      </c>
      <c r="V31" s="54" t="n">
        <f aca="false">V30-U31</f>
        <v>311</v>
      </c>
      <c r="W31" s="53" t="n">
        <f aca="false">R31+T31+N31+U31</f>
        <v>101</v>
      </c>
      <c r="X31" s="53" t="n">
        <f aca="false">IF(L31&lt;0,L31*-1,0)</f>
        <v>0</v>
      </c>
      <c r="Y31" s="53" t="n">
        <f aca="false">W31+X31</f>
        <v>101</v>
      </c>
      <c r="Z31" s="57" t="n">
        <v>0</v>
      </c>
      <c r="AA31" s="58" t="n">
        <v>62</v>
      </c>
      <c r="AB31" s="58" t="n">
        <v>27</v>
      </c>
      <c r="AC31" s="59" t="n">
        <f aca="false">AC30+1</f>
        <v>22</v>
      </c>
      <c r="AD31" s="88"/>
      <c r="AE31" s="90"/>
      <c r="AF31" s="89"/>
    </row>
    <row r="32" customFormat="false" ht="11.1" hidden="false" customHeight="true" outlineLevel="0" collapsed="false">
      <c r="A32" s="59" t="n">
        <f aca="false">A31+1</f>
        <v>23</v>
      </c>
      <c r="B32" s="74" t="n">
        <v>6897.55</v>
      </c>
      <c r="C32" s="54" t="n">
        <v>274633</v>
      </c>
      <c r="D32" s="58" t="n">
        <f aca="false">C32-C31</f>
        <v>543</v>
      </c>
      <c r="E32" s="54" t="n">
        <f aca="false">C32-152000</f>
        <v>122633</v>
      </c>
      <c r="F32" s="53" t="n">
        <f aca="false">D32/$D$2</f>
        <v>273.758507688429</v>
      </c>
      <c r="G32" s="53" t="n">
        <v>329</v>
      </c>
      <c r="H32" s="55" t="n">
        <v>3.3</v>
      </c>
      <c r="I32" s="53" t="n">
        <f aca="false">G32+H32</f>
        <v>332.3</v>
      </c>
      <c r="J32" s="75" t="n">
        <f aca="false">IF(L32&gt;0,L32,0)</f>
        <v>51.4585076884295</v>
      </c>
      <c r="K32" s="53" t="n">
        <f aca="false">I32+J32</f>
        <v>383.75850768843</v>
      </c>
      <c r="L32" s="53" t="n">
        <f aca="false">F32-(I32-W32)</f>
        <v>51.4585076884295</v>
      </c>
      <c r="M32" s="53" t="n">
        <v>59</v>
      </c>
      <c r="N32" s="53" t="n">
        <v>0</v>
      </c>
      <c r="O32" s="53" t="n">
        <f aca="false">M32-N32</f>
        <v>59</v>
      </c>
      <c r="P32" s="53" t="n">
        <v>0</v>
      </c>
      <c r="Q32" s="53" t="n">
        <v>0</v>
      </c>
      <c r="R32" s="53" t="n">
        <f aca="false">SUM(O32:Q32)</f>
        <v>59</v>
      </c>
      <c r="S32" s="54"/>
      <c r="T32" s="53" t="n">
        <v>0</v>
      </c>
      <c r="U32" s="53" t="n">
        <v>51</v>
      </c>
      <c r="V32" s="54" t="n">
        <f aca="false">V31-U32</f>
        <v>260</v>
      </c>
      <c r="W32" s="53" t="n">
        <f aca="false">R32+T32+N32+U32</f>
        <v>110</v>
      </c>
      <c r="X32" s="53" t="n">
        <f aca="false">IF(L32&lt;0,L32*-1,0)</f>
        <v>0</v>
      </c>
      <c r="Y32" s="53" t="n">
        <f aca="false">W32+X32</f>
        <v>110</v>
      </c>
      <c r="Z32" s="57" t="n">
        <v>0</v>
      </c>
      <c r="AA32" s="58" t="n">
        <v>61</v>
      </c>
      <c r="AB32" s="83" t="n">
        <v>26</v>
      </c>
      <c r="AC32" s="59" t="n">
        <f aca="false">AC31+1</f>
        <v>23</v>
      </c>
      <c r="AD32" s="88"/>
      <c r="AE32" s="90"/>
      <c r="AF32" s="89"/>
    </row>
    <row r="33" customFormat="false" ht="11.1" hidden="false" customHeight="true" outlineLevel="0" collapsed="false">
      <c r="A33" s="59" t="n">
        <f aca="false">A32+1</f>
        <v>24</v>
      </c>
      <c r="B33" s="74" t="n">
        <v>6897.65</v>
      </c>
      <c r="C33" s="54" t="n">
        <v>274995</v>
      </c>
      <c r="D33" s="58" t="n">
        <f aca="false">C33-C32</f>
        <v>362</v>
      </c>
      <c r="E33" s="54" t="n">
        <f aca="false">C33-152000</f>
        <v>122995</v>
      </c>
      <c r="F33" s="53" t="n">
        <f aca="false">D33/$D$2</f>
        <v>182.505671792286</v>
      </c>
      <c r="G33" s="53" t="n">
        <v>305</v>
      </c>
      <c r="H33" s="55" t="n">
        <v>3</v>
      </c>
      <c r="I33" s="53" t="n">
        <f aca="false">G33+H33</f>
        <v>308</v>
      </c>
      <c r="J33" s="75" t="n">
        <f aca="false">IF(L33&gt;0,L33,0)</f>
        <v>0</v>
      </c>
      <c r="K33" s="53" t="n">
        <f aca="false">I33+J33</f>
        <v>308</v>
      </c>
      <c r="L33" s="53" t="n">
        <f aca="false">F33-(I33-W33)</f>
        <v>-13.5943282077136</v>
      </c>
      <c r="M33" s="53" t="n">
        <v>56</v>
      </c>
      <c r="N33" s="53" t="n">
        <f aca="false">21.69*1.05</f>
        <v>22.7745</v>
      </c>
      <c r="O33" s="53" t="n">
        <f aca="false">M33-N33</f>
        <v>33.2255</v>
      </c>
      <c r="P33" s="53" t="n">
        <v>0</v>
      </c>
      <c r="Q33" s="53" t="n">
        <v>4.9</v>
      </c>
      <c r="R33" s="53" t="n">
        <f aca="false">SUM(O33:Q33)</f>
        <v>38.1255</v>
      </c>
      <c r="S33" s="54"/>
      <c r="T33" s="53" t="n">
        <v>0</v>
      </c>
      <c r="U33" s="53" t="n">
        <v>51</v>
      </c>
      <c r="V33" s="54" t="n">
        <f aca="false">V32-U33</f>
        <v>209</v>
      </c>
      <c r="W33" s="53" t="n">
        <f aca="false">R33+T33+N33+U33</f>
        <v>111.9</v>
      </c>
      <c r="X33" s="53" t="n">
        <f aca="false">IF(L33&lt;0,L33*-1,0)</f>
        <v>13.5943282077136</v>
      </c>
      <c r="Y33" s="53" t="n">
        <f aca="false">W33+X33</f>
        <v>125.494328207714</v>
      </c>
      <c r="Z33" s="57" t="n">
        <v>0</v>
      </c>
      <c r="AA33" s="58" t="n">
        <v>66</v>
      </c>
      <c r="AB33" s="83" t="n">
        <v>25</v>
      </c>
      <c r="AC33" s="59" t="n">
        <f aca="false">AC32+1</f>
        <v>24</v>
      </c>
      <c r="AD33" s="88"/>
      <c r="AE33" s="90"/>
      <c r="AF33" s="89"/>
    </row>
    <row r="34" customFormat="false" ht="11.1" hidden="false" customHeight="true" outlineLevel="0" collapsed="false">
      <c r="A34" s="59" t="n">
        <f aca="false">A33+1</f>
        <v>25</v>
      </c>
      <c r="B34" s="74" t="n">
        <v>6897.78</v>
      </c>
      <c r="C34" s="54" t="n">
        <v>275465</v>
      </c>
      <c r="D34" s="58" t="n">
        <f aca="false">C34-C33</f>
        <v>470</v>
      </c>
      <c r="E34" s="54" t="n">
        <f aca="false">C34-152000</f>
        <v>123465</v>
      </c>
      <c r="F34" s="53" t="n">
        <f aca="false">D34/$D$2</f>
        <v>236.954877741366</v>
      </c>
      <c r="G34" s="53" t="n">
        <v>357</v>
      </c>
      <c r="H34" s="55" t="n">
        <v>2.5</v>
      </c>
      <c r="I34" s="53" t="n">
        <f aca="false">G34+H34</f>
        <v>359.5</v>
      </c>
      <c r="J34" s="75" t="n">
        <f aca="false">IF(L34&gt;0,L34,0)</f>
        <v>0</v>
      </c>
      <c r="K34" s="53" t="n">
        <f aca="false">I34+J34</f>
        <v>359.5</v>
      </c>
      <c r="L34" s="53" t="n">
        <f aca="false">F34-(I34-W34)</f>
        <v>-20.1451222586338</v>
      </c>
      <c r="M34" s="53" t="n">
        <v>45</v>
      </c>
      <c r="N34" s="53" t="n">
        <f aca="false">12.03+12.4*1.05</f>
        <v>25.05</v>
      </c>
      <c r="O34" s="53" t="n">
        <f aca="false">M34-N34</f>
        <v>19.95</v>
      </c>
      <c r="P34" s="53" t="n">
        <v>0</v>
      </c>
      <c r="Q34" s="53" t="n">
        <v>6.4</v>
      </c>
      <c r="R34" s="53" t="n">
        <f aca="false">SUM(O34:Q34)</f>
        <v>26.35</v>
      </c>
      <c r="S34" s="54"/>
      <c r="T34" s="53" t="n">
        <v>0</v>
      </c>
      <c r="U34" s="53" t="n">
        <v>51</v>
      </c>
      <c r="V34" s="54" t="n">
        <f aca="false">V33-U34</f>
        <v>158</v>
      </c>
      <c r="W34" s="53" t="n">
        <f aca="false">R34+T34+N34+U34</f>
        <v>102.4</v>
      </c>
      <c r="X34" s="53" t="n">
        <f aca="false">IF(L34&lt;0,L34*-1,0)</f>
        <v>20.1451222586338</v>
      </c>
      <c r="Y34" s="53" t="n">
        <f aca="false">W34+X34</f>
        <v>122.545122258634</v>
      </c>
      <c r="Z34" s="57" t="n">
        <v>0</v>
      </c>
      <c r="AA34" s="58" t="n">
        <v>66</v>
      </c>
      <c r="AB34" s="83" t="n">
        <v>36</v>
      </c>
      <c r="AC34" s="59" t="n">
        <f aca="false">AC33+1</f>
        <v>25</v>
      </c>
      <c r="AD34" s="88"/>
      <c r="AE34" s="90"/>
      <c r="AF34" s="89"/>
    </row>
    <row r="35" customFormat="false" ht="11.1" hidden="false" customHeight="true" outlineLevel="0" collapsed="false">
      <c r="A35" s="59" t="n">
        <f aca="false">A34+1</f>
        <v>26</v>
      </c>
      <c r="B35" s="74" t="n">
        <v>6898</v>
      </c>
      <c r="C35" s="54" t="n">
        <v>276261</v>
      </c>
      <c r="D35" s="58" t="n">
        <f aca="false">C35-C34</f>
        <v>796</v>
      </c>
      <c r="E35" s="54" t="n">
        <f aca="false">C35-152000</f>
        <v>124261</v>
      </c>
      <c r="F35" s="53" t="n">
        <f aca="false">D35/$D$2</f>
        <v>401.310814217293</v>
      </c>
      <c r="G35" s="53" t="n">
        <v>419</v>
      </c>
      <c r="H35" s="55" t="n">
        <v>2.3</v>
      </c>
      <c r="I35" s="53" t="n">
        <f aca="false">G35+H35</f>
        <v>421.3</v>
      </c>
      <c r="J35" s="75" t="n">
        <f aca="false">IF(L35&gt;0,L35,0)</f>
        <v>52.2108142172926</v>
      </c>
      <c r="K35" s="53" t="n">
        <f aca="false">I35+J35</f>
        <v>473.510814217293</v>
      </c>
      <c r="L35" s="53" t="n">
        <f aca="false">F35-(I35-W35)</f>
        <v>52.2108142172926</v>
      </c>
      <c r="M35" s="53" t="n">
        <v>14</v>
      </c>
      <c r="N35" s="53" t="n">
        <v>0</v>
      </c>
      <c r="O35" s="53" t="n">
        <f aca="false">M35-N35</f>
        <v>14</v>
      </c>
      <c r="P35" s="53" t="n">
        <v>0</v>
      </c>
      <c r="Q35" s="53" t="n">
        <v>7.2</v>
      </c>
      <c r="R35" s="53" t="n">
        <f aca="false">SUM(O35:Q35)</f>
        <v>21.2</v>
      </c>
      <c r="S35" s="54"/>
      <c r="T35" s="53" t="n">
        <v>0</v>
      </c>
      <c r="U35" s="53" t="n">
        <v>51</v>
      </c>
      <c r="V35" s="54" t="n">
        <f aca="false">V34-U35</f>
        <v>107</v>
      </c>
      <c r="W35" s="53" t="n">
        <f aca="false">R35+T35+N35+U35</f>
        <v>72.2</v>
      </c>
      <c r="X35" s="53" t="n">
        <f aca="false">IF(L35&lt;0,L35*-1,0)</f>
        <v>0</v>
      </c>
      <c r="Y35" s="53" t="n">
        <f aca="false">W35+X35</f>
        <v>72.2</v>
      </c>
      <c r="Z35" s="57" t="n">
        <v>0</v>
      </c>
      <c r="AA35" s="58" t="n">
        <v>62</v>
      </c>
      <c r="AB35" s="58" t="n">
        <v>33</v>
      </c>
      <c r="AC35" s="59" t="n">
        <f aca="false">AC34+1</f>
        <v>26</v>
      </c>
      <c r="AD35" s="88"/>
      <c r="AE35" s="90"/>
      <c r="AF35" s="89"/>
    </row>
    <row r="36" customFormat="false" ht="11.1" hidden="false" customHeight="true" outlineLevel="0" collapsed="false">
      <c r="A36" s="59" t="n">
        <f aca="false">A35+1</f>
        <v>27</v>
      </c>
      <c r="B36" s="74" t="n">
        <v>6898.2</v>
      </c>
      <c r="C36" s="54" t="n">
        <v>276990</v>
      </c>
      <c r="D36" s="58" t="n">
        <f aca="false">C36-C35</f>
        <v>729</v>
      </c>
      <c r="E36" s="54" t="n">
        <f aca="false">C36-152000</f>
        <v>124990</v>
      </c>
      <c r="F36" s="53" t="n">
        <f aca="false">D36/$D$2</f>
        <v>367.532140156289</v>
      </c>
      <c r="G36" s="53" t="n">
        <v>396</v>
      </c>
      <c r="H36" s="55" t="n">
        <v>2.2</v>
      </c>
      <c r="I36" s="53" t="n">
        <f aca="false">G36+H36</f>
        <v>398.2</v>
      </c>
      <c r="J36" s="75" t="n">
        <f aca="false">IF(L36&gt;0,L36,0)</f>
        <v>42.6321401562894</v>
      </c>
      <c r="K36" s="53" t="n">
        <f aca="false">I36+J36</f>
        <v>440.832140156289</v>
      </c>
      <c r="L36" s="53" t="n">
        <f aca="false">F36-(I36-W36)</f>
        <v>42.6321401562894</v>
      </c>
      <c r="M36" s="53" t="n">
        <v>15</v>
      </c>
      <c r="N36" s="53" t="n">
        <v>0</v>
      </c>
      <c r="O36" s="53" t="n">
        <f aca="false">M36-N36</f>
        <v>15</v>
      </c>
      <c r="P36" s="53" t="n">
        <v>0</v>
      </c>
      <c r="Q36" s="53" t="n">
        <v>7.3</v>
      </c>
      <c r="R36" s="53" t="n">
        <f aca="false">SUM(O36:Q36)</f>
        <v>22.3</v>
      </c>
      <c r="S36" s="54"/>
      <c r="T36" s="53" t="n">
        <v>0</v>
      </c>
      <c r="U36" s="53" t="n">
        <v>51</v>
      </c>
      <c r="V36" s="54" t="n">
        <f aca="false">V35-U36</f>
        <v>56</v>
      </c>
      <c r="W36" s="53" t="n">
        <f aca="false">R36+T36+N36+U36</f>
        <v>73.3</v>
      </c>
      <c r="X36" s="53" t="n">
        <f aca="false">IF(L36&lt;0,L36*-1,0)</f>
        <v>0</v>
      </c>
      <c r="Y36" s="53" t="n">
        <f aca="false">W36+X36</f>
        <v>73.3</v>
      </c>
      <c r="Z36" s="57" t="n">
        <v>0</v>
      </c>
      <c r="AA36" s="58" t="n">
        <v>63</v>
      </c>
      <c r="AB36" s="58" t="n">
        <v>32</v>
      </c>
      <c r="AC36" s="59" t="n">
        <f aca="false">AC35+1</f>
        <v>27</v>
      </c>
      <c r="AD36" s="88"/>
      <c r="AE36" s="90"/>
      <c r="AF36" s="89"/>
    </row>
    <row r="37" customFormat="false" ht="11.1" hidden="false" customHeight="true" outlineLevel="0" collapsed="false">
      <c r="A37" s="59" t="n">
        <f aca="false">A36+1</f>
        <v>28</v>
      </c>
      <c r="B37" s="74" t="n">
        <v>6898.4</v>
      </c>
      <c r="C37" s="54" t="n">
        <v>277719</v>
      </c>
      <c r="D37" s="58" t="n">
        <f aca="false">C37-C36</f>
        <v>729</v>
      </c>
      <c r="E37" s="54" t="n">
        <f aca="false">C37-152000</f>
        <v>125719</v>
      </c>
      <c r="F37" s="53" t="n">
        <f aca="false">D37/$D$2</f>
        <v>367.532140156289</v>
      </c>
      <c r="G37" s="53" t="n">
        <v>382</v>
      </c>
      <c r="H37" s="55" t="n">
        <v>2</v>
      </c>
      <c r="I37" s="53" t="n">
        <f aca="false">G37+H37</f>
        <v>384</v>
      </c>
      <c r="J37" s="75" t="n">
        <f aca="false">IF(L37&gt;0,L37,0)</f>
        <v>57.9321401562893</v>
      </c>
      <c r="K37" s="53" t="n">
        <f aca="false">I37+J37</f>
        <v>441.932140156289</v>
      </c>
      <c r="L37" s="53" t="n">
        <f aca="false">F37-(I37-W37)</f>
        <v>57.9321401562893</v>
      </c>
      <c r="M37" s="53" t="n">
        <v>16</v>
      </c>
      <c r="N37" s="53" t="n">
        <v>0</v>
      </c>
      <c r="O37" s="53" t="n">
        <f aca="false">M37-N37</f>
        <v>16</v>
      </c>
      <c r="P37" s="53" t="n">
        <v>0</v>
      </c>
      <c r="Q37" s="53" t="n">
        <v>7.4</v>
      </c>
      <c r="R37" s="53" t="n">
        <f aca="false">SUM(O37:Q37)</f>
        <v>23.4</v>
      </c>
      <c r="S37" s="54"/>
      <c r="T37" s="53" t="n">
        <v>0</v>
      </c>
      <c r="U37" s="53" t="n">
        <v>51</v>
      </c>
      <c r="V37" s="54" t="n">
        <f aca="false">V36-U37</f>
        <v>5</v>
      </c>
      <c r="W37" s="53" t="n">
        <f aca="false">R37+T37+N37+U37</f>
        <v>74.4</v>
      </c>
      <c r="X37" s="53" t="n">
        <f aca="false">IF(L37&lt;0,L37*-1,0)</f>
        <v>0</v>
      </c>
      <c r="Y37" s="53" t="n">
        <f aca="false">W37+X37</f>
        <v>74.4</v>
      </c>
      <c r="Z37" s="57" t="n">
        <v>0</v>
      </c>
      <c r="AA37" s="58" t="n">
        <v>61</v>
      </c>
      <c r="AB37" s="58" t="n">
        <v>25</v>
      </c>
      <c r="AC37" s="59" t="n">
        <f aca="false">AC36+1</f>
        <v>28</v>
      </c>
      <c r="AD37" s="88"/>
      <c r="AE37" s="90"/>
      <c r="AF37" s="89"/>
    </row>
    <row r="38" customFormat="false" ht="11.1" hidden="false" customHeight="true" outlineLevel="0" collapsed="false">
      <c r="A38" s="59" t="n">
        <f aca="false">A37+1</f>
        <v>29</v>
      </c>
      <c r="B38" s="74" t="n">
        <v>6898.56</v>
      </c>
      <c r="C38" s="54" t="n">
        <v>278302</v>
      </c>
      <c r="D38" s="58" t="n">
        <f aca="false">C38-C37</f>
        <v>583</v>
      </c>
      <c r="E38" s="54" t="n">
        <f aca="false">C38-152000</f>
        <v>126302</v>
      </c>
      <c r="F38" s="53" t="n">
        <f aca="false">D38/$D$2</f>
        <v>293.924880262163</v>
      </c>
      <c r="G38" s="53" t="n">
        <v>366</v>
      </c>
      <c r="H38" s="55" t="n">
        <v>1.8</v>
      </c>
      <c r="I38" s="53" t="n">
        <f aca="false">G38+H38</f>
        <v>367.8</v>
      </c>
      <c r="J38" s="75" t="n">
        <f aca="false">IF(L38&gt;0,L38,0)</f>
        <v>17.2248802621628</v>
      </c>
      <c r="K38" s="53" t="n">
        <f aca="false">I38+J38</f>
        <v>385.024880262163</v>
      </c>
      <c r="L38" s="53" t="n">
        <f aca="false">F38-(I38-W38)</f>
        <v>17.2248802621628</v>
      </c>
      <c r="M38" s="53" t="n">
        <v>33</v>
      </c>
      <c r="N38" s="53" t="n">
        <f aca="false">3.15+3.69*1.05</f>
        <v>7.0245</v>
      </c>
      <c r="O38" s="53" t="n">
        <f aca="false">M38-N38</f>
        <v>25.9755</v>
      </c>
      <c r="P38" s="53" t="n">
        <v>0</v>
      </c>
      <c r="Q38" s="53" t="n">
        <v>7.1</v>
      </c>
      <c r="R38" s="53" t="n">
        <f aca="false">SUM(O38:Q38)</f>
        <v>33.0755</v>
      </c>
      <c r="S38" s="54"/>
      <c r="T38" s="53" t="n">
        <v>0</v>
      </c>
      <c r="U38" s="53" t="n">
        <v>51</v>
      </c>
      <c r="V38" s="54" t="n">
        <f aca="false">V37-U38</f>
        <v>-46</v>
      </c>
      <c r="W38" s="53" t="n">
        <f aca="false">R38+T38+N38+U38</f>
        <v>91.1</v>
      </c>
      <c r="X38" s="53" t="n">
        <f aca="false">IF(L38&lt;0,L38*-1,0)</f>
        <v>0</v>
      </c>
      <c r="Y38" s="53" t="n">
        <f aca="false">W38+X38</f>
        <v>91.1</v>
      </c>
      <c r="Z38" s="57" t="n">
        <v>0</v>
      </c>
      <c r="AA38" s="83" t="n">
        <v>66</v>
      </c>
      <c r="AB38" s="58" t="n">
        <v>27</v>
      </c>
      <c r="AC38" s="59" t="n">
        <f aca="false">AC37+1</f>
        <v>29</v>
      </c>
      <c r="AD38" s="88"/>
      <c r="AE38" s="90"/>
      <c r="AF38" s="89"/>
    </row>
    <row r="39" customFormat="false" ht="11.1" hidden="false" customHeight="true" outlineLevel="0" collapsed="false">
      <c r="A39" s="59" t="n">
        <v>30</v>
      </c>
      <c r="B39" s="74" t="n">
        <v>6898.73</v>
      </c>
      <c r="C39" s="54" t="n">
        <v>278922</v>
      </c>
      <c r="D39" s="58" t="n">
        <f aca="false">C39-C38</f>
        <v>620</v>
      </c>
      <c r="E39" s="54" t="n">
        <f aca="false">C39-152000</f>
        <v>126922</v>
      </c>
      <c r="F39" s="53" t="n">
        <f aca="false">D39/$D$2</f>
        <v>312.578774892866</v>
      </c>
      <c r="G39" s="53" t="n">
        <v>427</v>
      </c>
      <c r="H39" s="55" t="n">
        <v>1.8</v>
      </c>
      <c r="I39" s="53" t="n">
        <f aca="false">G39+H39</f>
        <v>428.8</v>
      </c>
      <c r="J39" s="75" t="n">
        <f aca="false">IF(L39&gt;0,L39,0)</f>
        <v>2.87877489286609</v>
      </c>
      <c r="K39" s="53" t="n">
        <f aca="false">I39+J39</f>
        <v>431.678774892866</v>
      </c>
      <c r="L39" s="53" t="n">
        <f aca="false">F39-(I39-W39)</f>
        <v>2.87877489286609</v>
      </c>
      <c r="M39" s="53" t="n">
        <v>61</v>
      </c>
      <c r="N39" s="53" t="n">
        <f aca="false">0.61+1.16*1.05</f>
        <v>1.828</v>
      </c>
      <c r="O39" s="53" t="n">
        <f aca="false">M39-N39</f>
        <v>59.172</v>
      </c>
      <c r="P39" s="53" t="n">
        <v>0</v>
      </c>
      <c r="Q39" s="53" t="n">
        <v>7.1</v>
      </c>
      <c r="R39" s="53" t="n">
        <f aca="false">SUM(O39:Q39)</f>
        <v>66.272</v>
      </c>
      <c r="S39" s="54"/>
      <c r="T39" s="53" t="n">
        <v>0</v>
      </c>
      <c r="U39" s="53" t="n">
        <v>51</v>
      </c>
      <c r="V39" s="54" t="n">
        <f aca="false">V38-U39</f>
        <v>-97</v>
      </c>
      <c r="W39" s="53" t="n">
        <f aca="false">R39+T39+N39+U39</f>
        <v>119.1</v>
      </c>
      <c r="X39" s="53" t="n">
        <f aca="false">IF(L39&lt;0,L39*-1,0)</f>
        <v>0</v>
      </c>
      <c r="Y39" s="53" t="n">
        <f aca="false">W39+X39</f>
        <v>119.1</v>
      </c>
      <c r="Z39" s="57" t="n">
        <v>0</v>
      </c>
      <c r="AA39" s="83" t="n">
        <v>66</v>
      </c>
      <c r="AB39" s="58" t="n">
        <v>38</v>
      </c>
      <c r="AC39" s="59" t="n">
        <v>30</v>
      </c>
      <c r="AD39" s="88"/>
      <c r="AE39" s="90"/>
      <c r="AF39" s="89"/>
    </row>
    <row r="40" customFormat="false" ht="11.1" hidden="false" customHeight="true" outlineLevel="0" collapsed="false">
      <c r="A40" s="59" t="n">
        <v>31</v>
      </c>
      <c r="B40" s="74" t="n">
        <v>6898.88</v>
      </c>
      <c r="C40" s="54" t="n">
        <v>279469</v>
      </c>
      <c r="D40" s="58" t="n">
        <f aca="false">C40-C39</f>
        <v>547</v>
      </c>
      <c r="E40" s="54" t="n">
        <f aca="false">C40-152000</f>
        <v>127469</v>
      </c>
      <c r="F40" s="53" t="n">
        <f aca="false">D40/$D$2</f>
        <v>275.775144945803</v>
      </c>
      <c r="G40" s="53" t="n">
        <v>409</v>
      </c>
      <c r="H40" s="55" t="n">
        <v>1.7</v>
      </c>
      <c r="I40" s="53" t="n">
        <f aca="false">G40+H40</f>
        <v>410.7</v>
      </c>
      <c r="J40" s="75" t="n">
        <f aca="false">IF(L40&gt;0,L40,0)</f>
        <v>0</v>
      </c>
      <c r="K40" s="53" t="n">
        <f aca="false">I40+J40</f>
        <v>410.7</v>
      </c>
      <c r="L40" s="53" t="n">
        <f aca="false">F40-(I40-W40)</f>
        <v>-22.4248550541971</v>
      </c>
      <c r="M40" s="53" t="n">
        <v>54</v>
      </c>
      <c r="N40" s="53" t="n">
        <f aca="false">9.2+9.23*1.05</f>
        <v>18.8915</v>
      </c>
      <c r="O40" s="53" t="n">
        <f aca="false">M40-N40</f>
        <v>35.1085</v>
      </c>
      <c r="P40" s="53" t="n">
        <v>0</v>
      </c>
      <c r="Q40" s="53" t="n">
        <v>7.5</v>
      </c>
      <c r="R40" s="53" t="n">
        <f aca="false">SUM(O40:Q40)</f>
        <v>42.6085</v>
      </c>
      <c r="S40" s="54"/>
      <c r="T40" s="53" t="n">
        <v>0</v>
      </c>
      <c r="U40" s="53" t="n">
        <v>51</v>
      </c>
      <c r="V40" s="54" t="n">
        <f aca="false">V39-U40</f>
        <v>-148</v>
      </c>
      <c r="W40" s="53" t="n">
        <f aca="false">R40+T40+N40+U40</f>
        <v>112.5</v>
      </c>
      <c r="X40" s="53" t="n">
        <f aca="false">IF(L40&lt;0,L40*-1,0)</f>
        <v>22.4248550541971</v>
      </c>
      <c r="Y40" s="53" t="n">
        <f aca="false">W40+X40</f>
        <v>134.924855054197</v>
      </c>
      <c r="Z40" s="57" t="n">
        <v>0</v>
      </c>
      <c r="AA40" s="83" t="n">
        <v>56</v>
      </c>
      <c r="AB40" s="58" t="n">
        <v>34</v>
      </c>
      <c r="AC40" s="59" t="n">
        <v>31</v>
      </c>
      <c r="AD40" s="88"/>
      <c r="AE40" s="88"/>
      <c r="AF40" s="89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79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8"/>
      <c r="T41" s="76"/>
      <c r="U41" s="76"/>
      <c r="V41" s="76"/>
      <c r="W41" s="76"/>
      <c r="X41" s="76"/>
      <c r="Y41" s="76"/>
      <c r="Z41" s="80"/>
      <c r="AA41" s="81"/>
      <c r="AB41" s="81"/>
      <c r="AC41" s="82"/>
      <c r="AD41" s="88"/>
      <c r="AE41" s="88"/>
      <c r="AF41" s="89"/>
    </row>
    <row r="42" customFormat="false" ht="11.1" hidden="false" customHeight="true" outlineLevel="0" collapsed="false">
      <c r="A42" s="53" t="s">
        <v>45</v>
      </c>
      <c r="B42" s="53"/>
      <c r="C42" s="54"/>
      <c r="D42" s="54"/>
      <c r="E42" s="54"/>
      <c r="F42" s="54" t="n">
        <f aca="false">SUM(F10:F40)</f>
        <v>5663.22157801865</v>
      </c>
      <c r="G42" s="54" t="n">
        <f aca="false">SUM(G10:G40)</f>
        <v>6155</v>
      </c>
      <c r="H42" s="54" t="n">
        <f aca="false">SUM(H10:H40)</f>
        <v>102.5</v>
      </c>
      <c r="I42" s="54" t="n">
        <f aca="false">SUM(I10:I40)</f>
        <v>6257.5</v>
      </c>
      <c r="J42" s="54" t="n">
        <f aca="false">SUM(J10:J40)</f>
        <v>1672.89163095538</v>
      </c>
      <c r="K42" s="54" t="n">
        <f aca="false">SUM(K10:K40)</f>
        <v>7930.39163095538</v>
      </c>
      <c r="L42" s="54" t="n">
        <f aca="false">SUM(L10:L40)</f>
        <v>1604.42157801865</v>
      </c>
      <c r="M42" s="54" t="n">
        <f aca="false">SUM(M10:M40)</f>
        <v>564.8</v>
      </c>
      <c r="N42" s="54" t="n">
        <f aca="false">SUM(N10:N40)</f>
        <v>75.5685</v>
      </c>
      <c r="O42" s="54" t="n">
        <f aca="false">SUM(O10:O40)</f>
        <v>489.2315</v>
      </c>
      <c r="P42" s="54" t="n">
        <f aca="false">SUM(P10:P40)</f>
        <v>0</v>
      </c>
      <c r="Q42" s="54" t="n">
        <f aca="false">SUM(Q10:Q40)</f>
        <v>54.9</v>
      </c>
      <c r="R42" s="54" t="n">
        <f aca="false">SUM(R10:R40)</f>
        <v>544.1315</v>
      </c>
      <c r="S42" s="54"/>
      <c r="T42" s="54" t="n">
        <f aca="false">SUM(T10:T40)</f>
        <v>0</v>
      </c>
      <c r="U42" s="54" t="n">
        <f aca="false">SUM(U10:U40)</f>
        <v>1579</v>
      </c>
      <c r="V42" s="54"/>
      <c r="W42" s="54" t="n">
        <f aca="false">SUM(W10:W40)</f>
        <v>2198.7</v>
      </c>
      <c r="X42" s="54" t="n">
        <f aca="false">SUM(X10:X40)</f>
        <v>68.470052936728</v>
      </c>
      <c r="Y42" s="54" t="n">
        <f aca="false">SUM(Y10:Y40)</f>
        <v>2267.17005293673</v>
      </c>
      <c r="Z42" s="57" t="n">
        <f aca="false">SUM(Z10:Z40)</f>
        <v>0.11</v>
      </c>
      <c r="AA42" s="58" t="n">
        <f aca="false">AVERAGE(AA10:AA40)</f>
        <v>60.1612903225807</v>
      </c>
      <c r="AB42" s="58" t="n">
        <f aca="false">AVERAGE(AB10:AB40)</f>
        <v>28.4838709677419</v>
      </c>
      <c r="AC42" s="59"/>
      <c r="AD42" s="88"/>
      <c r="AE42" s="88"/>
      <c r="AF42" s="89"/>
    </row>
    <row r="43" customFormat="false" ht="11.1" hidden="false" customHeight="true" outlineLevel="0" collapsed="false">
      <c r="A43" s="53" t="s">
        <v>46</v>
      </c>
      <c r="B43" s="53"/>
      <c r="C43" s="54"/>
      <c r="D43" s="54" t="n">
        <f aca="false">SUM(D10:D40)</f>
        <v>11233</v>
      </c>
      <c r="E43" s="54"/>
      <c r="F43" s="54" t="n">
        <f aca="false">F42*$D$2</f>
        <v>11233</v>
      </c>
      <c r="G43" s="54" t="n">
        <f aca="false">G42*$D$2</f>
        <v>12208.4425</v>
      </c>
      <c r="H43" s="54" t="n">
        <f aca="false">H42*$D$2</f>
        <v>203.30875</v>
      </c>
      <c r="I43" s="54" t="n">
        <f aca="false">I42*$D$2</f>
        <v>12411.75125</v>
      </c>
      <c r="J43" s="54" t="n">
        <f aca="false">J42*$D$2</f>
        <v>3318.18055</v>
      </c>
      <c r="K43" s="54" t="n">
        <f aca="false">K42*$D$2</f>
        <v>15729.9318</v>
      </c>
      <c r="L43" s="54" t="n">
        <f aca="false">L42*$D$2</f>
        <v>3182.3702</v>
      </c>
      <c r="M43" s="54" t="n">
        <f aca="false">M42*$D$2</f>
        <v>1120.2808</v>
      </c>
      <c r="N43" s="54" t="n">
        <f aca="false">N42*$D$2</f>
        <v>149.89011975</v>
      </c>
      <c r="O43" s="54" t="n">
        <f aca="false">O42*$D$2</f>
        <v>970.39068025</v>
      </c>
      <c r="P43" s="54" t="n">
        <f aca="false">P42*$D$2</f>
        <v>0</v>
      </c>
      <c r="Q43" s="54" t="n">
        <f aca="false">Q42*$D$2</f>
        <v>108.89415</v>
      </c>
      <c r="R43" s="54" t="n">
        <f aca="false">R42*$D$2</f>
        <v>1079.28483025</v>
      </c>
      <c r="S43" s="54"/>
      <c r="T43" s="54" t="n">
        <f aca="false">T42*$D$2</f>
        <v>0</v>
      </c>
      <c r="U43" s="54" t="n">
        <f aca="false">U42*$D$2</f>
        <v>3131.9465</v>
      </c>
      <c r="V43" s="54"/>
      <c r="W43" s="54" t="n">
        <f aca="false">W42*$D$2</f>
        <v>4361.12145</v>
      </c>
      <c r="X43" s="54" t="n">
        <f aca="false">X42*$D$2</f>
        <v>135.81035</v>
      </c>
      <c r="Y43" s="54" t="n">
        <f aca="false">Y42*$D$2</f>
        <v>4496.9318</v>
      </c>
      <c r="Z43" s="57"/>
      <c r="AA43" s="58" t="n">
        <f aca="false">MAX(AA10:AA40)</f>
        <v>67</v>
      </c>
      <c r="AB43" s="58" t="n">
        <f aca="false">MAX(AB10:AB40)</f>
        <v>40</v>
      </c>
      <c r="AC43" s="59" t="s">
        <v>47</v>
      </c>
      <c r="AD43" s="88"/>
      <c r="AE43" s="88"/>
      <c r="AF43" s="89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6"/>
      <c r="W44" s="78"/>
      <c r="X44" s="78"/>
      <c r="Y44" s="78"/>
      <c r="Z44" s="57"/>
      <c r="AA44" s="58"/>
      <c r="AB44" s="58"/>
      <c r="AC44" s="59"/>
      <c r="AD44" s="88"/>
      <c r="AE44" s="88"/>
      <c r="AF44" s="89"/>
    </row>
    <row r="45" customFormat="false" ht="11.1" hidden="false" customHeight="true" outlineLevel="0" collapsed="false">
      <c r="A45" s="53" t="s">
        <v>48</v>
      </c>
      <c r="B45" s="53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7"/>
      <c r="AA45" s="58" t="n">
        <f aca="false">MIN(AA10:AA40)</f>
        <v>45</v>
      </c>
      <c r="AB45" s="58" t="n">
        <f aca="false">MIN(AB10:AB40)</f>
        <v>21</v>
      </c>
      <c r="AC45" s="59" t="s">
        <v>49</v>
      </c>
      <c r="AD45" s="88"/>
      <c r="AE45" s="88"/>
      <c r="AF45" s="89"/>
    </row>
    <row r="46" customFormat="false" ht="11.1" hidden="false" customHeight="true" outlineLevel="0" collapsed="false">
      <c r="A46" s="53" t="s">
        <v>50</v>
      </c>
      <c r="B46" s="53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7"/>
      <c r="AA46" s="58"/>
      <c r="AB46" s="58"/>
      <c r="AC46" s="59"/>
      <c r="AD46" s="88"/>
      <c r="AE46" s="88"/>
      <c r="AF46" s="89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1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80"/>
      <c r="AA47" s="58"/>
      <c r="AB47" s="58"/>
      <c r="AC47" s="59"/>
      <c r="AD47" s="88"/>
      <c r="AE47" s="88"/>
      <c r="AF47" s="89"/>
    </row>
    <row r="48" customFormat="false" ht="11.1" hidden="false" customHeight="true" outlineLevel="0" collapsed="false">
      <c r="A48" s="53" t="s">
        <v>51</v>
      </c>
      <c r="B48" s="53"/>
      <c r="C48" s="54"/>
      <c r="D48" s="54"/>
      <c r="E48" s="54"/>
      <c r="F48" s="54" t="n">
        <f aca="false">F8+F42</f>
        <v>10763.8013612301</v>
      </c>
      <c r="G48" s="54" t="n">
        <f aca="false">G8+G42</f>
        <v>14433</v>
      </c>
      <c r="H48" s="58" t="n">
        <f aca="false">H8+H42</f>
        <v>330.3</v>
      </c>
      <c r="I48" s="54" t="n">
        <f aca="false">I8+I42</f>
        <v>14758.2</v>
      </c>
      <c r="J48" s="54" t="n">
        <f aca="false">J8+J42</f>
        <v>4250.36793546761</v>
      </c>
      <c r="K48" s="54" t="n">
        <f aca="false">K8+K42</f>
        <v>19011.2726241492</v>
      </c>
      <c r="L48" s="54" t="n">
        <f aca="false">L8+L42</f>
        <v>3707.50136123015</v>
      </c>
      <c r="M48" s="54" t="n">
        <f aca="false">M8+M42</f>
        <v>1235.8</v>
      </c>
      <c r="N48" s="54" t="n">
        <f aca="false">N8+N42</f>
        <v>75.5685</v>
      </c>
      <c r="O48" s="54" t="n">
        <f aca="false">O8+O42</f>
        <v>874.6315</v>
      </c>
      <c r="P48" s="54" t="n">
        <f aca="false">P8+P42</f>
        <v>0</v>
      </c>
      <c r="Q48" s="54" t="n">
        <f aca="false">Q8+Q42</f>
        <v>130.1</v>
      </c>
      <c r="R48" s="54" t="n">
        <f aca="false">R8+R42</f>
        <v>1235.154</v>
      </c>
      <c r="S48" s="54"/>
      <c r="T48" s="54" t="n">
        <f aca="false">T8+T42</f>
        <v>0</v>
      </c>
      <c r="U48" s="54" t="n">
        <f aca="false">U8+U42</f>
        <v>6336</v>
      </c>
      <c r="V48" s="54" t="n">
        <f aca="false">V40</f>
        <v>-148</v>
      </c>
      <c r="W48" s="54" t="n">
        <f aca="false">W8+W42</f>
        <v>7701.9</v>
      </c>
      <c r="X48" s="54" t="n">
        <f aca="false">X8+X42</f>
        <v>542.866574237459</v>
      </c>
      <c r="Y48" s="54" t="n">
        <f aca="false">Y8+Y42</f>
        <v>8244.76657423746</v>
      </c>
      <c r="Z48" s="75" t="n">
        <f aca="false">Z8+Z42</f>
        <v>4.98</v>
      </c>
      <c r="AA48" s="58"/>
      <c r="AB48" s="58"/>
      <c r="AC48" s="59"/>
      <c r="AD48" s="88"/>
      <c r="AE48" s="88"/>
      <c r="AF48" s="89"/>
    </row>
    <row r="49" customFormat="false" ht="11.1" hidden="false" customHeight="true" outlineLevel="0" collapsed="false">
      <c r="A49" s="53" t="s">
        <v>52</v>
      </c>
      <c r="B49" s="53"/>
      <c r="C49" s="54"/>
      <c r="D49" s="54" t="n">
        <f aca="false">D8+D43</f>
        <v>21350</v>
      </c>
      <c r="E49" s="54" t="n">
        <f aca="false">E40</f>
        <v>127469</v>
      </c>
      <c r="F49" s="54" t="n">
        <f aca="false">F48*$D$2</f>
        <v>21350</v>
      </c>
      <c r="G49" s="54" t="n">
        <f aca="false">G48*$D$2</f>
        <v>28627.8555</v>
      </c>
      <c r="H49" s="58" t="n">
        <f aca="false">H48*$D$2</f>
        <v>655.15005</v>
      </c>
      <c r="I49" s="54" t="n">
        <f aca="false">I48*$D$2</f>
        <v>29272.8897</v>
      </c>
      <c r="J49" s="54" t="n">
        <f aca="false">J48*$D$2</f>
        <v>8430.6048</v>
      </c>
      <c r="K49" s="54" t="n">
        <f aca="false">K48*$D$2</f>
        <v>37708.85925</v>
      </c>
      <c r="L49" s="54" t="n">
        <f aca="false">L48*$D$2</f>
        <v>7353.82895</v>
      </c>
      <c r="M49" s="54" t="n">
        <f aca="false">M48*$D$2</f>
        <v>2451.2093</v>
      </c>
      <c r="N49" s="54" t="n">
        <f aca="false">N48*$D$2</f>
        <v>149.89011975</v>
      </c>
      <c r="O49" s="54" t="n">
        <f aca="false">O48*$D$2</f>
        <v>1734.83158025</v>
      </c>
      <c r="P49" s="54" t="n">
        <f aca="false">P48*$D$2</f>
        <v>0</v>
      </c>
      <c r="Q49" s="54" t="n">
        <f aca="false">Q48*$D$2</f>
        <v>258.05335</v>
      </c>
      <c r="R49" s="54" t="n">
        <f aca="false">R48*$D$2</f>
        <v>2449.927959</v>
      </c>
      <c r="S49" s="54" t="n">
        <f aca="false">S48*$D$2</f>
        <v>0</v>
      </c>
      <c r="T49" s="54" t="n">
        <f aca="false">T48*$D$2</f>
        <v>0</v>
      </c>
      <c r="U49" s="54" t="n">
        <f aca="false">U48*$D$2</f>
        <v>12567.456</v>
      </c>
      <c r="V49" s="54" t="n">
        <f aca="false">V48*$D$2</f>
        <v>-293.558</v>
      </c>
      <c r="W49" s="54" t="n">
        <f aca="false">W48*$D$2</f>
        <v>15276.71865</v>
      </c>
      <c r="X49" s="54" t="n">
        <f aca="false">X48*$D$2</f>
        <v>1076.77585</v>
      </c>
      <c r="Y49" s="54" t="n">
        <f aca="false">Y48*$D$2</f>
        <v>16353.4945</v>
      </c>
      <c r="Z49" s="57"/>
      <c r="AA49" s="58"/>
      <c r="AB49" s="58"/>
      <c r="AC49" s="59"/>
      <c r="AD49" s="88"/>
      <c r="AE49" s="88"/>
      <c r="AF49" s="89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79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8"/>
      <c r="T50" s="76"/>
      <c r="U50" s="76"/>
      <c r="V50" s="78"/>
      <c r="W50" s="76"/>
      <c r="X50" s="76"/>
      <c r="Y50" s="76"/>
      <c r="Z50" s="57"/>
      <c r="AA50" s="58"/>
      <c r="AB50" s="58"/>
      <c r="AC50" s="59"/>
      <c r="AD50" s="88"/>
      <c r="AE50" s="88"/>
      <c r="AF50" s="89"/>
    </row>
    <row r="51" customFormat="false" ht="11.1" hidden="false" customHeight="true" outlineLevel="0" collapsed="false">
      <c r="A51" s="53" t="str">
        <f aca="false">"APR 10/97"</f>
        <v>APR 10/97</v>
      </c>
      <c r="B51" s="85"/>
      <c r="C51" s="54"/>
      <c r="D51" s="53"/>
      <c r="E51" s="54"/>
      <c r="F51" s="53"/>
      <c r="G51" s="53"/>
      <c r="H51" s="55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4"/>
      <c r="T51" s="53"/>
      <c r="U51" s="53"/>
      <c r="V51" s="54"/>
      <c r="W51" s="53"/>
      <c r="X51" s="53"/>
      <c r="Y51" s="53"/>
      <c r="Z51" s="57"/>
      <c r="AA51" s="58"/>
      <c r="AB51" s="58"/>
      <c r="AC51" s="59"/>
      <c r="AD51" s="87"/>
      <c r="AE51" s="87"/>
    </row>
    <row r="52" customFormat="false" ht="11.1" hidden="false" customHeight="true" outlineLevel="0" collapsed="false">
      <c r="A52" s="53"/>
      <c r="B52" s="74" t="n">
        <v>6916.24</v>
      </c>
      <c r="C52" s="54" t="n">
        <v>347556</v>
      </c>
      <c r="D52" s="83"/>
      <c r="E52" s="54" t="n">
        <f aca="false">C52-152000</f>
        <v>195556</v>
      </c>
      <c r="F52" s="53"/>
      <c r="G52" s="53"/>
      <c r="H52" s="83"/>
      <c r="I52" s="55"/>
      <c r="J52" s="53"/>
      <c r="K52" s="44"/>
      <c r="L52" s="53"/>
      <c r="M52" s="53"/>
      <c r="N52" s="53"/>
      <c r="O52" s="53"/>
      <c r="P52" s="53"/>
      <c r="Q52" s="53"/>
      <c r="R52" s="53"/>
      <c r="S52" s="54"/>
      <c r="T52" s="53"/>
      <c r="U52" s="53"/>
      <c r="V52" s="54"/>
      <c r="W52" s="53"/>
      <c r="X52" s="53"/>
      <c r="Y52" s="53"/>
      <c r="Z52" s="57"/>
      <c r="AA52" s="58"/>
      <c r="AB52" s="58"/>
      <c r="AC52" s="59"/>
      <c r="AD52" s="87"/>
      <c r="AE52" s="87"/>
    </row>
    <row r="53" customFormat="false" ht="11.1" hidden="false" customHeight="true" outlineLevel="0" collapsed="false">
      <c r="A53" s="83" t="str">
        <f aca="false">"3/13/97 thru 4/9/97"</f>
        <v>3/13/97 thru 4/9/97</v>
      </c>
      <c r="B53" s="83"/>
      <c r="C53" s="54"/>
      <c r="D53" s="54"/>
      <c r="E53" s="54"/>
      <c r="F53" s="83"/>
      <c r="G53" s="83"/>
      <c r="H53" s="55"/>
      <c r="I53" s="83"/>
      <c r="J53" s="83"/>
      <c r="K53" s="83"/>
      <c r="L53" s="83"/>
      <c r="M53" s="75"/>
      <c r="N53" s="75"/>
      <c r="O53" s="75"/>
      <c r="P53" s="83"/>
      <c r="Q53" s="83"/>
      <c r="R53" s="83"/>
      <c r="S53" s="54"/>
      <c r="T53" s="83"/>
      <c r="U53" s="83"/>
      <c r="V53" s="54"/>
      <c r="W53" s="83"/>
      <c r="X53" s="83"/>
      <c r="Y53" s="83"/>
      <c r="Z53" s="57"/>
      <c r="AA53" s="58"/>
      <c r="AB53" s="58"/>
      <c r="AC53" s="59"/>
      <c r="AD53" s="92"/>
      <c r="AE53" s="92"/>
    </row>
    <row r="54" customFormat="false" ht="11.1" hidden="false" customHeight="true" outlineLevel="0" collapsed="false">
      <c r="A54" s="83"/>
      <c r="B54" s="57" t="n">
        <f aca="false">B52-B22</f>
        <v>19.7399999999998</v>
      </c>
      <c r="C54" s="54"/>
      <c r="D54" s="54" t="n">
        <f aca="false">C52-C22</f>
        <v>76707</v>
      </c>
      <c r="E54" s="54"/>
      <c r="F54" s="83"/>
      <c r="G54" s="83"/>
      <c r="H54" s="55"/>
      <c r="I54" s="83"/>
      <c r="J54" s="83"/>
      <c r="K54" s="83"/>
      <c r="L54" s="83"/>
      <c r="M54" s="75"/>
      <c r="N54" s="75"/>
      <c r="O54" s="75"/>
      <c r="P54" s="83"/>
      <c r="Q54" s="83"/>
      <c r="R54" s="83"/>
      <c r="S54" s="54"/>
      <c r="T54" s="83"/>
      <c r="U54" s="83"/>
      <c r="V54" s="54"/>
      <c r="W54" s="83"/>
      <c r="X54" s="83"/>
      <c r="Y54" s="83"/>
      <c r="Z54" s="57"/>
      <c r="AA54" s="58"/>
      <c r="AB54" s="58"/>
      <c r="AC54" s="59"/>
      <c r="AD54" s="92"/>
      <c r="AE54" s="92"/>
    </row>
    <row r="55" customFormat="false" ht="11.1" hidden="false" customHeight="true" outlineLevel="0" collapsed="false">
      <c r="A55" s="83"/>
      <c r="B55" s="83"/>
      <c r="C55" s="54"/>
      <c r="D55" s="83"/>
      <c r="E55" s="54"/>
      <c r="F55" s="83"/>
      <c r="G55" s="86"/>
      <c r="H55" s="55"/>
      <c r="I55" s="83"/>
      <c r="J55" s="83"/>
      <c r="K55" s="83"/>
      <c r="L55" s="83"/>
      <c r="M55" s="75"/>
      <c r="N55" s="75"/>
      <c r="O55" s="75"/>
      <c r="P55" s="83"/>
      <c r="Q55" s="83"/>
      <c r="R55" s="83"/>
      <c r="S55" s="54"/>
      <c r="T55" s="83"/>
      <c r="U55" s="83"/>
      <c r="V55" s="54"/>
      <c r="W55" s="83"/>
      <c r="X55" s="83"/>
      <c r="Y55" s="83"/>
      <c r="Z55" s="57"/>
      <c r="AA55" s="58"/>
      <c r="AB55" s="58"/>
      <c r="AC55" s="59"/>
      <c r="AD55" s="92"/>
      <c r="AE55" s="92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V20" activePane="bottomRight" state="frozen"/>
      <selection pane="topLeft" activeCell="A1" activeCellId="0" sqref="A1"/>
      <selection pane="topRight" activeCell="V1" activeCellId="0" sqref="V1"/>
      <selection pane="bottomLeft" activeCell="A20" activeCellId="0" sqref="A20"/>
      <selection pane="bottomRight" activeCell="U40" activeCellId="0" sqref="U4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3" min="3" style="1" width="7.66"/>
    <col collapsed="false" customWidth="true" hidden="false" outlineLevel="0" max="4" min="4" style="0" width="6.82"/>
    <col collapsed="false" customWidth="true" hidden="false" outlineLevel="0" max="5" min="5" style="1" width="7.66"/>
    <col collapsed="false" customWidth="true" hidden="false" outlineLevel="0" max="7" min="6" style="0" width="7.66"/>
    <col collapsed="false" customWidth="true" hidden="false" outlineLevel="0" max="8" min="8" style="2" width="7.16"/>
    <col collapsed="false" customWidth="true" hidden="false" outlineLevel="0" max="9" min="9" style="0" width="8.82"/>
    <col collapsed="false" customWidth="true" hidden="false" outlineLevel="0" max="10" min="10" style="0" width="6.32"/>
    <col collapsed="false" customWidth="true" hidden="false" outlineLevel="0" max="12" min="11" style="0" width="7.66"/>
    <col collapsed="false" customWidth="true" hidden="false" outlineLevel="0" max="13" min="13" style="3" width="7.49"/>
    <col collapsed="false" customWidth="false" hidden="false" outlineLevel="0" max="15" min="14" style="3" width="9.32"/>
    <col collapsed="false" customWidth="true" hidden="false" outlineLevel="0" max="16" min="16" style="0" width="5.82"/>
    <col collapsed="false" customWidth="true" hidden="false" outlineLevel="0" max="17" min="17" style="0" width="7.16"/>
    <col collapsed="false" customWidth="true" hidden="false" outlineLevel="0" max="18" min="18" style="0" width="6.66"/>
    <col collapsed="false" customWidth="true" hidden="false" outlineLevel="0" max="19" min="19" style="1" width="6.66"/>
    <col collapsed="false" customWidth="true" hidden="false" outlineLevel="0" max="20" min="20" style="0" width="5.82"/>
    <col collapsed="false" customWidth="true" hidden="false" outlineLevel="0" max="21" min="21" style="0" width="7.49"/>
    <col collapsed="false" customWidth="true" hidden="false" outlineLevel="0" max="22" min="22" style="1" width="6.32"/>
    <col collapsed="false" customWidth="true" hidden="false" outlineLevel="0" max="25" min="23" style="0" width="7.82"/>
    <col collapsed="false" customWidth="true" hidden="false" outlineLevel="0" max="26" min="26" style="4" width="5.66"/>
    <col collapsed="false" customWidth="true" hidden="false" outlineLevel="0" max="28" min="27" style="5" width="5.66"/>
    <col collapsed="false" customWidth="true" hidden="false" outlineLevel="0" max="29" min="29" style="6" width="5.66"/>
  </cols>
  <sheetData>
    <row r="1" customFormat="false" ht="14.1" hidden="false" customHeight="true" outlineLevel="0" collapsed="false">
      <c r="A1" s="7"/>
      <c r="B1" s="7"/>
      <c r="C1" s="8"/>
      <c r="D1" s="7"/>
      <c r="E1" s="8"/>
      <c r="F1" s="7"/>
      <c r="G1" s="7"/>
      <c r="H1" s="9"/>
      <c r="I1" s="7"/>
      <c r="J1" s="7"/>
      <c r="K1" s="10" t="s">
        <v>0</v>
      </c>
      <c r="L1" s="7"/>
      <c r="M1" s="7"/>
      <c r="N1" s="7"/>
      <c r="O1" s="7"/>
      <c r="P1" s="7"/>
      <c r="Q1" s="7"/>
      <c r="R1" s="7"/>
      <c r="S1" s="8"/>
      <c r="T1" s="7"/>
      <c r="U1" s="7"/>
      <c r="V1" s="8"/>
      <c r="W1" s="7"/>
      <c r="X1" s="7"/>
      <c r="Y1" s="7"/>
      <c r="Z1" s="11"/>
      <c r="AA1" s="12"/>
      <c r="AB1" s="12"/>
      <c r="AC1" s="13"/>
      <c r="AD1" s="101"/>
      <c r="AE1" s="101"/>
    </row>
    <row r="2" customFormat="false" ht="14.1" hidden="false" customHeight="true" outlineLevel="0" collapsed="false">
      <c r="A2" s="7" t="s">
        <v>1</v>
      </c>
      <c r="B2" s="7"/>
      <c r="C2" s="8"/>
      <c r="D2" s="14" t="n">
        <v>1.9835</v>
      </c>
      <c r="E2" s="8"/>
      <c r="F2" s="7"/>
      <c r="G2" s="7"/>
      <c r="H2" s="9"/>
      <c r="I2" s="7"/>
      <c r="J2" s="7"/>
      <c r="K2" s="102" t="s">
        <v>64</v>
      </c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7"/>
      <c r="X2" s="7"/>
      <c r="Y2" s="7"/>
      <c r="Z2" s="11"/>
      <c r="AA2" s="12"/>
      <c r="AB2" s="12"/>
      <c r="AC2" s="13"/>
      <c r="AD2" s="101"/>
      <c r="AE2" s="101"/>
    </row>
    <row r="3" customFormat="false" ht="11.1" hidden="false" customHeight="true" outlineLevel="0" collapsed="false">
      <c r="A3" s="7"/>
      <c r="B3" s="7"/>
      <c r="C3" s="8"/>
      <c r="D3" s="15"/>
      <c r="E3" s="8"/>
      <c r="F3" s="7"/>
      <c r="G3" s="7"/>
      <c r="H3" s="9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7"/>
      <c r="U3" s="7"/>
      <c r="V3" s="8"/>
      <c r="W3" s="7"/>
      <c r="X3" s="7"/>
      <c r="Y3" s="7" t="n">
        <v>5</v>
      </c>
      <c r="Z3" s="11"/>
      <c r="AA3" s="12"/>
      <c r="AB3" s="12"/>
      <c r="AC3" s="13"/>
      <c r="AD3" s="101"/>
      <c r="AE3" s="101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6" t="s">
        <v>14</v>
      </c>
      <c r="Q4" s="16" t="s">
        <v>15</v>
      </c>
      <c r="R4" s="16" t="s">
        <v>12</v>
      </c>
      <c r="S4" s="17" t="s">
        <v>16</v>
      </c>
      <c r="T4" s="16" t="s">
        <v>17</v>
      </c>
      <c r="U4" s="16" t="s">
        <v>18</v>
      </c>
      <c r="V4" s="17" t="s">
        <v>19</v>
      </c>
      <c r="W4" s="16" t="s">
        <v>10</v>
      </c>
      <c r="X4" s="16" t="s">
        <v>11</v>
      </c>
      <c r="Y4" s="16" t="s">
        <v>12</v>
      </c>
      <c r="Z4" s="20" t="s">
        <v>20</v>
      </c>
      <c r="AA4" s="21" t="s">
        <v>21</v>
      </c>
      <c r="AB4" s="21" t="s">
        <v>22</v>
      </c>
      <c r="AC4" s="21" t="s">
        <v>3</v>
      </c>
      <c r="AD4" s="101"/>
      <c r="AE4" s="101"/>
    </row>
    <row r="5" customFormat="false" ht="11.1" hidden="false" customHeight="true" outlineLevel="0" collapsed="false">
      <c r="A5" s="22" t="s">
        <v>65</v>
      </c>
      <c r="B5" s="16" t="s">
        <v>24</v>
      </c>
      <c r="C5" s="17" t="s">
        <v>5</v>
      </c>
      <c r="D5" s="16" t="s">
        <v>25</v>
      </c>
      <c r="E5" s="17" t="s">
        <v>26</v>
      </c>
      <c r="F5" s="16" t="s">
        <v>27</v>
      </c>
      <c r="G5" s="16" t="s">
        <v>28</v>
      </c>
      <c r="H5" s="18" t="s">
        <v>29</v>
      </c>
      <c r="I5" s="16" t="s">
        <v>30</v>
      </c>
      <c r="J5" s="16" t="s">
        <v>30</v>
      </c>
      <c r="K5" s="16" t="s">
        <v>30</v>
      </c>
      <c r="L5" s="16" t="s">
        <v>31</v>
      </c>
      <c r="M5" s="16" t="s">
        <v>32</v>
      </c>
      <c r="N5" s="16" t="s">
        <v>33</v>
      </c>
      <c r="O5" s="16" t="s">
        <v>66</v>
      </c>
      <c r="P5" s="16" t="s">
        <v>35</v>
      </c>
      <c r="Q5" s="16" t="s">
        <v>36</v>
      </c>
      <c r="R5" s="16" t="s">
        <v>16</v>
      </c>
      <c r="S5" s="17" t="s">
        <v>37</v>
      </c>
      <c r="T5" s="16" t="s">
        <v>38</v>
      </c>
      <c r="U5" s="16" t="s">
        <v>39</v>
      </c>
      <c r="V5" s="17" t="s">
        <v>40</v>
      </c>
      <c r="W5" s="16" t="s">
        <v>41</v>
      </c>
      <c r="X5" s="16" t="s">
        <v>41</v>
      </c>
      <c r="Y5" s="16" t="s">
        <v>41</v>
      </c>
      <c r="Z5" s="24"/>
      <c r="AA5" s="21" t="s">
        <v>42</v>
      </c>
      <c r="AB5" s="21" t="s">
        <v>42</v>
      </c>
      <c r="AC5" s="25" t="s">
        <v>65</v>
      </c>
      <c r="AD5" s="101"/>
      <c r="AE5" s="101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7"/>
      <c r="T6" s="26"/>
      <c r="U6" s="26"/>
      <c r="V6" s="27" t="n">
        <f aca="false">25400+3900+3900+3300+150</f>
        <v>36650</v>
      </c>
      <c r="W6" s="26"/>
      <c r="X6" s="26"/>
      <c r="Y6" s="26"/>
      <c r="Z6" s="11"/>
      <c r="AA6" s="13"/>
      <c r="AB6" s="13"/>
      <c r="AC6" s="13"/>
      <c r="AD6" s="101"/>
      <c r="AE6" s="101"/>
    </row>
    <row r="7" customFormat="false" ht="11.1" hidden="false" customHeight="true" outlineLevel="0" collapsed="false">
      <c r="A7" s="7" t="s">
        <v>43</v>
      </c>
      <c r="B7" s="7"/>
      <c r="C7" s="8"/>
      <c r="D7" s="8"/>
      <c r="E7" s="8"/>
      <c r="F7" s="8"/>
      <c r="G7" s="8"/>
      <c r="H7" s="12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11"/>
      <c r="AA7" s="12"/>
      <c r="AB7" s="12"/>
      <c r="AC7" s="13"/>
      <c r="AD7" s="101"/>
    </row>
    <row r="8" s="1" customFormat="true" ht="11.1" hidden="false" customHeight="true" outlineLevel="0" collapsed="false">
      <c r="A8" s="8" t="s">
        <v>44</v>
      </c>
      <c r="B8" s="31" t="n">
        <f aca="false" t="array" ref="B8:C8">MAR!$B$40:$C$40</f>
        <v>6898.88</v>
      </c>
      <c r="C8" s="8" t="n">
        <v>279469</v>
      </c>
      <c r="D8" s="8" t="n">
        <f aca="false" t="array" ref="D8:E8">MAR!$D$49:$E$49</f>
        <v>21350</v>
      </c>
      <c r="E8" s="8" t="n">
        <v>127469</v>
      </c>
      <c r="F8" s="8" t="n">
        <f aca="false" t="array" ref="F8:U8">MAR!$F$48:$U$48</f>
        <v>10763.8013612301</v>
      </c>
      <c r="G8" s="8" t="n">
        <v>14433</v>
      </c>
      <c r="H8" s="12" t="n">
        <v>330.3</v>
      </c>
      <c r="I8" s="8" t="n">
        <v>14758.2</v>
      </c>
      <c r="J8" s="8" t="n">
        <v>4250.36793546761</v>
      </c>
      <c r="K8" s="8" t="n">
        <v>19011.2726241492</v>
      </c>
      <c r="L8" s="8" t="n">
        <v>3707.50136123015</v>
      </c>
      <c r="M8" s="8" t="n">
        <v>1235.8</v>
      </c>
      <c r="N8" s="8" t="n">
        <v>75.5685</v>
      </c>
      <c r="O8" s="8" t="n">
        <v>874.6315</v>
      </c>
      <c r="P8" s="8" t="n">
        <v>0</v>
      </c>
      <c r="Q8" s="8" t="n">
        <v>130.1</v>
      </c>
      <c r="R8" s="8" t="n">
        <v>1235.154</v>
      </c>
      <c r="S8" s="8" t="n">
        <v>0</v>
      </c>
      <c r="T8" s="8" t="n">
        <v>0</v>
      </c>
      <c r="U8" s="8" t="n">
        <v>6336</v>
      </c>
      <c r="V8" s="8" t="n">
        <f aca="false">V6/D2</f>
        <v>18477.4388706831</v>
      </c>
      <c r="W8" s="8" t="n">
        <f aca="false" t="array" ref="W8:Z8">MAR!$W$48:$Z$48</f>
        <v>7701.9</v>
      </c>
      <c r="X8" s="8" t="n">
        <v>542.866574237459</v>
      </c>
      <c r="Y8" s="8" t="n">
        <v>8244.76657423746</v>
      </c>
      <c r="Z8" s="32" t="n">
        <v>4.98</v>
      </c>
      <c r="AA8" s="12"/>
      <c r="AB8" s="12"/>
      <c r="AC8" s="13"/>
      <c r="AD8" s="103"/>
      <c r="AE8" s="101"/>
    </row>
    <row r="9" customFormat="false" ht="3" hidden="false" customHeight="true" outlineLevel="0" collapsed="false">
      <c r="A9" s="33"/>
      <c r="B9" s="34"/>
      <c r="C9" s="35"/>
      <c r="D9" s="33"/>
      <c r="E9" s="35"/>
      <c r="F9" s="33"/>
      <c r="G9" s="33"/>
      <c r="H9" s="36"/>
      <c r="I9" s="33"/>
      <c r="J9" s="33"/>
      <c r="K9" s="33"/>
      <c r="L9" s="33"/>
      <c r="M9" s="33"/>
      <c r="N9" s="33"/>
      <c r="O9" s="33"/>
      <c r="P9" s="33"/>
      <c r="Q9" s="33"/>
      <c r="R9" s="33"/>
      <c r="S9" s="35"/>
      <c r="T9" s="33"/>
      <c r="U9" s="33"/>
      <c r="V9" s="35"/>
      <c r="W9" s="33"/>
      <c r="X9" s="33"/>
      <c r="Y9" s="33"/>
      <c r="Z9" s="37"/>
      <c r="AA9" s="38"/>
      <c r="AB9" s="38"/>
      <c r="AC9" s="39"/>
      <c r="AD9" s="101"/>
      <c r="AE9" s="101"/>
    </row>
    <row r="10" customFormat="false" ht="11.1" hidden="false" customHeight="true" outlineLevel="0" collapsed="false">
      <c r="A10" s="13" t="n">
        <v>1</v>
      </c>
      <c r="B10" s="31" t="n">
        <v>6899.15</v>
      </c>
      <c r="C10" s="8" t="n">
        <v>280457</v>
      </c>
      <c r="D10" s="12" t="n">
        <f aca="false">C10-C8</f>
        <v>988</v>
      </c>
      <c r="E10" s="8" t="n">
        <f aca="false">C10-152000</f>
        <v>128457</v>
      </c>
      <c r="F10" s="7" t="n">
        <f aca="false">D10/$D$2</f>
        <v>498.109402571213</v>
      </c>
      <c r="G10" s="7" t="n">
        <v>375</v>
      </c>
      <c r="H10" s="9" t="n">
        <v>1.9</v>
      </c>
      <c r="I10" s="7" t="n">
        <f aca="false">G10+H10</f>
        <v>376.9</v>
      </c>
      <c r="J10" s="104" t="n">
        <f aca="false">IF(L10&gt;0,L10,0)</f>
        <v>204.409402571213</v>
      </c>
      <c r="K10" s="7" t="n">
        <f aca="false">I10+J10</f>
        <v>581.309402571213</v>
      </c>
      <c r="L10" s="7" t="n">
        <f aca="false">F10-(I10-W10)</f>
        <v>204.409402571213</v>
      </c>
      <c r="M10" s="7" t="n">
        <v>25</v>
      </c>
      <c r="N10" s="7" t="n">
        <f aca="false">1.77+1.55*1.05</f>
        <v>3.3975</v>
      </c>
      <c r="O10" s="7" t="n">
        <f aca="false">M10-N10</f>
        <v>21.6025</v>
      </c>
      <c r="P10" s="7" t="n">
        <v>0</v>
      </c>
      <c r="Q10" s="7" t="n">
        <v>7.2</v>
      </c>
      <c r="R10" s="7" t="n">
        <f aca="false">SUM(O10:Q10)</f>
        <v>28.8025</v>
      </c>
      <c r="S10" s="8"/>
      <c r="T10" s="7" t="n">
        <v>0</v>
      </c>
      <c r="U10" s="7" t="n">
        <v>51</v>
      </c>
      <c r="V10" s="8" t="n">
        <f aca="false">V8-U10</f>
        <v>18426.4388706831</v>
      </c>
      <c r="W10" s="7" t="n">
        <f aca="false">N10+R10+T10+U10</f>
        <v>83.2</v>
      </c>
      <c r="X10" s="7" t="n">
        <f aca="false">IF(L10&lt;0,L10*-1,0)</f>
        <v>0</v>
      </c>
      <c r="Y10" s="7" t="n">
        <f aca="false">W10+X10</f>
        <v>83.2</v>
      </c>
      <c r="Z10" s="11" t="n">
        <v>0.51</v>
      </c>
      <c r="AA10" s="12" t="n">
        <v>37</v>
      </c>
      <c r="AB10" s="12" t="n">
        <v>29</v>
      </c>
      <c r="AC10" s="13" t="n">
        <v>1</v>
      </c>
      <c r="AD10" s="12"/>
      <c r="AE10" s="12"/>
      <c r="AG10" s="7"/>
    </row>
    <row r="11" customFormat="false" ht="11.1" hidden="false" customHeight="true" outlineLevel="0" collapsed="false">
      <c r="A11" s="13" t="n">
        <f aca="false">A10+1</f>
        <v>2</v>
      </c>
      <c r="B11" s="31" t="n">
        <v>6899.36</v>
      </c>
      <c r="C11" s="8" t="n">
        <v>281229</v>
      </c>
      <c r="D11" s="12" t="n">
        <f aca="false">C11-C10</f>
        <v>772</v>
      </c>
      <c r="E11" s="8" t="n">
        <f aca="false">C11-152000</f>
        <v>129229</v>
      </c>
      <c r="F11" s="7" t="n">
        <f aca="false">D11/$D$2</f>
        <v>389.210990673053</v>
      </c>
      <c r="G11" s="7" t="n">
        <v>333</v>
      </c>
      <c r="H11" s="9" t="n">
        <v>2</v>
      </c>
      <c r="I11" s="7" t="n">
        <f aca="false">G11+H11</f>
        <v>335</v>
      </c>
      <c r="J11" s="104" t="n">
        <f aca="false">IF(L11&gt;0,L11,0)</f>
        <v>119.810990673053</v>
      </c>
      <c r="K11" s="7" t="n">
        <f aca="false">I11+J11</f>
        <v>454.810990673053</v>
      </c>
      <c r="L11" s="7" t="n">
        <f aca="false">F11-(I11-W11)</f>
        <v>119.810990673053</v>
      </c>
      <c r="M11" s="7" t="n">
        <v>12</v>
      </c>
      <c r="N11" s="7" t="n">
        <v>0</v>
      </c>
      <c r="O11" s="7" t="n">
        <f aca="false">M11-N11</f>
        <v>12</v>
      </c>
      <c r="P11" s="7" t="n">
        <v>0</v>
      </c>
      <c r="Q11" s="7" t="n">
        <v>2.6</v>
      </c>
      <c r="R11" s="7" t="n">
        <f aca="false">SUM(O11:Q11)</f>
        <v>14.6</v>
      </c>
      <c r="S11" s="8"/>
      <c r="T11" s="7" t="n">
        <v>0</v>
      </c>
      <c r="U11" s="7" t="n">
        <v>51</v>
      </c>
      <c r="V11" s="8" t="n">
        <f aca="false">V10-U11</f>
        <v>18375.4388706831</v>
      </c>
      <c r="W11" s="7" t="n">
        <f aca="false">N11+R11+T11+U11</f>
        <v>65.6</v>
      </c>
      <c r="X11" s="7" t="n">
        <f aca="false">IF(L11&lt;0,L11*-1,0)</f>
        <v>0</v>
      </c>
      <c r="Y11" s="7" t="n">
        <f aca="false">W11+X11</f>
        <v>65.6</v>
      </c>
      <c r="Z11" s="11" t="n">
        <v>0.56</v>
      </c>
      <c r="AA11" s="12" t="n">
        <v>35</v>
      </c>
      <c r="AB11" s="12" t="n">
        <v>20</v>
      </c>
      <c r="AC11" s="13" t="n">
        <f aca="false">AC10+1</f>
        <v>2</v>
      </c>
      <c r="AD11" s="12"/>
      <c r="AE11" s="12"/>
      <c r="AG11" s="7"/>
    </row>
    <row r="12" customFormat="false" ht="11.1" hidden="false" customHeight="true" outlineLevel="0" collapsed="false">
      <c r="A12" s="13" t="n">
        <f aca="false">A11+1</f>
        <v>3</v>
      </c>
      <c r="B12" s="31" t="n">
        <v>6899.48</v>
      </c>
      <c r="C12" s="8" t="n">
        <v>281670</v>
      </c>
      <c r="D12" s="12" t="n">
        <f aca="false">C12-C11</f>
        <v>441</v>
      </c>
      <c r="E12" s="8" t="n">
        <f aca="false">C12-152000</f>
        <v>129670</v>
      </c>
      <c r="F12" s="7" t="n">
        <f aca="false">D12/$D$2</f>
        <v>222.33425762541</v>
      </c>
      <c r="G12" s="7" t="n">
        <v>271</v>
      </c>
      <c r="H12" s="9" t="n">
        <v>1.7</v>
      </c>
      <c r="I12" s="7" t="n">
        <f aca="false">G12+H12</f>
        <v>272.7</v>
      </c>
      <c r="J12" s="104" t="n">
        <f aca="false">IF(L12&gt;0,L12,0)</f>
        <v>9.93425762540966</v>
      </c>
      <c r="K12" s="7" t="n">
        <f aca="false">I12+J12</f>
        <v>282.63425762541</v>
      </c>
      <c r="L12" s="7" t="n">
        <f aca="false">F12-(I12-W12)</f>
        <v>9.93425762540966</v>
      </c>
      <c r="M12" s="7" t="n">
        <v>9.3</v>
      </c>
      <c r="N12" s="7" t="n">
        <v>0</v>
      </c>
      <c r="O12" s="7" t="n">
        <f aca="false">M12-N12</f>
        <v>9.3</v>
      </c>
      <c r="P12" s="7" t="n">
        <v>0</v>
      </c>
      <c r="Q12" s="7" t="n">
        <v>0</v>
      </c>
      <c r="R12" s="7" t="n">
        <f aca="false">SUM(O12:Q12)</f>
        <v>9.3</v>
      </c>
      <c r="S12" s="8"/>
      <c r="T12" s="7" t="n">
        <v>0</v>
      </c>
      <c r="U12" s="7" t="n">
        <v>51</v>
      </c>
      <c r="V12" s="8" t="n">
        <f aca="false">V11-U12</f>
        <v>18324.4388706831</v>
      </c>
      <c r="W12" s="7" t="n">
        <f aca="false">N12+R12+T12+U12</f>
        <v>60.3</v>
      </c>
      <c r="X12" s="7" t="n">
        <f aca="false">IF(L12&lt;0,L12*-1,0)</f>
        <v>0</v>
      </c>
      <c r="Y12" s="7" t="n">
        <f aca="false">W12+X12</f>
        <v>60.3</v>
      </c>
      <c r="Z12" s="11" t="n">
        <v>0.11</v>
      </c>
      <c r="AA12" s="12" t="n">
        <v>41</v>
      </c>
      <c r="AB12" s="12" t="n">
        <v>20</v>
      </c>
      <c r="AC12" s="13" t="n">
        <f aca="false">AC11+1</f>
        <v>3</v>
      </c>
      <c r="AD12" s="12"/>
      <c r="AE12" s="12"/>
      <c r="AG12" s="7"/>
    </row>
    <row r="13" customFormat="false" ht="11.1" hidden="false" customHeight="true" outlineLevel="0" collapsed="false">
      <c r="A13" s="13" t="n">
        <f aca="false">A12+1</f>
        <v>4</v>
      </c>
      <c r="B13" s="31" t="n">
        <v>6899.61</v>
      </c>
      <c r="C13" s="8" t="n">
        <v>282147</v>
      </c>
      <c r="D13" s="12" t="n">
        <f aca="false">C13-C12</f>
        <v>477</v>
      </c>
      <c r="E13" s="8" t="n">
        <f aca="false">C13-152000</f>
        <v>130147</v>
      </c>
      <c r="F13" s="7" t="n">
        <f aca="false">D13/$D$2</f>
        <v>240.48399294177</v>
      </c>
      <c r="G13" s="7" t="n">
        <v>281</v>
      </c>
      <c r="H13" s="9" t="n">
        <v>1.9</v>
      </c>
      <c r="I13" s="7" t="n">
        <f aca="false">G13+H13</f>
        <v>282.9</v>
      </c>
      <c r="J13" s="104" t="n">
        <f aca="false">IF(L13&gt;0,L13,0)</f>
        <v>17.8839929417696</v>
      </c>
      <c r="K13" s="7" t="n">
        <f aca="false">I13+J13</f>
        <v>300.78399294177</v>
      </c>
      <c r="L13" s="7" t="n">
        <f aca="false">F13-(I13-W13)</f>
        <v>17.8839929417696</v>
      </c>
      <c r="M13" s="7" t="n">
        <v>9.3</v>
      </c>
      <c r="N13" s="7" t="n">
        <f aca="false">0.03*1.05</f>
        <v>0.0315</v>
      </c>
      <c r="O13" s="7" t="n">
        <f aca="false">M13-N13</f>
        <v>9.2685</v>
      </c>
      <c r="P13" s="7" t="n">
        <v>0</v>
      </c>
      <c r="Q13" s="7" t="n">
        <v>0</v>
      </c>
      <c r="R13" s="7" t="n">
        <f aca="false">SUM(O13:Q13)</f>
        <v>9.2685</v>
      </c>
      <c r="S13" s="8"/>
      <c r="T13" s="7" t="n">
        <v>0</v>
      </c>
      <c r="U13" s="7" t="n">
        <v>51</v>
      </c>
      <c r="V13" s="8" t="n">
        <f aca="false">V12-U13</f>
        <v>18273.4388706831</v>
      </c>
      <c r="W13" s="7" t="n">
        <f aca="false">N13+R13+T13+U13</f>
        <v>60.3</v>
      </c>
      <c r="X13" s="7" t="n">
        <f aca="false">IF(L13&lt;0,L13*-1,0)</f>
        <v>0</v>
      </c>
      <c r="Y13" s="7" t="n">
        <f aca="false">W13+X13</f>
        <v>60.3</v>
      </c>
      <c r="Z13" s="11" t="n">
        <v>0.04</v>
      </c>
      <c r="AA13" s="12" t="n">
        <v>38</v>
      </c>
      <c r="AB13" s="12" t="n">
        <v>13</v>
      </c>
      <c r="AC13" s="13" t="n">
        <f aca="false">AC12+1</f>
        <v>4</v>
      </c>
      <c r="AD13" s="12"/>
      <c r="AE13" s="12"/>
      <c r="AG13" s="7"/>
    </row>
    <row r="14" customFormat="false" ht="11.1" hidden="false" customHeight="true" outlineLevel="0" collapsed="false">
      <c r="A14" s="13" t="n">
        <f aca="false">A13+1</f>
        <v>5</v>
      </c>
      <c r="B14" s="31" t="n">
        <v>6899.71</v>
      </c>
      <c r="C14" s="8" t="n">
        <v>282515</v>
      </c>
      <c r="D14" s="12" t="n">
        <f aca="false">C14-C13</f>
        <v>368</v>
      </c>
      <c r="E14" s="8" t="n">
        <f aca="false">C14-152000</f>
        <v>130515</v>
      </c>
      <c r="F14" s="7" t="n">
        <f aca="false">D14/$D$2</f>
        <v>185.530627678346</v>
      </c>
      <c r="G14" s="7" t="n">
        <v>243</v>
      </c>
      <c r="H14" s="9" t="n">
        <v>1.8</v>
      </c>
      <c r="I14" s="7" t="n">
        <f aca="false">G14+H14</f>
        <v>244.8</v>
      </c>
      <c r="J14" s="104" t="n">
        <f aca="false">IF(L14&gt;0,L14,0)</f>
        <v>24.7306276783463</v>
      </c>
      <c r="K14" s="7" t="n">
        <f aca="false">I14+J14</f>
        <v>269.530627678346</v>
      </c>
      <c r="L14" s="7" t="n">
        <f aca="false">F14-(I14-W14)</f>
        <v>24.7306276783463</v>
      </c>
      <c r="M14" s="7" t="n">
        <v>33</v>
      </c>
      <c r="N14" s="7" t="n">
        <f aca="false">10.18+10.11*1.05</f>
        <v>20.7955</v>
      </c>
      <c r="O14" s="7" t="n">
        <f aca="false">M14-N14</f>
        <v>12.2045</v>
      </c>
      <c r="P14" s="7" t="n">
        <v>0</v>
      </c>
      <c r="Q14" s="7" t="n">
        <v>0</v>
      </c>
      <c r="R14" s="7" t="n">
        <f aca="false">SUM(O14:Q14)</f>
        <v>12.2045</v>
      </c>
      <c r="S14" s="8"/>
      <c r="T14" s="7" t="n">
        <v>0</v>
      </c>
      <c r="U14" s="7" t="n">
        <v>51</v>
      </c>
      <c r="V14" s="8" t="n">
        <f aca="false">V13-U14</f>
        <v>18222.4388706831</v>
      </c>
      <c r="W14" s="7" t="n">
        <f aca="false">N14+R14+T14+U14</f>
        <v>84</v>
      </c>
      <c r="X14" s="7" t="n">
        <f aca="false">IF(L14&lt;0,L14*-1,0)</f>
        <v>0</v>
      </c>
      <c r="Y14" s="7" t="n">
        <f aca="false">W14+X14</f>
        <v>84</v>
      </c>
      <c r="Z14" s="11" t="n">
        <v>0</v>
      </c>
      <c r="AA14" s="12" t="n">
        <v>47</v>
      </c>
      <c r="AB14" s="12" t="n">
        <v>18</v>
      </c>
      <c r="AC14" s="13" t="n">
        <f aca="false">AC13+1</f>
        <v>5</v>
      </c>
      <c r="AD14" s="12"/>
      <c r="AE14" s="12"/>
      <c r="AG14" s="7"/>
    </row>
    <row r="15" customFormat="false" ht="11.1" hidden="false" customHeight="true" outlineLevel="0" collapsed="false">
      <c r="A15" s="13" t="n">
        <f aca="false">A14+1</f>
        <v>6</v>
      </c>
      <c r="B15" s="31" t="n">
        <v>6899.8</v>
      </c>
      <c r="C15" s="8" t="n">
        <v>282845</v>
      </c>
      <c r="D15" s="12" t="n">
        <f aca="false">C15-C14</f>
        <v>330</v>
      </c>
      <c r="E15" s="8" t="n">
        <f aca="false">C15-152000</f>
        <v>130845</v>
      </c>
      <c r="F15" s="7" t="n">
        <f aca="false">D15/$D$2</f>
        <v>166.3725737333</v>
      </c>
      <c r="G15" s="7" t="n">
        <v>239</v>
      </c>
      <c r="H15" s="9" t="n">
        <v>1.9</v>
      </c>
      <c r="I15" s="7" t="n">
        <f aca="false">G15+H15</f>
        <v>240.9</v>
      </c>
      <c r="J15" s="104" t="n">
        <f aca="false">IF(L15&gt;0,L15,0)</f>
        <v>36.4725737332997</v>
      </c>
      <c r="K15" s="7" t="n">
        <f aca="false">I15+J15</f>
        <v>277.3725737333</v>
      </c>
      <c r="L15" s="7" t="n">
        <f aca="false">F15-(I15-W15)</f>
        <v>36.4725737332997</v>
      </c>
      <c r="M15" s="7" t="n">
        <v>59</v>
      </c>
      <c r="N15" s="7" t="n">
        <f aca="false">20.72+21.09*1.05</f>
        <v>42.8645</v>
      </c>
      <c r="O15" s="7" t="n">
        <f aca="false">M15-N15</f>
        <v>16.1355</v>
      </c>
      <c r="P15" s="7" t="n">
        <v>0</v>
      </c>
      <c r="Q15" s="7" t="n">
        <v>0</v>
      </c>
      <c r="R15" s="7" t="n">
        <f aca="false">SUM(O15:Q15)</f>
        <v>16.1355</v>
      </c>
      <c r="S15" s="8"/>
      <c r="T15" s="7" t="n">
        <v>0</v>
      </c>
      <c r="U15" s="7" t="n">
        <v>52</v>
      </c>
      <c r="V15" s="8" t="n">
        <f aca="false">V14-U15</f>
        <v>18170.4388706831</v>
      </c>
      <c r="W15" s="7" t="n">
        <f aca="false">N15+R15+T15+U15</f>
        <v>111</v>
      </c>
      <c r="X15" s="7" t="n">
        <f aca="false">IF(L15&lt;0,L15*-1,0)</f>
        <v>0</v>
      </c>
      <c r="Y15" s="7" t="n">
        <f aca="false">W15+X15</f>
        <v>111</v>
      </c>
      <c r="Z15" s="11" t="n">
        <v>0</v>
      </c>
      <c r="AA15" s="12" t="n">
        <v>58</v>
      </c>
      <c r="AB15" s="12" t="n">
        <v>20</v>
      </c>
      <c r="AC15" s="13" t="n">
        <f aca="false">AC14+1</f>
        <v>6</v>
      </c>
      <c r="AD15" s="12"/>
      <c r="AE15" s="12"/>
      <c r="AG15" s="7"/>
    </row>
    <row r="16" customFormat="false" ht="11.1" hidden="false" customHeight="true" outlineLevel="0" collapsed="false">
      <c r="A16" s="13" t="n">
        <f aca="false">A15+1</f>
        <v>7</v>
      </c>
      <c r="B16" s="31" t="n">
        <v>6899.92</v>
      </c>
      <c r="C16" s="8" t="n">
        <v>283286</v>
      </c>
      <c r="D16" s="12" t="n">
        <f aca="false">C16-C15</f>
        <v>441</v>
      </c>
      <c r="E16" s="8" t="n">
        <f aca="false">C16-152000</f>
        <v>131286</v>
      </c>
      <c r="F16" s="7" t="n">
        <f aca="false">D16/$D$2</f>
        <v>222.33425762541</v>
      </c>
      <c r="G16" s="7" t="n">
        <v>275</v>
      </c>
      <c r="H16" s="9" t="n">
        <v>2.6</v>
      </c>
      <c r="I16" s="7" t="n">
        <f aca="false">G16+H16</f>
        <v>277.6</v>
      </c>
      <c r="J16" s="104" t="n">
        <f aca="false">IF(L16&gt;0,L16,0)</f>
        <v>79.7342576254096</v>
      </c>
      <c r="K16" s="7" t="n">
        <f aca="false">I16+J16</f>
        <v>357.33425762541</v>
      </c>
      <c r="L16" s="7" t="n">
        <f aca="false">F16-(I16-W16)</f>
        <v>79.7342576254096</v>
      </c>
      <c r="M16" s="7" t="n">
        <v>84</v>
      </c>
      <c r="N16" s="7" t="n">
        <f aca="false">33.12+33.33*1.05</f>
        <v>68.1165</v>
      </c>
      <c r="O16" s="7" t="n">
        <f aca="false">M16-N16</f>
        <v>15.8835</v>
      </c>
      <c r="P16" s="7" t="n">
        <v>0</v>
      </c>
      <c r="Q16" s="7" t="n">
        <v>0</v>
      </c>
      <c r="R16" s="7" t="n">
        <f aca="false">SUM(O16:Q16)</f>
        <v>15.8835</v>
      </c>
      <c r="S16" s="8"/>
      <c r="T16" s="7" t="n">
        <v>0</v>
      </c>
      <c r="U16" s="7" t="n">
        <v>51</v>
      </c>
      <c r="V16" s="8" t="n">
        <f aca="false">V15-U16</f>
        <v>18119.4388706831</v>
      </c>
      <c r="W16" s="7" t="n">
        <f aca="false">N16+R16+T16+U16</f>
        <v>135</v>
      </c>
      <c r="X16" s="7" t="n">
        <f aca="false">IF(L16&lt;0,L16*-1,0)</f>
        <v>0</v>
      </c>
      <c r="Y16" s="7" t="n">
        <f aca="false">W16+X16</f>
        <v>135</v>
      </c>
      <c r="Z16" s="11" t="n">
        <v>0.17</v>
      </c>
      <c r="AA16" s="12" t="n">
        <v>64</v>
      </c>
      <c r="AB16" s="12" t="n">
        <v>27</v>
      </c>
      <c r="AC16" s="13" t="n">
        <f aca="false">AC15+1</f>
        <v>7</v>
      </c>
      <c r="AD16" s="12"/>
      <c r="AE16" s="12"/>
      <c r="AG16" s="7"/>
    </row>
    <row r="17" customFormat="false" ht="11.1" hidden="false" customHeight="true" outlineLevel="0" collapsed="false">
      <c r="A17" s="13" t="n">
        <f aca="false">A16+1</f>
        <v>8</v>
      </c>
      <c r="B17" s="31" t="n">
        <v>6900.13</v>
      </c>
      <c r="C17" s="8" t="n">
        <v>284061</v>
      </c>
      <c r="D17" s="12" t="n">
        <f aca="false">C17-C16</f>
        <v>775</v>
      </c>
      <c r="E17" s="8" t="n">
        <f aca="false">C17-152000</f>
        <v>132061</v>
      </c>
      <c r="F17" s="7" t="n">
        <f aca="false">D17/$D$2</f>
        <v>390.723468616083</v>
      </c>
      <c r="G17" s="7" t="n">
        <v>355</v>
      </c>
      <c r="H17" s="9" t="n">
        <v>4.2</v>
      </c>
      <c r="I17" s="7" t="n">
        <f aca="false">G17+H17</f>
        <v>359.2</v>
      </c>
      <c r="J17" s="104" t="n">
        <f aca="false">IF(L17&gt;0,L17,0)</f>
        <v>166.523468616083</v>
      </c>
      <c r="K17" s="7" t="n">
        <f aca="false">I17+J17</f>
        <v>525.723468616083</v>
      </c>
      <c r="L17" s="7" t="n">
        <f aca="false">F17-(I17-W17)</f>
        <v>166.523468616083</v>
      </c>
      <c r="M17" s="7" t="n">
        <v>84</v>
      </c>
      <c r="N17" s="7" t="n">
        <f aca="false">37.06+36.98*1.05</f>
        <v>75.889</v>
      </c>
      <c r="O17" s="7" t="n">
        <f aca="false">M17-N17</f>
        <v>8.11099999999999</v>
      </c>
      <c r="P17" s="7" t="n">
        <v>0</v>
      </c>
      <c r="Q17" s="7" t="n">
        <v>0</v>
      </c>
      <c r="R17" s="7" t="n">
        <f aca="false">SUM(O17:Q17)</f>
        <v>8.11099999999999</v>
      </c>
      <c r="S17" s="7"/>
      <c r="T17" s="7" t="n">
        <v>0</v>
      </c>
      <c r="U17" s="7" t="n">
        <v>51</v>
      </c>
      <c r="V17" s="8" t="n">
        <f aca="false">V16-U17</f>
        <v>18068.4388706831</v>
      </c>
      <c r="W17" s="7" t="n">
        <f aca="false">N17+R17+T17+U17</f>
        <v>135</v>
      </c>
      <c r="X17" s="7" t="n">
        <f aca="false">IF(L17&lt;0,L17*-1,0)</f>
        <v>0</v>
      </c>
      <c r="Y17" s="7" t="n">
        <f aca="false">W17+X17</f>
        <v>135</v>
      </c>
      <c r="Z17" s="11" t="n">
        <v>0</v>
      </c>
      <c r="AA17" s="12" t="n">
        <v>51</v>
      </c>
      <c r="AB17" s="12" t="n">
        <v>20</v>
      </c>
      <c r="AC17" s="13" t="n">
        <f aca="false">AC16+1</f>
        <v>8</v>
      </c>
      <c r="AD17" s="12"/>
      <c r="AE17" s="12"/>
      <c r="AG17" s="7"/>
    </row>
    <row r="18" customFormat="false" ht="11.1" hidden="false" customHeight="true" outlineLevel="0" collapsed="false">
      <c r="A18" s="13" t="n">
        <f aca="false">A17+1</f>
        <v>9</v>
      </c>
      <c r="B18" s="31" t="n">
        <v>6900.31</v>
      </c>
      <c r="C18" s="8" t="n">
        <v>284616</v>
      </c>
      <c r="D18" s="12" t="n">
        <f aca="false">C18-C17</f>
        <v>555</v>
      </c>
      <c r="E18" s="8" t="n">
        <f aca="false">C18-152000</f>
        <v>132616</v>
      </c>
      <c r="F18" s="7" t="n">
        <f aca="false">D18/$D$2</f>
        <v>279.80841946055</v>
      </c>
      <c r="G18" s="7" t="n">
        <v>366</v>
      </c>
      <c r="H18" s="9" t="n">
        <v>6.3</v>
      </c>
      <c r="I18" s="7" t="n">
        <f aca="false">G18+H18</f>
        <v>372.3</v>
      </c>
      <c r="J18" s="104" t="n">
        <f aca="false">IF(L18&gt;0,L18,0)</f>
        <v>48.5084194605495</v>
      </c>
      <c r="K18" s="7" t="n">
        <f aca="false">I18+J18</f>
        <v>420.80841946055</v>
      </c>
      <c r="L18" s="7" t="n">
        <f aca="false">F18-(I18-W18)</f>
        <v>48.5084194605495</v>
      </c>
      <c r="M18" s="7" t="n">
        <v>90</v>
      </c>
      <c r="N18" s="7" t="n">
        <f aca="false">35.17+36.07*1.05</f>
        <v>73.0435</v>
      </c>
      <c r="O18" s="7" t="n">
        <f aca="false">M18-N18</f>
        <v>16.9565</v>
      </c>
      <c r="P18" s="7" t="n">
        <v>0</v>
      </c>
      <c r="Q18" s="7" t="n">
        <v>0</v>
      </c>
      <c r="R18" s="7" t="n">
        <f aca="false">SUM(O18:Q18)</f>
        <v>16.9565</v>
      </c>
      <c r="S18" s="7"/>
      <c r="T18" s="7" t="n">
        <v>0</v>
      </c>
      <c r="U18" s="7" t="n">
        <v>51</v>
      </c>
      <c r="V18" s="8" t="n">
        <f aca="false">V17-U18</f>
        <v>18017.4388706831</v>
      </c>
      <c r="W18" s="7" t="n">
        <f aca="false">N18+R18+T18+U18</f>
        <v>141</v>
      </c>
      <c r="X18" s="7" t="n">
        <f aca="false">IF(L18&lt;0,L18*-1,0)</f>
        <v>0</v>
      </c>
      <c r="Y18" s="7" t="n">
        <f aca="false">W18+X18</f>
        <v>141</v>
      </c>
      <c r="Z18" s="11" t="n">
        <v>0.04</v>
      </c>
      <c r="AA18" s="41" t="n">
        <v>38</v>
      </c>
      <c r="AB18" s="12" t="n">
        <v>23</v>
      </c>
      <c r="AC18" s="13" t="n">
        <f aca="false">AC17+1</f>
        <v>9</v>
      </c>
      <c r="AD18" s="12"/>
      <c r="AE18" s="12"/>
      <c r="AG18" s="7"/>
    </row>
    <row r="19" customFormat="false" ht="11.1" hidden="false" customHeight="true" outlineLevel="0" collapsed="false">
      <c r="A19" s="13" t="n">
        <f aca="false">A18+1</f>
        <v>10</v>
      </c>
      <c r="B19" s="31" t="n">
        <v>6900.43</v>
      </c>
      <c r="C19" s="8" t="n">
        <v>285172</v>
      </c>
      <c r="D19" s="12" t="n">
        <f aca="false">C19-C18</f>
        <v>556</v>
      </c>
      <c r="E19" s="8" t="n">
        <f aca="false">C19-152000</f>
        <v>133172</v>
      </c>
      <c r="F19" s="7" t="n">
        <f aca="false">D19/$D$2</f>
        <v>280.312578774893</v>
      </c>
      <c r="G19" s="7" t="n">
        <v>312</v>
      </c>
      <c r="H19" s="9" t="n">
        <v>5.3</v>
      </c>
      <c r="I19" s="7" t="n">
        <f aca="false">G19+H19</f>
        <v>317.3</v>
      </c>
      <c r="J19" s="104" t="n">
        <f aca="false">IF(L19&gt;0,L19,0)</f>
        <v>68.0125787748929</v>
      </c>
      <c r="K19" s="7" t="n">
        <f aca="false">I19+J19</f>
        <v>385.312578774893</v>
      </c>
      <c r="L19" s="7" t="n">
        <f aca="false">F19-(I19-W19)</f>
        <v>68.0125787748929</v>
      </c>
      <c r="M19" s="7" t="n">
        <v>54</v>
      </c>
      <c r="N19" s="7" t="n">
        <f aca="false">24.09+23.15*1.05</f>
        <v>48.3975</v>
      </c>
      <c r="O19" s="7" t="n">
        <f aca="false">M19-N19</f>
        <v>5.6025</v>
      </c>
      <c r="P19" s="7" t="n">
        <v>0</v>
      </c>
      <c r="Q19" s="7" t="n">
        <v>0</v>
      </c>
      <c r="R19" s="7" t="n">
        <f aca="false">SUM(O19:Q19)</f>
        <v>5.6025</v>
      </c>
      <c r="S19" s="7"/>
      <c r="T19" s="7" t="n">
        <v>0</v>
      </c>
      <c r="U19" s="7" t="n">
        <v>51</v>
      </c>
      <c r="V19" s="8" t="n">
        <f aca="false">V18-U19</f>
        <v>17966.4388706831</v>
      </c>
      <c r="W19" s="7" t="n">
        <f aca="false">N19+R19+T19+U19</f>
        <v>105</v>
      </c>
      <c r="X19" s="7" t="n">
        <f aca="false">IF(L19&lt;0,L19*-1,0)</f>
        <v>0</v>
      </c>
      <c r="Y19" s="7" t="n">
        <f aca="false">W19+X19</f>
        <v>105</v>
      </c>
      <c r="Z19" s="11" t="n">
        <v>0</v>
      </c>
      <c r="AA19" s="12" t="n">
        <v>64</v>
      </c>
      <c r="AB19" s="12" t="n">
        <v>14</v>
      </c>
      <c r="AC19" s="13" t="n">
        <f aca="false">AC18+1</f>
        <v>10</v>
      </c>
      <c r="AD19" s="12"/>
      <c r="AE19" s="12"/>
      <c r="AG19" s="7"/>
    </row>
    <row r="20" customFormat="false" ht="11.1" hidden="false" customHeight="true" outlineLevel="0" collapsed="false">
      <c r="A20" s="13" t="n">
        <f aca="false">A19+1</f>
        <v>11</v>
      </c>
      <c r="B20" s="31" t="n">
        <v>6900.63</v>
      </c>
      <c r="C20" s="8" t="n">
        <v>285912</v>
      </c>
      <c r="D20" s="12" t="n">
        <f aca="false">C20-C19</f>
        <v>740</v>
      </c>
      <c r="E20" s="8" t="n">
        <f aca="false">C20-152000</f>
        <v>133912</v>
      </c>
      <c r="F20" s="7" t="n">
        <f aca="false">D20/$D$2</f>
        <v>373.077892614066</v>
      </c>
      <c r="G20" s="7" t="n">
        <v>302</v>
      </c>
      <c r="H20" s="9" t="n">
        <v>5</v>
      </c>
      <c r="I20" s="7" t="n">
        <f aca="false">G20+H20</f>
        <v>307</v>
      </c>
      <c r="J20" s="104" t="n">
        <f aca="false">IF(L20&gt;0,L20,0)</f>
        <v>148.077892614066</v>
      </c>
      <c r="K20" s="7" t="n">
        <f aca="false">I20+J20</f>
        <v>455.077892614066</v>
      </c>
      <c r="L20" s="7" t="n">
        <f aca="false">F20-(I20-W20)</f>
        <v>148.077892614066</v>
      </c>
      <c r="M20" s="7" t="n">
        <v>31</v>
      </c>
      <c r="N20" s="7" t="n">
        <f aca="false">7.49+8.14*1.05</f>
        <v>16.037</v>
      </c>
      <c r="O20" s="7" t="n">
        <f aca="false">M20-N20</f>
        <v>14.963</v>
      </c>
      <c r="P20" s="7" t="n">
        <v>0</v>
      </c>
      <c r="Q20" s="7" t="n">
        <v>0</v>
      </c>
      <c r="R20" s="7" t="n">
        <f aca="false">SUM(O20:Q20)</f>
        <v>14.963</v>
      </c>
      <c r="S20" s="7"/>
      <c r="T20" s="7" t="n">
        <v>0</v>
      </c>
      <c r="U20" s="7" t="n">
        <v>51</v>
      </c>
      <c r="V20" s="8" t="n">
        <f aca="false">V19-U20</f>
        <v>17915.4388706831</v>
      </c>
      <c r="W20" s="7" t="n">
        <f aca="false">N20+R20+T20+U20</f>
        <v>82</v>
      </c>
      <c r="X20" s="7" t="n">
        <f aca="false">IF(L20&lt;0,L20*-1,0)</f>
        <v>0</v>
      </c>
      <c r="Y20" s="7" t="n">
        <f aca="false">W20+X20</f>
        <v>82</v>
      </c>
      <c r="Z20" s="11" t="n">
        <v>0</v>
      </c>
      <c r="AA20" s="12" t="n">
        <v>59</v>
      </c>
      <c r="AB20" s="12" t="n">
        <v>20</v>
      </c>
      <c r="AC20" s="13" t="n">
        <f aca="false">AC19+1</f>
        <v>11</v>
      </c>
      <c r="AD20" s="12"/>
      <c r="AE20" s="12"/>
      <c r="AG20" s="7"/>
    </row>
    <row r="21" customFormat="false" ht="11.1" hidden="false" customHeight="true" outlineLevel="0" collapsed="false">
      <c r="A21" s="13" t="n">
        <f aca="false">A20+1</f>
        <v>12</v>
      </c>
      <c r="B21" s="31" t="n">
        <v>6900.95</v>
      </c>
      <c r="C21" s="8" t="n">
        <v>287097</v>
      </c>
      <c r="D21" s="12" t="n">
        <f aca="false">C21-C20</f>
        <v>1185</v>
      </c>
      <c r="E21" s="8" t="n">
        <f aca="false">C21-152000</f>
        <v>135097</v>
      </c>
      <c r="F21" s="7" t="n">
        <f aca="false">D21/$D$2</f>
        <v>597.428787496849</v>
      </c>
      <c r="G21" s="7" t="n">
        <v>376</v>
      </c>
      <c r="H21" s="9" t="n">
        <v>7.5</v>
      </c>
      <c r="I21" s="7" t="n">
        <f aca="false">G21+H21</f>
        <v>383.5</v>
      </c>
      <c r="J21" s="104" t="n">
        <f aca="false">IF(L21&gt;0,L21,0)</f>
        <v>310.718787496849</v>
      </c>
      <c r="K21" s="7" t="n">
        <f aca="false">I21+J21</f>
        <v>694.218787496849</v>
      </c>
      <c r="L21" s="7" t="n">
        <f aca="false">F21-(I21-W21)</f>
        <v>310.718787496849</v>
      </c>
      <c r="M21" s="7" t="n">
        <v>23</v>
      </c>
      <c r="N21" s="7" t="n">
        <f aca="false">5.58+5.04*1.05</f>
        <v>10.872</v>
      </c>
      <c r="O21" s="7" t="n">
        <f aca="false">M21-N21</f>
        <v>12.128</v>
      </c>
      <c r="P21" s="7" t="n">
        <v>0</v>
      </c>
      <c r="Q21" s="7" t="n">
        <v>0</v>
      </c>
      <c r="R21" s="7" t="n">
        <f aca="false">SUM(O21:Q21)</f>
        <v>12.128</v>
      </c>
      <c r="S21" s="7"/>
      <c r="T21" s="7" t="n">
        <v>24.79</v>
      </c>
      <c r="U21" s="7" t="n">
        <v>49</v>
      </c>
      <c r="V21" s="8" t="n">
        <f aca="false">V20-U21</f>
        <v>17866.4388706831</v>
      </c>
      <c r="W21" s="7" t="n">
        <f aca="false">N21+R21+T21+U21</f>
        <v>96.79</v>
      </c>
      <c r="X21" s="7" t="n">
        <f aca="false">IF(L21&lt;0,L21*-1,0)</f>
        <v>0</v>
      </c>
      <c r="Y21" s="7" t="n">
        <f aca="false">W21+X21</f>
        <v>96.79</v>
      </c>
      <c r="Z21" s="11" t="n">
        <v>0</v>
      </c>
      <c r="AA21" s="12" t="n">
        <v>70</v>
      </c>
      <c r="AB21" s="12" t="n">
        <v>36</v>
      </c>
      <c r="AC21" s="13" t="n">
        <f aca="false">AC20+1</f>
        <v>12</v>
      </c>
      <c r="AD21" s="12"/>
      <c r="AE21" s="12"/>
      <c r="AG21" s="7"/>
    </row>
    <row r="22" customFormat="false" ht="11.1" hidden="false" customHeight="true" outlineLevel="0" collapsed="false">
      <c r="A22" s="13" t="n">
        <f aca="false">A21+1</f>
        <v>13</v>
      </c>
      <c r="B22" s="31" t="n">
        <v>6901.41</v>
      </c>
      <c r="C22" s="8" t="n">
        <v>288812</v>
      </c>
      <c r="D22" s="12" t="n">
        <f aca="false">C22-C21</f>
        <v>1715</v>
      </c>
      <c r="E22" s="8" t="n">
        <f aca="false">C22-152000</f>
        <v>136812</v>
      </c>
      <c r="F22" s="7" t="n">
        <f aca="false">D22/$D$2</f>
        <v>864.633224098815</v>
      </c>
      <c r="G22" s="7" t="n">
        <v>593</v>
      </c>
      <c r="H22" s="9" t="n">
        <v>40</v>
      </c>
      <c r="I22" s="7" t="n">
        <f aca="false">G22+H22</f>
        <v>633</v>
      </c>
      <c r="J22" s="104" t="n">
        <f aca="false">IF(L22&gt;0,L22,0)</f>
        <v>337.013224098815</v>
      </c>
      <c r="K22" s="7" t="n">
        <f aca="false">I22+J22</f>
        <v>970.013224098815</v>
      </c>
      <c r="L22" s="7" t="n">
        <f aca="false">F22-(I22-W22)</f>
        <v>337.013224098815</v>
      </c>
      <c r="M22" s="7" t="n">
        <v>13</v>
      </c>
      <c r="N22" s="7" t="n">
        <f aca="false">1.37+1.45*1.05</f>
        <v>2.8925</v>
      </c>
      <c r="O22" s="7" t="n">
        <f aca="false">M22-N22</f>
        <v>10.1075</v>
      </c>
      <c r="P22" s="7" t="n">
        <v>0</v>
      </c>
      <c r="Q22" s="7" t="n">
        <v>0</v>
      </c>
      <c r="R22" s="7" t="n">
        <f aca="false">SUM(O22:Q22)</f>
        <v>10.1075</v>
      </c>
      <c r="S22" s="7"/>
      <c r="T22" s="7" t="n">
        <v>42.38</v>
      </c>
      <c r="U22" s="7" t="n">
        <v>50</v>
      </c>
      <c r="V22" s="8" t="n">
        <f aca="false">V21-U22</f>
        <v>17816.4388706831</v>
      </c>
      <c r="W22" s="7" t="n">
        <f aca="false">N22+R22+T22+U22</f>
        <v>105.38</v>
      </c>
      <c r="X22" s="7" t="n">
        <f aca="false">IF(L22&lt;0,L22*-1,0)</f>
        <v>0</v>
      </c>
      <c r="Y22" s="7" t="n">
        <f aca="false">W22+X22</f>
        <v>105.38</v>
      </c>
      <c r="Z22" s="11" t="n">
        <v>0</v>
      </c>
      <c r="AA22" s="12" t="n">
        <v>64</v>
      </c>
      <c r="AB22" s="12" t="n">
        <v>38</v>
      </c>
      <c r="AC22" s="13" t="n">
        <f aca="false">AC21+1</f>
        <v>13</v>
      </c>
      <c r="AD22" s="12"/>
      <c r="AE22" s="12"/>
      <c r="AG22" s="7"/>
    </row>
    <row r="23" customFormat="false" ht="11.1" hidden="false" customHeight="true" outlineLevel="0" collapsed="false">
      <c r="A23" s="13" t="n">
        <f aca="false">A22+1</f>
        <v>14</v>
      </c>
      <c r="B23" s="31" t="n">
        <v>6901.78</v>
      </c>
      <c r="C23" s="8" t="n">
        <v>290193</v>
      </c>
      <c r="D23" s="12" t="n">
        <f aca="false">C23-C22</f>
        <v>1381</v>
      </c>
      <c r="E23" s="8" t="n">
        <f aca="false">C23-152000</f>
        <v>138193</v>
      </c>
      <c r="F23" s="7" t="n">
        <f aca="false">D23/$D$2</f>
        <v>696.244013108142</v>
      </c>
      <c r="G23" s="7" t="n">
        <v>640</v>
      </c>
      <c r="H23" s="9" t="n">
        <v>53</v>
      </c>
      <c r="I23" s="7" t="n">
        <f aca="false">G23+H23</f>
        <v>693</v>
      </c>
      <c r="J23" s="104" t="n">
        <f aca="false">IF(L23&gt;0,L23,0)</f>
        <v>129.624013108142</v>
      </c>
      <c r="K23" s="7" t="n">
        <f aca="false">I23+J23</f>
        <v>822.624013108142</v>
      </c>
      <c r="L23" s="7" t="n">
        <f aca="false">F23-(I23-W23)</f>
        <v>129.624013108142</v>
      </c>
      <c r="M23" s="7" t="n">
        <v>34</v>
      </c>
      <c r="N23" s="7" t="n">
        <f aca="false">9.16+9.82*1.05</f>
        <v>19.471</v>
      </c>
      <c r="O23" s="7" t="n">
        <f aca="false">M23-N23</f>
        <v>14.529</v>
      </c>
      <c r="P23" s="7" t="n">
        <v>0</v>
      </c>
      <c r="Q23" s="7" t="n">
        <v>0</v>
      </c>
      <c r="R23" s="7" t="n">
        <f aca="false">SUM(O23:Q23)</f>
        <v>14.529</v>
      </c>
      <c r="S23" s="7"/>
      <c r="T23" s="7" t="n">
        <v>42.38</v>
      </c>
      <c r="U23" s="7" t="n">
        <v>50</v>
      </c>
      <c r="V23" s="8" t="n">
        <f aca="false">V22-U23</f>
        <v>17766.4388706831</v>
      </c>
      <c r="W23" s="7" t="n">
        <f aca="false">N23+R23+T23+U23</f>
        <v>126.38</v>
      </c>
      <c r="X23" s="7" t="n">
        <f aca="false">IF(L23&lt;0,L23*-1,0)</f>
        <v>0</v>
      </c>
      <c r="Y23" s="7" t="n">
        <f aca="false">W23+X23</f>
        <v>126.38</v>
      </c>
      <c r="Z23" s="11" t="n">
        <v>0</v>
      </c>
      <c r="AA23" s="41" t="n">
        <v>56</v>
      </c>
      <c r="AB23" s="12" t="n">
        <v>38</v>
      </c>
      <c r="AC23" s="13" t="n">
        <f aca="false">AC22+1</f>
        <v>14</v>
      </c>
      <c r="AD23" s="12"/>
      <c r="AE23" s="12"/>
      <c r="AG23" s="7"/>
    </row>
    <row r="24" customFormat="false" ht="11.1" hidden="false" customHeight="true" outlineLevel="0" collapsed="false">
      <c r="A24" s="13" t="n">
        <f aca="false">A23+1</f>
        <v>15</v>
      </c>
      <c r="B24" s="31" t="n">
        <v>6902.07</v>
      </c>
      <c r="C24" s="8" t="n">
        <v>291278</v>
      </c>
      <c r="D24" s="12" t="n">
        <f aca="false">C24-C23</f>
        <v>1085</v>
      </c>
      <c r="E24" s="8" t="n">
        <f aca="false">C24-152000</f>
        <v>139278</v>
      </c>
      <c r="F24" s="7" t="n">
        <f aca="false">D24/$D$2</f>
        <v>547.012856062516</v>
      </c>
      <c r="G24" s="7" t="n">
        <v>641</v>
      </c>
      <c r="H24" s="9" t="n">
        <v>47</v>
      </c>
      <c r="I24" s="7" t="n">
        <f aca="false">G24+H24</f>
        <v>688</v>
      </c>
      <c r="J24" s="104" t="n">
        <f aca="false">IF(L24&gt;0,L24,0)</f>
        <v>30.3928560625158</v>
      </c>
      <c r="K24" s="7" t="n">
        <f aca="false">I24+J24</f>
        <v>718.392856062516</v>
      </c>
      <c r="L24" s="7" t="n">
        <f aca="false">F24-(I24-W24)</f>
        <v>30.3928560625158</v>
      </c>
      <c r="M24" s="7" t="n">
        <v>78</v>
      </c>
      <c r="N24" s="7" t="n">
        <f aca="false">20.19+20.12*1.05</f>
        <v>41.316</v>
      </c>
      <c r="O24" s="7" t="n">
        <f aca="false">M24-N24</f>
        <v>36.684</v>
      </c>
      <c r="P24" s="7" t="n">
        <v>0</v>
      </c>
      <c r="Q24" s="7" t="n">
        <v>0</v>
      </c>
      <c r="R24" s="7" t="n">
        <f aca="false">SUM(O24:Q24)</f>
        <v>36.684</v>
      </c>
      <c r="S24" s="7"/>
      <c r="T24" s="7" t="n">
        <v>42.38</v>
      </c>
      <c r="U24" s="7" t="n">
        <v>51</v>
      </c>
      <c r="V24" s="8" t="n">
        <f aca="false">V23-U24</f>
        <v>17715.4388706831</v>
      </c>
      <c r="W24" s="7" t="n">
        <f aca="false">N24+R24+T24+U24</f>
        <v>171.38</v>
      </c>
      <c r="X24" s="7" t="n">
        <f aca="false">IF(L24&lt;0,L24*-1,0)</f>
        <v>0</v>
      </c>
      <c r="Y24" s="7" t="n">
        <f aca="false">W24+X24</f>
        <v>171.38</v>
      </c>
      <c r="Z24" s="11" t="n">
        <v>0</v>
      </c>
      <c r="AA24" s="41" t="n">
        <v>46</v>
      </c>
      <c r="AB24" s="12" t="n">
        <v>30</v>
      </c>
      <c r="AC24" s="13" t="n">
        <f aca="false">AC23+1</f>
        <v>15</v>
      </c>
      <c r="AD24" s="12"/>
      <c r="AE24" s="12"/>
      <c r="AG24" s="7"/>
    </row>
    <row r="25" customFormat="false" ht="11.1" hidden="false" customHeight="true" outlineLevel="0" collapsed="false">
      <c r="A25" s="13" t="n">
        <f aca="false">A24+1</f>
        <v>16</v>
      </c>
      <c r="B25" s="31" t="n">
        <v>6902.36</v>
      </c>
      <c r="C25" s="8" t="n">
        <v>292369</v>
      </c>
      <c r="D25" s="12" t="n">
        <f aca="false">C25-C24</f>
        <v>1091</v>
      </c>
      <c r="E25" s="8" t="n">
        <f aca="false">C25-152000</f>
        <v>140369</v>
      </c>
      <c r="F25" s="7" t="n">
        <f aca="false">D25/$D$2</f>
        <v>550.037811948576</v>
      </c>
      <c r="G25" s="7" t="n">
        <v>547</v>
      </c>
      <c r="H25" s="9" t="n">
        <v>21</v>
      </c>
      <c r="I25" s="7" t="n">
        <f aca="false">G25+H25</f>
        <v>568</v>
      </c>
      <c r="J25" s="104" t="n">
        <f aca="false">IF(L25&gt;0,L25,0)</f>
        <v>164.677811948576</v>
      </c>
      <c r="K25" s="7" t="n">
        <f aca="false">I25+J25</f>
        <v>732.677811948576</v>
      </c>
      <c r="L25" s="7" t="n">
        <f aca="false">F25-(I25-W25)</f>
        <v>164.677811948576</v>
      </c>
      <c r="M25" s="7" t="n">
        <v>96</v>
      </c>
      <c r="N25" s="7" t="n">
        <f aca="false">33.11+33.68*1.05</f>
        <v>68.474</v>
      </c>
      <c r="O25" s="7" t="n">
        <f aca="false">M25-N25</f>
        <v>27.526</v>
      </c>
      <c r="P25" s="7" t="n">
        <v>0</v>
      </c>
      <c r="Q25" s="7" t="n">
        <v>0</v>
      </c>
      <c r="R25" s="7" t="n">
        <f aca="false">SUM(O25:Q25)</f>
        <v>27.526</v>
      </c>
      <c r="S25" s="7"/>
      <c r="T25" s="7" t="n">
        <v>36.64</v>
      </c>
      <c r="U25" s="7" t="n">
        <v>50</v>
      </c>
      <c r="V25" s="8" t="n">
        <f aca="false">V24-U25</f>
        <v>17665.4388706831</v>
      </c>
      <c r="W25" s="7" t="n">
        <f aca="false">N25+R25+T25+U25</f>
        <v>182.64</v>
      </c>
      <c r="X25" s="7" t="n">
        <f aca="false">IF(L25&lt;0,L25*-1,0)</f>
        <v>0</v>
      </c>
      <c r="Y25" s="7" t="n">
        <f aca="false">W25+X25</f>
        <v>182.64</v>
      </c>
      <c r="Z25" s="11" t="n">
        <v>0</v>
      </c>
      <c r="AA25" s="41" t="n">
        <v>51</v>
      </c>
      <c r="AB25" s="12" t="n">
        <v>21</v>
      </c>
      <c r="AC25" s="13" t="n">
        <f aca="false">AC24+1</f>
        <v>16</v>
      </c>
      <c r="AD25" s="12"/>
      <c r="AE25" s="12"/>
      <c r="AG25" s="7"/>
    </row>
    <row r="26" customFormat="false" ht="11.1" hidden="false" customHeight="true" outlineLevel="0" collapsed="false">
      <c r="A26" s="13" t="n">
        <f aca="false">A25+1</f>
        <v>17</v>
      </c>
      <c r="B26" s="31" t="n">
        <v>6902.57</v>
      </c>
      <c r="C26" s="8" t="n">
        <v>293159</v>
      </c>
      <c r="D26" s="12" t="n">
        <f aca="false">C26-C25</f>
        <v>790</v>
      </c>
      <c r="E26" s="8" t="n">
        <f aca="false">C26-152000</f>
        <v>141159</v>
      </c>
      <c r="F26" s="7" t="n">
        <f aca="false">D26/$D$2</f>
        <v>398.285858331233</v>
      </c>
      <c r="G26" s="7" t="n">
        <v>505</v>
      </c>
      <c r="H26" s="9" t="n">
        <v>9.5</v>
      </c>
      <c r="I26" s="7" t="n">
        <f aca="false">G26+H26</f>
        <v>514.5</v>
      </c>
      <c r="J26" s="104" t="n">
        <f aca="false">IF(L26&gt;0,L26,0)</f>
        <v>35.7858583312326</v>
      </c>
      <c r="K26" s="7" t="n">
        <f aca="false">I26+J26</f>
        <v>550.285858331233</v>
      </c>
      <c r="L26" s="7" t="n">
        <f aca="false">F26-(I26-W26)</f>
        <v>35.7858583312326</v>
      </c>
      <c r="M26" s="7" t="n">
        <v>101</v>
      </c>
      <c r="N26" s="7" t="n">
        <f aca="false">37.94+37.25*1.05</f>
        <v>77.0525</v>
      </c>
      <c r="O26" s="7" t="n">
        <f aca="false">M26-N26</f>
        <v>23.9475</v>
      </c>
      <c r="P26" s="7" t="n">
        <v>0</v>
      </c>
      <c r="Q26" s="7" t="n">
        <v>0</v>
      </c>
      <c r="R26" s="7" t="n">
        <f aca="false">SUM(O26:Q26)</f>
        <v>23.9475</v>
      </c>
      <c r="S26" s="7"/>
      <c r="T26" s="7" t="n">
        <v>0</v>
      </c>
      <c r="U26" s="7" t="n">
        <v>51</v>
      </c>
      <c r="V26" s="8" t="n">
        <f aca="false">V25-U26</f>
        <v>17614.4388706831</v>
      </c>
      <c r="W26" s="7" t="n">
        <f aca="false">N26+R26+T26+U26</f>
        <v>152</v>
      </c>
      <c r="X26" s="7" t="n">
        <f aca="false">IF(L26&lt;0,L26*-1,0)</f>
        <v>0</v>
      </c>
      <c r="Y26" s="7" t="n">
        <f aca="false">W26+X26</f>
        <v>152</v>
      </c>
      <c r="Z26" s="11" t="n">
        <v>0</v>
      </c>
      <c r="AA26" s="41" t="n">
        <v>60</v>
      </c>
      <c r="AB26" s="12" t="n">
        <v>26</v>
      </c>
      <c r="AC26" s="13" t="n">
        <f aca="false">AC25+1</f>
        <v>17</v>
      </c>
      <c r="AD26" s="12"/>
      <c r="AE26" s="12"/>
      <c r="AG26" s="7"/>
    </row>
    <row r="27" customFormat="false" ht="11.1" hidden="false" customHeight="true" outlineLevel="0" collapsed="false">
      <c r="A27" s="13" t="n">
        <f aca="false">A26+1</f>
        <v>18</v>
      </c>
      <c r="B27" s="31" t="n">
        <v>6902.79</v>
      </c>
      <c r="C27" s="8" t="n">
        <v>293987</v>
      </c>
      <c r="D27" s="12" t="n">
        <f aca="false">C27-C26</f>
        <v>828</v>
      </c>
      <c r="E27" s="8" t="n">
        <f aca="false">C27-152000</f>
        <v>141987</v>
      </c>
      <c r="F27" s="7" t="n">
        <f aca="false">D27/$D$2</f>
        <v>417.443912276279</v>
      </c>
      <c r="G27" s="7" t="n">
        <v>540</v>
      </c>
      <c r="H27" s="9" t="n">
        <v>4.7</v>
      </c>
      <c r="I27" s="7" t="n">
        <f aca="false">G27+H27</f>
        <v>544.7</v>
      </c>
      <c r="J27" s="104" t="n">
        <f aca="false">IF(L27&gt;0,L27,0)</f>
        <v>30.7439122762793</v>
      </c>
      <c r="K27" s="7" t="n">
        <f aca="false">I27+J27</f>
        <v>575.443912276279</v>
      </c>
      <c r="L27" s="7" t="n">
        <f aca="false">F27-(I27-W27)</f>
        <v>30.7439122762793</v>
      </c>
      <c r="M27" s="7" t="n">
        <v>107</v>
      </c>
      <c r="N27" s="7" t="n">
        <f aca="false">37.87+38.62*1.05</f>
        <v>78.421</v>
      </c>
      <c r="O27" s="7" t="n">
        <f aca="false">M27-N27</f>
        <v>28.579</v>
      </c>
      <c r="P27" s="7" t="n">
        <v>0</v>
      </c>
      <c r="Q27" s="7" t="n">
        <v>0</v>
      </c>
      <c r="R27" s="7" t="n">
        <f aca="false">SUM(O27:Q27)</f>
        <v>28.579</v>
      </c>
      <c r="S27" s="7"/>
      <c r="T27" s="7" t="n">
        <v>0</v>
      </c>
      <c r="U27" s="7" t="n">
        <v>51</v>
      </c>
      <c r="V27" s="8" t="n">
        <f aca="false">V26-U27</f>
        <v>17563.4388706831</v>
      </c>
      <c r="W27" s="7" t="n">
        <f aca="false">N27+R27+T27+U27</f>
        <v>158</v>
      </c>
      <c r="X27" s="7" t="n">
        <f aca="false">IF(L27&lt;0,L27*-1,0)</f>
        <v>0</v>
      </c>
      <c r="Y27" s="7" t="n">
        <f aca="false">W27+X27</f>
        <v>158</v>
      </c>
      <c r="Z27" s="11" t="n">
        <v>0</v>
      </c>
      <c r="AA27" s="41" t="n">
        <v>70</v>
      </c>
      <c r="AB27" s="12" t="n">
        <v>31</v>
      </c>
      <c r="AC27" s="13" t="n">
        <f aca="false">AC26+1</f>
        <v>18</v>
      </c>
      <c r="AD27" s="12"/>
      <c r="AE27" s="12"/>
      <c r="AG27" s="7"/>
    </row>
    <row r="28" customFormat="false" ht="11.1" hidden="false" customHeight="true" outlineLevel="0" collapsed="false">
      <c r="A28" s="13" t="n">
        <f aca="false">A27+1</f>
        <v>19</v>
      </c>
      <c r="B28" s="31" t="n">
        <v>6903.11</v>
      </c>
      <c r="C28" s="8" t="n">
        <v>295195</v>
      </c>
      <c r="D28" s="12" t="n">
        <f aca="false">C28-C27</f>
        <v>1208</v>
      </c>
      <c r="E28" s="8" t="n">
        <f aca="false">C28-152000</f>
        <v>143195</v>
      </c>
      <c r="F28" s="7" t="n">
        <f aca="false">D28/$D$2</f>
        <v>609.024451726746</v>
      </c>
      <c r="G28" s="7" t="n">
        <v>653</v>
      </c>
      <c r="H28" s="9" t="n">
        <v>5.4</v>
      </c>
      <c r="I28" s="7" t="n">
        <f aca="false">G28+H28</f>
        <v>658.4</v>
      </c>
      <c r="J28" s="104" t="n">
        <f aca="false">IF(L28&gt;0,L28,0)</f>
        <v>114.624451726746</v>
      </c>
      <c r="K28" s="7" t="n">
        <f aca="false">I28+J28</f>
        <v>773.024451726746</v>
      </c>
      <c r="L28" s="7" t="n">
        <f aca="false">F28-(I28-W28)</f>
        <v>114.624451726746</v>
      </c>
      <c r="M28" s="7" t="n">
        <v>114</v>
      </c>
      <c r="N28" s="7" t="n">
        <f aca="false">40.99+37.85*1.05</f>
        <v>80.7325</v>
      </c>
      <c r="O28" s="7" t="n">
        <f aca="false">M28-N28</f>
        <v>33.2675</v>
      </c>
      <c r="P28" s="7" t="n">
        <v>0</v>
      </c>
      <c r="Q28" s="7" t="n">
        <v>0</v>
      </c>
      <c r="R28" s="7" t="n">
        <f aca="false">SUM(O28:Q28)</f>
        <v>33.2675</v>
      </c>
      <c r="S28" s="7"/>
      <c r="T28" s="7" t="n">
        <v>0</v>
      </c>
      <c r="U28" s="7" t="n">
        <v>50</v>
      </c>
      <c r="V28" s="8" t="n">
        <f aca="false">V27-U28</f>
        <v>17513.4388706831</v>
      </c>
      <c r="W28" s="7" t="n">
        <f aca="false">N28+R28+T28+U28</f>
        <v>164</v>
      </c>
      <c r="X28" s="7" t="n">
        <f aca="false">IF(L28&lt;0,L28*-1,0)</f>
        <v>0</v>
      </c>
      <c r="Y28" s="7" t="n">
        <f aca="false">W28+X28</f>
        <v>164</v>
      </c>
      <c r="Z28" s="11" t="n">
        <v>0</v>
      </c>
      <c r="AA28" s="41" t="n">
        <v>70</v>
      </c>
      <c r="AB28" s="12" t="n">
        <v>34</v>
      </c>
      <c r="AC28" s="13" t="n">
        <f aca="false">AC27+1</f>
        <v>19</v>
      </c>
      <c r="AD28" s="12"/>
      <c r="AE28" s="12"/>
      <c r="AG28" s="7"/>
    </row>
    <row r="29" customFormat="false" ht="11.1" hidden="false" customHeight="true" outlineLevel="0" collapsed="false">
      <c r="A29" s="13" t="n">
        <f aca="false">A28+1</f>
        <v>20</v>
      </c>
      <c r="B29" s="31" t="n">
        <v>6903.55</v>
      </c>
      <c r="C29" s="8" t="n">
        <v>296864</v>
      </c>
      <c r="D29" s="12" t="n">
        <f aca="false">C29-C28</f>
        <v>1669</v>
      </c>
      <c r="E29" s="8" t="n">
        <f aca="false">C29-152000</f>
        <v>144864</v>
      </c>
      <c r="F29" s="7" t="n">
        <f aca="false">D29/$D$2</f>
        <v>841.441895639022</v>
      </c>
      <c r="G29" s="7" t="n">
        <v>879</v>
      </c>
      <c r="H29" s="9" t="n">
        <v>18</v>
      </c>
      <c r="I29" s="7" t="n">
        <f aca="false">G29+H29</f>
        <v>897</v>
      </c>
      <c r="J29" s="104" t="n">
        <f aca="false">IF(L29&gt;0,L29,0)</f>
        <v>109.441895639022</v>
      </c>
      <c r="K29" s="7" t="n">
        <f aca="false">I29+J29</f>
        <v>1006.44189563902</v>
      </c>
      <c r="L29" s="7" t="n">
        <f aca="false">F29-(I29-W29)</f>
        <v>109.441895639022</v>
      </c>
      <c r="M29" s="7" t="n">
        <v>115</v>
      </c>
      <c r="N29" s="7" t="n">
        <f aca="false">41.1+41.53*1.05</f>
        <v>84.7065</v>
      </c>
      <c r="O29" s="7" t="n">
        <f aca="false">M29-N29</f>
        <v>30.2935</v>
      </c>
      <c r="P29" s="7" t="n">
        <v>0</v>
      </c>
      <c r="Q29" s="7" t="n">
        <v>0</v>
      </c>
      <c r="R29" s="7" t="n">
        <f aca="false">SUM(O29:Q29)</f>
        <v>30.2935</v>
      </c>
      <c r="S29" s="7"/>
      <c r="T29" s="7" t="n">
        <v>0</v>
      </c>
      <c r="U29" s="7" t="n">
        <v>50</v>
      </c>
      <c r="V29" s="8" t="n">
        <f aca="false">V28-U29</f>
        <v>17463.4388706831</v>
      </c>
      <c r="W29" s="7" t="n">
        <f aca="false">N29+R29+T29+U29</f>
        <v>165</v>
      </c>
      <c r="X29" s="7" t="n">
        <f aca="false">IF(L29&lt;0,L29*-1,0)</f>
        <v>0</v>
      </c>
      <c r="Y29" s="7" t="n">
        <f aca="false">W29+X29</f>
        <v>165</v>
      </c>
      <c r="Z29" s="11" t="n">
        <v>0</v>
      </c>
      <c r="AA29" s="41" t="n">
        <v>71</v>
      </c>
      <c r="AB29" s="12" t="n">
        <v>35</v>
      </c>
      <c r="AC29" s="13" t="n">
        <f aca="false">AC28+1</f>
        <v>20</v>
      </c>
      <c r="AD29" s="12"/>
      <c r="AE29" s="12"/>
      <c r="AG29" s="7"/>
    </row>
    <row r="30" customFormat="false" ht="11.1" hidden="false" customHeight="true" outlineLevel="0" collapsed="false">
      <c r="A30" s="13" t="n">
        <f aca="false">A29+1</f>
        <v>21</v>
      </c>
      <c r="B30" s="31" t="n">
        <v>6904.03</v>
      </c>
      <c r="C30" s="8" t="n">
        <v>298686</v>
      </c>
      <c r="D30" s="12" t="n">
        <f aca="false">C30-C29</f>
        <v>1822</v>
      </c>
      <c r="E30" s="8" t="n">
        <f aca="false">C30-152000</f>
        <v>146686</v>
      </c>
      <c r="F30" s="7" t="n">
        <f aca="false">D30/$D$2</f>
        <v>918.578270733552</v>
      </c>
      <c r="G30" s="7" t="n">
        <v>980</v>
      </c>
      <c r="H30" s="9" t="n">
        <v>27</v>
      </c>
      <c r="I30" s="7" t="n">
        <f aca="false">G30+H30</f>
        <v>1007</v>
      </c>
      <c r="J30" s="104" t="n">
        <f aca="false">IF(L30&gt;0,L30,0)</f>
        <v>71.5782707335518</v>
      </c>
      <c r="K30" s="7" t="n">
        <f aca="false">I30+J30</f>
        <v>1078.57827073355</v>
      </c>
      <c r="L30" s="7" t="n">
        <f aca="false">F30-(I30-W30)</f>
        <v>71.5782707335518</v>
      </c>
      <c r="M30" s="7" t="n">
        <v>110</v>
      </c>
      <c r="N30" s="7" t="n">
        <f aca="false">39.44+40.42*1.05</f>
        <v>81.881</v>
      </c>
      <c r="O30" s="7" t="n">
        <f aca="false">M30-N30</f>
        <v>28.119</v>
      </c>
      <c r="P30" s="7" t="n">
        <v>0</v>
      </c>
      <c r="Q30" s="7" t="n">
        <v>0</v>
      </c>
      <c r="R30" s="7" t="n">
        <f aca="false">SUM(O30:Q30)</f>
        <v>28.119</v>
      </c>
      <c r="S30" s="7"/>
      <c r="T30" s="7" t="n">
        <v>0</v>
      </c>
      <c r="U30" s="7" t="n">
        <v>50</v>
      </c>
      <c r="V30" s="8" t="n">
        <f aca="false">V29-U30</f>
        <v>17413.4388706831</v>
      </c>
      <c r="W30" s="7" t="n">
        <f aca="false">N30+R30+T30+U30</f>
        <v>160</v>
      </c>
      <c r="X30" s="7" t="n">
        <f aca="false">IF(L30&lt;0,L30*-1,0)</f>
        <v>0</v>
      </c>
      <c r="Y30" s="7" t="n">
        <f aca="false">W30+X30</f>
        <v>160</v>
      </c>
      <c r="Z30" s="11" t="n">
        <v>0.15</v>
      </c>
      <c r="AA30" s="12" t="n">
        <v>57</v>
      </c>
      <c r="AB30" s="12" t="n">
        <v>36</v>
      </c>
      <c r="AC30" s="13" t="n">
        <f aca="false">AC29+1</f>
        <v>21</v>
      </c>
      <c r="AD30" s="12"/>
      <c r="AE30" s="12"/>
      <c r="AG30" s="7"/>
    </row>
    <row r="31" customFormat="false" ht="11.1" hidden="false" customHeight="true" outlineLevel="0" collapsed="false">
      <c r="A31" s="13" t="n">
        <f aca="false">A30+1</f>
        <v>22</v>
      </c>
      <c r="B31" s="31" t="n">
        <v>6904.53</v>
      </c>
      <c r="C31" s="8" t="n">
        <v>300598</v>
      </c>
      <c r="D31" s="12" t="n">
        <f aca="false">C31-C30</f>
        <v>1912</v>
      </c>
      <c r="E31" s="8" t="n">
        <f aca="false">C31-152000</f>
        <v>148598</v>
      </c>
      <c r="F31" s="7" t="n">
        <f aca="false">D31/$D$2</f>
        <v>963.952609024452</v>
      </c>
      <c r="G31" s="7" t="n">
        <v>835</v>
      </c>
      <c r="H31" s="9" t="n">
        <v>20</v>
      </c>
      <c r="I31" s="7" t="n">
        <f aca="false">G31+H31</f>
        <v>855</v>
      </c>
      <c r="J31" s="104" t="n">
        <f aca="false">IF(L31&gt;0,L31,0)</f>
        <v>216.952609024452</v>
      </c>
      <c r="K31" s="7" t="n">
        <f aca="false">I31+J31</f>
        <v>1071.95260902445</v>
      </c>
      <c r="L31" s="7" t="n">
        <f aca="false">F31-(I31-W31)</f>
        <v>216.952609024452</v>
      </c>
      <c r="M31" s="7" t="n">
        <v>59</v>
      </c>
      <c r="N31" s="7" t="n">
        <f aca="false">21.13+21.07*1.05</f>
        <v>43.2535</v>
      </c>
      <c r="O31" s="7" t="n">
        <f aca="false">M31-N31</f>
        <v>15.7465</v>
      </c>
      <c r="P31" s="7" t="n">
        <v>0</v>
      </c>
      <c r="Q31" s="7" t="n">
        <v>0</v>
      </c>
      <c r="R31" s="7" t="n">
        <f aca="false">SUM(O31:Q31)</f>
        <v>15.7465</v>
      </c>
      <c r="S31" s="7"/>
      <c r="T31" s="7" t="n">
        <v>0</v>
      </c>
      <c r="U31" s="7" t="n">
        <v>49</v>
      </c>
      <c r="V31" s="8" t="n">
        <f aca="false">V30-U31</f>
        <v>17364.4388706831</v>
      </c>
      <c r="W31" s="7" t="n">
        <f aca="false">N31+R31+T31+U31</f>
        <v>108</v>
      </c>
      <c r="X31" s="7" t="n">
        <f aca="false">IF(L31&lt;0,L31*-1,0)</f>
        <v>0</v>
      </c>
      <c r="Y31" s="7" t="n">
        <f aca="false">W31+X31</f>
        <v>108</v>
      </c>
      <c r="Z31" s="11" t="n">
        <v>0.32</v>
      </c>
      <c r="AA31" s="12" t="n">
        <v>42</v>
      </c>
      <c r="AB31" s="12" t="n">
        <v>31</v>
      </c>
      <c r="AC31" s="13" t="n">
        <f aca="false">AC30+1</f>
        <v>22</v>
      </c>
      <c r="AD31" s="12"/>
      <c r="AE31" s="12"/>
      <c r="AG31" s="7"/>
    </row>
    <row r="32" customFormat="false" ht="11.1" hidden="false" customHeight="true" outlineLevel="0" collapsed="false">
      <c r="A32" s="13" t="n">
        <f aca="false">A31+1</f>
        <v>23</v>
      </c>
      <c r="B32" s="31" t="n">
        <v>6905.01</v>
      </c>
      <c r="C32" s="8" t="n">
        <v>302434</v>
      </c>
      <c r="D32" s="12" t="n">
        <f aca="false">C32-C31</f>
        <v>1836</v>
      </c>
      <c r="E32" s="8" t="n">
        <f aca="false">C32-152000</f>
        <v>150434</v>
      </c>
      <c r="F32" s="7" t="n">
        <f aca="false">D32/$D$2</f>
        <v>925.636501134358</v>
      </c>
      <c r="G32" s="7" t="n">
        <v>723</v>
      </c>
      <c r="H32" s="9" t="n">
        <v>12</v>
      </c>
      <c r="I32" s="7" t="n">
        <f aca="false">G32+H32</f>
        <v>735</v>
      </c>
      <c r="J32" s="104" t="n">
        <f aca="false">IF(L32&gt;0,L32,0)</f>
        <v>269.636501134358</v>
      </c>
      <c r="K32" s="7" t="n">
        <f aca="false">I32+J32</f>
        <v>1004.63650113436</v>
      </c>
      <c r="L32" s="7" t="n">
        <f aca="false">F32-(I32-W32)</f>
        <v>269.636501134358</v>
      </c>
      <c r="M32" s="7" t="n">
        <v>28</v>
      </c>
      <c r="N32" s="7" t="n">
        <f aca="false">0.5+0.41*1.05</f>
        <v>0.9305</v>
      </c>
      <c r="O32" s="7" t="n">
        <f aca="false">M32-N32</f>
        <v>27.0695</v>
      </c>
      <c r="P32" s="7" t="n">
        <v>0</v>
      </c>
      <c r="Q32" s="7" t="n">
        <v>0</v>
      </c>
      <c r="R32" s="7" t="n">
        <f aca="false">SUM(O32:Q32)</f>
        <v>27.0695</v>
      </c>
      <c r="S32" s="7"/>
      <c r="T32" s="7" t="n">
        <v>0</v>
      </c>
      <c r="U32" s="7" t="n">
        <v>51</v>
      </c>
      <c r="V32" s="8" t="n">
        <f aca="false">V31-U32</f>
        <v>17313.4388706831</v>
      </c>
      <c r="W32" s="7" t="n">
        <f aca="false">N32+R32+T32+U32</f>
        <v>79</v>
      </c>
      <c r="X32" s="7" t="n">
        <f aca="false">IF(L32&lt;0,L32*-1,0)</f>
        <v>0</v>
      </c>
      <c r="Y32" s="7" t="n">
        <f aca="false">W32+X32</f>
        <v>79</v>
      </c>
      <c r="Z32" s="11" t="n">
        <v>0</v>
      </c>
      <c r="AA32" s="12" t="n">
        <v>51</v>
      </c>
      <c r="AB32" s="41" t="n">
        <v>35</v>
      </c>
      <c r="AC32" s="13" t="n">
        <f aca="false">AC31+1</f>
        <v>23</v>
      </c>
      <c r="AD32" s="12"/>
      <c r="AE32" s="12"/>
      <c r="AG32" s="7"/>
    </row>
    <row r="33" customFormat="false" ht="11.1" hidden="false" customHeight="true" outlineLevel="0" collapsed="false">
      <c r="A33" s="13" t="n">
        <f aca="false">A32+1</f>
        <v>24</v>
      </c>
      <c r="B33" s="31" t="n">
        <v>6905.52</v>
      </c>
      <c r="C33" s="8" t="n">
        <v>304401</v>
      </c>
      <c r="D33" s="12" t="n">
        <f aca="false">C33-C32</f>
        <v>1967</v>
      </c>
      <c r="E33" s="8" t="n">
        <f aca="false">C33-152000</f>
        <v>152401</v>
      </c>
      <c r="F33" s="7" t="n">
        <f aca="false">D33/$D$2</f>
        <v>991.681371313335</v>
      </c>
      <c r="G33" s="7" t="n">
        <v>837</v>
      </c>
      <c r="H33" s="9" t="n">
        <v>26</v>
      </c>
      <c r="I33" s="7" t="n">
        <f aca="false">G33+H33</f>
        <v>863</v>
      </c>
      <c r="J33" s="104" t="n">
        <f aca="false">IF(L33&gt;0,L33,0)</f>
        <v>202.681371313335</v>
      </c>
      <c r="K33" s="7" t="n">
        <f aca="false">I33+J33</f>
        <v>1065.68137131334</v>
      </c>
      <c r="L33" s="7" t="n">
        <f aca="false">F33-(I33-W33)</f>
        <v>202.681371313335</v>
      </c>
      <c r="M33" s="7" t="n">
        <v>23</v>
      </c>
      <c r="N33" s="7" t="n">
        <f aca="false">0.6+0.52*1.05</f>
        <v>1.146</v>
      </c>
      <c r="O33" s="7" t="n">
        <f aca="false">M33-N33</f>
        <v>21.854</v>
      </c>
      <c r="P33" s="7" t="n">
        <v>0</v>
      </c>
      <c r="Q33" s="7" t="n">
        <v>0</v>
      </c>
      <c r="R33" s="7" t="n">
        <f aca="false">SUM(O33:Q33)</f>
        <v>21.854</v>
      </c>
      <c r="S33" s="7"/>
      <c r="T33" s="7" t="n">
        <v>0</v>
      </c>
      <c r="U33" s="7" t="n">
        <v>51</v>
      </c>
      <c r="V33" s="8" t="n">
        <f aca="false">V32-U33</f>
        <v>17262.4388706831</v>
      </c>
      <c r="W33" s="7" t="n">
        <f aca="false">N33+R33+T33+U33</f>
        <v>74</v>
      </c>
      <c r="X33" s="7" t="n">
        <f aca="false">IF(L33&lt;0,L33*-1,0)</f>
        <v>0</v>
      </c>
      <c r="Y33" s="7" t="n">
        <f aca="false">W33+X33</f>
        <v>74</v>
      </c>
      <c r="Z33" s="11" t="n">
        <v>0.37</v>
      </c>
      <c r="AA33" s="12" t="n">
        <v>50</v>
      </c>
      <c r="AB33" s="41" t="n">
        <v>38</v>
      </c>
      <c r="AC33" s="13" t="n">
        <f aca="false">AC32+1</f>
        <v>24</v>
      </c>
      <c r="AD33" s="12"/>
      <c r="AE33" s="12"/>
      <c r="AG33" s="7"/>
    </row>
    <row r="34" customFormat="false" ht="11.1" hidden="false" customHeight="true" outlineLevel="0" collapsed="false">
      <c r="A34" s="13" t="n">
        <f aca="false">A33+1</f>
        <v>25</v>
      </c>
      <c r="B34" s="31" t="n">
        <v>6906.21</v>
      </c>
      <c r="C34" s="8" t="n">
        <v>307067</v>
      </c>
      <c r="D34" s="12" t="n">
        <f aca="false">C34-C33</f>
        <v>2666</v>
      </c>
      <c r="E34" s="8" t="n">
        <f aca="false">C34-152000</f>
        <v>155067</v>
      </c>
      <c r="F34" s="7" t="n">
        <f aca="false">D34/$D$2</f>
        <v>1344.08873203932</v>
      </c>
      <c r="G34" s="7" t="n">
        <v>836</v>
      </c>
      <c r="H34" s="9" t="n">
        <v>56</v>
      </c>
      <c r="I34" s="7" t="n">
        <f aca="false">G34+H34</f>
        <v>892</v>
      </c>
      <c r="J34" s="104" t="n">
        <f aca="false">IF(L34&gt;0,L34,0)</f>
        <v>515.088732039324</v>
      </c>
      <c r="K34" s="7" t="n">
        <f aca="false">I34+J34</f>
        <v>1407.08873203932</v>
      </c>
      <c r="L34" s="7" t="n">
        <f aca="false">F34-(I34-W34)</f>
        <v>515.088732039324</v>
      </c>
      <c r="M34" s="7" t="n">
        <v>14</v>
      </c>
      <c r="N34" s="7" t="n">
        <v>0</v>
      </c>
      <c r="O34" s="7" t="n">
        <f aca="false">M34-N34</f>
        <v>14</v>
      </c>
      <c r="P34" s="7" t="n">
        <v>0</v>
      </c>
      <c r="Q34" s="7" t="n">
        <v>0</v>
      </c>
      <c r="R34" s="7" t="n">
        <f aca="false">SUM(O34:Q34)</f>
        <v>14</v>
      </c>
      <c r="S34" s="7"/>
      <c r="T34" s="7" t="n">
        <v>0</v>
      </c>
      <c r="U34" s="7" t="n">
        <v>49</v>
      </c>
      <c r="V34" s="8" t="n">
        <f aca="false">V33-U34</f>
        <v>17213.4388706831</v>
      </c>
      <c r="W34" s="7" t="n">
        <f aca="false">N34+R34+T34+U34</f>
        <v>63</v>
      </c>
      <c r="X34" s="7" t="n">
        <f aca="false">IF(L34&lt;0,L34*-1,0)</f>
        <v>0</v>
      </c>
      <c r="Y34" s="7" t="n">
        <f aca="false">W34+X34</f>
        <v>63</v>
      </c>
      <c r="Z34" s="11" t="n">
        <v>0.07</v>
      </c>
      <c r="AA34" s="12" t="n">
        <v>44</v>
      </c>
      <c r="AB34" s="41" t="n">
        <v>29</v>
      </c>
      <c r="AC34" s="13" t="n">
        <f aca="false">AC33+1</f>
        <v>25</v>
      </c>
      <c r="AD34" s="12"/>
      <c r="AE34" s="12"/>
      <c r="AG34" s="7"/>
    </row>
    <row r="35" customFormat="false" ht="11.1" hidden="false" customHeight="true" outlineLevel="0" collapsed="false">
      <c r="A35" s="13" t="n">
        <f aca="false">A34+1</f>
        <v>26</v>
      </c>
      <c r="B35" s="31" t="n">
        <v>6907.06</v>
      </c>
      <c r="C35" s="8" t="n">
        <v>310373</v>
      </c>
      <c r="D35" s="12" t="n">
        <f aca="false">C35-C34</f>
        <v>3306</v>
      </c>
      <c r="E35" s="8" t="n">
        <f aca="false">C35-152000</f>
        <v>158373</v>
      </c>
      <c r="F35" s="7" t="n">
        <f aca="false">D35/$D$2</f>
        <v>1666.75069321906</v>
      </c>
      <c r="G35" s="7" t="n">
        <v>806</v>
      </c>
      <c r="H35" s="9" t="n">
        <v>60</v>
      </c>
      <c r="I35" s="7" t="n">
        <f aca="false">G35+H35</f>
        <v>866</v>
      </c>
      <c r="J35" s="104" t="n">
        <f aca="false">IF(L35&gt;0,L35,0)</f>
        <v>869.750693219057</v>
      </c>
      <c r="K35" s="7" t="n">
        <f aca="false">I35+J35</f>
        <v>1735.75069321906</v>
      </c>
      <c r="L35" s="7" t="n">
        <f aca="false">F35-(I35-W35)</f>
        <v>869.750693219057</v>
      </c>
      <c r="M35" s="7" t="n">
        <v>18</v>
      </c>
      <c r="N35" s="7" t="n">
        <v>0</v>
      </c>
      <c r="O35" s="7" t="n">
        <f aca="false">M35-N35</f>
        <v>18</v>
      </c>
      <c r="P35" s="7" t="n">
        <v>0</v>
      </c>
      <c r="Q35" s="7" t="n">
        <v>0</v>
      </c>
      <c r="R35" s="7" t="n">
        <f aca="false">SUM(O35:Q35)</f>
        <v>18</v>
      </c>
      <c r="S35" s="7"/>
      <c r="T35" s="7" t="n">
        <v>0</v>
      </c>
      <c r="U35" s="7" t="n">
        <v>51</v>
      </c>
      <c r="V35" s="8" t="n">
        <f aca="false">V34-U35</f>
        <v>17162.4388706831</v>
      </c>
      <c r="W35" s="7" t="n">
        <f aca="false">N35+R35+T35+U35</f>
        <v>69</v>
      </c>
      <c r="X35" s="7" t="n">
        <f aca="false">IF(L35&lt;0,L35*-1,0)</f>
        <v>0</v>
      </c>
      <c r="Y35" s="7" t="n">
        <f aca="false">W35+X35</f>
        <v>69</v>
      </c>
      <c r="Z35" s="11" t="n">
        <v>0.02</v>
      </c>
      <c r="AA35" s="12" t="n">
        <v>61</v>
      </c>
      <c r="AB35" s="12" t="n">
        <v>30</v>
      </c>
      <c r="AC35" s="13" t="n">
        <f aca="false">AC34+1</f>
        <v>26</v>
      </c>
      <c r="AD35" s="12"/>
      <c r="AE35" s="12"/>
      <c r="AG35" s="3"/>
    </row>
    <row r="36" customFormat="false" ht="11.1" hidden="false" customHeight="true" outlineLevel="0" collapsed="false">
      <c r="A36" s="13" t="n">
        <f aca="false">A35+1</f>
        <v>27</v>
      </c>
      <c r="B36" s="31" t="n">
        <v>6907.84</v>
      </c>
      <c r="C36" s="8" t="n">
        <v>313429</v>
      </c>
      <c r="D36" s="12" t="n">
        <f aca="false">C36-C35</f>
        <v>3056</v>
      </c>
      <c r="E36" s="8" t="n">
        <f aca="false">C36-152000</f>
        <v>161429</v>
      </c>
      <c r="F36" s="7" t="n">
        <f aca="false">D36/$D$2</f>
        <v>1540.71086463322</v>
      </c>
      <c r="G36" s="7" t="n">
        <v>1010</v>
      </c>
      <c r="H36" s="9" t="n">
        <v>145</v>
      </c>
      <c r="I36" s="7" t="n">
        <f aca="false">G36+H36</f>
        <v>1155</v>
      </c>
      <c r="J36" s="104" t="n">
        <f aca="false">IF(L36&gt;0,L36,0)</f>
        <v>464.710864633224</v>
      </c>
      <c r="K36" s="7" t="n">
        <f aca="false">I36+J36</f>
        <v>1619.71086463322</v>
      </c>
      <c r="L36" s="7" t="n">
        <f aca="false">F36-(I36-W36)</f>
        <v>464.710864633224</v>
      </c>
      <c r="M36" s="7" t="n">
        <v>28</v>
      </c>
      <c r="N36" s="7" t="n">
        <v>0</v>
      </c>
      <c r="O36" s="7" t="n">
        <f aca="false">M36-N36</f>
        <v>28</v>
      </c>
      <c r="P36" s="7" t="n">
        <v>0</v>
      </c>
      <c r="Q36" s="7" t="n">
        <v>0</v>
      </c>
      <c r="R36" s="7" t="n">
        <f aca="false">SUM(O36:Q36)</f>
        <v>28</v>
      </c>
      <c r="S36" s="8"/>
      <c r="T36" s="7" t="n">
        <v>0</v>
      </c>
      <c r="U36" s="7" t="n">
        <v>51</v>
      </c>
      <c r="V36" s="8" t="n">
        <f aca="false">V35-U36</f>
        <v>17111.4388706831</v>
      </c>
      <c r="W36" s="7" t="n">
        <f aca="false">N36+R36+T36+U36</f>
        <v>79</v>
      </c>
      <c r="X36" s="7" t="n">
        <f aca="false">IF(L36&lt;0,L36*-1,0)</f>
        <v>0</v>
      </c>
      <c r="Y36" s="7" t="n">
        <f aca="false">W36+X36</f>
        <v>79</v>
      </c>
      <c r="Z36" s="11" t="n">
        <v>0</v>
      </c>
      <c r="AA36" s="12" t="n">
        <v>67</v>
      </c>
      <c r="AB36" s="12" t="n">
        <v>34</v>
      </c>
      <c r="AC36" s="13" t="n">
        <f aca="false">AC35+1</f>
        <v>27</v>
      </c>
      <c r="AD36" s="12"/>
      <c r="AE36" s="12"/>
      <c r="AG36" s="7"/>
    </row>
    <row r="37" customFormat="false" ht="11.1" hidden="false" customHeight="true" outlineLevel="0" collapsed="false">
      <c r="A37" s="13" t="n">
        <f aca="false">A36+1</f>
        <v>28</v>
      </c>
      <c r="B37" s="31" t="n">
        <v>6908.7</v>
      </c>
      <c r="C37" s="8" t="n">
        <v>316702</v>
      </c>
      <c r="D37" s="12" t="n">
        <f aca="false">C37-C36</f>
        <v>3273</v>
      </c>
      <c r="E37" s="8" t="n">
        <f aca="false">C37-152000</f>
        <v>164702</v>
      </c>
      <c r="F37" s="7" t="n">
        <f aca="false">D37/$D$2</f>
        <v>1650.11343584573</v>
      </c>
      <c r="G37" s="7" t="n">
        <v>1050</v>
      </c>
      <c r="H37" s="9" t="n">
        <v>139</v>
      </c>
      <c r="I37" s="7" t="n">
        <f aca="false">G37+H37</f>
        <v>1189</v>
      </c>
      <c r="J37" s="104" t="n">
        <f aca="false">IF(L37&gt;0,L37,0)</f>
        <v>550.113435845727</v>
      </c>
      <c r="K37" s="7" t="n">
        <f aca="false">I37+J37</f>
        <v>1739.11343584573</v>
      </c>
      <c r="L37" s="7" t="n">
        <f aca="false">F37-(I37-W37)</f>
        <v>550.113435845727</v>
      </c>
      <c r="M37" s="7" t="n">
        <v>38</v>
      </c>
      <c r="N37" s="7" t="n">
        <v>0</v>
      </c>
      <c r="O37" s="7" t="n">
        <f aca="false">M37-N37</f>
        <v>38</v>
      </c>
      <c r="P37" s="7" t="n">
        <v>0</v>
      </c>
      <c r="Q37" s="7" t="n">
        <v>0</v>
      </c>
      <c r="R37" s="7" t="n">
        <f aca="false">SUM(O37:Q37)</f>
        <v>38</v>
      </c>
      <c r="S37" s="8"/>
      <c r="T37" s="7" t="n">
        <v>0</v>
      </c>
      <c r="U37" s="7" t="n">
        <v>51</v>
      </c>
      <c r="V37" s="8" t="n">
        <f aca="false">V36-U37</f>
        <v>17060.4388706831</v>
      </c>
      <c r="W37" s="7" t="n">
        <f aca="false">N37+R37+T37+U37</f>
        <v>89</v>
      </c>
      <c r="X37" s="7" t="n">
        <f aca="false">IF(L37&lt;0,L37*-1,0)</f>
        <v>0</v>
      </c>
      <c r="Y37" s="7" t="n">
        <f aca="false">W37+X37</f>
        <v>89</v>
      </c>
      <c r="Z37" s="11" t="n">
        <v>0.1</v>
      </c>
      <c r="AA37" s="12" t="n">
        <v>59</v>
      </c>
      <c r="AB37" s="12" t="n">
        <v>26</v>
      </c>
      <c r="AC37" s="13" t="n">
        <f aca="false">AC36+1</f>
        <v>28</v>
      </c>
      <c r="AD37" s="12"/>
      <c r="AE37" s="12"/>
      <c r="AG37" s="7"/>
    </row>
    <row r="38" customFormat="false" ht="11.1" hidden="false" customHeight="true" outlineLevel="0" collapsed="false">
      <c r="A38" s="13" t="n">
        <f aca="false">A37+1</f>
        <v>29</v>
      </c>
      <c r="B38" s="31" t="n">
        <v>6909.47</v>
      </c>
      <c r="C38" s="8" t="n">
        <v>319876</v>
      </c>
      <c r="D38" s="12" t="n">
        <f aca="false">C38-C37</f>
        <v>3174</v>
      </c>
      <c r="E38" s="8" t="n">
        <f aca="false">C38-152000</f>
        <v>167876</v>
      </c>
      <c r="F38" s="7" t="n">
        <f aca="false">D38/$D$2</f>
        <v>1600.20166372574</v>
      </c>
      <c r="G38" s="7" t="n">
        <v>1120</v>
      </c>
      <c r="H38" s="9" t="n">
        <v>142</v>
      </c>
      <c r="I38" s="7" t="n">
        <f aca="false">G38+H38</f>
        <v>1262</v>
      </c>
      <c r="J38" s="104" t="n">
        <f aca="false">IF(L38&gt;0,L38,0)</f>
        <v>420.201663725737</v>
      </c>
      <c r="K38" s="7" t="n">
        <f aca="false">I38+J38</f>
        <v>1682.20166372574</v>
      </c>
      <c r="L38" s="7" t="n">
        <f aca="false">F38-(I38-W38)</f>
        <v>420.201663725737</v>
      </c>
      <c r="M38" s="7" t="n">
        <v>31</v>
      </c>
      <c r="N38" s="7" t="n">
        <f aca="false">0.13+2.4*1.05</f>
        <v>2.65</v>
      </c>
      <c r="O38" s="7" t="n">
        <f aca="false">M38-N38</f>
        <v>28.35</v>
      </c>
      <c r="P38" s="7" t="n">
        <v>0</v>
      </c>
      <c r="Q38" s="7" t="n">
        <v>0</v>
      </c>
      <c r="R38" s="7" t="n">
        <f aca="false">SUM(O38:Q38)</f>
        <v>28.35</v>
      </c>
      <c r="S38" s="8"/>
      <c r="T38" s="7" t="n">
        <v>0</v>
      </c>
      <c r="U38" s="7" t="n">
        <v>51</v>
      </c>
      <c r="V38" s="8" t="n">
        <f aca="false">V37-U38</f>
        <v>17009.4388706831</v>
      </c>
      <c r="W38" s="7" t="n">
        <f aca="false">N38+R38+T38+U38</f>
        <v>82</v>
      </c>
      <c r="X38" s="7" t="n">
        <f aca="false">IF(L38&lt;0,L38*-1,0)</f>
        <v>0</v>
      </c>
      <c r="Y38" s="7" t="n">
        <f aca="false">W38+X38</f>
        <v>82</v>
      </c>
      <c r="Z38" s="11" t="n">
        <v>0.03</v>
      </c>
      <c r="AA38" s="41" t="n">
        <v>57</v>
      </c>
      <c r="AB38" s="12" t="n">
        <v>26</v>
      </c>
      <c r="AC38" s="13" t="n">
        <f aca="false">AC37+1</f>
        <v>29</v>
      </c>
      <c r="AD38" s="12"/>
      <c r="AE38" s="12"/>
      <c r="AG38" s="7"/>
    </row>
    <row r="39" customFormat="false" ht="11.1" hidden="false" customHeight="true" outlineLevel="0" collapsed="false">
      <c r="A39" s="13" t="n">
        <v>30</v>
      </c>
      <c r="B39" s="31" t="n">
        <v>6910.15</v>
      </c>
      <c r="C39" s="8" t="n">
        <v>322588</v>
      </c>
      <c r="D39" s="12" t="n">
        <f aca="false">C39-C38</f>
        <v>2712</v>
      </c>
      <c r="E39" s="8" t="n">
        <f aca="false">C39-152000</f>
        <v>170588</v>
      </c>
      <c r="F39" s="7" t="n">
        <f aca="false">D39/$D$2</f>
        <v>1367.28006049912</v>
      </c>
      <c r="G39" s="7" t="n">
        <v>997</v>
      </c>
      <c r="H39" s="9" t="n">
        <v>98</v>
      </c>
      <c r="I39" s="7" t="n">
        <f aca="false">G39+H39</f>
        <v>1095</v>
      </c>
      <c r="J39" s="104" t="n">
        <f aca="false">IF(L39&gt;0,L39,0)</f>
        <v>354.280060499118</v>
      </c>
      <c r="K39" s="7" t="n">
        <f aca="false">I39+J39</f>
        <v>1449.28006049912</v>
      </c>
      <c r="L39" s="7" t="n">
        <f aca="false">F39-(I39-W39)</f>
        <v>354.280060499118</v>
      </c>
      <c r="M39" s="7" t="n">
        <v>31</v>
      </c>
      <c r="N39" s="7" t="n">
        <f aca="false">1.4+5.39*1.05</f>
        <v>7.0595</v>
      </c>
      <c r="O39" s="7" t="n">
        <f aca="false">M39-N39</f>
        <v>23.9405</v>
      </c>
      <c r="P39" s="7" t="n">
        <v>0</v>
      </c>
      <c r="Q39" s="7" t="n">
        <v>0</v>
      </c>
      <c r="R39" s="7" t="n">
        <f aca="false">SUM(O39:Q39)</f>
        <v>23.9405</v>
      </c>
      <c r="S39" s="8"/>
      <c r="T39" s="7" t="n">
        <v>0</v>
      </c>
      <c r="U39" s="7" t="n">
        <v>51</v>
      </c>
      <c r="V39" s="8" t="n">
        <f aca="false">V38-U39</f>
        <v>16958.4388706831</v>
      </c>
      <c r="W39" s="7" t="n">
        <f aca="false">N39+R39+T39+U39</f>
        <v>82</v>
      </c>
      <c r="X39" s="7" t="n">
        <f aca="false">IF(L39&lt;0,L39*-1,0)</f>
        <v>0</v>
      </c>
      <c r="Y39" s="7" t="n">
        <f aca="false">W39+X39</f>
        <v>82</v>
      </c>
      <c r="Z39" s="11" t="n">
        <v>0</v>
      </c>
      <c r="AA39" s="41" t="n">
        <v>57</v>
      </c>
      <c r="AB39" s="12" t="n">
        <v>31</v>
      </c>
      <c r="AC39" s="13" t="n">
        <v>30</v>
      </c>
      <c r="AD39" s="12"/>
      <c r="AE39" s="12"/>
      <c r="AG39" s="7"/>
    </row>
    <row r="40" customFormat="false" ht="3" hidden="false" customHeight="true" outlineLevel="0" collapsed="false">
      <c r="A40" s="33"/>
      <c r="B40" s="33"/>
      <c r="C40" s="35"/>
      <c r="D40" s="33"/>
      <c r="E40" s="35"/>
      <c r="F40" s="33"/>
      <c r="G40" s="33"/>
      <c r="H40" s="36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5"/>
      <c r="T40" s="33"/>
      <c r="U40" s="33"/>
      <c r="V40" s="33"/>
      <c r="W40" s="33"/>
      <c r="X40" s="33"/>
      <c r="Y40" s="33"/>
      <c r="Z40" s="37"/>
      <c r="AA40" s="38"/>
      <c r="AB40" s="38"/>
      <c r="AC40" s="39"/>
      <c r="AD40" s="101"/>
      <c r="AE40" s="101"/>
    </row>
    <row r="41" customFormat="false" ht="11.1" hidden="false" customHeight="true" outlineLevel="0" collapsed="false">
      <c r="A41" s="7" t="s">
        <v>45</v>
      </c>
      <c r="B41" s="7"/>
      <c r="C41" s="8"/>
      <c r="D41" s="8"/>
      <c r="E41" s="8"/>
      <c r="F41" s="8" t="n">
        <f aca="false">SUM(F10:F39)</f>
        <v>21738.8454751702</v>
      </c>
      <c r="G41" s="8" t="n">
        <f aca="false">SUM(G10:G39)</f>
        <v>17920</v>
      </c>
      <c r="H41" s="8" t="n">
        <f aca="false">SUM(H10:H39)</f>
        <v>965.7</v>
      </c>
      <c r="I41" s="8" t="n">
        <f aca="false">SUM(I10:I39)</f>
        <v>18885.7</v>
      </c>
      <c r="J41" s="8" t="n">
        <f aca="false">SUM(J10:J39)</f>
        <v>6122.11547517015</v>
      </c>
      <c r="K41" s="8" t="n">
        <f aca="false">SUM(K10:K39)</f>
        <v>25007.8154751702</v>
      </c>
      <c r="L41" s="8" t="n">
        <f aca="false">SUM(L10:L39)</f>
        <v>6122.11547517015</v>
      </c>
      <c r="M41" s="8" t="n">
        <f aca="false">SUM(M10:M39)</f>
        <v>1551.6</v>
      </c>
      <c r="N41" s="8" t="n">
        <f aca="false">SUM(N10:N39)</f>
        <v>949.431</v>
      </c>
      <c r="O41" s="8" t="n">
        <f aca="false">SUM(O10:O39)</f>
        <v>602.169</v>
      </c>
      <c r="P41" s="8" t="n">
        <f aca="false">SUM(P10:P39)</f>
        <v>0</v>
      </c>
      <c r="Q41" s="8" t="n">
        <f aca="false">SUM(Q10:Q39)</f>
        <v>9.8</v>
      </c>
      <c r="R41" s="8" t="n">
        <f aca="false">SUM(R10:R39)</f>
        <v>611.969</v>
      </c>
      <c r="S41" s="8"/>
      <c r="T41" s="8" t="n">
        <f aca="false">SUM(T10:T39)</f>
        <v>188.57</v>
      </c>
      <c r="U41" s="8" t="n">
        <f aca="false">SUM(U10:U39)</f>
        <v>1519</v>
      </c>
      <c r="V41" s="8"/>
      <c r="W41" s="8" t="n">
        <f aca="false">SUM(W10:W39)</f>
        <v>3268.97</v>
      </c>
      <c r="X41" s="8" t="n">
        <f aca="false">SUM(X10:X39)</f>
        <v>0</v>
      </c>
      <c r="Y41" s="8" t="n">
        <f aca="false">SUM(Y10:Y39)</f>
        <v>3268.97</v>
      </c>
      <c r="Z41" s="11" t="n">
        <f aca="false">SUM(Z10:Z39)</f>
        <v>2.49</v>
      </c>
      <c r="AA41" s="12" t="n">
        <f aca="false">AVERAGE(AA10:AA39)</f>
        <v>54.5</v>
      </c>
      <c r="AB41" s="12" t="n">
        <f aca="false">AVERAGE(AB10:AB39)</f>
        <v>27.6333333333333</v>
      </c>
      <c r="AC41" s="13" t="s">
        <v>67</v>
      </c>
      <c r="AD41" s="101"/>
      <c r="AE41" s="101"/>
    </row>
    <row r="42" customFormat="false" ht="11.1" hidden="false" customHeight="true" outlineLevel="0" collapsed="false">
      <c r="A42" s="7" t="s">
        <v>46</v>
      </c>
      <c r="B42" s="7"/>
      <c r="C42" s="8"/>
      <c r="D42" s="8" t="n">
        <f aca="false">SUM(D10:D39)</f>
        <v>43119</v>
      </c>
      <c r="E42" s="8"/>
      <c r="F42" s="8" t="n">
        <f aca="false">F41*$D$2</f>
        <v>43119</v>
      </c>
      <c r="G42" s="8" t="n">
        <f aca="false">G41*$D$2</f>
        <v>35544.32</v>
      </c>
      <c r="H42" s="8" t="n">
        <f aca="false">H41*$D$2</f>
        <v>1915.46595</v>
      </c>
      <c r="I42" s="8" t="n">
        <f aca="false">I41*$D$2</f>
        <v>37459.78595</v>
      </c>
      <c r="J42" s="8" t="n">
        <f aca="false">J41*$D$2</f>
        <v>12143.216045</v>
      </c>
      <c r="K42" s="8" t="n">
        <f aca="false">K41*$D$2</f>
        <v>49603.001995</v>
      </c>
      <c r="L42" s="8" t="n">
        <f aca="false">L41*$D$2</f>
        <v>12143.216045</v>
      </c>
      <c r="M42" s="8" t="n">
        <f aca="false">M41*$D$2</f>
        <v>3077.5986</v>
      </c>
      <c r="N42" s="8" t="n">
        <f aca="false">N41*$D$2</f>
        <v>1883.1963885</v>
      </c>
      <c r="O42" s="8" t="n">
        <f aca="false">O41*$D$2</f>
        <v>1194.4022115</v>
      </c>
      <c r="P42" s="8" t="n">
        <f aca="false">P41*$D$2</f>
        <v>0</v>
      </c>
      <c r="Q42" s="8" t="n">
        <f aca="false">Q41*$D$2</f>
        <v>19.4383</v>
      </c>
      <c r="R42" s="8" t="n">
        <f aca="false">R41*$D$2</f>
        <v>1213.8405115</v>
      </c>
      <c r="S42" s="8"/>
      <c r="T42" s="8" t="n">
        <f aca="false">T41*$D$2</f>
        <v>374.028595</v>
      </c>
      <c r="U42" s="8" t="n">
        <f aca="false">U41*$D$2</f>
        <v>3012.9365</v>
      </c>
      <c r="V42" s="8"/>
      <c r="W42" s="8" t="n">
        <f aca="false">W41*$D$2</f>
        <v>6484.001995</v>
      </c>
      <c r="X42" s="8" t="n">
        <f aca="false">X41*$D$2</f>
        <v>0</v>
      </c>
      <c r="Y42" s="8" t="n">
        <f aca="false">Y41*$D$2</f>
        <v>6484.001995</v>
      </c>
      <c r="Z42" s="11"/>
      <c r="AA42" s="12" t="n">
        <f aca="false">MAX(AA10:AA39)</f>
        <v>71</v>
      </c>
      <c r="AB42" s="12" t="n">
        <f aca="false">MAX(AB10:AB39)</f>
        <v>38</v>
      </c>
      <c r="AC42" s="13" t="s">
        <v>47</v>
      </c>
      <c r="AD42" s="101"/>
      <c r="AE42" s="101"/>
    </row>
    <row r="43" customFormat="false" ht="3" hidden="false" customHeight="true" outlineLevel="0" collapsed="false">
      <c r="A43" s="33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3"/>
      <c r="W43" s="35"/>
      <c r="X43" s="35"/>
      <c r="Y43" s="35"/>
      <c r="Z43" s="11"/>
      <c r="AA43" s="12"/>
      <c r="AB43" s="12"/>
      <c r="AC43" s="13"/>
      <c r="AD43" s="101"/>
      <c r="AE43" s="101"/>
    </row>
    <row r="44" customFormat="false" ht="11.1" hidden="false" customHeight="true" outlineLevel="0" collapsed="false">
      <c r="A44" s="7" t="s">
        <v>48</v>
      </c>
      <c r="B44" s="7"/>
      <c r="C44" s="8"/>
      <c r="D44" s="8"/>
      <c r="E44" s="8"/>
      <c r="F44" s="8" t="n">
        <f aca="false">F7+F41</f>
        <v>21738.8454751702</v>
      </c>
      <c r="G44" s="8" t="n">
        <f aca="false">G7+G41</f>
        <v>17920</v>
      </c>
      <c r="H44" s="12" t="n">
        <f aca="false">H7+H41</f>
        <v>965.7</v>
      </c>
      <c r="I44" s="8" t="n">
        <f aca="false">I7+I41</f>
        <v>18885.7</v>
      </c>
      <c r="J44" s="8" t="n">
        <f aca="false">J7+J41</f>
        <v>6122.11547517015</v>
      </c>
      <c r="K44" s="8" t="n">
        <f aca="false">K7+K41</f>
        <v>25007.8154751702</v>
      </c>
      <c r="L44" s="8" t="n">
        <f aca="false">L7+L41</f>
        <v>6122.11547517015</v>
      </c>
      <c r="M44" s="8" t="n">
        <f aca="false">M7+M41</f>
        <v>1551.6</v>
      </c>
      <c r="N44" s="8" t="n">
        <f aca="false">N7+N41</f>
        <v>949.431</v>
      </c>
      <c r="O44" s="8" t="n">
        <f aca="false">O7+O41</f>
        <v>602.169</v>
      </c>
      <c r="P44" s="8" t="n">
        <f aca="false">P7+P41</f>
        <v>0</v>
      </c>
      <c r="Q44" s="8" t="n">
        <f aca="false">Q7+Q41</f>
        <v>9.8</v>
      </c>
      <c r="R44" s="8" t="n">
        <f aca="false">R7+R41</f>
        <v>611.969</v>
      </c>
      <c r="S44" s="8" t="n">
        <f aca="false">S39</f>
        <v>0</v>
      </c>
      <c r="T44" s="8" t="n">
        <f aca="false">T7+T41</f>
        <v>188.57</v>
      </c>
      <c r="U44" s="8" t="n">
        <f aca="false">U7+U41</f>
        <v>1519</v>
      </c>
      <c r="V44" s="8" t="n">
        <v>0</v>
      </c>
      <c r="W44" s="8" t="n">
        <f aca="false">W7+W41</f>
        <v>3268.97</v>
      </c>
      <c r="X44" s="8" t="n">
        <f aca="false">X7+X41</f>
        <v>0</v>
      </c>
      <c r="Y44" s="8" t="n">
        <f aca="false">Y7+Y41</f>
        <v>3268.97</v>
      </c>
      <c r="Z44" s="11"/>
      <c r="AA44" s="12" t="n">
        <f aca="false">MIN(AA10:AA39)</f>
        <v>35</v>
      </c>
      <c r="AB44" s="12" t="n">
        <f aca="false">MIN(AB10:AB39)</f>
        <v>13</v>
      </c>
      <c r="AC44" s="13" t="s">
        <v>49</v>
      </c>
      <c r="AD44" s="101"/>
      <c r="AE44" s="101"/>
    </row>
    <row r="45" customFormat="false" ht="11.1" hidden="false" customHeight="true" outlineLevel="0" collapsed="false">
      <c r="A45" s="7" t="s">
        <v>50</v>
      </c>
      <c r="B45" s="7"/>
      <c r="C45" s="8"/>
      <c r="D45" s="8" t="n">
        <f aca="false">D7+D42</f>
        <v>43119</v>
      </c>
      <c r="E45" s="8"/>
      <c r="F45" s="8" t="n">
        <f aca="false">F44*$D$2</f>
        <v>43119</v>
      </c>
      <c r="G45" s="8" t="n">
        <f aca="false">G44*$D$2</f>
        <v>35544.32</v>
      </c>
      <c r="H45" s="12" t="n">
        <f aca="false">H44*$D$2</f>
        <v>1915.46595</v>
      </c>
      <c r="I45" s="8" t="n">
        <f aca="false">I44*$D$2</f>
        <v>37459.78595</v>
      </c>
      <c r="J45" s="8" t="n">
        <f aca="false">J44*$D$2</f>
        <v>12143.216045</v>
      </c>
      <c r="K45" s="8" t="n">
        <f aca="false">K44*$D$2</f>
        <v>49603.001995</v>
      </c>
      <c r="L45" s="8" t="n">
        <f aca="false">L44*$D$2</f>
        <v>12143.216045</v>
      </c>
      <c r="M45" s="8" t="n">
        <f aca="false">M44*$D$2</f>
        <v>3077.5986</v>
      </c>
      <c r="N45" s="8" t="n">
        <f aca="false">N44*$D$2</f>
        <v>1883.1963885</v>
      </c>
      <c r="O45" s="8" t="n">
        <f aca="false">O44*$D$2</f>
        <v>1194.4022115</v>
      </c>
      <c r="P45" s="8" t="n">
        <f aca="false">P44*$D$2</f>
        <v>0</v>
      </c>
      <c r="Q45" s="8" t="n">
        <f aca="false">Q44*$D$2</f>
        <v>19.4383</v>
      </c>
      <c r="R45" s="8" t="n">
        <f aca="false">R44*$D$2</f>
        <v>1213.8405115</v>
      </c>
      <c r="S45" s="8" t="n">
        <f aca="false">S44*$D$2</f>
        <v>0</v>
      </c>
      <c r="T45" s="8" t="n">
        <f aca="false">T44*$D$2</f>
        <v>374.028595</v>
      </c>
      <c r="U45" s="8" t="n">
        <f aca="false">U44*$D$2</f>
        <v>3012.9365</v>
      </c>
      <c r="V45" s="8" t="n">
        <v>0</v>
      </c>
      <c r="W45" s="8" t="n">
        <f aca="false">W44*$D$2</f>
        <v>6484.001995</v>
      </c>
      <c r="X45" s="8" t="n">
        <f aca="false">X44*$D$2</f>
        <v>0</v>
      </c>
      <c r="Y45" s="8" t="n">
        <f aca="false">Y44*$D$2</f>
        <v>6484.001995</v>
      </c>
      <c r="Z45" s="11"/>
      <c r="AA45" s="12"/>
      <c r="AB45" s="12"/>
      <c r="AC45" s="13"/>
      <c r="AD45" s="101"/>
      <c r="AE45" s="101"/>
    </row>
    <row r="46" customFormat="false" ht="3" hidden="false" customHeight="true" outlineLevel="0" collapsed="false">
      <c r="A46" s="33"/>
      <c r="B46" s="33"/>
      <c r="C46" s="35"/>
      <c r="D46" s="35"/>
      <c r="E46" s="35"/>
      <c r="F46" s="35"/>
      <c r="G46" s="35"/>
      <c r="H46" s="38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7"/>
      <c r="AA46" s="12"/>
      <c r="AB46" s="12"/>
      <c r="AC46" s="13"/>
      <c r="AD46" s="101"/>
      <c r="AE46" s="101"/>
    </row>
    <row r="47" customFormat="false" ht="11.1" hidden="false" customHeight="true" outlineLevel="0" collapsed="false">
      <c r="A47" s="7" t="s">
        <v>51</v>
      </c>
      <c r="B47" s="7"/>
      <c r="C47" s="8"/>
      <c r="D47" s="8"/>
      <c r="E47" s="8"/>
      <c r="F47" s="8" t="n">
        <f aca="false">F8+F41</f>
        <v>32502.6468364003</v>
      </c>
      <c r="G47" s="8" t="n">
        <f aca="false">G8+G41</f>
        <v>32353</v>
      </c>
      <c r="H47" s="12" t="n">
        <f aca="false">H8+H41</f>
        <v>1296</v>
      </c>
      <c r="I47" s="8" t="n">
        <f aca="false">I8+I41</f>
        <v>33643.9</v>
      </c>
      <c r="J47" s="8" t="n">
        <f aca="false">J8+J41</f>
        <v>10372.4834106378</v>
      </c>
      <c r="K47" s="8" t="n">
        <f aca="false">K8+K41</f>
        <v>44019.0880993194</v>
      </c>
      <c r="L47" s="8" t="n">
        <f aca="false">L8+L41</f>
        <v>9829.6168364003</v>
      </c>
      <c r="M47" s="8" t="n">
        <f aca="false">M8+M41</f>
        <v>2787.4</v>
      </c>
      <c r="N47" s="8" t="n">
        <f aca="false">N8+N41</f>
        <v>1024.9995</v>
      </c>
      <c r="O47" s="8" t="n">
        <f aca="false">O8+O41</f>
        <v>1476.8005</v>
      </c>
      <c r="P47" s="8" t="n">
        <f aca="false">P8+P41</f>
        <v>0</v>
      </c>
      <c r="Q47" s="8" t="n">
        <f aca="false">Q8+Q41</f>
        <v>139.9</v>
      </c>
      <c r="R47" s="8" t="n">
        <f aca="false">R8+R41</f>
        <v>1847.123</v>
      </c>
      <c r="S47" s="8"/>
      <c r="T47" s="8" t="n">
        <f aca="false">T8+T41</f>
        <v>188.57</v>
      </c>
      <c r="U47" s="8" t="n">
        <f aca="false">U8+U41</f>
        <v>7855</v>
      </c>
      <c r="V47" s="8" t="n">
        <f aca="false">V39</f>
        <v>16958.4388706831</v>
      </c>
      <c r="W47" s="8" t="n">
        <f aca="false">W8+W41</f>
        <v>10970.87</v>
      </c>
      <c r="X47" s="8" t="n">
        <f aca="false">X8+X41</f>
        <v>542.866574237459</v>
      </c>
      <c r="Y47" s="8" t="n">
        <f aca="false">Y8+Y41</f>
        <v>11513.7365742375</v>
      </c>
      <c r="Z47" s="32" t="n">
        <f aca="false">Z8+Z41</f>
        <v>7.47</v>
      </c>
      <c r="AA47" s="12"/>
      <c r="AB47" s="12"/>
      <c r="AC47" s="13"/>
      <c r="AD47" s="101"/>
      <c r="AE47" s="101"/>
    </row>
    <row r="48" customFormat="false" ht="11.1" hidden="false" customHeight="true" outlineLevel="0" collapsed="false">
      <c r="A48" s="7" t="s">
        <v>52</v>
      </c>
      <c r="B48" s="7"/>
      <c r="C48" s="8"/>
      <c r="D48" s="8" t="n">
        <f aca="false">D8+D42</f>
        <v>64469</v>
      </c>
      <c r="E48" s="8" t="n">
        <f aca="false">E39</f>
        <v>170588</v>
      </c>
      <c r="F48" s="8" t="n">
        <f aca="false">F47*$D$2</f>
        <v>64469</v>
      </c>
      <c r="G48" s="8" t="n">
        <f aca="false">G47*$D$2</f>
        <v>64172.1755</v>
      </c>
      <c r="H48" s="12" t="n">
        <f aca="false">H47*$D$2</f>
        <v>2570.616</v>
      </c>
      <c r="I48" s="8" t="n">
        <f aca="false">I47*$D$2</f>
        <v>66732.67565</v>
      </c>
      <c r="J48" s="8" t="n">
        <f aca="false">J47*$D$2</f>
        <v>20573.820845</v>
      </c>
      <c r="K48" s="8" t="n">
        <f aca="false">K47*$D$2</f>
        <v>87311.861245</v>
      </c>
      <c r="L48" s="8" t="n">
        <f aca="false">L47*$D$2</f>
        <v>19497.044995</v>
      </c>
      <c r="M48" s="8" t="n">
        <f aca="false">M47*$D$2</f>
        <v>5528.8079</v>
      </c>
      <c r="N48" s="8" t="n">
        <f aca="false">N47*$D$2</f>
        <v>2033.08650825</v>
      </c>
      <c r="O48" s="8" t="n">
        <f aca="false">O47*$D$2</f>
        <v>2929.23379175</v>
      </c>
      <c r="P48" s="8" t="n">
        <f aca="false">P47*$D$2</f>
        <v>0</v>
      </c>
      <c r="Q48" s="8" t="n">
        <f aca="false">Q47*$D$2</f>
        <v>277.49165</v>
      </c>
      <c r="R48" s="8" t="n">
        <f aca="false">R47*$D$2</f>
        <v>3663.7684705</v>
      </c>
      <c r="S48" s="8" t="n">
        <f aca="false">S47*$D$2</f>
        <v>0</v>
      </c>
      <c r="T48" s="8" t="n">
        <f aca="false">T47*$D$2</f>
        <v>374.028595</v>
      </c>
      <c r="U48" s="8" t="n">
        <f aca="false">U47*$D$2</f>
        <v>15580.3925</v>
      </c>
      <c r="V48" s="8" t="n">
        <f aca="false">V47*$D$2</f>
        <v>33637.0635</v>
      </c>
      <c r="W48" s="8" t="n">
        <f aca="false">W47*$D$2</f>
        <v>21760.720645</v>
      </c>
      <c r="X48" s="8" t="n">
        <f aca="false">X47*$D$2</f>
        <v>1076.77585</v>
      </c>
      <c r="Y48" s="8" t="n">
        <f aca="false">Y47*$D$2</f>
        <v>22837.496495</v>
      </c>
      <c r="Z48" s="11"/>
      <c r="AA48" s="12"/>
      <c r="AB48" s="12"/>
      <c r="AC48" s="13"/>
      <c r="AD48" s="101"/>
      <c r="AE48" s="101"/>
    </row>
    <row r="49" customFormat="false" ht="3" hidden="false" customHeight="true" outlineLevel="0" collapsed="false">
      <c r="A49" s="33"/>
      <c r="B49" s="33"/>
      <c r="C49" s="35"/>
      <c r="D49" s="33"/>
      <c r="E49" s="35"/>
      <c r="F49" s="33"/>
      <c r="G49" s="33"/>
      <c r="H49" s="36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5"/>
      <c r="T49" s="33"/>
      <c r="U49" s="33"/>
      <c r="V49" s="35"/>
      <c r="W49" s="33"/>
      <c r="X49" s="33"/>
      <c r="Y49" s="33"/>
      <c r="Z49" s="11"/>
      <c r="AA49" s="12"/>
      <c r="AB49" s="12"/>
      <c r="AC49" s="13"/>
      <c r="AD49" s="101"/>
      <c r="AE49" s="101"/>
    </row>
    <row r="50" customFormat="false" ht="14.1" hidden="false" customHeight="true" outlineLevel="0" collapsed="false">
      <c r="A50" s="42" t="str">
        <f aca="false">"4/10/97 thru 5/8/97"</f>
        <v>4/10/97 thru 5/8/97</v>
      </c>
      <c r="B50" s="43"/>
      <c r="C50" s="8"/>
      <c r="D50" s="7"/>
      <c r="E50" s="8"/>
      <c r="F50" s="7"/>
      <c r="G50" s="7"/>
      <c r="H50" s="9"/>
      <c r="I50" s="7"/>
      <c r="J50" s="7"/>
      <c r="K50" s="7"/>
      <c r="L50" s="7"/>
      <c r="M50" s="7"/>
      <c r="N50" s="7"/>
      <c r="O50" s="7"/>
      <c r="P50" s="7"/>
      <c r="Q50" s="7"/>
      <c r="R50" s="7"/>
      <c r="S50" s="8"/>
      <c r="T50" s="7"/>
      <c r="U50" s="7"/>
      <c r="V50" s="8"/>
      <c r="W50" s="7"/>
      <c r="X50" s="7"/>
      <c r="Z50" s="105" t="n">
        <v>34790</v>
      </c>
      <c r="AA50" s="12" t="n">
        <v>56</v>
      </c>
      <c r="AB50" s="12" t="n">
        <v>32</v>
      </c>
      <c r="AC50" s="13" t="s">
        <v>67</v>
      </c>
      <c r="AD50" s="101"/>
      <c r="AE50" s="101"/>
    </row>
    <row r="51" customFormat="false" ht="11.1" hidden="false" customHeight="true" outlineLevel="0" collapsed="false">
      <c r="A51" s="7"/>
      <c r="B51" s="31" t="n">
        <f aca="false" t="array" ref="B51:C51">MAY!$B$16:$C$16</f>
        <v>6914.76</v>
      </c>
      <c r="C51" s="8" t="n">
        <v>341378</v>
      </c>
      <c r="D51" s="41"/>
      <c r="E51" s="8" t="n">
        <f aca="false">C51-152000</f>
        <v>189378</v>
      </c>
      <c r="F51" s="7"/>
      <c r="G51" s="7"/>
      <c r="H51" s="41"/>
      <c r="I51" s="9"/>
      <c r="J51" s="7"/>
      <c r="K51" s="44"/>
      <c r="L51" s="7"/>
      <c r="M51" s="7"/>
      <c r="N51" s="7"/>
      <c r="O51" s="7"/>
      <c r="P51" s="7"/>
      <c r="Q51" s="7"/>
      <c r="R51" s="7"/>
      <c r="S51" s="8"/>
      <c r="T51" s="7"/>
      <c r="U51" s="7"/>
      <c r="V51" s="8"/>
      <c r="W51" s="7"/>
      <c r="X51" s="7"/>
      <c r="Y51" s="7"/>
      <c r="Z51" s="11"/>
      <c r="AA51" s="12" t="n">
        <v>67</v>
      </c>
      <c r="AB51" s="12" t="n">
        <v>40</v>
      </c>
      <c r="AC51" s="13" t="s">
        <v>68</v>
      </c>
      <c r="AD51" s="101"/>
      <c r="AE51" s="101"/>
    </row>
    <row r="52" customFormat="false" ht="11.1" hidden="false" customHeight="true" outlineLevel="0" collapsed="false">
      <c r="B52" s="41"/>
      <c r="C52" s="8"/>
      <c r="D52" s="8"/>
      <c r="E52" s="8"/>
      <c r="F52" s="41"/>
      <c r="G52" s="41"/>
      <c r="H52" s="9"/>
      <c r="I52" s="41"/>
      <c r="J52" s="41"/>
      <c r="K52" s="41"/>
      <c r="L52" s="41"/>
      <c r="M52" s="32"/>
      <c r="N52" s="32"/>
      <c r="O52" s="32"/>
      <c r="P52" s="41"/>
      <c r="Q52" s="41"/>
      <c r="R52" s="41"/>
      <c r="S52" s="8"/>
      <c r="T52" s="41"/>
      <c r="U52" s="41"/>
      <c r="V52" s="8"/>
      <c r="W52" s="41"/>
      <c r="X52" s="41"/>
      <c r="Y52" s="41"/>
      <c r="Z52" s="11"/>
      <c r="AA52" s="12" t="n">
        <v>36</v>
      </c>
      <c r="AB52" s="12" t="n">
        <v>22</v>
      </c>
      <c r="AC52" s="13" t="s">
        <v>69</v>
      </c>
      <c r="AD52" s="106"/>
      <c r="AE52" s="106"/>
    </row>
    <row r="53" customFormat="false" ht="11.1" hidden="false" customHeight="true" outlineLevel="0" collapsed="false">
      <c r="A53" s="41"/>
      <c r="B53" s="11" t="n">
        <f aca="false">B51-B19</f>
        <v>14.3299999999999</v>
      </c>
      <c r="C53" s="8"/>
      <c r="D53" s="8" t="n">
        <f aca="false">C51-C19</f>
        <v>56206</v>
      </c>
      <c r="E53" s="8"/>
      <c r="F53" s="41"/>
      <c r="G53" s="41"/>
      <c r="H53" s="9"/>
      <c r="I53" s="41"/>
      <c r="J53" s="41"/>
      <c r="K53" s="41"/>
      <c r="L53" s="41"/>
      <c r="M53" s="32"/>
      <c r="N53" s="32"/>
      <c r="O53" s="32"/>
      <c r="P53" s="41"/>
      <c r="Q53" s="41"/>
      <c r="R53" s="41"/>
      <c r="S53" s="8"/>
      <c r="T53" s="41"/>
      <c r="U53" s="41"/>
      <c r="V53" s="8"/>
      <c r="W53" s="41"/>
      <c r="X53" s="41"/>
      <c r="Z53" s="105" t="n">
        <v>35156</v>
      </c>
      <c r="AA53" s="12" t="n">
        <v>60</v>
      </c>
      <c r="AB53" s="12" t="n">
        <v>32</v>
      </c>
      <c r="AC53" s="13" t="s">
        <v>67</v>
      </c>
      <c r="AD53" s="106"/>
      <c r="AE53" s="106"/>
    </row>
    <row r="54" customFormat="false" ht="11.1" hidden="false" customHeight="true" outlineLevel="0" collapsed="false">
      <c r="A54" s="41"/>
      <c r="B54" s="41"/>
      <c r="C54" s="8"/>
      <c r="D54" s="41"/>
      <c r="E54" s="8"/>
      <c r="F54" s="41"/>
      <c r="G54" s="45"/>
      <c r="H54" s="9"/>
      <c r="I54" s="41"/>
      <c r="J54" s="41"/>
      <c r="K54" s="41"/>
      <c r="L54" s="41"/>
      <c r="M54" s="32"/>
      <c r="N54" s="32"/>
      <c r="O54" s="32"/>
      <c r="P54" s="41"/>
      <c r="Q54" s="41"/>
      <c r="R54" s="41"/>
      <c r="S54" s="8"/>
      <c r="T54" s="41"/>
      <c r="U54" s="41"/>
      <c r="V54" s="8"/>
      <c r="W54" s="41"/>
      <c r="X54" s="41"/>
      <c r="Y54" s="41"/>
      <c r="Z54" s="11"/>
      <c r="AA54" s="12" t="n">
        <v>76</v>
      </c>
      <c r="AB54" s="12" t="n">
        <v>42</v>
      </c>
      <c r="AC54" s="13" t="s">
        <v>68</v>
      </c>
      <c r="AD54" s="106"/>
      <c r="AE54" s="106"/>
    </row>
    <row r="55" customFormat="false" ht="11.1" hidden="false" customHeight="true" outlineLevel="0" collapsed="false">
      <c r="AA55" s="5" t="n">
        <v>41</v>
      </c>
      <c r="AB55" s="5" t="n">
        <v>21</v>
      </c>
      <c r="AC55" s="13" t="s">
        <v>69</v>
      </c>
    </row>
  </sheetData>
  <mergeCells count="2">
    <mergeCell ref="K2:V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V21" activePane="bottomRight" state="frozen"/>
      <selection pane="topLeft" activeCell="A1" activeCellId="0" sqref="A1"/>
      <selection pane="topRight" activeCell="V1" activeCellId="0" sqref="V1"/>
      <selection pane="bottomLeft" activeCell="A21" activeCellId="0" sqref="A21"/>
      <selection pane="bottomRight" activeCell="U41" activeCellId="0" sqref="U41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6.82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6.66"/>
    <col collapsed="false" customWidth="true" hidden="false" outlineLevel="0" max="19" min="19" style="47" width="6.66"/>
    <col collapsed="false" customWidth="true" hidden="false" outlineLevel="0" max="20" min="20" style="46" width="5.82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87"/>
      <c r="AE1" s="87"/>
    </row>
    <row r="2" customFormat="false" ht="14.1" hidden="false" customHeight="true" outlineLevel="0" collapsed="false">
      <c r="A2" s="53" t="s">
        <v>1</v>
      </c>
      <c r="B2" s="53"/>
      <c r="C2" s="54"/>
      <c r="D2" s="60" t="n">
        <v>1.9835</v>
      </c>
      <c r="E2" s="54"/>
      <c r="F2" s="53"/>
      <c r="G2" s="53"/>
      <c r="H2" s="55"/>
      <c r="I2" s="53"/>
      <c r="J2" s="53"/>
      <c r="K2" s="61" t="s">
        <v>70</v>
      </c>
      <c r="L2" s="61"/>
      <c r="M2" s="61"/>
      <c r="N2" s="61"/>
      <c r="O2" s="61"/>
      <c r="P2" s="61"/>
      <c r="Q2" s="61"/>
      <c r="R2" s="61"/>
      <c r="S2" s="61"/>
      <c r="T2" s="61"/>
      <c r="U2" s="53"/>
      <c r="V2" s="54"/>
      <c r="W2" s="53"/>
      <c r="X2" s="53"/>
      <c r="Y2" s="53"/>
      <c r="Z2" s="57"/>
      <c r="AA2" s="58"/>
      <c r="AB2" s="58"/>
      <c r="AC2" s="59"/>
      <c r="AD2" s="87"/>
      <c r="AE2" s="87"/>
    </row>
    <row r="3" customFormat="false" ht="11.1" hidden="false" customHeight="true" outlineLevel="0" collapsed="false">
      <c r="A3" s="53"/>
      <c r="B3" s="53"/>
      <c r="C3" s="54"/>
      <c r="D3" s="62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87"/>
      <c r="AE3" s="87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14</v>
      </c>
      <c r="Q4" s="63" t="s">
        <v>15</v>
      </c>
      <c r="R4" s="63" t="s">
        <v>12</v>
      </c>
      <c r="S4" s="64" t="s">
        <v>16</v>
      </c>
      <c r="T4" s="63" t="s">
        <v>17</v>
      </c>
      <c r="U4" s="63" t="s">
        <v>18</v>
      </c>
      <c r="V4" s="64" t="s">
        <v>19</v>
      </c>
      <c r="W4" s="63" t="s">
        <v>10</v>
      </c>
      <c r="X4" s="63" t="s">
        <v>11</v>
      </c>
      <c r="Y4" s="63" t="s">
        <v>12</v>
      </c>
      <c r="Z4" s="66" t="s">
        <v>20</v>
      </c>
      <c r="AA4" s="67" t="s">
        <v>21</v>
      </c>
      <c r="AB4" s="67" t="s">
        <v>22</v>
      </c>
      <c r="AC4" s="67" t="s">
        <v>3</v>
      </c>
      <c r="AD4" s="87"/>
      <c r="AE4" s="87"/>
    </row>
    <row r="5" customFormat="false" ht="11.1" hidden="false" customHeight="true" outlineLevel="0" collapsed="false">
      <c r="A5" s="68" t="s">
        <v>71</v>
      </c>
      <c r="B5" s="63" t="s">
        <v>24</v>
      </c>
      <c r="C5" s="64" t="s">
        <v>5</v>
      </c>
      <c r="D5" s="63" t="s">
        <v>25</v>
      </c>
      <c r="E5" s="64" t="s">
        <v>26</v>
      </c>
      <c r="F5" s="63" t="s">
        <v>27</v>
      </c>
      <c r="G5" s="63" t="s">
        <v>28</v>
      </c>
      <c r="H5" s="65" t="s">
        <v>29</v>
      </c>
      <c r="I5" s="63" t="s">
        <v>30</v>
      </c>
      <c r="J5" s="63" t="s">
        <v>30</v>
      </c>
      <c r="K5" s="63" t="s">
        <v>30</v>
      </c>
      <c r="L5" s="63" t="s">
        <v>31</v>
      </c>
      <c r="M5" s="63" t="s">
        <v>32</v>
      </c>
      <c r="N5" s="63" t="s">
        <v>33</v>
      </c>
      <c r="O5" s="63" t="s">
        <v>34</v>
      </c>
      <c r="P5" s="63" t="s">
        <v>35</v>
      </c>
      <c r="Q5" s="63" t="s">
        <v>36</v>
      </c>
      <c r="R5" s="63" t="s">
        <v>16</v>
      </c>
      <c r="S5" s="64" t="s">
        <v>37</v>
      </c>
      <c r="T5" s="63" t="s">
        <v>38</v>
      </c>
      <c r="U5" s="63" t="s">
        <v>39</v>
      </c>
      <c r="V5" s="64" t="s">
        <v>40</v>
      </c>
      <c r="W5" s="63" t="s">
        <v>41</v>
      </c>
      <c r="X5" s="63" t="s">
        <v>41</v>
      </c>
      <c r="Y5" s="63" t="s">
        <v>41</v>
      </c>
      <c r="Z5" s="69"/>
      <c r="AA5" s="67" t="s">
        <v>42</v>
      </c>
      <c r="AB5" s="67" t="s">
        <v>42</v>
      </c>
      <c r="AC5" s="70" t="s">
        <v>71</v>
      </c>
      <c r="AD5" s="87"/>
      <c r="AE5" s="87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107"/>
      <c r="W6" s="71"/>
      <c r="X6" s="71"/>
      <c r="Y6" s="71"/>
      <c r="Z6" s="57"/>
      <c r="AA6" s="59"/>
      <c r="AB6" s="59"/>
      <c r="AC6" s="59"/>
      <c r="AD6" s="88"/>
      <c r="AE6" s="88"/>
      <c r="AF6" s="89"/>
    </row>
    <row r="7" customFormat="false" ht="11.1" hidden="false" customHeight="true" outlineLevel="0" collapsed="false">
      <c r="A7" s="53" t="s">
        <v>43</v>
      </c>
      <c r="B7" s="53"/>
      <c r="C7" s="54"/>
      <c r="D7" s="54"/>
      <c r="E7" s="54"/>
      <c r="F7" s="54" t="n">
        <f aca="false" t="array" ref="F7:Y7">APR!$F$44:$Y$44</f>
        <v>21738.8454751702</v>
      </c>
      <c r="G7" s="54" t="n">
        <v>17920</v>
      </c>
      <c r="H7" s="58" t="n">
        <v>965.7</v>
      </c>
      <c r="I7" s="54" t="n">
        <v>18885.7</v>
      </c>
      <c r="J7" s="54" t="n">
        <v>6122.11547517015</v>
      </c>
      <c r="K7" s="54" t="n">
        <v>25007.8154751702</v>
      </c>
      <c r="L7" s="54" t="n">
        <v>6122.11547517015</v>
      </c>
      <c r="M7" s="54" t="n">
        <v>1551.6</v>
      </c>
      <c r="N7" s="54" t="n">
        <v>949.431</v>
      </c>
      <c r="O7" s="54" t="n">
        <v>602.169</v>
      </c>
      <c r="P7" s="54" t="n">
        <v>0</v>
      </c>
      <c r="Q7" s="54" t="n">
        <v>9.8</v>
      </c>
      <c r="R7" s="54" t="n">
        <v>611.969</v>
      </c>
      <c r="S7" s="54" t="n">
        <v>0</v>
      </c>
      <c r="T7" s="54" t="n">
        <v>188.57</v>
      </c>
      <c r="U7" s="54" t="n">
        <v>1519</v>
      </c>
      <c r="V7" s="54" t="n">
        <v>0</v>
      </c>
      <c r="W7" s="54" t="n">
        <v>3268.97</v>
      </c>
      <c r="X7" s="54" t="n">
        <v>0</v>
      </c>
      <c r="Y7" s="54" t="n">
        <v>3268.97</v>
      </c>
      <c r="Z7" s="57"/>
      <c r="AA7" s="58"/>
      <c r="AB7" s="58"/>
      <c r="AC7" s="59"/>
      <c r="AD7" s="88"/>
      <c r="AE7" s="89"/>
      <c r="AF7" s="89"/>
    </row>
    <row r="8" s="47" customFormat="true" ht="11.1" hidden="false" customHeight="true" outlineLevel="0" collapsed="false">
      <c r="A8" s="54" t="s">
        <v>44</v>
      </c>
      <c r="B8" s="74" t="n">
        <f aca="false" t="array" ref="B8:C8">APR!$B$39:$C$39</f>
        <v>6910.15</v>
      </c>
      <c r="C8" s="54" t="n">
        <v>322588</v>
      </c>
      <c r="D8" s="54" t="n">
        <f aca="false" t="array" ref="D8:E8">APR!$D$48:$E$48</f>
        <v>64469</v>
      </c>
      <c r="E8" s="54" t="n">
        <v>170588</v>
      </c>
      <c r="F8" s="54" t="n">
        <f aca="false" t="array" ref="F8:U8">APR!$F$47:$U$47</f>
        <v>32502.6468364003</v>
      </c>
      <c r="G8" s="54" t="n">
        <v>32353</v>
      </c>
      <c r="H8" s="58" t="n">
        <v>1296</v>
      </c>
      <c r="I8" s="54" t="n">
        <v>33643.9</v>
      </c>
      <c r="J8" s="54" t="n">
        <v>10372.4834106378</v>
      </c>
      <c r="K8" s="54" t="n">
        <v>44019.0880993194</v>
      </c>
      <c r="L8" s="54" t="n">
        <v>9829.6168364003</v>
      </c>
      <c r="M8" s="54" t="n">
        <v>2787.4</v>
      </c>
      <c r="N8" s="54" t="n">
        <v>1024.9995</v>
      </c>
      <c r="O8" s="54" t="n">
        <v>1476.8005</v>
      </c>
      <c r="P8" s="54" t="n">
        <v>0</v>
      </c>
      <c r="Q8" s="54" t="n">
        <v>139.9</v>
      </c>
      <c r="R8" s="54" t="n">
        <v>1847.123</v>
      </c>
      <c r="S8" s="54" t="n">
        <v>0</v>
      </c>
      <c r="T8" s="54" t="n">
        <v>188.57</v>
      </c>
      <c r="U8" s="54" t="n">
        <v>7855</v>
      </c>
      <c r="V8" s="54" t="n">
        <f aca="false">APR!$V$47</f>
        <v>16958.4388706831</v>
      </c>
      <c r="W8" s="54" t="n">
        <f aca="false" t="array" ref="W8:Z8">APR!$W$47:$Z$47</f>
        <v>10970.87</v>
      </c>
      <c r="X8" s="54" t="n">
        <v>542.866574237459</v>
      </c>
      <c r="Y8" s="54" t="n">
        <v>11513.7365742375</v>
      </c>
      <c r="Z8" s="75" t="n">
        <v>7.47</v>
      </c>
      <c r="AA8" s="58"/>
      <c r="AB8" s="58"/>
      <c r="AC8" s="59"/>
      <c r="AD8" s="90"/>
      <c r="AE8" s="88"/>
      <c r="AF8" s="90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79"/>
      <c r="I9" s="76"/>
      <c r="J9" s="76"/>
      <c r="K9" s="76"/>
      <c r="L9" s="76"/>
      <c r="M9" s="76"/>
      <c r="N9" s="76"/>
      <c r="O9" s="76"/>
      <c r="P9" s="76"/>
      <c r="Q9" s="76"/>
      <c r="R9" s="76"/>
      <c r="S9" s="78"/>
      <c r="T9" s="76"/>
      <c r="U9" s="76"/>
      <c r="V9" s="78"/>
      <c r="W9" s="76"/>
      <c r="X9" s="76"/>
      <c r="Y9" s="76"/>
      <c r="Z9" s="80"/>
      <c r="AA9" s="81"/>
      <c r="AB9" s="81"/>
      <c r="AC9" s="82"/>
      <c r="AD9" s="88"/>
      <c r="AE9" s="88"/>
      <c r="AF9" s="89"/>
    </row>
    <row r="10" customFormat="false" ht="11.1" hidden="false" customHeight="true" outlineLevel="0" collapsed="false">
      <c r="A10" s="59" t="n">
        <v>1</v>
      </c>
      <c r="B10" s="74" t="n">
        <v>6910.8</v>
      </c>
      <c r="C10" s="54" t="n">
        <v>325197</v>
      </c>
      <c r="D10" s="58" t="n">
        <f aca="false">C10-C8</f>
        <v>2609</v>
      </c>
      <c r="E10" s="54" t="n">
        <f aca="false">C10-152000</f>
        <v>173197</v>
      </c>
      <c r="F10" s="53" t="n">
        <f aca="false">D10/$D$2</f>
        <v>1315.35165112175</v>
      </c>
      <c r="G10" s="53" t="n">
        <v>914</v>
      </c>
      <c r="H10" s="55" t="n">
        <v>69</v>
      </c>
      <c r="I10" s="53" t="n">
        <f aca="false">G10+H10</f>
        <v>983</v>
      </c>
      <c r="J10" s="75" t="n">
        <f aca="false">IF(L10&gt;0,L10)</f>
        <v>426.351651121755</v>
      </c>
      <c r="K10" s="53" t="n">
        <f aca="false">I10+J10</f>
        <v>1409.35165112175</v>
      </c>
      <c r="L10" s="53" t="n">
        <f aca="false">F10-(I10-W10)</f>
        <v>426.351651121755</v>
      </c>
      <c r="M10" s="53" t="n">
        <v>43</v>
      </c>
      <c r="N10" s="53" t="n">
        <f aca="false">2.53+2.9*1.05</f>
        <v>5.575</v>
      </c>
      <c r="O10" s="53" t="n">
        <f aca="false">M10-N10</f>
        <v>37.425</v>
      </c>
      <c r="P10" s="53" t="n">
        <v>0</v>
      </c>
      <c r="Q10" s="53" t="n">
        <v>0</v>
      </c>
      <c r="R10" s="53" t="n">
        <f aca="false">SUM(O10:Q10)</f>
        <v>37.425</v>
      </c>
      <c r="S10" s="54"/>
      <c r="T10" s="53" t="n">
        <v>0</v>
      </c>
      <c r="U10" s="53" t="n">
        <v>51</v>
      </c>
      <c r="V10" s="54" t="n">
        <f aca="false">V8-U10</f>
        <v>16907.4388706831</v>
      </c>
      <c r="W10" s="53" t="n">
        <f aca="false">R10+T10+N10+U10</f>
        <v>94</v>
      </c>
      <c r="X10" s="53" t="n">
        <f aca="false">IF(L10&lt;0,L10*-1,0)</f>
        <v>0</v>
      </c>
      <c r="Y10" s="53" t="n">
        <f aca="false">W10+X10</f>
        <v>94</v>
      </c>
      <c r="Z10" s="57" t="n">
        <v>0.4</v>
      </c>
      <c r="AA10" s="58" t="n">
        <v>47</v>
      </c>
      <c r="AB10" s="58" t="n">
        <v>34</v>
      </c>
      <c r="AC10" s="59" t="n">
        <v>1</v>
      </c>
      <c r="AD10" s="89"/>
      <c r="AE10" s="90"/>
      <c r="AF10" s="89"/>
    </row>
    <row r="11" customFormat="false" ht="11.1" hidden="false" customHeight="true" outlineLevel="0" collapsed="false">
      <c r="A11" s="59" t="n">
        <f aca="false">A10+1</f>
        <v>2</v>
      </c>
      <c r="B11" s="74" t="n">
        <v>6911.4</v>
      </c>
      <c r="C11" s="54" t="n">
        <v>327617</v>
      </c>
      <c r="D11" s="58" t="n">
        <f aca="false">C11-C10</f>
        <v>2420</v>
      </c>
      <c r="E11" s="54" t="n">
        <f aca="false">C11-152000</f>
        <v>175617</v>
      </c>
      <c r="F11" s="53" t="n">
        <f aca="false">D11/$D$2</f>
        <v>1220.06554071086</v>
      </c>
      <c r="G11" s="53" t="n">
        <v>854</v>
      </c>
      <c r="H11" s="55" t="n">
        <v>59</v>
      </c>
      <c r="I11" s="53" t="n">
        <f aca="false">G11+H11</f>
        <v>913</v>
      </c>
      <c r="J11" s="75" t="n">
        <f aca="false">IF(L11&gt;0,L11,0)</f>
        <v>392.065540710865</v>
      </c>
      <c r="K11" s="53" t="n">
        <f aca="false">I11+J11</f>
        <v>1305.06554071086</v>
      </c>
      <c r="L11" s="53" t="n">
        <f aca="false">F11-(I11-W11)</f>
        <v>392.065540710865</v>
      </c>
      <c r="M11" s="53" t="n">
        <v>34</v>
      </c>
      <c r="N11" s="53" t="n">
        <f aca="false">0.16+0.2*1.05</f>
        <v>0.37</v>
      </c>
      <c r="O11" s="53" t="n">
        <f aca="false">M11-N11</f>
        <v>33.63</v>
      </c>
      <c r="P11" s="53" t="n">
        <v>0</v>
      </c>
      <c r="Q11" s="53" t="n">
        <v>0</v>
      </c>
      <c r="R11" s="53" t="n">
        <f aca="false">SUM(O11:Q11)</f>
        <v>33.63</v>
      </c>
      <c r="S11" s="54"/>
      <c r="T11" s="53" t="n">
        <v>0</v>
      </c>
      <c r="U11" s="53" t="n">
        <v>51</v>
      </c>
      <c r="V11" s="54" t="n">
        <f aca="false">V10-U11</f>
        <v>16856.4388706831</v>
      </c>
      <c r="W11" s="53" t="n">
        <f aca="false">R11+T11+N11+U11</f>
        <v>85</v>
      </c>
      <c r="X11" s="53" t="n">
        <f aca="false">IF(L11&lt;0,L11*-1,0)</f>
        <v>0</v>
      </c>
      <c r="Y11" s="53" t="n">
        <f aca="false">W11+X11</f>
        <v>85</v>
      </c>
      <c r="Z11" s="57" t="n">
        <v>0.1</v>
      </c>
      <c r="AA11" s="58" t="n">
        <v>59</v>
      </c>
      <c r="AB11" s="58" t="n">
        <v>28</v>
      </c>
      <c r="AC11" s="59" t="n">
        <f aca="false">AC10+1</f>
        <v>2</v>
      </c>
      <c r="AD11" s="89"/>
      <c r="AE11" s="90"/>
      <c r="AF11" s="89"/>
    </row>
    <row r="12" customFormat="false" ht="11.1" hidden="false" customHeight="true" outlineLevel="0" collapsed="false">
      <c r="A12" s="59" t="n">
        <f aca="false">A11+1</f>
        <v>3</v>
      </c>
      <c r="B12" s="74" t="n">
        <v>6912.23</v>
      </c>
      <c r="C12" s="54" t="n">
        <v>330982</v>
      </c>
      <c r="D12" s="58" t="n">
        <f aca="false">C12-C11</f>
        <v>3365</v>
      </c>
      <c r="E12" s="54" t="n">
        <f aca="false">C12-152000</f>
        <v>178982</v>
      </c>
      <c r="F12" s="53" t="n">
        <f aca="false">D12/$D$2</f>
        <v>1696.49609276531</v>
      </c>
      <c r="G12" s="53" t="n">
        <v>965</v>
      </c>
      <c r="H12" s="55" t="n">
        <v>105</v>
      </c>
      <c r="I12" s="53" t="n">
        <f aca="false">G12+H12</f>
        <v>1070</v>
      </c>
      <c r="J12" s="75" t="n">
        <f aca="false">IF(L12&gt;0,L12,0)</f>
        <v>716.996092765314</v>
      </c>
      <c r="K12" s="53" t="n">
        <f aca="false">I12+J12</f>
        <v>1786.99609276531</v>
      </c>
      <c r="L12" s="53" t="n">
        <f aca="false">F12-(I12-W12)</f>
        <v>716.996092765314</v>
      </c>
      <c r="M12" s="53" t="n">
        <v>35</v>
      </c>
      <c r="N12" s="53" t="n">
        <f aca="false">1.14+2.5*1.05</f>
        <v>3.765</v>
      </c>
      <c r="O12" s="53" t="n">
        <f aca="false">M12-N12</f>
        <v>31.235</v>
      </c>
      <c r="P12" s="53" t="n">
        <v>0</v>
      </c>
      <c r="Q12" s="53" t="n">
        <v>3.5</v>
      </c>
      <c r="R12" s="53" t="n">
        <f aca="false">SUM(O12:Q12)</f>
        <v>34.735</v>
      </c>
      <c r="S12" s="54"/>
      <c r="T12" s="53" t="n">
        <v>0</v>
      </c>
      <c r="U12" s="53" t="n">
        <v>52</v>
      </c>
      <c r="V12" s="54" t="n">
        <f aca="false">V11-U12</f>
        <v>16804.4388706831</v>
      </c>
      <c r="W12" s="53" t="n">
        <f aca="false">R12+T12+N12+U12</f>
        <v>90.5</v>
      </c>
      <c r="X12" s="53" t="n">
        <f aca="false">IF(L12&lt;0,L12*-1,0)</f>
        <v>0</v>
      </c>
      <c r="Y12" s="53" t="n">
        <f aca="false">W12+X12</f>
        <v>90.5</v>
      </c>
      <c r="Z12" s="57" t="n">
        <v>0.79</v>
      </c>
      <c r="AA12" s="58" t="n">
        <v>46</v>
      </c>
      <c r="AB12" s="58" t="n">
        <v>26</v>
      </c>
      <c r="AC12" s="59" t="n">
        <f aca="false">AC11+1</f>
        <v>3</v>
      </c>
      <c r="AD12" s="89"/>
      <c r="AE12" s="90"/>
      <c r="AF12" s="89"/>
    </row>
    <row r="13" customFormat="false" ht="11.1" hidden="false" customHeight="true" outlineLevel="0" collapsed="false">
      <c r="A13" s="59" t="n">
        <f aca="false">A12+1</f>
        <v>4</v>
      </c>
      <c r="B13" s="74" t="n">
        <v>6913.05</v>
      </c>
      <c r="C13" s="54" t="n">
        <v>334327</v>
      </c>
      <c r="D13" s="58" t="n">
        <f aca="false">C13-C12</f>
        <v>3345</v>
      </c>
      <c r="E13" s="54" t="n">
        <f aca="false">C13-152000</f>
        <v>182327</v>
      </c>
      <c r="F13" s="53" t="n">
        <f aca="false">D13/$D$2</f>
        <v>1686.41290647845</v>
      </c>
      <c r="G13" s="53" t="n">
        <v>901</v>
      </c>
      <c r="H13" s="55" t="n">
        <v>107</v>
      </c>
      <c r="I13" s="53" t="n">
        <f aca="false">G13+H13</f>
        <v>1008</v>
      </c>
      <c r="J13" s="75" t="n">
        <f aca="false">IF(L13&gt;0,L13,0)</f>
        <v>778.012906478447</v>
      </c>
      <c r="K13" s="53" t="n">
        <f aca="false">I13+J13</f>
        <v>1786.01290647845</v>
      </c>
      <c r="L13" s="53" t="n">
        <f aca="false">F13-(I13-W13)</f>
        <v>778.012906478447</v>
      </c>
      <c r="M13" s="53" t="n">
        <v>42</v>
      </c>
      <c r="N13" s="53" t="n">
        <f aca="false">1.19+5.14*1.05</f>
        <v>6.587</v>
      </c>
      <c r="O13" s="53" t="n">
        <f aca="false">M13-N13</f>
        <v>35.413</v>
      </c>
      <c r="P13" s="53" t="n">
        <v>0</v>
      </c>
      <c r="Q13" s="53" t="n">
        <v>5.6</v>
      </c>
      <c r="R13" s="53" t="n">
        <f aca="false">SUM(O13:Q13)</f>
        <v>41.013</v>
      </c>
      <c r="S13" s="54"/>
      <c r="T13" s="53" t="n">
        <v>0</v>
      </c>
      <c r="U13" s="53" t="n">
        <v>52</v>
      </c>
      <c r="V13" s="54" t="n">
        <f aca="false">V12-U13</f>
        <v>16752.4388706831</v>
      </c>
      <c r="W13" s="53" t="n">
        <f aca="false">R13+T13+N13+U13</f>
        <v>99.6</v>
      </c>
      <c r="X13" s="53" t="n">
        <f aca="false">IF(L13&lt;0,L13*-1,0)</f>
        <v>0</v>
      </c>
      <c r="Y13" s="53" t="n">
        <f aca="false">W13+X13</f>
        <v>99.6</v>
      </c>
      <c r="Z13" s="57" t="n">
        <v>0</v>
      </c>
      <c r="AA13" s="58" t="n">
        <v>42</v>
      </c>
      <c r="AB13" s="58" t="n">
        <v>24</v>
      </c>
      <c r="AC13" s="59" t="n">
        <f aca="false">AC12+1</f>
        <v>4</v>
      </c>
      <c r="AD13" s="89"/>
      <c r="AE13" s="90"/>
      <c r="AF13" s="89"/>
    </row>
    <row r="14" customFormat="false" ht="11.1" hidden="false" customHeight="true" outlineLevel="0" collapsed="false">
      <c r="A14" s="59" t="n">
        <f aca="false">A13+1</f>
        <v>5</v>
      </c>
      <c r="B14" s="74" t="n">
        <v>6913.71</v>
      </c>
      <c r="C14" s="54" t="n">
        <v>337039</v>
      </c>
      <c r="D14" s="58" t="n">
        <f aca="false">C14-C13</f>
        <v>2712</v>
      </c>
      <c r="E14" s="54" t="n">
        <f aca="false">C14-152000</f>
        <v>185039</v>
      </c>
      <c r="F14" s="53" t="n">
        <f aca="false">D14/$D$2</f>
        <v>1367.28006049912</v>
      </c>
      <c r="G14" s="53" t="n">
        <v>809</v>
      </c>
      <c r="H14" s="55" t="n">
        <v>90</v>
      </c>
      <c r="I14" s="53" t="n">
        <f aca="false">G14+H14</f>
        <v>899</v>
      </c>
      <c r="J14" s="75" t="n">
        <f aca="false">IF(L14&gt;0,L14,0)</f>
        <v>567.980060499118</v>
      </c>
      <c r="K14" s="53" t="n">
        <f aca="false">I14+J14</f>
        <v>1466.98006049912</v>
      </c>
      <c r="L14" s="53" t="n">
        <f aca="false">F14-(I14-W14)</f>
        <v>567.980060499118</v>
      </c>
      <c r="M14" s="53" t="n">
        <v>43</v>
      </c>
      <c r="N14" s="53" t="n">
        <f aca="false">3.86+4.87*1.05</f>
        <v>8.9735</v>
      </c>
      <c r="O14" s="53" t="n">
        <f aca="false">M14-N14</f>
        <v>34.0265</v>
      </c>
      <c r="P14" s="53" t="n">
        <v>0</v>
      </c>
      <c r="Q14" s="53" t="n">
        <v>5.7</v>
      </c>
      <c r="R14" s="53" t="n">
        <f aca="false">SUM(O14:Q14)</f>
        <v>39.7265</v>
      </c>
      <c r="S14" s="54"/>
      <c r="T14" s="53" t="n">
        <v>0</v>
      </c>
      <c r="U14" s="53" t="n">
        <v>51</v>
      </c>
      <c r="V14" s="54" t="n">
        <f aca="false">V13-U14</f>
        <v>16701.4388706831</v>
      </c>
      <c r="W14" s="53" t="n">
        <f aca="false">R14+T14+N14+U14</f>
        <v>99.7</v>
      </c>
      <c r="X14" s="53" t="n">
        <f aca="false">IF(L14&lt;0,L14*-1,0)</f>
        <v>0</v>
      </c>
      <c r="Y14" s="53" t="n">
        <f aca="false">W14+X14</f>
        <v>99.7</v>
      </c>
      <c r="Z14" s="57" t="n">
        <v>0</v>
      </c>
      <c r="AA14" s="58" t="n">
        <v>61</v>
      </c>
      <c r="AB14" s="58" t="n">
        <v>22</v>
      </c>
      <c r="AC14" s="59" t="n">
        <f aca="false">AC13+1</f>
        <v>5</v>
      </c>
      <c r="AD14" s="89"/>
      <c r="AE14" s="90"/>
      <c r="AF14" s="89"/>
    </row>
    <row r="15" customFormat="false" ht="11.1" hidden="false" customHeight="true" outlineLevel="0" collapsed="false">
      <c r="A15" s="59" t="n">
        <f aca="false">A14+1</f>
        <v>6</v>
      </c>
      <c r="B15" s="74" t="n">
        <v>6914.19</v>
      </c>
      <c r="C15" s="54" t="n">
        <v>339017</v>
      </c>
      <c r="D15" s="58" t="n">
        <f aca="false">C15-C14</f>
        <v>1978</v>
      </c>
      <c r="E15" s="54" t="n">
        <f aca="false">C15-152000</f>
        <v>187017</v>
      </c>
      <c r="F15" s="53" t="n">
        <f aca="false">D15/$D$2</f>
        <v>997.227123771112</v>
      </c>
      <c r="G15" s="53" t="n">
        <v>764</v>
      </c>
      <c r="H15" s="55" t="n">
        <v>71</v>
      </c>
      <c r="I15" s="53" t="n">
        <f aca="false">G15+H15</f>
        <v>835</v>
      </c>
      <c r="J15" s="75" t="n">
        <f aca="false">IF(L15&gt;0,L15,0)</f>
        <v>254.927123771112</v>
      </c>
      <c r="K15" s="53" t="n">
        <f aca="false">I15+J15</f>
        <v>1089.92712377111</v>
      </c>
      <c r="L15" s="53" t="n">
        <f aca="false">F15-(I15-W15)</f>
        <v>254.927123771112</v>
      </c>
      <c r="M15" s="53" t="n">
        <v>36</v>
      </c>
      <c r="N15" s="53" t="n">
        <f aca="false">3.5+1.91*1.05</f>
        <v>5.5055</v>
      </c>
      <c r="O15" s="53" t="n">
        <f aca="false">M15-N15</f>
        <v>30.4945</v>
      </c>
      <c r="P15" s="53" t="n">
        <v>0</v>
      </c>
      <c r="Q15" s="53" t="n">
        <v>5.7</v>
      </c>
      <c r="R15" s="53" t="n">
        <f aca="false">SUM(O15:Q15)</f>
        <v>36.1945</v>
      </c>
      <c r="S15" s="54"/>
      <c r="T15" s="53" t="n">
        <v>0</v>
      </c>
      <c r="U15" s="53" t="n">
        <v>51</v>
      </c>
      <c r="V15" s="54" t="n">
        <f aca="false">V14-U15</f>
        <v>16650.4388706831</v>
      </c>
      <c r="W15" s="53" t="n">
        <f aca="false">R15+T15+N15+U15</f>
        <v>92.7</v>
      </c>
      <c r="X15" s="53" t="n">
        <f aca="false">IF(L15&lt;0,L15*-1,0)</f>
        <v>0</v>
      </c>
      <c r="Y15" s="53" t="n">
        <f aca="false">W15+X15</f>
        <v>92.7</v>
      </c>
      <c r="Z15" s="57" t="n">
        <v>0</v>
      </c>
      <c r="AA15" s="58" t="n">
        <v>57</v>
      </c>
      <c r="AB15" s="58" t="n">
        <v>21</v>
      </c>
      <c r="AC15" s="59" t="n">
        <f aca="false">AC14+1</f>
        <v>6</v>
      </c>
      <c r="AD15" s="88"/>
      <c r="AE15" s="90"/>
      <c r="AF15" s="89"/>
    </row>
    <row r="16" customFormat="false" ht="11.1" hidden="false" customHeight="true" outlineLevel="0" collapsed="false">
      <c r="A16" s="59" t="n">
        <f aca="false">A15+1</f>
        <v>7</v>
      </c>
      <c r="B16" s="74" t="n">
        <v>6914.76</v>
      </c>
      <c r="C16" s="54" t="n">
        <v>341378</v>
      </c>
      <c r="D16" s="58" t="n">
        <f aca="false">C16-C15</f>
        <v>2361</v>
      </c>
      <c r="E16" s="54" t="n">
        <f aca="false">C16-152000</f>
        <v>189378</v>
      </c>
      <c r="F16" s="53" t="n">
        <f aca="false">D16/$D$2</f>
        <v>1190.32014116461</v>
      </c>
      <c r="G16" s="53" t="n">
        <v>850</v>
      </c>
      <c r="H16" s="55" t="n">
        <v>86</v>
      </c>
      <c r="I16" s="53" t="n">
        <f aca="false">G16+H16</f>
        <v>936</v>
      </c>
      <c r="J16" s="75" t="n">
        <f aca="false">IF(L16&gt;0,L16,0)</f>
        <v>353.020141164608</v>
      </c>
      <c r="K16" s="53" t="n">
        <f aca="false">I16+J16</f>
        <v>1289.02014116461</v>
      </c>
      <c r="L16" s="53" t="n">
        <f aca="false">F16-(I16-W16)</f>
        <v>353.020141164608</v>
      </c>
      <c r="M16" s="53" t="n">
        <v>41</v>
      </c>
      <c r="N16" s="53" t="n">
        <f aca="false">3.35*1.05</f>
        <v>3.5175</v>
      </c>
      <c r="O16" s="53" t="n">
        <f aca="false">M16-N16</f>
        <v>37.4825</v>
      </c>
      <c r="P16" s="53" t="n">
        <v>0</v>
      </c>
      <c r="Q16" s="53" t="n">
        <v>5.7</v>
      </c>
      <c r="R16" s="53" t="n">
        <f aca="false">SUM(O16:Q16)</f>
        <v>43.1825</v>
      </c>
      <c r="S16" s="54"/>
      <c r="T16" s="53" t="n">
        <v>0</v>
      </c>
      <c r="U16" s="53" t="n">
        <v>52</v>
      </c>
      <c r="V16" s="54" t="n">
        <f aca="false">V15-U16</f>
        <v>16598.4388706831</v>
      </c>
      <c r="W16" s="53" t="n">
        <f aca="false">R16+T16+N16+U16</f>
        <v>98.7</v>
      </c>
      <c r="X16" s="53" t="n">
        <f aca="false">IF(L16&lt;0,L16*-1,0)</f>
        <v>0</v>
      </c>
      <c r="Y16" s="53" t="n">
        <f aca="false">W16+X16</f>
        <v>98.7</v>
      </c>
      <c r="Z16" s="57" t="n">
        <v>0</v>
      </c>
      <c r="AA16" s="58" t="n">
        <v>72</v>
      </c>
      <c r="AB16" s="58" t="n">
        <v>28</v>
      </c>
      <c r="AC16" s="59" t="n">
        <f aca="false">AC15+1</f>
        <v>7</v>
      </c>
      <c r="AD16" s="88"/>
      <c r="AE16" s="90"/>
      <c r="AF16" s="89"/>
    </row>
    <row r="17" customFormat="false" ht="11.1" hidden="false" customHeight="true" outlineLevel="0" collapsed="false">
      <c r="A17" s="59" t="n">
        <f aca="false">A16+1</f>
        <v>8</v>
      </c>
      <c r="B17" s="74" t="n">
        <v>6915.39</v>
      </c>
      <c r="C17" s="54" t="n">
        <v>344000</v>
      </c>
      <c r="D17" s="58" t="n">
        <f aca="false">C17-C16</f>
        <v>2622</v>
      </c>
      <c r="E17" s="54" t="n">
        <f aca="false">C17-152000</f>
        <v>192000</v>
      </c>
      <c r="F17" s="53" t="n">
        <f aca="false">D17/$D$2</f>
        <v>1321.90572220822</v>
      </c>
      <c r="G17" s="53" t="n">
        <v>1080</v>
      </c>
      <c r="H17" s="55" t="n">
        <v>148</v>
      </c>
      <c r="I17" s="53" t="n">
        <f aca="false">G17+H17</f>
        <v>1228</v>
      </c>
      <c r="J17" s="75" t="n">
        <f aca="false">IF(L17&gt;0,L17,0)</f>
        <v>210.705722208218</v>
      </c>
      <c r="K17" s="53" t="n">
        <f aca="false">I17+J17</f>
        <v>1438.70572220822</v>
      </c>
      <c r="L17" s="53" t="n">
        <f aca="false">F17-(I17-W17)</f>
        <v>210.705722208218</v>
      </c>
      <c r="M17" s="53" t="n">
        <v>59</v>
      </c>
      <c r="N17" s="53" t="n">
        <f aca="false">3.06*1.05</f>
        <v>3.213</v>
      </c>
      <c r="O17" s="53" t="n">
        <f aca="false">M17-N17</f>
        <v>55.787</v>
      </c>
      <c r="P17" s="53" t="n">
        <v>0</v>
      </c>
      <c r="Q17" s="53" t="n">
        <v>5.8</v>
      </c>
      <c r="R17" s="53" t="n">
        <f aca="false">SUM(O17:Q17)</f>
        <v>61.587</v>
      </c>
      <c r="S17" s="54"/>
      <c r="T17" s="53" t="n">
        <v>0</v>
      </c>
      <c r="U17" s="53" t="n">
        <v>52</v>
      </c>
      <c r="V17" s="54" t="n">
        <f aca="false">V16-U17</f>
        <v>16546.4388706831</v>
      </c>
      <c r="W17" s="53" t="n">
        <f aca="false">R17+T17+N17+U17</f>
        <v>116.8</v>
      </c>
      <c r="X17" s="53" t="n">
        <f aca="false">IF(L17&lt;0,L17*-1,0)</f>
        <v>0</v>
      </c>
      <c r="Y17" s="53" t="n">
        <f aca="false">W17+X17</f>
        <v>116.8</v>
      </c>
      <c r="Z17" s="57" t="n">
        <v>0</v>
      </c>
      <c r="AA17" s="58" t="n">
        <v>75</v>
      </c>
      <c r="AB17" s="58" t="n">
        <v>39</v>
      </c>
      <c r="AC17" s="59" t="n">
        <f aca="false">AC16+1</f>
        <v>8</v>
      </c>
      <c r="AD17" s="88"/>
      <c r="AE17" s="90"/>
      <c r="AF17" s="89"/>
    </row>
    <row r="18" customFormat="false" ht="11.1" hidden="false" customHeight="true" outlineLevel="0" collapsed="false">
      <c r="A18" s="59" t="n">
        <f aca="false">A17+1</f>
        <v>9</v>
      </c>
      <c r="B18" s="74" t="n">
        <v>6916.19</v>
      </c>
      <c r="C18" s="54" t="n">
        <v>347346</v>
      </c>
      <c r="D18" s="58" t="n">
        <f aca="false">C18-C17</f>
        <v>3346</v>
      </c>
      <c r="E18" s="54" t="n">
        <f aca="false">C18-152000</f>
        <v>195346</v>
      </c>
      <c r="F18" s="53" t="n">
        <f aca="false">D18/$D$2</f>
        <v>1686.91706579279</v>
      </c>
      <c r="G18" s="53" t="n">
        <v>1350</v>
      </c>
      <c r="H18" s="55" t="n">
        <v>182</v>
      </c>
      <c r="I18" s="53" t="n">
        <f aca="false">G18+H18</f>
        <v>1532</v>
      </c>
      <c r="J18" s="75" t="n">
        <f aca="false">IF(L18&gt;0,L18,0)</f>
        <v>274.41706579279</v>
      </c>
      <c r="K18" s="53" t="n">
        <f aca="false">I18+J18</f>
        <v>1806.41706579279</v>
      </c>
      <c r="L18" s="53" t="n">
        <f aca="false">F18-(I18-W18)</f>
        <v>274.41706579279</v>
      </c>
      <c r="M18" s="53" t="n">
        <v>61</v>
      </c>
      <c r="N18" s="53" t="n">
        <f aca="false">2.47*1.05</f>
        <v>2.5935</v>
      </c>
      <c r="O18" s="53" t="n">
        <f aca="false">M18-N18</f>
        <v>58.4065</v>
      </c>
      <c r="P18" s="53" t="n">
        <v>0</v>
      </c>
      <c r="Q18" s="53" t="n">
        <v>6.5</v>
      </c>
      <c r="R18" s="53" t="n">
        <f aca="false">SUM(O18:Q18)</f>
        <v>64.9065</v>
      </c>
      <c r="S18" s="54"/>
      <c r="T18" s="53" t="n">
        <v>0</v>
      </c>
      <c r="U18" s="53" t="n">
        <v>52</v>
      </c>
      <c r="V18" s="54" t="n">
        <f aca="false">V17-U18</f>
        <v>16494.4388706831</v>
      </c>
      <c r="W18" s="53" t="n">
        <f aca="false">R18+T18+N18+U18</f>
        <v>119.5</v>
      </c>
      <c r="X18" s="53" t="n">
        <f aca="false">IF(L18&lt;0,L18*-1,0)</f>
        <v>0</v>
      </c>
      <c r="Y18" s="53" t="n">
        <f aca="false">W18+X18</f>
        <v>119.5</v>
      </c>
      <c r="Z18" s="57" t="n">
        <v>0</v>
      </c>
      <c r="AA18" s="58" t="n">
        <v>70</v>
      </c>
      <c r="AB18" s="58" t="n">
        <v>43</v>
      </c>
      <c r="AC18" s="59" t="n">
        <f aca="false">AC17+1</f>
        <v>9</v>
      </c>
      <c r="AD18" s="88"/>
      <c r="AE18" s="90"/>
      <c r="AF18" s="89"/>
    </row>
    <row r="19" customFormat="false" ht="11.1" hidden="false" customHeight="true" outlineLevel="0" collapsed="false">
      <c r="A19" s="59" t="n">
        <f aca="false">A18+1</f>
        <v>10</v>
      </c>
      <c r="B19" s="74" t="n">
        <v>6916.97</v>
      </c>
      <c r="C19" s="54" t="n">
        <v>350627</v>
      </c>
      <c r="D19" s="58" t="n">
        <f aca="false">C19-C18</f>
        <v>3281</v>
      </c>
      <c r="E19" s="54" t="n">
        <f aca="false">C19-152000</f>
        <v>198627</v>
      </c>
      <c r="F19" s="53" t="n">
        <f aca="false">D19/$D$2</f>
        <v>1654.14671036047</v>
      </c>
      <c r="G19" s="53" t="n">
        <v>1430</v>
      </c>
      <c r="H19" s="55" t="n">
        <v>149</v>
      </c>
      <c r="I19" s="53" t="n">
        <f aca="false">G19+H19</f>
        <v>1579</v>
      </c>
      <c r="J19" s="75" t="n">
        <f aca="false">IF(L19&gt;0,L19,0)</f>
        <v>232.146710360474</v>
      </c>
      <c r="K19" s="53" t="n">
        <f aca="false">I19+J19</f>
        <v>1811.14671036047</v>
      </c>
      <c r="L19" s="53" t="n">
        <f aca="false">F19-(I19-W19)</f>
        <v>232.146710360474</v>
      </c>
      <c r="M19" s="53" t="n">
        <v>95</v>
      </c>
      <c r="N19" s="53" t="n">
        <f aca="false">7.97+8.42*1.05</f>
        <v>16.811</v>
      </c>
      <c r="O19" s="53" t="n">
        <f aca="false">M19-N19</f>
        <v>78.189</v>
      </c>
      <c r="P19" s="53" t="n">
        <v>0</v>
      </c>
      <c r="Q19" s="53" t="n">
        <v>11</v>
      </c>
      <c r="R19" s="53" t="n">
        <f aca="false">SUM(O19:Q19)</f>
        <v>89.189</v>
      </c>
      <c r="S19" s="54"/>
      <c r="T19" s="53" t="n">
        <v>0</v>
      </c>
      <c r="U19" s="53" t="n">
        <v>51</v>
      </c>
      <c r="V19" s="54" t="n">
        <f aca="false">V18-U19</f>
        <v>16443.4388706831</v>
      </c>
      <c r="W19" s="53" t="n">
        <f aca="false">R19+T19+N19+U19</f>
        <v>157</v>
      </c>
      <c r="X19" s="53" t="n">
        <f aca="false">IF(L19&lt;0,L19*-1,0)</f>
        <v>0</v>
      </c>
      <c r="Y19" s="53" t="n">
        <f aca="false">W19+X19</f>
        <v>157</v>
      </c>
      <c r="Z19" s="57" t="n">
        <v>0</v>
      </c>
      <c r="AA19" s="58" t="n">
        <v>53</v>
      </c>
      <c r="AB19" s="58" t="n">
        <v>45</v>
      </c>
      <c r="AC19" s="59" t="n">
        <f aca="false">AC18+1</f>
        <v>10</v>
      </c>
      <c r="AD19" s="88"/>
      <c r="AE19" s="90"/>
      <c r="AF19" s="89"/>
    </row>
    <row r="20" customFormat="false" ht="11.1" hidden="false" customHeight="true" outlineLevel="0" collapsed="false">
      <c r="A20" s="59" t="n">
        <f aca="false">A19+1</f>
        <v>11</v>
      </c>
      <c r="B20" s="74" t="n">
        <v>6917.64</v>
      </c>
      <c r="C20" s="54" t="n">
        <v>353467</v>
      </c>
      <c r="D20" s="58" t="n">
        <f aca="false">C20-C19</f>
        <v>2840</v>
      </c>
      <c r="E20" s="54" t="n">
        <f aca="false">C20-152000</f>
        <v>201467</v>
      </c>
      <c r="F20" s="53" t="n">
        <f aca="false">D20/$D$2</f>
        <v>1431.81245273506</v>
      </c>
      <c r="G20" s="53" t="n">
        <v>1330</v>
      </c>
      <c r="H20" s="55" t="n">
        <v>128</v>
      </c>
      <c r="I20" s="53" t="n">
        <f aca="false">G20+H20</f>
        <v>1458</v>
      </c>
      <c r="J20" s="75" t="n">
        <f aca="false">IF(L20&gt;0,L20,0)</f>
        <v>168.812452735064</v>
      </c>
      <c r="K20" s="53" t="n">
        <f aca="false">I20+J20</f>
        <v>1626.81245273506</v>
      </c>
      <c r="L20" s="53" t="n">
        <f aca="false">F20-(I20-W20)</f>
        <v>168.812452735064</v>
      </c>
      <c r="M20" s="53" t="n">
        <v>130</v>
      </c>
      <c r="N20" s="53" t="n">
        <f aca="false">18.54+17.82*1.05</f>
        <v>37.251</v>
      </c>
      <c r="O20" s="53" t="n">
        <f aca="false">M20-N20</f>
        <v>92.749</v>
      </c>
      <c r="P20" s="53" t="n">
        <v>0</v>
      </c>
      <c r="Q20" s="53" t="n">
        <v>14</v>
      </c>
      <c r="R20" s="53" t="n">
        <f aca="false">SUM(O20:Q20)</f>
        <v>106.749</v>
      </c>
      <c r="S20" s="54"/>
      <c r="T20" s="53" t="n">
        <v>0</v>
      </c>
      <c r="U20" s="53" t="n">
        <v>51</v>
      </c>
      <c r="V20" s="54" t="n">
        <f aca="false">V19-U20</f>
        <v>16392.4388706831</v>
      </c>
      <c r="W20" s="53" t="n">
        <f aca="false">R20+T20+N20+U20</f>
        <v>195</v>
      </c>
      <c r="X20" s="53" t="n">
        <f aca="false">IF(L20&lt;0,L20*-1,0)</f>
        <v>0</v>
      </c>
      <c r="Y20" s="53" t="n">
        <f aca="false">W20+X20</f>
        <v>195</v>
      </c>
      <c r="Z20" s="57" t="n">
        <v>0</v>
      </c>
      <c r="AA20" s="58" t="n">
        <v>54</v>
      </c>
      <c r="AB20" s="58" t="n">
        <v>45</v>
      </c>
      <c r="AC20" s="59" t="n">
        <f aca="false">AC19+1</f>
        <v>11</v>
      </c>
      <c r="AD20" s="88"/>
      <c r="AE20" s="90"/>
      <c r="AF20" s="89"/>
    </row>
    <row r="21" customFormat="false" ht="11.1" hidden="false" customHeight="true" outlineLevel="0" collapsed="false">
      <c r="A21" s="59" t="n">
        <f aca="false">A20+1</f>
        <v>12</v>
      </c>
      <c r="B21" s="74" t="n">
        <v>6918.222</v>
      </c>
      <c r="C21" s="54" t="n">
        <v>355934</v>
      </c>
      <c r="D21" s="58" t="n">
        <f aca="false">C21-C20</f>
        <v>2467</v>
      </c>
      <c r="E21" s="54" t="n">
        <f aca="false">C21-152000</f>
        <v>203934</v>
      </c>
      <c r="F21" s="53" t="n">
        <f aca="false">D21/$D$2</f>
        <v>1243.761028485</v>
      </c>
      <c r="G21" s="53" t="n">
        <v>1200</v>
      </c>
      <c r="H21" s="55" t="n">
        <v>119</v>
      </c>
      <c r="I21" s="53" t="n">
        <f aca="false">G21+H21</f>
        <v>1319</v>
      </c>
      <c r="J21" s="75" t="n">
        <f aca="false">IF(L21&gt;0,L21,0)</f>
        <v>196.211028485001</v>
      </c>
      <c r="K21" s="53" t="n">
        <f aca="false">I21+J21</f>
        <v>1515.211028485</v>
      </c>
      <c r="L21" s="53" t="n">
        <f aca="false">F21-(I21-W21)</f>
        <v>196.211028485001</v>
      </c>
      <c r="M21" s="53" t="n">
        <v>160</v>
      </c>
      <c r="N21" s="53" t="n">
        <f aca="false">27.77+26.33*1.05</f>
        <v>55.4165</v>
      </c>
      <c r="O21" s="53" t="n">
        <f aca="false">M21-N21</f>
        <v>104.5835</v>
      </c>
      <c r="P21" s="53" t="n">
        <v>0</v>
      </c>
      <c r="Q21" s="53" t="n">
        <v>20</v>
      </c>
      <c r="R21" s="53" t="n">
        <f aca="false">SUM(O21:Q21)</f>
        <v>124.5835</v>
      </c>
      <c r="S21" s="54"/>
      <c r="T21" s="53" t="n">
        <v>40.45</v>
      </c>
      <c r="U21" s="53" t="n">
        <v>51</v>
      </c>
      <c r="V21" s="54" t="n">
        <f aca="false">V20-U21</f>
        <v>16341.4388706831</v>
      </c>
      <c r="W21" s="53" t="n">
        <f aca="false">R21+T21+N21+U21</f>
        <v>271.45</v>
      </c>
      <c r="X21" s="53" t="n">
        <f aca="false">IF(L21&lt;0,L21*-1,0)</f>
        <v>0</v>
      </c>
      <c r="Y21" s="53" t="n">
        <f aca="false">W21+X21</f>
        <v>271.45</v>
      </c>
      <c r="Z21" s="57" t="n">
        <v>0</v>
      </c>
      <c r="AA21" s="58" t="n">
        <v>69</v>
      </c>
      <c r="AB21" s="58" t="n">
        <v>42</v>
      </c>
      <c r="AC21" s="59" t="n">
        <f aca="false">AC20+1</f>
        <v>12</v>
      </c>
      <c r="AD21" s="88"/>
      <c r="AE21" s="90"/>
      <c r="AF21" s="89"/>
    </row>
    <row r="22" customFormat="false" ht="11.1" hidden="false" customHeight="true" outlineLevel="0" collapsed="false">
      <c r="A22" s="59" t="n">
        <f aca="false">A21+1</f>
        <v>13</v>
      </c>
      <c r="B22" s="74" t="n">
        <v>6918.86</v>
      </c>
      <c r="C22" s="54" t="n">
        <v>358669</v>
      </c>
      <c r="D22" s="58" t="n">
        <f aca="false">C22-C21</f>
        <v>2735</v>
      </c>
      <c r="E22" s="54" t="n">
        <f aca="false">C22-152000</f>
        <v>206669</v>
      </c>
      <c r="F22" s="53" t="n">
        <f aca="false">D22/$D$2</f>
        <v>1378.87572472901</v>
      </c>
      <c r="G22" s="53" t="n">
        <v>1430</v>
      </c>
      <c r="H22" s="55" t="n">
        <v>138</v>
      </c>
      <c r="I22" s="53" t="n">
        <f aca="false">G22+H22</f>
        <v>1568</v>
      </c>
      <c r="J22" s="75" t="n">
        <f aca="false">IF(L22&gt;0,L22,0)</f>
        <v>121.425724729014</v>
      </c>
      <c r="K22" s="53" t="n">
        <f aca="false">I22+J22</f>
        <v>1689.42572472901</v>
      </c>
      <c r="L22" s="53" t="n">
        <f aca="false">F22-(I22-W22)</f>
        <v>121.425724729014</v>
      </c>
      <c r="M22" s="53" t="n">
        <v>193</v>
      </c>
      <c r="N22" s="53" t="n">
        <f aca="false">32.69+31.3*1.05</f>
        <v>65.555</v>
      </c>
      <c r="O22" s="53" t="n">
        <f aca="false">M22-N22</f>
        <v>127.445</v>
      </c>
      <c r="P22" s="53" t="n">
        <v>0</v>
      </c>
      <c r="Q22" s="53" t="n">
        <v>24</v>
      </c>
      <c r="R22" s="53" t="n">
        <f aca="false">SUM(O22:Q22)</f>
        <v>151.445</v>
      </c>
      <c r="S22" s="54"/>
      <c r="T22" s="53" t="n">
        <v>42.55</v>
      </c>
      <c r="U22" s="53" t="n">
        <v>51</v>
      </c>
      <c r="V22" s="54" t="n">
        <f aca="false">V21-U22</f>
        <v>16290.4388706831</v>
      </c>
      <c r="W22" s="53" t="n">
        <f aca="false">R22+T22+N22+U22</f>
        <v>310.55</v>
      </c>
      <c r="X22" s="53" t="n">
        <f aca="false">IF(L22&lt;0,L22*-1,0)</f>
        <v>0</v>
      </c>
      <c r="Y22" s="53" t="n">
        <f aca="false">W22+X22</f>
        <v>310.55</v>
      </c>
      <c r="Z22" s="57" t="n">
        <v>0</v>
      </c>
      <c r="AA22" s="58" t="n">
        <v>77</v>
      </c>
      <c r="AB22" s="58" t="n">
        <v>46</v>
      </c>
      <c r="AC22" s="59" t="n">
        <f aca="false">AC21+1</f>
        <v>13</v>
      </c>
      <c r="AD22" s="88"/>
      <c r="AE22" s="90"/>
      <c r="AF22" s="89"/>
    </row>
    <row r="23" customFormat="false" ht="11.1" hidden="false" customHeight="true" outlineLevel="0" collapsed="false">
      <c r="A23" s="59" t="n">
        <f aca="false">A22+1</f>
        <v>14</v>
      </c>
      <c r="B23" s="74" t="n">
        <v>6919.85</v>
      </c>
      <c r="C23" s="54" t="n">
        <v>362927</v>
      </c>
      <c r="D23" s="58" t="n">
        <f aca="false">C23-C22</f>
        <v>4258</v>
      </c>
      <c r="E23" s="54" t="n">
        <f aca="false">C23-152000</f>
        <v>210927</v>
      </c>
      <c r="F23" s="53" t="n">
        <f aca="false">D23/$D$2</f>
        <v>2146.71036047391</v>
      </c>
      <c r="G23" s="53" t="n">
        <v>1870</v>
      </c>
      <c r="H23" s="55" t="n">
        <v>196</v>
      </c>
      <c r="I23" s="53" t="n">
        <f aca="false">G23+H23</f>
        <v>2066</v>
      </c>
      <c r="J23" s="75" t="n">
        <f aca="false">IF(L23&gt;0,L23,0)</f>
        <v>395.290360473909</v>
      </c>
      <c r="K23" s="53" t="n">
        <f aca="false">I23+J23</f>
        <v>2461.29036047391</v>
      </c>
      <c r="L23" s="53" t="n">
        <f aca="false">F23-(I23-W23)</f>
        <v>395.290360473909</v>
      </c>
      <c r="M23" s="53" t="n">
        <v>207</v>
      </c>
      <c r="N23" s="53" t="n">
        <f aca="false">36.66+36.48*1.05</f>
        <v>74.964</v>
      </c>
      <c r="O23" s="53" t="n">
        <f aca="false">M23-N23</f>
        <v>132.036</v>
      </c>
      <c r="P23" s="53" t="n">
        <v>0</v>
      </c>
      <c r="Q23" s="53" t="n">
        <v>30</v>
      </c>
      <c r="R23" s="53" t="n">
        <f aca="false">SUM(O23:Q23)</f>
        <v>162.036</v>
      </c>
      <c r="S23" s="54"/>
      <c r="T23" s="53" t="n">
        <v>25.58</v>
      </c>
      <c r="U23" s="53" t="n">
        <v>52</v>
      </c>
      <c r="V23" s="54" t="n">
        <f aca="false">V22-U23</f>
        <v>16238.4388706831</v>
      </c>
      <c r="W23" s="53" t="n">
        <f aca="false">R23+T23+N23+U23</f>
        <v>314.58</v>
      </c>
      <c r="X23" s="53" t="n">
        <f aca="false">IF(L23&lt;0,L23*-1,0)</f>
        <v>0</v>
      </c>
      <c r="Y23" s="53" t="n">
        <f aca="false">W23+X23</f>
        <v>314.58</v>
      </c>
      <c r="Z23" s="57" t="n">
        <v>0</v>
      </c>
      <c r="AA23" s="58" t="n">
        <v>70</v>
      </c>
      <c r="AB23" s="58" t="n">
        <v>27</v>
      </c>
      <c r="AC23" s="59" t="n">
        <f aca="false">AC22+1</f>
        <v>14</v>
      </c>
      <c r="AD23" s="88"/>
      <c r="AE23" s="90"/>
      <c r="AF23" s="89"/>
    </row>
    <row r="24" customFormat="false" ht="11.1" hidden="false" customHeight="true" outlineLevel="0" collapsed="false">
      <c r="A24" s="59" t="n">
        <f aca="false">A23+1</f>
        <v>15</v>
      </c>
      <c r="B24" s="74" t="n">
        <v>6920.98</v>
      </c>
      <c r="C24" s="54" t="n">
        <v>367828</v>
      </c>
      <c r="D24" s="58" t="n">
        <f aca="false">C24-C23</f>
        <v>4901</v>
      </c>
      <c r="E24" s="54" t="n">
        <f aca="false">C24-152000</f>
        <v>215828</v>
      </c>
      <c r="F24" s="53" t="n">
        <f aca="false">D24/$D$2</f>
        <v>2470.88479959667</v>
      </c>
      <c r="G24" s="53" t="n">
        <v>2070</v>
      </c>
      <c r="H24" s="55" t="n">
        <v>201</v>
      </c>
      <c r="I24" s="53" t="n">
        <f aca="false">G24+H24</f>
        <v>2271</v>
      </c>
      <c r="J24" s="75" t="n">
        <f aca="false">IF(L24&gt;0,L24,0)</f>
        <v>489.774799596672</v>
      </c>
      <c r="K24" s="100" t="n">
        <f aca="false">I24+J24</f>
        <v>2760.77479959667</v>
      </c>
      <c r="L24" s="53" t="n">
        <f aca="false">F24-(I24-W24)</f>
        <v>489.774799596672</v>
      </c>
      <c r="M24" s="53" t="n">
        <v>193</v>
      </c>
      <c r="N24" s="53" t="n">
        <f aca="false">28.83+29.14*1.05</f>
        <v>59.427</v>
      </c>
      <c r="O24" s="53" t="n">
        <f aca="false">M24-N24</f>
        <v>133.573</v>
      </c>
      <c r="P24" s="53" t="n">
        <v>0</v>
      </c>
      <c r="Q24" s="53" t="n">
        <v>36</v>
      </c>
      <c r="R24" s="53" t="n">
        <f aca="false">SUM(O24:Q24)</f>
        <v>169.573</v>
      </c>
      <c r="S24" s="54"/>
      <c r="T24" s="53" t="n">
        <v>8.89</v>
      </c>
      <c r="U24" s="53" t="n">
        <v>52</v>
      </c>
      <c r="V24" s="54" t="n">
        <f aca="false">V23-U24</f>
        <v>16186.4388706831</v>
      </c>
      <c r="W24" s="53" t="n">
        <f aca="false">R24+T24+N24+U24</f>
        <v>289.89</v>
      </c>
      <c r="X24" s="53" t="n">
        <f aca="false">IF(L24&lt;0,L24*-1,0)</f>
        <v>0</v>
      </c>
      <c r="Y24" s="53" t="n">
        <f aca="false">W24+X24</f>
        <v>289.89</v>
      </c>
      <c r="Z24" s="57" t="n">
        <v>0</v>
      </c>
      <c r="AA24" s="58" t="n">
        <v>70</v>
      </c>
      <c r="AB24" s="58" t="n">
        <v>39</v>
      </c>
      <c r="AC24" s="59" t="n">
        <f aca="false">AC23+1</f>
        <v>15</v>
      </c>
      <c r="AD24" s="88"/>
      <c r="AE24" s="90"/>
      <c r="AF24" s="89"/>
    </row>
    <row r="25" customFormat="false" ht="11.1" hidden="false" customHeight="true" outlineLevel="0" collapsed="false">
      <c r="A25" s="59" t="n">
        <f aca="false">A24+1</f>
        <v>16</v>
      </c>
      <c r="B25" s="74" t="n">
        <v>6921.93</v>
      </c>
      <c r="C25" s="54" t="n">
        <v>371987</v>
      </c>
      <c r="D25" s="58" t="n">
        <f aca="false">C25-C24</f>
        <v>4159</v>
      </c>
      <c r="E25" s="54" t="n">
        <f aca="false">C25-152000</f>
        <v>219987</v>
      </c>
      <c r="F25" s="53" t="n">
        <f aca="false">D25/$D$2</f>
        <v>2096.79858835392</v>
      </c>
      <c r="G25" s="53" t="n">
        <v>2040</v>
      </c>
      <c r="H25" s="55" t="n">
        <v>166</v>
      </c>
      <c r="I25" s="53" t="n">
        <f aca="false">G25+H25</f>
        <v>2206</v>
      </c>
      <c r="J25" s="75" t="n">
        <f aca="false">IF(L25&gt;0,L25,0)</f>
        <v>297.03858835392</v>
      </c>
      <c r="K25" s="53" t="n">
        <f aca="false">I25+J25</f>
        <v>2503.03858835392</v>
      </c>
      <c r="L25" s="53" t="n">
        <f aca="false">F25-(I25-W25)</f>
        <v>297.03858835392</v>
      </c>
      <c r="M25" s="53" t="n">
        <v>212</v>
      </c>
      <c r="N25" s="53" t="n">
        <f aca="false">18.99+20.58*1.05</f>
        <v>40.599</v>
      </c>
      <c r="O25" s="53" t="n">
        <f aca="false">M25-N25</f>
        <v>171.401</v>
      </c>
      <c r="P25" s="53" t="n">
        <v>0</v>
      </c>
      <c r="Q25" s="53" t="n">
        <v>38</v>
      </c>
      <c r="R25" s="53" t="n">
        <f aca="false">SUM(O25:Q25)</f>
        <v>209.401</v>
      </c>
      <c r="S25" s="54"/>
      <c r="T25" s="53" t="n">
        <v>48.24</v>
      </c>
      <c r="U25" s="53" t="n">
        <v>108</v>
      </c>
      <c r="V25" s="54" t="n">
        <v>16197</v>
      </c>
      <c r="W25" s="53" t="n">
        <f aca="false">R25+T25+N25+U25</f>
        <v>406.24</v>
      </c>
      <c r="X25" s="53" t="n">
        <f aca="false">IF(L25&lt;0,L25*-1,0)</f>
        <v>0</v>
      </c>
      <c r="Y25" s="53" t="n">
        <f aca="false">W25+X25</f>
        <v>406.24</v>
      </c>
      <c r="Z25" s="57" t="n">
        <v>0</v>
      </c>
      <c r="AA25" s="58" t="n">
        <v>68</v>
      </c>
      <c r="AB25" s="58" t="n">
        <v>35</v>
      </c>
      <c r="AC25" s="59" t="n">
        <f aca="false">AC24+1</f>
        <v>16</v>
      </c>
      <c r="AD25" s="88"/>
      <c r="AE25" s="91"/>
      <c r="AF25" s="89"/>
    </row>
    <row r="26" customFormat="false" ht="11.1" hidden="false" customHeight="true" outlineLevel="0" collapsed="false">
      <c r="A26" s="59" t="n">
        <f aca="false">A25+1</f>
        <v>17</v>
      </c>
      <c r="B26" s="74" t="n">
        <v>6922.46</v>
      </c>
      <c r="C26" s="54" t="n">
        <v>374325</v>
      </c>
      <c r="D26" s="58" t="n">
        <f aca="false">C26-C25</f>
        <v>2338</v>
      </c>
      <c r="E26" s="54" t="n">
        <f aca="false">C26-152000</f>
        <v>222325</v>
      </c>
      <c r="F26" s="53" t="n">
        <f aca="false">D26/$D$2</f>
        <v>1178.72447693471</v>
      </c>
      <c r="G26" s="53" t="n">
        <v>1880</v>
      </c>
      <c r="H26" s="55" t="n">
        <v>143</v>
      </c>
      <c r="I26" s="53" t="n">
        <f aca="false">G26+H26</f>
        <v>2023</v>
      </c>
      <c r="J26" s="75" t="n">
        <f aca="false">IF(L26&gt;0,L26,0)</f>
        <v>237.144476934712</v>
      </c>
      <c r="K26" s="100" t="n">
        <f aca="false">I26+J26</f>
        <v>2260.14447693471</v>
      </c>
      <c r="L26" s="53" t="n">
        <f aca="false">F26-(I26-W26)</f>
        <v>237.144476934712</v>
      </c>
      <c r="M26" s="53" t="n">
        <v>213</v>
      </c>
      <c r="N26" s="53" t="n">
        <f aca="false">15.74+16.82*1.05</f>
        <v>33.401</v>
      </c>
      <c r="O26" s="53" t="n">
        <f aca="false">M26-N26</f>
        <v>179.599</v>
      </c>
      <c r="P26" s="53" t="n">
        <v>0</v>
      </c>
      <c r="Q26" s="53" t="n">
        <v>42</v>
      </c>
      <c r="R26" s="53" t="n">
        <f aca="false">SUM(O26:Q26)</f>
        <v>221.599</v>
      </c>
      <c r="S26" s="54"/>
      <c r="T26" s="53" t="n">
        <v>23.42</v>
      </c>
      <c r="U26" s="53" t="n">
        <v>803</v>
      </c>
      <c r="V26" s="54" t="n">
        <v>16197</v>
      </c>
      <c r="W26" s="53" t="n">
        <f aca="false">R26+T26+N26+U26</f>
        <v>1081.42</v>
      </c>
      <c r="X26" s="53" t="n">
        <f aca="false">IF(L26&lt;0,L26*-1,0)</f>
        <v>0</v>
      </c>
      <c r="Y26" s="53" t="n">
        <f aca="false">W26+X26</f>
        <v>1081.42</v>
      </c>
      <c r="Z26" s="57" t="n">
        <v>0</v>
      </c>
      <c r="AA26" s="58" t="n">
        <v>68</v>
      </c>
      <c r="AB26" s="58" t="n">
        <v>35</v>
      </c>
      <c r="AC26" s="59" t="n">
        <f aca="false">AC25+1</f>
        <v>17</v>
      </c>
      <c r="AD26" s="88"/>
      <c r="AE26" s="90"/>
      <c r="AF26" s="89"/>
    </row>
    <row r="27" customFormat="false" ht="11.1" hidden="false" customHeight="true" outlineLevel="0" collapsed="false">
      <c r="A27" s="59" t="n">
        <f aca="false">A26+1</f>
        <v>18</v>
      </c>
      <c r="B27" s="74" t="n">
        <v>6922.59</v>
      </c>
      <c r="C27" s="54" t="n">
        <v>374898</v>
      </c>
      <c r="D27" s="58" t="n">
        <f aca="false">C27-C26</f>
        <v>573</v>
      </c>
      <c r="E27" s="54" t="n">
        <f aca="false">C27-152000</f>
        <v>222898</v>
      </c>
      <c r="F27" s="53" t="n">
        <f aca="false">D27/$D$2</f>
        <v>288.88328711873</v>
      </c>
      <c r="G27" s="53" t="n">
        <v>1950</v>
      </c>
      <c r="H27" s="55" t="n">
        <v>133</v>
      </c>
      <c r="I27" s="53" t="n">
        <f aca="false">G27+H27</f>
        <v>2083</v>
      </c>
      <c r="J27" s="75" t="n">
        <f aca="false">IF(L27&gt;0,L27,0)</f>
        <v>175.37328711873</v>
      </c>
      <c r="K27" s="53" t="n">
        <f aca="false">I27+J27</f>
        <v>2258.37328711873</v>
      </c>
      <c r="L27" s="53" t="n">
        <f aca="false">F27-(I27-W27)</f>
        <v>175.37328711873</v>
      </c>
      <c r="M27" s="53" t="n">
        <v>227</v>
      </c>
      <c r="N27" s="53" t="n">
        <f aca="false">8.96+8.92*1.05</f>
        <v>18.326</v>
      </c>
      <c r="O27" s="53" t="n">
        <f aca="false">M27-N27</f>
        <v>208.674</v>
      </c>
      <c r="P27" s="53" t="n">
        <v>0</v>
      </c>
      <c r="Q27" s="53" t="n">
        <v>50</v>
      </c>
      <c r="R27" s="53" t="n">
        <f aca="false">SUM(O27:Q27)</f>
        <v>258.674</v>
      </c>
      <c r="S27" s="54"/>
      <c r="T27" s="53" t="n">
        <v>72.49</v>
      </c>
      <c r="U27" s="53" t="n">
        <v>1620</v>
      </c>
      <c r="V27" s="54" t="n">
        <v>16197</v>
      </c>
      <c r="W27" s="53" t="n">
        <f aca="false">R27+T27+N27+U27</f>
        <v>1969.49</v>
      </c>
      <c r="X27" s="53" t="n">
        <f aca="false">IF(L27&lt;0,L27*-1,0)</f>
        <v>0</v>
      </c>
      <c r="Y27" s="53" t="n">
        <f aca="false">W27+X27</f>
        <v>1969.49</v>
      </c>
      <c r="Z27" s="57" t="n">
        <v>0</v>
      </c>
      <c r="AA27" s="58" t="n">
        <v>78</v>
      </c>
      <c r="AB27" s="58" t="n">
        <v>29</v>
      </c>
      <c r="AC27" s="59" t="n">
        <f aca="false">AC26+1</f>
        <v>18</v>
      </c>
      <c r="AD27" s="88"/>
      <c r="AE27" s="90"/>
      <c r="AF27" s="89"/>
    </row>
    <row r="28" customFormat="false" ht="11.1" hidden="false" customHeight="true" outlineLevel="0" collapsed="false">
      <c r="A28" s="59" t="n">
        <f aca="false">A27+1</f>
        <v>19</v>
      </c>
      <c r="B28" s="74" t="n">
        <v>6922.66</v>
      </c>
      <c r="C28" s="94" t="n">
        <v>375208</v>
      </c>
      <c r="D28" s="58" t="n">
        <f aca="false">C28-C27</f>
        <v>310</v>
      </c>
      <c r="E28" s="54" t="n">
        <f aca="false">C28-152000</f>
        <v>223208</v>
      </c>
      <c r="F28" s="53" t="n">
        <f aca="false">D28/$D$2</f>
        <v>156.289387446433</v>
      </c>
      <c r="G28" s="53" t="n">
        <v>2190</v>
      </c>
      <c r="H28" s="55" t="n">
        <v>139</v>
      </c>
      <c r="I28" s="53" t="n">
        <f aca="false">G28+H28</f>
        <v>2329</v>
      </c>
      <c r="J28" s="75" t="n">
        <f aca="false">IF(L28&gt;0,L28,0)</f>
        <v>222.879387446433</v>
      </c>
      <c r="K28" s="53" t="n">
        <f aca="false">I28+J28</f>
        <v>2551.87938744643</v>
      </c>
      <c r="L28" s="53" t="n">
        <f aca="false">F28-(I28-W28)</f>
        <v>222.879387446433</v>
      </c>
      <c r="M28" s="53" t="n">
        <v>242</v>
      </c>
      <c r="N28" s="53" t="n">
        <f aca="false">20.17+19.49</f>
        <v>39.66</v>
      </c>
      <c r="O28" s="53" t="n">
        <f aca="false">M28-N28</f>
        <v>202.34</v>
      </c>
      <c r="P28" s="53" t="n">
        <v>68</v>
      </c>
      <c r="Q28" s="53" t="n">
        <v>65</v>
      </c>
      <c r="R28" s="53" t="n">
        <f aca="false">SUM(O28:Q28)</f>
        <v>335.34</v>
      </c>
      <c r="S28" s="54"/>
      <c r="T28" s="53" t="n">
        <v>90.59</v>
      </c>
      <c r="U28" s="53" t="n">
        <v>1930</v>
      </c>
      <c r="V28" s="54" t="n">
        <v>16197</v>
      </c>
      <c r="W28" s="53" t="n">
        <f aca="false">R28+T28+N28+U28</f>
        <v>2395.59</v>
      </c>
      <c r="X28" s="53" t="n">
        <f aca="false">IF(L28&lt;0,L28*-1,0)</f>
        <v>0</v>
      </c>
      <c r="Y28" s="53" t="n">
        <f aca="false">W28+X28</f>
        <v>2395.59</v>
      </c>
      <c r="Z28" s="57" t="n">
        <v>0</v>
      </c>
      <c r="AA28" s="58" t="n">
        <v>78</v>
      </c>
      <c r="AB28" s="58" t="n">
        <v>40</v>
      </c>
      <c r="AC28" s="59" t="n">
        <f aca="false">AC27+1</f>
        <v>19</v>
      </c>
      <c r="AD28" s="88"/>
      <c r="AE28" s="90"/>
      <c r="AF28" s="89"/>
    </row>
    <row r="29" customFormat="false" ht="11.1" hidden="false" customHeight="true" outlineLevel="0" collapsed="false">
      <c r="A29" s="59" t="n">
        <f aca="false">A28+1</f>
        <v>20</v>
      </c>
      <c r="B29" s="74" t="n">
        <v>6922.71</v>
      </c>
      <c r="C29" s="54" t="n">
        <v>375428</v>
      </c>
      <c r="D29" s="58" t="n">
        <f aca="false">C29-C28</f>
        <v>220</v>
      </c>
      <c r="E29" s="54" t="n">
        <f aca="false">C29-152000</f>
        <v>223428</v>
      </c>
      <c r="F29" s="53" t="n">
        <f aca="false">D29/$D$2</f>
        <v>110.915049155533</v>
      </c>
      <c r="G29" s="53" t="n">
        <v>2480</v>
      </c>
      <c r="H29" s="55" t="n">
        <v>143</v>
      </c>
      <c r="I29" s="53" t="n">
        <f aca="false">G29+H29</f>
        <v>2623</v>
      </c>
      <c r="J29" s="75" t="n">
        <f aca="false">IF(L29&gt;0,L29,0)</f>
        <v>370.345049155533</v>
      </c>
      <c r="K29" s="53" t="n">
        <f aca="false">I29+J29</f>
        <v>2993.34504915553</v>
      </c>
      <c r="L29" s="53" t="n">
        <f aca="false">F29-(I29-W29)</f>
        <v>370.345049155533</v>
      </c>
      <c r="M29" s="53" t="n">
        <v>274</v>
      </c>
      <c r="N29" s="53" t="n">
        <f aca="false">28.79+28.61</f>
        <v>57.4</v>
      </c>
      <c r="O29" s="53" t="n">
        <f aca="false">M29-N29</f>
        <v>216.6</v>
      </c>
      <c r="P29" s="53" t="n">
        <v>102</v>
      </c>
      <c r="Q29" s="53" t="n">
        <v>80</v>
      </c>
      <c r="R29" s="53" t="n">
        <f aca="false">SUM(O29:Q29)</f>
        <v>398.6</v>
      </c>
      <c r="S29" s="54"/>
      <c r="T29" s="53" t="n">
        <v>106.43</v>
      </c>
      <c r="U29" s="53" t="n">
        <v>2320</v>
      </c>
      <c r="V29" s="54" t="n">
        <v>16197</v>
      </c>
      <c r="W29" s="53" t="n">
        <f aca="false">R29+T29+N29+U29</f>
        <v>2882.43</v>
      </c>
      <c r="X29" s="53" t="n">
        <f aca="false">IF(L29&lt;0,L29*-1,0)</f>
        <v>0</v>
      </c>
      <c r="Y29" s="53" t="n">
        <f aca="false">W29+X29</f>
        <v>2882.43</v>
      </c>
      <c r="Z29" s="57" t="n">
        <v>0</v>
      </c>
      <c r="AA29" s="58" t="n">
        <v>77</v>
      </c>
      <c r="AB29" s="58" t="n">
        <v>39</v>
      </c>
      <c r="AC29" s="59" t="n">
        <f aca="false">AC28+1</f>
        <v>20</v>
      </c>
      <c r="AD29" s="88"/>
      <c r="AE29" s="90"/>
      <c r="AF29" s="89"/>
    </row>
    <row r="30" customFormat="false" ht="11.1" hidden="false" customHeight="true" outlineLevel="0" collapsed="false">
      <c r="A30" s="59" t="n">
        <f aca="false">A29+1</f>
        <v>21</v>
      </c>
      <c r="B30" s="108" t="n">
        <v>6922.49</v>
      </c>
      <c r="C30" s="54" t="n">
        <v>374457</v>
      </c>
      <c r="D30" s="58" t="n">
        <f aca="false">C30-C29</f>
        <v>-971</v>
      </c>
      <c r="E30" s="54" t="n">
        <f aca="false">C30-152000</f>
        <v>222457</v>
      </c>
      <c r="F30" s="53" t="n">
        <f aca="false">D30/$D$2</f>
        <v>-489.538694227376</v>
      </c>
      <c r="G30" s="53" t="n">
        <v>2650</v>
      </c>
      <c r="H30" s="55" t="n">
        <v>129</v>
      </c>
      <c r="I30" s="53" t="n">
        <f aca="false">G30+H30</f>
        <v>2779</v>
      </c>
      <c r="J30" s="75" t="n">
        <f aca="false">IF(L30&gt;0,L30,0)</f>
        <v>403.921305772624</v>
      </c>
      <c r="K30" s="53" t="n">
        <f aca="false">I30+J30</f>
        <v>3182.92130577262</v>
      </c>
      <c r="L30" s="53" t="n">
        <f aca="false">F30-(I30-W30)</f>
        <v>403.921305772624</v>
      </c>
      <c r="M30" s="53" t="n">
        <v>290</v>
      </c>
      <c r="N30" s="53" t="n">
        <f aca="false">37.59+36.7</f>
        <v>74.29</v>
      </c>
      <c r="O30" s="53" t="n">
        <f aca="false">M30-N30</f>
        <v>215.71</v>
      </c>
      <c r="P30" s="53" t="n">
        <v>101</v>
      </c>
      <c r="Q30" s="53" t="n">
        <v>84</v>
      </c>
      <c r="R30" s="53" t="n">
        <f aca="false">SUM(O30:Q30)</f>
        <v>400.71</v>
      </c>
      <c r="S30" s="54"/>
      <c r="T30" s="53" t="n">
        <v>137.46</v>
      </c>
      <c r="U30" s="53" t="n">
        <v>3060</v>
      </c>
      <c r="V30" s="54" t="n">
        <v>16197</v>
      </c>
      <c r="W30" s="53" t="n">
        <f aca="false">R30+T30+N30+U30</f>
        <v>3672.46</v>
      </c>
      <c r="X30" s="53" t="n">
        <f aca="false">IF(L30&lt;0,L30*-1,0)</f>
        <v>0</v>
      </c>
      <c r="Y30" s="53" t="n">
        <f aca="false">W30+X30</f>
        <v>3672.46</v>
      </c>
      <c r="Z30" s="57" t="n">
        <v>0</v>
      </c>
      <c r="AA30" s="58" t="n">
        <v>81</v>
      </c>
      <c r="AB30" s="58" t="n">
        <v>42</v>
      </c>
      <c r="AC30" s="59" t="n">
        <f aca="false">AC29+1</f>
        <v>21</v>
      </c>
      <c r="AD30" s="88"/>
      <c r="AE30" s="90"/>
      <c r="AF30" s="89"/>
    </row>
    <row r="31" customFormat="false" ht="11.1" hidden="false" customHeight="true" outlineLevel="0" collapsed="false">
      <c r="A31" s="59" t="n">
        <f aca="false">A30+1</f>
        <v>22</v>
      </c>
      <c r="B31" s="74" t="n">
        <v>6922.23</v>
      </c>
      <c r="C31" s="54" t="n">
        <v>373309</v>
      </c>
      <c r="D31" s="58" t="n">
        <f aca="false">C31-C30</f>
        <v>-1148</v>
      </c>
      <c r="E31" s="54" t="n">
        <f aca="false">C31-152000</f>
        <v>221309</v>
      </c>
      <c r="F31" s="53" t="n">
        <f aca="false">D31/$D$2</f>
        <v>-578.774892866146</v>
      </c>
      <c r="G31" s="53" t="n">
        <v>2620</v>
      </c>
      <c r="H31" s="55" t="n">
        <v>111</v>
      </c>
      <c r="I31" s="53" t="n">
        <f aca="false">G31+H31</f>
        <v>2731</v>
      </c>
      <c r="J31" s="75" t="n">
        <f aca="false">IF(L31&gt;0,L31,0)</f>
        <v>401.845107133854</v>
      </c>
      <c r="K31" s="53" t="n">
        <f aca="false">I31+J31</f>
        <v>3132.84510713385</v>
      </c>
      <c r="L31" s="53" t="n">
        <f aca="false">F31-(I31-W31)</f>
        <v>401.845107133854</v>
      </c>
      <c r="M31" s="53" t="n">
        <v>277</v>
      </c>
      <c r="N31" s="53" t="n">
        <f aca="false">26.6+26.87</f>
        <v>53.47</v>
      </c>
      <c r="O31" s="53" t="n">
        <f aca="false">M31-N31</f>
        <v>223.53</v>
      </c>
      <c r="P31" s="53" t="n">
        <v>102</v>
      </c>
      <c r="Q31" s="53" t="n">
        <v>86</v>
      </c>
      <c r="R31" s="100" t="n">
        <f aca="false">SUM(O31:Q31)</f>
        <v>411.53</v>
      </c>
      <c r="S31" s="54"/>
      <c r="T31" s="53" t="n">
        <v>166.62</v>
      </c>
      <c r="U31" s="53" t="n">
        <v>3080</v>
      </c>
      <c r="V31" s="54" t="n">
        <v>16197</v>
      </c>
      <c r="W31" s="53" t="n">
        <f aca="false">R31+T31+N31+U31</f>
        <v>3711.62</v>
      </c>
      <c r="X31" s="53" t="n">
        <f aca="false">IF(L31&lt;0,L31*-1,0)</f>
        <v>0</v>
      </c>
      <c r="Y31" s="53" t="n">
        <f aca="false">W31+X31</f>
        <v>3711.62</v>
      </c>
      <c r="Z31" s="57" t="n">
        <v>0</v>
      </c>
      <c r="AA31" s="58" t="n">
        <v>83</v>
      </c>
      <c r="AB31" s="58" t="n">
        <v>44</v>
      </c>
      <c r="AC31" s="59" t="n">
        <f aca="false">AC30+1</f>
        <v>22</v>
      </c>
      <c r="AD31" s="88"/>
      <c r="AE31" s="90"/>
      <c r="AF31" s="89"/>
    </row>
    <row r="32" customFormat="false" ht="11.1" hidden="false" customHeight="true" outlineLevel="0" collapsed="false">
      <c r="A32" s="59" t="n">
        <f aca="false">A31+1</f>
        <v>23</v>
      </c>
      <c r="B32" s="74" t="n">
        <v>6921.94</v>
      </c>
      <c r="C32" s="54" t="n">
        <v>372031</v>
      </c>
      <c r="D32" s="58" t="n">
        <f aca="false">C32-C31</f>
        <v>-1278</v>
      </c>
      <c r="E32" s="54" t="n">
        <f aca="false">C32-152000</f>
        <v>220031</v>
      </c>
      <c r="F32" s="53" t="n">
        <f aca="false">D32/$D$2</f>
        <v>-644.315603730779</v>
      </c>
      <c r="G32" s="53" t="n">
        <v>2720</v>
      </c>
      <c r="H32" s="55" t="n">
        <v>118</v>
      </c>
      <c r="I32" s="53" t="n">
        <f aca="false">G32+H32</f>
        <v>2838</v>
      </c>
      <c r="J32" s="75" t="n">
        <f aca="false">IF(L32&gt;0,L32,0)</f>
        <v>265.624396269221</v>
      </c>
      <c r="K32" s="53" t="n">
        <f aca="false">I32+J32</f>
        <v>3103.62439626922</v>
      </c>
      <c r="L32" s="53" t="n">
        <f aca="false">F32-(I32-W32)</f>
        <v>265.624396269221</v>
      </c>
      <c r="M32" s="53" t="n">
        <v>282</v>
      </c>
      <c r="N32" s="53" t="n">
        <f aca="false">23.57+25.66</f>
        <v>49.23</v>
      </c>
      <c r="O32" s="53" t="n">
        <f aca="false">M32-N32</f>
        <v>232.77</v>
      </c>
      <c r="P32" s="53" t="n">
        <v>102</v>
      </c>
      <c r="Q32" s="53" t="n">
        <v>86</v>
      </c>
      <c r="R32" s="53" t="n">
        <f aca="false">SUM(O32:Q32)</f>
        <v>420.77</v>
      </c>
      <c r="S32" s="54"/>
      <c r="T32" s="53" t="n">
        <v>157.94</v>
      </c>
      <c r="U32" s="53" t="n">
        <v>3120</v>
      </c>
      <c r="V32" s="54" t="n">
        <v>16197</v>
      </c>
      <c r="W32" s="53" t="n">
        <f aca="false">R32+T32+N32+U32</f>
        <v>3747.94</v>
      </c>
      <c r="X32" s="53" t="n">
        <f aca="false">IF(L32&lt;0,L32*-1,0)</f>
        <v>0</v>
      </c>
      <c r="Y32" s="53" t="n">
        <f aca="false">W32+X32</f>
        <v>3747.94</v>
      </c>
      <c r="Z32" s="57" t="n">
        <v>0.1</v>
      </c>
      <c r="AA32" s="58" t="n">
        <v>79</v>
      </c>
      <c r="AB32" s="58" t="n">
        <v>52</v>
      </c>
      <c r="AC32" s="59" t="n">
        <f aca="false">AC31+1</f>
        <v>23</v>
      </c>
      <c r="AD32" s="88"/>
      <c r="AE32" s="90"/>
      <c r="AF32" s="89"/>
    </row>
    <row r="33" customFormat="false" ht="11.1" hidden="false" customHeight="true" outlineLevel="0" collapsed="false">
      <c r="A33" s="59" t="n">
        <f aca="false">A32+1</f>
        <v>24</v>
      </c>
      <c r="B33" s="74" t="n">
        <v>6921.56</v>
      </c>
      <c r="C33" s="54" t="n">
        <v>370367</v>
      </c>
      <c r="D33" s="58" t="n">
        <f aca="false">C33-C32</f>
        <v>-1664</v>
      </c>
      <c r="E33" s="54" t="n">
        <f aca="false">C33-152000</f>
        <v>218367</v>
      </c>
      <c r="F33" s="53" t="n">
        <f aca="false">D33/$D$2</f>
        <v>-838.921099067305</v>
      </c>
      <c r="G33" s="53" t="n">
        <v>3010</v>
      </c>
      <c r="H33" s="55" t="n">
        <v>127</v>
      </c>
      <c r="I33" s="53" t="n">
        <f aca="false">G33+H33</f>
        <v>3137</v>
      </c>
      <c r="J33" s="75" t="n">
        <f aca="false">IF(L33&gt;0,L33,0)</f>
        <v>150.158900932695</v>
      </c>
      <c r="K33" s="53" t="n">
        <f aca="false">I33+J33</f>
        <v>3287.15890093269</v>
      </c>
      <c r="L33" s="53" t="n">
        <f aca="false">F33-(I33-W33)</f>
        <v>150.158900932695</v>
      </c>
      <c r="M33" s="53" t="n">
        <v>264</v>
      </c>
      <c r="N33" s="53" t="n">
        <f aca="false">21.38+23.18</f>
        <v>44.56</v>
      </c>
      <c r="O33" s="53" t="n">
        <f aca="false">M33-N33</f>
        <v>219.44</v>
      </c>
      <c r="P33" s="53" t="n">
        <v>102</v>
      </c>
      <c r="Q33" s="53" t="n">
        <v>85</v>
      </c>
      <c r="R33" s="53" t="n">
        <f aca="false">SUM(O33:Q33)</f>
        <v>406.44</v>
      </c>
      <c r="S33" s="54"/>
      <c r="T33" s="53" t="n">
        <v>155.08</v>
      </c>
      <c r="U33" s="53" t="n">
        <v>3520</v>
      </c>
      <c r="V33" s="54" t="n">
        <v>16197</v>
      </c>
      <c r="W33" s="53" t="n">
        <f aca="false">R33+T33+N33+U33</f>
        <v>4126.08</v>
      </c>
      <c r="X33" s="53" t="n">
        <f aca="false">IF(L33&lt;0,L33*-1,0)</f>
        <v>0</v>
      </c>
      <c r="Y33" s="53" t="n">
        <f aca="false">W33+X33</f>
        <v>4126.08</v>
      </c>
      <c r="Z33" s="57" t="n">
        <v>0.1</v>
      </c>
      <c r="AA33" s="58" t="n">
        <v>69</v>
      </c>
      <c r="AB33" s="58" t="n">
        <v>41</v>
      </c>
      <c r="AC33" s="59" t="n">
        <f aca="false">AC32+1</f>
        <v>24</v>
      </c>
      <c r="AD33" s="88"/>
      <c r="AE33" s="90"/>
      <c r="AF33" s="89"/>
    </row>
    <row r="34" customFormat="false" ht="11.1" hidden="false" customHeight="true" outlineLevel="0" collapsed="false">
      <c r="A34" s="59" t="n">
        <f aca="false">A33+1</f>
        <v>25</v>
      </c>
      <c r="B34" s="74" t="n">
        <v>6920.95</v>
      </c>
      <c r="C34" s="54" t="n">
        <v>367698</v>
      </c>
      <c r="D34" s="58" t="n">
        <f aca="false">C34-C33</f>
        <v>-2669</v>
      </c>
      <c r="E34" s="54" t="n">
        <f aca="false">C34-152000</f>
        <v>215698</v>
      </c>
      <c r="F34" s="53" t="n">
        <f aca="false">D34/$D$2</f>
        <v>-1345.60120998235</v>
      </c>
      <c r="G34" s="53" t="n">
        <v>2320</v>
      </c>
      <c r="H34" s="55" t="n">
        <v>90</v>
      </c>
      <c r="I34" s="53" t="n">
        <f aca="false">G34+H34</f>
        <v>2410</v>
      </c>
      <c r="J34" s="75" t="n">
        <f aca="false">IF(L34&gt;0,L34,0)</f>
        <v>189.748790017645</v>
      </c>
      <c r="K34" s="53" t="n">
        <f aca="false">I34+J34</f>
        <v>2599.74879001765</v>
      </c>
      <c r="L34" s="53" t="n">
        <f aca="false">F34-(I34-W34)</f>
        <v>189.748790017645</v>
      </c>
      <c r="M34" s="53" t="n">
        <v>275</v>
      </c>
      <c r="N34" s="53" t="n">
        <f aca="false">17.77+17.94</f>
        <v>35.71</v>
      </c>
      <c r="O34" s="53" t="n">
        <f aca="false">M34-N34</f>
        <v>239.29</v>
      </c>
      <c r="P34" s="53" t="n">
        <v>102</v>
      </c>
      <c r="Q34" s="53" t="n">
        <v>82</v>
      </c>
      <c r="R34" s="53" t="n">
        <f aca="false">SUM(O34:Q34)</f>
        <v>423.29</v>
      </c>
      <c r="S34" s="54"/>
      <c r="T34" s="53" t="n">
        <v>186.35</v>
      </c>
      <c r="U34" s="53" t="n">
        <v>3300</v>
      </c>
      <c r="V34" s="54" t="n">
        <v>16197</v>
      </c>
      <c r="W34" s="53" t="n">
        <f aca="false">R34+T34+N34+U34</f>
        <v>3945.35</v>
      </c>
      <c r="X34" s="53" t="n">
        <f aca="false">IF(L34&lt;0,L34*-1,0)</f>
        <v>0</v>
      </c>
      <c r="Y34" s="53" t="n">
        <f aca="false">W34+X34</f>
        <v>3945.35</v>
      </c>
      <c r="Z34" s="57" t="n">
        <v>0.05</v>
      </c>
      <c r="AA34" s="58" t="n">
        <v>62</v>
      </c>
      <c r="AB34" s="58" t="n">
        <v>39</v>
      </c>
      <c r="AC34" s="59" t="n">
        <f aca="false">AC33+1</f>
        <v>25</v>
      </c>
      <c r="AD34" s="88"/>
      <c r="AE34" s="90"/>
      <c r="AF34" s="89"/>
    </row>
    <row r="35" customFormat="false" ht="11.1" hidden="false" customHeight="true" outlineLevel="0" collapsed="false">
      <c r="A35" s="59" t="n">
        <f aca="false">A34+1</f>
        <v>26</v>
      </c>
      <c r="B35" s="74" t="n">
        <v>6920.57</v>
      </c>
      <c r="C35" s="54" t="n">
        <v>366048</v>
      </c>
      <c r="D35" s="58" t="n">
        <f aca="false">C35-C34</f>
        <v>-1650</v>
      </c>
      <c r="E35" s="54" t="n">
        <f aca="false">C35-152000</f>
        <v>214048</v>
      </c>
      <c r="F35" s="53" t="n">
        <f aca="false">D35/$D$2</f>
        <v>-831.862868666499</v>
      </c>
      <c r="G35" s="53" t="n">
        <v>1970</v>
      </c>
      <c r="H35" s="55" t="n">
        <v>73</v>
      </c>
      <c r="I35" s="53" t="n">
        <f aca="false">G35+H35</f>
        <v>2043</v>
      </c>
      <c r="J35" s="75" t="n">
        <f aca="false">IF(L35&gt;0,L35,0)</f>
        <v>268.977131333502</v>
      </c>
      <c r="K35" s="53" t="n">
        <f aca="false">I35+J35</f>
        <v>2311.9771313335</v>
      </c>
      <c r="L35" s="53" t="n">
        <f aca="false">F35-(I35-W35)</f>
        <v>268.977131333502</v>
      </c>
      <c r="M35" s="53" t="n">
        <v>274</v>
      </c>
      <c r="N35" s="53" t="n">
        <f aca="false">21.59+22.65*1.05</f>
        <v>45.3725</v>
      </c>
      <c r="O35" s="53" t="n">
        <f aca="false">M35-N35</f>
        <v>228.6275</v>
      </c>
      <c r="P35" s="53" t="n">
        <v>101</v>
      </c>
      <c r="Q35" s="53" t="n">
        <v>80</v>
      </c>
      <c r="R35" s="53" t="n">
        <f aca="false">SUM(O35:Q35)</f>
        <v>409.6275</v>
      </c>
      <c r="S35" s="54"/>
      <c r="T35" s="53" t="n">
        <v>178.84</v>
      </c>
      <c r="U35" s="53" t="n">
        <v>2510</v>
      </c>
      <c r="V35" s="54" t="n">
        <v>16197</v>
      </c>
      <c r="W35" s="53" t="n">
        <f aca="false">R35+T35+N35+U35</f>
        <v>3143.84</v>
      </c>
      <c r="X35" s="53" t="n">
        <f aca="false">IF(L35&lt;0,L35*-1,0)</f>
        <v>0</v>
      </c>
      <c r="Y35" s="53" t="n">
        <f aca="false">W35+X35</f>
        <v>3143.84</v>
      </c>
      <c r="Z35" s="57" t="n">
        <v>0.15</v>
      </c>
      <c r="AA35" s="58" t="n">
        <v>68</v>
      </c>
      <c r="AB35" s="58" t="n">
        <v>39</v>
      </c>
      <c r="AC35" s="59" t="n">
        <f aca="false">AC34+1</f>
        <v>26</v>
      </c>
      <c r="AD35" s="88"/>
      <c r="AE35" s="90"/>
      <c r="AF35" s="89"/>
    </row>
    <row r="36" customFormat="false" ht="11.1" hidden="false" customHeight="true" outlineLevel="0" collapsed="false">
      <c r="A36" s="59" t="n">
        <f aca="false">A35+1</f>
        <v>27</v>
      </c>
      <c r="B36" s="74" t="n">
        <v>6920.55</v>
      </c>
      <c r="C36" s="54" t="n">
        <v>365961</v>
      </c>
      <c r="D36" s="58" t="n">
        <f aca="false">C36-C35</f>
        <v>-87</v>
      </c>
      <c r="E36" s="54" t="n">
        <f aca="false">C36-152000</f>
        <v>213961</v>
      </c>
      <c r="F36" s="53" t="n">
        <f aca="false">D36/$D$2</f>
        <v>-43.8618603478699</v>
      </c>
      <c r="G36" s="53" t="n">
        <v>2020</v>
      </c>
      <c r="H36" s="55" t="n">
        <v>67</v>
      </c>
      <c r="I36" s="53" t="n">
        <f aca="false">G36+H36</f>
        <v>2087</v>
      </c>
      <c r="J36" s="75" t="n">
        <f aca="false">IF(L36&gt;0,L36,0)</f>
        <v>158.70813965213</v>
      </c>
      <c r="K36" s="53" t="n">
        <f aca="false">I36+J36</f>
        <v>2245.70813965213</v>
      </c>
      <c r="L36" s="53" t="n">
        <f aca="false">F36-(I36-W36)</f>
        <v>158.70813965213</v>
      </c>
      <c r="M36" s="53" t="n">
        <v>251</v>
      </c>
      <c r="N36" s="53" t="n">
        <f aca="false">(18.61+19.2)*1.05</f>
        <v>39.7005</v>
      </c>
      <c r="O36" s="53" t="n">
        <f aca="false">M36-N36</f>
        <v>211.2995</v>
      </c>
      <c r="P36" s="53" t="n">
        <v>101</v>
      </c>
      <c r="Q36" s="53" t="n">
        <v>83</v>
      </c>
      <c r="R36" s="53" t="n">
        <f aca="false">SUM(O36:Q36)</f>
        <v>395.2995</v>
      </c>
      <c r="S36" s="54"/>
      <c r="T36" s="53" t="n">
        <v>194.57</v>
      </c>
      <c r="U36" s="53" t="n">
        <v>1660</v>
      </c>
      <c r="V36" s="54" t="n">
        <v>16197</v>
      </c>
      <c r="W36" s="53" t="n">
        <f aca="false">R36+T36+N36+U36</f>
        <v>2289.57</v>
      </c>
      <c r="X36" s="53" t="n">
        <f aca="false">IF(L36&lt;0,L36*-1,0)</f>
        <v>0</v>
      </c>
      <c r="Y36" s="53" t="n">
        <f aca="false">W36+X36</f>
        <v>2289.57</v>
      </c>
      <c r="Z36" s="57" t="n">
        <v>0.04</v>
      </c>
      <c r="AA36" s="58" t="n">
        <v>69</v>
      </c>
      <c r="AB36" s="58" t="n">
        <v>39</v>
      </c>
      <c r="AC36" s="59" t="n">
        <f aca="false">AC35+1</f>
        <v>27</v>
      </c>
      <c r="AD36" s="88"/>
      <c r="AE36" s="90"/>
      <c r="AF36" s="89"/>
    </row>
    <row r="37" customFormat="false" ht="11.1" hidden="false" customHeight="true" outlineLevel="0" collapsed="false">
      <c r="A37" s="59" t="n">
        <v>28</v>
      </c>
      <c r="B37" s="74" t="n">
        <v>6920.74</v>
      </c>
      <c r="C37" s="54" t="n">
        <v>366786</v>
      </c>
      <c r="D37" s="58" t="n">
        <f aca="false">C37-C36</f>
        <v>825</v>
      </c>
      <c r="E37" s="54" t="n">
        <f aca="false">C37-152000</f>
        <v>214786</v>
      </c>
      <c r="F37" s="53" t="n">
        <f aca="false">D37/$D$2</f>
        <v>415.931434333249</v>
      </c>
      <c r="G37" s="53" t="n">
        <v>2030</v>
      </c>
      <c r="H37" s="55" t="n">
        <v>69</v>
      </c>
      <c r="I37" s="53" t="n">
        <f aca="false">G37+H37</f>
        <v>2099</v>
      </c>
      <c r="J37" s="75" t="n">
        <f aca="false">IF(L37&gt;0,L37,0)</f>
        <v>131.791434333249</v>
      </c>
      <c r="K37" s="53" t="n">
        <f aca="false">I37+J37</f>
        <v>2230.79143433325</v>
      </c>
      <c r="L37" s="53" t="n">
        <f aca="false">F37-(I37-W37)</f>
        <v>131.791434333249</v>
      </c>
      <c r="M37" s="53" t="n">
        <v>229</v>
      </c>
      <c r="N37" s="53" t="n">
        <f aca="false">(18.14+18.75)*1.05</f>
        <v>38.7345</v>
      </c>
      <c r="O37" s="53" t="n">
        <f aca="false">M37-N37</f>
        <v>190.2655</v>
      </c>
      <c r="P37" s="53" t="n">
        <v>156</v>
      </c>
      <c r="Q37" s="53" t="n">
        <v>81</v>
      </c>
      <c r="R37" s="53" t="n">
        <f aca="false">SUM(O37:Q37)</f>
        <v>427.2655</v>
      </c>
      <c r="S37" s="54"/>
      <c r="T37" s="53" t="n">
        <v>218.86</v>
      </c>
      <c r="U37" s="53" t="n">
        <v>1130</v>
      </c>
      <c r="V37" s="54" t="n">
        <v>16197</v>
      </c>
      <c r="W37" s="53" t="n">
        <f aca="false">R37+T37+N37+U37</f>
        <v>1814.86</v>
      </c>
      <c r="X37" s="53" t="n">
        <f aca="false">IF(L37&lt;0,L37*-1,0)</f>
        <v>0</v>
      </c>
      <c r="Y37" s="53" t="n">
        <f aca="false">W37+X37</f>
        <v>1814.86</v>
      </c>
      <c r="Z37" s="57" t="n">
        <v>0.01</v>
      </c>
      <c r="AA37" s="58" t="n">
        <v>79</v>
      </c>
      <c r="AB37" s="58" t="n">
        <v>44</v>
      </c>
      <c r="AC37" s="59" t="n">
        <v>28</v>
      </c>
      <c r="AD37" s="88"/>
      <c r="AE37" s="90"/>
      <c r="AF37" s="89"/>
    </row>
    <row r="38" customFormat="false" ht="11.1" hidden="false" customHeight="true" outlineLevel="0" collapsed="false">
      <c r="A38" s="59" t="n">
        <v>29</v>
      </c>
      <c r="B38" s="74" t="n">
        <v>6921.04</v>
      </c>
      <c r="C38" s="54" t="n">
        <v>368090</v>
      </c>
      <c r="D38" s="58" t="n">
        <f aca="false">C38-C37</f>
        <v>1304</v>
      </c>
      <c r="E38" s="54" t="n">
        <f aca="false">C38-152000</f>
        <v>216090</v>
      </c>
      <c r="F38" s="53" t="n">
        <f aca="false">D38/$D$2</f>
        <v>657.423745903706</v>
      </c>
      <c r="G38" s="53" t="n">
        <v>2160</v>
      </c>
      <c r="H38" s="55" t="n">
        <v>63</v>
      </c>
      <c r="I38" s="53" t="n">
        <f aca="false">G38+H38</f>
        <v>2223</v>
      </c>
      <c r="J38" s="75" t="n">
        <f aca="false">IF(L38&gt;0,L38,0)</f>
        <v>86.1437459037056</v>
      </c>
      <c r="K38" s="53" t="n">
        <f aca="false">I38+J38</f>
        <v>2309.14374590371</v>
      </c>
      <c r="L38" s="53" t="n">
        <f aca="false">F38-(I38-W38)</f>
        <v>86.1437459037056</v>
      </c>
      <c r="M38" s="53" t="n">
        <v>222</v>
      </c>
      <c r="N38" s="53" t="n">
        <f aca="false">(20.41+19.86)*1.05</f>
        <v>42.2835</v>
      </c>
      <c r="O38" s="53" t="n">
        <f aca="false">M38-N38</f>
        <v>179.7165</v>
      </c>
      <c r="P38" s="53" t="n">
        <v>175</v>
      </c>
      <c r="Q38" s="53" t="n">
        <v>79</v>
      </c>
      <c r="R38" s="53" t="n">
        <f aca="false">SUM(O38:Q38)</f>
        <v>433.7165</v>
      </c>
      <c r="S38" s="54"/>
      <c r="T38" s="53" t="n">
        <v>209.72</v>
      </c>
      <c r="U38" s="53" t="n">
        <v>966</v>
      </c>
      <c r="V38" s="54" t="n">
        <v>16197</v>
      </c>
      <c r="W38" s="53" t="n">
        <f aca="false">R38+T38+N38+U38</f>
        <v>1651.72</v>
      </c>
      <c r="X38" s="53" t="n">
        <f aca="false">IF(L38&lt;0,L38*-1,0)</f>
        <v>0</v>
      </c>
      <c r="Y38" s="53" t="n">
        <f aca="false">W38+X38</f>
        <v>1651.72</v>
      </c>
      <c r="Z38" s="57" t="n">
        <v>0.01</v>
      </c>
      <c r="AA38" s="58" t="n">
        <v>76</v>
      </c>
      <c r="AB38" s="58" t="n">
        <v>43</v>
      </c>
      <c r="AC38" s="59" t="n">
        <v>29</v>
      </c>
      <c r="AD38" s="88"/>
      <c r="AE38" s="90"/>
      <c r="AF38" s="89"/>
    </row>
    <row r="39" customFormat="false" ht="11.1" hidden="false" customHeight="true" outlineLevel="0" collapsed="false">
      <c r="A39" s="59" t="n">
        <v>30</v>
      </c>
      <c r="B39" s="74" t="n">
        <v>6921.35</v>
      </c>
      <c r="C39" s="54" t="n">
        <v>369447</v>
      </c>
      <c r="D39" s="58" t="n">
        <f aca="false">C39-C38</f>
        <v>1357</v>
      </c>
      <c r="E39" s="54" t="n">
        <f aca="false">C39-152000</f>
        <v>217447</v>
      </c>
      <c r="F39" s="53" t="n">
        <f aca="false">D39/$D$2</f>
        <v>684.144189563902</v>
      </c>
      <c r="G39" s="53" t="n">
        <v>2050</v>
      </c>
      <c r="H39" s="55" t="n">
        <v>60</v>
      </c>
      <c r="I39" s="53" t="n">
        <f aca="false">G39+H39</f>
        <v>2110</v>
      </c>
      <c r="J39" s="75" t="n">
        <f aca="false">IF(L39&gt;0,L39,0)</f>
        <v>164.694189563902</v>
      </c>
      <c r="K39" s="53" t="n">
        <f aca="false">I39+J39</f>
        <v>2274.6941895639</v>
      </c>
      <c r="L39" s="53" t="n">
        <f aca="false">F39-(I39-W39)</f>
        <v>164.694189563902</v>
      </c>
      <c r="M39" s="53" t="n">
        <v>188</v>
      </c>
      <c r="N39" s="53" t="n">
        <f aca="false">(9.23+8.26)*1.05</f>
        <v>18.3645</v>
      </c>
      <c r="O39" s="53" t="n">
        <f aca="false">M39-N39</f>
        <v>169.6355</v>
      </c>
      <c r="P39" s="53" t="n">
        <v>176</v>
      </c>
      <c r="Q39" s="53" t="n">
        <v>80</v>
      </c>
      <c r="R39" s="53" t="n">
        <f aca="false">SUM(O39:Q39)</f>
        <v>425.6355</v>
      </c>
      <c r="S39" s="54"/>
      <c r="T39" s="53" t="n">
        <v>184.55</v>
      </c>
      <c r="U39" s="53" t="n">
        <v>962</v>
      </c>
      <c r="V39" s="54" t="n">
        <v>16197</v>
      </c>
      <c r="W39" s="53" t="n">
        <f aca="false">R39+T39+N39+U39</f>
        <v>1590.55</v>
      </c>
      <c r="X39" s="53" t="n">
        <f aca="false">IF(L39&lt;0,L39*-1,0)</f>
        <v>0</v>
      </c>
      <c r="Y39" s="53" t="n">
        <f aca="false">W39+X39</f>
        <v>1590.55</v>
      </c>
      <c r="Z39" s="57" t="n">
        <v>0</v>
      </c>
      <c r="AA39" s="58" t="n">
        <v>74</v>
      </c>
      <c r="AB39" s="58" t="n">
        <v>44</v>
      </c>
      <c r="AC39" s="59" t="n">
        <v>30</v>
      </c>
      <c r="AD39" s="88"/>
      <c r="AE39" s="90"/>
      <c r="AF39" s="89"/>
    </row>
    <row r="40" customFormat="false" ht="11.1" hidden="false" customHeight="true" outlineLevel="0" collapsed="false">
      <c r="A40" s="59" t="n">
        <v>31</v>
      </c>
      <c r="B40" s="74" t="n">
        <v>6921.6</v>
      </c>
      <c r="C40" s="54" t="n">
        <v>370542</v>
      </c>
      <c r="D40" s="58" t="n">
        <f aca="false">C40-C39</f>
        <v>1095</v>
      </c>
      <c r="E40" s="54" t="n">
        <f aca="false">C40-152000</f>
        <v>218542</v>
      </c>
      <c r="F40" s="53" t="n">
        <f aca="false">D40/$D$2</f>
        <v>552.054449205949</v>
      </c>
      <c r="G40" s="53" t="n">
        <v>2050</v>
      </c>
      <c r="H40" s="55" t="n">
        <v>50</v>
      </c>
      <c r="I40" s="53" t="n">
        <f aca="false">G40+H40</f>
        <v>2100</v>
      </c>
      <c r="J40" s="75" t="n">
        <f aca="false">IF(L40&gt;0,L40,0)</f>
        <v>65.2144492059489</v>
      </c>
      <c r="K40" s="53" t="n">
        <f aca="false">I40+J40</f>
        <v>2165.21444920595</v>
      </c>
      <c r="L40" s="53" t="n">
        <f aca="false">F40-(I40-W40)</f>
        <v>65.2144492059489</v>
      </c>
      <c r="M40" s="53" t="n">
        <v>187</v>
      </c>
      <c r="N40" s="53" t="n">
        <f aca="false">(4.48+4.22)*1.05</f>
        <v>9.135</v>
      </c>
      <c r="O40" s="53" t="n">
        <f aca="false">M40-N40</f>
        <v>177.865</v>
      </c>
      <c r="P40" s="53" t="n">
        <v>176</v>
      </c>
      <c r="Q40" s="53" t="n">
        <v>80</v>
      </c>
      <c r="R40" s="53" t="n">
        <f aca="false">SUM(O40:Q40)</f>
        <v>433.865</v>
      </c>
      <c r="S40" s="54"/>
      <c r="T40" s="53" t="n">
        <v>213.16</v>
      </c>
      <c r="U40" s="53" t="n">
        <v>957</v>
      </c>
      <c r="V40" s="54" t="n">
        <v>16197</v>
      </c>
      <c r="W40" s="53" t="n">
        <f aca="false">R40+T40+N40+U40</f>
        <v>1613.16</v>
      </c>
      <c r="X40" s="53" t="n">
        <f aca="false">IF(L40&lt;0,L40*-1,0)</f>
        <v>0</v>
      </c>
      <c r="Y40" s="53" t="n">
        <f aca="false">W40+X40</f>
        <v>1613.16</v>
      </c>
      <c r="Z40" s="57" t="n">
        <v>0</v>
      </c>
      <c r="AA40" s="58" t="n">
        <v>74</v>
      </c>
      <c r="AB40" s="58" t="n">
        <v>49</v>
      </c>
      <c r="AC40" s="59" t="n">
        <v>31</v>
      </c>
      <c r="AD40" s="88"/>
      <c r="AE40" s="90"/>
      <c r="AF40" s="89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79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8"/>
      <c r="T41" s="76"/>
      <c r="U41" s="76"/>
      <c r="V41" s="76"/>
      <c r="W41" s="76"/>
      <c r="X41" s="76"/>
      <c r="Y41" s="76"/>
      <c r="Z41" s="80"/>
      <c r="AA41" s="81"/>
      <c r="AB41" s="81"/>
      <c r="AC41" s="82"/>
      <c r="AD41" s="88"/>
      <c r="AE41" s="88"/>
      <c r="AF41" s="89"/>
    </row>
    <row r="42" customFormat="false" ht="11.1" hidden="false" customHeight="true" outlineLevel="0" collapsed="false">
      <c r="A42" s="53" t="s">
        <v>45</v>
      </c>
      <c r="B42" s="53"/>
      <c r="C42" s="54"/>
      <c r="D42" s="54"/>
      <c r="E42" s="54"/>
      <c r="F42" s="54" t="n">
        <f aca="false">SUM(F10:F40)</f>
        <v>24176.4557600202</v>
      </c>
      <c r="G42" s="54" t="n">
        <f aca="false">SUM(G10:G40)</f>
        <v>53957</v>
      </c>
      <c r="H42" s="54" t="n">
        <f aca="false">SUM(H10:H40)</f>
        <v>3529</v>
      </c>
      <c r="I42" s="54" t="n">
        <f aca="false">SUM(I10:I40)</f>
        <v>57486</v>
      </c>
      <c r="J42" s="54" t="n">
        <f aca="false">SUM(J10:J40)</f>
        <v>9167.74576002017</v>
      </c>
      <c r="K42" s="54" t="n">
        <f aca="false">SUM(K10:K40)</f>
        <v>66653.7457600202</v>
      </c>
      <c r="L42" s="54" t="n">
        <f aca="false">SUM(L10:L40)</f>
        <v>9167.74576002017</v>
      </c>
      <c r="M42" s="54" t="n">
        <f aca="false">SUM(M10:M40)</f>
        <v>5279</v>
      </c>
      <c r="N42" s="54" t="n">
        <f aca="false">SUM(N10:N40)</f>
        <v>989.761</v>
      </c>
      <c r="O42" s="54" t="n">
        <f aca="false">SUM(O10:O40)</f>
        <v>4289.239</v>
      </c>
      <c r="P42" s="54" t="n">
        <f aca="false">SUM(P10:P40)</f>
        <v>1564</v>
      </c>
      <c r="Q42" s="54" t="n">
        <f aca="false">SUM(Q10:Q40)</f>
        <v>1354.5</v>
      </c>
      <c r="R42" s="54" t="n">
        <f aca="false">SUM(R10:R40)</f>
        <v>7207.739</v>
      </c>
      <c r="S42" s="54"/>
      <c r="T42" s="54" t="n">
        <f aca="false">SUM(T10:T40)</f>
        <v>2461.79</v>
      </c>
      <c r="U42" s="54" t="n">
        <f aca="false">SUM(U10:U40)</f>
        <v>31818</v>
      </c>
      <c r="V42" s="54"/>
      <c r="W42" s="54" t="n">
        <f aca="false">SUM(W10:W40)</f>
        <v>42477.29</v>
      </c>
      <c r="X42" s="54" t="n">
        <f aca="false">SUM(X10:X40)</f>
        <v>0</v>
      </c>
      <c r="Y42" s="54" t="n">
        <f aca="false">SUM(Y10:Y40)</f>
        <v>42477.29</v>
      </c>
      <c r="Z42" s="57" t="n">
        <f aca="false">SUM(Z10:Z40)</f>
        <v>1.75</v>
      </c>
      <c r="AA42" s="58" t="n">
        <f aca="false">AVERAGE(AA10:AA40)</f>
        <v>67.9032258064516</v>
      </c>
      <c r="AB42" s="58" t="n">
        <f aca="false">AVERAGE(AB10:AB40)</f>
        <v>37.5161290322581</v>
      </c>
      <c r="AC42" s="59"/>
      <c r="AD42" s="88"/>
      <c r="AE42" s="88"/>
      <c r="AF42" s="89"/>
    </row>
    <row r="43" customFormat="false" ht="11.1" hidden="false" customHeight="true" outlineLevel="0" collapsed="false">
      <c r="A43" s="53" t="s">
        <v>46</v>
      </c>
      <c r="B43" s="53"/>
      <c r="C43" s="54"/>
      <c r="D43" s="54" t="n">
        <f aca="false">SUM(D10:D40)</f>
        <v>47954</v>
      </c>
      <c r="E43" s="54"/>
      <c r="F43" s="54" t="n">
        <f aca="false">F42*$D$2</f>
        <v>47954</v>
      </c>
      <c r="G43" s="54" t="n">
        <f aca="false">G42*$D$2</f>
        <v>107023.7095</v>
      </c>
      <c r="H43" s="54" t="n">
        <f aca="false">H42*$D$2</f>
        <v>6999.7715</v>
      </c>
      <c r="I43" s="54" t="n">
        <f aca="false">I42*$D$2</f>
        <v>114023.481</v>
      </c>
      <c r="J43" s="54" t="n">
        <f aca="false">J42*$D$2</f>
        <v>18184.223715</v>
      </c>
      <c r="K43" s="54" t="n">
        <f aca="false">K42*$D$2</f>
        <v>132207.704715</v>
      </c>
      <c r="L43" s="54" t="n">
        <f aca="false">L42*$D$2</f>
        <v>18184.223715</v>
      </c>
      <c r="M43" s="54" t="n">
        <f aca="false">M42*$D$2</f>
        <v>10470.8965</v>
      </c>
      <c r="N43" s="54" t="n">
        <f aca="false">N42*$D$2</f>
        <v>1963.1909435</v>
      </c>
      <c r="O43" s="54" t="n">
        <f aca="false">O42*$D$2</f>
        <v>8507.7055565</v>
      </c>
      <c r="P43" s="54" t="n">
        <f aca="false">P42*$D$2</f>
        <v>3102.194</v>
      </c>
      <c r="Q43" s="54" t="n">
        <f aca="false">Q42*$D$2</f>
        <v>2686.65075</v>
      </c>
      <c r="R43" s="54" t="n">
        <f aca="false">R42*$D$2</f>
        <v>14296.5503065</v>
      </c>
      <c r="S43" s="54"/>
      <c r="T43" s="54" t="n">
        <f aca="false">T42*$D$2</f>
        <v>4882.960465</v>
      </c>
      <c r="U43" s="54" t="n">
        <f aca="false">U42*$D$2</f>
        <v>63111.003</v>
      </c>
      <c r="V43" s="54"/>
      <c r="W43" s="109" t="n">
        <f aca="false">W42*$D$2</f>
        <v>84253.704715</v>
      </c>
      <c r="X43" s="54" t="n">
        <f aca="false">X42*$D$2</f>
        <v>0</v>
      </c>
      <c r="Y43" s="54" t="n">
        <f aca="false">Y42*$D$2</f>
        <v>84253.704715</v>
      </c>
      <c r="Z43" s="57"/>
      <c r="AA43" s="58" t="n">
        <f aca="false">MAX(AA10:AA40)</f>
        <v>83</v>
      </c>
      <c r="AB43" s="58" t="n">
        <f aca="false">MAX(AB10:AB40)</f>
        <v>52</v>
      </c>
      <c r="AC43" s="59" t="s">
        <v>47</v>
      </c>
      <c r="AD43" s="88"/>
      <c r="AE43" s="88"/>
      <c r="AF43" s="89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6"/>
      <c r="W44" s="78"/>
      <c r="X44" s="78"/>
      <c r="Y44" s="78"/>
      <c r="Z44" s="57"/>
      <c r="AA44" s="58"/>
      <c r="AB44" s="58"/>
      <c r="AC44" s="59"/>
      <c r="AD44" s="88"/>
      <c r="AE44" s="88"/>
      <c r="AF44" s="89"/>
    </row>
    <row r="45" customFormat="false" ht="11.1" hidden="false" customHeight="true" outlineLevel="0" collapsed="false">
      <c r="A45" s="53" t="s">
        <v>48</v>
      </c>
      <c r="B45" s="53"/>
      <c r="C45" s="54"/>
      <c r="D45" s="54"/>
      <c r="E45" s="54"/>
      <c r="F45" s="54" t="n">
        <f aca="false">F7+F42</f>
        <v>45915.3012351903</v>
      </c>
      <c r="G45" s="54" t="n">
        <f aca="false">G7+G42</f>
        <v>71877</v>
      </c>
      <c r="H45" s="54" t="n">
        <f aca="false">H7+H42</f>
        <v>4494.7</v>
      </c>
      <c r="I45" s="54" t="n">
        <f aca="false">I7+I42</f>
        <v>76371.7</v>
      </c>
      <c r="J45" s="54" t="n">
        <f aca="false">J7+J42</f>
        <v>15289.8612351903</v>
      </c>
      <c r="K45" s="54" t="n">
        <f aca="false">K7+K42</f>
        <v>91661.5612351903</v>
      </c>
      <c r="L45" s="54" t="n">
        <f aca="false">L7+L42</f>
        <v>15289.8612351903</v>
      </c>
      <c r="M45" s="54" t="n">
        <f aca="false">M7+M42</f>
        <v>6830.6</v>
      </c>
      <c r="N45" s="54" t="n">
        <f aca="false">N7+N42</f>
        <v>1939.192</v>
      </c>
      <c r="O45" s="54" t="n">
        <f aca="false">O7+O42</f>
        <v>4891.408</v>
      </c>
      <c r="P45" s="54" t="n">
        <f aca="false">P7+P42</f>
        <v>1564</v>
      </c>
      <c r="Q45" s="54" t="n">
        <f aca="false">Q7+Q42</f>
        <v>1364.3</v>
      </c>
      <c r="R45" s="54" t="n">
        <f aca="false">R7+R42</f>
        <v>7819.708</v>
      </c>
      <c r="S45" s="54" t="n">
        <f aca="false">S7+S42</f>
        <v>0</v>
      </c>
      <c r="T45" s="54" t="n">
        <f aca="false">T7+T42</f>
        <v>2650.36</v>
      </c>
      <c r="U45" s="54" t="n">
        <f aca="false">U7+U42</f>
        <v>33337</v>
      </c>
      <c r="V45" s="54"/>
      <c r="W45" s="54" t="n">
        <f aca="false">W7+W42</f>
        <v>45746.26</v>
      </c>
      <c r="X45" s="54" t="n">
        <f aca="false">X7+X42</f>
        <v>0</v>
      </c>
      <c r="Y45" s="54" t="n">
        <f aca="false">Y7+Y42</f>
        <v>45746.26</v>
      </c>
      <c r="Z45" s="57"/>
      <c r="AA45" s="58" t="n">
        <f aca="false">MIN(AA10:AA40)</f>
        <v>42</v>
      </c>
      <c r="AB45" s="58" t="n">
        <f aca="false">MIN(AB10:AB40)</f>
        <v>21</v>
      </c>
      <c r="AC45" s="59" t="s">
        <v>49</v>
      </c>
      <c r="AD45" s="88"/>
      <c r="AE45" s="88"/>
      <c r="AF45" s="89"/>
    </row>
    <row r="46" customFormat="false" ht="11.1" hidden="false" customHeight="true" outlineLevel="0" collapsed="false">
      <c r="A46" s="53" t="s">
        <v>50</v>
      </c>
      <c r="B46" s="53"/>
      <c r="C46" s="54"/>
      <c r="D46" s="54"/>
      <c r="E46" s="54"/>
      <c r="F46" s="54" t="n">
        <f aca="false">F45*$D$2</f>
        <v>91073</v>
      </c>
      <c r="G46" s="54" t="n">
        <f aca="false">G45*$D$2</f>
        <v>142568.0295</v>
      </c>
      <c r="H46" s="54" t="n">
        <f aca="false">H45*$D$2</f>
        <v>8915.23745</v>
      </c>
      <c r="I46" s="54" t="n">
        <f aca="false">I45*$D$2</f>
        <v>151483.26695</v>
      </c>
      <c r="J46" s="54" t="n">
        <f aca="false">J45*$D$2</f>
        <v>30327.43976</v>
      </c>
      <c r="K46" s="54" t="n">
        <f aca="false">K45*$D$2</f>
        <v>181810.70671</v>
      </c>
      <c r="L46" s="54" t="n">
        <f aca="false">L45*$D$2</f>
        <v>30327.43976</v>
      </c>
      <c r="M46" s="54" t="n">
        <f aca="false">M45*$D$2</f>
        <v>13548.4951</v>
      </c>
      <c r="N46" s="54" t="n">
        <f aca="false">N45*$D$2</f>
        <v>3846.387332</v>
      </c>
      <c r="O46" s="54" t="n">
        <f aca="false">O45*$D$2</f>
        <v>9702.107768</v>
      </c>
      <c r="P46" s="54" t="n">
        <f aca="false">P45*$D$2</f>
        <v>3102.194</v>
      </c>
      <c r="Q46" s="54" t="n">
        <f aca="false">Q45*$D$2</f>
        <v>2706.08905</v>
      </c>
      <c r="R46" s="54" t="n">
        <f aca="false">R45*$D$2</f>
        <v>15510.390818</v>
      </c>
      <c r="S46" s="54" t="n">
        <f aca="false">S45*$D$2</f>
        <v>0</v>
      </c>
      <c r="T46" s="54" t="n">
        <f aca="false">T45*$D$2</f>
        <v>5256.98906</v>
      </c>
      <c r="U46" s="54" t="n">
        <f aca="false">U45*$D$2</f>
        <v>66123.9395</v>
      </c>
      <c r="V46" s="54"/>
      <c r="W46" s="54" t="n">
        <f aca="false">W45*$D$2</f>
        <v>90737.70671</v>
      </c>
      <c r="X46" s="54" t="n">
        <f aca="false">X45*$D$2</f>
        <v>0</v>
      </c>
      <c r="Y46" s="54" t="n">
        <f aca="false">Y45*$D$2</f>
        <v>90737.70671</v>
      </c>
      <c r="Z46" s="57"/>
      <c r="AA46" s="58"/>
      <c r="AB46" s="58"/>
      <c r="AC46" s="59"/>
      <c r="AD46" s="88"/>
      <c r="AE46" s="88"/>
      <c r="AF46" s="89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1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80"/>
      <c r="AA47" s="58"/>
      <c r="AB47" s="58"/>
      <c r="AC47" s="59"/>
      <c r="AD47" s="88"/>
      <c r="AE47" s="88"/>
      <c r="AF47" s="89"/>
    </row>
    <row r="48" customFormat="false" ht="11.1" hidden="false" customHeight="true" outlineLevel="0" collapsed="false">
      <c r="A48" s="53" t="s">
        <v>51</v>
      </c>
      <c r="B48" s="53"/>
      <c r="C48" s="54"/>
      <c r="D48" s="54"/>
      <c r="E48" s="54"/>
      <c r="F48" s="54" t="n">
        <f aca="false">F8+F42</f>
        <v>56679.1025964205</v>
      </c>
      <c r="G48" s="54" t="n">
        <f aca="false">G8+G42</f>
        <v>86310</v>
      </c>
      <c r="H48" s="58" t="n">
        <f aca="false">H8+H42</f>
        <v>4825</v>
      </c>
      <c r="I48" s="54" t="n">
        <f aca="false">I8+I42</f>
        <v>91129.9</v>
      </c>
      <c r="J48" s="54" t="n">
        <f aca="false">J8+J42</f>
        <v>19540.2291706579</v>
      </c>
      <c r="K48" s="54" t="n">
        <f aca="false">K8+K42</f>
        <v>110672.83385934</v>
      </c>
      <c r="L48" s="54" t="n">
        <f aca="false">L8+L42</f>
        <v>18997.3625964205</v>
      </c>
      <c r="M48" s="54" t="n">
        <f aca="false">M8+M42</f>
        <v>8066.4</v>
      </c>
      <c r="N48" s="54" t="n">
        <f aca="false">N8+N42</f>
        <v>2014.7605</v>
      </c>
      <c r="O48" s="54" t="n">
        <f aca="false">O8+O42</f>
        <v>5766.0395</v>
      </c>
      <c r="P48" s="54" t="n">
        <f aca="false">P8+P42</f>
        <v>1564</v>
      </c>
      <c r="Q48" s="54" t="n">
        <f aca="false">Q8+Q42</f>
        <v>1494.4</v>
      </c>
      <c r="R48" s="54" t="n">
        <f aca="false">R8+R42</f>
        <v>9054.862</v>
      </c>
      <c r="S48" s="54"/>
      <c r="T48" s="54" t="n">
        <f aca="false">T8+T42</f>
        <v>2650.36</v>
      </c>
      <c r="U48" s="54" t="n">
        <f aca="false">U8+U42</f>
        <v>39673</v>
      </c>
      <c r="V48" s="54" t="n">
        <f aca="false">V40</f>
        <v>16197</v>
      </c>
      <c r="W48" s="54" t="n">
        <f aca="false">W8+W42</f>
        <v>53448.16</v>
      </c>
      <c r="X48" s="54" t="n">
        <f aca="false">X8+X42</f>
        <v>542.866574237459</v>
      </c>
      <c r="Y48" s="54" t="n">
        <f aca="false">Y8+Y42</f>
        <v>53991.0265742375</v>
      </c>
      <c r="Z48" s="75" t="n">
        <f aca="false">Z8+Z42</f>
        <v>9.22</v>
      </c>
      <c r="AA48" s="58"/>
      <c r="AB48" s="58"/>
      <c r="AC48" s="59"/>
      <c r="AD48" s="88"/>
      <c r="AE48" s="88"/>
      <c r="AF48" s="89"/>
    </row>
    <row r="49" customFormat="false" ht="11.1" hidden="false" customHeight="true" outlineLevel="0" collapsed="false">
      <c r="A49" s="53" t="s">
        <v>52</v>
      </c>
      <c r="B49" s="53"/>
      <c r="C49" s="54"/>
      <c r="D49" s="54" t="n">
        <f aca="false">D8+D43</f>
        <v>112423</v>
      </c>
      <c r="E49" s="54" t="n">
        <f aca="false">E40</f>
        <v>218542</v>
      </c>
      <c r="F49" s="54" t="n">
        <f aca="false">F48*$D$2</f>
        <v>112423</v>
      </c>
      <c r="G49" s="54" t="n">
        <f aca="false">G48*$D$2</f>
        <v>171195.885</v>
      </c>
      <c r="H49" s="58" t="n">
        <f aca="false">H48*$D$2</f>
        <v>9570.3875</v>
      </c>
      <c r="I49" s="54" t="n">
        <f aca="false">I48*$D$2</f>
        <v>180756.15665</v>
      </c>
      <c r="J49" s="54" t="n">
        <f aca="false">J48*$D$2</f>
        <v>38758.04456</v>
      </c>
      <c r="K49" s="54" t="n">
        <f aca="false">K48*$D$2</f>
        <v>219519.56596</v>
      </c>
      <c r="L49" s="54" t="n">
        <f aca="false">L48*$D$2</f>
        <v>37681.26871</v>
      </c>
      <c r="M49" s="54" t="n">
        <f aca="false">M48*$D$2</f>
        <v>15999.7044</v>
      </c>
      <c r="N49" s="54" t="n">
        <f aca="false">N48*$D$2</f>
        <v>3996.27745175</v>
      </c>
      <c r="O49" s="54" t="n">
        <f aca="false">O48*$D$2</f>
        <v>11436.93934825</v>
      </c>
      <c r="P49" s="54" t="n">
        <f aca="false">P48*$D$2</f>
        <v>3102.194</v>
      </c>
      <c r="Q49" s="54" t="n">
        <f aca="false">Q48*$D$2</f>
        <v>2964.1424</v>
      </c>
      <c r="R49" s="54" t="n">
        <f aca="false">R48*$D$2</f>
        <v>17960.318777</v>
      </c>
      <c r="S49" s="54" t="n">
        <f aca="false">S48*$D$2</f>
        <v>0</v>
      </c>
      <c r="T49" s="54" t="n">
        <f aca="false">T48*$D$2</f>
        <v>5256.98906</v>
      </c>
      <c r="U49" s="54" t="n">
        <f aca="false">U48*$D$2</f>
        <v>78691.3955</v>
      </c>
      <c r="V49" s="54" t="n">
        <f aca="false">V48*$D$2</f>
        <v>32126.7495</v>
      </c>
      <c r="W49" s="54" t="n">
        <f aca="false">W48*$D$2</f>
        <v>106014.42536</v>
      </c>
      <c r="X49" s="54" t="n">
        <f aca="false">X48*$D$2</f>
        <v>1076.77585</v>
      </c>
      <c r="Y49" s="54" t="n">
        <f aca="false">Y48*$D$2</f>
        <v>107091.20121</v>
      </c>
      <c r="Z49" s="57"/>
      <c r="AA49" s="58"/>
      <c r="AB49" s="58"/>
      <c r="AC49" s="59"/>
      <c r="AD49" s="88"/>
      <c r="AE49" s="88"/>
      <c r="AF49" s="89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79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8"/>
      <c r="T50" s="76"/>
      <c r="U50" s="76"/>
      <c r="V50" s="78"/>
      <c r="W50" s="76"/>
      <c r="X50" s="76"/>
      <c r="Y50" s="76"/>
      <c r="Z50" s="57"/>
      <c r="AA50" s="58"/>
      <c r="AB50" s="58"/>
      <c r="AC50" s="59"/>
      <c r="AD50" s="88"/>
      <c r="AE50" s="88"/>
      <c r="AF50" s="89"/>
    </row>
    <row r="51" customFormat="false" ht="11.1" hidden="false" customHeight="true" outlineLevel="0" collapsed="false">
      <c r="A51" s="110" t="str">
        <f aca="false">"JUN 12"</f>
        <v>JUN 12</v>
      </c>
      <c r="B51" s="85"/>
      <c r="C51" s="54"/>
      <c r="D51" s="53"/>
      <c r="E51" s="54"/>
      <c r="F51" s="53"/>
      <c r="G51" s="53"/>
      <c r="H51" s="55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4"/>
      <c r="T51" s="53"/>
      <c r="U51" s="53"/>
      <c r="V51" s="54"/>
      <c r="W51" s="53"/>
      <c r="X51" s="53"/>
      <c r="Y51" s="53"/>
      <c r="Z51" s="57"/>
      <c r="AA51" s="58"/>
      <c r="AB51" s="58"/>
      <c r="AC51" s="59"/>
      <c r="AD51" s="87"/>
      <c r="AE51" s="87"/>
    </row>
    <row r="52" customFormat="false" ht="11.1" hidden="false" customHeight="true" outlineLevel="0" collapsed="false">
      <c r="A52" s="53"/>
      <c r="B52" s="74" t="n">
        <v>6923.71</v>
      </c>
      <c r="C52" s="54" t="n">
        <v>379869</v>
      </c>
      <c r="D52" s="83"/>
      <c r="E52" s="54" t="n">
        <f aca="false">C52-152000</f>
        <v>227869</v>
      </c>
      <c r="F52" s="53"/>
      <c r="G52" s="83"/>
      <c r="H52" s="83"/>
      <c r="I52" s="94"/>
      <c r="J52" s="53"/>
      <c r="K52" s="44"/>
      <c r="L52" s="53" t="s">
        <v>72</v>
      </c>
      <c r="M52" s="53"/>
      <c r="N52" s="111" t="n">
        <v>2999</v>
      </c>
      <c r="O52" s="112"/>
      <c r="P52" s="113"/>
      <c r="Q52" s="113"/>
      <c r="R52" s="111" t="n">
        <v>33728</v>
      </c>
      <c r="S52" s="112"/>
      <c r="T52" s="111" t="n">
        <v>14392</v>
      </c>
      <c r="U52" s="53"/>
      <c r="V52" s="54"/>
      <c r="W52" s="109"/>
      <c r="X52" s="53"/>
      <c r="Y52" s="53"/>
      <c r="Z52" s="114" t="n">
        <v>3.9</v>
      </c>
      <c r="AA52" s="115" t="n">
        <v>75</v>
      </c>
      <c r="AB52" s="115" t="n">
        <v>43</v>
      </c>
      <c r="AC52" s="59"/>
      <c r="AD52" s="87"/>
      <c r="AE52" s="87"/>
    </row>
    <row r="53" customFormat="false" ht="11.1" hidden="false" customHeight="true" outlineLevel="0" collapsed="false">
      <c r="A53" s="83" t="str">
        <f aca="false">"5/8/97 thru 6/12/97"</f>
        <v>5/8/97 thru 6/12/97</v>
      </c>
      <c r="B53" s="83"/>
      <c r="C53" s="54"/>
      <c r="D53" s="54"/>
      <c r="E53" s="54"/>
      <c r="F53" s="83"/>
      <c r="G53" s="83"/>
      <c r="H53" s="55"/>
      <c r="I53" s="54"/>
      <c r="J53" s="83"/>
      <c r="K53" s="83"/>
      <c r="L53" s="75" t="s">
        <v>73</v>
      </c>
      <c r="M53" s="0"/>
      <c r="N53" s="94" t="n">
        <f aca="false">N43-N52</f>
        <v>-1035.8090565</v>
      </c>
      <c r="O53" s="75"/>
      <c r="P53" s="83"/>
      <c r="Q53" s="83"/>
      <c r="R53" s="94" t="n">
        <f aca="false">R43-R52</f>
        <v>-19431.4496935</v>
      </c>
      <c r="S53" s="54"/>
      <c r="T53" s="116" t="n">
        <f aca="false">T43-T52</f>
        <v>-9509.039535</v>
      </c>
      <c r="U53" s="117"/>
      <c r="V53" s="54"/>
      <c r="W53" s="83"/>
      <c r="X53" s="83"/>
      <c r="Y53" s="83"/>
      <c r="Z53" s="57" t="n">
        <f aca="false">Z48-Z52</f>
        <v>5.32</v>
      </c>
      <c r="AA53" s="58" t="n">
        <f aca="false">AA42-AA52</f>
        <v>-7.09677419354838</v>
      </c>
      <c r="AB53" s="58" t="n">
        <f aca="false">AB42-AB52</f>
        <v>-5.48387096774194</v>
      </c>
      <c r="AC53" s="59"/>
      <c r="AD53" s="92"/>
      <c r="AE53" s="92"/>
    </row>
    <row r="54" customFormat="false" ht="11.1" hidden="false" customHeight="true" outlineLevel="0" collapsed="false">
      <c r="A54" s="83"/>
      <c r="B54" s="57" t="n">
        <f aca="false">B52-B17</f>
        <v>8.31999999999971</v>
      </c>
      <c r="C54" s="54"/>
      <c r="D54" s="54" t="n">
        <f aca="false">C52-C17</f>
        <v>35869</v>
      </c>
      <c r="E54" s="54"/>
      <c r="F54" s="83"/>
      <c r="G54" s="83"/>
      <c r="H54" s="55"/>
      <c r="I54" s="83"/>
      <c r="J54" s="83"/>
      <c r="K54" s="83"/>
      <c r="L54" s="83"/>
      <c r="M54" s="75"/>
      <c r="N54" s="75"/>
      <c r="O54" s="75"/>
      <c r="P54" s="83"/>
      <c r="Q54" s="83"/>
      <c r="R54" s="83"/>
      <c r="S54" s="54"/>
      <c r="T54" s="83" t="s">
        <v>74</v>
      </c>
      <c r="U54" s="54" t="n">
        <f aca="false">SUM(N53:T53)</f>
        <v>-29976.298285</v>
      </c>
      <c r="V54" s="54"/>
      <c r="W54" s="83"/>
      <c r="X54" s="83"/>
      <c r="Y54" s="83"/>
      <c r="Z54" s="57"/>
      <c r="AA54" s="58"/>
      <c r="AB54" s="58"/>
      <c r="AC54" s="59"/>
      <c r="AD54" s="92"/>
      <c r="AE54" s="92"/>
    </row>
    <row r="55" customFormat="false" ht="11.1" hidden="false" customHeight="true" outlineLevel="0" collapsed="false">
      <c r="A55" s="83"/>
      <c r="B55" s="0"/>
      <c r="C55" s="54"/>
      <c r="D55" s="0"/>
      <c r="E55" s="54"/>
      <c r="F55" s="83"/>
      <c r="G55" s="118"/>
      <c r="H55" s="119"/>
      <c r="I55" s="120"/>
      <c r="J55" s="83"/>
      <c r="K55" s="83"/>
      <c r="L55" s="83"/>
      <c r="M55" s="75"/>
      <c r="N55" s="75"/>
      <c r="O55" s="75"/>
      <c r="P55" s="83"/>
      <c r="Q55" s="83"/>
      <c r="R55" s="83"/>
      <c r="S55" s="54"/>
      <c r="T55" s="83"/>
      <c r="U55" s="83"/>
      <c r="V55" s="54"/>
      <c r="W55" s="83"/>
      <c r="X55" s="83"/>
      <c r="Y55" s="83"/>
      <c r="Z55" s="57"/>
      <c r="AA55" s="58"/>
      <c r="AB55" s="58"/>
      <c r="AC55" s="59"/>
      <c r="AD55" s="92"/>
      <c r="AE55" s="92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W20" activePane="bottomRight" state="frozen"/>
      <selection pane="topLeft" activeCell="A1" activeCellId="0" sqref="A1"/>
      <selection pane="topRight" activeCell="W1" activeCellId="0" sqref="W1"/>
      <selection pane="bottomLeft" activeCell="A20" activeCellId="0" sqref="A20"/>
      <selection pane="bottomRight" activeCell="U40" activeCellId="0" sqref="U40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3" min="3" style="1" width="7.66"/>
    <col collapsed="false" customWidth="true" hidden="false" outlineLevel="0" max="4" min="4" style="0" width="7.66"/>
    <col collapsed="false" customWidth="true" hidden="false" outlineLevel="0" max="5" min="5" style="1" width="7.66"/>
    <col collapsed="false" customWidth="true" hidden="false" outlineLevel="0" max="7" min="6" style="0" width="7.66"/>
    <col collapsed="false" customWidth="true" hidden="false" outlineLevel="0" max="8" min="8" style="2" width="7.16"/>
    <col collapsed="false" customWidth="true" hidden="false" outlineLevel="0" max="9" min="9" style="0" width="8.82"/>
    <col collapsed="false" customWidth="true" hidden="false" outlineLevel="0" max="10" min="10" style="0" width="6.32"/>
    <col collapsed="false" customWidth="true" hidden="false" outlineLevel="0" max="12" min="11" style="0" width="7.66"/>
    <col collapsed="false" customWidth="true" hidden="false" outlineLevel="0" max="13" min="13" style="3" width="7.49"/>
    <col collapsed="false" customWidth="false" hidden="false" outlineLevel="0" max="15" min="14" style="3" width="9.32"/>
    <col collapsed="false" customWidth="true" hidden="false" outlineLevel="0" max="16" min="16" style="0" width="6.66"/>
    <col collapsed="false" customWidth="true" hidden="false" outlineLevel="0" max="17" min="17" style="0" width="7.16"/>
    <col collapsed="false" customWidth="true" hidden="false" outlineLevel="0" max="18" min="18" style="0" width="6.66"/>
    <col collapsed="false" customWidth="true" hidden="false" outlineLevel="0" max="19" min="19" style="1" width="6.66"/>
    <col collapsed="false" customWidth="true" hidden="false" outlineLevel="0" max="20" min="20" style="0" width="6.66"/>
    <col collapsed="false" customWidth="true" hidden="false" outlineLevel="0" max="21" min="21" style="0" width="7.49"/>
    <col collapsed="false" customWidth="true" hidden="false" outlineLevel="0" max="22" min="22" style="1" width="6.32"/>
    <col collapsed="false" customWidth="true" hidden="false" outlineLevel="0" max="25" min="23" style="0" width="7.82"/>
    <col collapsed="false" customWidth="true" hidden="false" outlineLevel="0" max="26" min="26" style="4" width="5.66"/>
    <col collapsed="false" customWidth="true" hidden="false" outlineLevel="0" max="28" min="27" style="5" width="5.66"/>
    <col collapsed="false" customWidth="true" hidden="false" outlineLevel="0" max="29" min="29" style="6" width="5.66"/>
  </cols>
  <sheetData>
    <row r="1" customFormat="false" ht="14.1" hidden="false" customHeight="true" outlineLevel="0" collapsed="false">
      <c r="A1" s="7"/>
      <c r="B1" s="7"/>
      <c r="C1" s="8"/>
      <c r="D1" s="7"/>
      <c r="E1" s="8"/>
      <c r="F1" s="7"/>
      <c r="G1" s="7"/>
      <c r="H1" s="9"/>
      <c r="I1" s="7"/>
      <c r="J1" s="7"/>
      <c r="K1" s="10" t="s">
        <v>0</v>
      </c>
      <c r="L1" s="7"/>
      <c r="M1" s="7"/>
      <c r="N1" s="7"/>
      <c r="O1" s="7"/>
      <c r="P1" s="7"/>
      <c r="Q1" s="7"/>
      <c r="R1" s="7"/>
      <c r="S1" s="8"/>
      <c r="T1" s="7"/>
      <c r="U1" s="7"/>
      <c r="V1" s="8"/>
      <c r="W1" s="7"/>
      <c r="X1" s="7"/>
      <c r="Y1" s="7"/>
      <c r="Z1" s="11"/>
      <c r="AA1" s="12"/>
      <c r="AB1" s="12"/>
      <c r="AC1" s="13"/>
      <c r="AD1" s="101"/>
      <c r="AE1" s="101"/>
    </row>
    <row r="2" customFormat="false" ht="14.1" hidden="false" customHeight="true" outlineLevel="0" collapsed="false">
      <c r="A2" s="7" t="s">
        <v>1</v>
      </c>
      <c r="B2" s="7"/>
      <c r="C2" s="8"/>
      <c r="D2" s="14" t="n">
        <v>1.9835</v>
      </c>
      <c r="E2" s="8"/>
      <c r="F2" s="7"/>
      <c r="G2" s="7"/>
      <c r="H2" s="9"/>
      <c r="I2" s="7"/>
      <c r="J2" s="7"/>
      <c r="K2" s="102" t="s">
        <v>75</v>
      </c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7"/>
      <c r="X2" s="7"/>
      <c r="Y2" s="7"/>
      <c r="Z2" s="11"/>
      <c r="AA2" s="12"/>
      <c r="AB2" s="12"/>
      <c r="AC2" s="13"/>
      <c r="AD2" s="101"/>
      <c r="AE2" s="101"/>
    </row>
    <row r="3" customFormat="false" ht="11.1" hidden="false" customHeight="true" outlineLevel="0" collapsed="false">
      <c r="A3" s="7"/>
      <c r="B3" s="7"/>
      <c r="C3" s="8"/>
      <c r="D3" s="15"/>
      <c r="E3" s="8"/>
      <c r="F3" s="7"/>
      <c r="G3" s="7"/>
      <c r="H3" s="9"/>
      <c r="I3" s="7"/>
      <c r="J3" s="7"/>
      <c r="K3" s="7"/>
      <c r="L3" s="7"/>
      <c r="M3" s="7"/>
      <c r="N3" s="7"/>
      <c r="O3" s="7"/>
      <c r="P3" s="7"/>
      <c r="Q3" s="7"/>
      <c r="R3" s="7"/>
      <c r="S3" s="8"/>
      <c r="T3" s="7"/>
      <c r="U3" s="7"/>
      <c r="V3" s="8"/>
      <c r="W3" s="7"/>
      <c r="X3" s="7"/>
      <c r="Y3" s="7"/>
      <c r="Z3" s="11"/>
      <c r="AA3" s="12"/>
      <c r="AB3" s="12"/>
      <c r="AC3" s="13"/>
      <c r="AD3" s="101"/>
      <c r="AE3" s="101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6" t="s">
        <v>14</v>
      </c>
      <c r="Q4" s="16" t="s">
        <v>15</v>
      </c>
      <c r="R4" s="16" t="s">
        <v>12</v>
      </c>
      <c r="S4" s="17" t="s">
        <v>16</v>
      </c>
      <c r="T4" s="16" t="s">
        <v>17</v>
      </c>
      <c r="U4" s="16" t="s">
        <v>18</v>
      </c>
      <c r="V4" s="17" t="s">
        <v>19</v>
      </c>
      <c r="W4" s="16" t="s">
        <v>10</v>
      </c>
      <c r="X4" s="16" t="s">
        <v>11</v>
      </c>
      <c r="Y4" s="16" t="s">
        <v>12</v>
      </c>
      <c r="Z4" s="20" t="s">
        <v>20</v>
      </c>
      <c r="AA4" s="21" t="s">
        <v>21</v>
      </c>
      <c r="AB4" s="21" t="s">
        <v>22</v>
      </c>
      <c r="AC4" s="21" t="s">
        <v>3</v>
      </c>
      <c r="AD4" s="101"/>
      <c r="AE4" s="101"/>
    </row>
    <row r="5" customFormat="false" ht="11.1" hidden="false" customHeight="true" outlineLevel="0" collapsed="false">
      <c r="A5" s="22" t="s">
        <v>76</v>
      </c>
      <c r="B5" s="16" t="s">
        <v>24</v>
      </c>
      <c r="C5" s="17" t="s">
        <v>5</v>
      </c>
      <c r="D5" s="16" t="s">
        <v>25</v>
      </c>
      <c r="E5" s="17" t="s">
        <v>26</v>
      </c>
      <c r="F5" s="16" t="s">
        <v>27</v>
      </c>
      <c r="G5" s="16" t="s">
        <v>28</v>
      </c>
      <c r="H5" s="18" t="s">
        <v>29</v>
      </c>
      <c r="I5" s="16" t="s">
        <v>30</v>
      </c>
      <c r="J5" s="16" t="s">
        <v>30</v>
      </c>
      <c r="K5" s="16" t="s">
        <v>30</v>
      </c>
      <c r="L5" s="16" t="s">
        <v>31</v>
      </c>
      <c r="M5" s="16" t="s">
        <v>32</v>
      </c>
      <c r="N5" s="16" t="s">
        <v>33</v>
      </c>
      <c r="O5" s="16" t="s">
        <v>66</v>
      </c>
      <c r="P5" s="16" t="s">
        <v>35</v>
      </c>
      <c r="Q5" s="16" t="s">
        <v>36</v>
      </c>
      <c r="R5" s="16" t="s">
        <v>16</v>
      </c>
      <c r="S5" s="17" t="s">
        <v>37</v>
      </c>
      <c r="T5" s="16" t="s">
        <v>38</v>
      </c>
      <c r="U5" s="16" t="s">
        <v>39</v>
      </c>
      <c r="V5" s="17" t="s">
        <v>40</v>
      </c>
      <c r="W5" s="16" t="s">
        <v>41</v>
      </c>
      <c r="X5" s="16" t="s">
        <v>41</v>
      </c>
      <c r="Y5" s="16" t="s">
        <v>41</v>
      </c>
      <c r="Z5" s="24"/>
      <c r="AA5" s="21" t="s">
        <v>42</v>
      </c>
      <c r="AB5" s="21" t="s">
        <v>42</v>
      </c>
      <c r="AC5" s="25" t="s">
        <v>76</v>
      </c>
      <c r="AD5" s="101"/>
      <c r="AE5" s="101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7"/>
      <c r="T6" s="26"/>
      <c r="U6" s="26"/>
      <c r="V6" s="27"/>
      <c r="W6" s="26"/>
      <c r="X6" s="26"/>
      <c r="Y6" s="26"/>
      <c r="Z6" s="11"/>
      <c r="AA6" s="13"/>
      <c r="AB6" s="13"/>
      <c r="AC6" s="13"/>
      <c r="AF6" s="121"/>
    </row>
    <row r="7" customFormat="false" ht="11.1" hidden="false" customHeight="true" outlineLevel="0" collapsed="false">
      <c r="A7" s="7" t="s">
        <v>43</v>
      </c>
      <c r="B7" s="7"/>
      <c r="C7" s="8"/>
      <c r="D7" s="8"/>
      <c r="E7" s="8"/>
      <c r="F7" s="8" t="n">
        <f aca="false" t="array" ref="F7:Y7">MAY!$F$45:$Y$45</f>
        <v>45915.3012351903</v>
      </c>
      <c r="G7" s="8" t="n">
        <v>71877</v>
      </c>
      <c r="H7" s="12" t="n">
        <v>4494.7</v>
      </c>
      <c r="I7" s="8" t="n">
        <v>76371.7</v>
      </c>
      <c r="J7" s="8" t="n">
        <v>15289.8612351903</v>
      </c>
      <c r="K7" s="8" t="n">
        <v>91661.5612351903</v>
      </c>
      <c r="L7" s="8" t="n">
        <v>15289.8612351903</v>
      </c>
      <c r="M7" s="8" t="n">
        <v>6830.6</v>
      </c>
      <c r="N7" s="8" t="n">
        <v>1939.192</v>
      </c>
      <c r="O7" s="8" t="n">
        <v>4891.408</v>
      </c>
      <c r="P7" s="8" t="n">
        <v>1564</v>
      </c>
      <c r="Q7" s="8" t="n">
        <v>1364.3</v>
      </c>
      <c r="R7" s="8" t="n">
        <v>7819.708</v>
      </c>
      <c r="S7" s="8" t="n">
        <v>0</v>
      </c>
      <c r="T7" s="8" t="n">
        <v>2650.36</v>
      </c>
      <c r="U7" s="8" t="n">
        <v>33337</v>
      </c>
      <c r="V7" s="8" t="n">
        <v>0</v>
      </c>
      <c r="W7" s="8" t="n">
        <v>45746.26</v>
      </c>
      <c r="X7" s="8" t="n">
        <v>0</v>
      </c>
      <c r="Y7" s="8" t="n">
        <v>45746.26</v>
      </c>
      <c r="Z7" s="11"/>
      <c r="AA7" s="12"/>
      <c r="AB7" s="12"/>
      <c r="AC7" s="13"/>
      <c r="AD7" s="103"/>
      <c r="AF7" s="122"/>
    </row>
    <row r="8" s="1" customFormat="true" ht="11.1" hidden="false" customHeight="true" outlineLevel="0" collapsed="false">
      <c r="A8" s="8" t="s">
        <v>44</v>
      </c>
      <c r="B8" s="31" t="n">
        <f aca="false" t="array" ref="B8:C8">MAY!$B$40:$C$40</f>
        <v>6921.6</v>
      </c>
      <c r="C8" s="8" t="n">
        <v>370542</v>
      </c>
      <c r="D8" s="8" t="n">
        <f aca="false" t="array" ref="D8:E8">MAY!$D$49:$E$49</f>
        <v>112423</v>
      </c>
      <c r="E8" s="8" t="n">
        <v>218542</v>
      </c>
      <c r="F8" s="8" t="n">
        <f aca="false" t="array" ref="F8:Z8">MAY!$F$48:$Z$48</f>
        <v>56679.1025964205</v>
      </c>
      <c r="G8" s="8" t="n">
        <v>86310</v>
      </c>
      <c r="H8" s="12" t="n">
        <v>4825</v>
      </c>
      <c r="I8" s="8" t="n">
        <v>91129.9</v>
      </c>
      <c r="J8" s="8" t="n">
        <v>19540.2291706579</v>
      </c>
      <c r="K8" s="8" t="n">
        <v>110672.83385934</v>
      </c>
      <c r="L8" s="8" t="n">
        <v>18997.3625964205</v>
      </c>
      <c r="M8" s="8" t="n">
        <v>8066.4</v>
      </c>
      <c r="N8" s="8" t="n">
        <v>2014.7605</v>
      </c>
      <c r="O8" s="8" t="n">
        <v>5766.0395</v>
      </c>
      <c r="P8" s="8" t="n">
        <v>1564</v>
      </c>
      <c r="Q8" s="8" t="n">
        <v>1494.4</v>
      </c>
      <c r="R8" s="8" t="n">
        <v>9054.862</v>
      </c>
      <c r="S8" s="8" t="n">
        <v>0</v>
      </c>
      <c r="T8" s="8" t="n">
        <v>2650.36</v>
      </c>
      <c r="U8" s="8" t="n">
        <v>39673</v>
      </c>
      <c r="V8" s="8" t="n">
        <v>16197</v>
      </c>
      <c r="W8" s="8" t="n">
        <v>53448.16</v>
      </c>
      <c r="X8" s="8" t="n">
        <v>542.866574237459</v>
      </c>
      <c r="Y8" s="8" t="n">
        <v>53991.0265742375</v>
      </c>
      <c r="Z8" s="32" t="n">
        <v>9.22</v>
      </c>
      <c r="AA8" s="12"/>
      <c r="AB8" s="12"/>
      <c r="AC8" s="13"/>
      <c r="AD8" s="123"/>
      <c r="AE8" s="123"/>
    </row>
    <row r="9" customFormat="false" ht="3" hidden="false" customHeight="true" outlineLevel="0" collapsed="false">
      <c r="A9" s="33"/>
      <c r="B9" s="34"/>
      <c r="C9" s="35"/>
      <c r="D9" s="33"/>
      <c r="E9" s="35"/>
      <c r="F9" s="33"/>
      <c r="G9" s="33"/>
      <c r="H9" s="36"/>
      <c r="I9" s="33"/>
      <c r="J9" s="33"/>
      <c r="K9" s="33"/>
      <c r="L9" s="33"/>
      <c r="M9" s="33"/>
      <c r="N9" s="33" t="n">
        <v>0</v>
      </c>
      <c r="O9" s="33"/>
      <c r="P9" s="33"/>
      <c r="Q9" s="33" t="n">
        <v>0</v>
      </c>
      <c r="R9" s="33"/>
      <c r="S9" s="35"/>
      <c r="T9" s="33"/>
      <c r="U9" s="33"/>
      <c r="V9" s="35"/>
      <c r="W9" s="33"/>
      <c r="X9" s="33"/>
      <c r="Y9" s="33"/>
      <c r="Z9" s="37"/>
      <c r="AA9" s="38"/>
      <c r="AB9" s="38"/>
      <c r="AC9" s="39"/>
      <c r="AD9" s="101"/>
      <c r="AE9" s="101"/>
    </row>
    <row r="10" customFormat="false" ht="11.1" hidden="false" customHeight="true" outlineLevel="0" collapsed="false">
      <c r="A10" s="13" t="n">
        <v>1</v>
      </c>
      <c r="B10" s="31" t="n">
        <v>6921.98</v>
      </c>
      <c r="C10" s="8" t="n">
        <v>372206</v>
      </c>
      <c r="D10" s="12" t="n">
        <f aca="false">C10-C8</f>
        <v>1664</v>
      </c>
      <c r="E10" s="8" t="n">
        <f aca="false">C10-152000</f>
        <v>220206</v>
      </c>
      <c r="F10" s="7" t="n">
        <f aca="false">D10/$D$2</f>
        <v>838.921099067305</v>
      </c>
      <c r="G10" s="7" t="n">
        <v>2240</v>
      </c>
      <c r="H10" s="9" t="n">
        <v>41</v>
      </c>
      <c r="I10" s="7" t="n">
        <f aca="false">G10+H10</f>
        <v>2281</v>
      </c>
      <c r="J10" s="104" t="n">
        <f aca="false">IF(L10&gt;0,L10,0)</f>
        <v>67.6810990673052</v>
      </c>
      <c r="K10" s="7" t="n">
        <f aca="false">I10+J10</f>
        <v>2348.6810990673</v>
      </c>
      <c r="L10" s="7" t="n">
        <f aca="false">F10-(I10-W10)</f>
        <v>67.6810990673052</v>
      </c>
      <c r="M10" s="7" t="n">
        <v>217</v>
      </c>
      <c r="N10" s="53" t="n">
        <f aca="false">(11.92+12.88)*1.9835</f>
        <v>49.1908</v>
      </c>
      <c r="O10" s="7" t="n">
        <f aca="false">M10-N10</f>
        <v>167.8092</v>
      </c>
      <c r="P10" s="7" t="n">
        <v>175</v>
      </c>
      <c r="Q10" s="7" t="n">
        <v>81</v>
      </c>
      <c r="R10" s="7" t="n">
        <f aca="false">SUM(O10:Q10)</f>
        <v>423.8092</v>
      </c>
      <c r="S10" s="8"/>
      <c r="T10" s="7" t="n">
        <v>229.76</v>
      </c>
      <c r="U10" s="7" t="n">
        <v>807</v>
      </c>
      <c r="V10" s="8" t="n">
        <v>16197</v>
      </c>
      <c r="W10" s="7" t="n">
        <f aca="false">N10+R10+T10+U10</f>
        <v>1509.76</v>
      </c>
      <c r="X10" s="7" t="n">
        <f aca="false">IF(L10&lt;0,L10*-1,0)</f>
        <v>0</v>
      </c>
      <c r="Y10" s="7" t="n">
        <f aca="false">W10+X10</f>
        <v>1509.76</v>
      </c>
      <c r="Z10" s="11" t="n">
        <v>0</v>
      </c>
      <c r="AA10" s="12" t="n">
        <v>77</v>
      </c>
      <c r="AB10" s="12" t="n">
        <v>38</v>
      </c>
      <c r="AC10" s="13" t="n">
        <v>1</v>
      </c>
      <c r="AD10" s="12"/>
      <c r="AE10" s="12"/>
      <c r="AF10" s="124"/>
      <c r="AG10" s="7"/>
    </row>
    <row r="11" customFormat="false" ht="11.1" hidden="false" customHeight="true" outlineLevel="0" collapsed="false">
      <c r="A11" s="13" t="n">
        <f aca="false">A10+1</f>
        <v>2</v>
      </c>
      <c r="B11" s="31" t="n">
        <v>6922.37</v>
      </c>
      <c r="C11" s="8" t="n">
        <v>373927</v>
      </c>
      <c r="D11" s="12" t="n">
        <f aca="false">C11-C10</f>
        <v>1721</v>
      </c>
      <c r="E11" s="8" t="n">
        <f aca="false">C11-152000</f>
        <v>221927</v>
      </c>
      <c r="F11" s="7" t="n">
        <f aca="false">D11/$D$2</f>
        <v>867.658179984875</v>
      </c>
      <c r="G11" s="7" t="n">
        <v>2200</v>
      </c>
      <c r="H11" s="9" t="n">
        <v>5</v>
      </c>
      <c r="I11" s="7" t="n">
        <f aca="false">G11+H11</f>
        <v>2205</v>
      </c>
      <c r="J11" s="104" t="n">
        <f aca="false">IF(L11&gt;0,L11,0)</f>
        <v>164.928179984875</v>
      </c>
      <c r="K11" s="7" t="n">
        <f aca="false">I11+J11</f>
        <v>2369.92817998487</v>
      </c>
      <c r="L11" s="7" t="n">
        <f aca="false">F11-(I11-W11)</f>
        <v>164.928179984875</v>
      </c>
      <c r="M11" s="7" t="n">
        <v>271</v>
      </c>
      <c r="N11" s="53" t="n">
        <f aca="false">(13.18+14.01)*1.05</f>
        <v>28.5495</v>
      </c>
      <c r="O11" s="7" t="n">
        <f aca="false">M11-N11</f>
        <v>242.4505</v>
      </c>
      <c r="P11" s="7" t="n">
        <v>315</v>
      </c>
      <c r="Q11" s="7" t="n">
        <v>81</v>
      </c>
      <c r="R11" s="7" t="n">
        <f aca="false">SUM(O11:Q11)</f>
        <v>638.4505</v>
      </c>
      <c r="S11" s="54"/>
      <c r="T11" s="7" t="n">
        <v>199.27</v>
      </c>
      <c r="U11" s="7" t="n">
        <v>636</v>
      </c>
      <c r="V11" s="8" t="n">
        <v>16197</v>
      </c>
      <c r="W11" s="7" t="n">
        <f aca="false">N11+R11+T11+U11</f>
        <v>1502.27</v>
      </c>
      <c r="X11" s="7" t="n">
        <f aca="false">IF(L11&lt;0,L11*-1,0)</f>
        <v>0</v>
      </c>
      <c r="Y11" s="7" t="n">
        <f aca="false">W11+X11</f>
        <v>1502.27</v>
      </c>
      <c r="Z11" s="11" t="n">
        <v>0</v>
      </c>
      <c r="AA11" s="12" t="n">
        <v>70</v>
      </c>
      <c r="AB11" s="12" t="n">
        <v>51</v>
      </c>
      <c r="AC11" s="13" t="n">
        <f aca="false">AC10+1</f>
        <v>2</v>
      </c>
      <c r="AD11" s="12"/>
      <c r="AE11" s="12"/>
      <c r="AG11" s="7"/>
    </row>
    <row r="12" customFormat="false" ht="11.1" hidden="false" customHeight="true" outlineLevel="0" collapsed="false">
      <c r="A12" s="13" t="n">
        <f aca="false">A11+1</f>
        <v>3</v>
      </c>
      <c r="B12" s="31" t="n">
        <v>6922.54</v>
      </c>
      <c r="C12" s="8" t="n">
        <v>374678</v>
      </c>
      <c r="D12" s="12" t="n">
        <f aca="false">C12-C11</f>
        <v>751</v>
      </c>
      <c r="E12" s="8" t="n">
        <f aca="false">C12-152000</f>
        <v>222678</v>
      </c>
      <c r="F12" s="7" t="n">
        <f aca="false">D12/$D$2</f>
        <v>378.623645071843</v>
      </c>
      <c r="G12" s="7" t="n">
        <v>1810</v>
      </c>
      <c r="H12" s="9" t="n">
        <v>2.4</v>
      </c>
      <c r="I12" s="7" t="n">
        <f aca="false">G12+H12</f>
        <v>1812.4</v>
      </c>
      <c r="J12" s="104" t="n">
        <f aca="false">IF(L12&gt;0,L12,0)</f>
        <v>0</v>
      </c>
      <c r="K12" s="7" t="n">
        <f aca="false">I12+J12</f>
        <v>1812.4</v>
      </c>
      <c r="L12" s="7" t="n">
        <f aca="false">F12-(I12-W12)</f>
        <v>-21.6063549281573</v>
      </c>
      <c r="M12" s="7" t="n">
        <v>302</v>
      </c>
      <c r="N12" s="7" t="n">
        <f aca="false">20.74+21.3</f>
        <v>42.04</v>
      </c>
      <c r="O12" s="7" t="n">
        <f aca="false">M12-N12</f>
        <v>259.96</v>
      </c>
      <c r="P12" s="7" t="n">
        <v>419</v>
      </c>
      <c r="Q12" s="7" t="n">
        <v>81</v>
      </c>
      <c r="R12" s="7" t="n">
        <f aca="false">SUM(O12:Q12)</f>
        <v>759.96</v>
      </c>
      <c r="S12" s="54"/>
      <c r="T12" s="7" t="n">
        <v>215.17</v>
      </c>
      <c r="U12" s="7" t="n">
        <v>395</v>
      </c>
      <c r="V12" s="8" t="n">
        <v>16197</v>
      </c>
      <c r="W12" s="7" t="n">
        <f aca="false">N12+R12+T12+U12</f>
        <v>1412.17</v>
      </c>
      <c r="X12" s="7" t="n">
        <f aca="false">IF(L12&lt;0,L12*-1,0)</f>
        <v>21.6063549281573</v>
      </c>
      <c r="Y12" s="7" t="n">
        <f aca="false">W12+X12</f>
        <v>1433.77635492816</v>
      </c>
      <c r="Z12" s="11" t="n">
        <v>0</v>
      </c>
      <c r="AA12" s="12" t="n">
        <v>66</v>
      </c>
      <c r="AB12" s="12" t="n">
        <v>42</v>
      </c>
      <c r="AC12" s="13" t="n">
        <f aca="false">AC11+1</f>
        <v>3</v>
      </c>
      <c r="AD12" s="12"/>
      <c r="AE12" s="12"/>
      <c r="AG12" s="7"/>
    </row>
    <row r="13" customFormat="false" ht="11.1" hidden="false" customHeight="true" outlineLevel="0" collapsed="false">
      <c r="A13" s="13" t="n">
        <f aca="false">A12+1</f>
        <v>4</v>
      </c>
      <c r="B13" s="31" t="n">
        <v>6922.79</v>
      </c>
      <c r="C13" s="8" t="n">
        <v>375782</v>
      </c>
      <c r="D13" s="12" t="n">
        <f aca="false">C13-C12</f>
        <v>1104</v>
      </c>
      <c r="E13" s="8" t="n">
        <f aca="false">C13-152000</f>
        <v>223782</v>
      </c>
      <c r="F13" s="7" t="n">
        <f aca="false">D13/$D$2</f>
        <v>556.591883035039</v>
      </c>
      <c r="G13" s="7" t="n">
        <v>1840</v>
      </c>
      <c r="H13" s="9" t="n">
        <v>1.6</v>
      </c>
      <c r="I13" s="7" t="n">
        <f aca="false">G13+H13</f>
        <v>1841.6</v>
      </c>
      <c r="J13" s="104" t="n">
        <f aca="false">IF(L13&gt;0,L13,0)</f>
        <v>0</v>
      </c>
      <c r="K13" s="7" t="n">
        <f aca="false">I13+J13</f>
        <v>1841.6</v>
      </c>
      <c r="L13" s="7" t="n">
        <f aca="false">F13-(I13-W13)</f>
        <v>-16.3781169649608</v>
      </c>
      <c r="M13" s="7" t="n">
        <v>308</v>
      </c>
      <c r="N13" s="7" t="n">
        <f aca="false">12.99+15.41</f>
        <v>28.4</v>
      </c>
      <c r="O13" s="7" t="n">
        <f aca="false">M13-N13</f>
        <v>279.6</v>
      </c>
      <c r="P13" s="7" t="n">
        <v>418</v>
      </c>
      <c r="Q13" s="7" t="n">
        <v>83</v>
      </c>
      <c r="R13" s="7" t="n">
        <f aca="false">SUM(O13:Q13)</f>
        <v>780.6</v>
      </c>
      <c r="S13" s="54"/>
      <c r="T13" s="7" t="n">
        <v>225.63</v>
      </c>
      <c r="U13" s="7" t="n">
        <v>234</v>
      </c>
      <c r="V13" s="8" t="n">
        <v>16197</v>
      </c>
      <c r="W13" s="7" t="n">
        <f aca="false">N13+R13+T13+U13</f>
        <v>1268.63</v>
      </c>
      <c r="X13" s="7" t="n">
        <f aca="false">IF(L13&lt;0,L13*-1,0)</f>
        <v>16.3781169649608</v>
      </c>
      <c r="Y13" s="7" t="n">
        <f aca="false">W13+X13</f>
        <v>1285.00811696496</v>
      </c>
      <c r="Z13" s="11" t="n">
        <v>0</v>
      </c>
      <c r="AA13" s="12" t="n">
        <v>66</v>
      </c>
      <c r="AB13" s="12" t="n">
        <v>29</v>
      </c>
      <c r="AC13" s="13" t="n">
        <f aca="false">AC12+1</f>
        <v>4</v>
      </c>
      <c r="AD13" s="12"/>
      <c r="AE13" s="12"/>
      <c r="AG13" s="7"/>
    </row>
    <row r="14" customFormat="false" ht="11.1" hidden="false" customHeight="true" outlineLevel="0" collapsed="false">
      <c r="A14" s="13" t="n">
        <f aca="false">A13+1</f>
        <v>5</v>
      </c>
      <c r="B14" s="31" t="n">
        <v>6923.14</v>
      </c>
      <c r="C14" s="8" t="n">
        <v>377332</v>
      </c>
      <c r="D14" s="12" t="n">
        <f aca="false">C14-C13</f>
        <v>1550</v>
      </c>
      <c r="E14" s="8" t="n">
        <f aca="false">C14-152000</f>
        <v>225332</v>
      </c>
      <c r="F14" s="7" t="n">
        <f aca="false">D14/$D$2</f>
        <v>781.446937232165</v>
      </c>
      <c r="G14" s="7" t="n">
        <v>1680</v>
      </c>
      <c r="H14" s="9" t="n">
        <v>1.6</v>
      </c>
      <c r="I14" s="7" t="n">
        <f aca="false">G14+H14</f>
        <v>1681.6</v>
      </c>
      <c r="J14" s="104" t="n">
        <f aca="false">IF(L14&gt;0,L14,0)</f>
        <v>195.326937232166</v>
      </c>
      <c r="K14" s="7" t="n">
        <f aca="false">I14+J14</f>
        <v>1876.92693723217</v>
      </c>
      <c r="L14" s="7" t="n">
        <f aca="false">F14-(I14-W14)</f>
        <v>195.326937232166</v>
      </c>
      <c r="M14" s="7" t="n">
        <v>281</v>
      </c>
      <c r="N14" s="7" t="n">
        <f aca="false">13.11+17.66</f>
        <v>30.77</v>
      </c>
      <c r="O14" s="7" t="n">
        <f aca="false">M14-N14</f>
        <v>250.23</v>
      </c>
      <c r="P14" s="7" t="n">
        <v>423</v>
      </c>
      <c r="Q14" s="7" t="n">
        <v>85</v>
      </c>
      <c r="R14" s="7" t="n">
        <f aca="false">SUM(O14:Q14)</f>
        <v>758.23</v>
      </c>
      <c r="S14" s="54"/>
      <c r="T14" s="7" t="n">
        <v>105.48</v>
      </c>
      <c r="U14" s="7" t="n">
        <v>201</v>
      </c>
      <c r="V14" s="8" t="n">
        <v>16197</v>
      </c>
      <c r="W14" s="7" t="n">
        <f aca="false">N14+R14+T14+U14</f>
        <v>1095.48</v>
      </c>
      <c r="X14" s="7" t="n">
        <f aca="false">IF(L14&lt;0,L14*-1,0)</f>
        <v>0</v>
      </c>
      <c r="Y14" s="7" t="n">
        <f aca="false">W14+X14</f>
        <v>1095.48</v>
      </c>
      <c r="Z14" s="11" t="n">
        <v>0</v>
      </c>
      <c r="AA14" s="12" t="n">
        <v>72</v>
      </c>
      <c r="AB14" s="12" t="n">
        <v>29</v>
      </c>
      <c r="AC14" s="13" t="n">
        <v>5</v>
      </c>
      <c r="AD14" s="12"/>
      <c r="AE14" s="12"/>
      <c r="AG14" s="7"/>
    </row>
    <row r="15" customFormat="false" ht="11.1" hidden="false" customHeight="true" outlineLevel="0" collapsed="false">
      <c r="A15" s="13" t="n">
        <f aca="false">A14+1</f>
        <v>6</v>
      </c>
      <c r="B15" s="31" t="n">
        <v>6923.29</v>
      </c>
      <c r="C15" s="8" t="n">
        <v>378000</v>
      </c>
      <c r="D15" s="12" t="n">
        <f aca="false">C15-C14</f>
        <v>668</v>
      </c>
      <c r="E15" s="8" t="n">
        <f aca="false">C15-152000</f>
        <v>226000</v>
      </c>
      <c r="F15" s="7" t="n">
        <f aca="false">D15/$D$2</f>
        <v>336.778421981346</v>
      </c>
      <c r="G15" s="7" t="n">
        <v>1360</v>
      </c>
      <c r="H15" s="9" t="n">
        <v>1.8</v>
      </c>
      <c r="I15" s="7" t="n">
        <f aca="false">G15+H15</f>
        <v>1361.8</v>
      </c>
      <c r="J15" s="104" t="n">
        <f aca="false">IF(L15&gt;0,L15,0)</f>
        <v>25.0684219813463</v>
      </c>
      <c r="K15" s="7" t="n">
        <f aca="false">I15+J15</f>
        <v>1386.86842198135</v>
      </c>
      <c r="L15" s="7" t="n">
        <f aca="false">F15-(I15-W15)</f>
        <v>25.0684219813463</v>
      </c>
      <c r="M15" s="7" t="n">
        <v>266</v>
      </c>
      <c r="N15" s="7" t="n">
        <f aca="false">1.71+3.03</f>
        <v>4.74</v>
      </c>
      <c r="O15" s="7" t="n">
        <f aca="false">M15-N15</f>
        <v>261.26</v>
      </c>
      <c r="P15" s="7" t="n">
        <v>422</v>
      </c>
      <c r="Q15" s="7" t="n">
        <v>84</v>
      </c>
      <c r="R15" s="7" t="n">
        <f aca="false">SUM(O15:Q15)</f>
        <v>767.26</v>
      </c>
      <c r="S15" s="54"/>
      <c r="T15" s="7" t="n">
        <v>73.09</v>
      </c>
      <c r="U15" s="7" t="n">
        <v>205</v>
      </c>
      <c r="V15" s="8" t="n">
        <v>16197</v>
      </c>
      <c r="W15" s="7" t="n">
        <f aca="false">N15+R15+T15+U15</f>
        <v>1050.09</v>
      </c>
      <c r="X15" s="7" t="n">
        <f aca="false">IF(L15&lt;0,L15*-1,0)</f>
        <v>0</v>
      </c>
      <c r="Y15" s="7" t="n">
        <f aca="false">W15+X15</f>
        <v>1050.09</v>
      </c>
      <c r="Z15" s="11" t="n">
        <v>0.42</v>
      </c>
      <c r="AA15" s="12" t="n">
        <v>70</v>
      </c>
      <c r="AB15" s="12" t="n">
        <v>24</v>
      </c>
      <c r="AC15" s="13" t="n">
        <f aca="false">AC14+1</f>
        <v>6</v>
      </c>
      <c r="AD15" s="12"/>
      <c r="AE15" s="12"/>
      <c r="AG15" s="7"/>
    </row>
    <row r="16" customFormat="false" ht="11.1" hidden="false" customHeight="true" outlineLevel="0" collapsed="false">
      <c r="A16" s="13" t="n">
        <f aca="false">A15+1</f>
        <v>7</v>
      </c>
      <c r="B16" s="31" t="n">
        <v>3623.35</v>
      </c>
      <c r="C16" s="8" t="n">
        <v>378222</v>
      </c>
      <c r="D16" s="12" t="n">
        <f aca="false">C16-C15</f>
        <v>222</v>
      </c>
      <c r="E16" s="8" t="n">
        <f aca="false">C16-152000</f>
        <v>226222</v>
      </c>
      <c r="F16" s="7" t="n">
        <f aca="false">D16/$D$2</f>
        <v>111.92336778422</v>
      </c>
      <c r="G16" s="7" t="n">
        <v>1240</v>
      </c>
      <c r="H16" s="9" t="n">
        <v>1.2</v>
      </c>
      <c r="I16" s="7" t="n">
        <f aca="false">G16+H16</f>
        <v>1241.2</v>
      </c>
      <c r="J16" s="104" t="n">
        <f aca="false">IF(L16&gt;0,L16,0)</f>
        <v>0</v>
      </c>
      <c r="K16" s="7" t="n">
        <f aca="false">I16+J16</f>
        <v>1241.2</v>
      </c>
      <c r="L16" s="7" t="n">
        <f aca="false">F16-(I16-W16)</f>
        <v>-25.0866322157802</v>
      </c>
      <c r="M16" s="7" t="n">
        <v>244</v>
      </c>
      <c r="N16" s="7" t="n">
        <f aca="false">2.32+1.96</f>
        <v>4.28</v>
      </c>
      <c r="O16" s="7" t="n">
        <f aca="false">M16-N16</f>
        <v>239.72</v>
      </c>
      <c r="P16" s="7" t="n">
        <v>418</v>
      </c>
      <c r="Q16" s="7" t="n">
        <v>81</v>
      </c>
      <c r="R16" s="7" t="n">
        <f aca="false">SUM(O16:Q16)</f>
        <v>738.72</v>
      </c>
      <c r="S16" s="54"/>
      <c r="T16" s="7" t="n">
        <v>156.19</v>
      </c>
      <c r="U16" s="7" t="n">
        <v>205</v>
      </c>
      <c r="V16" s="8" t="n">
        <v>16197</v>
      </c>
      <c r="W16" s="7" t="n">
        <f aca="false">N16+R16+T16+U16</f>
        <v>1104.19</v>
      </c>
      <c r="X16" s="7" t="n">
        <f aca="false">IF(L16&lt;0,L16*-1,0)</f>
        <v>25.0866322157802</v>
      </c>
      <c r="Y16" s="7" t="n">
        <f aca="false">W16+X16</f>
        <v>1129.27663221578</v>
      </c>
      <c r="Z16" s="11" t="n">
        <v>0</v>
      </c>
      <c r="AA16" s="12" t="n">
        <v>76</v>
      </c>
      <c r="AB16" s="12" t="n">
        <v>40</v>
      </c>
      <c r="AC16" s="13" t="n">
        <f aca="false">AC15+1</f>
        <v>7</v>
      </c>
      <c r="AD16" s="12"/>
      <c r="AE16" s="12"/>
      <c r="AG16" s="7"/>
    </row>
    <row r="17" customFormat="false" ht="11.1" hidden="false" customHeight="true" outlineLevel="0" collapsed="false">
      <c r="A17" s="13" t="n">
        <f aca="false">A16+1</f>
        <v>8</v>
      </c>
      <c r="B17" s="31" t="n">
        <v>6923.57</v>
      </c>
      <c r="C17" s="8" t="n">
        <v>379246</v>
      </c>
      <c r="D17" s="12" t="n">
        <f aca="false">C17-C16</f>
        <v>1024</v>
      </c>
      <c r="E17" s="8" t="n">
        <f aca="false">C17-152000</f>
        <v>227246</v>
      </c>
      <c r="F17" s="7" t="n">
        <f aca="false">D17/$D$2</f>
        <v>516.259137887572</v>
      </c>
      <c r="G17" s="7" t="n">
        <v>1510</v>
      </c>
      <c r="H17" s="9" t="n">
        <v>1</v>
      </c>
      <c r="I17" s="7" t="n">
        <f aca="false">G17+H17</f>
        <v>1511</v>
      </c>
      <c r="J17" s="104" t="n">
        <f aca="false">IF(L17&gt;0,L17,0)</f>
        <v>11.4691378875725</v>
      </c>
      <c r="K17" s="7" t="n">
        <f aca="false">I17+J17</f>
        <v>1522.46913788757</v>
      </c>
      <c r="L17" s="7" t="n">
        <f aca="false">F17-(I17-W17)</f>
        <v>11.4691378875725</v>
      </c>
      <c r="M17" s="7" t="n">
        <v>238</v>
      </c>
      <c r="N17" s="7" t="n">
        <f aca="false">12.07+12.45</f>
        <v>24.52</v>
      </c>
      <c r="O17" s="7" t="n">
        <f aca="false">M17-N17</f>
        <v>213.48</v>
      </c>
      <c r="P17" s="7" t="n">
        <v>259</v>
      </c>
      <c r="Q17" s="7" t="n">
        <v>83</v>
      </c>
      <c r="R17" s="7" t="n">
        <f aca="false">SUM(O17:Q17)</f>
        <v>555.48</v>
      </c>
      <c r="S17" s="54"/>
      <c r="T17" s="7" t="n">
        <v>221.21</v>
      </c>
      <c r="U17" s="7" t="n">
        <v>205</v>
      </c>
      <c r="V17" s="8" t="n">
        <v>16197</v>
      </c>
      <c r="W17" s="7" t="n">
        <f aca="false">N17+R17+T17+U17</f>
        <v>1006.21</v>
      </c>
      <c r="X17" s="7" t="n">
        <f aca="false">IF(L17&lt;0,L17*-1,0)</f>
        <v>0</v>
      </c>
      <c r="Y17" s="7" t="n">
        <f aca="false">W17+X17</f>
        <v>1006.21</v>
      </c>
      <c r="Z17" s="11" t="n">
        <v>0</v>
      </c>
      <c r="AA17" s="12" t="n">
        <v>79</v>
      </c>
      <c r="AB17" s="12" t="n">
        <v>42</v>
      </c>
      <c r="AC17" s="13" t="n">
        <f aca="false">AC16+1</f>
        <v>8</v>
      </c>
      <c r="AD17" s="12"/>
      <c r="AE17" s="12"/>
      <c r="AG17" s="7"/>
    </row>
    <row r="18" customFormat="false" ht="11.1" hidden="false" customHeight="true" outlineLevel="0" collapsed="false">
      <c r="A18" s="13" t="n">
        <f aca="false">A17+1</f>
        <v>9</v>
      </c>
      <c r="B18" s="31" t="n">
        <v>6923.92</v>
      </c>
      <c r="C18" s="8" t="n">
        <v>380804</v>
      </c>
      <c r="D18" s="12" t="n">
        <f aca="false">C18-C17</f>
        <v>1558</v>
      </c>
      <c r="E18" s="8" t="n">
        <f aca="false">C18-152000</f>
        <v>228804</v>
      </c>
      <c r="F18" s="7" t="n">
        <f aca="false">D18/$D$2</f>
        <v>785.480211746912</v>
      </c>
      <c r="G18" s="7" t="n">
        <v>1740</v>
      </c>
      <c r="H18" s="9" t="n">
        <v>0.9</v>
      </c>
      <c r="I18" s="7" t="n">
        <f aca="false">G18+H18</f>
        <v>1740.9</v>
      </c>
      <c r="J18" s="104" t="n">
        <f aca="false">IF(L18&gt;0,L18,0)</f>
        <v>0</v>
      </c>
      <c r="K18" s="7" t="n">
        <f aca="false">I18+J18</f>
        <v>1740.9</v>
      </c>
      <c r="L18" s="7" t="n">
        <f aca="false">F18-(I18-W18)</f>
        <v>-1.76978825308811</v>
      </c>
      <c r="M18" s="7" t="n">
        <v>272</v>
      </c>
      <c r="N18" s="7" t="n">
        <f aca="false">23.96+25.61</f>
        <v>49.57</v>
      </c>
      <c r="O18" s="7" t="n">
        <f aca="false">M18-N18</f>
        <v>222.43</v>
      </c>
      <c r="P18" s="7" t="n">
        <v>177</v>
      </c>
      <c r="Q18" s="7" t="n">
        <v>85</v>
      </c>
      <c r="R18" s="7" t="n">
        <f aca="false">SUM(O18:Q18)</f>
        <v>484.43</v>
      </c>
      <c r="S18" s="54"/>
      <c r="T18" s="7" t="n">
        <v>216.65</v>
      </c>
      <c r="U18" s="7" t="n">
        <v>203</v>
      </c>
      <c r="V18" s="8" t="n">
        <v>16197</v>
      </c>
      <c r="W18" s="7" t="n">
        <f aca="false">N18+R18+T18+U18</f>
        <v>953.65</v>
      </c>
      <c r="X18" s="7" t="n">
        <f aca="false">IF(L18&lt;0,L18*-1,0)</f>
        <v>1.76978825308811</v>
      </c>
      <c r="Y18" s="7" t="n">
        <f aca="false">W18+X18</f>
        <v>955.419788253088</v>
      </c>
      <c r="Z18" s="11" t="n">
        <v>0</v>
      </c>
      <c r="AA18" s="12" t="n">
        <v>78</v>
      </c>
      <c r="AB18" s="12" t="n">
        <v>41</v>
      </c>
      <c r="AC18" s="13" t="n">
        <f aca="false">AC17+1</f>
        <v>9</v>
      </c>
      <c r="AD18" s="12"/>
      <c r="AE18" s="12"/>
      <c r="AG18" s="7"/>
    </row>
    <row r="19" customFormat="false" ht="11.1" hidden="false" customHeight="true" outlineLevel="0" collapsed="false">
      <c r="A19" s="13" t="n">
        <f aca="false">A18+1</f>
        <v>10</v>
      </c>
      <c r="B19" s="31" t="n">
        <v>6924.16</v>
      </c>
      <c r="C19" s="8" t="n">
        <v>381878</v>
      </c>
      <c r="D19" s="12" t="n">
        <f aca="false">C19-C18</f>
        <v>1074</v>
      </c>
      <c r="E19" s="8" t="n">
        <f aca="false">C19-152000</f>
        <v>229878</v>
      </c>
      <c r="F19" s="7" t="n">
        <f aca="false">D19/$D$2</f>
        <v>541.467103604739</v>
      </c>
      <c r="G19" s="7" t="n">
        <v>1800</v>
      </c>
      <c r="H19" s="9" t="n">
        <v>0.7</v>
      </c>
      <c r="I19" s="7" t="n">
        <f aca="false">G19+H19</f>
        <v>1800.7</v>
      </c>
      <c r="J19" s="104" t="n">
        <f aca="false">IF(L19&gt;0,L19,0)</f>
        <v>44.887103604739</v>
      </c>
      <c r="K19" s="7" t="n">
        <f aca="false">I19+J19</f>
        <v>1845.58710360474</v>
      </c>
      <c r="L19" s="7" t="n">
        <f aca="false">F19-(I19-W19)</f>
        <v>44.887103604739</v>
      </c>
      <c r="M19" s="7" t="n">
        <v>263</v>
      </c>
      <c r="N19" s="7" t="n">
        <f aca="false">(25.27+27.96)*1.05</f>
        <v>55.8915</v>
      </c>
      <c r="O19" s="7" t="n">
        <f aca="false">M19-N19</f>
        <v>207.1085</v>
      </c>
      <c r="P19" s="7" t="n">
        <v>161</v>
      </c>
      <c r="Q19" s="7" t="n">
        <v>84</v>
      </c>
      <c r="R19" s="7" t="n">
        <f aca="false">SUM(O19:Q19)</f>
        <v>452.1085</v>
      </c>
      <c r="S19" s="54"/>
      <c r="T19" s="7" t="n">
        <v>183.12</v>
      </c>
      <c r="U19" s="7" t="n">
        <v>613</v>
      </c>
      <c r="V19" s="8" t="n">
        <v>16197</v>
      </c>
      <c r="W19" s="7" t="n">
        <f aca="false">N19+R19+T19+U19</f>
        <v>1304.12</v>
      </c>
      <c r="X19" s="7" t="n">
        <f aca="false">IF(L19&lt;0,L19*-1,0)</f>
        <v>0</v>
      </c>
      <c r="Y19" s="7" t="n">
        <f aca="false">W19+X19</f>
        <v>1304.12</v>
      </c>
      <c r="Z19" s="11" t="n">
        <v>0</v>
      </c>
      <c r="AA19" s="12" t="n">
        <v>78</v>
      </c>
      <c r="AB19" s="12" t="n">
        <v>42</v>
      </c>
      <c r="AC19" s="13" t="n">
        <f aca="false">AC18+1</f>
        <v>10</v>
      </c>
      <c r="AD19" s="12"/>
      <c r="AE19" s="12"/>
      <c r="AG19" s="7"/>
    </row>
    <row r="20" customFormat="false" ht="11.1" hidden="false" customHeight="true" outlineLevel="0" collapsed="false">
      <c r="A20" s="13" t="n">
        <f aca="false">A19+1</f>
        <v>11</v>
      </c>
      <c r="B20" s="31" t="n">
        <v>6924.18</v>
      </c>
      <c r="C20" s="8" t="n">
        <v>381967</v>
      </c>
      <c r="D20" s="12" t="n">
        <f aca="false">C20-C19</f>
        <v>89</v>
      </c>
      <c r="E20" s="8" t="n">
        <f aca="false">C20-152000</f>
        <v>229967</v>
      </c>
      <c r="F20" s="7" t="n">
        <f aca="false">D20/$D$2</f>
        <v>44.8701789765566</v>
      </c>
      <c r="G20" s="7" t="n">
        <v>1700</v>
      </c>
      <c r="H20" s="9" t="n">
        <v>0.7</v>
      </c>
      <c r="I20" s="7" t="n">
        <f aca="false">G20+H20</f>
        <v>1700.7</v>
      </c>
      <c r="J20" s="104" t="n">
        <f aca="false">IF(L20&gt;0,L20,0)</f>
        <v>0</v>
      </c>
      <c r="K20" s="7" t="n">
        <f aca="false">I20+J20</f>
        <v>1700.7</v>
      </c>
      <c r="L20" s="7" t="n">
        <f aca="false">F20-(I20-W20)</f>
        <v>-5.86982102344342</v>
      </c>
      <c r="M20" s="7" t="n">
        <v>281</v>
      </c>
      <c r="N20" s="7" t="n">
        <f aca="false">(30.47+31.84)*1.05</f>
        <v>65.4255</v>
      </c>
      <c r="O20" s="7" t="n">
        <f aca="false">M20-N20</f>
        <v>215.5745</v>
      </c>
      <c r="P20" s="7" t="n">
        <v>152</v>
      </c>
      <c r="Q20" s="7" t="n">
        <v>83</v>
      </c>
      <c r="R20" s="7" t="n">
        <f aca="false">SUM(O20:Q20)</f>
        <v>450.5745</v>
      </c>
      <c r="S20" s="54"/>
      <c r="T20" s="7" t="n">
        <v>198.96</v>
      </c>
      <c r="U20" s="7" t="n">
        <v>935</v>
      </c>
      <c r="V20" s="8" t="n">
        <v>16197</v>
      </c>
      <c r="W20" s="7" t="n">
        <f aca="false">N20+R20+T20+U20</f>
        <v>1649.96</v>
      </c>
      <c r="X20" s="7" t="n">
        <f aca="false">IF(L20&lt;0,L20*-1,0)</f>
        <v>5.86982102344342</v>
      </c>
      <c r="Y20" s="7" t="n">
        <f aca="false">W20+X20</f>
        <v>1655.82982102344</v>
      </c>
      <c r="Z20" s="11" t="n">
        <v>0</v>
      </c>
      <c r="AA20" s="12" t="n">
        <v>80</v>
      </c>
      <c r="AB20" s="12" t="n">
        <v>50</v>
      </c>
      <c r="AC20" s="13" t="n">
        <f aca="false">AC19+1</f>
        <v>11</v>
      </c>
      <c r="AD20" s="12"/>
      <c r="AE20" s="12"/>
      <c r="AG20" s="7"/>
    </row>
    <row r="21" customFormat="false" ht="11.1" hidden="false" customHeight="true" outlineLevel="0" collapsed="false">
      <c r="A21" s="13" t="n">
        <f aca="false">A20+1</f>
        <v>12</v>
      </c>
      <c r="B21" s="31" t="n">
        <v>6924.22</v>
      </c>
      <c r="C21" s="8" t="n">
        <v>382147</v>
      </c>
      <c r="D21" s="12" t="n">
        <f aca="false">C21-C20</f>
        <v>180</v>
      </c>
      <c r="E21" s="8" t="n">
        <f aca="false">C21-152000</f>
        <v>230147</v>
      </c>
      <c r="F21" s="7" t="n">
        <f aca="false">D21/$D$2</f>
        <v>90.7486765817998</v>
      </c>
      <c r="G21" s="7" t="n">
        <v>1590</v>
      </c>
      <c r="H21" s="9" t="n">
        <v>0.6</v>
      </c>
      <c r="I21" s="7" t="n">
        <f aca="false">G21+H21</f>
        <v>1590.6</v>
      </c>
      <c r="J21" s="104" t="n">
        <f aca="false">IF(L21&gt;0,L21,0)</f>
        <v>66.6986765817999</v>
      </c>
      <c r="K21" s="7" t="n">
        <f aca="false">I21+J21</f>
        <v>1657.2986765818</v>
      </c>
      <c r="L21" s="7" t="n">
        <f aca="false">F21-(I21-W21)</f>
        <v>66.6986765817999</v>
      </c>
      <c r="M21" s="7" t="n">
        <v>258</v>
      </c>
      <c r="N21" s="7" t="n">
        <f aca="false">(22.72+23.11)*1.05</f>
        <v>48.1215</v>
      </c>
      <c r="O21" s="7" t="n">
        <f aca="false">M21-N21</f>
        <v>209.8785</v>
      </c>
      <c r="P21" s="7" t="n">
        <v>152</v>
      </c>
      <c r="Q21" s="7" t="n">
        <v>83</v>
      </c>
      <c r="R21" s="7" t="n">
        <f aca="false">SUM(O21:Q21)</f>
        <v>444.8785</v>
      </c>
      <c r="S21" s="54"/>
      <c r="T21" s="7" t="n">
        <v>177.55</v>
      </c>
      <c r="U21" s="7" t="n">
        <v>896</v>
      </c>
      <c r="V21" s="8" t="n">
        <v>16197</v>
      </c>
      <c r="W21" s="7" t="n">
        <f aca="false">N21+R21+T21+U21</f>
        <v>1566.55</v>
      </c>
      <c r="X21" s="7" t="n">
        <f aca="false">IF(L21&lt;0,L21*-1,0)</f>
        <v>0</v>
      </c>
      <c r="Y21" s="7" t="n">
        <f aca="false">W21+X21</f>
        <v>1566.55</v>
      </c>
      <c r="Z21" s="11" t="n">
        <v>0</v>
      </c>
      <c r="AA21" s="12" t="n">
        <v>80</v>
      </c>
      <c r="AB21" s="12" t="n">
        <v>50</v>
      </c>
      <c r="AC21" s="13" t="n">
        <f aca="false">AC20+1</f>
        <v>12</v>
      </c>
      <c r="AD21" s="12"/>
      <c r="AE21" s="12"/>
      <c r="AG21" s="7"/>
    </row>
    <row r="22" customFormat="false" ht="11.1" hidden="false" customHeight="true" outlineLevel="0" collapsed="false">
      <c r="A22" s="13" t="n">
        <f aca="false">A21+1</f>
        <v>13</v>
      </c>
      <c r="B22" s="31" t="n">
        <v>6924.26</v>
      </c>
      <c r="C22" s="8" t="n">
        <v>382326</v>
      </c>
      <c r="D22" s="12" t="n">
        <f aca="false">C22-C21</f>
        <v>179</v>
      </c>
      <c r="E22" s="8" t="n">
        <f aca="false">C22-152000</f>
        <v>230326</v>
      </c>
      <c r="F22" s="7" t="n">
        <f aca="false">D22/$D$2</f>
        <v>90.2445172674565</v>
      </c>
      <c r="G22" s="7" t="n">
        <v>1420</v>
      </c>
      <c r="H22" s="9" t="n">
        <v>0.6</v>
      </c>
      <c r="I22" s="7" t="n">
        <f aca="false">G22+H22</f>
        <v>1420.6</v>
      </c>
      <c r="J22" s="104" t="n">
        <f aca="false">IF(L22&gt;0,L22,0)</f>
        <v>138.504517267457</v>
      </c>
      <c r="K22" s="7" t="n">
        <f aca="false">I22+J22</f>
        <v>1559.10451726746</v>
      </c>
      <c r="L22" s="7" t="n">
        <f aca="false">F22-(I22-W22)</f>
        <v>138.504517267457</v>
      </c>
      <c r="M22" s="7" t="n">
        <v>255</v>
      </c>
      <c r="N22" s="7" t="n">
        <f aca="false">(13.39+13.44)*1.05</f>
        <v>28.1715</v>
      </c>
      <c r="O22" s="7" t="n">
        <f aca="false">M22-N22</f>
        <v>226.8285</v>
      </c>
      <c r="P22" s="7" t="n">
        <v>152</v>
      </c>
      <c r="Q22" s="7" t="n">
        <v>84</v>
      </c>
      <c r="R22" s="7" t="n">
        <f aca="false">SUM(O22:Q22)</f>
        <v>462.8285</v>
      </c>
      <c r="S22" s="54"/>
      <c r="T22" s="7" t="n">
        <v>152.86</v>
      </c>
      <c r="U22" s="7" t="n">
        <v>825</v>
      </c>
      <c r="V22" s="8" t="n">
        <v>16197</v>
      </c>
      <c r="W22" s="7" t="n">
        <f aca="false">N22+R22+T22+U22</f>
        <v>1468.86</v>
      </c>
      <c r="X22" s="7" t="n">
        <f aca="false">IF(L22&lt;0,L22*-1,0)</f>
        <v>0</v>
      </c>
      <c r="Y22" s="7" t="n">
        <f aca="false">W22+X22</f>
        <v>1468.86</v>
      </c>
      <c r="Z22" s="11" t="n">
        <v>0</v>
      </c>
      <c r="AA22" s="12" t="n">
        <v>82</v>
      </c>
      <c r="AB22" s="12" t="n">
        <v>48</v>
      </c>
      <c r="AC22" s="13" t="n">
        <f aca="false">AC21+1</f>
        <v>13</v>
      </c>
      <c r="AD22" s="12"/>
      <c r="AE22" s="12"/>
      <c r="AG22" s="7"/>
    </row>
    <row r="23" customFormat="false" ht="11.1" hidden="false" customHeight="true" outlineLevel="0" collapsed="false">
      <c r="A23" s="13" t="n">
        <f aca="false">A22+1</f>
        <v>14</v>
      </c>
      <c r="B23" s="31" t="n">
        <v>6924.36</v>
      </c>
      <c r="C23" s="8" t="n">
        <v>382775</v>
      </c>
      <c r="D23" s="12" t="n">
        <f aca="false">C23-C22</f>
        <v>449</v>
      </c>
      <c r="E23" s="8" t="n">
        <f aca="false">C23-152000</f>
        <v>230775</v>
      </c>
      <c r="F23" s="7" t="n">
        <f aca="false">D23/$D$2</f>
        <v>226.367532140156</v>
      </c>
      <c r="G23" s="7" t="n">
        <v>1570</v>
      </c>
      <c r="H23" s="9" t="n">
        <v>0.6</v>
      </c>
      <c r="I23" s="7" t="n">
        <f aca="false">G23+H23</f>
        <v>1570.6</v>
      </c>
      <c r="J23" s="104" t="n">
        <f aca="false">IF(L23&gt;0,L23,0)</f>
        <v>105.297532140156</v>
      </c>
      <c r="K23" s="7" t="n">
        <f aca="false">I23+J23</f>
        <v>1675.89753214016</v>
      </c>
      <c r="L23" s="7" t="n">
        <f aca="false">F23-(I23-W23)</f>
        <v>105.297532140156</v>
      </c>
      <c r="M23" s="7" t="n">
        <v>260</v>
      </c>
      <c r="N23" s="7" t="n">
        <f aca="false">20.39+20.4*1.05</f>
        <v>41.81</v>
      </c>
      <c r="O23" s="7" t="n">
        <f aca="false">M23-N23</f>
        <v>218.19</v>
      </c>
      <c r="P23" s="7" t="n">
        <v>153</v>
      </c>
      <c r="Q23" s="7" t="n">
        <v>84</v>
      </c>
      <c r="R23" s="7" t="n">
        <f aca="false">SUM(O23:Q23)</f>
        <v>455.19</v>
      </c>
      <c r="S23" s="54"/>
      <c r="T23" s="7" t="n">
        <v>138.53</v>
      </c>
      <c r="U23" s="7" t="n">
        <v>814</v>
      </c>
      <c r="V23" s="8" t="n">
        <v>16197</v>
      </c>
      <c r="W23" s="7" t="n">
        <f aca="false">N23+R23+T23+U23</f>
        <v>1449.53</v>
      </c>
      <c r="X23" s="7" t="n">
        <f aca="false">IF(L23&lt;0,L23*-1,0)</f>
        <v>0</v>
      </c>
      <c r="Y23" s="7" t="n">
        <f aca="false">W23+X23</f>
        <v>1449.53</v>
      </c>
      <c r="Z23" s="11" t="n">
        <v>0.05</v>
      </c>
      <c r="AA23" s="12" t="n">
        <v>81</v>
      </c>
      <c r="AB23" s="12" t="n">
        <v>51</v>
      </c>
      <c r="AC23" s="13" t="n">
        <f aca="false">AC22+1</f>
        <v>14</v>
      </c>
      <c r="AD23" s="12"/>
      <c r="AE23" s="12"/>
      <c r="AG23" s="7"/>
    </row>
    <row r="24" customFormat="false" ht="11.1" hidden="false" customHeight="true" outlineLevel="0" collapsed="false">
      <c r="A24" s="13" t="n">
        <f aca="false">A23+1</f>
        <v>15</v>
      </c>
      <c r="B24" s="31" t="n">
        <v>6924.35</v>
      </c>
      <c r="C24" s="8" t="n">
        <v>382730</v>
      </c>
      <c r="D24" s="12" t="n">
        <f aca="false">C24-C23</f>
        <v>-45</v>
      </c>
      <c r="E24" s="8" t="n">
        <f aca="false">C24-152000</f>
        <v>230730</v>
      </c>
      <c r="F24" s="7" t="n">
        <f aca="false">D24/$D$2</f>
        <v>-22.68716914545</v>
      </c>
      <c r="G24" s="7" t="n">
        <v>1690</v>
      </c>
      <c r="H24" s="9" t="n">
        <v>0.6</v>
      </c>
      <c r="I24" s="7" t="n">
        <f aca="false">G24+H24</f>
        <v>1690.6</v>
      </c>
      <c r="J24" s="104" t="n">
        <f aca="false">IF(L24&gt;0,L24,0)</f>
        <v>100.66283085455</v>
      </c>
      <c r="K24" s="7" t="n">
        <f aca="false">I24+J24</f>
        <v>1791.26283085455</v>
      </c>
      <c r="L24" s="7" t="n">
        <f aca="false">F24-(I24-W24)</f>
        <v>100.66283085455</v>
      </c>
      <c r="M24" s="7" t="n">
        <v>286</v>
      </c>
      <c r="N24" s="7" t="n">
        <f aca="false">26.48+27.2*1.05</f>
        <v>55.04</v>
      </c>
      <c r="O24" s="7" t="n">
        <f aca="false">M24-N24</f>
        <v>230.96</v>
      </c>
      <c r="P24" s="7" t="n">
        <v>153</v>
      </c>
      <c r="Q24" s="7" t="n">
        <v>84</v>
      </c>
      <c r="R24" s="7" t="n">
        <f aca="false">SUM(O24:Q24)</f>
        <v>467.96</v>
      </c>
      <c r="S24" s="54"/>
      <c r="T24" s="7" t="n">
        <v>120.95</v>
      </c>
      <c r="U24" s="7" t="n">
        <v>1170</v>
      </c>
      <c r="V24" s="8" t="n">
        <v>16197</v>
      </c>
      <c r="W24" s="7" t="n">
        <f aca="false">N24+R24+T24+U24</f>
        <v>1813.95</v>
      </c>
      <c r="X24" s="7" t="n">
        <f aca="false">IF(L24&lt;0,L24*-1,0)</f>
        <v>0</v>
      </c>
      <c r="Y24" s="7" t="n">
        <f aca="false">W24+X24</f>
        <v>1813.95</v>
      </c>
      <c r="Z24" s="11" t="n">
        <v>0</v>
      </c>
      <c r="AA24" s="12" t="n">
        <v>80</v>
      </c>
      <c r="AB24" s="12" t="n">
        <v>50</v>
      </c>
      <c r="AC24" s="13" t="n">
        <f aca="false">AC23+1</f>
        <v>15</v>
      </c>
      <c r="AD24" s="12"/>
      <c r="AE24" s="12"/>
      <c r="AG24" s="7"/>
    </row>
    <row r="25" customFormat="false" ht="11.1" hidden="false" customHeight="true" outlineLevel="0" collapsed="false">
      <c r="A25" s="13" t="n">
        <f aca="false">A24+1</f>
        <v>16</v>
      </c>
      <c r="B25" s="31" t="n">
        <v>6924.33</v>
      </c>
      <c r="C25" s="8" t="n">
        <v>382640</v>
      </c>
      <c r="D25" s="12" t="n">
        <f aca="false">C25-C24</f>
        <v>-90</v>
      </c>
      <c r="E25" s="8" t="n">
        <f aca="false">C25-152000</f>
        <v>230640</v>
      </c>
      <c r="F25" s="7" t="n">
        <f aca="false">D25/$D$2</f>
        <v>-45.3743382908999</v>
      </c>
      <c r="G25" s="7" t="n">
        <v>1710</v>
      </c>
      <c r="H25" s="9" t="n">
        <v>0.5</v>
      </c>
      <c r="I25" s="7" t="n">
        <f aca="false">G25+H25</f>
        <v>1710.5</v>
      </c>
      <c r="J25" s="104" t="n">
        <f aca="false">IF(L25&gt;0,L25,0)</f>
        <v>165.9156617091</v>
      </c>
      <c r="K25" s="7" t="n">
        <f aca="false">I25+J25</f>
        <v>1876.4156617091</v>
      </c>
      <c r="L25" s="7" t="n">
        <f aca="false">F25-(I25-W25)</f>
        <v>165.9156617091</v>
      </c>
      <c r="M25" s="7" t="n">
        <v>282</v>
      </c>
      <c r="N25" s="7" t="n">
        <f aca="false">28.94+29.18*1.05</f>
        <v>59.579</v>
      </c>
      <c r="O25" s="7" t="n">
        <f aca="false">M25-N25</f>
        <v>222.421</v>
      </c>
      <c r="P25" s="7" t="n">
        <v>153</v>
      </c>
      <c r="Q25" s="7" t="n">
        <v>84</v>
      </c>
      <c r="R25" s="7" t="n">
        <f aca="false">SUM(O25:Q25)</f>
        <v>459.421</v>
      </c>
      <c r="S25" s="54"/>
      <c r="T25" s="7" t="n">
        <v>112.79</v>
      </c>
      <c r="U25" s="7" t="n">
        <v>1290</v>
      </c>
      <c r="V25" s="8" t="n">
        <v>16197</v>
      </c>
      <c r="W25" s="7" t="n">
        <f aca="false">N25+R25+T25+U25</f>
        <v>1921.79</v>
      </c>
      <c r="X25" s="7" t="n">
        <f aca="false">IF(L25&lt;0,L25*-1,0)</f>
        <v>0</v>
      </c>
      <c r="Y25" s="7" t="n">
        <f aca="false">W25+X25</f>
        <v>1921.79</v>
      </c>
      <c r="Z25" s="11" t="n">
        <v>0.18</v>
      </c>
      <c r="AA25" s="12" t="n">
        <v>86</v>
      </c>
      <c r="AB25" s="12" t="n">
        <v>52</v>
      </c>
      <c r="AC25" s="13" t="n">
        <f aca="false">AC24+1</f>
        <v>16</v>
      </c>
      <c r="AD25" s="12"/>
      <c r="AE25" s="12"/>
      <c r="AG25" s="7"/>
    </row>
    <row r="26" customFormat="false" ht="11.1" hidden="false" customHeight="true" outlineLevel="0" collapsed="false">
      <c r="A26" s="13" t="n">
        <f aca="false">A25+1</f>
        <v>17</v>
      </c>
      <c r="B26" s="31" t="n">
        <v>6924.45</v>
      </c>
      <c r="C26" s="8" t="n">
        <v>383179</v>
      </c>
      <c r="D26" s="12" t="n">
        <f aca="false">C26-C25</f>
        <v>539</v>
      </c>
      <c r="E26" s="8" t="n">
        <f aca="false">C26-152000</f>
        <v>231179</v>
      </c>
      <c r="F26" s="7" t="n">
        <f aca="false">D26/$D$2</f>
        <v>271.741870431056</v>
      </c>
      <c r="G26" s="7" t="n">
        <v>1970</v>
      </c>
      <c r="H26" s="9" t="n">
        <v>0.5</v>
      </c>
      <c r="I26" s="7" t="n">
        <f aca="false">G26+H26</f>
        <v>1970.5</v>
      </c>
      <c r="J26" s="104" t="n">
        <f aca="false">IF(L26&gt;0,L26,0)</f>
        <v>329.631870431056</v>
      </c>
      <c r="K26" s="7" t="n">
        <f aca="false">I26+J26</f>
        <v>2300.13187043106</v>
      </c>
      <c r="L26" s="7" t="n">
        <f aca="false">F26-(I26-W26)</f>
        <v>329.631870431056</v>
      </c>
      <c r="M26" s="7" t="n">
        <v>271</v>
      </c>
      <c r="N26" s="7" t="n">
        <f aca="false">30.22+30.08*1.05</f>
        <v>61.804</v>
      </c>
      <c r="O26" s="7" t="n">
        <f aca="false">M26-N26</f>
        <v>209.196</v>
      </c>
      <c r="P26" s="7" t="n">
        <v>154</v>
      </c>
      <c r="Q26" s="7" t="n">
        <v>84</v>
      </c>
      <c r="R26" s="7" t="n">
        <f aca="false">SUM(O26:Q26)</f>
        <v>447.196</v>
      </c>
      <c r="S26" s="54"/>
      <c r="T26" s="7" t="n">
        <v>69.39</v>
      </c>
      <c r="U26" s="7" t="n">
        <v>1450</v>
      </c>
      <c r="V26" s="8" t="n">
        <v>16197</v>
      </c>
      <c r="W26" s="7" t="n">
        <f aca="false">N26+R26+T26+U26</f>
        <v>2028.39</v>
      </c>
      <c r="X26" s="7" t="n">
        <f aca="false">IF(L26&lt;0,L26*-1,0)</f>
        <v>0</v>
      </c>
      <c r="Y26" s="7" t="n">
        <f aca="false">W26+X26</f>
        <v>2028.39</v>
      </c>
      <c r="Z26" s="11" t="n">
        <v>0.63</v>
      </c>
      <c r="AA26" s="12" t="n">
        <v>72</v>
      </c>
      <c r="AB26" s="12" t="n">
        <v>51</v>
      </c>
      <c r="AC26" s="13" t="n">
        <f aca="false">AC25+1</f>
        <v>17</v>
      </c>
      <c r="AD26" s="12"/>
      <c r="AE26" s="12"/>
      <c r="AG26" s="7"/>
    </row>
    <row r="27" customFormat="false" ht="11.1" hidden="false" customHeight="true" outlineLevel="0" collapsed="false">
      <c r="A27" s="13" t="n">
        <f aca="false">A26+1</f>
        <v>18</v>
      </c>
      <c r="B27" s="31" t="n">
        <v>6924.24</v>
      </c>
      <c r="C27" s="8" t="n">
        <v>382237</v>
      </c>
      <c r="D27" s="12" t="n">
        <f aca="false">C27-C26</f>
        <v>-942</v>
      </c>
      <c r="E27" s="8" t="n">
        <f aca="false">C27-152000</f>
        <v>230237</v>
      </c>
      <c r="F27" s="7" t="n">
        <f aca="false">D27/$D$2</f>
        <v>-474.918074111419</v>
      </c>
      <c r="G27" s="7" t="n">
        <v>1950</v>
      </c>
      <c r="H27" s="9" t="n">
        <v>0.8</v>
      </c>
      <c r="I27" s="7" t="n">
        <f aca="false">G27+H27</f>
        <v>1950.8</v>
      </c>
      <c r="J27" s="104" t="n">
        <f aca="false">IF(L27&gt;0,L27,0)</f>
        <v>188.891925888581</v>
      </c>
      <c r="K27" s="7" t="n">
        <f aca="false">I27+J27</f>
        <v>2139.69192588858</v>
      </c>
      <c r="L27" s="7" t="n">
        <f aca="false">F27-(I27-W27)</f>
        <v>188.891925888581</v>
      </c>
      <c r="M27" s="7" t="n">
        <v>234</v>
      </c>
      <c r="N27" s="7" t="n">
        <f aca="false">28.52+29.16*1.05</f>
        <v>59.138</v>
      </c>
      <c r="O27" s="7" t="n">
        <f aca="false">M27-N27</f>
        <v>174.862</v>
      </c>
      <c r="P27" s="7" t="n">
        <v>154</v>
      </c>
      <c r="Q27" s="7" t="n">
        <v>80</v>
      </c>
      <c r="R27" s="7" t="n">
        <f aca="false">SUM(O27:Q27)</f>
        <v>408.862</v>
      </c>
      <c r="S27" s="54"/>
      <c r="T27" s="7" t="n">
        <v>56.61</v>
      </c>
      <c r="U27" s="7" t="n">
        <v>2090</v>
      </c>
      <c r="V27" s="8" t="n">
        <v>16197</v>
      </c>
      <c r="W27" s="7" t="n">
        <f aca="false">N27+R27+T27+U27</f>
        <v>2614.61</v>
      </c>
      <c r="X27" s="7" t="n">
        <f aca="false">IF(L27&lt;0,L27*-1,0)</f>
        <v>0</v>
      </c>
      <c r="Y27" s="7" t="n">
        <f aca="false">W27+X27</f>
        <v>2614.61</v>
      </c>
      <c r="Z27" s="11" t="n">
        <v>0</v>
      </c>
      <c r="AA27" s="12" t="n">
        <v>80</v>
      </c>
      <c r="AB27" s="12" t="n">
        <v>44</v>
      </c>
      <c r="AC27" s="13" t="n">
        <f aca="false">AC26+1</f>
        <v>18</v>
      </c>
      <c r="AD27" s="12"/>
      <c r="AE27" s="12"/>
      <c r="AG27" s="7"/>
    </row>
    <row r="28" customFormat="false" ht="11.1" hidden="false" customHeight="true" outlineLevel="0" collapsed="false">
      <c r="A28" s="13" t="n">
        <f aca="false">A27+1</f>
        <v>19</v>
      </c>
      <c r="B28" s="31" t="n">
        <v>6924.08</v>
      </c>
      <c r="C28" s="8" t="n">
        <v>381519</v>
      </c>
      <c r="D28" s="12" t="n">
        <f aca="false">C28-C27</f>
        <v>-718</v>
      </c>
      <c r="E28" s="8" t="n">
        <f aca="false">C28-152000</f>
        <v>229519</v>
      </c>
      <c r="F28" s="7" t="n">
        <f aca="false">D28/$D$2</f>
        <v>-361.986387698513</v>
      </c>
      <c r="G28" s="7" t="n">
        <v>1660</v>
      </c>
      <c r="H28" s="9" t="n">
        <v>0.7</v>
      </c>
      <c r="I28" s="7" t="n">
        <f aca="false">G28+H28</f>
        <v>1660.7</v>
      </c>
      <c r="J28" s="104" t="n">
        <f aca="false">IF(L28&gt;0,L28,0)</f>
        <v>152.543612301487</v>
      </c>
      <c r="K28" s="7" t="n">
        <f aca="false">I28+J28</f>
        <v>1813.24361230149</v>
      </c>
      <c r="L28" s="7" t="n">
        <f aca="false">F28-(I28-W28)</f>
        <v>152.543612301487</v>
      </c>
      <c r="M28" s="7" t="n">
        <v>236</v>
      </c>
      <c r="N28" s="7" t="n">
        <f aca="false">23.97+23.81*1.05</f>
        <v>48.9705</v>
      </c>
      <c r="O28" s="7" t="n">
        <f aca="false">M28-N28</f>
        <v>187.0295</v>
      </c>
      <c r="P28" s="7" t="n">
        <v>154</v>
      </c>
      <c r="Q28" s="7" t="n">
        <v>69</v>
      </c>
      <c r="R28" s="7" t="n">
        <f aca="false">SUM(O28:Q28)</f>
        <v>410.0295</v>
      </c>
      <c r="S28" s="54"/>
      <c r="T28" s="7" t="n">
        <v>66.23</v>
      </c>
      <c r="U28" s="7" t="n">
        <v>1650</v>
      </c>
      <c r="V28" s="8" t="n">
        <v>16197</v>
      </c>
      <c r="W28" s="7" t="n">
        <f aca="false">N28+R28+T28+U28</f>
        <v>2175.23</v>
      </c>
      <c r="X28" s="7" t="n">
        <f aca="false">IF(L28&lt;0,L28*-1,0)</f>
        <v>0</v>
      </c>
      <c r="Y28" s="7" t="n">
        <f aca="false">W28+X28</f>
        <v>2175.23</v>
      </c>
      <c r="Z28" s="11" t="n">
        <v>0</v>
      </c>
      <c r="AA28" s="12" t="n">
        <v>86</v>
      </c>
      <c r="AB28" s="12" t="n">
        <v>50</v>
      </c>
      <c r="AC28" s="13" t="n">
        <f aca="false">AC27+1</f>
        <v>19</v>
      </c>
      <c r="AD28" s="12"/>
      <c r="AE28" s="12"/>
      <c r="AG28" s="7"/>
    </row>
    <row r="29" customFormat="false" ht="11.1" hidden="false" customHeight="true" outlineLevel="0" collapsed="false">
      <c r="A29" s="13" t="n">
        <f aca="false">A28+1</f>
        <v>20</v>
      </c>
      <c r="B29" s="31" t="n">
        <v>6924.11</v>
      </c>
      <c r="C29" s="8" t="n">
        <v>381653</v>
      </c>
      <c r="D29" s="12" t="n">
        <f aca="false">C29-C28</f>
        <v>134</v>
      </c>
      <c r="E29" s="8" t="n">
        <f aca="false">C29-152000</f>
        <v>229653</v>
      </c>
      <c r="F29" s="7" t="n">
        <f aca="false">D29/$D$2</f>
        <v>67.5573481220066</v>
      </c>
      <c r="G29" s="7" t="n">
        <v>1540</v>
      </c>
      <c r="H29" s="9" t="n">
        <v>0.5</v>
      </c>
      <c r="I29" s="7" t="n">
        <f aca="false">G29+H29</f>
        <v>1540.5</v>
      </c>
      <c r="J29" s="104" t="n">
        <f aca="false">IF(L29&gt;0,L29,0)</f>
        <v>147.447348122006</v>
      </c>
      <c r="K29" s="7" t="n">
        <f aca="false">I29+J29</f>
        <v>1687.94734812201</v>
      </c>
      <c r="L29" s="7" t="n">
        <f aca="false">F29-(I29-W29)</f>
        <v>147.447348122006</v>
      </c>
      <c r="M29" s="7" t="n">
        <v>221</v>
      </c>
      <c r="N29" s="125" t="n">
        <f aca="false">27.14+24.97*1.05</f>
        <v>53.3585</v>
      </c>
      <c r="O29" s="7" t="n">
        <f aca="false">M29-N29</f>
        <v>167.6415</v>
      </c>
      <c r="P29" s="7" t="n">
        <v>153</v>
      </c>
      <c r="Q29" s="7" t="n">
        <v>66</v>
      </c>
      <c r="R29" s="7" t="n">
        <f aca="false">SUM(O29:Q29)</f>
        <v>386.6415</v>
      </c>
      <c r="S29" s="54"/>
      <c r="T29" s="7" t="n">
        <v>70.39</v>
      </c>
      <c r="U29" s="7" t="n">
        <v>1110</v>
      </c>
      <c r="V29" s="8" t="n">
        <v>16197</v>
      </c>
      <c r="W29" s="7" t="n">
        <f aca="false">N29+R29+T29+U29</f>
        <v>1620.39</v>
      </c>
      <c r="X29" s="7" t="n">
        <f aca="false">IF(L29&lt;0,L29*-1,0)</f>
        <v>0</v>
      </c>
      <c r="Y29" s="7" t="n">
        <f aca="false">W29+X29</f>
        <v>1620.39</v>
      </c>
      <c r="Z29" s="11" t="n">
        <v>0</v>
      </c>
      <c r="AA29" s="12" t="n">
        <v>82</v>
      </c>
      <c r="AB29" s="12" t="n">
        <v>51</v>
      </c>
      <c r="AC29" s="13" t="n">
        <f aca="false">AC28+1</f>
        <v>20</v>
      </c>
      <c r="AD29" s="12"/>
      <c r="AE29" s="12"/>
      <c r="AG29" s="7"/>
    </row>
    <row r="30" customFormat="false" ht="11.1" hidden="false" customHeight="true" outlineLevel="0" collapsed="false">
      <c r="A30" s="13" t="n">
        <f aca="false">A29+1</f>
        <v>21</v>
      </c>
      <c r="B30" s="31" t="n">
        <v>6924.14</v>
      </c>
      <c r="C30" s="8" t="n">
        <v>381788</v>
      </c>
      <c r="D30" s="12" t="n">
        <f aca="false">C30-C29</f>
        <v>135</v>
      </c>
      <c r="E30" s="8" t="n">
        <f aca="false">C30-152000</f>
        <v>229788</v>
      </c>
      <c r="F30" s="7" t="n">
        <f aca="false">D30/$D$2</f>
        <v>68.0615074363499</v>
      </c>
      <c r="G30" s="7" t="n">
        <v>1390</v>
      </c>
      <c r="H30" s="9" t="n">
        <v>0.7</v>
      </c>
      <c r="I30" s="7" t="n">
        <f aca="false">G30+H30</f>
        <v>1390.7</v>
      </c>
      <c r="J30" s="104" t="n">
        <f aca="false">IF(L30&gt;0,L30,0)</f>
        <v>57.9615074363498</v>
      </c>
      <c r="K30" s="7" t="n">
        <f aca="false">I30+J30</f>
        <v>1448.66150743635</v>
      </c>
      <c r="L30" s="7" t="n">
        <f aca="false">F30-(I30-W30)</f>
        <v>57.9615074363498</v>
      </c>
      <c r="M30" s="7" t="n">
        <v>245</v>
      </c>
      <c r="N30" s="7" t="n">
        <f aca="false">29.92+28.69*1.05</f>
        <v>60.0445</v>
      </c>
      <c r="O30" s="7" t="n">
        <f aca="false">M30-N30</f>
        <v>184.9555</v>
      </c>
      <c r="P30" s="7" t="n">
        <v>126</v>
      </c>
      <c r="Q30" s="7" t="n">
        <v>66</v>
      </c>
      <c r="R30" s="7" t="n">
        <f aca="false">SUM(O30:Q30)</f>
        <v>376.9555</v>
      </c>
      <c r="S30" s="54"/>
      <c r="T30" s="7" t="n">
        <v>53.6</v>
      </c>
      <c r="U30" s="7" t="n">
        <v>890</v>
      </c>
      <c r="V30" s="8" t="n">
        <v>16197</v>
      </c>
      <c r="W30" s="7" t="n">
        <f aca="false">N30+R30+T30+U30</f>
        <v>1380.6</v>
      </c>
      <c r="X30" s="7" t="n">
        <f aca="false">IF(L30&lt;0,L30*-1,0)</f>
        <v>0</v>
      </c>
      <c r="Y30" s="7" t="n">
        <f aca="false">W30+X30</f>
        <v>1380.6</v>
      </c>
      <c r="Z30" s="11" t="n">
        <v>0</v>
      </c>
      <c r="AA30" s="12" t="n">
        <v>85</v>
      </c>
      <c r="AB30" s="12" t="n">
        <v>50</v>
      </c>
      <c r="AC30" s="13" t="n">
        <f aca="false">AC29+1</f>
        <v>21</v>
      </c>
      <c r="AD30" s="12"/>
      <c r="AE30" s="12"/>
      <c r="AG30" s="7"/>
    </row>
    <row r="31" customFormat="false" ht="11.1" hidden="false" customHeight="true" outlineLevel="0" collapsed="false">
      <c r="A31" s="13" t="n">
        <f aca="false">A30+1</f>
        <v>22</v>
      </c>
      <c r="B31" s="31" t="n">
        <v>6924.26</v>
      </c>
      <c r="C31" s="8" t="n">
        <v>382326</v>
      </c>
      <c r="D31" s="12" t="n">
        <f aca="false">C31-C30</f>
        <v>538</v>
      </c>
      <c r="E31" s="8" t="n">
        <f aca="false">C31-152000</f>
        <v>230326</v>
      </c>
      <c r="F31" s="7" t="n">
        <f aca="false">D31/$D$2</f>
        <v>271.237711116713</v>
      </c>
      <c r="G31" s="7" t="n">
        <v>1460</v>
      </c>
      <c r="H31" s="9" t="n">
        <v>0.5</v>
      </c>
      <c r="I31" s="7" t="n">
        <f aca="false">G31+H31</f>
        <v>1460.5</v>
      </c>
      <c r="J31" s="104" t="n">
        <f aca="false">IF(L31&gt;0,L31,0)</f>
        <v>35.6477111167127</v>
      </c>
      <c r="K31" s="7" t="n">
        <f aca="false">I31+J31</f>
        <v>1496.14771111671</v>
      </c>
      <c r="L31" s="7" t="n">
        <f aca="false">F31-(I31-W31)</f>
        <v>35.6477111167127</v>
      </c>
      <c r="M31" s="7" t="n">
        <v>258</v>
      </c>
      <c r="N31" s="7" t="n">
        <f aca="false">30.04+29*1.05</f>
        <v>60.49</v>
      </c>
      <c r="O31" s="7" t="n">
        <f aca="false">M31-N31</f>
        <v>197.51</v>
      </c>
      <c r="P31" s="7" t="n">
        <v>112</v>
      </c>
      <c r="Q31" s="7" t="n">
        <v>66</v>
      </c>
      <c r="R31" s="7" t="n">
        <f aca="false">SUM(O31:Q31)</f>
        <v>375.51</v>
      </c>
      <c r="S31" s="54"/>
      <c r="T31" s="7" t="n">
        <v>74.91</v>
      </c>
      <c r="U31" s="7" t="n">
        <v>714</v>
      </c>
      <c r="V31" s="8" t="n">
        <v>16197</v>
      </c>
      <c r="W31" s="7" t="n">
        <f aca="false">N31+R31+T31+U31</f>
        <v>1224.91</v>
      </c>
      <c r="X31" s="7" t="n">
        <f aca="false">IF(L31&lt;0,L31*-1,0)</f>
        <v>0</v>
      </c>
      <c r="Y31" s="7" t="n">
        <f aca="false">W31+X31</f>
        <v>1224.91</v>
      </c>
      <c r="Z31" s="11" t="n">
        <v>0</v>
      </c>
      <c r="AA31" s="12" t="n">
        <v>84</v>
      </c>
      <c r="AB31" s="12" t="n">
        <v>52</v>
      </c>
      <c r="AC31" s="13" t="n">
        <f aca="false">AC30+1</f>
        <v>22</v>
      </c>
      <c r="AD31" s="12"/>
      <c r="AE31" s="12"/>
      <c r="AG31" s="7"/>
    </row>
    <row r="32" customFormat="false" ht="11.1" hidden="false" customHeight="true" outlineLevel="0" collapsed="false">
      <c r="A32" s="13" t="n">
        <f aca="false">A31+1</f>
        <v>23</v>
      </c>
      <c r="B32" s="31" t="n">
        <v>6924.46</v>
      </c>
      <c r="C32" s="8" t="n">
        <v>383224</v>
      </c>
      <c r="D32" s="12" t="n">
        <f aca="false">C32-C31</f>
        <v>898</v>
      </c>
      <c r="E32" s="8" t="n">
        <f aca="false">C32-152000</f>
        <v>231224</v>
      </c>
      <c r="F32" s="7" t="n">
        <f aca="false">D32/$D$2</f>
        <v>452.735064280313</v>
      </c>
      <c r="G32" s="7" t="n">
        <v>1410</v>
      </c>
      <c r="H32" s="9" t="n">
        <v>0.4</v>
      </c>
      <c r="I32" s="7" t="n">
        <f aca="false">G32+H32</f>
        <v>1410.4</v>
      </c>
      <c r="J32" s="104" t="n">
        <f aca="false">IF(L32&gt;0,L32,0)</f>
        <v>145.965064280313</v>
      </c>
      <c r="K32" s="7" t="n">
        <f aca="false">I32+J32</f>
        <v>1556.36506428031</v>
      </c>
      <c r="L32" s="7" t="n">
        <f aca="false">F32-(I32-W32)</f>
        <v>145.965064280313</v>
      </c>
      <c r="M32" s="7" t="n">
        <v>264</v>
      </c>
      <c r="N32" s="7" t="n">
        <f aca="false">28.68+27.56*1.05</f>
        <v>57.618</v>
      </c>
      <c r="O32" s="7" t="n">
        <f aca="false">M32-N32</f>
        <v>206.382</v>
      </c>
      <c r="P32" s="7" t="n">
        <v>112</v>
      </c>
      <c r="Q32" s="7" t="n">
        <v>66</v>
      </c>
      <c r="R32" s="7" t="n">
        <f aca="false">SUM(O32:Q32)</f>
        <v>384.382</v>
      </c>
      <c r="S32" s="54"/>
      <c r="T32" s="7" t="n">
        <v>79.63</v>
      </c>
      <c r="U32" s="7" t="n">
        <v>582</v>
      </c>
      <c r="V32" s="8" t="n">
        <v>16197</v>
      </c>
      <c r="W32" s="7" t="n">
        <f aca="false">N32+R32+T32+U32</f>
        <v>1103.63</v>
      </c>
      <c r="X32" s="7" t="n">
        <f aca="false">IF(L32&lt;0,L32*-1,0)</f>
        <v>0</v>
      </c>
      <c r="Y32" s="7" t="n">
        <f aca="false">W32+X32</f>
        <v>1103.63</v>
      </c>
      <c r="Z32" s="11" t="n">
        <v>0</v>
      </c>
      <c r="AA32" s="12" t="n">
        <v>88</v>
      </c>
      <c r="AB32" s="12" t="n">
        <v>45</v>
      </c>
      <c r="AC32" s="13" t="n">
        <f aca="false">AC31+1</f>
        <v>23</v>
      </c>
      <c r="AD32" s="12"/>
      <c r="AE32" s="12"/>
      <c r="AG32" s="7"/>
    </row>
    <row r="33" customFormat="false" ht="11.1" hidden="false" customHeight="true" outlineLevel="0" collapsed="false">
      <c r="A33" s="13" t="n">
        <f aca="false">A32+1</f>
        <v>24</v>
      </c>
      <c r="B33" s="31" t="n">
        <v>6924.38</v>
      </c>
      <c r="C33" s="8" t="n">
        <v>382865</v>
      </c>
      <c r="D33" s="12" t="n">
        <f aca="false">C33-C32</f>
        <v>-359</v>
      </c>
      <c r="E33" s="8" t="n">
        <f aca="false">C33-152000</f>
        <v>230865</v>
      </c>
      <c r="F33" s="7" t="n">
        <f aca="false">D33/$D$2</f>
        <v>-180.993193849256</v>
      </c>
      <c r="G33" s="7" t="n">
        <v>1290</v>
      </c>
      <c r="H33" s="9" t="n">
        <v>0.4</v>
      </c>
      <c r="I33" s="7" t="n">
        <f aca="false">G33+H33</f>
        <v>1290.4</v>
      </c>
      <c r="J33" s="104" t="n">
        <f aca="false">IF(L33&gt;0,L33,0)</f>
        <v>3.26680615074341</v>
      </c>
      <c r="K33" s="7" t="n">
        <f aca="false">I33+J33</f>
        <v>1293.66680615074</v>
      </c>
      <c r="L33" s="7" t="n">
        <f aca="false">F33-(I33-W33)</f>
        <v>3.26680615074341</v>
      </c>
      <c r="M33" s="7" t="n">
        <v>267</v>
      </c>
      <c r="N33" s="7" t="n">
        <f aca="false">26.98+27.06*1.05</f>
        <v>55.393</v>
      </c>
      <c r="O33" s="7" t="n">
        <f aca="false">M33-N33</f>
        <v>211.607</v>
      </c>
      <c r="P33" s="7" t="n">
        <v>112</v>
      </c>
      <c r="Q33" s="7" t="n">
        <v>66</v>
      </c>
      <c r="R33" s="7" t="n">
        <f aca="false">SUM(O33:Q33)</f>
        <v>389.607</v>
      </c>
      <c r="S33" s="54"/>
      <c r="T33" s="7" t="n">
        <v>99.66</v>
      </c>
      <c r="U33" s="7" t="n">
        <v>930</v>
      </c>
      <c r="V33" s="8" t="n">
        <v>16197</v>
      </c>
      <c r="W33" s="7" t="n">
        <f aca="false">N33+R33+T33+U33</f>
        <v>1474.66</v>
      </c>
      <c r="X33" s="7" t="n">
        <f aca="false">IF(L33&lt;0,L33*-1,0)</f>
        <v>0</v>
      </c>
      <c r="Y33" s="7" t="n">
        <f aca="false">W33+X33</f>
        <v>1474.66</v>
      </c>
      <c r="Z33" s="11" t="n">
        <v>0</v>
      </c>
      <c r="AA33" s="12" t="n">
        <v>91</v>
      </c>
      <c r="AB33" s="12" t="n">
        <v>51</v>
      </c>
      <c r="AC33" s="13" t="n">
        <f aca="false">AC32+1</f>
        <v>24</v>
      </c>
      <c r="AD33" s="12"/>
      <c r="AE33" s="12"/>
      <c r="AG33" s="7"/>
    </row>
    <row r="34" customFormat="false" ht="11.1" hidden="false" customHeight="true" outlineLevel="0" collapsed="false">
      <c r="A34" s="13" t="n">
        <f aca="false">A33+1</f>
        <v>25</v>
      </c>
      <c r="B34" s="31" t="n">
        <v>6924.19</v>
      </c>
      <c r="C34" s="8" t="n">
        <v>382012</v>
      </c>
      <c r="D34" s="12" t="n">
        <f aca="false">C34-C33</f>
        <v>-853</v>
      </c>
      <c r="E34" s="8" t="n">
        <f aca="false">C34-152000</f>
        <v>230012</v>
      </c>
      <c r="F34" s="7" t="n">
        <f aca="false">D34/$D$2</f>
        <v>-430.047895134863</v>
      </c>
      <c r="G34" s="7" t="n">
        <v>1150</v>
      </c>
      <c r="H34" s="9" t="n">
        <v>0.5</v>
      </c>
      <c r="I34" s="7" t="n">
        <f aca="false">G34+H34</f>
        <v>1150.5</v>
      </c>
      <c r="J34" s="104" t="n">
        <f aca="false">IF(L34&gt;0,L34,0)</f>
        <v>98.2121048651374</v>
      </c>
      <c r="K34" s="7" t="n">
        <f aca="false">I34+J34</f>
        <v>1248.71210486514</v>
      </c>
      <c r="L34" s="7" t="n">
        <f aca="false">F34-(I34-W34)</f>
        <v>98.2121048651374</v>
      </c>
      <c r="M34" s="7" t="n">
        <v>290</v>
      </c>
      <c r="N34" s="7" t="n">
        <f aca="false">31.65+32.24*1.05</f>
        <v>65.502</v>
      </c>
      <c r="O34" s="7" t="n">
        <f aca="false">M34-N34</f>
        <v>224.498</v>
      </c>
      <c r="P34" s="7" t="n">
        <v>112</v>
      </c>
      <c r="Q34" s="7" t="n">
        <v>66</v>
      </c>
      <c r="R34" s="7" t="n">
        <f aca="false">SUM(O34:Q34)</f>
        <v>402.498</v>
      </c>
      <c r="S34" s="54"/>
      <c r="T34" s="7" t="n">
        <v>100.76</v>
      </c>
      <c r="U34" s="7" t="n">
        <v>1110</v>
      </c>
      <c r="V34" s="8" t="n">
        <v>16197</v>
      </c>
      <c r="W34" s="7" t="n">
        <f aca="false">N34+R34+T34+U34</f>
        <v>1678.76</v>
      </c>
      <c r="X34" s="7" t="n">
        <f aca="false">IF(L34&lt;0,L34*-1,0)</f>
        <v>0</v>
      </c>
      <c r="Y34" s="7" t="n">
        <f aca="false">W34+X34</f>
        <v>1678.76</v>
      </c>
      <c r="Z34" s="11" t="n">
        <v>0</v>
      </c>
      <c r="AA34" s="12" t="n">
        <v>89</v>
      </c>
      <c r="AB34" s="12" t="n">
        <v>53</v>
      </c>
      <c r="AC34" s="13" t="n">
        <f aca="false">AC33+1</f>
        <v>25</v>
      </c>
      <c r="AD34" s="12"/>
      <c r="AE34" s="12"/>
      <c r="AG34" s="7"/>
    </row>
    <row r="35" customFormat="false" ht="11.1" hidden="false" customHeight="true" outlineLevel="0" collapsed="false">
      <c r="A35" s="13" t="n">
        <f aca="false">A34+1</f>
        <v>26</v>
      </c>
      <c r="B35" s="31" t="n">
        <v>6924.08</v>
      </c>
      <c r="C35" s="8" t="n">
        <v>381519</v>
      </c>
      <c r="D35" s="12" t="n">
        <f aca="false">C35-C34</f>
        <v>-493</v>
      </c>
      <c r="E35" s="8" t="n">
        <f aca="false">C35-152000</f>
        <v>229519</v>
      </c>
      <c r="F35" s="7" t="n">
        <f aca="false">D35/$D$2</f>
        <v>-248.550541971263</v>
      </c>
      <c r="G35" s="7" t="n">
        <v>1160</v>
      </c>
      <c r="H35" s="9" t="n">
        <v>0.5</v>
      </c>
      <c r="I35" s="7" t="n">
        <f aca="false">G35+H35</f>
        <v>1160.5</v>
      </c>
      <c r="J35" s="104" t="n">
        <f aca="false">IF(L35&gt;0,L35,0)</f>
        <v>41.589458028737</v>
      </c>
      <c r="K35" s="7" t="n">
        <f aca="false">I35+J35</f>
        <v>1202.08945802874</v>
      </c>
      <c r="L35" s="7" t="n">
        <f aca="false">F35-(I35-W35)</f>
        <v>41.589458028737</v>
      </c>
      <c r="M35" s="7" t="n">
        <v>294</v>
      </c>
      <c r="N35" s="126" t="n">
        <f aca="false">33.49+34.75*1.05</f>
        <v>69.9775</v>
      </c>
      <c r="O35" s="7" t="n">
        <f aca="false">M35-N35</f>
        <v>224.0225</v>
      </c>
      <c r="P35" s="7" t="n">
        <v>111</v>
      </c>
      <c r="Q35" s="7" t="n">
        <v>66</v>
      </c>
      <c r="R35" s="7" t="n">
        <f aca="false">SUM(O35:Q35)</f>
        <v>401.0225</v>
      </c>
      <c r="S35" s="54"/>
      <c r="T35" s="127" t="n">
        <v>109.64</v>
      </c>
      <c r="U35" s="7" t="n">
        <v>870</v>
      </c>
      <c r="V35" s="8" t="n">
        <v>16197</v>
      </c>
      <c r="W35" s="7" t="n">
        <f aca="false">N35+R35+T35+U35</f>
        <v>1450.64</v>
      </c>
      <c r="X35" s="7" t="n">
        <f aca="false">IF(L35&lt;0,L35*-1,0)</f>
        <v>0</v>
      </c>
      <c r="Y35" s="7" t="n">
        <f aca="false">W35+X35</f>
        <v>1450.64</v>
      </c>
      <c r="Z35" s="11" t="n">
        <v>0.18</v>
      </c>
      <c r="AA35" s="12" t="n">
        <v>87</v>
      </c>
      <c r="AB35" s="12" t="n">
        <v>51</v>
      </c>
      <c r="AC35" s="13" t="n">
        <f aca="false">AC34+1</f>
        <v>26</v>
      </c>
      <c r="AD35" s="12"/>
      <c r="AE35" s="12"/>
      <c r="AG35" s="3"/>
    </row>
    <row r="36" customFormat="false" ht="11.1" hidden="false" customHeight="true" outlineLevel="0" collapsed="false">
      <c r="A36" s="13" t="n">
        <f aca="false">A35+1</f>
        <v>27</v>
      </c>
      <c r="B36" s="31" t="n">
        <v>6923.99</v>
      </c>
      <c r="C36" s="8" t="n">
        <v>381115</v>
      </c>
      <c r="D36" s="12" t="n">
        <f aca="false">C36-C35</f>
        <v>-404</v>
      </c>
      <c r="E36" s="8" t="n">
        <f aca="false">C36-152000</f>
        <v>229115</v>
      </c>
      <c r="F36" s="7" t="n">
        <f aca="false">D36/$D$2</f>
        <v>-203.680362994706</v>
      </c>
      <c r="G36" s="7" t="n">
        <v>1090</v>
      </c>
      <c r="H36" s="9" t="n">
        <v>0.5</v>
      </c>
      <c r="I36" s="7" t="n">
        <f aca="false">G36+H36</f>
        <v>1090.5</v>
      </c>
      <c r="J36" s="104" t="n">
        <f aca="false">IF(L36&gt;0,L36,0)</f>
        <v>0</v>
      </c>
      <c r="K36" s="7" t="n">
        <f aca="false">I36+J36</f>
        <v>1090.5</v>
      </c>
      <c r="L36" s="7" t="n">
        <f aca="false">F36-(I36-W36)</f>
        <v>-28.9803629947063</v>
      </c>
      <c r="M36" s="7" t="n">
        <v>296</v>
      </c>
      <c r="N36" s="7" t="n">
        <f aca="false">34.62+33.79*1.05</f>
        <v>70.0995</v>
      </c>
      <c r="O36" s="7" t="n">
        <f aca="false">M36-N36</f>
        <v>225.9005</v>
      </c>
      <c r="P36" s="7" t="n">
        <v>112</v>
      </c>
      <c r="Q36" s="7" t="n">
        <v>66</v>
      </c>
      <c r="R36" s="7" t="n">
        <f aca="false">SUM(O36:Q36)</f>
        <v>403.9005</v>
      </c>
      <c r="S36" s="54"/>
      <c r="T36" s="7" t="n">
        <v>108.2</v>
      </c>
      <c r="U36" s="7" t="n">
        <v>683</v>
      </c>
      <c r="V36" s="8" t="n">
        <v>16197</v>
      </c>
      <c r="W36" s="7" t="n">
        <f aca="false">N36+R36+T36+U36</f>
        <v>1265.2</v>
      </c>
      <c r="X36" s="7" t="n">
        <f aca="false">IF(L36&lt;0,L36*-1,0)</f>
        <v>28.9803629947063</v>
      </c>
      <c r="Y36" s="7" t="n">
        <f aca="false">W36+X36</f>
        <v>1294.18036299471</v>
      </c>
      <c r="Z36" s="11" t="n">
        <v>0</v>
      </c>
      <c r="AA36" s="12" t="n">
        <v>88</v>
      </c>
      <c r="AB36" s="12" t="n">
        <v>52</v>
      </c>
      <c r="AC36" s="13" t="n">
        <f aca="false">AC35+1</f>
        <v>27</v>
      </c>
      <c r="AD36" s="12"/>
      <c r="AE36" s="12"/>
      <c r="AG36" s="7"/>
    </row>
    <row r="37" customFormat="false" ht="11.1" hidden="false" customHeight="true" outlineLevel="0" collapsed="false">
      <c r="A37" s="13" t="n">
        <f aca="false">A36+1</f>
        <v>28</v>
      </c>
      <c r="B37" s="31" t="n">
        <v>6923.95</v>
      </c>
      <c r="C37" s="8" t="n">
        <v>380937</v>
      </c>
      <c r="D37" s="12" t="n">
        <f aca="false">C37-C36</f>
        <v>-178</v>
      </c>
      <c r="E37" s="8" t="n">
        <f aca="false">C37-152000</f>
        <v>228937</v>
      </c>
      <c r="F37" s="7" t="n">
        <f aca="false">D37/$D$2</f>
        <v>-89.7403579531132</v>
      </c>
      <c r="G37" s="7" t="n">
        <v>1030</v>
      </c>
      <c r="H37" s="9" t="n">
        <v>0.3</v>
      </c>
      <c r="I37" s="7" t="n">
        <f aca="false">G37+H37</f>
        <v>1030.3</v>
      </c>
      <c r="J37" s="104" t="n">
        <f aca="false">IF(L37&gt;0,L37,0)</f>
        <v>0</v>
      </c>
      <c r="K37" s="7" t="n">
        <f aca="false">I37+J37</f>
        <v>1030.3</v>
      </c>
      <c r="L37" s="7" t="n">
        <f aca="false">F37-(I37-W37)</f>
        <v>-43.4703579531132</v>
      </c>
      <c r="M37" s="7" t="n">
        <v>309</v>
      </c>
      <c r="N37" s="7" t="n">
        <f aca="false">30.99+31.55*1.05</f>
        <v>64.1175</v>
      </c>
      <c r="O37" s="7" t="n">
        <f aca="false">M37-N37</f>
        <v>244.8825</v>
      </c>
      <c r="P37" s="7" t="n">
        <v>111</v>
      </c>
      <c r="Q37" s="7" t="n">
        <v>69</v>
      </c>
      <c r="R37" s="7" t="n">
        <f aca="false">SUM(O37:Q37)</f>
        <v>424.8825</v>
      </c>
      <c r="S37" s="54"/>
      <c r="T37" s="7" t="n">
        <v>123.57</v>
      </c>
      <c r="U37" s="7" t="n">
        <v>464</v>
      </c>
      <c r="V37" s="8" t="n">
        <v>16197</v>
      </c>
      <c r="W37" s="7" t="n">
        <f aca="false">N37+R37+T37+U37</f>
        <v>1076.57</v>
      </c>
      <c r="X37" s="7" t="n">
        <f aca="false">IF(L37&lt;0,L37*-1,0)</f>
        <v>43.4703579531132</v>
      </c>
      <c r="Y37" s="7" t="n">
        <f aca="false">W37+X37</f>
        <v>1120.04035795311</v>
      </c>
      <c r="Z37" s="11" t="n">
        <v>0</v>
      </c>
      <c r="AA37" s="12" t="n">
        <v>90</v>
      </c>
      <c r="AB37" s="12" t="n">
        <v>50</v>
      </c>
      <c r="AC37" s="13" t="n">
        <f aca="false">AC36+1</f>
        <v>28</v>
      </c>
      <c r="AD37" s="12"/>
      <c r="AE37" s="12"/>
      <c r="AG37" s="7"/>
    </row>
    <row r="38" customFormat="false" ht="11.1" hidden="false" customHeight="true" outlineLevel="0" collapsed="false">
      <c r="A38" s="13" t="n">
        <f aca="false">A37+1</f>
        <v>29</v>
      </c>
      <c r="B38" s="31" t="n">
        <v>6923.94</v>
      </c>
      <c r="C38" s="8" t="n">
        <v>380893</v>
      </c>
      <c r="D38" s="12" t="n">
        <f aca="false">C38-C37</f>
        <v>-44</v>
      </c>
      <c r="E38" s="8" t="n">
        <f aca="false">C38-152000</f>
        <v>228893</v>
      </c>
      <c r="F38" s="7" t="n">
        <f aca="false">D38/$D$2</f>
        <v>-22.1830098311066</v>
      </c>
      <c r="G38" s="7" t="n">
        <v>874</v>
      </c>
      <c r="H38" s="9" t="n">
        <v>0.2</v>
      </c>
      <c r="I38" s="7" t="n">
        <f aca="false">G38+H38</f>
        <v>874.2</v>
      </c>
      <c r="J38" s="104" t="n">
        <f aca="false">IF(L38&gt;0,L38,0)</f>
        <v>7.55699016889338</v>
      </c>
      <c r="K38" s="7" t="n">
        <f aca="false">I38+J38</f>
        <v>881.756990168893</v>
      </c>
      <c r="L38" s="7" t="n">
        <f aca="false">F38-(I38-W38)</f>
        <v>7.55699016889338</v>
      </c>
      <c r="M38" s="7" t="n">
        <v>301</v>
      </c>
      <c r="N38" s="7" t="n">
        <f aca="false">31.51+29.71</f>
        <v>61.22</v>
      </c>
      <c r="O38" s="7" t="n">
        <f aca="false">M38-N38</f>
        <v>239.78</v>
      </c>
      <c r="P38" s="7" t="n">
        <v>110</v>
      </c>
      <c r="Q38" s="7" t="n">
        <v>71</v>
      </c>
      <c r="R38" s="7" t="n">
        <f aca="false">SUM(O38:Q38)</f>
        <v>420.78</v>
      </c>
      <c r="S38" s="54"/>
      <c r="T38" s="7" t="n">
        <v>157.94</v>
      </c>
      <c r="U38" s="7" t="n">
        <v>264</v>
      </c>
      <c r="V38" s="8" t="n">
        <v>16197</v>
      </c>
      <c r="W38" s="7" t="n">
        <f aca="false">N38+R38+T38+U38</f>
        <v>903.94</v>
      </c>
      <c r="X38" s="7" t="n">
        <f aca="false">IF(L38&lt;0,L38*-1,0)</f>
        <v>0</v>
      </c>
      <c r="Y38" s="7" t="n">
        <f aca="false">W38+X38</f>
        <v>903.94</v>
      </c>
      <c r="Z38" s="11" t="n">
        <v>0</v>
      </c>
      <c r="AA38" s="12" t="n">
        <v>89</v>
      </c>
      <c r="AB38" s="12" t="n">
        <v>50</v>
      </c>
      <c r="AC38" s="13" t="n">
        <f aca="false">AC37+1</f>
        <v>29</v>
      </c>
      <c r="AD38" s="12"/>
      <c r="AE38" s="12"/>
      <c r="AG38" s="7"/>
    </row>
    <row r="39" customFormat="false" ht="11.1" hidden="false" customHeight="true" outlineLevel="0" collapsed="false">
      <c r="A39" s="13" t="n">
        <v>30</v>
      </c>
      <c r="B39" s="31" t="n">
        <v>6923.95</v>
      </c>
      <c r="C39" s="8" t="n">
        <v>380937</v>
      </c>
      <c r="D39" s="12" t="n">
        <f aca="false">C39-C38</f>
        <v>44</v>
      </c>
      <c r="E39" s="8" t="n">
        <f aca="false">C39-152000</f>
        <v>228937</v>
      </c>
      <c r="F39" s="7" t="n">
        <f aca="false">D39/$D$2</f>
        <v>22.1830098311066</v>
      </c>
      <c r="G39" s="7" t="n">
        <v>766</v>
      </c>
      <c r="H39" s="9" t="n">
        <v>0.2</v>
      </c>
      <c r="I39" s="7" t="n">
        <f aca="false">G39+H39</f>
        <v>766.2</v>
      </c>
      <c r="J39" s="104" t="n">
        <f aca="false">IF(L39&gt;0,L39,0)</f>
        <v>11.0630098311066</v>
      </c>
      <c r="K39" s="7" t="n">
        <f aca="false">I39+J39</f>
        <v>777.263009831107</v>
      </c>
      <c r="L39" s="7" t="n">
        <f aca="false">F39-(I39-W39)</f>
        <v>11.0630098311066</v>
      </c>
      <c r="M39" s="7" t="n">
        <v>298</v>
      </c>
      <c r="N39" s="7" t="n">
        <f aca="false">25.73+27.01*1.05</f>
        <v>54.0905</v>
      </c>
      <c r="O39" s="7" t="n">
        <f aca="false">M39-N39</f>
        <v>243.9095</v>
      </c>
      <c r="P39" s="7" t="n">
        <v>110</v>
      </c>
      <c r="Q39" s="7" t="n">
        <v>71</v>
      </c>
      <c r="R39" s="7" t="n">
        <f aca="false">SUM(O39:Q39)</f>
        <v>424.9095</v>
      </c>
      <c r="S39" s="54"/>
      <c r="T39" s="7" t="n">
        <v>183.08</v>
      </c>
      <c r="U39" s="7" t="n">
        <v>93</v>
      </c>
      <c r="V39" s="8" t="n">
        <f aca="false">V38-U39</f>
        <v>16104</v>
      </c>
      <c r="W39" s="7" t="n">
        <f aca="false">N39+R39+T39+U39</f>
        <v>755.08</v>
      </c>
      <c r="X39" s="7" t="n">
        <f aca="false">IF(L39&lt;0,L39*-1,0)</f>
        <v>0</v>
      </c>
      <c r="Y39" s="7" t="n">
        <f aca="false">W39+X39</f>
        <v>755.08</v>
      </c>
      <c r="Z39" s="11" t="n">
        <v>0</v>
      </c>
      <c r="AA39" s="12" t="n">
        <v>92</v>
      </c>
      <c r="AB39" s="12" t="n">
        <v>52</v>
      </c>
      <c r="AC39" s="13" t="n">
        <v>30</v>
      </c>
      <c r="AD39" s="12"/>
      <c r="AE39" s="12"/>
      <c r="AG39" s="7"/>
    </row>
    <row r="40" customFormat="false" ht="3" hidden="false" customHeight="true" outlineLevel="0" collapsed="false">
      <c r="A40" s="33"/>
      <c r="B40" s="33"/>
      <c r="C40" s="35"/>
      <c r="D40" s="33"/>
      <c r="E40" s="35"/>
      <c r="F40" s="33"/>
      <c r="G40" s="33"/>
      <c r="H40" s="36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5"/>
      <c r="T40" s="33"/>
      <c r="U40" s="33"/>
      <c r="V40" s="33"/>
      <c r="W40" s="33"/>
      <c r="X40" s="33"/>
      <c r="Y40" s="33"/>
      <c r="Z40" s="37"/>
      <c r="AA40" s="38"/>
      <c r="AB40" s="38"/>
      <c r="AC40" s="39"/>
      <c r="AD40" s="101"/>
      <c r="AE40" s="101"/>
    </row>
    <row r="41" customFormat="false" ht="11.1" hidden="false" customHeight="true" outlineLevel="0" collapsed="false">
      <c r="A41" s="7" t="s">
        <v>45</v>
      </c>
      <c r="B41" s="7"/>
      <c r="C41" s="8"/>
      <c r="D41" s="8"/>
      <c r="E41" s="8"/>
      <c r="F41" s="8" t="n">
        <f aca="false">SUM(F10:F39)</f>
        <v>5240.73607259894</v>
      </c>
      <c r="G41" s="8" t="n">
        <f aca="false">SUM(G10:G39)</f>
        <v>45840</v>
      </c>
      <c r="H41" s="8" t="n">
        <f aca="false">SUM(H10:H39)</f>
        <v>67.5</v>
      </c>
      <c r="I41" s="8" t="n">
        <f aca="false">SUM(I10:I39)</f>
        <v>45907.5</v>
      </c>
      <c r="J41" s="8" t="n">
        <f aca="false">SUM(J10:J39)</f>
        <v>2306.21750693219</v>
      </c>
      <c r="K41" s="8" t="n">
        <f aca="false">SUM(K10:K39)</f>
        <v>48213.7175069322</v>
      </c>
      <c r="L41" s="8" t="n">
        <f aca="false">SUM(L10:L39)</f>
        <v>2163.05607259894</v>
      </c>
      <c r="M41" s="8" t="n">
        <f aca="false">SUM(M10:M39)</f>
        <v>8068</v>
      </c>
      <c r="N41" s="8" t="n">
        <f aca="false">SUM(N10:N39)</f>
        <v>1457.9228</v>
      </c>
      <c r="O41" s="8" t="n">
        <f aca="false">SUM(O10:O39)</f>
        <v>6610.0772</v>
      </c>
      <c r="P41" s="8" t="n">
        <f aca="false">SUM(P10:P39)</f>
        <v>5845</v>
      </c>
      <c r="Q41" s="8" t="n">
        <f aca="false">SUM(Q10:Q39)</f>
        <v>2302</v>
      </c>
      <c r="R41" s="8" t="n">
        <f aca="false">SUM(R10:R39)</f>
        <v>14757.0772</v>
      </c>
      <c r="S41" s="8" t="n">
        <f aca="false">S39</f>
        <v>0</v>
      </c>
      <c r="T41" s="8" t="n">
        <f aca="false">SUM(T10:T39)</f>
        <v>4080.82</v>
      </c>
      <c r="U41" s="8" t="n">
        <f aca="false">SUM(U10:U39)</f>
        <v>22534</v>
      </c>
      <c r="V41" s="8"/>
      <c r="W41" s="8" t="n">
        <f aca="false">SUM(W10:W39)</f>
        <v>42829.82</v>
      </c>
      <c r="X41" s="8" t="n">
        <f aca="false">SUM(X10:X39)</f>
        <v>143.161434333249</v>
      </c>
      <c r="Y41" s="8" t="n">
        <f aca="false">SUM(Y10:Y39)</f>
        <v>42972.9814343332</v>
      </c>
      <c r="Z41" s="11" t="n">
        <f aca="false">SUM(Z10:Z39)</f>
        <v>1.46</v>
      </c>
      <c r="AA41" s="12" t="n">
        <f aca="false">AVERAGE(AA10:AA39)</f>
        <v>80.8</v>
      </c>
      <c r="AB41" s="12" t="n">
        <f aca="false">AVERAGE(AB10:AB39)</f>
        <v>46.0333333333333</v>
      </c>
      <c r="AC41" s="13"/>
      <c r="AD41" s="101"/>
      <c r="AE41" s="101"/>
    </row>
    <row r="42" customFormat="false" ht="11.1" hidden="false" customHeight="true" outlineLevel="0" collapsed="false">
      <c r="A42" s="7" t="s">
        <v>46</v>
      </c>
      <c r="B42" s="7"/>
      <c r="C42" s="8"/>
      <c r="D42" s="8" t="n">
        <f aca="false">SUM(D10:D39)</f>
        <v>10395</v>
      </c>
      <c r="E42" s="8"/>
      <c r="F42" s="8" t="n">
        <f aca="false">F41*$D$2</f>
        <v>10395</v>
      </c>
      <c r="G42" s="8" t="n">
        <f aca="false">G41*$D$2</f>
        <v>90923.64</v>
      </c>
      <c r="H42" s="8" t="n">
        <f aca="false">H41*$D$2</f>
        <v>133.88625</v>
      </c>
      <c r="I42" s="8" t="n">
        <f aca="false">I41*$D$2</f>
        <v>91057.52625</v>
      </c>
      <c r="J42" s="8" t="n">
        <f aca="false">J41*$D$2</f>
        <v>4574.382425</v>
      </c>
      <c r="K42" s="8" t="n">
        <f aca="false">K41*$D$2</f>
        <v>95631.908675</v>
      </c>
      <c r="L42" s="8" t="n">
        <f aca="false">L41*$D$2</f>
        <v>4290.42172</v>
      </c>
      <c r="M42" s="8" t="n">
        <f aca="false">M41*$D$2</f>
        <v>16002.878</v>
      </c>
      <c r="N42" s="8" t="n">
        <f aca="false">N41*$D$2</f>
        <v>2891.7898738</v>
      </c>
      <c r="O42" s="8" t="n">
        <f aca="false">O41*$D$2</f>
        <v>13111.0881262</v>
      </c>
      <c r="P42" s="8" t="n">
        <f aca="false">P41*$D$2</f>
        <v>11593.5575</v>
      </c>
      <c r="Q42" s="8" t="n">
        <f aca="false">Q41*$D$2</f>
        <v>4566.017</v>
      </c>
      <c r="R42" s="8" t="n">
        <f aca="false">R41*$D$2</f>
        <v>29270.6626262</v>
      </c>
      <c r="S42" s="8" t="n">
        <f aca="false">S41*$D$2</f>
        <v>0</v>
      </c>
      <c r="T42" s="8" t="n">
        <f aca="false">T41*$D$2</f>
        <v>8094.30647</v>
      </c>
      <c r="U42" s="8" t="n">
        <f aca="false">U41*$D$2</f>
        <v>44696.189</v>
      </c>
      <c r="V42" s="8"/>
      <c r="W42" s="8" t="n">
        <f aca="false">W41*$D$2</f>
        <v>84952.94797</v>
      </c>
      <c r="X42" s="8" t="n">
        <f aca="false">X41*$D$2</f>
        <v>283.960705</v>
      </c>
      <c r="Y42" s="8" t="n">
        <f aca="false">Y41*$D$2</f>
        <v>85236.908675</v>
      </c>
      <c r="Z42" s="11"/>
      <c r="AA42" s="12" t="n">
        <f aca="false">MAX(AA10:AA39)</f>
        <v>92</v>
      </c>
      <c r="AB42" s="12" t="n">
        <f aca="false">MAX(AB10:AB39)</f>
        <v>53</v>
      </c>
      <c r="AC42" s="13" t="s">
        <v>47</v>
      </c>
      <c r="AD42" s="101"/>
      <c r="AE42" s="101"/>
    </row>
    <row r="43" customFormat="false" ht="3" hidden="false" customHeight="true" outlineLevel="0" collapsed="false">
      <c r="A43" s="33"/>
      <c r="B43" s="33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3"/>
      <c r="W43" s="35"/>
      <c r="X43" s="35"/>
      <c r="Y43" s="35"/>
      <c r="Z43" s="11"/>
      <c r="AA43" s="12"/>
      <c r="AB43" s="12"/>
      <c r="AC43" s="13"/>
      <c r="AD43" s="101"/>
      <c r="AE43" s="101"/>
    </row>
    <row r="44" customFormat="false" ht="11.1" hidden="false" customHeight="true" outlineLevel="0" collapsed="false">
      <c r="A44" s="7" t="s">
        <v>48</v>
      </c>
      <c r="B44" s="7"/>
      <c r="C44" s="8"/>
      <c r="D44" s="8"/>
      <c r="E44" s="8"/>
      <c r="F44" s="8" t="n">
        <f aca="false">F7+F41</f>
        <v>51156.0373077893</v>
      </c>
      <c r="G44" s="8" t="n">
        <f aca="false">G7+G41</f>
        <v>117717</v>
      </c>
      <c r="H44" s="12" t="n">
        <f aca="false">H7+H41</f>
        <v>4562.2</v>
      </c>
      <c r="I44" s="8" t="n">
        <f aca="false">I7+I41</f>
        <v>122279.2</v>
      </c>
      <c r="J44" s="8" t="n">
        <f aca="false">J7+J41</f>
        <v>17596.0787421225</v>
      </c>
      <c r="K44" s="8" t="n">
        <f aca="false">K7+K41</f>
        <v>139875.278742123</v>
      </c>
      <c r="L44" s="8" t="n">
        <f aca="false">L7+L41</f>
        <v>17452.9173077893</v>
      </c>
      <c r="M44" s="8" t="n">
        <f aca="false">M7+M41</f>
        <v>14898.6</v>
      </c>
      <c r="N44" s="8" t="n">
        <f aca="false">N7+N41</f>
        <v>3397.1148</v>
      </c>
      <c r="O44" s="8" t="n">
        <f aca="false">O7+O41</f>
        <v>11501.4852</v>
      </c>
      <c r="P44" s="8" t="n">
        <f aca="false">P7+P41</f>
        <v>7409</v>
      </c>
      <c r="Q44" s="8" t="n">
        <f aca="false">Q7+Q41</f>
        <v>3666.3</v>
      </c>
      <c r="R44" s="8" t="n">
        <f aca="false">R7+R41</f>
        <v>22576.7852</v>
      </c>
      <c r="S44" s="8" t="n">
        <f aca="false">S39</f>
        <v>0</v>
      </c>
      <c r="T44" s="8" t="n">
        <f aca="false">T7+T41</f>
        <v>6731.18</v>
      </c>
      <c r="U44" s="8" t="n">
        <f aca="false">U7+U41</f>
        <v>55871</v>
      </c>
      <c r="V44" s="8" t="n">
        <v>0</v>
      </c>
      <c r="W44" s="8" t="n">
        <f aca="false">W7+W41</f>
        <v>88576.08</v>
      </c>
      <c r="X44" s="8" t="n">
        <f aca="false">X7+X41</f>
        <v>143.161434333249</v>
      </c>
      <c r="Y44" s="8" t="n">
        <f aca="false">Y7+Y41</f>
        <v>88719.2414343333</v>
      </c>
      <c r="Z44" s="11"/>
      <c r="AA44" s="12" t="n">
        <f aca="false">MIN(AA10:AA39)</f>
        <v>66</v>
      </c>
      <c r="AB44" s="12" t="n">
        <f aca="false">MIN(AB10:AB39)</f>
        <v>24</v>
      </c>
      <c r="AC44" s="13" t="s">
        <v>49</v>
      </c>
      <c r="AD44" s="101"/>
      <c r="AE44" s="101"/>
    </row>
    <row r="45" customFormat="false" ht="11.1" hidden="false" customHeight="true" outlineLevel="0" collapsed="false">
      <c r="A45" s="7" t="s">
        <v>50</v>
      </c>
      <c r="B45" s="7"/>
      <c r="C45" s="8"/>
      <c r="D45" s="8" t="n">
        <f aca="false">D7+D42</f>
        <v>10395</v>
      </c>
      <c r="E45" s="8"/>
      <c r="F45" s="8" t="n">
        <f aca="false">F44*$D$2</f>
        <v>101468</v>
      </c>
      <c r="G45" s="8" t="n">
        <f aca="false">G44*$D$2</f>
        <v>233491.6695</v>
      </c>
      <c r="H45" s="12" t="n">
        <f aca="false">H44*$D$2</f>
        <v>9049.1237</v>
      </c>
      <c r="I45" s="8" t="n">
        <f aca="false">I44*$D$2</f>
        <v>242540.7932</v>
      </c>
      <c r="J45" s="8" t="n">
        <f aca="false">J44*$D$2</f>
        <v>34901.822185</v>
      </c>
      <c r="K45" s="8" t="n">
        <f aca="false">K44*$D$2</f>
        <v>277442.615385</v>
      </c>
      <c r="L45" s="8" t="n">
        <f aca="false">L44*$D$2</f>
        <v>34617.86148</v>
      </c>
      <c r="M45" s="8" t="n">
        <f aca="false">M44*$D$2</f>
        <v>29551.3731</v>
      </c>
      <c r="N45" s="8" t="n">
        <f aca="false">N44*$D$2</f>
        <v>6738.1772058</v>
      </c>
      <c r="O45" s="8" t="n">
        <f aca="false">O44*$D$2</f>
        <v>22813.1958942</v>
      </c>
      <c r="P45" s="8" t="n">
        <f aca="false">P44*$D$2</f>
        <v>14695.7515</v>
      </c>
      <c r="Q45" s="8" t="n">
        <f aca="false">Q44*$D$2</f>
        <v>7272.10605</v>
      </c>
      <c r="R45" s="8" t="n">
        <f aca="false">R44*$D$2</f>
        <v>44781.0534442</v>
      </c>
      <c r="S45" s="8" t="n">
        <f aca="false">S44*$D$2</f>
        <v>0</v>
      </c>
      <c r="T45" s="8" t="n">
        <f aca="false">T44*$D$2</f>
        <v>13351.29553</v>
      </c>
      <c r="U45" s="8" t="n">
        <f aca="false">U44*$D$2</f>
        <v>110820.1285</v>
      </c>
      <c r="V45" s="8" t="n">
        <v>0</v>
      </c>
      <c r="W45" s="8" t="n">
        <f aca="false">W44*$D$2</f>
        <v>175690.65468</v>
      </c>
      <c r="X45" s="8" t="n">
        <f aca="false">X44*$D$2</f>
        <v>283.960705</v>
      </c>
      <c r="Y45" s="8" t="n">
        <f aca="false">Y44*$D$2</f>
        <v>175974.615385</v>
      </c>
      <c r="Z45" s="11"/>
      <c r="AA45" s="12"/>
      <c r="AB45" s="12"/>
      <c r="AC45" s="13"/>
      <c r="AD45" s="101"/>
      <c r="AE45" s="101"/>
    </row>
    <row r="46" customFormat="false" ht="3" hidden="false" customHeight="true" outlineLevel="0" collapsed="false">
      <c r="A46" s="33"/>
      <c r="B46" s="33"/>
      <c r="C46" s="35"/>
      <c r="D46" s="35"/>
      <c r="E46" s="35"/>
      <c r="F46" s="35"/>
      <c r="G46" s="35"/>
      <c r="H46" s="38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7"/>
      <c r="AA46" s="12"/>
      <c r="AB46" s="12"/>
      <c r="AC46" s="13"/>
      <c r="AD46" s="101"/>
      <c r="AE46" s="101"/>
    </row>
    <row r="47" customFormat="false" ht="11.1" hidden="false" customHeight="true" outlineLevel="0" collapsed="false">
      <c r="A47" s="7" t="s">
        <v>51</v>
      </c>
      <c r="B47" s="7"/>
      <c r="C47" s="8"/>
      <c r="D47" s="8"/>
      <c r="E47" s="8"/>
      <c r="F47" s="8" t="n">
        <f aca="false">F8+F41</f>
        <v>61919.8386690194</v>
      </c>
      <c r="G47" s="8" t="n">
        <f aca="false">G8+G41</f>
        <v>132150</v>
      </c>
      <c r="H47" s="12" t="n">
        <f aca="false">H8+H41</f>
        <v>4892.5</v>
      </c>
      <c r="I47" s="8" t="n">
        <f aca="false">I8+I41</f>
        <v>137037.4</v>
      </c>
      <c r="J47" s="8" t="n">
        <f aca="false">J8+J41</f>
        <v>21846.4466775901</v>
      </c>
      <c r="K47" s="8" t="n">
        <f aca="false">K8+K41</f>
        <v>158886.551366272</v>
      </c>
      <c r="L47" s="8" t="n">
        <f aca="false">L8+L41</f>
        <v>21160.4186690194</v>
      </c>
      <c r="M47" s="8" t="n">
        <f aca="false">M8+M41</f>
        <v>16134.4</v>
      </c>
      <c r="N47" s="8" t="n">
        <f aca="false">N8+N41</f>
        <v>3472.6833</v>
      </c>
      <c r="O47" s="8" t="n">
        <f aca="false">O8+O41</f>
        <v>12376.1167</v>
      </c>
      <c r="P47" s="8" t="n">
        <f aca="false">P8+P41</f>
        <v>7409</v>
      </c>
      <c r="Q47" s="8" t="n">
        <f aca="false">Q8+Q41</f>
        <v>3796.4</v>
      </c>
      <c r="R47" s="8" t="n">
        <f aca="false">R8+R41</f>
        <v>23811.9392</v>
      </c>
      <c r="S47" s="8" t="n">
        <f aca="false">S39</f>
        <v>0</v>
      </c>
      <c r="T47" s="8" t="n">
        <f aca="false">T8+T41</f>
        <v>6731.18</v>
      </c>
      <c r="U47" s="8" t="n">
        <f aca="false">U8+U41</f>
        <v>62207</v>
      </c>
      <c r="V47" s="8" t="n">
        <f aca="false">V39</f>
        <v>16104</v>
      </c>
      <c r="W47" s="8" t="n">
        <f aca="false">W8+W41</f>
        <v>96277.98</v>
      </c>
      <c r="X47" s="8" t="n">
        <f aca="false">X8+X41</f>
        <v>686.028008570708</v>
      </c>
      <c r="Y47" s="8" t="n">
        <f aca="false">Y8+Y41</f>
        <v>96964.0080085707</v>
      </c>
      <c r="Z47" s="32" t="n">
        <f aca="false">Z8+Z41</f>
        <v>10.68</v>
      </c>
      <c r="AA47" s="12"/>
      <c r="AB47" s="12"/>
      <c r="AC47" s="13"/>
      <c r="AD47" s="101"/>
      <c r="AE47" s="101"/>
    </row>
    <row r="48" customFormat="false" ht="11.1" hidden="false" customHeight="true" outlineLevel="0" collapsed="false">
      <c r="A48" s="7" t="s">
        <v>52</v>
      </c>
      <c r="B48" s="7"/>
      <c r="C48" s="8"/>
      <c r="D48" s="8" t="n">
        <f aca="false">D8+D42</f>
        <v>122818</v>
      </c>
      <c r="E48" s="8" t="n">
        <f aca="false">E39</f>
        <v>228937</v>
      </c>
      <c r="F48" s="8" t="n">
        <f aca="false">F47*$D$2</f>
        <v>122818</v>
      </c>
      <c r="G48" s="8" t="n">
        <f aca="false">G47*$D$2</f>
        <v>262119.525</v>
      </c>
      <c r="H48" s="12" t="n">
        <f aca="false">H47*$D$2</f>
        <v>9704.27375</v>
      </c>
      <c r="I48" s="8" t="n">
        <f aca="false">I47*$D$2</f>
        <v>271813.6829</v>
      </c>
      <c r="J48" s="8" t="n">
        <f aca="false">J47*$D$2</f>
        <v>43332.426985</v>
      </c>
      <c r="K48" s="8" t="n">
        <f aca="false">K47*$D$2</f>
        <v>315151.474635</v>
      </c>
      <c r="L48" s="8" t="n">
        <f aca="false">L47*$D$2</f>
        <v>41971.69043</v>
      </c>
      <c r="M48" s="8" t="n">
        <f aca="false">M47*$D$2</f>
        <v>32002.5824</v>
      </c>
      <c r="N48" s="8" t="n">
        <f aca="false">N47*$D$2</f>
        <v>6888.06732555</v>
      </c>
      <c r="O48" s="8" t="n">
        <f aca="false">O47*$D$2</f>
        <v>24548.02747445</v>
      </c>
      <c r="P48" s="8" t="n">
        <f aca="false">P47*$D$2</f>
        <v>14695.7515</v>
      </c>
      <c r="Q48" s="8" t="n">
        <f aca="false">Q47*$D$2</f>
        <v>7530.1594</v>
      </c>
      <c r="R48" s="8" t="n">
        <f aca="false">R47*$D$2</f>
        <v>47230.9814032</v>
      </c>
      <c r="S48" s="8" t="n">
        <f aca="false">S47*$D$2</f>
        <v>0</v>
      </c>
      <c r="T48" s="8" t="n">
        <f aca="false">T47*$D$2</f>
        <v>13351.29553</v>
      </c>
      <c r="U48" s="8" t="n">
        <f aca="false">U47*$D$2</f>
        <v>123387.5845</v>
      </c>
      <c r="V48" s="8" t="n">
        <f aca="false">V47*$D$2</f>
        <v>31942.284</v>
      </c>
      <c r="W48" s="8" t="n">
        <f aca="false">W47*$D$2</f>
        <v>190967.37333</v>
      </c>
      <c r="X48" s="8" t="n">
        <f aca="false">X47*$D$2</f>
        <v>1360.736555</v>
      </c>
      <c r="Y48" s="8" t="n">
        <f aca="false">Y47*$D$2</f>
        <v>192328.109885</v>
      </c>
      <c r="Z48" s="11"/>
      <c r="AA48" s="12"/>
      <c r="AB48" s="12"/>
      <c r="AC48" s="13"/>
      <c r="AD48" s="101"/>
      <c r="AE48" s="101"/>
    </row>
    <row r="49" customFormat="false" ht="3" hidden="false" customHeight="true" outlineLevel="0" collapsed="false">
      <c r="A49" s="33"/>
      <c r="B49" s="33"/>
      <c r="C49" s="35"/>
      <c r="D49" s="33"/>
      <c r="E49" s="35"/>
      <c r="F49" s="33"/>
      <c r="G49" s="33"/>
      <c r="H49" s="36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5"/>
      <c r="T49" s="33"/>
      <c r="U49" s="33"/>
      <c r="V49" s="35"/>
      <c r="W49" s="33"/>
      <c r="X49" s="33"/>
      <c r="Y49" s="33"/>
      <c r="Z49" s="11"/>
      <c r="AA49" s="12"/>
      <c r="AB49" s="12"/>
      <c r="AC49" s="13"/>
      <c r="AD49" s="101"/>
      <c r="AE49" s="101"/>
    </row>
    <row r="50" customFormat="false" ht="14.1" hidden="false" customHeight="true" outlineLevel="0" collapsed="false">
      <c r="A50" s="42" t="str">
        <f aca="false">"6/12/97 thru 7/10/97"</f>
        <v>6/12/97 thru 7/10/97</v>
      </c>
      <c r="B50" s="43"/>
      <c r="C50" s="8"/>
      <c r="D50" s="7"/>
      <c r="E50" s="8"/>
      <c r="F50" s="7"/>
      <c r="G50" s="128" t="s">
        <v>77</v>
      </c>
      <c r="H50" s="9"/>
      <c r="I50" s="7"/>
      <c r="J50" s="7"/>
      <c r="K50" s="129" t="n">
        <f aca="false">67300+112800+78200</f>
        <v>258300</v>
      </c>
      <c r="L50" s="7"/>
      <c r="M50" s="7"/>
      <c r="N50" s="7"/>
      <c r="O50" s="7"/>
      <c r="P50" s="7"/>
      <c r="Q50" s="7"/>
      <c r="R50" s="7" t="s">
        <v>78</v>
      </c>
      <c r="S50" s="8" t="n">
        <f aca="false">72000-R45</f>
        <v>27218.9465558</v>
      </c>
      <c r="T50" s="7"/>
      <c r="U50" s="7"/>
      <c r="V50" s="8"/>
      <c r="W50" s="7"/>
      <c r="X50" s="7"/>
      <c r="Y50" s="7"/>
      <c r="Z50" s="11"/>
      <c r="AA50" s="12"/>
      <c r="AB50" s="12"/>
      <c r="AC50" s="13"/>
      <c r="AD50" s="101"/>
      <c r="AE50" s="101"/>
    </row>
    <row r="51" customFormat="false" ht="11.1" hidden="false" customHeight="true" outlineLevel="0" collapsed="false">
      <c r="A51" s="7"/>
      <c r="B51" s="31" t="n">
        <v>6923.37</v>
      </c>
      <c r="C51" s="8" t="n">
        <v>378356</v>
      </c>
      <c r="D51" s="41"/>
      <c r="E51" s="8" t="n">
        <f aca="false">C51-152000</f>
        <v>226356</v>
      </c>
      <c r="F51" s="7"/>
      <c r="G51" s="7" t="s">
        <v>79</v>
      </c>
      <c r="H51" s="41"/>
      <c r="I51" s="9"/>
      <c r="J51" s="7"/>
      <c r="K51" s="44" t="n">
        <f aca="false">K45/K50</f>
        <v>1.07411000923345</v>
      </c>
      <c r="L51" s="7"/>
      <c r="M51" s="7"/>
      <c r="N51" s="7"/>
      <c r="O51" s="7"/>
      <c r="P51" s="7" t="s">
        <v>80</v>
      </c>
      <c r="Q51" s="7"/>
      <c r="R51" s="7" t="s">
        <v>81</v>
      </c>
      <c r="S51" s="8" t="n">
        <v>1467</v>
      </c>
      <c r="T51" s="7"/>
      <c r="U51" s="7"/>
      <c r="V51" s="8"/>
      <c r="W51" s="7"/>
      <c r="X51" s="7"/>
      <c r="Y51" s="7"/>
      <c r="Z51" s="11"/>
      <c r="AA51" s="12"/>
      <c r="AB51" s="12"/>
      <c r="AC51" s="13"/>
      <c r="AD51" s="101"/>
      <c r="AE51" s="101"/>
    </row>
    <row r="52" customFormat="false" ht="11.1" hidden="false" customHeight="true" outlineLevel="0" collapsed="false">
      <c r="B52" s="41"/>
      <c r="C52" s="8"/>
      <c r="D52" s="8"/>
      <c r="E52" s="8"/>
      <c r="F52" s="41"/>
      <c r="G52" s="128" t="s">
        <v>82</v>
      </c>
      <c r="H52" s="9"/>
      <c r="I52" s="41"/>
      <c r="J52" s="41"/>
      <c r="K52" s="129" t="n">
        <f aca="false">19700+67300+112800+78200</f>
        <v>278000</v>
      </c>
      <c r="L52" s="41"/>
      <c r="M52" s="32"/>
      <c r="N52" s="32"/>
      <c r="O52" s="32"/>
      <c r="P52" s="41"/>
      <c r="Q52" s="41"/>
      <c r="R52" s="7" t="s">
        <v>83</v>
      </c>
      <c r="S52" s="8" t="n">
        <v>3400</v>
      </c>
      <c r="T52" s="41"/>
      <c r="U52" s="41"/>
      <c r="V52" s="8"/>
      <c r="W52" s="41"/>
      <c r="X52" s="41"/>
      <c r="Y52" s="41"/>
      <c r="Z52" s="11"/>
      <c r="AA52" s="12"/>
      <c r="AB52" s="12"/>
      <c r="AC52" s="13"/>
      <c r="AD52" s="106"/>
      <c r="AE52" s="106"/>
    </row>
    <row r="53" customFormat="false" ht="11.1" hidden="false" customHeight="true" outlineLevel="0" collapsed="false">
      <c r="A53" s="41"/>
      <c r="B53" s="11" t="n">
        <f aca="false">B51-B21</f>
        <v>-0.850000000000364</v>
      </c>
      <c r="C53" s="8"/>
      <c r="D53" s="8" t="n">
        <f aca="false">C51-C21</f>
        <v>-3791</v>
      </c>
      <c r="E53" s="8"/>
      <c r="F53" s="41"/>
      <c r="G53" s="128" t="s">
        <v>84</v>
      </c>
      <c r="H53" s="9"/>
      <c r="I53" s="41"/>
      <c r="J53" s="41"/>
      <c r="K53" s="30" t="n">
        <f aca="false">59486+K45</f>
        <v>336928.615385</v>
      </c>
      <c r="L53" s="41"/>
      <c r="M53" s="32"/>
      <c r="N53" s="32"/>
      <c r="O53" s="32"/>
      <c r="P53" s="41"/>
      <c r="Q53" s="41"/>
      <c r="R53" s="41" t="s">
        <v>85</v>
      </c>
      <c r="S53" s="8" t="n">
        <v>2700</v>
      </c>
      <c r="T53" s="41"/>
      <c r="U53" s="41"/>
      <c r="V53" s="8"/>
      <c r="W53" s="41"/>
      <c r="X53" s="41"/>
      <c r="Y53" s="41"/>
      <c r="Z53" s="11"/>
      <c r="AA53" s="12"/>
      <c r="AB53" s="12"/>
      <c r="AC53" s="13"/>
      <c r="AD53" s="106"/>
      <c r="AE53" s="106"/>
    </row>
    <row r="54" customFormat="false" ht="11.1" hidden="false" customHeight="true" outlineLevel="0" collapsed="false">
      <c r="A54" s="41"/>
      <c r="B54" s="41"/>
      <c r="C54" s="8"/>
      <c r="D54" s="41"/>
      <c r="E54" s="8"/>
      <c r="F54" s="41"/>
      <c r="G54" s="7" t="s">
        <v>86</v>
      </c>
      <c r="H54" s="9"/>
      <c r="I54" s="41"/>
      <c r="J54" s="41"/>
      <c r="K54" s="44" t="n">
        <f aca="false">K53/K52</f>
        <v>1.21197343663669</v>
      </c>
      <c r="L54" s="41"/>
      <c r="M54" s="32"/>
      <c r="N54" s="32"/>
      <c r="O54" s="32"/>
      <c r="P54" s="41"/>
      <c r="Q54" s="41"/>
      <c r="R54" s="41" t="s">
        <v>74</v>
      </c>
      <c r="S54" s="8" t="n">
        <f aca="false">SUM(S50:S53)</f>
        <v>34785.9465558</v>
      </c>
      <c r="T54" s="41"/>
      <c r="U54" s="41"/>
      <c r="V54" s="8"/>
      <c r="W54" s="41"/>
      <c r="X54" s="41"/>
      <c r="Y54" s="41"/>
      <c r="Z54" s="11"/>
      <c r="AA54" s="12"/>
      <c r="AB54" s="12"/>
      <c r="AC54" s="13"/>
      <c r="AD54" s="106"/>
      <c r="AE54" s="106"/>
    </row>
    <row r="55" customFormat="false" ht="11.1" hidden="false" customHeight="true" outlineLevel="0" collapsed="false">
      <c r="R55" s="41" t="s">
        <v>87</v>
      </c>
      <c r="S55" s="8" t="n">
        <f aca="false">S54/$D$2</f>
        <v>17537.6589643559</v>
      </c>
    </row>
  </sheetData>
  <mergeCells count="2">
    <mergeCell ref="K2:V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W21" activePane="bottomRight" state="frozen"/>
      <selection pane="topLeft" activeCell="A1" activeCellId="0" sqref="A1"/>
      <selection pane="topRight" activeCell="W1" activeCellId="0" sqref="W1"/>
      <selection pane="bottomLeft" activeCell="A21" activeCellId="0" sqref="A21"/>
      <selection pane="bottomRight" activeCell="U41" activeCellId="0" sqref="U41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7.66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6.66"/>
    <col collapsed="false" customWidth="true" hidden="false" outlineLevel="0" max="19" min="19" style="47" width="7.66"/>
    <col collapsed="false" customWidth="true" hidden="false" outlineLevel="0" max="20" min="20" style="46" width="7.66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87"/>
      <c r="AE1" s="87"/>
    </row>
    <row r="2" customFormat="false" ht="14.1" hidden="false" customHeight="true" outlineLevel="0" collapsed="false">
      <c r="A2" s="53" t="s">
        <v>1</v>
      </c>
      <c r="B2" s="53"/>
      <c r="C2" s="54"/>
      <c r="D2" s="60" t="n">
        <v>1.9835</v>
      </c>
      <c r="E2" s="54"/>
      <c r="F2" s="53"/>
      <c r="G2" s="53"/>
      <c r="H2" s="55"/>
      <c r="I2" s="53"/>
      <c r="J2" s="53"/>
      <c r="K2" s="61" t="s">
        <v>88</v>
      </c>
      <c r="L2" s="61"/>
      <c r="M2" s="61"/>
      <c r="N2" s="61"/>
      <c r="O2" s="61"/>
      <c r="P2" s="61"/>
      <c r="Q2" s="61"/>
      <c r="R2" s="61"/>
      <c r="S2" s="61"/>
      <c r="T2" s="61"/>
      <c r="U2" s="53"/>
      <c r="V2" s="54"/>
      <c r="W2" s="53"/>
      <c r="X2" s="53"/>
      <c r="Y2" s="53"/>
      <c r="Z2" s="57"/>
      <c r="AA2" s="58"/>
      <c r="AB2" s="58"/>
      <c r="AC2" s="59"/>
      <c r="AD2" s="87"/>
      <c r="AE2" s="87"/>
    </row>
    <row r="3" customFormat="false" ht="11.1" hidden="false" customHeight="true" outlineLevel="0" collapsed="false">
      <c r="A3" s="53"/>
      <c r="B3" s="53"/>
      <c r="C3" s="54"/>
      <c r="D3" s="62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87"/>
      <c r="AE3" s="87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14</v>
      </c>
      <c r="Q4" s="63" t="s">
        <v>15</v>
      </c>
      <c r="R4" s="63" t="s">
        <v>12</v>
      </c>
      <c r="S4" s="64" t="s">
        <v>16</v>
      </c>
      <c r="T4" s="63" t="s">
        <v>17</v>
      </c>
      <c r="U4" s="63" t="s">
        <v>18</v>
      </c>
      <c r="V4" s="64" t="s">
        <v>19</v>
      </c>
      <c r="W4" s="63" t="s">
        <v>10</v>
      </c>
      <c r="X4" s="63" t="s">
        <v>11</v>
      </c>
      <c r="Y4" s="63" t="s">
        <v>12</v>
      </c>
      <c r="Z4" s="66" t="s">
        <v>20</v>
      </c>
      <c r="AA4" s="67" t="s">
        <v>21</v>
      </c>
      <c r="AB4" s="67" t="s">
        <v>22</v>
      </c>
      <c r="AC4" s="67" t="s">
        <v>3</v>
      </c>
      <c r="AD4" s="87"/>
      <c r="AE4" s="87"/>
    </row>
    <row r="5" customFormat="false" ht="11.1" hidden="false" customHeight="true" outlineLevel="0" collapsed="false">
      <c r="A5" s="68" t="s">
        <v>89</v>
      </c>
      <c r="B5" s="63" t="s">
        <v>24</v>
      </c>
      <c r="C5" s="64" t="s">
        <v>5</v>
      </c>
      <c r="D5" s="63" t="s">
        <v>25</v>
      </c>
      <c r="E5" s="64" t="s">
        <v>26</v>
      </c>
      <c r="F5" s="63" t="s">
        <v>27</v>
      </c>
      <c r="G5" s="63" t="s">
        <v>28</v>
      </c>
      <c r="H5" s="65" t="s">
        <v>29</v>
      </c>
      <c r="I5" s="63" t="s">
        <v>30</v>
      </c>
      <c r="J5" s="63" t="s">
        <v>30</v>
      </c>
      <c r="K5" s="63" t="s">
        <v>30</v>
      </c>
      <c r="L5" s="63" t="s">
        <v>31</v>
      </c>
      <c r="M5" s="63" t="s">
        <v>32</v>
      </c>
      <c r="N5" s="63" t="s">
        <v>33</v>
      </c>
      <c r="O5" s="63" t="s">
        <v>34</v>
      </c>
      <c r="P5" s="63" t="s">
        <v>35</v>
      </c>
      <c r="Q5" s="63" t="s">
        <v>36</v>
      </c>
      <c r="R5" s="63" t="s">
        <v>16</v>
      </c>
      <c r="S5" s="64" t="s">
        <v>37</v>
      </c>
      <c r="T5" s="63" t="s">
        <v>38</v>
      </c>
      <c r="U5" s="63" t="s">
        <v>39</v>
      </c>
      <c r="V5" s="64" t="s">
        <v>40</v>
      </c>
      <c r="W5" s="63" t="s">
        <v>41</v>
      </c>
      <c r="X5" s="63" t="s">
        <v>41</v>
      </c>
      <c r="Y5" s="63" t="s">
        <v>41</v>
      </c>
      <c r="Z5" s="69"/>
      <c r="AA5" s="67" t="s">
        <v>42</v>
      </c>
      <c r="AB5" s="67" t="s">
        <v>42</v>
      </c>
      <c r="AC5" s="70" t="s">
        <v>89</v>
      </c>
      <c r="AD5" s="87"/>
      <c r="AE5" s="87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130" t="s">
        <v>90</v>
      </c>
      <c r="R6" s="71"/>
      <c r="S6" s="107" t="n">
        <f aca="false">(JUN!$S$55)</f>
        <v>17537.6589643559</v>
      </c>
      <c r="T6" s="71"/>
      <c r="U6" s="71"/>
      <c r="V6" s="72"/>
      <c r="W6" s="71"/>
      <c r="X6" s="71"/>
      <c r="Y6" s="71"/>
      <c r="Z6" s="57"/>
      <c r="AA6" s="59"/>
      <c r="AB6" s="59"/>
      <c r="AC6" s="59"/>
      <c r="AD6" s="88"/>
      <c r="AE6" s="88"/>
      <c r="AF6" s="89"/>
    </row>
    <row r="7" customFormat="false" ht="11.1" hidden="false" customHeight="true" outlineLevel="0" collapsed="false">
      <c r="A7" s="53" t="s">
        <v>43</v>
      </c>
      <c r="B7" s="53"/>
      <c r="C7" s="54"/>
      <c r="D7" s="54"/>
      <c r="E7" s="54"/>
      <c r="F7" s="54" t="n">
        <f aca="false" t="array" ref="F7:Y7">JUN!$F$44:$Y$44</f>
        <v>51156.0373077893</v>
      </c>
      <c r="G7" s="54" t="n">
        <v>117717</v>
      </c>
      <c r="H7" s="58" t="n">
        <v>4562.2</v>
      </c>
      <c r="I7" s="54" t="n">
        <v>122279.2</v>
      </c>
      <c r="J7" s="54" t="n">
        <v>17596.0787421225</v>
      </c>
      <c r="K7" s="54" t="n">
        <v>139875.278742123</v>
      </c>
      <c r="L7" s="54" t="n">
        <v>17452.9173077893</v>
      </c>
      <c r="M7" s="54" t="n">
        <v>14898.6</v>
      </c>
      <c r="N7" s="54" t="n">
        <v>3397.1148</v>
      </c>
      <c r="O7" s="54" t="n">
        <v>11501.4852</v>
      </c>
      <c r="P7" s="54" t="n">
        <v>7409</v>
      </c>
      <c r="Q7" s="54" t="n">
        <v>3666.3</v>
      </c>
      <c r="R7" s="54" t="n">
        <v>22576.7852</v>
      </c>
      <c r="S7" s="54" t="n">
        <v>0</v>
      </c>
      <c r="T7" s="54" t="n">
        <v>6731.18</v>
      </c>
      <c r="U7" s="54" t="n">
        <v>55871</v>
      </c>
      <c r="V7" s="54" t="n">
        <v>0</v>
      </c>
      <c r="W7" s="54" t="n">
        <v>88576.08</v>
      </c>
      <c r="X7" s="54" t="n">
        <v>143.161434333249</v>
      </c>
      <c r="Y7" s="54" t="n">
        <v>88719.2414343333</v>
      </c>
      <c r="Z7" s="57"/>
      <c r="AA7" s="58"/>
      <c r="AB7" s="58"/>
      <c r="AC7" s="59"/>
      <c r="AD7" s="88"/>
      <c r="AE7" s="89"/>
      <c r="AF7" s="89"/>
    </row>
    <row r="8" s="47" customFormat="true" ht="11.1" hidden="false" customHeight="true" outlineLevel="0" collapsed="false">
      <c r="A8" s="54" t="s">
        <v>44</v>
      </c>
      <c r="B8" s="74" t="n">
        <f aca="false" t="array" ref="B8:C8">JUN!$B$39:$C$39</f>
        <v>6923.95</v>
      </c>
      <c r="C8" s="54" t="n">
        <v>380937</v>
      </c>
      <c r="D8" s="54" t="n">
        <f aca="false" t="array" ref="D8:E8">JUN!$D$48:$E$48</f>
        <v>122818</v>
      </c>
      <c r="E8" s="54" t="n">
        <v>228937</v>
      </c>
      <c r="F8" s="54" t="n">
        <f aca="false" t="array" ref="F8:Z8">JUN!$F$47:$Z$47</f>
        <v>61919.8386690194</v>
      </c>
      <c r="G8" s="54" t="n">
        <v>132150</v>
      </c>
      <c r="H8" s="58" t="n">
        <v>4892.5</v>
      </c>
      <c r="I8" s="54" t="n">
        <v>137037.4</v>
      </c>
      <c r="J8" s="54" t="n">
        <v>21846.4466775901</v>
      </c>
      <c r="K8" s="54" t="n">
        <v>158886.551366272</v>
      </c>
      <c r="L8" s="54" t="n">
        <v>21160.4186690194</v>
      </c>
      <c r="M8" s="54" t="n">
        <v>16134.4</v>
      </c>
      <c r="N8" s="54" t="n">
        <v>3472.6833</v>
      </c>
      <c r="O8" s="54" t="n">
        <v>12376.1167</v>
      </c>
      <c r="P8" s="54" t="n">
        <v>7409</v>
      </c>
      <c r="Q8" s="54" t="n">
        <v>3796.4</v>
      </c>
      <c r="R8" s="54" t="n">
        <v>23811.9392</v>
      </c>
      <c r="S8" s="54" t="n">
        <v>0</v>
      </c>
      <c r="T8" s="54" t="n">
        <v>6731.18</v>
      </c>
      <c r="U8" s="54" t="n">
        <v>62207</v>
      </c>
      <c r="V8" s="54" t="n">
        <v>16104</v>
      </c>
      <c r="W8" s="54" t="n">
        <v>96277.98</v>
      </c>
      <c r="X8" s="54" t="n">
        <v>686.028008570708</v>
      </c>
      <c r="Y8" s="54" t="n">
        <v>96964.0080085707</v>
      </c>
      <c r="Z8" s="75" t="n">
        <v>10.68</v>
      </c>
      <c r="AA8" s="58"/>
      <c r="AB8" s="58"/>
      <c r="AC8" s="59"/>
      <c r="AD8" s="90"/>
      <c r="AE8" s="88"/>
      <c r="AF8" s="90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79"/>
      <c r="I9" s="76"/>
      <c r="J9" s="76"/>
      <c r="K9" s="76"/>
      <c r="L9" s="76"/>
      <c r="M9" s="76"/>
      <c r="N9" s="76"/>
      <c r="O9" s="76"/>
      <c r="P9" s="76"/>
      <c r="Q9" s="76"/>
      <c r="R9" s="76"/>
      <c r="S9" s="78"/>
      <c r="T9" s="76"/>
      <c r="U9" s="76"/>
      <c r="V9" s="78"/>
      <c r="W9" s="76"/>
      <c r="X9" s="76"/>
      <c r="Y9" s="76"/>
      <c r="Z9" s="80"/>
      <c r="AA9" s="81"/>
      <c r="AB9" s="81"/>
      <c r="AC9" s="82"/>
      <c r="AD9" s="88"/>
      <c r="AE9" s="88"/>
      <c r="AF9" s="89"/>
    </row>
    <row r="10" customFormat="false" ht="11.1" hidden="false" customHeight="true" outlineLevel="0" collapsed="false">
      <c r="A10" s="59" t="n">
        <v>1</v>
      </c>
      <c r="B10" s="74" t="n">
        <v>6923.91</v>
      </c>
      <c r="C10" s="54" t="n">
        <v>380759</v>
      </c>
      <c r="D10" s="58" t="n">
        <f aca="false">C10-C8</f>
        <v>-178</v>
      </c>
      <c r="E10" s="54" t="n">
        <f aca="false">C10-152000</f>
        <v>228759</v>
      </c>
      <c r="F10" s="53" t="n">
        <f aca="false">D10/$D$2</f>
        <v>-89.7403579531132</v>
      </c>
      <c r="G10" s="53" t="n">
        <v>721</v>
      </c>
      <c r="H10" s="55" t="n">
        <v>0.1</v>
      </c>
      <c r="I10" s="53" t="n">
        <f aca="false">G10+H10</f>
        <v>721.1</v>
      </c>
      <c r="J10" s="75" t="n">
        <f aca="false">IF(L10&gt;0,L10,0)</f>
        <v>0</v>
      </c>
      <c r="K10" s="53" t="n">
        <f aca="false">I10+J10</f>
        <v>721.1</v>
      </c>
      <c r="L10" s="53" t="n">
        <f aca="false">F10-(I10-W10)</f>
        <v>-31.4103579531132</v>
      </c>
      <c r="M10" s="53" t="n">
        <v>293</v>
      </c>
      <c r="N10" s="53" t="n">
        <f aca="false">24.38+25.2*1.05</f>
        <v>50.84</v>
      </c>
      <c r="O10" s="53" t="n">
        <f aca="false">M10-N10</f>
        <v>242.16</v>
      </c>
      <c r="P10" s="53" t="n">
        <v>110</v>
      </c>
      <c r="Q10" s="53" t="n">
        <v>71</v>
      </c>
      <c r="R10" s="53" t="n">
        <f aca="false">SUM(O10:Q10)</f>
        <v>423.16</v>
      </c>
      <c r="S10" s="54" t="n">
        <f aca="false">(I10-R10)+S6</f>
        <v>17835.5989643559</v>
      </c>
      <c r="T10" s="53" t="n">
        <v>221.43</v>
      </c>
      <c r="U10" s="53" t="n">
        <v>84</v>
      </c>
      <c r="V10" s="54" t="n">
        <f aca="false">V8-U10</f>
        <v>16020</v>
      </c>
      <c r="W10" s="53" t="n">
        <f aca="false">R10+T10+N10+U10</f>
        <v>779.43</v>
      </c>
      <c r="X10" s="53" t="n">
        <f aca="false">IF(L10&lt;0,L10*-1,0)</f>
        <v>31.4103579531132</v>
      </c>
      <c r="Y10" s="53" t="n">
        <f aca="false">W10+X10</f>
        <v>810.840357953113</v>
      </c>
      <c r="Z10" s="57" t="n">
        <v>0</v>
      </c>
      <c r="AA10" s="131" t="n">
        <v>94</v>
      </c>
      <c r="AB10" s="131" t="n">
        <v>52</v>
      </c>
      <c r="AC10" s="59" t="n">
        <v>1</v>
      </c>
      <c r="AD10" s="89"/>
      <c r="AE10" s="90"/>
      <c r="AF10" s="89"/>
    </row>
    <row r="11" customFormat="false" ht="11.1" hidden="false" customHeight="true" outlineLevel="0" collapsed="false">
      <c r="A11" s="59" t="n">
        <f aca="false">A10+1</f>
        <v>2</v>
      </c>
      <c r="B11" s="74" t="n">
        <v>6923.86</v>
      </c>
      <c r="C11" s="54" t="n">
        <v>380537</v>
      </c>
      <c r="D11" s="58" t="n">
        <f aca="false">C11-C10</f>
        <v>-222</v>
      </c>
      <c r="E11" s="54" t="n">
        <f aca="false">C11-152000</f>
        <v>228537</v>
      </c>
      <c r="F11" s="53" t="n">
        <f aca="false">D11/$D$2</f>
        <v>-111.92336778422</v>
      </c>
      <c r="G11" s="53" t="n">
        <v>675</v>
      </c>
      <c r="H11" s="55" t="n">
        <v>0.1</v>
      </c>
      <c r="I11" s="53" t="n">
        <f aca="false">G11+H11</f>
        <v>675.1</v>
      </c>
      <c r="J11" s="75" t="n">
        <f aca="false">IF(L11&gt;0,L11,0)</f>
        <v>0.886632215780253</v>
      </c>
      <c r="K11" s="53" t="n">
        <f aca="false">I11+J11</f>
        <v>675.98663221578</v>
      </c>
      <c r="L11" s="53" t="n">
        <f aca="false">F11-(I11-W11)</f>
        <v>0.886632215780253</v>
      </c>
      <c r="M11" s="53" t="n">
        <v>304</v>
      </c>
      <c r="N11" s="53" t="n">
        <f aca="false">25.89+27.14*1.05</f>
        <v>54.387</v>
      </c>
      <c r="O11" s="53" t="n">
        <f aca="false">M11-N11</f>
        <v>249.613</v>
      </c>
      <c r="P11" s="53" t="n">
        <v>110</v>
      </c>
      <c r="Q11" s="53" t="n">
        <v>71</v>
      </c>
      <c r="R11" s="53" t="n">
        <f aca="false">SUM(O11:Q11)</f>
        <v>430.613</v>
      </c>
      <c r="S11" s="54" t="n">
        <f aca="false">(I11-R11)+S10</f>
        <v>18080.0859643559</v>
      </c>
      <c r="T11" s="53" t="n">
        <v>215.91</v>
      </c>
      <c r="U11" s="53" t="n">
        <v>87</v>
      </c>
      <c r="V11" s="54" t="n">
        <f aca="false">V10-U11</f>
        <v>15933</v>
      </c>
      <c r="W11" s="53" t="n">
        <f aca="false">R11+T11+N11+U11</f>
        <v>787.91</v>
      </c>
      <c r="X11" s="53" t="n">
        <f aca="false">IF(L11&lt;0,L11*-1,0)</f>
        <v>0</v>
      </c>
      <c r="Y11" s="53" t="n">
        <f aca="false">W11+X11</f>
        <v>787.91</v>
      </c>
      <c r="Z11" s="57" t="n">
        <v>0</v>
      </c>
      <c r="AA11" s="58" t="n">
        <v>91</v>
      </c>
      <c r="AB11" s="58" t="n">
        <v>54</v>
      </c>
      <c r="AC11" s="59" t="n">
        <f aca="false">AC10+1</f>
        <v>2</v>
      </c>
      <c r="AD11" s="89"/>
      <c r="AE11" s="90"/>
      <c r="AF11" s="89"/>
    </row>
    <row r="12" customFormat="false" ht="11.1" hidden="false" customHeight="true" outlineLevel="0" collapsed="false">
      <c r="A12" s="59" t="n">
        <f aca="false">A11+1</f>
        <v>3</v>
      </c>
      <c r="B12" s="74" t="n">
        <v>6923.75</v>
      </c>
      <c r="C12" s="54" t="n">
        <v>380047</v>
      </c>
      <c r="D12" s="58" t="n">
        <f aca="false">C12-C11</f>
        <v>-490</v>
      </c>
      <c r="E12" s="54" t="n">
        <f aca="false">C12-152000</f>
        <v>228047</v>
      </c>
      <c r="F12" s="53" t="n">
        <f aca="false">D12/$D$2</f>
        <v>-247.038064028233</v>
      </c>
      <c r="G12" s="53" t="n">
        <v>592</v>
      </c>
      <c r="H12" s="55" t="n">
        <v>0.2</v>
      </c>
      <c r="I12" s="53" t="n">
        <f aca="false">G12+H12</f>
        <v>592.2</v>
      </c>
      <c r="J12" s="75" t="n">
        <f aca="false">IF(L12&gt;0,L12,0)</f>
        <v>0</v>
      </c>
      <c r="K12" s="53" t="n">
        <f aca="false">I12+J12</f>
        <v>592.2</v>
      </c>
      <c r="L12" s="53" t="n">
        <f aca="false">F12-(I12-W12)</f>
        <v>-38.2780640282329</v>
      </c>
      <c r="M12" s="53" t="n">
        <v>302</v>
      </c>
      <c r="N12" s="53" t="n">
        <f aca="false">24.8+25.83*1.05</f>
        <v>51.9215</v>
      </c>
      <c r="O12" s="53" t="n">
        <f aca="false">M12-N12</f>
        <v>250.0785</v>
      </c>
      <c r="P12" s="53" t="n">
        <v>110</v>
      </c>
      <c r="Q12" s="53" t="n">
        <v>74</v>
      </c>
      <c r="R12" s="53" t="n">
        <f aca="false">SUM(O12:Q12)</f>
        <v>434.0785</v>
      </c>
      <c r="S12" s="54" t="n">
        <f aca="false">(I12-R12)+S11</f>
        <v>18238.2074643559</v>
      </c>
      <c r="T12" s="53" t="n">
        <v>227.96</v>
      </c>
      <c r="U12" s="53" t="n">
        <v>87</v>
      </c>
      <c r="V12" s="54" t="n">
        <f aca="false">V11-U12</f>
        <v>15846</v>
      </c>
      <c r="W12" s="53" t="n">
        <f aca="false">R12+T12+N12+U12</f>
        <v>800.96</v>
      </c>
      <c r="X12" s="53" t="n">
        <f aca="false">IF(L12&lt;0,L12*-1,0)</f>
        <v>38.2780640282329</v>
      </c>
      <c r="Y12" s="53" t="n">
        <f aca="false">W12+X12</f>
        <v>839.238064028233</v>
      </c>
      <c r="Z12" s="57" t="n">
        <v>0</v>
      </c>
      <c r="AA12" s="58" t="n">
        <v>87</v>
      </c>
      <c r="AB12" s="58" t="n">
        <v>56</v>
      </c>
      <c r="AC12" s="59" t="n">
        <f aca="false">AC11+1</f>
        <v>3</v>
      </c>
      <c r="AD12" s="89"/>
      <c r="AE12" s="90"/>
      <c r="AF12" s="89"/>
    </row>
    <row r="13" customFormat="false" ht="11.1" hidden="false" customHeight="true" outlineLevel="0" collapsed="false">
      <c r="A13" s="59" t="n">
        <f aca="false">A12+1</f>
        <v>4</v>
      </c>
      <c r="B13" s="74" t="n">
        <v>6923.63</v>
      </c>
      <c r="C13" s="54" t="n">
        <v>379513</v>
      </c>
      <c r="D13" s="58" t="n">
        <f aca="false">C13-C12</f>
        <v>-534</v>
      </c>
      <c r="E13" s="54" t="n">
        <f aca="false">C13-152000</f>
        <v>227513</v>
      </c>
      <c r="F13" s="53" t="n">
        <f aca="false">D13/$D$2</f>
        <v>-269.221073859339</v>
      </c>
      <c r="G13" s="53" t="n">
        <v>553</v>
      </c>
      <c r="H13" s="55" t="n">
        <v>0.3</v>
      </c>
      <c r="I13" s="53" t="n">
        <f aca="false">G13+H13</f>
        <v>553.3</v>
      </c>
      <c r="J13" s="75" t="n">
        <f aca="false">IF(L13&gt;0,L13,0)</f>
        <v>0</v>
      </c>
      <c r="K13" s="53" t="n">
        <f aca="false">I13+J13</f>
        <v>553.3</v>
      </c>
      <c r="L13" s="53" t="n">
        <f aca="false">F13-(I13-W13)</f>
        <v>-26.2610738593395</v>
      </c>
      <c r="M13" s="53" t="n">
        <v>301</v>
      </c>
      <c r="N13" s="53" t="n">
        <f aca="false">27.99+28.58*1.05</f>
        <v>57.999</v>
      </c>
      <c r="O13" s="53" t="n">
        <f aca="false">M13-N13</f>
        <v>243.001</v>
      </c>
      <c r="P13" s="53" t="n">
        <v>110</v>
      </c>
      <c r="Q13" s="53" t="n">
        <v>76</v>
      </c>
      <c r="R13" s="53" t="n">
        <f aca="false">SUM(O13:Q13)</f>
        <v>429.001</v>
      </c>
      <c r="S13" s="54" t="n">
        <f aca="false">(I13-R13)+S12</f>
        <v>18362.5064643559</v>
      </c>
      <c r="T13" s="53" t="n">
        <v>221.26</v>
      </c>
      <c r="U13" s="53" t="n">
        <v>88</v>
      </c>
      <c r="V13" s="54" t="n">
        <f aca="false">V12-U13</f>
        <v>15758</v>
      </c>
      <c r="W13" s="53" t="n">
        <f aca="false">R13+T13+N13+U13</f>
        <v>796.26</v>
      </c>
      <c r="X13" s="53" t="n">
        <f aca="false">IF(L13&lt;0,L13*-1,0)</f>
        <v>26.2610738593395</v>
      </c>
      <c r="Y13" s="53" t="n">
        <f aca="false">W13+X13</f>
        <v>822.52107385934</v>
      </c>
      <c r="Z13" s="57" t="n">
        <v>0</v>
      </c>
      <c r="AA13" s="58" t="n">
        <v>89</v>
      </c>
      <c r="AB13" s="58" t="n">
        <v>58</v>
      </c>
      <c r="AC13" s="59" t="n">
        <f aca="false">AC12+1</f>
        <v>4</v>
      </c>
      <c r="AD13" s="89"/>
      <c r="AE13" s="90"/>
      <c r="AF13" s="89"/>
    </row>
    <row r="14" customFormat="false" ht="11.1" hidden="false" customHeight="true" outlineLevel="0" collapsed="false">
      <c r="A14" s="59" t="n">
        <f aca="false">A13+1</f>
        <v>5</v>
      </c>
      <c r="B14" s="74" t="n">
        <v>6923.49</v>
      </c>
      <c r="C14" s="54" t="n">
        <v>378890</v>
      </c>
      <c r="D14" s="58" t="n">
        <f aca="false">C14-C13</f>
        <v>-623</v>
      </c>
      <c r="E14" s="54" t="n">
        <f aca="false">C14-152000</f>
        <v>226890</v>
      </c>
      <c r="F14" s="53" t="n">
        <f aca="false">D14/$D$2</f>
        <v>-314.091252835896</v>
      </c>
      <c r="G14" s="53" t="n">
        <v>506</v>
      </c>
      <c r="H14" s="55" t="n">
        <v>0.4</v>
      </c>
      <c r="I14" s="53" t="n">
        <f aca="false">G14+H14</f>
        <v>506.4</v>
      </c>
      <c r="J14" s="75" t="n">
        <f aca="false">IF(L14&gt;0,L14,0)</f>
        <v>0.688747164103972</v>
      </c>
      <c r="K14" s="53" t="n">
        <f aca="false">I14+J14</f>
        <v>507.088747164104</v>
      </c>
      <c r="L14" s="53" t="n">
        <f aca="false">F14-(I14-W14)</f>
        <v>0.688747164103972</v>
      </c>
      <c r="M14" s="53" t="n">
        <v>301</v>
      </c>
      <c r="N14" s="53" t="n">
        <f aca="false">30.13+30.16*1.05</f>
        <v>61.798</v>
      </c>
      <c r="O14" s="53" t="n">
        <f aca="false">M14-N14</f>
        <v>239.202</v>
      </c>
      <c r="P14" s="53" t="n">
        <v>110</v>
      </c>
      <c r="Q14" s="53" t="n">
        <v>76</v>
      </c>
      <c r="R14" s="53" t="n">
        <f aca="false">SUM(O14:Q14)</f>
        <v>425.202</v>
      </c>
      <c r="S14" s="54" t="n">
        <f aca="false">(I14-R14)+S13</f>
        <v>18443.7044643559</v>
      </c>
      <c r="T14" s="53" t="n">
        <v>246.18</v>
      </c>
      <c r="U14" s="53" t="n">
        <v>88</v>
      </c>
      <c r="V14" s="54" t="n">
        <f aca="false">V13-U14</f>
        <v>15670</v>
      </c>
      <c r="W14" s="53" t="n">
        <f aca="false">R14+T14+N14+U14</f>
        <v>821.18</v>
      </c>
      <c r="X14" s="53" t="n">
        <f aca="false">IF(L14&lt;0,L14*-1,0)</f>
        <v>0</v>
      </c>
      <c r="Y14" s="53" t="n">
        <f aca="false">W14+X14</f>
        <v>821.18</v>
      </c>
      <c r="Z14" s="57" t="n">
        <v>0</v>
      </c>
      <c r="AA14" s="58" t="n">
        <v>95</v>
      </c>
      <c r="AB14" s="58" t="n">
        <v>55</v>
      </c>
      <c r="AC14" s="59" t="n">
        <f aca="false">AC13+1</f>
        <v>5</v>
      </c>
      <c r="AD14" s="89"/>
      <c r="AE14" s="90"/>
      <c r="AF14" s="89"/>
    </row>
    <row r="15" customFormat="false" ht="11.1" hidden="false" customHeight="true" outlineLevel="0" collapsed="false">
      <c r="A15" s="59" t="n">
        <f aca="false">A14+1</f>
        <v>6</v>
      </c>
      <c r="B15" s="74" t="n">
        <v>6923.31</v>
      </c>
      <c r="C15" s="54" t="n">
        <v>378089</v>
      </c>
      <c r="D15" s="58" t="n">
        <f aca="false">C15-C14</f>
        <v>-801</v>
      </c>
      <c r="E15" s="54" t="n">
        <f aca="false">C15-152000</f>
        <v>226089</v>
      </c>
      <c r="F15" s="53" t="n">
        <f aca="false">D15/$D$2</f>
        <v>-403.831610789009</v>
      </c>
      <c r="G15" s="53" t="n">
        <v>472</v>
      </c>
      <c r="H15" s="55" t="n">
        <v>0.4</v>
      </c>
      <c r="I15" s="53" t="n">
        <f aca="false">G15+H15</f>
        <v>472.4</v>
      </c>
      <c r="J15" s="75" t="n">
        <f aca="false">IF(L15&gt;0,L15,0)</f>
        <v>0</v>
      </c>
      <c r="K15" s="53" t="n">
        <f aca="false">I15+J15</f>
        <v>472.4</v>
      </c>
      <c r="L15" s="53" t="n">
        <f aca="false">F15-(I15-W15)</f>
        <v>-16.4016107890093</v>
      </c>
      <c r="M15" s="53" t="n">
        <v>320</v>
      </c>
      <c r="N15" s="53" t="n">
        <f aca="false">33.7+31.17</f>
        <v>64.87</v>
      </c>
      <c r="O15" s="53" t="n">
        <f aca="false">M15-N15</f>
        <v>255.13</v>
      </c>
      <c r="P15" s="53" t="n">
        <v>109</v>
      </c>
      <c r="Q15" s="53" t="n">
        <v>75</v>
      </c>
      <c r="R15" s="53" t="n">
        <f aca="false">SUM(O15:Q15)</f>
        <v>439.13</v>
      </c>
      <c r="S15" s="54" t="n">
        <f aca="false">(I15-R15)+S14</f>
        <v>18476.9744643559</v>
      </c>
      <c r="T15" s="53" t="n">
        <v>267.83</v>
      </c>
      <c r="U15" s="53" t="n">
        <v>88</v>
      </c>
      <c r="V15" s="54" t="n">
        <f aca="false">V14-U15</f>
        <v>15582</v>
      </c>
      <c r="W15" s="53" t="n">
        <f aca="false">R15+T15+N15+U15</f>
        <v>859.83</v>
      </c>
      <c r="X15" s="53" t="n">
        <f aca="false">IF(L15&lt;0,L15*-1,0)</f>
        <v>16.4016107890093</v>
      </c>
      <c r="Y15" s="53" t="n">
        <f aca="false">W15+X15</f>
        <v>876.231610789009</v>
      </c>
      <c r="Z15" s="57" t="n">
        <v>0</v>
      </c>
      <c r="AA15" s="58" t="n">
        <v>89</v>
      </c>
      <c r="AB15" s="58" t="n">
        <v>58</v>
      </c>
      <c r="AC15" s="59" t="n">
        <f aca="false">AC14+1</f>
        <v>6</v>
      </c>
      <c r="AD15" s="88"/>
      <c r="AE15" s="90"/>
      <c r="AF15" s="89"/>
    </row>
    <row r="16" customFormat="false" ht="11.1" hidden="false" customHeight="true" outlineLevel="0" collapsed="false">
      <c r="A16" s="59" t="n">
        <f aca="false">A15+1</f>
        <v>7</v>
      </c>
      <c r="B16" s="74" t="n">
        <v>6923.13</v>
      </c>
      <c r="C16" s="54" t="n">
        <v>377287</v>
      </c>
      <c r="D16" s="58" t="n">
        <f aca="false">C16-C15</f>
        <v>-802</v>
      </c>
      <c r="E16" s="54" t="n">
        <f aca="false">C16-152000</f>
        <v>225287</v>
      </c>
      <c r="F16" s="53" t="n">
        <f aca="false">D16/$D$2</f>
        <v>-404.335770103353</v>
      </c>
      <c r="G16" s="53" t="n">
        <v>485</v>
      </c>
      <c r="H16" s="55" t="n">
        <v>0.3</v>
      </c>
      <c r="I16" s="53" t="n">
        <f aca="false">G16+H16</f>
        <v>485.3</v>
      </c>
      <c r="J16" s="75" t="n">
        <f aca="false">IF(L16&gt;0,L16,0)</f>
        <v>0</v>
      </c>
      <c r="K16" s="53" t="n">
        <f aca="false">I16+J16</f>
        <v>485.3</v>
      </c>
      <c r="L16" s="53" t="n">
        <f aca="false">F16-(I16-W16)</f>
        <v>-42.3257701033527</v>
      </c>
      <c r="M16" s="53" t="n">
        <v>322</v>
      </c>
      <c r="N16" s="53" t="n">
        <f aca="false">35.66+35.43*1.05</f>
        <v>72.8615</v>
      </c>
      <c r="O16" s="53" t="n">
        <f aca="false">M16-N16</f>
        <v>249.1385</v>
      </c>
      <c r="P16" s="53" t="n">
        <v>110</v>
      </c>
      <c r="Q16" s="53" t="n">
        <v>75</v>
      </c>
      <c r="R16" s="53" t="n">
        <f aca="false">SUM(O16:Q16)</f>
        <v>434.1385</v>
      </c>
      <c r="S16" s="54" t="n">
        <f aca="false">(I16-R16)+S15</f>
        <v>18528.1359643559</v>
      </c>
      <c r="T16" s="53" t="n">
        <v>252.31</v>
      </c>
      <c r="U16" s="53" t="n">
        <v>88</v>
      </c>
      <c r="V16" s="54" t="n">
        <f aca="false">V15-U16</f>
        <v>15494</v>
      </c>
      <c r="W16" s="53" t="n">
        <f aca="false">R16+T16+N16+U16</f>
        <v>847.31</v>
      </c>
      <c r="X16" s="53" t="n">
        <f aca="false">IF(L16&lt;0,L16*-1,0)</f>
        <v>42.3257701033527</v>
      </c>
      <c r="Y16" s="53" t="n">
        <f aca="false">W16+X16</f>
        <v>889.635770103353</v>
      </c>
      <c r="Z16" s="57" t="n">
        <v>0.1</v>
      </c>
      <c r="AA16" s="131" t="n">
        <v>89</v>
      </c>
      <c r="AB16" s="131" t="n">
        <v>62</v>
      </c>
      <c r="AC16" s="59" t="n">
        <f aca="false">AC15+1</f>
        <v>7</v>
      </c>
      <c r="AD16" s="88"/>
      <c r="AE16" s="90"/>
      <c r="AF16" s="89"/>
    </row>
    <row r="17" customFormat="false" ht="11.1" hidden="false" customHeight="true" outlineLevel="0" collapsed="false">
      <c r="A17" s="59" t="n">
        <f aca="false">A16+1</f>
        <v>8</v>
      </c>
      <c r="B17" s="74" t="n">
        <v>6922.93</v>
      </c>
      <c r="C17" s="54" t="n">
        <v>376400</v>
      </c>
      <c r="D17" s="58" t="n">
        <f aca="false">C17-C16</f>
        <v>-887</v>
      </c>
      <c r="E17" s="54" t="n">
        <f aca="false">C17-152000</f>
        <v>224400</v>
      </c>
      <c r="F17" s="53" t="n">
        <f aca="false">D17/$D$2</f>
        <v>-447.189311822536</v>
      </c>
      <c r="G17" s="53" t="n">
        <v>455</v>
      </c>
      <c r="H17" s="55" t="n">
        <v>0.4</v>
      </c>
      <c r="I17" s="53" t="n">
        <f aca="false">G17+H17</f>
        <v>455.4</v>
      </c>
      <c r="J17" s="75" t="n">
        <f aca="false">IF(L17&gt;0,L17,0)</f>
        <v>0</v>
      </c>
      <c r="K17" s="53" t="n">
        <f aca="false">I17+J17</f>
        <v>455.4</v>
      </c>
      <c r="L17" s="53" t="n">
        <f aca="false">F17-(I17-W17)</f>
        <v>-75.2393118225359</v>
      </c>
      <c r="M17" s="53" t="n">
        <v>303</v>
      </c>
      <c r="N17" s="53" t="n">
        <f aca="false">31.57+31.37*1.05</f>
        <v>64.5085</v>
      </c>
      <c r="O17" s="53" t="n">
        <f aca="false">M17-N17</f>
        <v>238.4915</v>
      </c>
      <c r="P17" s="53" t="n">
        <v>112</v>
      </c>
      <c r="Q17" s="53" t="n">
        <v>75</v>
      </c>
      <c r="R17" s="53" t="n">
        <f aca="false">SUM(O17:Q17)</f>
        <v>425.4915</v>
      </c>
      <c r="S17" s="54" t="n">
        <f aca="false">(I17-R17)+S16</f>
        <v>18558.0444643559</v>
      </c>
      <c r="T17" s="53" t="n">
        <v>251.35</v>
      </c>
      <c r="U17" s="53" t="n">
        <v>86</v>
      </c>
      <c r="V17" s="54" t="n">
        <f aca="false">V16-U17</f>
        <v>15408</v>
      </c>
      <c r="W17" s="53" t="n">
        <f aca="false">R17+T17+N17+U17</f>
        <v>827.35</v>
      </c>
      <c r="X17" s="53" t="n">
        <f aca="false">IF(L17&lt;0,L17*-1,0)</f>
        <v>75.2393118225359</v>
      </c>
      <c r="Y17" s="53" t="n">
        <f aca="false">W17+X17</f>
        <v>902.589311822536</v>
      </c>
      <c r="Z17" s="57" t="n">
        <v>0.1</v>
      </c>
      <c r="AA17" s="58" t="n">
        <v>83</v>
      </c>
      <c r="AB17" s="58" t="n">
        <v>56</v>
      </c>
      <c r="AC17" s="59" t="n">
        <f aca="false">AC16+1</f>
        <v>8</v>
      </c>
      <c r="AD17" s="88"/>
      <c r="AE17" s="90"/>
      <c r="AF17" s="89"/>
    </row>
    <row r="18" customFormat="false" ht="11.1" hidden="false" customHeight="true" outlineLevel="0" collapsed="false">
      <c r="A18" s="59" t="n">
        <f aca="false">A17+1</f>
        <v>9</v>
      </c>
      <c r="B18" s="74" t="n">
        <v>6922.72</v>
      </c>
      <c r="C18" s="54" t="n">
        <v>375472</v>
      </c>
      <c r="D18" s="58" t="n">
        <f aca="false">C18-C17</f>
        <v>-928</v>
      </c>
      <c r="E18" s="54" t="n">
        <f aca="false">C18-152000</f>
        <v>223472</v>
      </c>
      <c r="F18" s="53" t="n">
        <f aca="false">D18/$D$2</f>
        <v>-467.859843710613</v>
      </c>
      <c r="G18" s="53" t="n">
        <v>425</v>
      </c>
      <c r="H18" s="55" t="n">
        <v>0.3</v>
      </c>
      <c r="I18" s="53" t="n">
        <f aca="false">G18+H18</f>
        <v>425.3</v>
      </c>
      <c r="J18" s="75" t="n">
        <f aca="false">IF(L18&gt;0,L18,0)</f>
        <v>0</v>
      </c>
      <c r="K18" s="53" t="n">
        <f aca="false">I18+J18</f>
        <v>425.3</v>
      </c>
      <c r="L18" s="53" t="n">
        <f aca="false">F18-(I18-W18)</f>
        <v>-23.1398437106126</v>
      </c>
      <c r="M18" s="53" t="n">
        <v>315</v>
      </c>
      <c r="N18" s="53" t="n">
        <f aca="false">32.32+32.48*1.05</f>
        <v>66.424</v>
      </c>
      <c r="O18" s="53" t="n">
        <f aca="false">M18-N18</f>
        <v>248.576</v>
      </c>
      <c r="P18" s="53" t="n">
        <v>111</v>
      </c>
      <c r="Q18" s="53" t="n">
        <v>80</v>
      </c>
      <c r="R18" s="53" t="n">
        <f aca="false">SUM(O18:Q18)</f>
        <v>439.576</v>
      </c>
      <c r="S18" s="54" t="n">
        <f aca="false">(I18-R18)+S17</f>
        <v>18543.7684643559</v>
      </c>
      <c r="T18" s="53" t="n">
        <v>278.02</v>
      </c>
      <c r="U18" s="53" t="n">
        <v>86</v>
      </c>
      <c r="V18" s="54" t="n">
        <f aca="false">V17-U18</f>
        <v>15322</v>
      </c>
      <c r="W18" s="53" t="n">
        <f aca="false">R18+T18+N18+U18</f>
        <v>870.02</v>
      </c>
      <c r="X18" s="53" t="n">
        <f aca="false">IF(L18&lt;0,L18*-1,0)</f>
        <v>23.1398437106126</v>
      </c>
      <c r="Y18" s="53" t="n">
        <f aca="false">W18+X18</f>
        <v>893.159843710613</v>
      </c>
      <c r="Z18" s="57" t="n">
        <v>0</v>
      </c>
      <c r="AA18" s="83" t="n">
        <v>83</v>
      </c>
      <c r="AB18" s="58" t="n">
        <v>56</v>
      </c>
      <c r="AC18" s="59" t="n">
        <f aca="false">AC17+1</f>
        <v>9</v>
      </c>
      <c r="AD18" s="88"/>
      <c r="AE18" s="90"/>
      <c r="AF18" s="89"/>
    </row>
    <row r="19" customFormat="false" ht="11.1" hidden="false" customHeight="true" outlineLevel="0" collapsed="false">
      <c r="A19" s="59" t="n">
        <f aca="false">A18+1</f>
        <v>10</v>
      </c>
      <c r="B19" s="74" t="n">
        <v>6922.53</v>
      </c>
      <c r="C19" s="54" t="n">
        <v>374634</v>
      </c>
      <c r="D19" s="58" t="n">
        <f aca="false">C19-C18</f>
        <v>-838</v>
      </c>
      <c r="E19" s="54" t="n">
        <f aca="false">C19-152000</f>
        <v>222634</v>
      </c>
      <c r="F19" s="53" t="n">
        <f aca="false">D19/$D$2</f>
        <v>-422.485505419713</v>
      </c>
      <c r="G19" s="53" t="n">
        <v>418</v>
      </c>
      <c r="H19" s="55" t="n">
        <v>0.3</v>
      </c>
      <c r="I19" s="53" t="n">
        <f aca="false">G19+H19</f>
        <v>418.3</v>
      </c>
      <c r="J19" s="75" t="n">
        <f aca="false">IF(L19&gt;0,L19,0)</f>
        <v>6.55449458028727</v>
      </c>
      <c r="K19" s="53" t="n">
        <f aca="false">I19+J19</f>
        <v>424.854494580287</v>
      </c>
      <c r="L19" s="53" t="n">
        <f aca="false">F19-(I19-W19)</f>
        <v>6.55449458028727</v>
      </c>
      <c r="M19" s="53" t="n">
        <v>308</v>
      </c>
      <c r="N19" s="53" t="n">
        <f aca="false">32.85+31.26*1.05</f>
        <v>65.673</v>
      </c>
      <c r="O19" s="53" t="n">
        <f aca="false">M19-N19</f>
        <v>242.327</v>
      </c>
      <c r="P19" s="53" t="n">
        <v>111</v>
      </c>
      <c r="Q19" s="53" t="n">
        <v>83</v>
      </c>
      <c r="R19" s="53" t="n">
        <f aca="false">SUM(O19:Q19)</f>
        <v>436.327</v>
      </c>
      <c r="S19" s="54" t="n">
        <f aca="false">(I19-R19)+S18</f>
        <v>18525.7414643559</v>
      </c>
      <c r="T19" s="53" t="n">
        <v>258.34</v>
      </c>
      <c r="U19" s="53" t="n">
        <v>87</v>
      </c>
      <c r="V19" s="54" t="n">
        <f aca="false">V18-U19</f>
        <v>15235</v>
      </c>
      <c r="W19" s="53" t="n">
        <f aca="false">R19+T19+N19+U19</f>
        <v>847.34</v>
      </c>
      <c r="X19" s="53" t="n">
        <f aca="false">IF(L19&lt;0,L19*-1,0)</f>
        <v>0</v>
      </c>
      <c r="Y19" s="53" t="n">
        <f aca="false">W19+X19</f>
        <v>847.34</v>
      </c>
      <c r="Z19" s="57" t="n">
        <v>0.13</v>
      </c>
      <c r="AA19" s="58" t="n">
        <v>84</v>
      </c>
      <c r="AB19" s="58" t="n">
        <v>56</v>
      </c>
      <c r="AC19" s="59" t="n">
        <f aca="false">AC18+1</f>
        <v>10</v>
      </c>
      <c r="AD19" s="88"/>
      <c r="AE19" s="90"/>
      <c r="AF19" s="89"/>
    </row>
    <row r="20" customFormat="false" ht="11.1" hidden="false" customHeight="true" outlineLevel="0" collapsed="false">
      <c r="A20" s="59" t="n">
        <f aca="false">A19+1</f>
        <v>11</v>
      </c>
      <c r="B20" s="74" t="n">
        <v>6922.33</v>
      </c>
      <c r="C20" s="54" t="n">
        <v>373751</v>
      </c>
      <c r="D20" s="58" t="n">
        <f aca="false">C20-C19</f>
        <v>-883</v>
      </c>
      <c r="E20" s="54" t="n">
        <f aca="false">C20-152000</f>
        <v>221751</v>
      </c>
      <c r="F20" s="53" t="n">
        <f aca="false">D20/$D$2</f>
        <v>-445.172674565163</v>
      </c>
      <c r="G20" s="53" t="n">
        <v>378</v>
      </c>
      <c r="H20" s="55" t="n">
        <v>0.3</v>
      </c>
      <c r="I20" s="53" t="n">
        <f aca="false">G20+H20</f>
        <v>378.3</v>
      </c>
      <c r="J20" s="75" t="n">
        <f aca="false">IF(L20&gt;0,L20,0)</f>
        <v>0</v>
      </c>
      <c r="K20" s="53" t="n">
        <f aca="false">I20+J20</f>
        <v>378.3</v>
      </c>
      <c r="L20" s="53" t="n">
        <f aca="false">F20-(I20-W20)</f>
        <v>-40.7826745651627</v>
      </c>
      <c r="M20" s="53" t="n">
        <v>281</v>
      </c>
      <c r="N20" s="53" t="n">
        <f aca="false">25.69+25.03*1.05</f>
        <v>51.9715</v>
      </c>
      <c r="O20" s="53" t="n">
        <f aca="false">M20-N20</f>
        <v>229.0285</v>
      </c>
      <c r="P20" s="53" t="n">
        <v>112</v>
      </c>
      <c r="Q20" s="53" t="n">
        <v>85</v>
      </c>
      <c r="R20" s="53" t="n">
        <f aca="false">SUM(O20:Q20)</f>
        <v>426.0285</v>
      </c>
      <c r="S20" s="54" t="n">
        <f aca="false">(I20-R20)+S19</f>
        <v>18478.0129643559</v>
      </c>
      <c r="T20" s="53" t="n">
        <v>217.69</v>
      </c>
      <c r="U20" s="53" t="n">
        <v>87</v>
      </c>
      <c r="V20" s="54" t="n">
        <f aca="false">V19-U20</f>
        <v>15148</v>
      </c>
      <c r="W20" s="53" t="n">
        <f aca="false">R20+T20+N20+U20</f>
        <v>782.69</v>
      </c>
      <c r="X20" s="53" t="n">
        <f aca="false">IF(L20&lt;0,L20*-1,0)</f>
        <v>40.7826745651627</v>
      </c>
      <c r="Y20" s="53" t="n">
        <f aca="false">W20+X20</f>
        <v>823.472674565163</v>
      </c>
      <c r="Z20" s="57" t="n">
        <v>0</v>
      </c>
      <c r="AA20" s="58" t="n">
        <v>83</v>
      </c>
      <c r="AB20" s="58" t="n">
        <v>55</v>
      </c>
      <c r="AC20" s="59" t="n">
        <f aca="false">AC19+1</f>
        <v>11</v>
      </c>
      <c r="AD20" s="88"/>
      <c r="AE20" s="90"/>
      <c r="AF20" s="89"/>
      <c r="AG20" s="132"/>
      <c r="AH20" s="132"/>
      <c r="AI20" s="132"/>
    </row>
    <row r="21" customFormat="false" ht="11.1" hidden="false" customHeight="true" outlineLevel="0" collapsed="false">
      <c r="A21" s="59" t="n">
        <f aca="false">A20+1</f>
        <v>12</v>
      </c>
      <c r="B21" s="74" t="n">
        <v>6922.14</v>
      </c>
      <c r="C21" s="54" t="n">
        <v>372912</v>
      </c>
      <c r="D21" s="58" t="n">
        <f aca="false">C21-C20</f>
        <v>-839</v>
      </c>
      <c r="E21" s="54" t="n">
        <f aca="false">C21-152000</f>
        <v>220912</v>
      </c>
      <c r="F21" s="53" t="n">
        <f aca="false">D21/$D$2</f>
        <v>-422.989664734056</v>
      </c>
      <c r="G21" s="53" t="n">
        <v>427</v>
      </c>
      <c r="H21" s="55" t="n">
        <v>0.2</v>
      </c>
      <c r="I21" s="53" t="n">
        <f aca="false">G21+H21</f>
        <v>427.2</v>
      </c>
      <c r="J21" s="75" t="n">
        <f aca="false">IF(L21&gt;0,L21,0)</f>
        <v>0</v>
      </c>
      <c r="K21" s="53" t="n">
        <f aca="false">I21+J21</f>
        <v>427.2</v>
      </c>
      <c r="L21" s="53" t="n">
        <f aca="false">F21-(I21-W21)</f>
        <v>-8.88966473405588</v>
      </c>
      <c r="M21" s="53" t="n">
        <v>313</v>
      </c>
      <c r="N21" s="53" t="n">
        <f aca="false">31.65+32.31*1.05</f>
        <v>65.5755</v>
      </c>
      <c r="O21" s="53" t="n">
        <f aca="false">M21-N21</f>
        <v>247.4245</v>
      </c>
      <c r="P21" s="53" t="n">
        <v>110</v>
      </c>
      <c r="Q21" s="53" t="n">
        <v>84</v>
      </c>
      <c r="R21" s="53" t="n">
        <f aca="false">SUM(O21:Q21)</f>
        <v>441.4245</v>
      </c>
      <c r="S21" s="54" t="n">
        <f aca="false">(I21-R21)+S20</f>
        <v>18463.7884643559</v>
      </c>
      <c r="T21" s="53" t="n">
        <v>246.3</v>
      </c>
      <c r="U21" s="53" t="n">
        <v>88</v>
      </c>
      <c r="V21" s="54" t="n">
        <f aca="false">V20-U21</f>
        <v>15060</v>
      </c>
      <c r="W21" s="53" t="n">
        <f aca="false">R21+T21+N21+U21</f>
        <v>841.3</v>
      </c>
      <c r="X21" s="53" t="n">
        <f aca="false">IF(L21&lt;0,L21*-1,0)</f>
        <v>8.88966473405588</v>
      </c>
      <c r="Y21" s="53" t="n">
        <f aca="false">W21+X21</f>
        <v>850.189664734056</v>
      </c>
      <c r="Z21" s="57" t="n">
        <v>0</v>
      </c>
      <c r="AA21" s="58" t="n">
        <v>88</v>
      </c>
      <c r="AB21" s="58" t="n">
        <v>52</v>
      </c>
      <c r="AC21" s="59" t="n">
        <f aca="false">AC20+1</f>
        <v>12</v>
      </c>
      <c r="AD21" s="88"/>
      <c r="AE21" s="88"/>
      <c r="AF21" s="88"/>
    </row>
    <row r="22" customFormat="false" ht="11.1" hidden="false" customHeight="true" outlineLevel="0" collapsed="false">
      <c r="A22" s="59" t="n">
        <f aca="false">A21+1</f>
        <v>13</v>
      </c>
      <c r="B22" s="74" t="n">
        <v>6921.9</v>
      </c>
      <c r="C22" s="54" t="n">
        <v>371856</v>
      </c>
      <c r="D22" s="58" t="n">
        <f aca="false">C22-C21</f>
        <v>-1056</v>
      </c>
      <c r="E22" s="54" t="n">
        <f aca="false">C22-152000</f>
        <v>219856</v>
      </c>
      <c r="F22" s="53" t="n">
        <f aca="false">D22/$D$2</f>
        <v>-532.392235946559</v>
      </c>
      <c r="G22" s="53" t="n">
        <v>361</v>
      </c>
      <c r="H22" s="55" t="n">
        <v>0.2</v>
      </c>
      <c r="I22" s="53" t="n">
        <f aca="false">G22+H22</f>
        <v>361.2</v>
      </c>
      <c r="J22" s="75" t="n">
        <f aca="false">IF(L22&gt;0,L22,0)</f>
        <v>0</v>
      </c>
      <c r="K22" s="53" t="n">
        <f aca="false">I22+J22</f>
        <v>361.2</v>
      </c>
      <c r="L22" s="53" t="n">
        <f aca="false">F22-(I22-W22)</f>
        <v>-14.2022359465591</v>
      </c>
      <c r="M22" s="53" t="n">
        <v>316</v>
      </c>
      <c r="N22" s="53" t="n">
        <f aca="false">36.55+37.32*1.05</f>
        <v>75.736</v>
      </c>
      <c r="O22" s="53" t="n">
        <f aca="false">M22-N22</f>
        <v>240.264</v>
      </c>
      <c r="P22" s="53" t="n">
        <v>110</v>
      </c>
      <c r="Q22" s="53" t="n">
        <v>81</v>
      </c>
      <c r="R22" s="53" t="n">
        <f aca="false">SUM(O22:Q22)</f>
        <v>431.264</v>
      </c>
      <c r="S22" s="54" t="n">
        <f aca="false">(I22-R22)+S21</f>
        <v>18393.7244643559</v>
      </c>
      <c r="T22" s="53" t="n">
        <v>284.39</v>
      </c>
      <c r="U22" s="53" t="n">
        <v>88</v>
      </c>
      <c r="V22" s="54" t="n">
        <f aca="false">V21-U22</f>
        <v>14972</v>
      </c>
      <c r="W22" s="53" t="n">
        <f aca="false">R22+T22+N22+U22</f>
        <v>879.39</v>
      </c>
      <c r="X22" s="53" t="n">
        <f aca="false">IF(L22&lt;0,L22*-1,0)</f>
        <v>14.2022359465591</v>
      </c>
      <c r="Y22" s="53" t="n">
        <f aca="false">W22+X22</f>
        <v>893.592235946559</v>
      </c>
      <c r="Z22" s="57" t="n">
        <v>0</v>
      </c>
      <c r="AA22" s="58" t="n">
        <v>87</v>
      </c>
      <c r="AB22" s="58" t="n">
        <v>54</v>
      </c>
      <c r="AC22" s="59" t="n">
        <f aca="false">AC21+1</f>
        <v>13</v>
      </c>
      <c r="AD22" s="88"/>
      <c r="AE22" s="88"/>
      <c r="AF22" s="88"/>
    </row>
    <row r="23" customFormat="false" ht="11.1" hidden="false" customHeight="true" outlineLevel="0" collapsed="false">
      <c r="A23" s="59" t="n">
        <f aca="false">A22+1</f>
        <v>14</v>
      </c>
      <c r="B23" s="74" t="n">
        <v>6921.66</v>
      </c>
      <c r="C23" s="54" t="n">
        <v>370805</v>
      </c>
      <c r="D23" s="58" t="n">
        <f aca="false">C23-C22</f>
        <v>-1051</v>
      </c>
      <c r="E23" s="54" t="n">
        <f aca="false">C23-152000</f>
        <v>218805</v>
      </c>
      <c r="F23" s="53" t="n">
        <f aca="false">D23/$D$2</f>
        <v>-529.871439374842</v>
      </c>
      <c r="G23" s="53" t="n">
        <v>341</v>
      </c>
      <c r="H23" s="55" t="n">
        <v>0.3</v>
      </c>
      <c r="I23" s="53" t="n">
        <f aca="false">G23+H23</f>
        <v>341.3</v>
      </c>
      <c r="J23" s="75" t="n">
        <f aca="false">IF(L23&gt;0,L23,0)</f>
        <v>0</v>
      </c>
      <c r="K23" s="53" t="n">
        <f aca="false">I23+J23</f>
        <v>341.3</v>
      </c>
      <c r="L23" s="53" t="n">
        <f aca="false">F23-(I23-W23)</f>
        <v>-25.6514393748424</v>
      </c>
      <c r="M23" s="53" t="n">
        <v>317</v>
      </c>
      <c r="N23" s="53" t="n">
        <f aca="false">37.86+39.28*1.05</f>
        <v>79.104</v>
      </c>
      <c r="O23" s="53" t="n">
        <f aca="false">M23-N23</f>
        <v>237.896</v>
      </c>
      <c r="P23" s="53" t="n">
        <v>111</v>
      </c>
      <c r="Q23" s="53" t="n">
        <v>80</v>
      </c>
      <c r="R23" s="53" t="n">
        <f aca="false">SUM(O23:Q23)</f>
        <v>428.896</v>
      </c>
      <c r="S23" s="54" t="n">
        <f aca="false">(I23-R23)+S22</f>
        <v>18306.1284643559</v>
      </c>
      <c r="T23" s="53" t="n">
        <v>249.52</v>
      </c>
      <c r="U23" s="53" t="n">
        <v>88</v>
      </c>
      <c r="V23" s="54" t="n">
        <f aca="false">V22-U23</f>
        <v>14884</v>
      </c>
      <c r="W23" s="53" t="n">
        <f aca="false">R23+T23+N23+U23</f>
        <v>845.52</v>
      </c>
      <c r="X23" s="53" t="n">
        <f aca="false">IF(L23&lt;0,L23*-1,0)</f>
        <v>25.6514393748424</v>
      </c>
      <c r="Y23" s="53" t="n">
        <f aca="false">W23+X23</f>
        <v>871.171439374843</v>
      </c>
      <c r="Z23" s="57" t="n">
        <v>0.21</v>
      </c>
      <c r="AA23" s="58" t="n">
        <v>83</v>
      </c>
      <c r="AB23" s="58" t="n">
        <v>58</v>
      </c>
      <c r="AC23" s="59" t="n">
        <f aca="false">AC22+1</f>
        <v>14</v>
      </c>
      <c r="AD23" s="88"/>
      <c r="AE23" s="88"/>
      <c r="AF23" s="88"/>
    </row>
    <row r="24" customFormat="false" ht="11.1" hidden="false" customHeight="true" outlineLevel="0" collapsed="false">
      <c r="A24" s="59" t="n">
        <f aca="false">A23+1</f>
        <v>15</v>
      </c>
      <c r="B24" s="74" t="n">
        <v>6921.44</v>
      </c>
      <c r="C24" s="54" t="n">
        <v>369841</v>
      </c>
      <c r="D24" s="58" t="n">
        <f aca="false">C24-C23</f>
        <v>-964</v>
      </c>
      <c r="E24" s="54" t="n">
        <f aca="false">C24-152000</f>
        <v>217841</v>
      </c>
      <c r="F24" s="53" t="n">
        <f aca="false">D24/$D$2</f>
        <v>-486.009579026973</v>
      </c>
      <c r="G24" s="53" t="n">
        <v>364</v>
      </c>
      <c r="H24" s="55" t="n">
        <v>0.7</v>
      </c>
      <c r="I24" s="53" t="n">
        <f aca="false">G24+H24</f>
        <v>364.7</v>
      </c>
      <c r="J24" s="75" t="n">
        <f aca="false">IF(L24&gt;0,L24,0)</f>
        <v>0</v>
      </c>
      <c r="K24" s="53" t="n">
        <f aca="false">I24+J24</f>
        <v>364.7</v>
      </c>
      <c r="L24" s="53" t="n">
        <f aca="false">F24-(I24-W24)</f>
        <v>-36.9495790269725</v>
      </c>
      <c r="M24" s="53" t="n">
        <v>292</v>
      </c>
      <c r="N24" s="53" t="n">
        <f aca="false">34.05+35.96*1.05</f>
        <v>71.808</v>
      </c>
      <c r="O24" s="53" t="n">
        <f aca="false">M24-N24</f>
        <v>220.192</v>
      </c>
      <c r="P24" s="53" t="n">
        <v>111</v>
      </c>
      <c r="Q24" s="53" t="n">
        <v>80</v>
      </c>
      <c r="R24" s="53" t="n">
        <f aca="false">SUM(O24:Q24)</f>
        <v>411.192</v>
      </c>
      <c r="S24" s="54" t="n">
        <f aca="false">(I24-R24)+S23</f>
        <v>18259.6364643559</v>
      </c>
      <c r="T24" s="53" t="n">
        <v>242.76</v>
      </c>
      <c r="U24" s="53" t="n">
        <v>88</v>
      </c>
      <c r="V24" s="54" t="n">
        <f aca="false">V23-U24</f>
        <v>14796</v>
      </c>
      <c r="W24" s="53" t="n">
        <f aca="false">R24+T24+N24+U24</f>
        <v>813.76</v>
      </c>
      <c r="X24" s="53" t="n">
        <f aca="false">IF(L24&lt;0,L24*-1,0)</f>
        <v>36.9495790269725</v>
      </c>
      <c r="Y24" s="53" t="n">
        <f aca="false">W24+X24</f>
        <v>850.709579026973</v>
      </c>
      <c r="Z24" s="57" t="n">
        <v>0.01</v>
      </c>
      <c r="AA24" s="83" t="n">
        <v>75</v>
      </c>
      <c r="AB24" s="58" t="n">
        <v>56</v>
      </c>
      <c r="AC24" s="59" t="n">
        <f aca="false">AC23+1</f>
        <v>15</v>
      </c>
      <c r="AD24" s="88"/>
      <c r="AE24" s="88"/>
      <c r="AF24" s="88"/>
    </row>
    <row r="25" customFormat="false" ht="11.1" hidden="false" customHeight="true" outlineLevel="0" collapsed="false">
      <c r="A25" s="59" t="n">
        <f aca="false">A24+1</f>
        <v>16</v>
      </c>
      <c r="B25" s="74" t="n">
        <v>6921.2</v>
      </c>
      <c r="C25" s="54" t="n">
        <v>368791</v>
      </c>
      <c r="D25" s="58" t="n">
        <f aca="false">C25-C24</f>
        <v>-1050</v>
      </c>
      <c r="E25" s="54" t="n">
        <f aca="false">C25-152000</f>
        <v>216791</v>
      </c>
      <c r="F25" s="53" t="n">
        <f aca="false">D25/$D$2</f>
        <v>-529.367280060499</v>
      </c>
      <c r="G25" s="53" t="n">
        <v>371</v>
      </c>
      <c r="H25" s="55" t="n">
        <v>0.8</v>
      </c>
      <c r="I25" s="53" t="n">
        <f aca="false">G25+H25</f>
        <v>371.8</v>
      </c>
      <c r="J25" s="75" t="n">
        <f aca="false">IF(L25&gt;0,L25,0)</f>
        <v>0</v>
      </c>
      <c r="K25" s="53" t="n">
        <f aca="false">I25+J25</f>
        <v>371.8</v>
      </c>
      <c r="L25" s="53" t="n">
        <f aca="false">F25-(I25-W25)</f>
        <v>-64.9072800604991</v>
      </c>
      <c r="M25" s="53" t="n">
        <v>293</v>
      </c>
      <c r="N25" s="53" t="n">
        <f aca="false">31.65+34.93*1.05</f>
        <v>68.3265</v>
      </c>
      <c r="O25" s="53" t="n">
        <f aca="false">M25-N25</f>
        <v>224.6735</v>
      </c>
      <c r="P25" s="53" t="n">
        <v>111</v>
      </c>
      <c r="Q25" s="53" t="n">
        <v>80</v>
      </c>
      <c r="R25" s="53" t="n">
        <f aca="false">SUM(O25:Q25)</f>
        <v>415.6735</v>
      </c>
      <c r="S25" s="54" t="n">
        <f aca="false">(I25-R25)+S24</f>
        <v>18215.7629643559</v>
      </c>
      <c r="T25" s="53" t="n">
        <v>264.26</v>
      </c>
      <c r="U25" s="53" t="n">
        <v>88</v>
      </c>
      <c r="V25" s="54" t="n">
        <f aca="false">V24-U25</f>
        <v>14708</v>
      </c>
      <c r="W25" s="53" t="n">
        <f aca="false">R25+T25+N25+U25</f>
        <v>836.26</v>
      </c>
      <c r="X25" s="53" t="n">
        <f aca="false">IF(L25&lt;0,L25*-1,0)</f>
        <v>64.9072800604991</v>
      </c>
      <c r="Y25" s="53" t="n">
        <f aca="false">W25+X25</f>
        <v>901.167280060499</v>
      </c>
      <c r="Z25" s="57" t="n">
        <v>0</v>
      </c>
      <c r="AA25" s="83" t="n">
        <v>85</v>
      </c>
      <c r="AB25" s="58" t="n">
        <v>52</v>
      </c>
      <c r="AC25" s="59" t="n">
        <f aca="false">AC24+1</f>
        <v>16</v>
      </c>
      <c r="AD25" s="88"/>
      <c r="AE25" s="88"/>
      <c r="AF25" s="88"/>
    </row>
    <row r="26" customFormat="false" ht="11.1" hidden="false" customHeight="true" outlineLevel="0" collapsed="false">
      <c r="A26" s="59" t="n">
        <f aca="false">A25+1</f>
        <v>17</v>
      </c>
      <c r="B26" s="74" t="n">
        <v>6920.94</v>
      </c>
      <c r="C26" s="54" t="n">
        <v>367654</v>
      </c>
      <c r="D26" s="58" t="n">
        <f aca="false">C26-C25</f>
        <v>-1137</v>
      </c>
      <c r="E26" s="54" t="n">
        <f aca="false">C26-152000</f>
        <v>215654</v>
      </c>
      <c r="F26" s="53" t="n">
        <f aca="false">D26/$D$2</f>
        <v>-573.229140408369</v>
      </c>
      <c r="G26" s="53" t="n">
        <v>323</v>
      </c>
      <c r="H26" s="55" t="n">
        <v>0.6</v>
      </c>
      <c r="I26" s="53" t="n">
        <f aca="false">G26+H26</f>
        <v>323.6</v>
      </c>
      <c r="J26" s="75" t="n">
        <f aca="false">IF(L26&gt;0,L26,0)</f>
        <v>0</v>
      </c>
      <c r="K26" s="53" t="n">
        <f aca="false">I26+J26</f>
        <v>323.6</v>
      </c>
      <c r="L26" s="53" t="n">
        <f aca="false">F26-(I26-W26)</f>
        <v>-49.2891404083691</v>
      </c>
      <c r="M26" s="53" t="n">
        <v>297</v>
      </c>
      <c r="N26" s="53" t="n">
        <f aca="false">35.27+35.49*1.05</f>
        <v>72.5345</v>
      </c>
      <c r="O26" s="53" t="n">
        <f aca="false">M26-N26</f>
        <v>224.4655</v>
      </c>
      <c r="P26" s="53" t="n">
        <v>110</v>
      </c>
      <c r="Q26" s="53" t="n">
        <v>81</v>
      </c>
      <c r="R26" s="53" t="n">
        <f aca="false">SUM(O26:Q26)</f>
        <v>415.4655</v>
      </c>
      <c r="S26" s="54" t="n">
        <f aca="false">(I26-R26)+S25</f>
        <v>18123.8974643559</v>
      </c>
      <c r="T26" s="53" t="n">
        <v>271.54</v>
      </c>
      <c r="U26" s="53" t="n">
        <v>88</v>
      </c>
      <c r="V26" s="54" t="n">
        <f aca="false">V25-U26</f>
        <v>14620</v>
      </c>
      <c r="W26" s="53" t="n">
        <f aca="false">R26+T26+N26+U26</f>
        <v>847.54</v>
      </c>
      <c r="X26" s="53" t="n">
        <f aca="false">IF(L26&lt;0,L26*-1,0)</f>
        <v>49.2891404083691</v>
      </c>
      <c r="Y26" s="53" t="n">
        <f aca="false">W26+X26</f>
        <v>896.829140408369</v>
      </c>
      <c r="Z26" s="57" t="n">
        <v>0</v>
      </c>
      <c r="AA26" s="83" t="n">
        <v>88</v>
      </c>
      <c r="AB26" s="58" t="n">
        <v>52</v>
      </c>
      <c r="AC26" s="59" t="n">
        <f aca="false">AC25+1</f>
        <v>17</v>
      </c>
      <c r="AD26" s="88"/>
      <c r="AE26" s="88"/>
      <c r="AF26" s="88"/>
    </row>
    <row r="27" customFormat="false" ht="11.1" hidden="false" customHeight="true" outlineLevel="0" collapsed="false">
      <c r="A27" s="59" t="n">
        <f aca="false">A26+1</f>
        <v>18</v>
      </c>
      <c r="B27" s="74" t="n">
        <v>6920.68</v>
      </c>
      <c r="C27" s="54" t="n">
        <v>366525</v>
      </c>
      <c r="D27" s="58" t="n">
        <f aca="false">C27-C26</f>
        <v>-1129</v>
      </c>
      <c r="E27" s="54" t="n">
        <f aca="false">C27-152000</f>
        <v>214525</v>
      </c>
      <c r="F27" s="53" t="n">
        <f aca="false">D27/$D$2</f>
        <v>-569.195865893622</v>
      </c>
      <c r="G27" s="53" t="n">
        <v>286</v>
      </c>
      <c r="H27" s="55" t="n">
        <v>0.6</v>
      </c>
      <c r="I27" s="53" t="n">
        <f aca="false">G27+H27</f>
        <v>286.6</v>
      </c>
      <c r="J27" s="75" t="n">
        <f aca="false">IF(L27&gt;0,L27,0)</f>
        <v>0</v>
      </c>
      <c r="K27" s="53" t="n">
        <f aca="false">I27+J27</f>
        <v>286.6</v>
      </c>
      <c r="L27" s="53" t="n">
        <f aca="false">F27-(I27-W27)</f>
        <v>-13.2058658936223</v>
      </c>
      <c r="M27" s="53" t="n">
        <v>310</v>
      </c>
      <c r="N27" s="53" t="n">
        <f aca="false">35.08+35.55*1.05</f>
        <v>72.4075</v>
      </c>
      <c r="O27" s="53" t="n">
        <f aca="false">M27-N27</f>
        <v>237.5925</v>
      </c>
      <c r="P27" s="53" t="n">
        <v>111</v>
      </c>
      <c r="Q27" s="53" t="n">
        <v>82</v>
      </c>
      <c r="R27" s="53" t="n">
        <f aca="false">SUM(O27:Q27)</f>
        <v>430.5925</v>
      </c>
      <c r="S27" s="54" t="n">
        <f aca="false">(I27-R27)+S26</f>
        <v>17979.9049643559</v>
      </c>
      <c r="T27" s="53" t="n">
        <v>250.59</v>
      </c>
      <c r="U27" s="53" t="n">
        <v>89</v>
      </c>
      <c r="V27" s="54" t="n">
        <f aca="false">V26-U27</f>
        <v>14531</v>
      </c>
      <c r="W27" s="53" t="n">
        <f aca="false">R27+T27+N27+U27</f>
        <v>842.59</v>
      </c>
      <c r="X27" s="53" t="n">
        <f aca="false">IF(L27&lt;0,L27*-1,0)</f>
        <v>13.2058658936223</v>
      </c>
      <c r="Y27" s="53" t="n">
        <f aca="false">W27+X27</f>
        <v>855.795865893622</v>
      </c>
      <c r="Z27" s="57" t="n">
        <v>0.03</v>
      </c>
      <c r="AA27" s="83" t="n">
        <v>73</v>
      </c>
      <c r="AB27" s="58" t="n">
        <v>59</v>
      </c>
      <c r="AC27" s="59" t="n">
        <f aca="false">AC26+1</f>
        <v>18</v>
      </c>
      <c r="AD27" s="88"/>
      <c r="AE27" s="88"/>
      <c r="AF27" s="88"/>
    </row>
    <row r="28" customFormat="false" ht="11.1" hidden="false" customHeight="true" outlineLevel="0" collapsed="false">
      <c r="A28" s="59" t="n">
        <f aca="false">A27+1</f>
        <v>19</v>
      </c>
      <c r="B28" s="74" t="n">
        <v>6920.48</v>
      </c>
      <c r="C28" s="94" t="n">
        <v>365657</v>
      </c>
      <c r="D28" s="58" t="n">
        <f aca="false">C28-C27</f>
        <v>-868</v>
      </c>
      <c r="E28" s="54" t="n">
        <f aca="false">C28-152000</f>
        <v>213657</v>
      </c>
      <c r="F28" s="53" t="n">
        <f aca="false">D28/$D$2</f>
        <v>-437.610284850013</v>
      </c>
      <c r="G28" s="53" t="n">
        <v>393</v>
      </c>
      <c r="H28" s="55" t="n">
        <v>0.9</v>
      </c>
      <c r="I28" s="53" t="n">
        <f aca="false">G28+H28</f>
        <v>393.9</v>
      </c>
      <c r="J28" s="75" t="n">
        <f aca="false">IF(L28&gt;0,L28,0)</f>
        <v>8.17971514998737</v>
      </c>
      <c r="K28" s="53" t="n">
        <f aca="false">I28+J28</f>
        <v>402.079715149987</v>
      </c>
      <c r="L28" s="53" t="n">
        <f aca="false">F28-(I28-W28)</f>
        <v>8.17971514998737</v>
      </c>
      <c r="M28" s="53" t="n">
        <v>302</v>
      </c>
      <c r="N28" s="53" t="n">
        <f aca="false">36.6+36.79*1.05</f>
        <v>75.2295</v>
      </c>
      <c r="O28" s="53" t="n">
        <f aca="false">M28-N28</f>
        <v>226.7705</v>
      </c>
      <c r="P28" s="53" t="n">
        <v>110</v>
      </c>
      <c r="Q28" s="53" t="n">
        <v>82</v>
      </c>
      <c r="R28" s="53" t="n">
        <f aca="false">SUM(O28:Q28)</f>
        <v>418.7705</v>
      </c>
      <c r="S28" s="54" t="n">
        <f aca="false">(I28-R28)+S27</f>
        <v>17955.0344643559</v>
      </c>
      <c r="T28" s="53" t="n">
        <v>256.69</v>
      </c>
      <c r="U28" s="53" t="n">
        <v>89</v>
      </c>
      <c r="V28" s="54" t="n">
        <f aca="false">V27-U28</f>
        <v>14442</v>
      </c>
      <c r="W28" s="53" t="n">
        <f aca="false">R28+T28+N28+U28</f>
        <v>839.69</v>
      </c>
      <c r="X28" s="53" t="n">
        <f aca="false">IF(L28&lt;0,L28*-1,0)</f>
        <v>0</v>
      </c>
      <c r="Y28" s="53" t="n">
        <f aca="false">W28+X28</f>
        <v>839.69</v>
      </c>
      <c r="Z28" s="57" t="n">
        <v>0</v>
      </c>
      <c r="AA28" s="83" t="n">
        <v>79</v>
      </c>
      <c r="AB28" s="58" t="n">
        <v>54</v>
      </c>
      <c r="AC28" s="59" t="n">
        <f aca="false">AC27+1</f>
        <v>19</v>
      </c>
      <c r="AD28" s="88"/>
      <c r="AE28" s="88"/>
      <c r="AF28" s="88"/>
    </row>
    <row r="29" customFormat="false" ht="11.1" hidden="false" customHeight="true" outlineLevel="0" collapsed="false">
      <c r="A29" s="59" t="n">
        <f aca="false">A28+1</f>
        <v>20</v>
      </c>
      <c r="B29" s="74" t="n">
        <v>6920.3</v>
      </c>
      <c r="C29" s="54" t="n">
        <v>364876</v>
      </c>
      <c r="D29" s="58" t="n">
        <f aca="false">C29-C28</f>
        <v>-781</v>
      </c>
      <c r="E29" s="54" t="n">
        <f aca="false">C29-152000</f>
        <v>212876</v>
      </c>
      <c r="F29" s="53" t="n">
        <f aca="false">D29/$D$2</f>
        <v>-393.748424502143</v>
      </c>
      <c r="G29" s="53" t="n">
        <v>471</v>
      </c>
      <c r="H29" s="55" t="n">
        <v>1.5</v>
      </c>
      <c r="I29" s="53" t="n">
        <f aca="false">G29+H29</f>
        <v>472.5</v>
      </c>
      <c r="J29" s="75" t="n">
        <f aca="false">IF(L29&gt;0,L29,0)</f>
        <v>0</v>
      </c>
      <c r="K29" s="53" t="n">
        <f aca="false">I29+J29</f>
        <v>472.5</v>
      </c>
      <c r="L29" s="53" t="n">
        <f aca="false">F29-(I29-W29)</f>
        <v>-21.0784245021426</v>
      </c>
      <c r="M29" s="53" t="n">
        <v>296</v>
      </c>
      <c r="N29" s="53" t="n">
        <f aca="false">35.05+35.39*1.05</f>
        <v>72.2095</v>
      </c>
      <c r="O29" s="53" t="n">
        <f aca="false">M29-N29</f>
        <v>223.7905</v>
      </c>
      <c r="P29" s="53" t="n">
        <v>110</v>
      </c>
      <c r="Q29" s="53" t="n">
        <v>81</v>
      </c>
      <c r="R29" s="53" t="n">
        <f aca="false">SUM(O29:Q29)</f>
        <v>414.7905</v>
      </c>
      <c r="S29" s="54" t="n">
        <f aca="false">(I29-R29)+S28</f>
        <v>18012.7439643559</v>
      </c>
      <c r="T29" s="53" t="n">
        <v>269.17</v>
      </c>
      <c r="U29" s="53" t="n">
        <v>89</v>
      </c>
      <c r="V29" s="54" t="n">
        <f aca="false">V28-U29</f>
        <v>14353</v>
      </c>
      <c r="W29" s="53" t="n">
        <f aca="false">R29+T29+N29+U29</f>
        <v>845.17</v>
      </c>
      <c r="X29" s="53" t="n">
        <f aca="false">IF(L29&lt;0,L29*-1,0)</f>
        <v>21.0784245021426</v>
      </c>
      <c r="Y29" s="53" t="n">
        <f aca="false">W29+X29</f>
        <v>866.248424502143</v>
      </c>
      <c r="Z29" s="57" t="n">
        <v>0</v>
      </c>
      <c r="AA29" s="83" t="n">
        <v>88</v>
      </c>
      <c r="AB29" s="58" t="n">
        <v>50</v>
      </c>
      <c r="AC29" s="59" t="n">
        <f aca="false">AC28+1</f>
        <v>20</v>
      </c>
      <c r="AD29" s="88"/>
      <c r="AE29" s="88"/>
      <c r="AF29" s="88"/>
    </row>
    <row r="30" customFormat="false" ht="11.1" hidden="false" customHeight="true" outlineLevel="0" collapsed="false">
      <c r="A30" s="59" t="n">
        <f aca="false">A29+1</f>
        <v>21</v>
      </c>
      <c r="B30" s="74" t="n">
        <v>6920.18</v>
      </c>
      <c r="C30" s="54" t="n">
        <v>364224</v>
      </c>
      <c r="D30" s="58" t="n">
        <f aca="false">C30-C29</f>
        <v>-652</v>
      </c>
      <c r="E30" s="54" t="n">
        <f aca="false">C30-152000</f>
        <v>212224</v>
      </c>
      <c r="F30" s="53" t="n">
        <f aca="false">D30/$D$2</f>
        <v>-328.711872951853</v>
      </c>
      <c r="G30" s="53" t="n">
        <v>455</v>
      </c>
      <c r="H30" s="55" t="n">
        <v>1.1</v>
      </c>
      <c r="I30" s="53" t="n">
        <f aca="false">G30+H30</f>
        <v>456.1</v>
      </c>
      <c r="J30" s="75" t="n">
        <f aca="false">IF(L30&gt;0,L30,0)</f>
        <v>33.2881270481472</v>
      </c>
      <c r="K30" s="53" t="n">
        <f aca="false">I30+J30</f>
        <v>489.388127048147</v>
      </c>
      <c r="L30" s="53" t="n">
        <f aca="false">F30-(I30-W30)</f>
        <v>33.2881270481472</v>
      </c>
      <c r="M30" s="53" t="n">
        <v>261</v>
      </c>
      <c r="N30" s="53" t="n">
        <f aca="false">28.8+28.01*1.05</f>
        <v>58.2105</v>
      </c>
      <c r="O30" s="53" t="n">
        <f aca="false">M30-N30</f>
        <v>202.7895</v>
      </c>
      <c r="P30" s="53" t="n">
        <v>110</v>
      </c>
      <c r="Q30" s="53" t="n">
        <v>81</v>
      </c>
      <c r="R30" s="53" t="n">
        <f aca="false">SUM(O30:Q30)</f>
        <v>393.7895</v>
      </c>
      <c r="S30" s="54" t="n">
        <f aca="false">(I30-R30)+S29</f>
        <v>18075.0544643559</v>
      </c>
      <c r="T30" s="53" t="n">
        <v>276.1</v>
      </c>
      <c r="U30" s="53" t="n">
        <v>90</v>
      </c>
      <c r="V30" s="54" t="n">
        <f aca="false">V29-U30</f>
        <v>14263</v>
      </c>
      <c r="W30" s="53" t="n">
        <f aca="false">R30+T30+N30+U30</f>
        <v>818.1</v>
      </c>
      <c r="X30" s="53" t="n">
        <f aca="false">IF(L30&lt;0,L30*-1,0)</f>
        <v>0</v>
      </c>
      <c r="Y30" s="53" t="n">
        <f aca="false">W30+X30</f>
        <v>818.1</v>
      </c>
      <c r="Z30" s="57" t="n">
        <v>0.84</v>
      </c>
      <c r="AA30" s="58" t="n">
        <v>86</v>
      </c>
      <c r="AB30" s="58" t="n">
        <v>52</v>
      </c>
      <c r="AC30" s="59" t="n">
        <f aca="false">AC29+1</f>
        <v>21</v>
      </c>
      <c r="AD30" s="88"/>
      <c r="AE30" s="88"/>
      <c r="AF30" s="88"/>
    </row>
    <row r="31" customFormat="false" ht="11.1" hidden="false" customHeight="true" outlineLevel="0" collapsed="false">
      <c r="A31" s="59" t="n">
        <f aca="false">A30+1</f>
        <v>22</v>
      </c>
      <c r="B31" s="74" t="n">
        <v>6920.05</v>
      </c>
      <c r="C31" s="54" t="n">
        <v>363790</v>
      </c>
      <c r="D31" s="58" t="n">
        <f aca="false">C31-C30</f>
        <v>-434</v>
      </c>
      <c r="E31" s="54" t="n">
        <f aca="false">C31-152000</f>
        <v>211790</v>
      </c>
      <c r="F31" s="53" t="n">
        <f aca="false">D31/$D$2</f>
        <v>-218.805142425006</v>
      </c>
      <c r="G31" s="53" t="n">
        <v>528</v>
      </c>
      <c r="H31" s="55" t="n">
        <v>2.7</v>
      </c>
      <c r="I31" s="53" t="n">
        <f aca="false">G31+H31</f>
        <v>530.7</v>
      </c>
      <c r="J31" s="75" t="n">
        <f aca="false">IF(L31&gt;0,L31,0)</f>
        <v>0</v>
      </c>
      <c r="K31" s="53" t="n">
        <f aca="false">I31+J31</f>
        <v>530.7</v>
      </c>
      <c r="L31" s="53" t="n">
        <f aca="false">F31-(I31-W31)</f>
        <v>-12.0551424250063</v>
      </c>
      <c r="M31" s="53" t="n">
        <v>195</v>
      </c>
      <c r="N31" s="53" t="n">
        <f aca="false">18.39+19.45*1.05</f>
        <v>38.8125</v>
      </c>
      <c r="O31" s="53" t="n">
        <f aca="false">M31-N31</f>
        <v>156.1875</v>
      </c>
      <c r="P31" s="53" t="n">
        <v>110</v>
      </c>
      <c r="Q31" s="53" t="n">
        <v>81</v>
      </c>
      <c r="R31" s="53" t="n">
        <f aca="false">SUM(O31:Q31)</f>
        <v>347.1875</v>
      </c>
      <c r="S31" s="54" t="n">
        <f aca="false">(I31-R31)+S30</f>
        <v>18258.5669643559</v>
      </c>
      <c r="T31" s="53" t="n">
        <v>261.45</v>
      </c>
      <c r="U31" s="53" t="n">
        <v>90</v>
      </c>
      <c r="V31" s="54" t="n">
        <f aca="false">V30-U31</f>
        <v>14173</v>
      </c>
      <c r="W31" s="53" t="n">
        <f aca="false">R31+T31+N31+U31</f>
        <v>737.45</v>
      </c>
      <c r="X31" s="53" t="n">
        <f aca="false">IF(L31&lt;0,L31*-1,0)</f>
        <v>12.0551424250063</v>
      </c>
      <c r="Y31" s="53" t="n">
        <f aca="false">W31+X31</f>
        <v>749.505142425006</v>
      </c>
      <c r="Z31" s="57" t="n">
        <v>0.02</v>
      </c>
      <c r="AA31" s="58" t="n">
        <v>80</v>
      </c>
      <c r="AB31" s="58" t="n">
        <v>52</v>
      </c>
      <c r="AC31" s="59" t="n">
        <f aca="false">AC30+1</f>
        <v>22</v>
      </c>
      <c r="AD31" s="88"/>
      <c r="AE31" s="88"/>
      <c r="AF31" s="88"/>
      <c r="AG31" s="132"/>
      <c r="AH31" s="132"/>
      <c r="AI31" s="132"/>
    </row>
    <row r="32" customFormat="false" ht="11.1" hidden="false" customHeight="true" outlineLevel="0" collapsed="false">
      <c r="A32" s="59" t="n">
        <f aca="false">A31+1</f>
        <v>23</v>
      </c>
      <c r="B32" s="74" t="n">
        <v>6919.99</v>
      </c>
      <c r="C32" s="54" t="n">
        <v>363530</v>
      </c>
      <c r="D32" s="58" t="n">
        <f aca="false">C32-C31</f>
        <v>-260</v>
      </c>
      <c r="E32" s="54" t="n">
        <f aca="false">C32-152000</f>
        <v>211530</v>
      </c>
      <c r="F32" s="53" t="n">
        <f aca="false">D32/$D$2</f>
        <v>-131.081421729266</v>
      </c>
      <c r="G32" s="53" t="n">
        <v>610</v>
      </c>
      <c r="H32" s="55" t="n">
        <v>2.7</v>
      </c>
      <c r="I32" s="53" t="n">
        <f aca="false">G32+H32</f>
        <v>612.7</v>
      </c>
      <c r="J32" s="75" t="n">
        <f aca="false">IF(L32&gt;0,L32,0)</f>
        <v>0</v>
      </c>
      <c r="K32" s="53" t="n">
        <f aca="false">I32+J32</f>
        <v>612.7</v>
      </c>
      <c r="L32" s="53" t="n">
        <f aca="false">F32-(I32-W32)</f>
        <v>-17.4414217292666</v>
      </c>
      <c r="M32" s="53" t="n">
        <v>199</v>
      </c>
      <c r="N32" s="53" t="n">
        <f aca="false">16.5+16.93*1.05</f>
        <v>34.2765</v>
      </c>
      <c r="O32" s="53" t="n">
        <f aca="false">M32-N32</f>
        <v>164.7235</v>
      </c>
      <c r="P32" s="53" t="n">
        <v>111</v>
      </c>
      <c r="Q32" s="53" t="n">
        <v>81</v>
      </c>
      <c r="R32" s="53" t="n">
        <f aca="false">SUM(O32:Q32)</f>
        <v>356.7235</v>
      </c>
      <c r="S32" s="54" t="n">
        <f aca="false">(I32-R32)+S31</f>
        <v>18514.5434643559</v>
      </c>
      <c r="T32" s="53" t="n">
        <v>245.34</v>
      </c>
      <c r="U32" s="53" t="n">
        <v>90</v>
      </c>
      <c r="V32" s="54" t="n">
        <f aca="false">V31-U32</f>
        <v>14083</v>
      </c>
      <c r="W32" s="53" t="n">
        <f aca="false">R32+T32+N32+U32</f>
        <v>726.34</v>
      </c>
      <c r="X32" s="53" t="n">
        <f aca="false">IF(L32&lt;0,L32*-1,0)</f>
        <v>17.4414217292666</v>
      </c>
      <c r="Y32" s="53" t="n">
        <f aca="false">W32+X32</f>
        <v>743.781421729267</v>
      </c>
      <c r="Z32" s="57" t="n">
        <v>0.02</v>
      </c>
      <c r="AA32" s="58" t="n">
        <v>85</v>
      </c>
      <c r="AB32" s="83" t="n">
        <v>53</v>
      </c>
      <c r="AC32" s="59" t="n">
        <f aca="false">AC31+1</f>
        <v>23</v>
      </c>
      <c r="AD32" s="88"/>
      <c r="AE32" s="88"/>
      <c r="AF32" s="88"/>
    </row>
    <row r="33" customFormat="false" ht="11.1" hidden="false" customHeight="true" outlineLevel="0" collapsed="false">
      <c r="A33" s="59" t="n">
        <f aca="false">A32+1</f>
        <v>24</v>
      </c>
      <c r="B33" s="74" t="n">
        <v>6919.92</v>
      </c>
      <c r="C33" s="54" t="n">
        <v>363299</v>
      </c>
      <c r="D33" s="58" t="n">
        <f aca="false">C33-C32</f>
        <v>-231</v>
      </c>
      <c r="E33" s="54" t="n">
        <f aca="false">C33-152000</f>
        <v>211299</v>
      </c>
      <c r="F33" s="53" t="n">
        <f aca="false">D33/$D$2</f>
        <v>-116.46080161331</v>
      </c>
      <c r="G33" s="53" t="n">
        <v>562</v>
      </c>
      <c r="H33" s="55" t="n">
        <v>3.2</v>
      </c>
      <c r="I33" s="53" t="n">
        <f aca="false">G33+H33</f>
        <v>565.2</v>
      </c>
      <c r="J33" s="75" t="n">
        <f aca="false">IF(L33&gt;0,L33,0)</f>
        <v>17.5991983866901</v>
      </c>
      <c r="K33" s="53" t="n">
        <f aca="false">I33+J33</f>
        <v>582.79919838669</v>
      </c>
      <c r="L33" s="53" t="n">
        <f aca="false">F33-(I33-W33)</f>
        <v>17.5991983866901</v>
      </c>
      <c r="M33" s="53" t="n">
        <v>210</v>
      </c>
      <c r="N33" s="53" t="n">
        <f aca="false">25.59+25.41*1.05</f>
        <v>52.2705</v>
      </c>
      <c r="O33" s="53" t="n">
        <f aca="false">M33-N33</f>
        <v>157.7295</v>
      </c>
      <c r="P33" s="53" t="n">
        <v>111</v>
      </c>
      <c r="Q33" s="53" t="n">
        <v>82</v>
      </c>
      <c r="R33" s="53" t="n">
        <f aca="false">SUM(O33:Q33)</f>
        <v>350.7295</v>
      </c>
      <c r="S33" s="54" t="n">
        <f aca="false">(I33-R33)+S32</f>
        <v>18729.0139643559</v>
      </c>
      <c r="T33" s="53" t="n">
        <v>205.26</v>
      </c>
      <c r="U33" s="53" t="n">
        <v>91</v>
      </c>
      <c r="V33" s="54" t="n">
        <f aca="false">V32-U33</f>
        <v>13992</v>
      </c>
      <c r="W33" s="53" t="n">
        <f aca="false">R33+T33+N33+U33</f>
        <v>699.26</v>
      </c>
      <c r="X33" s="53" t="n">
        <f aca="false">IF(L33&lt;0,L33*-1,0)</f>
        <v>0</v>
      </c>
      <c r="Y33" s="53" t="n">
        <f aca="false">W33+X33</f>
        <v>699.26</v>
      </c>
      <c r="Z33" s="57" t="n">
        <v>0</v>
      </c>
      <c r="AA33" s="58" t="n">
        <v>84</v>
      </c>
      <c r="AB33" s="83" t="n">
        <v>53</v>
      </c>
      <c r="AC33" s="59" t="n">
        <f aca="false">AC32+1</f>
        <v>24</v>
      </c>
      <c r="AD33" s="88"/>
      <c r="AE33" s="88"/>
      <c r="AF33" s="88"/>
    </row>
    <row r="34" customFormat="false" ht="11.1" hidden="false" customHeight="true" outlineLevel="0" collapsed="false">
      <c r="A34" s="59" t="n">
        <f aca="false">A33+1</f>
        <v>25</v>
      </c>
      <c r="B34" s="74" t="n">
        <v>6919.97</v>
      </c>
      <c r="C34" s="54" t="n">
        <v>363487</v>
      </c>
      <c r="D34" s="58" t="n">
        <f aca="false">C34-C33</f>
        <v>188</v>
      </c>
      <c r="E34" s="54" t="n">
        <f aca="false">C34-152000</f>
        <v>211487</v>
      </c>
      <c r="F34" s="53" t="n">
        <f aca="false">D34/$D$2</f>
        <v>94.7819510965465</v>
      </c>
      <c r="G34" s="53" t="n">
        <v>763</v>
      </c>
      <c r="H34" s="55" t="n">
        <v>2.5</v>
      </c>
      <c r="I34" s="53" t="n">
        <f aca="false">G34+H34</f>
        <v>765.5</v>
      </c>
      <c r="J34" s="75" t="n">
        <f aca="false">IF(L34&gt;0,L34,0)</f>
        <v>0</v>
      </c>
      <c r="K34" s="53" t="n">
        <f aca="false">I34+J34</f>
        <v>765.5</v>
      </c>
      <c r="L34" s="53" t="n">
        <f aca="false">F34-(I34-W34)</f>
        <v>-29.6780489034535</v>
      </c>
      <c r="M34" s="53" t="n">
        <v>197</v>
      </c>
      <c r="N34" s="53" t="n">
        <f aca="false">25.54+24.75*1.05</f>
        <v>51.5275</v>
      </c>
      <c r="O34" s="53" t="n">
        <f aca="false">M34-N34</f>
        <v>145.4725</v>
      </c>
      <c r="P34" s="53" t="n">
        <v>112</v>
      </c>
      <c r="Q34" s="53" t="n">
        <v>82</v>
      </c>
      <c r="R34" s="53" t="n">
        <f aca="false">SUM(O34:Q34)</f>
        <v>339.4725</v>
      </c>
      <c r="S34" s="54" t="n">
        <f aca="false">(I34-R34)+S33</f>
        <v>19155.0414643559</v>
      </c>
      <c r="T34" s="53" t="n">
        <v>159.04</v>
      </c>
      <c r="U34" s="53" t="n">
        <v>91</v>
      </c>
      <c r="V34" s="54" t="n">
        <f aca="false">V33-U34</f>
        <v>13901</v>
      </c>
      <c r="W34" s="53" t="n">
        <f aca="false">R34+T34+N34+U34</f>
        <v>641.04</v>
      </c>
      <c r="X34" s="53" t="n">
        <f aca="false">IF(L34&lt;0,L34*-1,0)</f>
        <v>29.6780489034535</v>
      </c>
      <c r="Y34" s="53" t="n">
        <f aca="false">W34+X34</f>
        <v>670.718048903454</v>
      </c>
      <c r="Z34" s="57" t="n">
        <v>0.12</v>
      </c>
      <c r="AA34" s="58" t="n">
        <v>82</v>
      </c>
      <c r="AB34" s="83" t="n">
        <v>54</v>
      </c>
      <c r="AC34" s="59" t="n">
        <f aca="false">AC33+1</f>
        <v>25</v>
      </c>
      <c r="AD34" s="88"/>
      <c r="AE34" s="88"/>
      <c r="AF34" s="88"/>
    </row>
    <row r="35" customFormat="false" ht="11.1" hidden="false" customHeight="true" outlineLevel="0" collapsed="false">
      <c r="A35" s="59" t="n">
        <f aca="false">A34+1</f>
        <v>26</v>
      </c>
      <c r="B35" s="74" t="n">
        <v>6920.05</v>
      </c>
      <c r="C35" s="54" t="n">
        <v>363790</v>
      </c>
      <c r="D35" s="58" t="n">
        <f aca="false">C35-C34</f>
        <v>303</v>
      </c>
      <c r="E35" s="54" t="n">
        <f aca="false">C35-152000</f>
        <v>211790</v>
      </c>
      <c r="F35" s="53" t="n">
        <f aca="false">D35/$D$2</f>
        <v>152.76027224603</v>
      </c>
      <c r="G35" s="53" t="n">
        <v>794</v>
      </c>
      <c r="H35" s="55" t="n">
        <v>1.9</v>
      </c>
      <c r="I35" s="53" t="n">
        <f aca="false">G35+H35</f>
        <v>795.9</v>
      </c>
      <c r="J35" s="75" t="n">
        <f aca="false">IF(L35&gt;0,L35,0)</f>
        <v>11.8502722460298</v>
      </c>
      <c r="K35" s="53" t="n">
        <f aca="false">I35+J35</f>
        <v>807.75027224603</v>
      </c>
      <c r="L35" s="53" t="n">
        <f aca="false">F35-(I35-W35)</f>
        <v>11.8502722460298</v>
      </c>
      <c r="M35" s="53" t="n">
        <v>209</v>
      </c>
      <c r="N35" s="53" t="n">
        <f aca="false">24.84+26.36*1.05</f>
        <v>52.518</v>
      </c>
      <c r="O35" s="53" t="n">
        <f aca="false">M35-N35</f>
        <v>156.482</v>
      </c>
      <c r="P35" s="53" t="n">
        <v>112</v>
      </c>
      <c r="Q35" s="53" t="n">
        <v>82</v>
      </c>
      <c r="R35" s="53" t="n">
        <f aca="false">SUM(O35:Q35)</f>
        <v>350.482</v>
      </c>
      <c r="S35" s="54" t="n">
        <f aca="false">(I35-R35)+S34</f>
        <v>19600.4594643559</v>
      </c>
      <c r="T35" s="53" t="n">
        <v>160.99</v>
      </c>
      <c r="U35" s="53" t="n">
        <v>91</v>
      </c>
      <c r="V35" s="54" t="n">
        <f aca="false">V34-U35</f>
        <v>13810</v>
      </c>
      <c r="W35" s="53" t="n">
        <f aca="false">R35+T35+N35+U35</f>
        <v>654.99</v>
      </c>
      <c r="X35" s="53" t="n">
        <f aca="false">IF(L35&lt;0,L35*-1,0)</f>
        <v>0</v>
      </c>
      <c r="Y35" s="53" t="n">
        <f aca="false">W35+X35</f>
        <v>654.99</v>
      </c>
      <c r="Z35" s="57" t="n">
        <v>0.18</v>
      </c>
      <c r="AA35" s="58" t="n">
        <v>88</v>
      </c>
      <c r="AB35" s="58" t="n">
        <v>54</v>
      </c>
      <c r="AC35" s="59" t="n">
        <f aca="false">AC34+1</f>
        <v>26</v>
      </c>
      <c r="AD35" s="88"/>
      <c r="AE35" s="88"/>
      <c r="AF35" s="88"/>
    </row>
    <row r="36" customFormat="false" ht="11.1" hidden="false" customHeight="true" outlineLevel="0" collapsed="false">
      <c r="A36" s="59" t="n">
        <f aca="false">A35+1</f>
        <v>27</v>
      </c>
      <c r="B36" s="74" t="n">
        <v>6920.17</v>
      </c>
      <c r="C36" s="54" t="n">
        <v>364268</v>
      </c>
      <c r="D36" s="58" t="n">
        <f aca="false">C36-C35</f>
        <v>478</v>
      </c>
      <c r="E36" s="54" t="n">
        <f aca="false">C36-152000</f>
        <v>212268</v>
      </c>
      <c r="F36" s="53" t="n">
        <f aca="false">D36/$D$2</f>
        <v>240.988152256113</v>
      </c>
      <c r="G36" s="53" t="n">
        <v>833</v>
      </c>
      <c r="H36" s="55" t="n">
        <v>1.9</v>
      </c>
      <c r="I36" s="53" t="n">
        <f aca="false">G36+H36</f>
        <v>834.9</v>
      </c>
      <c r="J36" s="75" t="n">
        <f aca="false">IF(L36&gt;0,L36,0)</f>
        <v>53.2181522561129</v>
      </c>
      <c r="K36" s="53" t="n">
        <f aca="false">I36+J36</f>
        <v>888.118152256113</v>
      </c>
      <c r="L36" s="53" t="n">
        <f aca="false">F36-(I36-W36)</f>
        <v>53.2181522561129</v>
      </c>
      <c r="M36" s="53" t="n">
        <v>212</v>
      </c>
      <c r="N36" s="53" t="n">
        <f aca="false">30.91+31.05*1.05</f>
        <v>63.5125</v>
      </c>
      <c r="O36" s="53" t="n">
        <f aca="false">M36-N36</f>
        <v>148.4875</v>
      </c>
      <c r="P36" s="53" t="n">
        <v>112</v>
      </c>
      <c r="Q36" s="53" t="n">
        <v>81</v>
      </c>
      <c r="R36" s="53" t="n">
        <f aca="false">SUM(O36:Q36)</f>
        <v>341.4875</v>
      </c>
      <c r="S36" s="54" t="n">
        <f aca="false">(I36-R36)+S35</f>
        <v>20093.8719643559</v>
      </c>
      <c r="T36" s="53" t="n">
        <v>152.13</v>
      </c>
      <c r="U36" s="53" t="n">
        <v>90</v>
      </c>
      <c r="V36" s="54" t="n">
        <f aca="false">V35-U36</f>
        <v>13720</v>
      </c>
      <c r="W36" s="53" t="n">
        <f aca="false">R36+T36+N36+U36</f>
        <v>647.13</v>
      </c>
      <c r="X36" s="53" t="n">
        <f aca="false">IF(L36&lt;0,L36*-1,0)</f>
        <v>0</v>
      </c>
      <c r="Y36" s="53" t="n">
        <f aca="false">W36+X36</f>
        <v>647.13</v>
      </c>
      <c r="Z36" s="57" t="n">
        <v>0</v>
      </c>
      <c r="AA36" s="58" t="n">
        <v>86</v>
      </c>
      <c r="AB36" s="58" t="n">
        <v>56</v>
      </c>
      <c r="AC36" s="59" t="n">
        <f aca="false">AC35+1</f>
        <v>27</v>
      </c>
      <c r="AD36" s="88"/>
      <c r="AE36" s="88"/>
      <c r="AF36" s="88"/>
    </row>
    <row r="37" customFormat="false" ht="11.1" hidden="false" customHeight="true" outlineLevel="0" collapsed="false">
      <c r="A37" s="59" t="n">
        <f aca="false">A36+1</f>
        <v>28</v>
      </c>
      <c r="B37" s="74" t="n">
        <v>6920.16</v>
      </c>
      <c r="C37" s="54" t="n">
        <v>364224</v>
      </c>
      <c r="D37" s="58" t="n">
        <f aca="false">C37-C36</f>
        <v>-44</v>
      </c>
      <c r="E37" s="54" t="n">
        <f aca="false">C37-152000</f>
        <v>212224</v>
      </c>
      <c r="F37" s="53" t="n">
        <f aca="false">D37/$D$2</f>
        <v>-22.1830098311066</v>
      </c>
      <c r="G37" s="53" t="n">
        <v>630</v>
      </c>
      <c r="H37" s="55" t="n">
        <v>1.4</v>
      </c>
      <c r="I37" s="53" t="n">
        <f aca="false">G37+H37</f>
        <v>631.4</v>
      </c>
      <c r="J37" s="75" t="n">
        <f aca="false">IF(L37&gt;0,L37,0)</f>
        <v>0</v>
      </c>
      <c r="K37" s="53" t="n">
        <f aca="false">I37+J37</f>
        <v>631.4</v>
      </c>
      <c r="L37" s="53" t="n">
        <f aca="false">F37-(I37-W37)</f>
        <v>-7.72300983110659</v>
      </c>
      <c r="M37" s="53" t="n">
        <v>216</v>
      </c>
      <c r="N37" s="53" t="n">
        <f aca="false">21.24+21.85*1.05</f>
        <v>44.1825</v>
      </c>
      <c r="O37" s="53" t="n">
        <f aca="false">M37-N37</f>
        <v>171.8175</v>
      </c>
      <c r="P37" s="53" t="n">
        <v>113</v>
      </c>
      <c r="Q37" s="53" t="n">
        <v>80</v>
      </c>
      <c r="R37" s="53" t="n">
        <f aca="false">SUM(O37:Q37)</f>
        <v>364.8175</v>
      </c>
      <c r="S37" s="54" t="n">
        <f aca="false">(I37-R37)+S36</f>
        <v>20360.4544643559</v>
      </c>
      <c r="T37" s="53" t="n">
        <v>145.86</v>
      </c>
      <c r="U37" s="53" t="n">
        <v>91</v>
      </c>
      <c r="V37" s="54" t="n">
        <f aca="false">V36-U37</f>
        <v>13629</v>
      </c>
      <c r="W37" s="53" t="n">
        <f aca="false">R37+T37+N37+U37</f>
        <v>645.86</v>
      </c>
      <c r="X37" s="53" t="n">
        <f aca="false">IF(L37&lt;0,L37*-1,0)</f>
        <v>7.72300983110659</v>
      </c>
      <c r="Y37" s="53" t="n">
        <f aca="false">W37+X37</f>
        <v>653.583009831107</v>
      </c>
      <c r="Z37" s="57" t="n">
        <v>0.07</v>
      </c>
      <c r="AA37" s="58" t="n">
        <v>87</v>
      </c>
      <c r="AB37" s="58" t="n">
        <v>57</v>
      </c>
      <c r="AC37" s="59" t="n">
        <f aca="false">AC36+1</f>
        <v>28</v>
      </c>
      <c r="AD37" s="88"/>
      <c r="AE37" s="88"/>
      <c r="AF37" s="88"/>
    </row>
    <row r="38" customFormat="false" ht="11.1" hidden="false" customHeight="true" outlineLevel="0" collapsed="false">
      <c r="A38" s="59" t="n">
        <f aca="false">A37+1</f>
        <v>29</v>
      </c>
      <c r="B38" s="74" t="n">
        <v>6920.15</v>
      </c>
      <c r="C38" s="54" t="n">
        <v>364181</v>
      </c>
      <c r="D38" s="58" t="n">
        <f aca="false">C38-C37</f>
        <v>-43</v>
      </c>
      <c r="E38" s="54" t="n">
        <f aca="false">C38-152000</f>
        <v>212181</v>
      </c>
      <c r="F38" s="53" t="n">
        <f aca="false">D38/$D$2</f>
        <v>-21.6788505167633</v>
      </c>
      <c r="G38" s="53" t="n">
        <v>581</v>
      </c>
      <c r="H38" s="55" t="n">
        <v>1.1</v>
      </c>
      <c r="I38" s="53" t="n">
        <f aca="false">G38+H38</f>
        <v>582.1</v>
      </c>
      <c r="J38" s="75" t="n">
        <f aca="false">IF(L38&gt;0,L38,0)</f>
        <v>18.0311494832366</v>
      </c>
      <c r="K38" s="53" t="n">
        <f aca="false">I38+J38</f>
        <v>600.131149483237</v>
      </c>
      <c r="L38" s="53" t="n">
        <f aca="false">F38-(I38-W38)</f>
        <v>18.0311494832366</v>
      </c>
      <c r="M38" s="53" t="n">
        <v>197</v>
      </c>
      <c r="N38" s="53" t="n">
        <f aca="false">19.1+19.68*1.05</f>
        <v>39.764</v>
      </c>
      <c r="O38" s="53" t="n">
        <f aca="false">M38-N38</f>
        <v>157.236</v>
      </c>
      <c r="P38" s="53" t="n">
        <v>113</v>
      </c>
      <c r="Q38" s="53" t="n">
        <v>79</v>
      </c>
      <c r="R38" s="53" t="n">
        <f aca="false">SUM(O38:Q38)</f>
        <v>349.236</v>
      </c>
      <c r="S38" s="54" t="n">
        <f aca="false">(I38-R38)+S37</f>
        <v>20593.3184643559</v>
      </c>
      <c r="T38" s="53" t="n">
        <v>141.81</v>
      </c>
      <c r="U38" s="53" t="n">
        <v>91</v>
      </c>
      <c r="V38" s="54" t="n">
        <f aca="false">V37-U38</f>
        <v>13538</v>
      </c>
      <c r="W38" s="53" t="n">
        <f aca="false">R38+T38+N38+U38</f>
        <v>621.81</v>
      </c>
      <c r="X38" s="53" t="n">
        <f aca="false">IF(L38&lt;0,L38*-1,0)</f>
        <v>0</v>
      </c>
      <c r="Y38" s="53" t="n">
        <f aca="false">W38+X38</f>
        <v>621.81</v>
      </c>
      <c r="Z38" s="57" t="n">
        <v>0.28</v>
      </c>
      <c r="AA38" s="83" t="n">
        <v>84</v>
      </c>
      <c r="AB38" s="58" t="n">
        <v>57</v>
      </c>
      <c r="AC38" s="59" t="n">
        <f aca="false">AC37+1</f>
        <v>29</v>
      </c>
      <c r="AD38" s="88"/>
      <c r="AE38" s="90"/>
      <c r="AF38" s="89"/>
    </row>
    <row r="39" customFormat="false" ht="11.1" hidden="false" customHeight="true" outlineLevel="0" collapsed="false">
      <c r="A39" s="59" t="n">
        <v>30</v>
      </c>
      <c r="B39" s="74" t="n">
        <v>6920.12</v>
      </c>
      <c r="C39" s="54" t="n">
        <v>364094</v>
      </c>
      <c r="D39" s="58" t="n">
        <f aca="false">C39-C38</f>
        <v>-87</v>
      </c>
      <c r="E39" s="54" t="n">
        <f aca="false">C39-152000</f>
        <v>212094</v>
      </c>
      <c r="F39" s="53" t="n">
        <f aca="false">D39/$D$2</f>
        <v>-43.8618603478699</v>
      </c>
      <c r="G39" s="53" t="n">
        <v>543</v>
      </c>
      <c r="H39" s="55" t="n">
        <v>1.1</v>
      </c>
      <c r="I39" s="53" t="n">
        <f aca="false">G39+H39</f>
        <v>544.1</v>
      </c>
      <c r="J39" s="75" t="n">
        <f aca="false">IF(L39&gt;0,L39,0)</f>
        <v>0</v>
      </c>
      <c r="K39" s="53" t="n">
        <f aca="false">I39+J39</f>
        <v>544.1</v>
      </c>
      <c r="L39" s="53" t="n">
        <f aca="false">F39-(I39-W39)</f>
        <v>-13.08186034787</v>
      </c>
      <c r="M39" s="53" t="n">
        <v>193</v>
      </c>
      <c r="N39" s="53" t="n">
        <f aca="false">18.13+18.76*1.05</f>
        <v>37.828</v>
      </c>
      <c r="O39" s="53" t="n">
        <f aca="false">M39-N39</f>
        <v>155.172</v>
      </c>
      <c r="P39" s="53" t="n">
        <v>113</v>
      </c>
      <c r="Q39" s="53" t="n">
        <v>78</v>
      </c>
      <c r="R39" s="53" t="n">
        <f aca="false">SUM(O39:Q39)</f>
        <v>346.172</v>
      </c>
      <c r="S39" s="54" t="n">
        <f aca="false">(I39-R39)+S38</f>
        <v>20791.2464643559</v>
      </c>
      <c r="T39" s="53" t="n">
        <v>98.88</v>
      </c>
      <c r="U39" s="53" t="n">
        <v>92</v>
      </c>
      <c r="V39" s="54" t="n">
        <f aca="false">V38-U39</f>
        <v>13446</v>
      </c>
      <c r="W39" s="53" t="n">
        <f aca="false">R39+T39+N39+U39</f>
        <v>574.88</v>
      </c>
      <c r="X39" s="53" t="n">
        <f aca="false">IF(L39&lt;0,L39*-1,0)</f>
        <v>13.08186034787</v>
      </c>
      <c r="Y39" s="53" t="n">
        <f aca="false">W39+X39</f>
        <v>587.96186034787</v>
      </c>
      <c r="Z39" s="57" t="n">
        <v>0.01</v>
      </c>
      <c r="AA39" s="83" t="n">
        <v>81</v>
      </c>
      <c r="AB39" s="58" t="n">
        <v>55</v>
      </c>
      <c r="AC39" s="59" t="n">
        <v>30</v>
      </c>
      <c r="AD39" s="88"/>
      <c r="AE39" s="90"/>
      <c r="AF39" s="89"/>
    </row>
    <row r="40" customFormat="false" ht="11.1" hidden="false" customHeight="true" outlineLevel="0" collapsed="false">
      <c r="A40" s="59" t="n">
        <v>31</v>
      </c>
      <c r="B40" s="74" t="n">
        <v>6920.11</v>
      </c>
      <c r="C40" s="54" t="n">
        <v>364051</v>
      </c>
      <c r="D40" s="58" t="n">
        <f aca="false">C40-C39</f>
        <v>-43</v>
      </c>
      <c r="E40" s="54" t="n">
        <f aca="false">C40-152000</f>
        <v>212051</v>
      </c>
      <c r="F40" s="53" t="n">
        <f aca="false">D40/$D$2</f>
        <v>-21.6788505167633</v>
      </c>
      <c r="G40" s="53" t="n">
        <v>520</v>
      </c>
      <c r="H40" s="55" t="n">
        <v>1.2</v>
      </c>
      <c r="I40" s="53" t="n">
        <f aca="false">G40+H40</f>
        <v>521.2</v>
      </c>
      <c r="J40" s="75" t="n">
        <f aca="false">IF(L40&gt;0,L40,0)</f>
        <v>19.6911494832366</v>
      </c>
      <c r="K40" s="53" t="n">
        <f aca="false">I40+J40</f>
        <v>540.891149483237</v>
      </c>
      <c r="L40" s="53" t="n">
        <f aca="false">F40-(I40-W40)</f>
        <v>19.6911494832366</v>
      </c>
      <c r="M40" s="53" t="n">
        <v>184</v>
      </c>
      <c r="N40" s="53" t="n">
        <f aca="false">14.38+13.65*1.05</f>
        <v>28.7125</v>
      </c>
      <c r="O40" s="53" t="n">
        <f aca="false">M40-N40</f>
        <v>155.2875</v>
      </c>
      <c r="P40" s="53" t="n">
        <v>113</v>
      </c>
      <c r="Q40" s="53" t="n">
        <v>78</v>
      </c>
      <c r="R40" s="53" t="n">
        <f aca="false">SUM(O40:Q40)</f>
        <v>346.2875</v>
      </c>
      <c r="S40" s="54" t="n">
        <f aca="false">(I40-R40)+S39</f>
        <v>20966.1589643559</v>
      </c>
      <c r="T40" s="53" t="n">
        <v>96.57</v>
      </c>
      <c r="U40" s="53" t="n">
        <v>91</v>
      </c>
      <c r="V40" s="54" t="n">
        <f aca="false">V39-U40</f>
        <v>13355</v>
      </c>
      <c r="W40" s="53" t="n">
        <f aca="false">R40+T40+N40+U40</f>
        <v>562.57</v>
      </c>
      <c r="X40" s="53" t="n">
        <f aca="false">IF(L40&lt;0,L40*-1,0)</f>
        <v>0</v>
      </c>
      <c r="Y40" s="53" t="n">
        <f aca="false">W40+X40</f>
        <v>562.57</v>
      </c>
      <c r="Z40" s="57" t="n">
        <v>0</v>
      </c>
      <c r="AA40" s="83" t="n">
        <v>83</v>
      </c>
      <c r="AB40" s="58" t="n">
        <v>52</v>
      </c>
      <c r="AC40" s="59" t="n">
        <v>31</v>
      </c>
      <c r="AD40" s="88"/>
      <c r="AE40" s="88"/>
      <c r="AF40" s="89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79"/>
      <c r="I41" s="76"/>
      <c r="J41" s="76"/>
      <c r="K41" s="76"/>
      <c r="L41" s="76"/>
      <c r="M41" s="76"/>
      <c r="N41" s="76" t="n">
        <v>0</v>
      </c>
      <c r="O41" s="76"/>
      <c r="P41" s="76"/>
      <c r="Q41" s="76"/>
      <c r="R41" s="76"/>
      <c r="S41" s="78"/>
      <c r="T41" s="76"/>
      <c r="U41" s="76"/>
      <c r="V41" s="76"/>
      <c r="W41" s="76"/>
      <c r="X41" s="76"/>
      <c r="Y41" s="76"/>
      <c r="Z41" s="80" t="n">
        <v>0</v>
      </c>
      <c r="AA41" s="81"/>
      <c r="AB41" s="81"/>
      <c r="AC41" s="82"/>
      <c r="AD41" s="88"/>
      <c r="AE41" s="88"/>
      <c r="AF41" s="89"/>
    </row>
    <row r="42" customFormat="false" ht="11.1" hidden="false" customHeight="true" outlineLevel="0" collapsed="false">
      <c r="A42" s="53" t="s">
        <v>45</v>
      </c>
      <c r="B42" s="53"/>
      <c r="C42" s="54"/>
      <c r="D42" s="54"/>
      <c r="E42" s="54"/>
      <c r="F42" s="54" t="n">
        <f aca="false">SUM(F10:F40)</f>
        <v>-8513.23418200151</v>
      </c>
      <c r="G42" s="54" t="n">
        <f aca="false">SUM(G10:G40)</f>
        <v>15836</v>
      </c>
      <c r="H42" s="54" t="n">
        <f aca="false">SUM(H10:H40)</f>
        <v>29.7</v>
      </c>
      <c r="I42" s="54" t="n">
        <f aca="false">SUM(I10:I40)</f>
        <v>15865.7</v>
      </c>
      <c r="J42" s="54" t="n">
        <f aca="false">SUM(J10:J40)</f>
        <v>169.987638013612</v>
      </c>
      <c r="K42" s="54" t="n">
        <f aca="false">SUM(K10:K40)</f>
        <v>16035.6876380136</v>
      </c>
      <c r="L42" s="54" t="n">
        <f aca="false">SUM(L10:L40)</f>
        <v>-438.004182001513</v>
      </c>
      <c r="M42" s="54" t="n">
        <f aca="false">SUM(M10:M40)</f>
        <v>8359</v>
      </c>
      <c r="N42" s="54" t="n">
        <f aca="false">SUM(N10:N40)</f>
        <v>1817.8</v>
      </c>
      <c r="O42" s="54" t="n">
        <f aca="false">SUM(O10:O40)</f>
        <v>6541.2</v>
      </c>
      <c r="P42" s="54" t="n">
        <f aca="false">SUM(P10:P40)</f>
        <v>3439</v>
      </c>
      <c r="Q42" s="54" t="n">
        <f aca="false">SUM(Q10:Q40)</f>
        <v>2457</v>
      </c>
      <c r="R42" s="54" t="n">
        <f aca="false">SUM(R10:R40)</f>
        <v>12437.2</v>
      </c>
      <c r="S42" s="54"/>
      <c r="T42" s="54" t="n">
        <f aca="false">SUM(T10:T40)</f>
        <v>6936.93</v>
      </c>
      <c r="U42" s="54" t="n">
        <f aca="false">SUM(U10:U40)</f>
        <v>2749</v>
      </c>
      <c r="V42" s="54" t="n">
        <f aca="false">V40</f>
        <v>13355</v>
      </c>
      <c r="W42" s="54" t="n">
        <f aca="false">SUM(W10:W40)</f>
        <v>23940.93</v>
      </c>
      <c r="X42" s="54" t="n">
        <f aca="false">SUM(X10:X40)</f>
        <v>607.991820015125</v>
      </c>
      <c r="Y42" s="54" t="n">
        <f aca="false">SUM(Y10:Y40)</f>
        <v>24548.9218200151</v>
      </c>
      <c r="Z42" s="57" t="n">
        <f aca="false">SUM(Z10:Z40)</f>
        <v>2.12</v>
      </c>
      <c r="AA42" s="58" t="n">
        <f aca="false">AVERAGE(AA10:AA40)</f>
        <v>85.1290322580645</v>
      </c>
      <c r="AB42" s="58" t="n">
        <f aca="false">AVERAGE(AB10:AB40)</f>
        <v>54.8387096774194</v>
      </c>
      <c r="AC42" s="59"/>
      <c r="AD42" s="88"/>
      <c r="AE42" s="88"/>
      <c r="AF42" s="89"/>
    </row>
    <row r="43" customFormat="false" ht="11.1" hidden="false" customHeight="true" outlineLevel="0" collapsed="false">
      <c r="A43" s="53" t="s">
        <v>46</v>
      </c>
      <c r="B43" s="53"/>
      <c r="C43" s="54"/>
      <c r="D43" s="54" t="n">
        <f aca="false">SUM(D10:D40)</f>
        <v>-16886</v>
      </c>
      <c r="E43" s="54"/>
      <c r="F43" s="54" t="n">
        <f aca="false">F42*$D$2</f>
        <v>-16886</v>
      </c>
      <c r="G43" s="54" t="n">
        <f aca="false">G42*$D$2</f>
        <v>31410.706</v>
      </c>
      <c r="H43" s="54" t="n">
        <f aca="false">H42*$D$2</f>
        <v>58.90995</v>
      </c>
      <c r="I43" s="54" t="n">
        <f aca="false">I42*$D$2</f>
        <v>31469.61595</v>
      </c>
      <c r="J43" s="54" t="n">
        <f aca="false">J42*$D$2</f>
        <v>337.17048</v>
      </c>
      <c r="K43" s="54" t="n">
        <f aca="false">K42*$D$2</f>
        <v>31806.78643</v>
      </c>
      <c r="L43" s="54" t="n">
        <f aca="false">L42*$D$2</f>
        <v>-868.781295</v>
      </c>
      <c r="M43" s="54" t="n">
        <f aca="false">M42*$D$2</f>
        <v>16580.0765</v>
      </c>
      <c r="N43" s="54" t="n">
        <f aca="false">N42*$D$2</f>
        <v>3605.6063</v>
      </c>
      <c r="O43" s="54" t="n">
        <f aca="false">O42*$D$2</f>
        <v>12974.4702</v>
      </c>
      <c r="P43" s="54" t="n">
        <f aca="false">P42*$D$2</f>
        <v>6821.2565</v>
      </c>
      <c r="Q43" s="54" t="n">
        <f aca="false">Q42*$D$2</f>
        <v>4873.4595</v>
      </c>
      <c r="R43" s="54" t="n">
        <f aca="false">R42*$D$2</f>
        <v>24669.1862</v>
      </c>
      <c r="S43" s="54"/>
      <c r="T43" s="54" t="n">
        <f aca="false">T42*$D$2</f>
        <v>13759.400655</v>
      </c>
      <c r="U43" s="54" t="n">
        <f aca="false">U42*$D$2</f>
        <v>5452.6415</v>
      </c>
      <c r="V43" s="54" t="n">
        <f aca="false">V42*$D$2</f>
        <v>26489.6425</v>
      </c>
      <c r="W43" s="54" t="n">
        <f aca="false">W42*$D$2</f>
        <v>47486.834655</v>
      </c>
      <c r="X43" s="54" t="n">
        <f aca="false">X42*$D$2</f>
        <v>1205.951775</v>
      </c>
      <c r="Y43" s="54" t="n">
        <f aca="false">Y42*$D$2</f>
        <v>48692.78643</v>
      </c>
      <c r="Z43" s="57"/>
      <c r="AA43" s="58" t="n">
        <f aca="false">MAX(AA10:AA40)</f>
        <v>95</v>
      </c>
      <c r="AB43" s="58" t="n">
        <f aca="false">MAX(AB10:AB40)</f>
        <v>62</v>
      </c>
      <c r="AC43" s="59" t="s">
        <v>47</v>
      </c>
      <c r="AD43" s="88"/>
      <c r="AE43" s="88"/>
      <c r="AF43" s="89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6"/>
      <c r="W44" s="78"/>
      <c r="X44" s="78"/>
      <c r="Y44" s="78"/>
      <c r="Z44" s="57"/>
      <c r="AA44" s="58"/>
      <c r="AB44" s="58"/>
      <c r="AC44" s="59"/>
      <c r="AD44" s="88"/>
      <c r="AE44" s="88"/>
      <c r="AF44" s="89"/>
    </row>
    <row r="45" customFormat="false" ht="11.1" hidden="false" customHeight="true" outlineLevel="0" collapsed="false">
      <c r="A45" s="53" t="s">
        <v>48</v>
      </c>
      <c r="B45" s="53"/>
      <c r="C45" s="54"/>
      <c r="D45" s="54"/>
      <c r="E45" s="54"/>
      <c r="F45" s="54" t="n">
        <f aca="false">F7+F42</f>
        <v>42642.8031257878</v>
      </c>
      <c r="G45" s="54" t="n">
        <f aca="false">G7+G42</f>
        <v>133553</v>
      </c>
      <c r="H45" s="54" t="n">
        <f aca="false">H7+H42</f>
        <v>4591.9</v>
      </c>
      <c r="I45" s="54" t="n">
        <f aca="false">I7+I42</f>
        <v>138144.9</v>
      </c>
      <c r="J45" s="54" t="n">
        <f aca="false">J7+J42</f>
        <v>17766.0663801361</v>
      </c>
      <c r="K45" s="54" t="n">
        <f aca="false">K7+K42</f>
        <v>155910.966380136</v>
      </c>
      <c r="L45" s="54" t="n">
        <f aca="false">L7+L42</f>
        <v>17014.9131257878</v>
      </c>
      <c r="M45" s="54" t="n">
        <f aca="false">M7+M42</f>
        <v>23257.6</v>
      </c>
      <c r="N45" s="54" t="n">
        <f aca="false">N7+N42</f>
        <v>5214.9148</v>
      </c>
      <c r="O45" s="54" t="n">
        <f aca="false">O7+O42</f>
        <v>18042.6852</v>
      </c>
      <c r="P45" s="54" t="n">
        <f aca="false">P7+P42</f>
        <v>10848</v>
      </c>
      <c r="Q45" s="54" t="n">
        <f aca="false">Q7+Q42</f>
        <v>6123.3</v>
      </c>
      <c r="R45" s="54" t="n">
        <f aca="false">R7+R42</f>
        <v>35013.9852</v>
      </c>
      <c r="S45" s="54" t="n">
        <f aca="false">S40</f>
        <v>20966.1589643559</v>
      </c>
      <c r="T45" s="54" t="n">
        <f aca="false">T7+T42</f>
        <v>13668.11</v>
      </c>
      <c r="U45" s="54" t="n">
        <f aca="false">U7+U42</f>
        <v>58620</v>
      </c>
      <c r="V45" s="54" t="n">
        <f aca="false">V7+V42</f>
        <v>13355</v>
      </c>
      <c r="W45" s="54" t="n">
        <f aca="false">W7+W42</f>
        <v>112517.01</v>
      </c>
      <c r="X45" s="54" t="n">
        <f aca="false">X7+X42</f>
        <v>751.153254348374</v>
      </c>
      <c r="Y45" s="54" t="n">
        <f aca="false">Y7+Y42</f>
        <v>113268.163254348</v>
      </c>
      <c r="Z45" s="57"/>
      <c r="AA45" s="58" t="n">
        <f aca="false">MIN(AA10:AA40)</f>
        <v>73</v>
      </c>
      <c r="AB45" s="58" t="n">
        <f aca="false">MIN(AB10:AB40)</f>
        <v>50</v>
      </c>
      <c r="AC45" s="59" t="s">
        <v>49</v>
      </c>
      <c r="AD45" s="88"/>
      <c r="AE45" s="88"/>
      <c r="AF45" s="89"/>
    </row>
    <row r="46" customFormat="false" ht="11.1" hidden="false" customHeight="true" outlineLevel="0" collapsed="false">
      <c r="A46" s="53" t="s">
        <v>50</v>
      </c>
      <c r="B46" s="53"/>
      <c r="C46" s="54"/>
      <c r="D46" s="54"/>
      <c r="E46" s="54"/>
      <c r="F46" s="54" t="n">
        <f aca="false">F45*$D$2</f>
        <v>84582</v>
      </c>
      <c r="G46" s="54" t="n">
        <f aca="false">G45*$D$2</f>
        <v>264902.3755</v>
      </c>
      <c r="H46" s="54" t="n">
        <f aca="false">H45*$D$2</f>
        <v>9108.03365</v>
      </c>
      <c r="I46" s="54" t="n">
        <f aca="false">I45*$D$2</f>
        <v>274010.40915</v>
      </c>
      <c r="J46" s="54" t="n">
        <f aca="false">J45*$D$2</f>
        <v>35238.992665</v>
      </c>
      <c r="K46" s="54" t="n">
        <f aca="false">K45*$D$2</f>
        <v>309249.401815</v>
      </c>
      <c r="L46" s="54" t="n">
        <f aca="false">L45*$D$2</f>
        <v>33749.080185</v>
      </c>
      <c r="M46" s="54" t="n">
        <f aca="false">M45*$D$2</f>
        <v>46131.4496</v>
      </c>
      <c r="N46" s="54" t="n">
        <f aca="false">N45*$D$2</f>
        <v>10343.7835058</v>
      </c>
      <c r="O46" s="54" t="n">
        <f aca="false">O45*$D$2</f>
        <v>35787.6660942</v>
      </c>
      <c r="P46" s="54" t="n">
        <f aca="false">P45*$D$2</f>
        <v>21517.008</v>
      </c>
      <c r="Q46" s="54" t="n">
        <f aca="false">Q45*$D$2</f>
        <v>12145.56555</v>
      </c>
      <c r="R46" s="54" t="n">
        <f aca="false">R45*$D$2</f>
        <v>69450.2396442</v>
      </c>
      <c r="S46" s="54" t="n">
        <f aca="false">S45*$D$2</f>
        <v>41586.3763058</v>
      </c>
      <c r="T46" s="54" t="n">
        <f aca="false">T45*$D$2</f>
        <v>27110.696185</v>
      </c>
      <c r="U46" s="54" t="n">
        <f aca="false">U45*$D$2</f>
        <v>116272.77</v>
      </c>
      <c r="V46" s="54" t="n">
        <f aca="false">V45*$D$2</f>
        <v>26489.6425</v>
      </c>
      <c r="W46" s="54" t="n">
        <f aca="false">W45*$D$2</f>
        <v>223177.489335</v>
      </c>
      <c r="X46" s="54" t="n">
        <f aca="false">X45*$D$2</f>
        <v>1489.91248</v>
      </c>
      <c r="Y46" s="54" t="n">
        <f aca="false">Y45*$D$2</f>
        <v>224667.401815</v>
      </c>
      <c r="Z46" s="57"/>
      <c r="AA46" s="58"/>
      <c r="AB46" s="58"/>
      <c r="AC46" s="59"/>
      <c r="AD46" s="88"/>
      <c r="AE46" s="88"/>
      <c r="AF46" s="89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1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80"/>
      <c r="AA47" s="58"/>
      <c r="AB47" s="58"/>
      <c r="AC47" s="59"/>
      <c r="AD47" s="88"/>
      <c r="AE47" s="88"/>
      <c r="AF47" s="89"/>
    </row>
    <row r="48" customFormat="false" ht="11.1" hidden="false" customHeight="true" outlineLevel="0" collapsed="false">
      <c r="A48" s="53" t="s">
        <v>51</v>
      </c>
      <c r="B48" s="53"/>
      <c r="C48" s="54"/>
      <c r="D48" s="54"/>
      <c r="E48" s="54"/>
      <c r="F48" s="54" t="n">
        <f aca="false">F8+F42</f>
        <v>53406.6044870179</v>
      </c>
      <c r="G48" s="54" t="n">
        <f aca="false">G8+G42</f>
        <v>147986</v>
      </c>
      <c r="H48" s="58" t="n">
        <f aca="false">H8+H42</f>
        <v>4922.2</v>
      </c>
      <c r="I48" s="54" t="n">
        <f aca="false">I8+I42</f>
        <v>152903.1</v>
      </c>
      <c r="J48" s="54" t="n">
        <f aca="false">J8+J42</f>
        <v>22016.4343156037</v>
      </c>
      <c r="K48" s="54" t="n">
        <f aca="false">K8+K42</f>
        <v>174922.239004285</v>
      </c>
      <c r="L48" s="54" t="n">
        <f aca="false">L8+L42</f>
        <v>20722.4144870179</v>
      </c>
      <c r="M48" s="54" t="n">
        <f aca="false">M8+M42</f>
        <v>24493.4</v>
      </c>
      <c r="N48" s="54" t="n">
        <f aca="false">N8+N42</f>
        <v>5290.4833</v>
      </c>
      <c r="O48" s="54" t="n">
        <f aca="false">O8+O42</f>
        <v>18917.3167</v>
      </c>
      <c r="P48" s="54" t="n">
        <f aca="false">P8+P42</f>
        <v>10848</v>
      </c>
      <c r="Q48" s="54" t="n">
        <f aca="false">Q8+Q42</f>
        <v>6253.4</v>
      </c>
      <c r="R48" s="54" t="n">
        <f aca="false">R8+R42</f>
        <v>36249.1392</v>
      </c>
      <c r="S48" s="54"/>
      <c r="T48" s="54" t="n">
        <f aca="false">T8+T42</f>
        <v>13668.11</v>
      </c>
      <c r="U48" s="54" t="n">
        <f aca="false">U8+U42</f>
        <v>64956</v>
      </c>
      <c r="V48" s="54" t="n">
        <f aca="false">V40</f>
        <v>13355</v>
      </c>
      <c r="W48" s="54" t="n">
        <f aca="false">W8+W42</f>
        <v>120218.91</v>
      </c>
      <c r="X48" s="54" t="n">
        <f aca="false">X8+X42</f>
        <v>1294.01982858583</v>
      </c>
      <c r="Y48" s="54" t="n">
        <f aca="false">Y8+Y42</f>
        <v>121512.929828586</v>
      </c>
      <c r="Z48" s="57" t="n">
        <f aca="false">Z8+Z42</f>
        <v>12.8</v>
      </c>
      <c r="AA48" s="58"/>
      <c r="AB48" s="58"/>
      <c r="AC48" s="59"/>
      <c r="AD48" s="88"/>
      <c r="AE48" s="88"/>
      <c r="AF48" s="89"/>
    </row>
    <row r="49" customFormat="false" ht="11.1" hidden="false" customHeight="true" outlineLevel="0" collapsed="false">
      <c r="A49" s="53" t="s">
        <v>52</v>
      </c>
      <c r="B49" s="53"/>
      <c r="C49" s="54"/>
      <c r="D49" s="54" t="n">
        <f aca="false">D8+D43</f>
        <v>105932</v>
      </c>
      <c r="E49" s="54" t="n">
        <f aca="false">E40</f>
        <v>212051</v>
      </c>
      <c r="F49" s="54" t="n">
        <f aca="false">F48*$D$2</f>
        <v>105932</v>
      </c>
      <c r="G49" s="54" t="n">
        <f aca="false">G48*$D$2</f>
        <v>293530.231</v>
      </c>
      <c r="H49" s="58" t="n">
        <f aca="false">H48*$D$2</f>
        <v>9763.1837</v>
      </c>
      <c r="I49" s="54" t="n">
        <f aca="false">I48*$D$2</f>
        <v>303283.29885</v>
      </c>
      <c r="J49" s="54" t="n">
        <f aca="false">J48*$D$2</f>
        <v>43669.597465</v>
      </c>
      <c r="K49" s="54" t="n">
        <f aca="false">K48*$D$2</f>
        <v>346958.261065</v>
      </c>
      <c r="L49" s="54" t="n">
        <f aca="false">L48*$D$2</f>
        <v>41102.909135</v>
      </c>
      <c r="M49" s="54" t="n">
        <f aca="false">M48*$D$2</f>
        <v>48582.6589</v>
      </c>
      <c r="N49" s="54" t="n">
        <f aca="false">N48*$D$2</f>
        <v>10493.67362555</v>
      </c>
      <c r="O49" s="54" t="n">
        <f aca="false">O48*$D$2</f>
        <v>37522.49767445</v>
      </c>
      <c r="P49" s="54" t="n">
        <f aca="false">P48*$D$2</f>
        <v>21517.008</v>
      </c>
      <c r="Q49" s="54" t="n">
        <f aca="false">Q48*$D$2</f>
        <v>12403.6189</v>
      </c>
      <c r="R49" s="54" t="n">
        <f aca="false">R48*$D$2</f>
        <v>71900.1676032</v>
      </c>
      <c r="S49" s="54" t="n">
        <f aca="false">S48*$D$2</f>
        <v>0</v>
      </c>
      <c r="T49" s="54" t="n">
        <f aca="false">T48*$D$2</f>
        <v>27110.696185</v>
      </c>
      <c r="U49" s="54" t="n">
        <f aca="false">U48*$D$2</f>
        <v>128840.226</v>
      </c>
      <c r="V49" s="54" t="n">
        <f aca="false">V40*$D$2</f>
        <v>26489.6425</v>
      </c>
      <c r="W49" s="54" t="n">
        <f aca="false">W48*$D$2</f>
        <v>238454.207985</v>
      </c>
      <c r="X49" s="54" t="n">
        <f aca="false">X48*$D$2</f>
        <v>2566.68833</v>
      </c>
      <c r="Y49" s="54" t="n">
        <f aca="false">Y48*$D$2</f>
        <v>241020.896315</v>
      </c>
      <c r="Z49" s="57"/>
      <c r="AA49" s="58"/>
      <c r="AB49" s="58"/>
      <c r="AC49" s="59"/>
      <c r="AD49" s="88"/>
      <c r="AE49" s="88"/>
      <c r="AF49" s="89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79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8"/>
      <c r="T50" s="76"/>
      <c r="U50" s="76"/>
      <c r="V50" s="78"/>
      <c r="W50" s="76"/>
      <c r="X50" s="76"/>
      <c r="Y50" s="76"/>
      <c r="Z50" s="57"/>
      <c r="AA50" s="58"/>
      <c r="AB50" s="58"/>
      <c r="AC50" s="59"/>
      <c r="AD50" s="88"/>
      <c r="AE50" s="88"/>
      <c r="AF50" s="89"/>
    </row>
    <row r="51" customFormat="false" ht="11.1" hidden="false" customHeight="true" outlineLevel="0" collapsed="false">
      <c r="A51" s="53" t="str">
        <f aca="false">"AUG / 12TH"</f>
        <v>AUG / 12TH</v>
      </c>
      <c r="B51" s="85"/>
      <c r="C51" s="54"/>
      <c r="D51" s="53"/>
      <c r="E51" s="54"/>
      <c r="F51" s="53"/>
      <c r="G51" s="53"/>
      <c r="H51" s="0"/>
      <c r="I51" s="55" t="s">
        <v>91</v>
      </c>
      <c r="J51" s="53"/>
      <c r="K51" s="54" t="n">
        <v>282600</v>
      </c>
      <c r="L51" s="53"/>
      <c r="M51" s="53"/>
      <c r="N51" s="53"/>
      <c r="O51" s="53"/>
      <c r="P51" s="53"/>
      <c r="Q51" s="53"/>
      <c r="R51" s="53"/>
      <c r="S51" s="54"/>
      <c r="T51" s="53"/>
      <c r="U51" s="53"/>
      <c r="V51" s="54"/>
      <c r="W51" s="53"/>
      <c r="X51" s="53"/>
      <c r="Y51" s="53"/>
      <c r="Z51" s="57"/>
      <c r="AA51" s="58"/>
      <c r="AB51" s="58"/>
      <c r="AC51" s="59"/>
      <c r="AD51" s="87"/>
      <c r="AE51" s="87"/>
    </row>
    <row r="52" customFormat="false" ht="11.1" hidden="false" customHeight="true" outlineLevel="0" collapsed="false">
      <c r="A52" s="53"/>
      <c r="B52" s="74" t="n">
        <v>6900.1</v>
      </c>
      <c r="C52" s="54" t="n">
        <v>283950</v>
      </c>
      <c r="D52" s="83"/>
      <c r="E52" s="54" t="n">
        <f aca="false">C52-152000</f>
        <v>131950</v>
      </c>
      <c r="F52" s="53"/>
      <c r="G52" s="53"/>
      <c r="H52" s="83"/>
      <c r="I52" s="55"/>
      <c r="J52" s="53"/>
      <c r="K52" s="44"/>
      <c r="L52" s="53"/>
      <c r="M52" s="53"/>
      <c r="N52" s="53"/>
      <c r="O52" s="53"/>
      <c r="P52" s="53"/>
      <c r="Q52" s="53"/>
      <c r="R52" s="53"/>
      <c r="S52" s="54"/>
      <c r="T52" s="53"/>
      <c r="U52" s="53"/>
      <c r="V52" s="54"/>
      <c r="W52" s="53"/>
      <c r="X52" s="53"/>
      <c r="Y52" s="53"/>
      <c r="Z52" s="57"/>
      <c r="AA52" s="58"/>
      <c r="AB52" s="58"/>
      <c r="AC52" s="59"/>
      <c r="AD52" s="87"/>
      <c r="AE52" s="87"/>
    </row>
    <row r="53" customFormat="false" ht="11.1" hidden="false" customHeight="true" outlineLevel="0" collapsed="false">
      <c r="A53" s="83" t="str">
        <f aca="false">"7/9/96 thru 8/13/96"</f>
        <v>7/9/96 thru 8/13/96</v>
      </c>
      <c r="B53" s="83"/>
      <c r="C53" s="54"/>
      <c r="D53" s="54"/>
      <c r="E53" s="54"/>
      <c r="F53" s="83"/>
      <c r="G53" s="83"/>
      <c r="H53" s="55"/>
      <c r="I53" s="83" t="s">
        <v>92</v>
      </c>
      <c r="J53" s="83"/>
      <c r="K53" s="44" t="n">
        <f aca="false">K49/K51</f>
        <v>1.22773623872965</v>
      </c>
      <c r="L53" s="83"/>
      <c r="M53" s="75"/>
      <c r="N53" s="75"/>
      <c r="O53" s="75"/>
      <c r="P53" s="83"/>
      <c r="Q53" s="83"/>
      <c r="R53" s="83"/>
      <c r="S53" s="54"/>
      <c r="T53" s="83"/>
      <c r="U53" s="83"/>
      <c r="V53" s="54"/>
      <c r="W53" s="83"/>
      <c r="X53" s="83"/>
      <c r="Y53" s="83"/>
      <c r="Z53" s="57"/>
      <c r="AA53" s="58"/>
      <c r="AB53" s="58"/>
      <c r="AC53" s="59"/>
      <c r="AD53" s="92"/>
      <c r="AE53" s="92"/>
    </row>
    <row r="54" customFormat="false" ht="11.1" hidden="false" customHeight="true" outlineLevel="0" collapsed="false">
      <c r="A54" s="83"/>
      <c r="B54" s="57" t="n">
        <f aca="false">B52-B18</f>
        <v>-22.6199999999999</v>
      </c>
      <c r="C54" s="54"/>
      <c r="D54" s="54" t="n">
        <f aca="false">C52-C18</f>
        <v>-91522</v>
      </c>
      <c r="E54" s="54"/>
      <c r="F54" s="83"/>
      <c r="G54" s="83"/>
      <c r="H54" s="55"/>
      <c r="I54" s="83"/>
      <c r="J54" s="83"/>
      <c r="K54" s="83"/>
      <c r="L54" s="83"/>
      <c r="M54" s="75"/>
      <c r="N54" s="75"/>
      <c r="O54" s="75"/>
      <c r="P54" s="83"/>
      <c r="Q54" s="83"/>
      <c r="R54" s="83"/>
      <c r="S54" s="54"/>
      <c r="T54" s="83"/>
      <c r="U54" s="83"/>
      <c r="V54" s="54"/>
      <c r="W54" s="83"/>
      <c r="X54" s="83"/>
      <c r="Y54" s="83"/>
      <c r="Z54" s="57"/>
      <c r="AA54" s="58"/>
      <c r="AB54" s="58"/>
      <c r="AC54" s="59"/>
      <c r="AD54" s="92"/>
      <c r="AE54" s="92"/>
    </row>
    <row r="55" customFormat="false" ht="11.1" hidden="false" customHeight="true" outlineLevel="0" collapsed="false">
      <c r="A55" s="83"/>
      <c r="B55" s="83"/>
      <c r="C55" s="54"/>
      <c r="D55" s="83"/>
      <c r="E55" s="54"/>
      <c r="F55" s="83"/>
      <c r="G55" s="86"/>
      <c r="H55" s="55"/>
      <c r="I55" s="83"/>
      <c r="J55" s="83"/>
      <c r="K55" s="83"/>
      <c r="L55" s="83"/>
      <c r="M55" s="75"/>
      <c r="N55" s="75"/>
      <c r="O55" s="75"/>
      <c r="P55" s="83"/>
      <c r="Q55" s="83"/>
      <c r="R55" s="83"/>
      <c r="S55" s="54"/>
      <c r="T55" s="83"/>
      <c r="U55" s="83"/>
      <c r="V55" s="54"/>
      <c r="W55" s="83"/>
      <c r="X55" s="83"/>
      <c r="Y55" s="83"/>
      <c r="Z55" s="57"/>
      <c r="AA55" s="58"/>
      <c r="AB55" s="58"/>
      <c r="AC55" s="59"/>
      <c r="AD55" s="92"/>
      <c r="AE55" s="92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W21" activePane="bottomRight" state="frozen"/>
      <selection pane="topLeft" activeCell="A1" activeCellId="0" sqref="A1"/>
      <selection pane="topRight" activeCell="W1" activeCellId="0" sqref="W1"/>
      <selection pane="bottomLeft" activeCell="A21" activeCellId="0" sqref="A21"/>
      <selection pane="bottomRight" activeCell="U41" activeCellId="0" sqref="U41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7.66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7.66"/>
    <col collapsed="false" customWidth="true" hidden="false" outlineLevel="0" max="19" min="19" style="47" width="7.66"/>
    <col collapsed="false" customWidth="true" hidden="false" outlineLevel="0" max="20" min="20" style="46" width="7.66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87"/>
      <c r="AE1" s="87"/>
    </row>
    <row r="2" customFormat="false" ht="14.1" hidden="false" customHeight="true" outlineLevel="0" collapsed="false">
      <c r="A2" s="53" t="s">
        <v>1</v>
      </c>
      <c r="B2" s="53"/>
      <c r="C2" s="54"/>
      <c r="D2" s="60" t="n">
        <v>1.9835</v>
      </c>
      <c r="E2" s="54"/>
      <c r="F2" s="53"/>
      <c r="G2" s="53"/>
      <c r="H2" s="55"/>
      <c r="I2" s="53"/>
      <c r="J2" s="53"/>
      <c r="K2" s="61" t="s">
        <v>93</v>
      </c>
      <c r="L2" s="61"/>
      <c r="M2" s="61"/>
      <c r="N2" s="61"/>
      <c r="O2" s="61"/>
      <c r="P2" s="61"/>
      <c r="Q2" s="61"/>
      <c r="R2" s="61"/>
      <c r="S2" s="61"/>
      <c r="T2" s="61"/>
      <c r="U2" s="53"/>
      <c r="V2" s="54"/>
      <c r="W2" s="53"/>
      <c r="X2" s="53"/>
      <c r="Y2" s="53"/>
      <c r="Z2" s="57"/>
      <c r="AA2" s="58"/>
      <c r="AB2" s="58"/>
      <c r="AC2" s="59"/>
      <c r="AD2" s="87"/>
      <c r="AE2" s="87"/>
    </row>
    <row r="3" customFormat="false" ht="11.1" hidden="false" customHeight="true" outlineLevel="0" collapsed="false">
      <c r="A3" s="53"/>
      <c r="B3" s="53"/>
      <c r="C3" s="54"/>
      <c r="D3" s="62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87"/>
      <c r="AE3" s="87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14</v>
      </c>
      <c r="Q4" s="63" t="s">
        <v>15</v>
      </c>
      <c r="R4" s="63" t="s">
        <v>12</v>
      </c>
      <c r="S4" s="64" t="s">
        <v>16</v>
      </c>
      <c r="T4" s="63" t="s">
        <v>17</v>
      </c>
      <c r="U4" s="63" t="s">
        <v>18</v>
      </c>
      <c r="V4" s="64" t="s">
        <v>19</v>
      </c>
      <c r="W4" s="63" t="s">
        <v>10</v>
      </c>
      <c r="X4" s="63" t="s">
        <v>11</v>
      </c>
      <c r="Y4" s="63" t="s">
        <v>12</v>
      </c>
      <c r="Z4" s="66" t="s">
        <v>20</v>
      </c>
      <c r="AA4" s="67" t="s">
        <v>21</v>
      </c>
      <c r="AB4" s="67" t="s">
        <v>22</v>
      </c>
      <c r="AC4" s="67" t="s">
        <v>3</v>
      </c>
      <c r="AD4" s="87"/>
      <c r="AE4" s="87"/>
    </row>
    <row r="5" customFormat="false" ht="11.1" hidden="false" customHeight="true" outlineLevel="0" collapsed="false">
      <c r="A5" s="68" t="s">
        <v>94</v>
      </c>
      <c r="B5" s="63" t="s">
        <v>24</v>
      </c>
      <c r="C5" s="64" t="s">
        <v>5</v>
      </c>
      <c r="D5" s="63" t="s">
        <v>25</v>
      </c>
      <c r="E5" s="64" t="s">
        <v>26</v>
      </c>
      <c r="F5" s="63" t="s">
        <v>27</v>
      </c>
      <c r="G5" s="63" t="s">
        <v>28</v>
      </c>
      <c r="H5" s="65" t="s">
        <v>29</v>
      </c>
      <c r="I5" s="63" t="s">
        <v>30</v>
      </c>
      <c r="J5" s="63" t="s">
        <v>30</v>
      </c>
      <c r="K5" s="63" t="s">
        <v>30</v>
      </c>
      <c r="L5" s="63" t="s">
        <v>31</v>
      </c>
      <c r="M5" s="63" t="s">
        <v>32</v>
      </c>
      <c r="N5" s="63" t="s">
        <v>33</v>
      </c>
      <c r="O5" s="63" t="s">
        <v>34</v>
      </c>
      <c r="P5" s="63" t="s">
        <v>35</v>
      </c>
      <c r="Q5" s="63" t="s">
        <v>36</v>
      </c>
      <c r="R5" s="63" t="s">
        <v>16</v>
      </c>
      <c r="S5" s="64" t="s">
        <v>37</v>
      </c>
      <c r="T5" s="63" t="s">
        <v>38</v>
      </c>
      <c r="U5" s="63" t="s">
        <v>39</v>
      </c>
      <c r="V5" s="64" t="s">
        <v>40</v>
      </c>
      <c r="W5" s="63" t="s">
        <v>41</v>
      </c>
      <c r="X5" s="63" t="s">
        <v>41</v>
      </c>
      <c r="Y5" s="63" t="s">
        <v>41</v>
      </c>
      <c r="Z5" s="69"/>
      <c r="AA5" s="67" t="s">
        <v>42</v>
      </c>
      <c r="AB5" s="67" t="s">
        <v>42</v>
      </c>
      <c r="AC5" s="70" t="s">
        <v>94</v>
      </c>
      <c r="AD5" s="87"/>
      <c r="AE5" s="87"/>
      <c r="AG5" s="133"/>
      <c r="AH5" s="133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  <c r="AD6" s="88"/>
      <c r="AE6" s="88"/>
      <c r="AF6" s="89"/>
      <c r="AG6" s="133"/>
      <c r="AH6" s="133"/>
    </row>
    <row r="7" customFormat="false" ht="11.1" hidden="false" customHeight="true" outlineLevel="0" collapsed="false">
      <c r="A7" s="53" t="s">
        <v>43</v>
      </c>
      <c r="B7" s="53"/>
      <c r="C7" s="54"/>
      <c r="D7" s="54"/>
      <c r="E7" s="54"/>
      <c r="F7" s="54" t="n">
        <f aca="false" t="array" ref="F7:Y7">JUL!$F$45:$Y$45</f>
        <v>42642.8031257878</v>
      </c>
      <c r="G7" s="54" t="n">
        <v>133553</v>
      </c>
      <c r="H7" s="54" t="n">
        <v>4591.9</v>
      </c>
      <c r="I7" s="54" t="n">
        <v>138144.9</v>
      </c>
      <c r="J7" s="54" t="n">
        <v>17766.0663801361</v>
      </c>
      <c r="K7" s="54" t="n">
        <v>155910.966380136</v>
      </c>
      <c r="L7" s="54" t="n">
        <v>17014.9131257878</v>
      </c>
      <c r="M7" s="54" t="n">
        <v>23257.6</v>
      </c>
      <c r="N7" s="54" t="n">
        <v>5214.9148</v>
      </c>
      <c r="O7" s="54" t="n">
        <v>18042.6852</v>
      </c>
      <c r="P7" s="54" t="n">
        <v>10848</v>
      </c>
      <c r="Q7" s="54" t="n">
        <v>6123.3</v>
      </c>
      <c r="R7" s="54" t="n">
        <v>35013.9852</v>
      </c>
      <c r="S7" s="54" t="n">
        <v>20966.1589643559</v>
      </c>
      <c r="T7" s="54" t="n">
        <v>13668.11</v>
      </c>
      <c r="U7" s="54" t="n">
        <v>58620</v>
      </c>
      <c r="V7" s="54" t="n">
        <v>13355</v>
      </c>
      <c r="W7" s="54" t="n">
        <v>112517.01</v>
      </c>
      <c r="X7" s="54" t="n">
        <v>751.153254348374</v>
      </c>
      <c r="Y7" s="54" t="n">
        <v>113268.163254348</v>
      </c>
      <c r="Z7" s="57"/>
      <c r="AA7" s="58"/>
      <c r="AB7" s="58"/>
      <c r="AC7" s="59"/>
      <c r="AD7" s="88"/>
      <c r="AE7" s="89"/>
      <c r="AF7" s="89"/>
    </row>
    <row r="8" s="47" customFormat="true" ht="11.1" hidden="false" customHeight="true" outlineLevel="0" collapsed="false">
      <c r="A8" s="54" t="s">
        <v>44</v>
      </c>
      <c r="B8" s="74" t="n">
        <f aca="false" t="array" ref="B8:C8">JUL!$B$40:$C$40</f>
        <v>6920.11</v>
      </c>
      <c r="C8" s="54" t="n">
        <v>364051</v>
      </c>
      <c r="D8" s="54" t="n">
        <f aca="false" t="array" ref="D8:E8">JUL!$D$49:$E$49</f>
        <v>105932</v>
      </c>
      <c r="E8" s="54" t="n">
        <v>212051</v>
      </c>
      <c r="F8" s="54" t="n">
        <f aca="false" t="array" ref="F8:Z8">JUL!$F$48:$Z$48</f>
        <v>53406.6044870179</v>
      </c>
      <c r="G8" s="54" t="n">
        <v>147986</v>
      </c>
      <c r="H8" s="58" t="n">
        <v>4922.2</v>
      </c>
      <c r="I8" s="54" t="n">
        <v>152903.1</v>
      </c>
      <c r="J8" s="54" t="n">
        <v>22016.4343156037</v>
      </c>
      <c r="K8" s="54" t="n">
        <v>174922.239004285</v>
      </c>
      <c r="L8" s="54" t="n">
        <v>20722.4144870179</v>
      </c>
      <c r="M8" s="54" t="n">
        <v>24493.4</v>
      </c>
      <c r="N8" s="54" t="n">
        <v>5290.4833</v>
      </c>
      <c r="O8" s="54" t="n">
        <v>18917.3167</v>
      </c>
      <c r="P8" s="54" t="n">
        <v>10848</v>
      </c>
      <c r="Q8" s="54" t="n">
        <v>6253.4</v>
      </c>
      <c r="R8" s="54" t="n">
        <v>36249.1392</v>
      </c>
      <c r="S8" s="54" t="n">
        <v>0</v>
      </c>
      <c r="T8" s="54" t="n">
        <v>13668.11</v>
      </c>
      <c r="U8" s="54" t="n">
        <v>64956</v>
      </c>
      <c r="V8" s="54" t="n">
        <v>13355</v>
      </c>
      <c r="W8" s="54" t="n">
        <v>120218.91</v>
      </c>
      <c r="X8" s="54" t="n">
        <v>1294.01982858583</v>
      </c>
      <c r="Y8" s="54" t="n">
        <v>121512.929828586</v>
      </c>
      <c r="Z8" s="75" t="n">
        <v>12.8</v>
      </c>
      <c r="AA8" s="58"/>
      <c r="AB8" s="58"/>
      <c r="AC8" s="59"/>
      <c r="AD8" s="90"/>
      <c r="AE8" s="88"/>
      <c r="AF8" s="90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79"/>
      <c r="I9" s="76"/>
      <c r="J9" s="76"/>
      <c r="K9" s="76"/>
      <c r="L9" s="76"/>
      <c r="M9" s="76"/>
      <c r="N9" s="76"/>
      <c r="O9" s="76"/>
      <c r="P9" s="76"/>
      <c r="Q9" s="76"/>
      <c r="R9" s="76"/>
      <c r="S9" s="78"/>
      <c r="T9" s="76"/>
      <c r="U9" s="76"/>
      <c r="V9" s="78"/>
      <c r="W9" s="76"/>
      <c r="X9" s="76"/>
      <c r="Y9" s="76"/>
      <c r="Z9" s="80"/>
      <c r="AA9" s="81"/>
      <c r="AB9" s="81"/>
      <c r="AC9" s="82"/>
      <c r="AD9" s="88"/>
      <c r="AE9" s="88"/>
      <c r="AF9" s="89"/>
    </row>
    <row r="10" customFormat="false" ht="11.1" hidden="false" customHeight="true" outlineLevel="0" collapsed="false">
      <c r="A10" s="59" t="n">
        <v>1</v>
      </c>
      <c r="B10" s="74" t="n">
        <v>6920.07</v>
      </c>
      <c r="C10" s="54" t="n">
        <v>363877</v>
      </c>
      <c r="D10" s="58" t="n">
        <f aca="false">C10-C8</f>
        <v>-174</v>
      </c>
      <c r="E10" s="54" t="n">
        <f aca="false">C10-152000</f>
        <v>211877</v>
      </c>
      <c r="F10" s="53" t="n">
        <f aca="false">D10/$D$2</f>
        <v>-87.7237206957399</v>
      </c>
      <c r="G10" s="53" t="n">
        <v>454</v>
      </c>
      <c r="H10" s="55" t="n">
        <v>1.1</v>
      </c>
      <c r="I10" s="53" t="n">
        <f aca="false">G10+H10</f>
        <v>455.1</v>
      </c>
      <c r="J10" s="75" t="n">
        <f aca="false">IF(L10&gt;0,L10,0)</f>
        <v>18.8862793042602</v>
      </c>
      <c r="K10" s="53" t="n">
        <f aca="false">I10+J10</f>
        <v>473.98627930426</v>
      </c>
      <c r="L10" s="53" t="n">
        <f aca="false">F10-(I10-W10)</f>
        <v>18.8862793042602</v>
      </c>
      <c r="M10" s="53" t="n">
        <v>196</v>
      </c>
      <c r="N10" s="53" t="n">
        <f aca="false">6.79+6.71*1.05</f>
        <v>13.8355</v>
      </c>
      <c r="O10" s="53" t="n">
        <f aca="false">M10-N10</f>
        <v>182.1645</v>
      </c>
      <c r="P10" s="53" t="n">
        <v>114</v>
      </c>
      <c r="Q10" s="53" t="n">
        <v>78</v>
      </c>
      <c r="R10" s="53" t="n">
        <f aca="false">SUM(O10:Q10)</f>
        <v>374.1645</v>
      </c>
      <c r="S10" s="54" t="n">
        <f aca="false">(I10-R10)+S7</f>
        <v>21047.0944643559</v>
      </c>
      <c r="T10" s="53" t="n">
        <v>82.71</v>
      </c>
      <c r="U10" s="53" t="n">
        <v>91</v>
      </c>
      <c r="V10" s="54" t="n">
        <f aca="false">V8-U10</f>
        <v>13264</v>
      </c>
      <c r="W10" s="53" t="n">
        <f aca="false">R10+T10+N10+U10</f>
        <v>561.71</v>
      </c>
      <c r="X10" s="53" t="n">
        <f aca="false">IF(L10&lt;0,L10*-1,0)</f>
        <v>0</v>
      </c>
      <c r="Y10" s="53" t="n">
        <f aca="false">W10+X10</f>
        <v>561.71</v>
      </c>
      <c r="Z10" s="57" t="n">
        <v>0.02</v>
      </c>
      <c r="AA10" s="58" t="n">
        <v>84</v>
      </c>
      <c r="AB10" s="58" t="n">
        <v>52</v>
      </c>
      <c r="AC10" s="59" t="n">
        <v>1</v>
      </c>
      <c r="AD10" s="89"/>
      <c r="AE10" s="90"/>
      <c r="AF10" s="90"/>
    </row>
    <row r="11" customFormat="false" ht="11.1" hidden="false" customHeight="true" outlineLevel="0" collapsed="false">
      <c r="A11" s="59" t="n">
        <f aca="false">A10+1</f>
        <v>2</v>
      </c>
      <c r="B11" s="74" t="n">
        <v>6920.01</v>
      </c>
      <c r="C11" s="54" t="n">
        <v>363617</v>
      </c>
      <c r="D11" s="58" t="n">
        <f aca="false">C11-C10</f>
        <v>-260</v>
      </c>
      <c r="E11" s="54" t="n">
        <f aca="false">C11-152000</f>
        <v>211617</v>
      </c>
      <c r="F11" s="53" t="n">
        <f aca="false">D11/$D$2</f>
        <v>-131.081421729266</v>
      </c>
      <c r="G11" s="53" t="n">
        <v>428</v>
      </c>
      <c r="H11" s="55" t="n">
        <v>2.5</v>
      </c>
      <c r="I11" s="53" t="n">
        <f aca="false">G11+H11</f>
        <v>430.5</v>
      </c>
      <c r="J11" s="75" t="n">
        <f aca="false">IF(L11&gt;0,L11,0)</f>
        <v>10.5985782707336</v>
      </c>
      <c r="K11" s="53" t="n">
        <f aca="false">I11+J11</f>
        <v>441.098578270734</v>
      </c>
      <c r="L11" s="53" t="n">
        <f aca="false">F11-(I11-W11)</f>
        <v>10.5985782707336</v>
      </c>
      <c r="M11" s="53" t="n">
        <v>224</v>
      </c>
      <c r="N11" s="53" t="n">
        <f aca="false">19.71+20.79*1.05</f>
        <v>41.5395</v>
      </c>
      <c r="O11" s="53" t="n">
        <f aca="false">M11-N11</f>
        <v>182.4605</v>
      </c>
      <c r="P11" s="53" t="n">
        <v>114</v>
      </c>
      <c r="Q11" s="53" t="n">
        <v>78</v>
      </c>
      <c r="R11" s="53" t="n">
        <f aca="false">SUM(O11:Q11)</f>
        <v>374.4605</v>
      </c>
      <c r="S11" s="54" t="n">
        <f aca="false">(I11-R11)+S10</f>
        <v>21103.1339643559</v>
      </c>
      <c r="T11" s="53" t="n">
        <v>65.18</v>
      </c>
      <c r="U11" s="53" t="n">
        <v>91</v>
      </c>
      <c r="V11" s="54" t="n">
        <f aca="false">V10-U11</f>
        <v>13173</v>
      </c>
      <c r="W11" s="53" t="n">
        <f aca="false">R11+T11+N11+U11</f>
        <v>572.18</v>
      </c>
      <c r="X11" s="53" t="n">
        <f aca="false">IF(L11&lt;0,L11*-1,0)</f>
        <v>0</v>
      </c>
      <c r="Y11" s="53" t="n">
        <f aca="false">W11+X11</f>
        <v>572.18</v>
      </c>
      <c r="Z11" s="57" t="n">
        <v>0.03</v>
      </c>
      <c r="AA11" s="58" t="n">
        <v>82</v>
      </c>
      <c r="AB11" s="58" t="n">
        <v>56</v>
      </c>
      <c r="AC11" s="59" t="n">
        <f aca="false">AC10+1</f>
        <v>2</v>
      </c>
      <c r="AD11" s="89"/>
      <c r="AE11" s="90"/>
      <c r="AF11" s="90"/>
    </row>
    <row r="12" customFormat="false" ht="11.1" hidden="false" customHeight="true" outlineLevel="0" collapsed="false">
      <c r="A12" s="59" t="n">
        <f aca="false">A11+1</f>
        <v>3</v>
      </c>
      <c r="B12" s="74" t="n">
        <v>6920.08</v>
      </c>
      <c r="C12" s="54" t="n">
        <v>363920</v>
      </c>
      <c r="D12" s="58" t="n">
        <f aca="false">C12-C11</f>
        <v>303</v>
      </c>
      <c r="E12" s="54" t="n">
        <f aca="false">C12-152000</f>
        <v>211920</v>
      </c>
      <c r="F12" s="53" t="n">
        <f aca="false">D12/$D$2</f>
        <v>152.76027224603</v>
      </c>
      <c r="G12" s="53" t="n">
        <v>600</v>
      </c>
      <c r="H12" s="55" t="n">
        <v>4.1</v>
      </c>
      <c r="I12" s="53" t="n">
        <f aca="false">G12+H12</f>
        <v>604.1</v>
      </c>
      <c r="J12" s="75" t="n">
        <f aca="false">IF(L12&gt;0,L12,0)</f>
        <v>26.9202722460297</v>
      </c>
      <c r="K12" s="53" t="n">
        <f aca="false">I12+J12</f>
        <v>631.02027224603</v>
      </c>
      <c r="L12" s="53" t="n">
        <f aca="false">F12-(I12-W12)</f>
        <v>26.9202722460297</v>
      </c>
      <c r="M12" s="53" t="n">
        <v>173</v>
      </c>
      <c r="N12" s="53" t="n">
        <f aca="false">14.26+14.59*1.05</f>
        <v>29.5795</v>
      </c>
      <c r="O12" s="53" t="n">
        <f aca="false">M12-N12</f>
        <v>143.4205</v>
      </c>
      <c r="P12" s="53" t="n">
        <v>114</v>
      </c>
      <c r="Q12" s="53" t="n">
        <v>73</v>
      </c>
      <c r="R12" s="53" t="n">
        <f aca="false">SUM(O12:Q12)</f>
        <v>330.4205</v>
      </c>
      <c r="S12" s="54" t="n">
        <f aca="false">(I12-R12)+S11</f>
        <v>21376.8134643559</v>
      </c>
      <c r="T12" s="53" t="n">
        <v>22.26</v>
      </c>
      <c r="U12" s="53" t="n">
        <v>96</v>
      </c>
      <c r="V12" s="54" t="n">
        <f aca="false">V11-U12</f>
        <v>13077</v>
      </c>
      <c r="W12" s="53" t="n">
        <f aca="false">R12+T12+N12+U12</f>
        <v>478.26</v>
      </c>
      <c r="X12" s="53" t="n">
        <f aca="false">IF(L12&lt;0,L12*-1,0)</f>
        <v>0</v>
      </c>
      <c r="Y12" s="53" t="n">
        <f aca="false">W12+X12</f>
        <v>478.26</v>
      </c>
      <c r="Z12" s="57" t="n">
        <v>0.06</v>
      </c>
      <c r="AA12" s="58" t="n">
        <v>73</v>
      </c>
      <c r="AB12" s="58" t="n">
        <v>57</v>
      </c>
      <c r="AC12" s="59" t="n">
        <f aca="false">AC11+1</f>
        <v>3</v>
      </c>
      <c r="AD12" s="89"/>
      <c r="AE12" s="90"/>
      <c r="AF12" s="90"/>
    </row>
    <row r="13" customFormat="false" ht="11.1" hidden="false" customHeight="true" outlineLevel="0" collapsed="false">
      <c r="A13" s="59" t="n">
        <f aca="false">A12+1</f>
        <v>4</v>
      </c>
      <c r="B13" s="74" t="n">
        <v>6920.13</v>
      </c>
      <c r="C13" s="54" t="n">
        <v>364138</v>
      </c>
      <c r="D13" s="58" t="n">
        <f aca="false">C13-C12</f>
        <v>218</v>
      </c>
      <c r="E13" s="54" t="n">
        <f aca="false">C13-152000</f>
        <v>212138</v>
      </c>
      <c r="F13" s="53" t="n">
        <f aca="false">D13/$D$2</f>
        <v>109.906730526847</v>
      </c>
      <c r="G13" s="53" t="n">
        <v>608</v>
      </c>
      <c r="H13" s="55" t="n">
        <v>6.5</v>
      </c>
      <c r="I13" s="53" t="n">
        <f aca="false">G13+H13</f>
        <v>614.5</v>
      </c>
      <c r="J13" s="75" t="n">
        <f aca="false">IF(L13&gt;0,L13,0)</f>
        <v>0</v>
      </c>
      <c r="K13" s="53" t="n">
        <f aca="false">I13+J13</f>
        <v>614.5</v>
      </c>
      <c r="L13" s="53" t="n">
        <f aca="false">F13-(I13-W13)</f>
        <v>-35.4932694731535</v>
      </c>
      <c r="M13" s="53" t="n">
        <v>145</v>
      </c>
      <c r="N13" s="53" t="n">
        <f aca="false">0.64+0.65*1.05</f>
        <v>1.3225</v>
      </c>
      <c r="O13" s="53" t="n">
        <f aca="false">M13-N13</f>
        <v>143.6775</v>
      </c>
      <c r="P13" s="53" t="n">
        <v>114</v>
      </c>
      <c r="Q13" s="53" t="n">
        <v>63</v>
      </c>
      <c r="R13" s="53" t="n">
        <f aca="false">SUM(O13:Q13)</f>
        <v>320.6775</v>
      </c>
      <c r="S13" s="54" t="n">
        <f aca="false">(I13-R13)+S12</f>
        <v>21670.6359643559</v>
      </c>
      <c r="T13" s="53" t="n">
        <v>48.1</v>
      </c>
      <c r="U13" s="53" t="n">
        <v>99</v>
      </c>
      <c r="V13" s="54" t="n">
        <f aca="false">V12-U13</f>
        <v>12978</v>
      </c>
      <c r="W13" s="53" t="n">
        <f aca="false">R13+T13+N13+U13</f>
        <v>469.1</v>
      </c>
      <c r="X13" s="53" t="n">
        <f aca="false">IF(L13&lt;0,L13*-1,0)</f>
        <v>35.4932694731535</v>
      </c>
      <c r="Y13" s="53" t="n">
        <f aca="false">W13+X13</f>
        <v>504.593269473154</v>
      </c>
      <c r="Z13" s="57" t="n">
        <v>0</v>
      </c>
      <c r="AA13" s="58" t="n">
        <v>76</v>
      </c>
      <c r="AB13" s="58" t="n">
        <v>51</v>
      </c>
      <c r="AC13" s="59" t="n">
        <f aca="false">AC12+1</f>
        <v>4</v>
      </c>
      <c r="AD13" s="89"/>
      <c r="AE13" s="90"/>
      <c r="AF13" s="90"/>
    </row>
    <row r="14" customFormat="false" ht="11.1" hidden="false" customHeight="true" outlineLevel="0" collapsed="false">
      <c r="A14" s="59" t="n">
        <f aca="false">A13+1</f>
        <v>5</v>
      </c>
      <c r="B14" s="74" t="n">
        <v>6920.25</v>
      </c>
      <c r="C14" s="54" t="n">
        <v>364659</v>
      </c>
      <c r="D14" s="58" t="n">
        <f aca="false">C14-C13</f>
        <v>521</v>
      </c>
      <c r="E14" s="54" t="n">
        <f aca="false">C14-152000</f>
        <v>212659</v>
      </c>
      <c r="F14" s="53" t="n">
        <f aca="false">D14/$D$2</f>
        <v>262.667002772876</v>
      </c>
      <c r="G14" s="53" t="n">
        <v>651</v>
      </c>
      <c r="H14" s="55" t="n">
        <v>8.6</v>
      </c>
      <c r="I14" s="53" t="n">
        <f aca="false">G14+H14</f>
        <v>659.6</v>
      </c>
      <c r="J14" s="75" t="n">
        <f aca="false">IF(L14&gt;0,L14,0)</f>
        <v>39.8770027728762</v>
      </c>
      <c r="K14" s="53" t="n">
        <f aca="false">I14+J14</f>
        <v>699.477002772876</v>
      </c>
      <c r="L14" s="53" t="n">
        <f aca="false">F14-(I14-W14)</f>
        <v>39.8770027728762</v>
      </c>
      <c r="M14" s="53" t="n">
        <v>133</v>
      </c>
      <c r="N14" s="53" t="n">
        <f aca="false">2.37*1.05</f>
        <v>2.4885</v>
      </c>
      <c r="O14" s="53" t="n">
        <f aca="false">M14-N14</f>
        <v>130.5115</v>
      </c>
      <c r="P14" s="53" t="n">
        <v>114</v>
      </c>
      <c r="Q14" s="53" t="n">
        <v>62</v>
      </c>
      <c r="R14" s="53" t="n">
        <f aca="false">SUM(O14:Q14)</f>
        <v>306.5115</v>
      </c>
      <c r="S14" s="54" t="n">
        <f aca="false">(I14-R14)+S13</f>
        <v>22023.7244643559</v>
      </c>
      <c r="T14" s="53" t="n">
        <v>26.81</v>
      </c>
      <c r="U14" s="53" t="n">
        <v>101</v>
      </c>
      <c r="V14" s="54" t="n">
        <f aca="false">V13-U14</f>
        <v>12877</v>
      </c>
      <c r="W14" s="53" t="n">
        <f aca="false">R14+T14+N14+U14</f>
        <v>436.81</v>
      </c>
      <c r="X14" s="53" t="n">
        <f aca="false">IF(L14&lt;0,L14*-1,0)</f>
        <v>0</v>
      </c>
      <c r="Y14" s="53" t="n">
        <f aca="false">W14+X14</f>
        <v>436.81</v>
      </c>
      <c r="Z14" s="57" t="n">
        <v>0.27</v>
      </c>
      <c r="AA14" s="58" t="n">
        <v>76</v>
      </c>
      <c r="AB14" s="58" t="n">
        <v>54</v>
      </c>
      <c r="AC14" s="59" t="n">
        <f aca="false">AC13+1</f>
        <v>5</v>
      </c>
      <c r="AD14" s="89"/>
      <c r="AE14" s="90"/>
      <c r="AF14" s="90"/>
    </row>
    <row r="15" customFormat="false" ht="11.1" hidden="false" customHeight="true" outlineLevel="0" collapsed="false">
      <c r="A15" s="59" t="n">
        <f aca="false">A14+1</f>
        <v>6</v>
      </c>
      <c r="B15" s="74" t="n">
        <v>6920.42</v>
      </c>
      <c r="C15" s="54" t="n">
        <v>365397</v>
      </c>
      <c r="D15" s="58" t="n">
        <f aca="false">C15-C14</f>
        <v>738</v>
      </c>
      <c r="E15" s="54" t="n">
        <f aca="false">C15-152000</f>
        <v>213397</v>
      </c>
      <c r="F15" s="53" t="n">
        <f aca="false">D15/$D$2</f>
        <v>372.069573985379</v>
      </c>
      <c r="G15" s="53" t="n">
        <v>770</v>
      </c>
      <c r="H15" s="55" t="n">
        <v>8.8</v>
      </c>
      <c r="I15" s="53" t="n">
        <f aca="false">G15+H15</f>
        <v>778.8</v>
      </c>
      <c r="J15" s="75" t="n">
        <f aca="false">IF(L15&gt;0,L15,0)</f>
        <v>52.0995739853794</v>
      </c>
      <c r="K15" s="53" t="n">
        <f aca="false">I15+J15</f>
        <v>830.899573985379</v>
      </c>
      <c r="L15" s="53" t="n">
        <f aca="false">F15-(I15-W15)</f>
        <v>52.0995739853794</v>
      </c>
      <c r="M15" s="53" t="n">
        <v>145</v>
      </c>
      <c r="N15" s="53" t="n">
        <f aca="false">9.28+9.84*1.05</f>
        <v>19.612</v>
      </c>
      <c r="O15" s="53" t="n">
        <f aca="false">M15-N15</f>
        <v>125.388</v>
      </c>
      <c r="P15" s="53" t="n">
        <v>114</v>
      </c>
      <c r="Q15" s="53" t="n">
        <v>62</v>
      </c>
      <c r="R15" s="53" t="n">
        <f aca="false">SUM(O15:Q15)</f>
        <v>301.388</v>
      </c>
      <c r="S15" s="54" t="n">
        <f aca="false">(I15-R15)+S14</f>
        <v>22501.1364643559</v>
      </c>
      <c r="T15" s="53" t="n">
        <v>36.83</v>
      </c>
      <c r="U15" s="53" t="n">
        <v>101</v>
      </c>
      <c r="V15" s="54" t="n">
        <f aca="false">V14-U15</f>
        <v>12776</v>
      </c>
      <c r="W15" s="53" t="n">
        <f aca="false">R15+T15+N15+U15</f>
        <v>458.83</v>
      </c>
      <c r="X15" s="53" t="n">
        <f aca="false">IF(L15&lt;0,L15*-1,0)</f>
        <v>0</v>
      </c>
      <c r="Y15" s="53" t="n">
        <f aca="false">W15+X15</f>
        <v>458.83</v>
      </c>
      <c r="Z15" s="57" t="n">
        <v>0</v>
      </c>
      <c r="AA15" s="58" t="n">
        <v>78</v>
      </c>
      <c r="AB15" s="58" t="n">
        <v>53</v>
      </c>
      <c r="AC15" s="59" t="n">
        <f aca="false">AC14+1</f>
        <v>6</v>
      </c>
      <c r="AD15" s="88"/>
      <c r="AE15" s="90"/>
      <c r="AF15" s="90"/>
    </row>
    <row r="16" customFormat="false" ht="11.1" hidden="false" customHeight="true" outlineLevel="0" collapsed="false">
      <c r="A16" s="59" t="n">
        <f aca="false">A15+1</f>
        <v>7</v>
      </c>
      <c r="B16" s="74" t="n">
        <v>6920.49</v>
      </c>
      <c r="C16" s="54" t="n">
        <v>365701</v>
      </c>
      <c r="D16" s="58" t="n">
        <f aca="false">C16-C15</f>
        <v>304</v>
      </c>
      <c r="E16" s="54" t="n">
        <f aca="false">C16-152000</f>
        <v>213701</v>
      </c>
      <c r="F16" s="53" t="n">
        <f aca="false">D16/$D$2</f>
        <v>153.264431560373</v>
      </c>
      <c r="G16" s="53" t="n">
        <v>600</v>
      </c>
      <c r="H16" s="55" t="n">
        <v>7.4</v>
      </c>
      <c r="I16" s="53" t="n">
        <f aca="false">G16+H16</f>
        <v>607.4</v>
      </c>
      <c r="J16" s="75" t="n">
        <f aca="false">IF(L16&gt;0,L16,0)</f>
        <v>21.5544315603731</v>
      </c>
      <c r="K16" s="53" t="n">
        <f aca="false">I16+J16</f>
        <v>628.954431560373</v>
      </c>
      <c r="L16" s="53" t="n">
        <f aca="false">F16-(I16-W16)</f>
        <v>21.5544315603731</v>
      </c>
      <c r="M16" s="53" t="n">
        <v>170</v>
      </c>
      <c r="N16" s="53" t="n">
        <f aca="false">28.53+25.42*1.05</f>
        <v>55.221</v>
      </c>
      <c r="O16" s="53" t="n">
        <f aca="false">M16-N16</f>
        <v>114.779</v>
      </c>
      <c r="P16" s="53" t="n">
        <v>114</v>
      </c>
      <c r="Q16" s="53" t="n">
        <v>62</v>
      </c>
      <c r="R16" s="53" t="n">
        <f aca="false">SUM(O16:Q16)</f>
        <v>290.779</v>
      </c>
      <c r="S16" s="54" t="n">
        <f aca="false">(I16-R16)+S15</f>
        <v>22817.7574643559</v>
      </c>
      <c r="T16" s="53" t="n">
        <v>28.69</v>
      </c>
      <c r="U16" s="53" t="n">
        <v>101</v>
      </c>
      <c r="V16" s="54" t="n">
        <f aca="false">V15-U16</f>
        <v>12675</v>
      </c>
      <c r="W16" s="53" t="n">
        <f aca="false">R16+T16+N16+U16</f>
        <v>475.69</v>
      </c>
      <c r="X16" s="53" t="n">
        <f aca="false">IF(L16&lt;0,L16*-1,0)</f>
        <v>0</v>
      </c>
      <c r="Y16" s="53" t="n">
        <f aca="false">W16+X16</f>
        <v>475.69</v>
      </c>
      <c r="Z16" s="57" t="n">
        <v>0</v>
      </c>
      <c r="AA16" s="58" t="n">
        <v>84</v>
      </c>
      <c r="AB16" s="58" t="n">
        <v>52</v>
      </c>
      <c r="AC16" s="59" t="n">
        <f aca="false">AC15+1</f>
        <v>7</v>
      </c>
      <c r="AD16" s="88"/>
      <c r="AE16" s="90"/>
      <c r="AF16" s="90"/>
    </row>
    <row r="17" customFormat="false" ht="11.1" hidden="false" customHeight="true" outlineLevel="0" collapsed="false">
      <c r="A17" s="59" t="n">
        <f aca="false">A16+1</f>
        <v>8</v>
      </c>
      <c r="B17" s="74" t="n">
        <v>6920.5</v>
      </c>
      <c r="C17" s="54" t="n">
        <v>365744</v>
      </c>
      <c r="D17" s="58" t="n">
        <f aca="false">C17-C16</f>
        <v>43</v>
      </c>
      <c r="E17" s="54" t="n">
        <f aca="false">C17-152000</f>
        <v>213744</v>
      </c>
      <c r="F17" s="53" t="n">
        <f aca="false">D17/$D$2</f>
        <v>21.6788505167633</v>
      </c>
      <c r="G17" s="53" t="n">
        <v>505</v>
      </c>
      <c r="H17" s="55" t="n">
        <v>5.3</v>
      </c>
      <c r="I17" s="53" t="n">
        <f aca="false">G17+H17</f>
        <v>510.3</v>
      </c>
      <c r="J17" s="75" t="n">
        <f aca="false">IF(L17&gt;0,L17,0)</f>
        <v>0</v>
      </c>
      <c r="K17" s="53" t="n">
        <f aca="false">I17+J17</f>
        <v>510.3</v>
      </c>
      <c r="L17" s="53" t="n">
        <f aca="false">F17-(I17-W17)</f>
        <v>-3.43114948323666</v>
      </c>
      <c r="M17" s="53" t="n">
        <v>177</v>
      </c>
      <c r="N17" s="53" t="n">
        <f aca="false">29.76+29.3*1.05</f>
        <v>60.525</v>
      </c>
      <c r="O17" s="53" t="n">
        <f aca="false">M17-N17</f>
        <v>116.475</v>
      </c>
      <c r="P17" s="53" t="n">
        <v>114</v>
      </c>
      <c r="Q17" s="53" t="n">
        <v>62</v>
      </c>
      <c r="R17" s="53" t="n">
        <f aca="false">SUM(O17:Q17)</f>
        <v>292.475</v>
      </c>
      <c r="S17" s="54" t="n">
        <f aca="false">(I17-R17)+S16</f>
        <v>23035.5824643559</v>
      </c>
      <c r="T17" s="53" t="n">
        <v>32.19</v>
      </c>
      <c r="U17" s="53" t="n">
        <v>100</v>
      </c>
      <c r="V17" s="54" t="n">
        <f aca="false">V16-U17</f>
        <v>12575</v>
      </c>
      <c r="W17" s="53" t="n">
        <f aca="false">R17+T17+N17+U17</f>
        <v>485.19</v>
      </c>
      <c r="X17" s="53" t="n">
        <f aca="false">IF(L17&lt;0,L17*-1,0)</f>
        <v>3.43114948323666</v>
      </c>
      <c r="Y17" s="53" t="n">
        <f aca="false">W17+X17</f>
        <v>488.621149483237</v>
      </c>
      <c r="Z17" s="57" t="n">
        <v>0</v>
      </c>
      <c r="AA17" s="58" t="n">
        <v>86</v>
      </c>
      <c r="AB17" s="58" t="n">
        <v>53</v>
      </c>
      <c r="AC17" s="59" t="n">
        <f aca="false">AC16+1</f>
        <v>8</v>
      </c>
      <c r="AD17" s="88"/>
      <c r="AE17" s="90"/>
      <c r="AF17" s="90"/>
    </row>
    <row r="18" customFormat="false" ht="11.1" hidden="false" customHeight="true" outlineLevel="0" collapsed="false">
      <c r="A18" s="59" t="n">
        <f aca="false">A17+1</f>
        <v>9</v>
      </c>
      <c r="B18" s="74" t="n">
        <v>6920.46</v>
      </c>
      <c r="C18" s="54" t="n">
        <v>365570</v>
      </c>
      <c r="D18" s="58" t="n">
        <f aca="false">C18-C17</f>
        <v>-174</v>
      </c>
      <c r="E18" s="54" t="n">
        <f aca="false">C18-152000</f>
        <v>213570</v>
      </c>
      <c r="F18" s="53" t="n">
        <f aca="false">D18/$D$2</f>
        <v>-87.7237206957399</v>
      </c>
      <c r="G18" s="53" t="n">
        <v>454</v>
      </c>
      <c r="H18" s="55" t="n">
        <v>4.4</v>
      </c>
      <c r="I18" s="53" t="n">
        <f aca="false">G18+H18</f>
        <v>458.4</v>
      </c>
      <c r="J18" s="75" t="n">
        <f aca="false">IF(L18&gt;0,L18,0)</f>
        <v>0</v>
      </c>
      <c r="K18" s="53" t="n">
        <f aca="false">I18+J18</f>
        <v>458.4</v>
      </c>
      <c r="L18" s="53" t="n">
        <f aca="false">F18-(I18-W18)</f>
        <v>-46.5637206957398</v>
      </c>
      <c r="M18" s="53" t="n">
        <v>185</v>
      </c>
      <c r="N18" s="53" t="n">
        <f aca="false">31.29+29.87*1.05</f>
        <v>62.6535</v>
      </c>
      <c r="O18" s="53" t="n">
        <f aca="false">M18-N18</f>
        <v>122.3465</v>
      </c>
      <c r="P18" s="53" t="n">
        <v>114</v>
      </c>
      <c r="Q18" s="53" t="n">
        <v>62</v>
      </c>
      <c r="R18" s="53" t="n">
        <f aca="false">SUM(O18:Q18)</f>
        <v>298.3465</v>
      </c>
      <c r="S18" s="54" t="n">
        <f aca="false">(I18-R18)+S17</f>
        <v>23195.6359643559</v>
      </c>
      <c r="T18" s="53" t="n">
        <v>39.56</v>
      </c>
      <c r="U18" s="53" t="n">
        <v>99</v>
      </c>
      <c r="V18" s="54" t="n">
        <f aca="false">V17-U18</f>
        <v>12476</v>
      </c>
      <c r="W18" s="53" t="n">
        <f aca="false">R18+T18+N18+U18</f>
        <v>499.56</v>
      </c>
      <c r="X18" s="53" t="n">
        <f aca="false">IF(L18&lt;0,L18*-1,0)</f>
        <v>46.5637206957398</v>
      </c>
      <c r="Y18" s="53" t="n">
        <f aca="false">W18+X18</f>
        <v>546.12372069574</v>
      </c>
      <c r="Z18" s="57" t="n">
        <v>0</v>
      </c>
      <c r="AA18" s="83" t="n">
        <v>82</v>
      </c>
      <c r="AB18" s="58" t="n">
        <v>57</v>
      </c>
      <c r="AC18" s="59" t="n">
        <f aca="false">AC17+1</f>
        <v>9</v>
      </c>
      <c r="AD18" s="88"/>
      <c r="AE18" s="90"/>
      <c r="AF18" s="90"/>
    </row>
    <row r="19" customFormat="false" ht="11.1" hidden="false" customHeight="true" outlineLevel="0" collapsed="false">
      <c r="A19" s="59" t="n">
        <f aca="false">A18+1</f>
        <v>10</v>
      </c>
      <c r="B19" s="74" t="n">
        <v>6920.52</v>
      </c>
      <c r="C19" s="54" t="n">
        <v>365831</v>
      </c>
      <c r="D19" s="58" t="n">
        <f aca="false">C19-C18</f>
        <v>261</v>
      </c>
      <c r="E19" s="54" t="n">
        <f aca="false">C19-152000</f>
        <v>213831</v>
      </c>
      <c r="F19" s="53" t="n">
        <f aca="false">D19/$D$2</f>
        <v>131.58558104361</v>
      </c>
      <c r="G19" s="53" t="n">
        <v>576</v>
      </c>
      <c r="H19" s="55" t="n">
        <v>5</v>
      </c>
      <c r="I19" s="53" t="n">
        <f aca="false">G19+H19</f>
        <v>581</v>
      </c>
      <c r="J19" s="75" t="n">
        <f aca="false">IF(L19&gt;0,L19,0)</f>
        <v>4.76558104360979</v>
      </c>
      <c r="K19" s="53" t="n">
        <f aca="false">I19+J19</f>
        <v>585.76558104361</v>
      </c>
      <c r="L19" s="53" t="n">
        <f aca="false">F19-(I19-W19)</f>
        <v>4.76558104360979</v>
      </c>
      <c r="M19" s="53" t="n">
        <v>159</v>
      </c>
      <c r="N19" s="53" t="n">
        <f aca="false">21.5+21.44*1.05</f>
        <v>44.012</v>
      </c>
      <c r="O19" s="53" t="n">
        <f aca="false">M19-N19</f>
        <v>114.988</v>
      </c>
      <c r="P19" s="53" t="n">
        <v>115</v>
      </c>
      <c r="Q19" s="53" t="n">
        <v>62</v>
      </c>
      <c r="R19" s="53" t="n">
        <f aca="false">SUM(O19:Q19)</f>
        <v>291.988</v>
      </c>
      <c r="S19" s="54" t="n">
        <f aca="false">(I19-R19)+S18</f>
        <v>23484.6479643559</v>
      </c>
      <c r="T19" s="53" t="n">
        <v>18.18</v>
      </c>
      <c r="U19" s="53" t="n">
        <v>100</v>
      </c>
      <c r="V19" s="54" t="n">
        <f aca="false">V18-U19</f>
        <v>12376</v>
      </c>
      <c r="W19" s="53" t="n">
        <f aca="false">R19+T19+N19+U19</f>
        <v>454.18</v>
      </c>
      <c r="X19" s="53" t="n">
        <f aca="false">IF(L19&lt;0,L19*-1,0)</f>
        <v>0</v>
      </c>
      <c r="Y19" s="53" t="n">
        <f aca="false">W19+X19</f>
        <v>454.18</v>
      </c>
      <c r="Z19" s="57" t="n">
        <v>0.24</v>
      </c>
      <c r="AA19" s="58" t="n">
        <v>79</v>
      </c>
      <c r="AB19" s="58" t="n">
        <v>56</v>
      </c>
      <c r="AC19" s="59" t="n">
        <f aca="false">AC18+1</f>
        <v>10</v>
      </c>
      <c r="AD19" s="88"/>
      <c r="AE19" s="90"/>
      <c r="AF19" s="90"/>
    </row>
    <row r="20" customFormat="false" ht="11.1" hidden="false" customHeight="true" outlineLevel="0" collapsed="false">
      <c r="A20" s="59" t="n">
        <v>11</v>
      </c>
      <c r="B20" s="74" t="n">
        <v>6920.67</v>
      </c>
      <c r="C20" s="54" t="n">
        <v>366482</v>
      </c>
      <c r="D20" s="58" t="n">
        <f aca="false">C20-C19</f>
        <v>651</v>
      </c>
      <c r="E20" s="54" t="n">
        <f aca="false">C20-152000</f>
        <v>214482</v>
      </c>
      <c r="F20" s="53" t="n">
        <f aca="false">D20/$D$2</f>
        <v>328.207713637509</v>
      </c>
      <c r="G20" s="53" t="n">
        <v>751</v>
      </c>
      <c r="H20" s="55" t="n">
        <v>6.9</v>
      </c>
      <c r="I20" s="53" t="n">
        <f aca="false">G20+H20</f>
        <v>757.9</v>
      </c>
      <c r="J20" s="75" t="n">
        <f aca="false">IF(L20&gt;0,L20,0)</f>
        <v>0</v>
      </c>
      <c r="K20" s="53" t="n">
        <f aca="false">I20+J20</f>
        <v>757.9</v>
      </c>
      <c r="L20" s="53" t="n">
        <f aca="false">F20-(I20-W20)</f>
        <v>-11.3522863624906</v>
      </c>
      <c r="M20" s="53" t="n">
        <v>124</v>
      </c>
      <c r="N20" s="53" t="n">
        <f aca="false">9.41+9.86*1.05</f>
        <v>19.763</v>
      </c>
      <c r="O20" s="53" t="n">
        <f aca="false">M20-N20</f>
        <v>104.237</v>
      </c>
      <c r="P20" s="53" t="n">
        <v>115</v>
      </c>
      <c r="Q20" s="53" t="n">
        <v>62</v>
      </c>
      <c r="R20" s="53" t="n">
        <f aca="false">SUM(O20:Q20)</f>
        <v>281.237</v>
      </c>
      <c r="S20" s="54" t="n">
        <f aca="false">(I20-R20)+S19</f>
        <v>23961.3109643559</v>
      </c>
      <c r="T20" s="53" t="n">
        <v>17.34</v>
      </c>
      <c r="U20" s="53" t="n">
        <v>100</v>
      </c>
      <c r="V20" s="54" t="n">
        <f aca="false">V19-U20</f>
        <v>12276</v>
      </c>
      <c r="W20" s="53" t="n">
        <f aca="false">R20+T20+N20+U20</f>
        <v>418.34</v>
      </c>
      <c r="X20" s="53" t="n">
        <f aca="false">IF(L20&lt;0,L20*-1,0)</f>
        <v>11.3522863624906</v>
      </c>
      <c r="Y20" s="53" t="n">
        <f aca="false">W20+X20</f>
        <v>429.692286362491</v>
      </c>
      <c r="Z20" s="57" t="n">
        <v>0</v>
      </c>
      <c r="AA20" s="58" t="n">
        <v>80</v>
      </c>
      <c r="AB20" s="58" t="n">
        <v>51</v>
      </c>
      <c r="AC20" s="59" t="n">
        <v>11</v>
      </c>
      <c r="AD20" s="88"/>
      <c r="AE20" s="90"/>
      <c r="AF20" s="90"/>
    </row>
    <row r="21" customFormat="false" ht="11.1" hidden="false" customHeight="true" outlineLevel="0" collapsed="false">
      <c r="A21" s="59" t="n">
        <v>12</v>
      </c>
      <c r="B21" s="74" t="n">
        <v>6920.79</v>
      </c>
      <c r="C21" s="54" t="n">
        <v>367003</v>
      </c>
      <c r="D21" s="58" t="n">
        <f aca="false">C21-C20</f>
        <v>521</v>
      </c>
      <c r="E21" s="54" t="n">
        <f aca="false">C21-152000</f>
        <v>215003</v>
      </c>
      <c r="F21" s="53" t="n">
        <f aca="false">D21/$D$2</f>
        <v>262.667002772876</v>
      </c>
      <c r="G21" s="53" t="n">
        <v>669</v>
      </c>
      <c r="H21" s="55" t="n">
        <v>7.8</v>
      </c>
      <c r="I21" s="53" t="n">
        <f aca="false">G21+H21</f>
        <v>676.8</v>
      </c>
      <c r="J21" s="75" t="n">
        <f aca="false">IF(L21&gt;0,L21,0)</f>
        <v>24.7370027728763</v>
      </c>
      <c r="K21" s="53" t="n">
        <f aca="false">I21+J21</f>
        <v>701.537002772876</v>
      </c>
      <c r="L21" s="53" t="n">
        <f aca="false">F21-(I21-W21)</f>
        <v>24.7370027728763</v>
      </c>
      <c r="M21" s="53" t="n">
        <v>140</v>
      </c>
      <c r="N21" s="53" t="n">
        <f aca="false">9.43+9.36*1.05</f>
        <v>19.258</v>
      </c>
      <c r="O21" s="53" t="n">
        <f aca="false">M21-N21</f>
        <v>120.742</v>
      </c>
      <c r="P21" s="53" t="n">
        <v>114</v>
      </c>
      <c r="Q21" s="53" t="n">
        <v>62</v>
      </c>
      <c r="R21" s="53" t="n">
        <f aca="false">SUM(O21:Q21)</f>
        <v>296.742</v>
      </c>
      <c r="S21" s="54" t="n">
        <f aca="false">(I21-R21)+S20</f>
        <v>24341.3689643559</v>
      </c>
      <c r="T21" s="53" t="n">
        <v>24.87</v>
      </c>
      <c r="U21" s="53" t="n">
        <v>98</v>
      </c>
      <c r="V21" s="54" t="n">
        <f aca="false">V20-U21</f>
        <v>12178</v>
      </c>
      <c r="W21" s="53" t="n">
        <f aca="false">R21+T21+N21+U21</f>
        <v>438.87</v>
      </c>
      <c r="X21" s="53" t="n">
        <f aca="false">IF(L21&lt;0,L21*-1,0)</f>
        <v>0</v>
      </c>
      <c r="Y21" s="53" t="n">
        <f aca="false">W21+X21</f>
        <v>438.87</v>
      </c>
      <c r="Z21" s="57" t="n">
        <v>0</v>
      </c>
      <c r="AA21" s="58" t="n">
        <v>80</v>
      </c>
      <c r="AB21" s="58" t="n">
        <v>45</v>
      </c>
      <c r="AC21" s="59" t="n">
        <v>12</v>
      </c>
      <c r="AD21" s="88"/>
      <c r="AE21" s="90"/>
      <c r="AF21" s="90"/>
    </row>
    <row r="22" customFormat="false" ht="11.1" hidden="false" customHeight="true" outlineLevel="0" collapsed="false">
      <c r="A22" s="59" t="n">
        <v>13</v>
      </c>
      <c r="B22" s="74" t="n">
        <v>6920.85</v>
      </c>
      <c r="C22" s="54" t="n">
        <v>367264</v>
      </c>
      <c r="D22" s="58" t="n">
        <f aca="false">C22-C21</f>
        <v>261</v>
      </c>
      <c r="E22" s="54" t="n">
        <f aca="false">C22-152000</f>
        <v>215264</v>
      </c>
      <c r="F22" s="53" t="n">
        <f aca="false">D22/$D$2</f>
        <v>131.58558104361</v>
      </c>
      <c r="G22" s="53" t="n">
        <v>542</v>
      </c>
      <c r="H22" s="55" t="n">
        <v>5.2</v>
      </c>
      <c r="I22" s="53" t="n">
        <f aca="false">G22+H22</f>
        <v>547.2</v>
      </c>
      <c r="J22" s="75" t="n">
        <f aca="false">IF(L22&gt;0,L22,0)</f>
        <v>26.1255810436098</v>
      </c>
      <c r="K22" s="53" t="n">
        <f aca="false">I22+J22</f>
        <v>573.32558104361</v>
      </c>
      <c r="L22" s="53" t="n">
        <f aca="false">F22-(I22-W22)</f>
        <v>26.1255810436098</v>
      </c>
      <c r="M22" s="53" t="n">
        <v>141</v>
      </c>
      <c r="N22" s="53" t="n">
        <f aca="false">10.32+11.56*1.05</f>
        <v>22.458</v>
      </c>
      <c r="O22" s="53" t="n">
        <f aca="false">M22-N22</f>
        <v>118.542</v>
      </c>
      <c r="P22" s="53" t="n">
        <v>114</v>
      </c>
      <c r="Q22" s="53" t="n">
        <v>62</v>
      </c>
      <c r="R22" s="53" t="n">
        <f aca="false">SUM(O22:Q22)</f>
        <v>294.542</v>
      </c>
      <c r="S22" s="54" t="n">
        <f aca="false">(I22-R22)+S21</f>
        <v>24594.0269643559</v>
      </c>
      <c r="T22" s="53" t="n">
        <v>26.74</v>
      </c>
      <c r="U22" s="53" t="n">
        <v>98</v>
      </c>
      <c r="V22" s="54" t="n">
        <f aca="false">V21-U22</f>
        <v>12080</v>
      </c>
      <c r="W22" s="53" t="n">
        <f aca="false">R22+T22+N22+U22</f>
        <v>441.74</v>
      </c>
      <c r="X22" s="53" t="n">
        <f aca="false">IF(L22&lt;0,L22*-1,0)</f>
        <v>0</v>
      </c>
      <c r="Y22" s="53" t="n">
        <f aca="false">W22+X22</f>
        <v>441.74</v>
      </c>
      <c r="Z22" s="57" t="n">
        <v>0.41</v>
      </c>
      <c r="AA22" s="58" t="n">
        <v>87</v>
      </c>
      <c r="AB22" s="58" t="n">
        <v>45</v>
      </c>
      <c r="AC22" s="59" t="n">
        <v>13</v>
      </c>
      <c r="AD22" s="88"/>
      <c r="AE22" s="90"/>
      <c r="AF22" s="90"/>
    </row>
    <row r="23" customFormat="false" ht="11.1" hidden="false" customHeight="true" outlineLevel="0" collapsed="false">
      <c r="A23" s="59" t="n">
        <v>14</v>
      </c>
      <c r="B23" s="74" t="n">
        <v>6920.88</v>
      </c>
      <c r="C23" s="54" t="n">
        <v>367394</v>
      </c>
      <c r="D23" s="58" t="n">
        <f aca="false">C23-C22</f>
        <v>130</v>
      </c>
      <c r="E23" s="54" t="n">
        <f aca="false">C23-152000</f>
        <v>215394</v>
      </c>
      <c r="F23" s="53" t="n">
        <f aca="false">D23/$D$2</f>
        <v>65.5407108646332</v>
      </c>
      <c r="G23" s="53" t="n">
        <v>483</v>
      </c>
      <c r="H23" s="55" t="n">
        <v>4.1</v>
      </c>
      <c r="I23" s="53" t="n">
        <f aca="false">G23+H23</f>
        <v>487.1</v>
      </c>
      <c r="J23" s="75" t="n">
        <f aca="false">IF(L23&gt;0,L23,0)</f>
        <v>19.7407108646332</v>
      </c>
      <c r="K23" s="53" t="n">
        <f aca="false">I23+J23</f>
        <v>506.840710864633</v>
      </c>
      <c r="L23" s="53" t="n">
        <f aca="false">F23-(I23-W23)</f>
        <v>19.7407108646332</v>
      </c>
      <c r="M23" s="53" t="n">
        <v>145</v>
      </c>
      <c r="N23" s="53" t="n">
        <f aca="false">9.36+10*1.05</f>
        <v>19.86</v>
      </c>
      <c r="O23" s="53" t="n">
        <f aca="false">M23-N23</f>
        <v>125.14</v>
      </c>
      <c r="P23" s="53" t="n">
        <v>114</v>
      </c>
      <c r="Q23" s="53" t="n">
        <v>62</v>
      </c>
      <c r="R23" s="53" t="n">
        <f aca="false">SUM(O23:Q23)</f>
        <v>301.14</v>
      </c>
      <c r="S23" s="54" t="n">
        <f aca="false">(I23-R23)+S22</f>
        <v>24779.9869643559</v>
      </c>
      <c r="T23" s="53" t="n">
        <v>22.3</v>
      </c>
      <c r="U23" s="53" t="n">
        <v>98</v>
      </c>
      <c r="V23" s="54" t="n">
        <f aca="false">V22-U23</f>
        <v>11982</v>
      </c>
      <c r="W23" s="53" t="n">
        <f aca="false">R23+T23+N23+U23</f>
        <v>441.3</v>
      </c>
      <c r="X23" s="53" t="n">
        <f aca="false">IF(L23&lt;0,L23*-1,0)</f>
        <v>0</v>
      </c>
      <c r="Y23" s="53" t="n">
        <f aca="false">W23+X23</f>
        <v>441.3</v>
      </c>
      <c r="Z23" s="57" t="n">
        <v>0</v>
      </c>
      <c r="AA23" s="58" t="n">
        <v>81</v>
      </c>
      <c r="AB23" s="58" t="n">
        <v>55</v>
      </c>
      <c r="AC23" s="59" t="n">
        <v>14</v>
      </c>
      <c r="AD23" s="88"/>
      <c r="AE23" s="90"/>
      <c r="AF23" s="90"/>
    </row>
    <row r="24" customFormat="false" ht="11.1" hidden="false" customHeight="true" outlineLevel="0" collapsed="false">
      <c r="A24" s="59" t="n">
        <v>15</v>
      </c>
      <c r="B24" s="74" t="n">
        <v>6920.9</v>
      </c>
      <c r="C24" s="54" t="n">
        <v>367481</v>
      </c>
      <c r="D24" s="58" t="n">
        <f aca="false">C24-C23</f>
        <v>87</v>
      </c>
      <c r="E24" s="54" t="n">
        <f aca="false">C24-152000</f>
        <v>215481</v>
      </c>
      <c r="F24" s="53" t="n">
        <f aca="false">D24/$D$2</f>
        <v>43.8618603478699</v>
      </c>
      <c r="G24" s="53" t="n">
        <v>512</v>
      </c>
      <c r="H24" s="55" t="n">
        <v>4.2</v>
      </c>
      <c r="I24" s="53" t="n">
        <f aca="false">G24+H24</f>
        <v>516.2</v>
      </c>
      <c r="J24" s="75" t="n">
        <f aca="false">IF(L24&gt;0,L24,0)</f>
        <v>0</v>
      </c>
      <c r="K24" s="53" t="n">
        <f aca="false">I24+J24</f>
        <v>516.2</v>
      </c>
      <c r="L24" s="53" t="n">
        <f aca="false">F24-(I24-W24)</f>
        <v>-15.2181396521301</v>
      </c>
      <c r="M24" s="53" t="n">
        <v>141</v>
      </c>
      <c r="N24" s="53" t="n">
        <f aca="false">7.83+10.57*1.05</f>
        <v>18.9285</v>
      </c>
      <c r="O24" s="53" t="n">
        <f aca="false">M24-N24</f>
        <v>122.0715</v>
      </c>
      <c r="P24" s="53" t="n">
        <v>115</v>
      </c>
      <c r="Q24" s="53" t="n">
        <v>62</v>
      </c>
      <c r="R24" s="53" t="n">
        <f aca="false">SUM(O24:Q24)</f>
        <v>299.0715</v>
      </c>
      <c r="S24" s="54" t="n">
        <f aca="false">(I24-R24)+S23</f>
        <v>24997.1154643559</v>
      </c>
      <c r="T24" s="53" t="n">
        <v>41.12</v>
      </c>
      <c r="U24" s="53" t="n">
        <v>98</v>
      </c>
      <c r="V24" s="54" t="n">
        <f aca="false">V23-U24</f>
        <v>11884</v>
      </c>
      <c r="W24" s="53" t="n">
        <f aca="false">R24+T24+N24+U24</f>
        <v>457.12</v>
      </c>
      <c r="X24" s="53" t="n">
        <f aca="false">IF(L24&lt;0,L24*-1,0)</f>
        <v>15.2181396521301</v>
      </c>
      <c r="Y24" s="53" t="n">
        <f aca="false">W24+X24</f>
        <v>472.33813965213</v>
      </c>
      <c r="Z24" s="57" t="n">
        <v>0</v>
      </c>
      <c r="AA24" s="58" t="n">
        <v>78</v>
      </c>
      <c r="AB24" s="58" t="n">
        <v>54</v>
      </c>
      <c r="AC24" s="59" t="n">
        <v>15</v>
      </c>
      <c r="AD24" s="88"/>
      <c r="AE24" s="90"/>
      <c r="AF24" s="90"/>
    </row>
    <row r="25" customFormat="false" ht="11.1" hidden="false" customHeight="true" outlineLevel="0" collapsed="false">
      <c r="A25" s="59" t="n">
        <v>16</v>
      </c>
      <c r="B25" s="74" t="n">
        <v>6920.92</v>
      </c>
      <c r="C25" s="54" t="n">
        <v>367567</v>
      </c>
      <c r="D25" s="58" t="n">
        <f aca="false">C25-C24</f>
        <v>86</v>
      </c>
      <c r="E25" s="54" t="n">
        <f aca="false">C25-152000</f>
        <v>215567</v>
      </c>
      <c r="F25" s="53" t="n">
        <f aca="false">D25/$D$2</f>
        <v>43.3577010335266</v>
      </c>
      <c r="G25" s="53" t="n">
        <v>499</v>
      </c>
      <c r="H25" s="55" t="n">
        <v>4.1</v>
      </c>
      <c r="I25" s="53" t="n">
        <f aca="false">G25+H25</f>
        <v>503.1</v>
      </c>
      <c r="J25" s="75" t="n">
        <f aca="false">IF(L25&gt;0,L25,0)</f>
        <v>0</v>
      </c>
      <c r="K25" s="53" t="n">
        <f aca="false">I25+J25</f>
        <v>503.1</v>
      </c>
      <c r="L25" s="53" t="n">
        <f aca="false">F25-(I25-W25)</f>
        <v>-0.34229896647345</v>
      </c>
      <c r="M25" s="53" t="n">
        <v>154</v>
      </c>
      <c r="N25" s="53" t="n">
        <f aca="false">13.93+13.82*1.05</f>
        <v>28.441</v>
      </c>
      <c r="O25" s="53" t="n">
        <f aca="false">M25-N25</f>
        <v>125.559</v>
      </c>
      <c r="P25" s="53" t="n">
        <v>115</v>
      </c>
      <c r="Q25" s="53" t="n">
        <v>58</v>
      </c>
      <c r="R25" s="53" t="n">
        <f aca="false">SUM(O25:Q25)</f>
        <v>298.559</v>
      </c>
      <c r="S25" s="54" t="n">
        <f aca="false">(I25-R25)+S24</f>
        <v>25201.6564643559</v>
      </c>
      <c r="T25" s="53" t="n">
        <v>34.4</v>
      </c>
      <c r="U25" s="53" t="n">
        <v>98</v>
      </c>
      <c r="V25" s="54" t="n">
        <f aca="false">V24-U25</f>
        <v>11786</v>
      </c>
      <c r="W25" s="53" t="n">
        <f aca="false">R25+T25+N25+U25</f>
        <v>459.4</v>
      </c>
      <c r="X25" s="53" t="n">
        <f aca="false">IF(L25&lt;0,L25*-1,0)</f>
        <v>0.34229896647345</v>
      </c>
      <c r="Y25" s="53" t="n">
        <f aca="false">W25+X25</f>
        <v>459.742298966473</v>
      </c>
      <c r="Z25" s="57" t="n">
        <v>0.12</v>
      </c>
      <c r="AA25" s="58" t="n">
        <v>82</v>
      </c>
      <c r="AB25" s="58" t="n">
        <v>50</v>
      </c>
      <c r="AC25" s="59" t="n">
        <v>16</v>
      </c>
      <c r="AD25" s="88"/>
      <c r="AE25" s="90"/>
      <c r="AF25" s="90"/>
    </row>
    <row r="26" customFormat="false" ht="11.1" hidden="false" customHeight="true" outlineLevel="0" collapsed="false">
      <c r="A26" s="59" t="n">
        <v>17</v>
      </c>
      <c r="B26" s="74" t="n">
        <v>6920.93</v>
      </c>
      <c r="C26" s="54" t="n">
        <v>367611</v>
      </c>
      <c r="D26" s="58" t="n">
        <f aca="false">C26-C25</f>
        <v>44</v>
      </c>
      <c r="E26" s="54" t="n">
        <f aca="false">C26-152000</f>
        <v>215611</v>
      </c>
      <c r="F26" s="53" t="n">
        <f aca="false">D26/$D$2</f>
        <v>22.1830098311066</v>
      </c>
      <c r="G26" s="53" t="n">
        <v>528</v>
      </c>
      <c r="H26" s="55" t="n">
        <v>3.8</v>
      </c>
      <c r="I26" s="53" t="n">
        <f aca="false">G26+H26</f>
        <v>531.8</v>
      </c>
      <c r="J26" s="75" t="n">
        <f aca="false">IF(L26&gt;0,L26,0)</f>
        <v>16.6830098311066</v>
      </c>
      <c r="K26" s="53" t="n">
        <f aca="false">I26+J26</f>
        <v>548.483009831107</v>
      </c>
      <c r="L26" s="53" t="n">
        <f aca="false">F26-(I26-W26)</f>
        <v>16.6830098311066</v>
      </c>
      <c r="M26" s="53" t="n">
        <v>194</v>
      </c>
      <c r="N26" s="53" t="n">
        <f aca="false">26.69+27.42*1.05</f>
        <v>55.481</v>
      </c>
      <c r="O26" s="53" t="n">
        <f aca="false">M26-N26</f>
        <v>138.519</v>
      </c>
      <c r="P26" s="53" t="n">
        <v>116</v>
      </c>
      <c r="Q26" s="53" t="n">
        <v>54</v>
      </c>
      <c r="R26" s="53" t="n">
        <f aca="false">SUM(O26:Q26)</f>
        <v>308.519</v>
      </c>
      <c r="S26" s="54" t="n">
        <f aca="false">(I26-R26)+S25</f>
        <v>25424.9374643559</v>
      </c>
      <c r="T26" s="53" t="n">
        <v>64.3</v>
      </c>
      <c r="U26" s="53" t="n">
        <v>98</v>
      </c>
      <c r="V26" s="54" t="n">
        <f aca="false">V25-U26</f>
        <v>11688</v>
      </c>
      <c r="W26" s="53" t="n">
        <f aca="false">R26+T26+N26+U26</f>
        <v>526.3</v>
      </c>
      <c r="X26" s="53" t="n">
        <f aca="false">IF(L26&lt;0,L26*-1,0)</f>
        <v>0</v>
      </c>
      <c r="Y26" s="53" t="n">
        <f aca="false">W26+X26</f>
        <v>526.3</v>
      </c>
      <c r="Z26" s="57" t="n">
        <v>0</v>
      </c>
      <c r="AA26" s="58" t="n">
        <v>83</v>
      </c>
      <c r="AB26" s="58" t="n">
        <v>54</v>
      </c>
      <c r="AC26" s="59" t="n">
        <v>17</v>
      </c>
      <c r="AD26" s="88"/>
      <c r="AE26" s="90"/>
      <c r="AF26" s="90"/>
    </row>
    <row r="27" customFormat="false" ht="11.1" hidden="false" customHeight="true" outlineLevel="0" collapsed="false">
      <c r="A27" s="59" t="n">
        <v>18</v>
      </c>
      <c r="B27" s="74" t="n">
        <v>6920.92</v>
      </c>
      <c r="C27" s="54" t="n">
        <v>367567</v>
      </c>
      <c r="D27" s="58" t="n">
        <f aca="false">C27-C26</f>
        <v>-44</v>
      </c>
      <c r="E27" s="54" t="n">
        <f aca="false">C27-152000</f>
        <v>215567</v>
      </c>
      <c r="F27" s="53" t="n">
        <f aca="false">D27/$D$2</f>
        <v>-22.1830098311066</v>
      </c>
      <c r="G27" s="53" t="n">
        <v>497</v>
      </c>
      <c r="H27" s="55" t="n">
        <v>5.1</v>
      </c>
      <c r="I27" s="53" t="n">
        <f aca="false">G27+H27</f>
        <v>502.1</v>
      </c>
      <c r="J27" s="75" t="n">
        <f aca="false">IF(L27&gt;0,L27,0)</f>
        <v>0</v>
      </c>
      <c r="K27" s="53" t="n">
        <f aca="false">I27+J27</f>
        <v>502.1</v>
      </c>
      <c r="L27" s="53" t="n">
        <f aca="false">F27-(I27-W27)</f>
        <v>-10.2330098311067</v>
      </c>
      <c r="M27" s="53" t="n">
        <v>198</v>
      </c>
      <c r="N27" s="53" t="n">
        <f aca="false">27.02+28.53*1.05</f>
        <v>56.9765</v>
      </c>
      <c r="O27" s="53" t="n">
        <f aca="false">M27-N27</f>
        <v>141.0235</v>
      </c>
      <c r="P27" s="53" t="n">
        <v>115</v>
      </c>
      <c r="Q27" s="53" t="n">
        <v>51</v>
      </c>
      <c r="R27" s="53" t="n">
        <f aca="false">SUM(O27:Q27)</f>
        <v>307.0235</v>
      </c>
      <c r="S27" s="54" t="n">
        <f aca="false">(I27-R27)+S26</f>
        <v>25620.0139643559</v>
      </c>
      <c r="T27" s="53" t="n">
        <v>52.05</v>
      </c>
      <c r="U27" s="53" t="n">
        <v>98</v>
      </c>
      <c r="V27" s="54" t="n">
        <f aca="false">V26-U27</f>
        <v>11590</v>
      </c>
      <c r="W27" s="53" t="n">
        <f aca="false">R27+T27+N27+U27</f>
        <v>514.05</v>
      </c>
      <c r="X27" s="53" t="n">
        <f aca="false">IF(L27&lt;0,L27*-1,0)</f>
        <v>10.2330098311067</v>
      </c>
      <c r="Y27" s="53" t="n">
        <f aca="false">W27+X27</f>
        <v>524.283009831107</v>
      </c>
      <c r="Z27" s="57" t="n">
        <v>0.2</v>
      </c>
      <c r="AA27" s="58" t="n">
        <v>88</v>
      </c>
      <c r="AB27" s="58" t="n">
        <v>54</v>
      </c>
      <c r="AC27" s="59" t="n">
        <v>18</v>
      </c>
      <c r="AD27" s="88"/>
      <c r="AE27" s="90"/>
      <c r="AF27" s="90"/>
    </row>
    <row r="28" customFormat="false" ht="11.1" hidden="false" customHeight="true" outlineLevel="0" collapsed="false">
      <c r="A28" s="59" t="n">
        <v>19</v>
      </c>
      <c r="B28" s="74" t="n">
        <v>6921</v>
      </c>
      <c r="C28" s="54" t="n">
        <v>367915</v>
      </c>
      <c r="D28" s="58" t="n">
        <f aca="false">C28-C27</f>
        <v>348</v>
      </c>
      <c r="E28" s="54" t="n">
        <f aca="false">C28-152000</f>
        <v>215915</v>
      </c>
      <c r="F28" s="53" t="n">
        <f aca="false">D28/$D$2</f>
        <v>175.44744139148</v>
      </c>
      <c r="G28" s="53" t="n">
        <v>639</v>
      </c>
      <c r="H28" s="55" t="n">
        <v>4.6</v>
      </c>
      <c r="I28" s="53" t="n">
        <f aca="false">G28+H28</f>
        <v>643.6</v>
      </c>
      <c r="J28" s="75" t="n">
        <f aca="false">IF(L28&gt;0,L28,0)</f>
        <v>39.1974413914797</v>
      </c>
      <c r="K28" s="53" t="n">
        <f aca="false">I28+J28</f>
        <v>682.79744139148</v>
      </c>
      <c r="L28" s="53" t="n">
        <f aca="false">F28-(I28-W28)</f>
        <v>39.1974413914797</v>
      </c>
      <c r="M28" s="53" t="n">
        <v>198</v>
      </c>
      <c r="N28" s="53" t="n">
        <f aca="false">26.41+25.84*1.05</f>
        <v>53.542</v>
      </c>
      <c r="O28" s="53" t="n">
        <f aca="false">M28-N28</f>
        <v>144.458</v>
      </c>
      <c r="P28" s="53" t="n">
        <v>110</v>
      </c>
      <c r="Q28" s="100" t="n">
        <v>51</v>
      </c>
      <c r="R28" s="53" t="n">
        <f aca="false">SUM(O28:Q28)</f>
        <v>305.458</v>
      </c>
      <c r="S28" s="54" t="n">
        <f aca="false">(I28-R28)+S27</f>
        <v>25958.1559643559</v>
      </c>
      <c r="T28" s="53" t="n">
        <v>45.35</v>
      </c>
      <c r="U28" s="53" t="n">
        <v>103</v>
      </c>
      <c r="V28" s="54" t="n">
        <f aca="false">V27-U28</f>
        <v>11487</v>
      </c>
      <c r="W28" s="53" t="n">
        <f aca="false">R28+T28+N28+U28</f>
        <v>507.35</v>
      </c>
      <c r="X28" s="53" t="n">
        <f aca="false">IF(L28&lt;0,L28*-1,0)</f>
        <v>0</v>
      </c>
      <c r="Y28" s="53" t="n">
        <f aca="false">W28+X28</f>
        <v>507.35</v>
      </c>
      <c r="Z28" s="57" t="n">
        <v>0.02</v>
      </c>
      <c r="AA28" s="58" t="n">
        <v>83</v>
      </c>
      <c r="AB28" s="58" t="n">
        <v>52</v>
      </c>
      <c r="AC28" s="59" t="n">
        <v>19</v>
      </c>
      <c r="AD28" s="88"/>
      <c r="AE28" s="90"/>
      <c r="AF28" s="90"/>
    </row>
    <row r="29" customFormat="false" ht="11.1" hidden="false" customHeight="true" outlineLevel="0" collapsed="false">
      <c r="A29" s="59" t="n">
        <v>20</v>
      </c>
      <c r="B29" s="74" t="n">
        <v>6921.15</v>
      </c>
      <c r="C29" s="54" t="n">
        <v>368572</v>
      </c>
      <c r="D29" s="58" t="n">
        <f aca="false">C29-C28</f>
        <v>657</v>
      </c>
      <c r="E29" s="54" t="n">
        <f aca="false">C29-152000</f>
        <v>216572</v>
      </c>
      <c r="F29" s="53" t="n">
        <f aca="false">D29/$D$2</f>
        <v>331.232669523569</v>
      </c>
      <c r="G29" s="53" t="n">
        <v>818</v>
      </c>
      <c r="H29" s="55" t="n">
        <v>5.1</v>
      </c>
      <c r="I29" s="53" t="n">
        <f aca="false">G29+H29</f>
        <v>823.1</v>
      </c>
      <c r="J29" s="75" t="n">
        <f aca="false">IF(L29&gt;0,L29,0)</f>
        <v>34.8026695235695</v>
      </c>
      <c r="K29" s="53" t="n">
        <f aca="false">I29+J29</f>
        <v>857.90266952357</v>
      </c>
      <c r="L29" s="53" t="n">
        <f aca="false">F29-(I29-W29)</f>
        <v>34.8026695235695</v>
      </c>
      <c r="M29" s="53" t="n">
        <v>204</v>
      </c>
      <c r="N29" s="53" t="n">
        <f aca="false">28.9+28.75*1.05</f>
        <v>59.0875</v>
      </c>
      <c r="O29" s="53" t="n">
        <f aca="false">M29-N29</f>
        <v>144.9125</v>
      </c>
      <c r="P29" s="53" t="n">
        <v>109</v>
      </c>
      <c r="Q29" s="100" t="n">
        <v>51</v>
      </c>
      <c r="R29" s="53" t="n">
        <f aca="false">SUM(O29:Q29)</f>
        <v>304.9125</v>
      </c>
      <c r="S29" s="54" t="n">
        <f aca="false">(I29-R29)+S28</f>
        <v>26476.3434643559</v>
      </c>
      <c r="T29" s="53" t="n">
        <v>57.67</v>
      </c>
      <c r="U29" s="53" t="n">
        <v>105</v>
      </c>
      <c r="V29" s="54" t="n">
        <f aca="false">V28-U29</f>
        <v>11382</v>
      </c>
      <c r="W29" s="53" t="n">
        <f aca="false">R29+T29+N29+U29</f>
        <v>526.67</v>
      </c>
      <c r="X29" s="53" t="n">
        <f aca="false">IF(L29&lt;0,L29*-1,0)</f>
        <v>0</v>
      </c>
      <c r="Y29" s="53" t="n">
        <f aca="false">W29+X29</f>
        <v>526.67</v>
      </c>
      <c r="Z29" s="57" t="n">
        <v>0</v>
      </c>
      <c r="AA29" s="58" t="n">
        <v>80</v>
      </c>
      <c r="AB29" s="58" t="n">
        <v>56</v>
      </c>
      <c r="AC29" s="59" t="n">
        <v>20</v>
      </c>
      <c r="AD29" s="88"/>
      <c r="AE29" s="90"/>
      <c r="AF29" s="90"/>
    </row>
    <row r="30" customFormat="false" ht="11.1" hidden="false" customHeight="true" outlineLevel="0" collapsed="false">
      <c r="A30" s="59" t="n">
        <v>21</v>
      </c>
      <c r="B30" s="74" t="n">
        <v>6921.37</v>
      </c>
      <c r="C30" s="54" t="n">
        <v>369535</v>
      </c>
      <c r="D30" s="58" t="n">
        <f aca="false">C30-C29</f>
        <v>963</v>
      </c>
      <c r="E30" s="54" t="n">
        <f aca="false">C30-152000</f>
        <v>217535</v>
      </c>
      <c r="F30" s="53" t="n">
        <f aca="false">D30/$D$2</f>
        <v>485.505419712629</v>
      </c>
      <c r="G30" s="53" t="n">
        <v>987</v>
      </c>
      <c r="H30" s="55" t="n">
        <v>13</v>
      </c>
      <c r="I30" s="53" t="n">
        <f aca="false">G30+H30</f>
        <v>1000</v>
      </c>
      <c r="J30" s="75" t="n">
        <f aca="false">IF(L30&gt;0,L30,0)</f>
        <v>27.2154197126292</v>
      </c>
      <c r="K30" s="53" t="n">
        <f aca="false">I30+J30</f>
        <v>1027.21541971263</v>
      </c>
      <c r="L30" s="53" t="n">
        <f aca="false">F30-(I30-W30)</f>
        <v>27.2154197126292</v>
      </c>
      <c r="M30" s="53" t="n">
        <v>214</v>
      </c>
      <c r="N30" s="53" t="n">
        <f aca="false">33.95+34.72*1.05</f>
        <v>70.406</v>
      </c>
      <c r="O30" s="53" t="n">
        <f aca="false">M30-N30</f>
        <v>143.594</v>
      </c>
      <c r="P30" s="53" t="n">
        <v>110</v>
      </c>
      <c r="Q30" s="100" t="n">
        <v>52</v>
      </c>
      <c r="R30" s="53" t="n">
        <f aca="false">SUM(O30:Q30)</f>
        <v>305.594</v>
      </c>
      <c r="S30" s="54" t="n">
        <f aca="false">(I30-R30)+S29</f>
        <v>27170.7494643559</v>
      </c>
      <c r="T30" s="53" t="n">
        <v>60.71</v>
      </c>
      <c r="U30" s="53" t="n">
        <v>105</v>
      </c>
      <c r="V30" s="54" t="n">
        <f aca="false">V29-U30</f>
        <v>11277</v>
      </c>
      <c r="W30" s="53" t="n">
        <f aca="false">R30+T30+N30+U30</f>
        <v>541.71</v>
      </c>
      <c r="X30" s="53" t="n">
        <f aca="false">IF(L30&lt;0,L30*-1,0)</f>
        <v>0</v>
      </c>
      <c r="Y30" s="53" t="n">
        <f aca="false">W30+X30</f>
        <v>541.71</v>
      </c>
      <c r="Z30" s="57" t="n">
        <v>0</v>
      </c>
      <c r="AA30" s="58" t="n">
        <v>81</v>
      </c>
      <c r="AB30" s="58" t="n">
        <v>52</v>
      </c>
      <c r="AC30" s="59" t="n">
        <v>21</v>
      </c>
      <c r="AD30" s="88"/>
      <c r="AE30" s="90"/>
      <c r="AF30" s="90"/>
    </row>
    <row r="31" customFormat="false" ht="11.1" hidden="false" customHeight="true" outlineLevel="0" collapsed="false">
      <c r="A31" s="59" t="n">
        <v>22</v>
      </c>
      <c r="B31" s="74" t="n">
        <v>6921.52</v>
      </c>
      <c r="C31" s="54" t="n">
        <v>370192</v>
      </c>
      <c r="D31" s="58" t="n">
        <f aca="false">C31-C30</f>
        <v>657</v>
      </c>
      <c r="E31" s="54" t="n">
        <f aca="false">C31-152000</f>
        <v>218192</v>
      </c>
      <c r="F31" s="53" t="n">
        <f aca="false">D31/$D$2</f>
        <v>331.232669523569</v>
      </c>
      <c r="G31" s="53" t="n">
        <v>815</v>
      </c>
      <c r="H31" s="55" t="n">
        <v>18</v>
      </c>
      <c r="I31" s="53" t="n">
        <f aca="false">G31+H31</f>
        <v>833</v>
      </c>
      <c r="J31" s="75" t="n">
        <f aca="false">IF(L31&gt;0,L31,0)</f>
        <v>30.6226695235694</v>
      </c>
      <c r="K31" s="53" t="n">
        <f aca="false">I31+J31</f>
        <v>863.622669523569</v>
      </c>
      <c r="L31" s="53" t="n">
        <f aca="false">F31-(I31-W31)</f>
        <v>30.6226695235694</v>
      </c>
      <c r="M31" s="53" t="n">
        <v>207</v>
      </c>
      <c r="N31" s="53" t="n">
        <f aca="false">34.5+33.59*1.05</f>
        <v>69.7695</v>
      </c>
      <c r="O31" s="53" t="n">
        <f aca="false">M31-N31</f>
        <v>137.2305</v>
      </c>
      <c r="P31" s="53" t="n">
        <v>110</v>
      </c>
      <c r="Q31" s="53" t="n">
        <v>52</v>
      </c>
      <c r="R31" s="53" t="n">
        <f aca="false">SUM(O31:Q31)</f>
        <v>299.2305</v>
      </c>
      <c r="S31" s="54" t="n">
        <f aca="false">(I31-R31)+S30</f>
        <v>27704.5189643559</v>
      </c>
      <c r="T31" s="53" t="n">
        <v>58.39</v>
      </c>
      <c r="U31" s="53" t="n">
        <v>105</v>
      </c>
      <c r="V31" s="54" t="n">
        <f aca="false">V30-U31</f>
        <v>11172</v>
      </c>
      <c r="W31" s="53" t="n">
        <f aca="false">R31+T31+N31+U31</f>
        <v>532.39</v>
      </c>
      <c r="X31" s="53" t="n">
        <f aca="false">IF(L31&lt;0,L31*-1,0)</f>
        <v>0</v>
      </c>
      <c r="Y31" s="53" t="n">
        <f aca="false">W31+X31</f>
        <v>532.39</v>
      </c>
      <c r="Z31" s="57" t="n">
        <v>0</v>
      </c>
      <c r="AA31" s="58" t="n">
        <v>83</v>
      </c>
      <c r="AB31" s="58" t="n">
        <v>52</v>
      </c>
      <c r="AC31" s="59" t="n">
        <v>22</v>
      </c>
      <c r="AD31" s="88"/>
      <c r="AE31" s="90"/>
      <c r="AF31" s="90"/>
    </row>
    <row r="32" customFormat="false" ht="11.1" hidden="false" customHeight="true" outlineLevel="0" collapsed="false">
      <c r="A32" s="59" t="n">
        <v>23</v>
      </c>
      <c r="B32" s="74" t="n">
        <v>6921.59</v>
      </c>
      <c r="C32" s="54" t="n">
        <v>370498</v>
      </c>
      <c r="D32" s="58" t="n">
        <f aca="false">C32-C31</f>
        <v>306</v>
      </c>
      <c r="E32" s="54" t="n">
        <f aca="false">C32-152000</f>
        <v>218498</v>
      </c>
      <c r="F32" s="53" t="n">
        <f aca="false">D32/$D$2</f>
        <v>154.27275018906</v>
      </c>
      <c r="G32" s="53" t="n">
        <v>679</v>
      </c>
      <c r="H32" s="55" t="n">
        <v>12</v>
      </c>
      <c r="I32" s="53" t="n">
        <f aca="false">G32+H32</f>
        <v>691</v>
      </c>
      <c r="J32" s="75" t="n">
        <f aca="false">IF(L32&gt;0,L32,0)</f>
        <v>0</v>
      </c>
      <c r="K32" s="53" t="n">
        <f aca="false">I32+J32</f>
        <v>691</v>
      </c>
      <c r="L32" s="53" t="n">
        <f aca="false">F32-(I32-W32)</f>
        <v>-81.8472498109403</v>
      </c>
      <c r="M32" s="53" t="n">
        <v>211</v>
      </c>
      <c r="N32" s="53" t="n">
        <f aca="false">30.33+30.3*1.05</f>
        <v>62.145</v>
      </c>
      <c r="O32" s="53" t="n">
        <f aca="false">M32-N32</f>
        <v>148.855</v>
      </c>
      <c r="P32" s="53" t="n">
        <v>11</v>
      </c>
      <c r="Q32" s="53" t="n">
        <v>52</v>
      </c>
      <c r="R32" s="53" t="n">
        <f aca="false">SUM(O32:Q32)</f>
        <v>211.855</v>
      </c>
      <c r="S32" s="54" t="n">
        <f aca="false">(I32-R32)+S31</f>
        <v>28183.6639643559</v>
      </c>
      <c r="T32" s="53" t="n">
        <v>75.88</v>
      </c>
      <c r="U32" s="53" t="n">
        <v>105</v>
      </c>
      <c r="V32" s="54" t="n">
        <f aca="false">V31-U32</f>
        <v>11067</v>
      </c>
      <c r="W32" s="53" t="n">
        <f aca="false">R32+T32+N32+U32</f>
        <v>454.88</v>
      </c>
      <c r="X32" s="53" t="n">
        <f aca="false">IF(L32&lt;0,L32*-1,0)</f>
        <v>81.8472498109403</v>
      </c>
      <c r="Y32" s="53" t="n">
        <f aca="false">W32+X32</f>
        <v>536.72724981094</v>
      </c>
      <c r="Z32" s="57" t="n">
        <v>0</v>
      </c>
      <c r="AA32" s="58" t="n">
        <v>88</v>
      </c>
      <c r="AB32" s="58" t="n">
        <v>53</v>
      </c>
      <c r="AC32" s="59" t="n">
        <v>23</v>
      </c>
      <c r="AD32" s="88"/>
      <c r="AE32" s="90"/>
      <c r="AF32" s="90"/>
    </row>
    <row r="33" customFormat="false" ht="11.1" hidden="false" customHeight="true" outlineLevel="0" collapsed="false">
      <c r="A33" s="59" t="n">
        <v>24</v>
      </c>
      <c r="B33" s="74" t="n">
        <v>6921.68</v>
      </c>
      <c r="C33" s="54" t="n">
        <v>370892</v>
      </c>
      <c r="D33" s="58" t="n">
        <f aca="false">C33-C32</f>
        <v>394</v>
      </c>
      <c r="E33" s="54" t="n">
        <f aca="false">C33-152000</f>
        <v>218892</v>
      </c>
      <c r="F33" s="53" t="n">
        <f aca="false">D33/$D$2</f>
        <v>198.638769851273</v>
      </c>
      <c r="G33" s="53" t="n">
        <v>723</v>
      </c>
      <c r="H33" s="55" t="n">
        <v>9.5</v>
      </c>
      <c r="I33" s="53" t="n">
        <f aca="false">G33+H33</f>
        <v>732.5</v>
      </c>
      <c r="J33" s="75" t="n">
        <f aca="false">IF(L33&gt;0,L33,0)</f>
        <v>35.348769851273</v>
      </c>
      <c r="K33" s="53" t="n">
        <f aca="false">I33+J33</f>
        <v>767.848769851273</v>
      </c>
      <c r="L33" s="53" t="n">
        <f aca="false">F33-(I33-W33)</f>
        <v>35.348769851273</v>
      </c>
      <c r="M33" s="53" t="n">
        <v>231</v>
      </c>
      <c r="N33" s="53" t="n">
        <f aca="false">34.21+33.12*1.05</f>
        <v>68.986</v>
      </c>
      <c r="O33" s="53" t="n">
        <f aca="false">M33-N33</f>
        <v>162.014</v>
      </c>
      <c r="P33" s="53" t="n">
        <v>111</v>
      </c>
      <c r="Q33" s="53" t="n">
        <v>52</v>
      </c>
      <c r="R33" s="53" t="n">
        <f aca="false">SUM(O33:Q33)</f>
        <v>325.014</v>
      </c>
      <c r="S33" s="54" t="n">
        <f aca="false">(I33-R33)+S32</f>
        <v>28591.1499643559</v>
      </c>
      <c r="T33" s="53" t="n">
        <v>69.21</v>
      </c>
      <c r="U33" s="53" t="n">
        <v>106</v>
      </c>
      <c r="V33" s="54" t="n">
        <f aca="false">V32-U33</f>
        <v>10961</v>
      </c>
      <c r="W33" s="53" t="n">
        <f aca="false">R33+T33+N33+U33</f>
        <v>569.21</v>
      </c>
      <c r="X33" s="53" t="n">
        <f aca="false">IF(L33&lt;0,L33*-1,0)</f>
        <v>0</v>
      </c>
      <c r="Y33" s="53" t="n">
        <f aca="false">W33+X33</f>
        <v>569.21</v>
      </c>
      <c r="Z33" s="57" t="n">
        <v>0.05</v>
      </c>
      <c r="AA33" s="58" t="n">
        <v>86</v>
      </c>
      <c r="AB33" s="58" t="n">
        <v>54</v>
      </c>
      <c r="AC33" s="59" t="n">
        <v>24</v>
      </c>
      <c r="AD33" s="88"/>
      <c r="AE33" s="90"/>
      <c r="AF33" s="90"/>
    </row>
    <row r="34" customFormat="false" ht="11.1" hidden="false" customHeight="true" outlineLevel="0" collapsed="false">
      <c r="A34" s="59" t="n">
        <v>25</v>
      </c>
      <c r="B34" s="74" t="n">
        <v>6921.77</v>
      </c>
      <c r="C34" s="54" t="n">
        <v>371286</v>
      </c>
      <c r="D34" s="58" t="n">
        <f aca="false">C34-C33</f>
        <v>394</v>
      </c>
      <c r="E34" s="54" t="n">
        <f aca="false">C34-152000</f>
        <v>219286</v>
      </c>
      <c r="F34" s="53" t="n">
        <f aca="false">D34/$D$2</f>
        <v>198.638769851273</v>
      </c>
      <c r="G34" s="53" t="n">
        <v>692</v>
      </c>
      <c r="H34" s="55" t="n">
        <v>8.5</v>
      </c>
      <c r="I34" s="53" t="n">
        <f aca="false">G34+H34</f>
        <v>700.5</v>
      </c>
      <c r="J34" s="75" t="n">
        <f aca="false">IF(L34&gt;0,L34,0)</f>
        <v>65.888769851273</v>
      </c>
      <c r="K34" s="53" t="n">
        <f aca="false">I34+J34</f>
        <v>766.388769851273</v>
      </c>
      <c r="L34" s="53" t="n">
        <f aca="false">F34-(I34-W34)</f>
        <v>65.888769851273</v>
      </c>
      <c r="M34" s="53" t="n">
        <v>237</v>
      </c>
      <c r="N34" s="53" t="n">
        <f aca="false">34.91+32.37*1.05</f>
        <v>68.8985</v>
      </c>
      <c r="O34" s="53" t="n">
        <f aca="false">M34-N34</f>
        <v>168.1015</v>
      </c>
      <c r="P34" s="53" t="n">
        <v>111</v>
      </c>
      <c r="Q34" s="53" t="n">
        <v>52</v>
      </c>
      <c r="R34" s="53" t="n">
        <f aca="false">SUM(O34:Q34)</f>
        <v>331.1015</v>
      </c>
      <c r="S34" s="54" t="n">
        <f aca="false">(I34-R34)+S33</f>
        <v>28960.5484643559</v>
      </c>
      <c r="T34" s="53" t="n">
        <v>61.75</v>
      </c>
      <c r="U34" s="53" t="n">
        <v>106</v>
      </c>
      <c r="V34" s="54" t="n">
        <f aca="false">V33-U34</f>
        <v>10855</v>
      </c>
      <c r="W34" s="53" t="n">
        <f aca="false">R34+T34+N34+U34</f>
        <v>567.75</v>
      </c>
      <c r="X34" s="53" t="n">
        <f aca="false">IF(L34&lt;0,L34*-1,0)</f>
        <v>0</v>
      </c>
      <c r="Y34" s="53" t="n">
        <f aca="false">W34+X34</f>
        <v>567.75</v>
      </c>
      <c r="Z34" s="57" t="n">
        <v>0</v>
      </c>
      <c r="AA34" s="58" t="n">
        <v>86</v>
      </c>
      <c r="AB34" s="58" t="n">
        <v>55</v>
      </c>
      <c r="AC34" s="59" t="n">
        <v>25</v>
      </c>
      <c r="AD34" s="88"/>
      <c r="AE34" s="90"/>
      <c r="AF34" s="90"/>
    </row>
    <row r="35" customFormat="false" ht="11.1" hidden="false" customHeight="true" outlineLevel="0" collapsed="false">
      <c r="A35" s="59" t="n">
        <v>26</v>
      </c>
      <c r="B35" s="74" t="n">
        <v>6921.81</v>
      </c>
      <c r="C35" s="54" t="n">
        <v>371462</v>
      </c>
      <c r="D35" s="58" t="n">
        <f aca="false">C35-C34</f>
        <v>176</v>
      </c>
      <c r="E35" s="54" t="n">
        <f aca="false">C35-152000</f>
        <v>219462</v>
      </c>
      <c r="F35" s="53" t="n">
        <f aca="false">D35/$D$2</f>
        <v>88.7320393244265</v>
      </c>
      <c r="G35" s="53" t="n">
        <v>657</v>
      </c>
      <c r="H35" s="55" t="n">
        <v>6.2</v>
      </c>
      <c r="I35" s="53" t="n">
        <f aca="false">G35+H35</f>
        <v>663.2</v>
      </c>
      <c r="J35" s="75" t="n">
        <f aca="false">IF(L35&gt;0,L35,0)</f>
        <v>33.3520393244264</v>
      </c>
      <c r="K35" s="53" t="n">
        <f aca="false">I35+J35</f>
        <v>696.552039324426</v>
      </c>
      <c r="L35" s="53" t="n">
        <f aca="false">F35-(I35-W35)</f>
        <v>33.3520393244264</v>
      </c>
      <c r="M35" s="53" t="n">
        <v>246</v>
      </c>
      <c r="N35" s="53" t="n">
        <f aca="false">34.3+34.65*1.05</f>
        <v>70.6825</v>
      </c>
      <c r="O35" s="53" t="n">
        <f aca="false">M35-N35</f>
        <v>175.3175</v>
      </c>
      <c r="P35" s="53" t="n">
        <v>111</v>
      </c>
      <c r="Q35" s="53" t="n">
        <v>52</v>
      </c>
      <c r="R35" s="53" t="n">
        <f aca="false">SUM(O35:Q35)</f>
        <v>338.3175</v>
      </c>
      <c r="S35" s="54" t="n">
        <f aca="false">(I35-R35)+S34</f>
        <v>29285.4309643559</v>
      </c>
      <c r="T35" s="53" t="n">
        <v>93.82</v>
      </c>
      <c r="U35" s="53" t="n">
        <v>105</v>
      </c>
      <c r="V35" s="54" t="n">
        <f aca="false">V34-U35</f>
        <v>10750</v>
      </c>
      <c r="W35" s="53" t="n">
        <f aca="false">R35+T35+N35+U35</f>
        <v>607.82</v>
      </c>
      <c r="X35" s="53" t="n">
        <f aca="false">IF(L35&lt;0,L35*-1,0)</f>
        <v>0</v>
      </c>
      <c r="Y35" s="53" t="n">
        <f aca="false">W35+X35</f>
        <v>607.82</v>
      </c>
      <c r="Z35" s="57" t="n">
        <v>0.05</v>
      </c>
      <c r="AA35" s="58" t="n">
        <v>84</v>
      </c>
      <c r="AB35" s="58" t="n">
        <v>53</v>
      </c>
      <c r="AC35" s="59" t="n">
        <v>26</v>
      </c>
      <c r="AD35" s="88"/>
      <c r="AE35" s="90"/>
      <c r="AF35" s="90"/>
    </row>
    <row r="36" customFormat="false" ht="11.1" hidden="false" customHeight="true" outlineLevel="0" collapsed="false">
      <c r="A36" s="59" t="n">
        <v>27</v>
      </c>
      <c r="B36" s="74" t="n">
        <v>6921.88</v>
      </c>
      <c r="C36" s="54" t="n">
        <v>371768</v>
      </c>
      <c r="D36" s="58" t="n">
        <f aca="false">C36-C35</f>
        <v>306</v>
      </c>
      <c r="E36" s="54" t="n">
        <f aca="false">C36-152000</f>
        <v>219768</v>
      </c>
      <c r="F36" s="53" t="n">
        <f aca="false">D36/$D$2</f>
        <v>154.27275018906</v>
      </c>
      <c r="G36" s="53" t="n">
        <v>684</v>
      </c>
      <c r="H36" s="55" t="n">
        <v>6.7</v>
      </c>
      <c r="I36" s="53" t="n">
        <f aca="false">G36+H36</f>
        <v>690.7</v>
      </c>
      <c r="J36" s="75" t="n">
        <f aca="false">IF(L36&gt;0,L36,0)</f>
        <v>44.3127501890597</v>
      </c>
      <c r="K36" s="53" t="n">
        <f aca="false">I36+J36</f>
        <v>735.01275018906</v>
      </c>
      <c r="L36" s="53" t="n">
        <f aca="false">F36-(I36-W36)</f>
        <v>44.3127501890597</v>
      </c>
      <c r="M36" s="53" t="n">
        <v>239</v>
      </c>
      <c r="N36" s="53" t="n">
        <f aca="false">34.59+34.51*1.05</f>
        <v>70.8255</v>
      </c>
      <c r="O36" s="53" t="n">
        <f aca="false">M36-N36</f>
        <v>168.1745</v>
      </c>
      <c r="P36" s="53" t="n">
        <v>111</v>
      </c>
      <c r="Q36" s="53" t="n">
        <v>52</v>
      </c>
      <c r="R36" s="53" t="n">
        <f aca="false">SUM(O36:Q36)</f>
        <v>331.1745</v>
      </c>
      <c r="S36" s="54" t="n">
        <f aca="false">(I36-R36)+S35</f>
        <v>29644.9564643559</v>
      </c>
      <c r="T36" s="53" t="n">
        <v>72.74</v>
      </c>
      <c r="U36" s="53" t="n">
        <v>106</v>
      </c>
      <c r="V36" s="54" t="n">
        <f aca="false">V35-U36</f>
        <v>10644</v>
      </c>
      <c r="W36" s="53" t="n">
        <f aca="false">R36+T36+N36+U36</f>
        <v>580.74</v>
      </c>
      <c r="X36" s="53" t="n">
        <f aca="false">IF(L36&lt;0,L36*-1,0)</f>
        <v>0</v>
      </c>
      <c r="Y36" s="53" t="n">
        <f aca="false">W36+X36</f>
        <v>580.74</v>
      </c>
      <c r="Z36" s="57" t="n">
        <v>0.14</v>
      </c>
      <c r="AA36" s="58" t="n">
        <v>80</v>
      </c>
      <c r="AB36" s="58" t="n">
        <v>56</v>
      </c>
      <c r="AC36" s="59" t="n">
        <v>27</v>
      </c>
      <c r="AD36" s="88"/>
      <c r="AE36" s="90"/>
      <c r="AF36" s="90"/>
    </row>
    <row r="37" customFormat="false" ht="11.1" hidden="false" customHeight="true" outlineLevel="0" collapsed="false">
      <c r="A37" s="134" t="n">
        <v>28</v>
      </c>
      <c r="B37" s="108" t="n">
        <v>6922.05</v>
      </c>
      <c r="C37" s="109" t="n">
        <v>372514</v>
      </c>
      <c r="D37" s="131" t="n">
        <f aca="false">C37-C36</f>
        <v>746</v>
      </c>
      <c r="E37" s="109" t="n">
        <f aca="false">C37-152000</f>
        <v>220514</v>
      </c>
      <c r="F37" s="100" t="n">
        <f aca="false">D37/$D$2</f>
        <v>376.102848500126</v>
      </c>
      <c r="G37" s="100" t="n">
        <v>908</v>
      </c>
      <c r="H37" s="99" t="n">
        <v>7.9</v>
      </c>
      <c r="I37" s="100" t="n">
        <f aca="false">G37+H37</f>
        <v>915.9</v>
      </c>
      <c r="J37" s="135" t="n">
        <f aca="false">IF(L37&gt;0,L37,0)</f>
        <v>31.272848500126</v>
      </c>
      <c r="K37" s="100" t="n">
        <f aca="false">I37+J37</f>
        <v>947.172848500126</v>
      </c>
      <c r="L37" s="100" t="n">
        <f aca="false">F37-(I37-W37)</f>
        <v>31.272848500126</v>
      </c>
      <c r="M37" s="100" t="n">
        <v>240</v>
      </c>
      <c r="N37" s="100" t="n">
        <f aca="false">28.63+29.3*1.05</f>
        <v>59.395</v>
      </c>
      <c r="O37" s="100" t="n">
        <f aca="false">M37-N37</f>
        <v>180.605</v>
      </c>
      <c r="P37" s="100" t="n">
        <v>112</v>
      </c>
      <c r="Q37" s="100" t="n">
        <v>52</v>
      </c>
      <c r="R37" s="100" t="n">
        <f aca="false">SUM(O37:Q37)</f>
        <v>344.605</v>
      </c>
      <c r="S37" s="109" t="n">
        <f aca="false">(I37-R37)+S36</f>
        <v>30216.2514643559</v>
      </c>
      <c r="T37" s="100" t="n">
        <v>60.07</v>
      </c>
      <c r="U37" s="100" t="n">
        <v>107</v>
      </c>
      <c r="V37" s="109" t="n">
        <f aca="false">V36-U37</f>
        <v>10537</v>
      </c>
      <c r="W37" s="100" t="n">
        <f aca="false">R37+T37+N37+U37</f>
        <v>571.07</v>
      </c>
      <c r="X37" s="100" t="n">
        <f aca="false">IF(L37&lt;0,L37*-1,0)</f>
        <v>0</v>
      </c>
      <c r="Y37" s="100" t="n">
        <f aca="false">W37+X37</f>
        <v>571.07</v>
      </c>
      <c r="Z37" s="93" t="n">
        <v>0</v>
      </c>
      <c r="AA37" s="131" t="n">
        <v>74</v>
      </c>
      <c r="AB37" s="131" t="n">
        <v>56</v>
      </c>
      <c r="AC37" s="134" t="n">
        <v>28</v>
      </c>
      <c r="AD37" s="88"/>
      <c r="AE37" s="90"/>
      <c r="AF37" s="90"/>
    </row>
    <row r="38" customFormat="false" ht="11.1" hidden="false" customHeight="true" outlineLevel="0" collapsed="false">
      <c r="A38" s="134" t="n">
        <v>29</v>
      </c>
      <c r="B38" s="108" t="n">
        <v>6922.2</v>
      </c>
      <c r="C38" s="109" t="n">
        <v>373177</v>
      </c>
      <c r="D38" s="131" t="n">
        <f aca="false">C38-C37</f>
        <v>663</v>
      </c>
      <c r="E38" s="109" t="n">
        <f aca="false">C38-152000</f>
        <v>221177</v>
      </c>
      <c r="F38" s="100" t="n">
        <f aca="false">D38/$D$2</f>
        <v>334.257625409629</v>
      </c>
      <c r="G38" s="100" t="n">
        <v>908</v>
      </c>
      <c r="H38" s="99" t="n">
        <v>12</v>
      </c>
      <c r="I38" s="100" t="n">
        <f aca="false">G38+H38</f>
        <v>920</v>
      </c>
      <c r="J38" s="135" t="n">
        <f aca="false">IF(L38&gt;0,L38,0)</f>
        <v>0</v>
      </c>
      <c r="K38" s="100" t="n">
        <f aca="false">I38+J38</f>
        <v>920</v>
      </c>
      <c r="L38" s="100" t="n">
        <f aca="false">F38-(I38-W38)</f>
        <v>-39.6723745903706</v>
      </c>
      <c r="M38" s="100" t="n">
        <v>225</v>
      </c>
      <c r="N38" s="100" t="n">
        <f aca="false">25.33+24.16*1.05</f>
        <v>50.698</v>
      </c>
      <c r="O38" s="100" t="n">
        <f aca="false">M38-N38</f>
        <v>174.302</v>
      </c>
      <c r="P38" s="100" t="n">
        <v>112</v>
      </c>
      <c r="Q38" s="100" t="n">
        <v>52</v>
      </c>
      <c r="R38" s="100" t="n">
        <f aca="false">SUM(O38:Q38)</f>
        <v>338.302</v>
      </c>
      <c r="S38" s="109" t="n">
        <f aca="false">(I38-R38)+S37</f>
        <v>30797.9494643559</v>
      </c>
      <c r="T38" s="100" t="n">
        <v>51.07</v>
      </c>
      <c r="U38" s="100" t="n">
        <v>106</v>
      </c>
      <c r="V38" s="109" t="n">
        <f aca="false">V37-U38</f>
        <v>10431</v>
      </c>
      <c r="W38" s="100" t="n">
        <f aca="false">R38+T38+N38+U38</f>
        <v>546.07</v>
      </c>
      <c r="X38" s="100" t="n">
        <f aca="false">IF(L38&lt;0,L38*-1,0)</f>
        <v>39.6723745903706</v>
      </c>
      <c r="Y38" s="100" t="n">
        <f aca="false">W38+X38</f>
        <v>585.742374590371</v>
      </c>
      <c r="Z38" s="93" t="n">
        <v>0</v>
      </c>
      <c r="AA38" s="131" t="n">
        <v>81</v>
      </c>
      <c r="AB38" s="131" t="n">
        <v>52</v>
      </c>
      <c r="AC38" s="134" t="n">
        <v>29</v>
      </c>
      <c r="AD38" s="88"/>
      <c r="AE38" s="90"/>
      <c r="AF38" s="90"/>
    </row>
    <row r="39" customFormat="false" ht="11.1" hidden="false" customHeight="true" outlineLevel="0" collapsed="false">
      <c r="A39" s="134" t="n">
        <v>30</v>
      </c>
      <c r="B39" s="108" t="n">
        <v>6922.27</v>
      </c>
      <c r="C39" s="109" t="n">
        <v>373486</v>
      </c>
      <c r="D39" s="131" t="n">
        <f aca="false">C39-C38</f>
        <v>309</v>
      </c>
      <c r="E39" s="109" t="n">
        <f aca="false">C39-152000</f>
        <v>221486</v>
      </c>
      <c r="F39" s="100" t="n">
        <f aca="false">D39/$D$2</f>
        <v>155.78522813209</v>
      </c>
      <c r="G39" s="100" t="n">
        <v>773</v>
      </c>
      <c r="H39" s="99" t="n">
        <v>10</v>
      </c>
      <c r="I39" s="100" t="n">
        <f aca="false">G39+H39</f>
        <v>783</v>
      </c>
      <c r="J39" s="135" t="n">
        <f aca="false">IF(L39&gt;0,L39,0)</f>
        <v>0</v>
      </c>
      <c r="K39" s="100" t="n">
        <f aca="false">I39+J39</f>
        <v>783</v>
      </c>
      <c r="L39" s="100" t="n">
        <f aca="false">F39-(I39-W39)</f>
        <v>-43.7347718679102</v>
      </c>
      <c r="M39" s="100" t="n">
        <v>233</v>
      </c>
      <c r="N39" s="100" t="n">
        <f aca="false">24.29+21.06*1.05</f>
        <v>46.403</v>
      </c>
      <c r="O39" s="100" t="n">
        <f aca="false">M39-N39</f>
        <v>186.597</v>
      </c>
      <c r="P39" s="100" t="n">
        <v>112</v>
      </c>
      <c r="Q39" s="100" t="n">
        <v>52</v>
      </c>
      <c r="R39" s="100" t="n">
        <f aca="false">SUM(O39:Q39)</f>
        <v>350.597</v>
      </c>
      <c r="S39" s="109" t="n">
        <f aca="false">(I39-R39)+S38</f>
        <v>31230.3524643559</v>
      </c>
      <c r="T39" s="100" t="n">
        <v>80.48</v>
      </c>
      <c r="U39" s="100" t="n">
        <v>106</v>
      </c>
      <c r="V39" s="109" t="n">
        <f aca="false">V38-U39</f>
        <v>10325</v>
      </c>
      <c r="W39" s="100" t="n">
        <f aca="false">R39+T39+N39+U39</f>
        <v>583.48</v>
      </c>
      <c r="X39" s="100" t="n">
        <f aca="false">IF(L39&lt;0,L39*-1,0)</f>
        <v>43.7347718679102</v>
      </c>
      <c r="Y39" s="100" t="n">
        <f aca="false">W39+X39</f>
        <v>627.21477186791</v>
      </c>
      <c r="Z39" s="93" t="n">
        <v>0</v>
      </c>
      <c r="AA39" s="131" t="n">
        <v>87</v>
      </c>
      <c r="AB39" s="131" t="n">
        <v>55</v>
      </c>
      <c r="AC39" s="134" t="n">
        <v>30</v>
      </c>
      <c r="AD39" s="88"/>
      <c r="AE39" s="90"/>
      <c r="AF39" s="90"/>
    </row>
    <row r="40" customFormat="false" ht="11.1" hidden="false" customHeight="true" outlineLevel="0" collapsed="false">
      <c r="A40" s="134" t="n">
        <v>31</v>
      </c>
      <c r="B40" s="108" t="n">
        <v>6922.35</v>
      </c>
      <c r="C40" s="109" t="n">
        <v>373839</v>
      </c>
      <c r="D40" s="131" t="n">
        <f aca="false">C40-C39</f>
        <v>353</v>
      </c>
      <c r="E40" s="109" t="n">
        <f aca="false">C40-152000</f>
        <v>221839</v>
      </c>
      <c r="F40" s="100" t="n">
        <f aca="false">D40/$D$2</f>
        <v>177.968237963196</v>
      </c>
      <c r="G40" s="100" t="n">
        <v>738</v>
      </c>
      <c r="H40" s="99" t="n">
        <v>9.7</v>
      </c>
      <c r="I40" s="100" t="n">
        <f aca="false">G40+H40</f>
        <v>747.7</v>
      </c>
      <c r="J40" s="135" t="n">
        <f aca="false">IF(L40&gt;0,L40,0)</f>
        <v>6.24823796319635</v>
      </c>
      <c r="K40" s="100" t="n">
        <f aca="false">I40+J40</f>
        <v>753.948237963196</v>
      </c>
      <c r="L40" s="100" t="n">
        <f aca="false">F40-(I40-W40)</f>
        <v>6.24823796319635</v>
      </c>
      <c r="M40" s="100" t="n">
        <v>220</v>
      </c>
      <c r="N40" s="100" t="n">
        <f aca="false">24.53+23.42*1.05</f>
        <v>49.121</v>
      </c>
      <c r="O40" s="100" t="n">
        <f aca="false">M40-N40</f>
        <v>170.879</v>
      </c>
      <c r="P40" s="100" t="n">
        <v>112</v>
      </c>
      <c r="Q40" s="100" t="n">
        <v>52</v>
      </c>
      <c r="R40" s="100" t="n">
        <f aca="false">SUM(O40:Q40)</f>
        <v>334.879</v>
      </c>
      <c r="S40" s="109" t="n">
        <f aca="false">(I40-R40)+S39</f>
        <v>31643.1734643559</v>
      </c>
      <c r="T40" s="100" t="n">
        <v>84.98</v>
      </c>
      <c r="U40" s="100" t="n">
        <v>107</v>
      </c>
      <c r="V40" s="109" t="n">
        <f aca="false">V39-U40</f>
        <v>10218</v>
      </c>
      <c r="W40" s="100" t="n">
        <f aca="false">R40+T40+N40+U40</f>
        <v>575.98</v>
      </c>
      <c r="X40" s="100" t="n">
        <f aca="false">IF(L40&lt;0,L40*-1,0)</f>
        <v>0</v>
      </c>
      <c r="Y40" s="100" t="n">
        <f aca="false">W40+X40</f>
        <v>575.98</v>
      </c>
      <c r="Z40" s="93" t="n">
        <v>0.64</v>
      </c>
      <c r="AA40" s="131" t="n">
        <v>78</v>
      </c>
      <c r="AB40" s="131" t="n">
        <v>53</v>
      </c>
      <c r="AC40" s="134" t="n">
        <v>31</v>
      </c>
      <c r="AD40" s="88"/>
      <c r="AE40" s="90"/>
      <c r="AF40" s="90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79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8"/>
      <c r="T41" s="76"/>
      <c r="U41" s="76"/>
      <c r="V41" s="76"/>
      <c r="W41" s="76"/>
      <c r="X41" s="76"/>
      <c r="Y41" s="76"/>
      <c r="Z41" s="80"/>
      <c r="AA41" s="81"/>
      <c r="AB41" s="81"/>
      <c r="AC41" s="82"/>
      <c r="AD41" s="88"/>
      <c r="AE41" s="88"/>
      <c r="AF41" s="89"/>
    </row>
    <row r="42" customFormat="false" ht="11.1" hidden="false" customHeight="true" outlineLevel="0" collapsed="false">
      <c r="A42" s="53" t="s">
        <v>45</v>
      </c>
      <c r="B42" s="53"/>
      <c r="C42" s="54"/>
      <c r="D42" s="54"/>
      <c r="E42" s="54"/>
      <c r="F42" s="54" t="n">
        <f aca="false">SUM(F10:F40)</f>
        <v>4934.71136879254</v>
      </c>
      <c r="G42" s="54" t="n">
        <f aca="false">SUM(G10:G40)</f>
        <v>20148</v>
      </c>
      <c r="H42" s="54" t="n">
        <f aca="false">SUM(H10:H40)</f>
        <v>218.1</v>
      </c>
      <c r="I42" s="54" t="n">
        <f aca="false">SUM(I10:I40)</f>
        <v>20366.1</v>
      </c>
      <c r="J42" s="54" t="n">
        <f aca="false">SUM(J10:J40)</f>
        <v>610.24963952609</v>
      </c>
      <c r="K42" s="54" t="n">
        <f aca="false">SUM(K10:K40)</f>
        <v>20976.3496395261</v>
      </c>
      <c r="L42" s="54" t="n">
        <f aca="false">SUM(L10:L40)</f>
        <v>322.361368792538</v>
      </c>
      <c r="M42" s="54" t="n">
        <f aca="false">SUM(M10:M40)</f>
        <v>5849</v>
      </c>
      <c r="N42" s="54" t="n">
        <f aca="false">SUM(N10:N40)</f>
        <v>1371.9145</v>
      </c>
      <c r="O42" s="54" t="n">
        <f aca="false">SUM(O10:O40)</f>
        <v>4477.0855</v>
      </c>
      <c r="P42" s="54" t="n">
        <f aca="false">SUM(P10:P40)</f>
        <v>3401</v>
      </c>
      <c r="Q42" s="54" t="n">
        <f aca="false">SUM(Q10:Q40)</f>
        <v>1811</v>
      </c>
      <c r="R42" s="54" t="n">
        <f aca="false">SUM(R10:R40)</f>
        <v>9689.0855</v>
      </c>
      <c r="S42" s="54"/>
      <c r="T42" s="54" t="n">
        <f aca="false">SUM(T10:T40)</f>
        <v>1555.75</v>
      </c>
      <c r="U42" s="54" t="n">
        <f aca="false">SUM(U10:U40)</f>
        <v>3137</v>
      </c>
      <c r="V42" s="54"/>
      <c r="W42" s="54" t="n">
        <f aca="false">SUM(W10:W40)</f>
        <v>15753.75</v>
      </c>
      <c r="X42" s="54" t="n">
        <f aca="false">SUM(X10:X40)</f>
        <v>287.888270733552</v>
      </c>
      <c r="Y42" s="54" t="n">
        <f aca="false">SUM(Y10:Y40)</f>
        <v>16041.6382707336</v>
      </c>
      <c r="Z42" s="57" t="n">
        <f aca="false">SUM(Z10:Z40)</f>
        <v>2.25</v>
      </c>
      <c r="AA42" s="58" t="n">
        <f aca="false">AVERAGE(AA10:AA40)</f>
        <v>81.6129032258064</v>
      </c>
      <c r="AB42" s="58" t="n">
        <f aca="false">AVERAGE(AB10:AB40)</f>
        <v>53.1612903225807</v>
      </c>
      <c r="AC42" s="59"/>
      <c r="AD42" s="88"/>
      <c r="AE42" s="88"/>
      <c r="AF42" s="89"/>
    </row>
    <row r="43" customFormat="false" ht="11.1" hidden="false" customHeight="true" outlineLevel="0" collapsed="false">
      <c r="A43" s="53" t="s">
        <v>46</v>
      </c>
      <c r="B43" s="53"/>
      <c r="C43" s="54"/>
      <c r="D43" s="54" t="n">
        <f aca="false">SUM(D10:D40)</f>
        <v>9788</v>
      </c>
      <c r="E43" s="54"/>
      <c r="F43" s="54" t="n">
        <f aca="false">F42*$D$2</f>
        <v>9788</v>
      </c>
      <c r="G43" s="54" t="n">
        <f aca="false">G42*$D$2</f>
        <v>39963.558</v>
      </c>
      <c r="H43" s="54" t="n">
        <f aca="false">H42*$D$2</f>
        <v>432.60135</v>
      </c>
      <c r="I43" s="54" t="n">
        <f aca="false">I42*$D$2</f>
        <v>40396.15935</v>
      </c>
      <c r="J43" s="54" t="n">
        <f aca="false">J42*$D$2</f>
        <v>1210.43016</v>
      </c>
      <c r="K43" s="54" t="n">
        <f aca="false">K42*$D$2</f>
        <v>41606.58951</v>
      </c>
      <c r="L43" s="54" t="n">
        <f aca="false">L42*$D$2</f>
        <v>639.403775</v>
      </c>
      <c r="M43" s="54" t="n">
        <f aca="false">M42*$D$2</f>
        <v>11601.4915</v>
      </c>
      <c r="N43" s="54" t="n">
        <f aca="false">N42*$D$2</f>
        <v>2721.19241075</v>
      </c>
      <c r="O43" s="54" t="n">
        <f aca="false">O42*$D$2</f>
        <v>8880.29908925</v>
      </c>
      <c r="P43" s="54" t="n">
        <f aca="false">P42*$D$2</f>
        <v>6745.8835</v>
      </c>
      <c r="Q43" s="54" t="n">
        <f aca="false">Q42*$D$2</f>
        <v>3592.1185</v>
      </c>
      <c r="R43" s="54" t="n">
        <f aca="false">R42*$D$2</f>
        <v>19218.30108925</v>
      </c>
      <c r="S43" s="54"/>
      <c r="T43" s="54" t="n">
        <f aca="false">T42*$D$2</f>
        <v>3085.830125</v>
      </c>
      <c r="U43" s="54" t="n">
        <f aca="false">U42*$D$2</f>
        <v>6222.2395</v>
      </c>
      <c r="V43" s="54" t="n">
        <f aca="false">V42*$D$2</f>
        <v>0</v>
      </c>
      <c r="W43" s="54" t="n">
        <f aca="false">W42*$D$2</f>
        <v>31247.563125</v>
      </c>
      <c r="X43" s="54" t="n">
        <f aca="false">X42*$D$2</f>
        <v>571.026385</v>
      </c>
      <c r="Y43" s="54" t="n">
        <f aca="false">Y42*$D$2</f>
        <v>31818.58951</v>
      </c>
      <c r="Z43" s="57"/>
      <c r="AA43" s="58" t="n">
        <f aca="false">MAX(AA10:AA40)</f>
        <v>88</v>
      </c>
      <c r="AB43" s="58" t="n">
        <f aca="false">MAX(AB10:AB40)</f>
        <v>57</v>
      </c>
      <c r="AC43" s="59" t="s">
        <v>47</v>
      </c>
      <c r="AD43" s="88"/>
      <c r="AE43" s="88"/>
      <c r="AF43" s="89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6"/>
      <c r="W44" s="78"/>
      <c r="X44" s="78"/>
      <c r="Y44" s="78"/>
      <c r="Z44" s="57"/>
      <c r="AA44" s="58"/>
      <c r="AB44" s="58"/>
      <c r="AC44" s="59"/>
      <c r="AD44" s="88"/>
      <c r="AE44" s="88"/>
      <c r="AF44" s="89"/>
    </row>
    <row r="45" customFormat="false" ht="11.1" hidden="false" customHeight="true" outlineLevel="0" collapsed="false">
      <c r="A45" s="53" t="s">
        <v>48</v>
      </c>
      <c r="B45" s="53"/>
      <c r="C45" s="54"/>
      <c r="D45" s="54"/>
      <c r="E45" s="54"/>
      <c r="F45" s="54" t="n">
        <f aca="false">F7+F42</f>
        <v>47577.5144945803</v>
      </c>
      <c r="G45" s="54" t="n">
        <f aca="false">G7+G42</f>
        <v>153701</v>
      </c>
      <c r="H45" s="54" t="n">
        <f aca="false">H7+H42</f>
        <v>4810</v>
      </c>
      <c r="I45" s="54" t="n">
        <f aca="false">I7+I42</f>
        <v>158511</v>
      </c>
      <c r="J45" s="54" t="n">
        <f aca="false">J7+J42</f>
        <v>18376.3160196622</v>
      </c>
      <c r="K45" s="54" t="n">
        <f aca="false">K7+K42</f>
        <v>176887.316019662</v>
      </c>
      <c r="L45" s="54" t="n">
        <f aca="false">L7+L42</f>
        <v>17337.2744945803</v>
      </c>
      <c r="M45" s="54" t="n">
        <f aca="false">M7+M42</f>
        <v>29106.6</v>
      </c>
      <c r="N45" s="54" t="n">
        <f aca="false">N7+N42</f>
        <v>6586.8293</v>
      </c>
      <c r="O45" s="54" t="n">
        <f aca="false">O7+O42</f>
        <v>22519.7707</v>
      </c>
      <c r="P45" s="54" t="n">
        <f aca="false">P7+P42</f>
        <v>14249</v>
      </c>
      <c r="Q45" s="54" t="n">
        <f aca="false">Q7+Q42</f>
        <v>7934.3</v>
      </c>
      <c r="R45" s="54" t="n">
        <f aca="false">R7+R42</f>
        <v>44703.0707</v>
      </c>
      <c r="S45" s="54" t="n">
        <f aca="false">S40</f>
        <v>31643.1734643559</v>
      </c>
      <c r="T45" s="54" t="n">
        <f aca="false">T7+T42</f>
        <v>15223.86</v>
      </c>
      <c r="U45" s="54" t="n">
        <f aca="false">U7+U42</f>
        <v>61757</v>
      </c>
      <c r="V45" s="54"/>
      <c r="W45" s="54" t="n">
        <f aca="false">W7+W42</f>
        <v>128270.76</v>
      </c>
      <c r="X45" s="54" t="n">
        <f aca="false">X7+X42</f>
        <v>1039.04152508193</v>
      </c>
      <c r="Y45" s="54" t="n">
        <f aca="false">Y7+Y42</f>
        <v>129309.801525082</v>
      </c>
      <c r="Z45" s="57"/>
      <c r="AA45" s="58" t="n">
        <f aca="false">MIN(AA10:AA40)</f>
        <v>73</v>
      </c>
      <c r="AB45" s="58" t="n">
        <f aca="false">MIN(AB10:AB40)</f>
        <v>45</v>
      </c>
      <c r="AC45" s="59" t="s">
        <v>49</v>
      </c>
      <c r="AD45" s="88"/>
      <c r="AE45" s="88"/>
      <c r="AF45" s="89"/>
    </row>
    <row r="46" customFormat="false" ht="11.1" hidden="false" customHeight="true" outlineLevel="0" collapsed="false">
      <c r="A46" s="53" t="s">
        <v>50</v>
      </c>
      <c r="B46" s="53"/>
      <c r="C46" s="54"/>
      <c r="D46" s="54"/>
      <c r="E46" s="54"/>
      <c r="F46" s="54" t="n">
        <f aca="false">F45*$D$2</f>
        <v>94370</v>
      </c>
      <c r="G46" s="54" t="n">
        <f aca="false">G45*$D$2</f>
        <v>304865.9335</v>
      </c>
      <c r="H46" s="54" t="n">
        <f aca="false">H45*$D$2</f>
        <v>9540.635</v>
      </c>
      <c r="I46" s="54" t="n">
        <f aca="false">I45*$D$2</f>
        <v>314406.5685</v>
      </c>
      <c r="J46" s="54" t="n">
        <f aca="false">J45*$D$2</f>
        <v>36449.422825</v>
      </c>
      <c r="K46" s="54" t="n">
        <f aca="false">K45*$D$2</f>
        <v>350855.991325</v>
      </c>
      <c r="L46" s="54" t="n">
        <f aca="false">L45*$D$2</f>
        <v>34388.48396</v>
      </c>
      <c r="M46" s="54" t="n">
        <f aca="false">M45*$D$2</f>
        <v>57732.9411</v>
      </c>
      <c r="N46" s="54" t="n">
        <f aca="false">N45*$D$2</f>
        <v>13064.97591655</v>
      </c>
      <c r="O46" s="54" t="n">
        <f aca="false">O45*$D$2</f>
        <v>44667.96518345</v>
      </c>
      <c r="P46" s="54" t="n">
        <f aca="false">P45*$D$2</f>
        <v>28262.8915</v>
      </c>
      <c r="Q46" s="54" t="n">
        <f aca="false">Q45*$D$2</f>
        <v>15737.68405</v>
      </c>
      <c r="R46" s="54" t="n">
        <f aca="false">R45*$D$2</f>
        <v>88668.54073345</v>
      </c>
      <c r="S46" s="54" t="n">
        <f aca="false">S45*$D$2</f>
        <v>62764.23456655</v>
      </c>
      <c r="T46" s="54" t="n">
        <f aca="false">T45*$D$2</f>
        <v>30196.52631</v>
      </c>
      <c r="U46" s="54" t="n">
        <f aca="false">U45*$D$2</f>
        <v>122495.0095</v>
      </c>
      <c r="V46" s="54" t="n">
        <f aca="false">V45*$D$2</f>
        <v>0</v>
      </c>
      <c r="W46" s="54" t="n">
        <f aca="false">W45*$D$2</f>
        <v>254425.05246</v>
      </c>
      <c r="X46" s="54" t="n">
        <f aca="false">X45*$D$2</f>
        <v>2060.938865</v>
      </c>
      <c r="Y46" s="54" t="n">
        <f aca="false">Y45*$D$2</f>
        <v>256485.991325</v>
      </c>
      <c r="Z46" s="57"/>
      <c r="AA46" s="58"/>
      <c r="AB46" s="58"/>
      <c r="AC46" s="59"/>
      <c r="AD46" s="88"/>
      <c r="AE46" s="88"/>
      <c r="AF46" s="89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1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80"/>
      <c r="AA47" s="58"/>
      <c r="AB47" s="58"/>
      <c r="AC47" s="59"/>
      <c r="AD47" s="88"/>
      <c r="AE47" s="88"/>
      <c r="AF47" s="89"/>
    </row>
    <row r="48" customFormat="false" ht="11.1" hidden="false" customHeight="true" outlineLevel="0" collapsed="false">
      <c r="A48" s="53" t="s">
        <v>51</v>
      </c>
      <c r="B48" s="53"/>
      <c r="C48" s="54"/>
      <c r="D48" s="54"/>
      <c r="E48" s="54"/>
      <c r="F48" s="54" t="n">
        <f aca="false">F8+F42</f>
        <v>58341.3158558104</v>
      </c>
      <c r="G48" s="54" t="n">
        <f aca="false">G8+G42</f>
        <v>168134</v>
      </c>
      <c r="H48" s="58" t="n">
        <f aca="false">H8+H42</f>
        <v>5140.3</v>
      </c>
      <c r="I48" s="54" t="n">
        <f aca="false">I8+I42</f>
        <v>173269.2</v>
      </c>
      <c r="J48" s="54" t="n">
        <f aca="false">J8+J42</f>
        <v>22626.6839551298</v>
      </c>
      <c r="K48" s="54" t="n">
        <f aca="false">K8+K42</f>
        <v>195898.588643811</v>
      </c>
      <c r="L48" s="54" t="n">
        <f aca="false">L8+L42</f>
        <v>21044.7758558104</v>
      </c>
      <c r="M48" s="54" t="n">
        <f aca="false">M8+M42</f>
        <v>30342.4</v>
      </c>
      <c r="N48" s="54" t="n">
        <f aca="false">N8+N42</f>
        <v>6662.3978</v>
      </c>
      <c r="O48" s="54" t="n">
        <f aca="false">O8+O42</f>
        <v>23394.4022</v>
      </c>
      <c r="P48" s="54" t="n">
        <f aca="false">P8+P42</f>
        <v>14249</v>
      </c>
      <c r="Q48" s="54" t="n">
        <f aca="false">Q8+Q42</f>
        <v>8064.4</v>
      </c>
      <c r="R48" s="54" t="n">
        <f aca="false">R8+R42</f>
        <v>45938.2247</v>
      </c>
      <c r="S48" s="54" t="n">
        <f aca="false">S45</f>
        <v>31643.1734643559</v>
      </c>
      <c r="T48" s="54" t="n">
        <f aca="false">T8+T42</f>
        <v>15223.86</v>
      </c>
      <c r="U48" s="54" t="n">
        <f aca="false">U8+U42</f>
        <v>68093</v>
      </c>
      <c r="V48" s="54" t="n">
        <f aca="false">V40</f>
        <v>10218</v>
      </c>
      <c r="W48" s="54" t="n">
        <f aca="false">W8+W42</f>
        <v>135972.66</v>
      </c>
      <c r="X48" s="54" t="n">
        <f aca="false">X8+X42</f>
        <v>1581.90809931939</v>
      </c>
      <c r="Y48" s="54" t="n">
        <f aca="false">Y8+Y42</f>
        <v>137554.568099319</v>
      </c>
      <c r="Z48" s="75" t="n">
        <f aca="false">Z8+Z42</f>
        <v>15.05</v>
      </c>
      <c r="AA48" s="58"/>
      <c r="AB48" s="58"/>
      <c r="AC48" s="59"/>
      <c r="AD48" s="88"/>
      <c r="AE48" s="88"/>
      <c r="AF48" s="89"/>
    </row>
    <row r="49" customFormat="false" ht="11.1" hidden="false" customHeight="true" outlineLevel="0" collapsed="false">
      <c r="A49" s="53" t="s">
        <v>52</v>
      </c>
      <c r="B49" s="53"/>
      <c r="C49" s="54"/>
      <c r="D49" s="54" t="n">
        <f aca="false">D8+D43</f>
        <v>115720</v>
      </c>
      <c r="E49" s="54" t="n">
        <f aca="false">E40</f>
        <v>221839</v>
      </c>
      <c r="F49" s="54" t="n">
        <f aca="false">F48*$D$2</f>
        <v>115720</v>
      </c>
      <c r="G49" s="54" t="n">
        <f aca="false">G48*$D$2</f>
        <v>333493.789</v>
      </c>
      <c r="H49" s="58" t="n">
        <f aca="false">H48*$D$2</f>
        <v>10195.78505</v>
      </c>
      <c r="I49" s="54" t="n">
        <f aca="false">I48*$D$2</f>
        <v>343679.4582</v>
      </c>
      <c r="J49" s="54" t="n">
        <f aca="false">J48*$D$2</f>
        <v>44880.027625</v>
      </c>
      <c r="K49" s="54" t="n">
        <f aca="false">K48*$D$2</f>
        <v>388564.850575</v>
      </c>
      <c r="L49" s="54" t="n">
        <f aca="false">L48*$D$2</f>
        <v>41742.31291</v>
      </c>
      <c r="M49" s="54" t="n">
        <f aca="false">M48*$D$2</f>
        <v>60184.1504</v>
      </c>
      <c r="N49" s="54" t="n">
        <f aca="false">N48*$D$2</f>
        <v>13214.8660363</v>
      </c>
      <c r="O49" s="54" t="n">
        <f aca="false">O48*$D$2</f>
        <v>46402.7967637</v>
      </c>
      <c r="P49" s="54" t="n">
        <f aca="false">P48*$D$2</f>
        <v>28262.8915</v>
      </c>
      <c r="Q49" s="54" t="n">
        <f aca="false">Q48*$D$2</f>
        <v>15995.7374</v>
      </c>
      <c r="R49" s="54" t="n">
        <f aca="false">R48*$D$2</f>
        <v>91118.46869245</v>
      </c>
      <c r="S49" s="54" t="n">
        <f aca="false">S48*$D$2</f>
        <v>62764.23456655</v>
      </c>
      <c r="T49" s="54" t="n">
        <f aca="false">T48*$D$2</f>
        <v>30196.52631</v>
      </c>
      <c r="U49" s="54" t="n">
        <f aca="false">U48*$D$2</f>
        <v>135062.4655</v>
      </c>
      <c r="V49" s="54" t="n">
        <f aca="false">V48*$D$2</f>
        <v>20267.403</v>
      </c>
      <c r="W49" s="54" t="n">
        <f aca="false">W48*$D$2</f>
        <v>269701.77111</v>
      </c>
      <c r="X49" s="54" t="n">
        <f aca="false">X48*$D$2</f>
        <v>3137.714715</v>
      </c>
      <c r="Y49" s="54" t="n">
        <f aca="false">Y48*$D$2</f>
        <v>272839.485825</v>
      </c>
      <c r="Z49" s="57"/>
      <c r="AA49" s="58"/>
      <c r="AB49" s="58"/>
      <c r="AC49" s="59"/>
      <c r="AD49" s="88"/>
      <c r="AE49" s="88"/>
      <c r="AF49" s="89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79"/>
      <c r="I50" s="76"/>
      <c r="J50" s="76"/>
      <c r="K50" s="136"/>
      <c r="L50" s="76"/>
      <c r="M50" s="76"/>
      <c r="N50" s="76"/>
      <c r="O50" s="76"/>
      <c r="P50" s="76"/>
      <c r="Q50" s="76"/>
      <c r="R50" s="76"/>
      <c r="S50" s="78"/>
      <c r="T50" s="76"/>
      <c r="U50" s="76"/>
      <c r="V50" s="78"/>
      <c r="W50" s="76"/>
      <c r="X50" s="76"/>
      <c r="Y50" s="76"/>
      <c r="Z50" s="57"/>
      <c r="AA50" s="58"/>
      <c r="AB50" s="58"/>
      <c r="AC50" s="59"/>
      <c r="AD50" s="88"/>
      <c r="AE50" s="88"/>
      <c r="AF50" s="89"/>
    </row>
    <row r="51" customFormat="false" ht="11.1" hidden="false" customHeight="true" outlineLevel="0" collapsed="false">
      <c r="A51" s="137" t="str">
        <f aca="false">"SEP /10"</f>
        <v>SEP /10</v>
      </c>
      <c r="B51" s="85"/>
      <c r="C51" s="54"/>
      <c r="D51" s="53"/>
      <c r="E51" s="54"/>
      <c r="F51" s="53"/>
      <c r="G51" s="53"/>
      <c r="H51" s="55"/>
      <c r="I51" s="53"/>
      <c r="J51" s="53"/>
      <c r="K51" s="138" t="n">
        <f aca="false">138.5*4</f>
        <v>554</v>
      </c>
      <c r="L51" s="53"/>
      <c r="M51" s="53"/>
      <c r="N51" s="53"/>
      <c r="O51" s="53"/>
      <c r="P51" s="53"/>
      <c r="Q51" s="53" t="s">
        <v>95</v>
      </c>
      <c r="R51" s="53"/>
      <c r="S51" s="54"/>
      <c r="T51" s="53" t="n">
        <v>55250</v>
      </c>
      <c r="U51" s="53"/>
      <c r="V51" s="54"/>
      <c r="W51" s="53"/>
      <c r="X51" s="53"/>
      <c r="Y51" s="53"/>
      <c r="Z51" s="57"/>
      <c r="AA51" s="58"/>
      <c r="AB51" s="58"/>
      <c r="AC51" s="59"/>
      <c r="AD51" s="87"/>
      <c r="AE51" s="87"/>
    </row>
    <row r="52" customFormat="false" ht="11.1" hidden="false" customHeight="true" outlineLevel="0" collapsed="false">
      <c r="A52" s="53"/>
      <c r="B52" s="74" t="n">
        <v>6900.73</v>
      </c>
      <c r="C52" s="54" t="n">
        <v>286282</v>
      </c>
      <c r="D52" s="83"/>
      <c r="E52" s="54" t="n">
        <f aca="false">C52-152000</f>
        <v>134282</v>
      </c>
      <c r="F52" s="53"/>
      <c r="G52" s="53"/>
      <c r="H52" s="83"/>
      <c r="I52" s="55"/>
      <c r="J52" s="53"/>
      <c r="K52" s="111" t="n">
        <f aca="false">K33+K34+K39+K40</f>
        <v>3071.18577766574</v>
      </c>
      <c r="L52" s="53"/>
      <c r="M52" s="53"/>
      <c r="N52" s="53"/>
      <c r="O52" s="53"/>
      <c r="P52" s="53"/>
      <c r="Q52" s="53" t="s">
        <v>96</v>
      </c>
      <c r="R52" s="53"/>
      <c r="S52" s="54"/>
      <c r="T52" s="53" t="n">
        <f aca="false">T51-T49</f>
        <v>25053.47369</v>
      </c>
      <c r="V52" s="54"/>
      <c r="W52" s="53"/>
      <c r="X52" s="53"/>
      <c r="Y52" s="53"/>
      <c r="Z52" s="57"/>
      <c r="AA52" s="58"/>
      <c r="AB52" s="58"/>
      <c r="AC52" s="59"/>
      <c r="AD52" s="87"/>
      <c r="AE52" s="87"/>
    </row>
    <row r="53" customFormat="false" ht="11.1" hidden="false" customHeight="true" outlineLevel="0" collapsed="false">
      <c r="A53" s="83" t="str">
        <f aca="false">"8/14/98 thru 9/10/1998"</f>
        <v>8/14/98 thru 9/10/1998</v>
      </c>
      <c r="B53" s="83"/>
      <c r="C53" s="54"/>
      <c r="D53" s="54"/>
      <c r="E53" s="54"/>
      <c r="F53" s="83"/>
      <c r="G53" s="83"/>
      <c r="H53" s="55"/>
      <c r="I53" s="83"/>
      <c r="J53" s="83"/>
      <c r="K53" s="47" t="n">
        <f aca="false">K51-K52</f>
        <v>-2517.18577766574</v>
      </c>
      <c r="L53" s="83"/>
      <c r="M53" s="75"/>
      <c r="N53" s="75"/>
      <c r="O53" s="75"/>
      <c r="P53" s="139"/>
      <c r="Q53" s="83" t="s">
        <v>97</v>
      </c>
      <c r="R53" s="94"/>
      <c r="S53" s="54"/>
      <c r="T53" s="58" t="n">
        <f aca="false">(2400/61)*31</f>
        <v>1219.67213114754</v>
      </c>
      <c r="V53" s="54"/>
      <c r="W53" s="83"/>
      <c r="X53" s="83"/>
      <c r="Y53" s="83"/>
      <c r="Z53" s="57"/>
      <c r="AA53" s="58"/>
      <c r="AB53" s="58"/>
      <c r="AC53" s="59"/>
      <c r="AD53" s="92"/>
      <c r="AE53" s="92"/>
    </row>
    <row r="54" customFormat="false" ht="11.1" hidden="false" customHeight="true" outlineLevel="0" collapsed="false">
      <c r="A54" s="83"/>
      <c r="B54" s="57" t="n">
        <f aca="false">B52-B23</f>
        <v>-20.1500000000005</v>
      </c>
      <c r="C54" s="54"/>
      <c r="D54" s="54" t="n">
        <f aca="false">C52-C23</f>
        <v>-81112</v>
      </c>
      <c r="E54" s="54"/>
      <c r="F54" s="83"/>
      <c r="G54" s="83"/>
      <c r="H54" s="55"/>
      <c r="I54" s="83"/>
      <c r="J54" s="83"/>
      <c r="K54" s="83"/>
      <c r="L54" s="83"/>
      <c r="M54" s="75"/>
      <c r="N54" s="75"/>
      <c r="O54" s="75"/>
      <c r="P54" s="83"/>
      <c r="Q54" s="83" t="s">
        <v>98</v>
      </c>
      <c r="R54" s="83"/>
      <c r="S54" s="54"/>
      <c r="T54" s="54" t="n">
        <f aca="false">T52-T53</f>
        <v>23833.8015588525</v>
      </c>
      <c r="V54" s="54"/>
      <c r="W54" s="83"/>
      <c r="X54" s="83"/>
      <c r="Y54" s="83"/>
      <c r="Z54" s="57"/>
      <c r="AA54" s="58"/>
      <c r="AB54" s="58"/>
      <c r="AC54" s="59"/>
      <c r="AD54" s="92"/>
      <c r="AE54" s="92"/>
    </row>
    <row r="55" customFormat="false" ht="11.1" hidden="false" customHeight="true" outlineLevel="0" collapsed="false">
      <c r="A55" s="83"/>
      <c r="B55" s="83"/>
      <c r="C55" s="54"/>
      <c r="D55" s="83"/>
      <c r="E55" s="54"/>
      <c r="F55" s="83"/>
      <c r="G55" s="86"/>
      <c r="H55" s="55"/>
      <c r="I55" s="83"/>
      <c r="J55" s="83"/>
      <c r="K55" s="83"/>
      <c r="L55" s="83"/>
      <c r="M55" s="75"/>
      <c r="N55" s="75"/>
      <c r="O55" s="75"/>
      <c r="P55" s="83"/>
      <c r="Q55" s="83" t="s">
        <v>99</v>
      </c>
      <c r="R55" s="83"/>
      <c r="S55" s="0"/>
      <c r="T55" s="54" t="n">
        <f aca="false">T54/D2</f>
        <v>12016.0330521061</v>
      </c>
      <c r="V55" s="54"/>
      <c r="W55" s="83"/>
      <c r="X55" s="83"/>
      <c r="Y55" s="83"/>
      <c r="Z55" s="57"/>
      <c r="AA55" s="58"/>
      <c r="AB55" s="58"/>
      <c r="AC55" s="59"/>
      <c r="AD55" s="92"/>
      <c r="AE55" s="92"/>
    </row>
    <row r="56" customFormat="false" ht="11.1" hidden="false" customHeight="true" outlineLevel="0" collapsed="false">
      <c r="Q56" s="140" t="s">
        <v>100</v>
      </c>
      <c r="S56" s="54" t="n">
        <v>150</v>
      </c>
      <c r="T56" s="54" t="n">
        <f aca="false">T55/S56</f>
        <v>80.1068870140407</v>
      </c>
    </row>
    <row r="57" customFormat="false" ht="11.1" hidden="false" customHeight="true" outlineLevel="0" collapsed="false">
      <c r="Q57" s="140" t="s">
        <v>100</v>
      </c>
      <c r="S57" s="54" t="n">
        <v>125</v>
      </c>
      <c r="T57" s="54" t="n">
        <f aca="false">T55/S57</f>
        <v>96.1282644168488</v>
      </c>
    </row>
    <row r="58" customFormat="false" ht="11.1" hidden="false" customHeight="true" outlineLevel="0" collapsed="false">
      <c r="S58" s="54"/>
      <c r="T58" s="54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X20" activePane="bottomRight" state="frozen"/>
      <selection pane="topLeft" activeCell="A1" activeCellId="0" sqref="A1"/>
      <selection pane="topRight" activeCell="X1" activeCellId="0" sqref="X1"/>
      <selection pane="bottomLeft" activeCell="A20" activeCellId="0" sqref="A20"/>
      <selection pane="bottomRight" activeCell="U40" activeCellId="0" sqref="U40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7.66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1" min="10" style="46" width="7.66"/>
    <col collapsed="false" customWidth="true" hidden="false" outlineLevel="0" max="12" min="12" style="46" width="6.49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7.66"/>
    <col collapsed="false" customWidth="true" hidden="false" outlineLevel="0" max="19" min="19" style="47" width="7.66"/>
    <col collapsed="false" customWidth="true" hidden="false" outlineLevel="0" max="20" min="20" style="46" width="7.66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87"/>
      <c r="AE1" s="87"/>
    </row>
    <row r="2" customFormat="false" ht="14.1" hidden="false" customHeight="true" outlineLevel="0" collapsed="false">
      <c r="A2" s="53" t="s">
        <v>1</v>
      </c>
      <c r="B2" s="53"/>
      <c r="C2" s="54"/>
      <c r="D2" s="60" t="n">
        <v>1.9835</v>
      </c>
      <c r="E2" s="54"/>
      <c r="F2" s="53"/>
      <c r="G2" s="53"/>
      <c r="H2" s="55"/>
      <c r="I2" s="53"/>
      <c r="J2" s="53"/>
      <c r="K2" s="61" t="s">
        <v>101</v>
      </c>
      <c r="L2" s="61"/>
      <c r="M2" s="61"/>
      <c r="N2" s="61"/>
      <c r="O2" s="61"/>
      <c r="P2" s="61"/>
      <c r="Q2" s="61"/>
      <c r="R2" s="61"/>
      <c r="S2" s="61"/>
      <c r="T2" s="61"/>
      <c r="U2" s="53"/>
      <c r="V2" s="54"/>
      <c r="W2" s="53"/>
      <c r="X2" s="53"/>
      <c r="Y2" s="53"/>
      <c r="Z2" s="57"/>
      <c r="AA2" s="58"/>
      <c r="AB2" s="58"/>
      <c r="AC2" s="59"/>
      <c r="AD2" s="87"/>
      <c r="AE2" s="87"/>
    </row>
    <row r="3" customFormat="false" ht="11.1" hidden="false" customHeight="true" outlineLevel="0" collapsed="false">
      <c r="A3" s="53"/>
      <c r="B3" s="53"/>
      <c r="C3" s="54"/>
      <c r="D3" s="62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87"/>
      <c r="AE3" s="87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14</v>
      </c>
      <c r="Q4" s="63" t="s">
        <v>15</v>
      </c>
      <c r="R4" s="63" t="s">
        <v>12</v>
      </c>
      <c r="S4" s="64" t="s">
        <v>16</v>
      </c>
      <c r="T4" s="63" t="s">
        <v>17</v>
      </c>
      <c r="U4" s="63" t="s">
        <v>18</v>
      </c>
      <c r="V4" s="64" t="s">
        <v>19</v>
      </c>
      <c r="W4" s="63" t="s">
        <v>10</v>
      </c>
      <c r="X4" s="63" t="s">
        <v>11</v>
      </c>
      <c r="Y4" s="63" t="s">
        <v>12</v>
      </c>
      <c r="Z4" s="66" t="s">
        <v>20</v>
      </c>
      <c r="AA4" s="67" t="s">
        <v>21</v>
      </c>
      <c r="AB4" s="67" t="s">
        <v>22</v>
      </c>
      <c r="AC4" s="67" t="s">
        <v>3</v>
      </c>
      <c r="AD4" s="87"/>
      <c r="AE4" s="87"/>
    </row>
    <row r="5" customFormat="false" ht="11.1" hidden="false" customHeight="true" outlineLevel="0" collapsed="false">
      <c r="A5" s="68" t="s">
        <v>102</v>
      </c>
      <c r="B5" s="63" t="s">
        <v>24</v>
      </c>
      <c r="C5" s="64" t="s">
        <v>5</v>
      </c>
      <c r="D5" s="63" t="s">
        <v>25</v>
      </c>
      <c r="E5" s="64" t="s">
        <v>26</v>
      </c>
      <c r="F5" s="63" t="s">
        <v>27</v>
      </c>
      <c r="G5" s="63" t="s">
        <v>28</v>
      </c>
      <c r="H5" s="65" t="s">
        <v>29</v>
      </c>
      <c r="I5" s="63" t="s">
        <v>30</v>
      </c>
      <c r="J5" s="63" t="s">
        <v>30</v>
      </c>
      <c r="K5" s="63" t="s">
        <v>30</v>
      </c>
      <c r="L5" s="63" t="s">
        <v>31</v>
      </c>
      <c r="M5" s="63" t="s">
        <v>32</v>
      </c>
      <c r="N5" s="63" t="s">
        <v>33</v>
      </c>
      <c r="O5" s="63" t="s">
        <v>34</v>
      </c>
      <c r="P5" s="63" t="s">
        <v>35</v>
      </c>
      <c r="Q5" s="63" t="s">
        <v>36</v>
      </c>
      <c r="R5" s="63" t="s">
        <v>16</v>
      </c>
      <c r="S5" s="64" t="s">
        <v>37</v>
      </c>
      <c r="T5" s="63" t="s">
        <v>38</v>
      </c>
      <c r="U5" s="63" t="s">
        <v>39</v>
      </c>
      <c r="V5" s="64" t="s">
        <v>40</v>
      </c>
      <c r="W5" s="63" t="s">
        <v>41</v>
      </c>
      <c r="X5" s="63" t="s">
        <v>41</v>
      </c>
      <c r="Y5" s="63" t="s">
        <v>41</v>
      </c>
      <c r="Z5" s="69"/>
      <c r="AA5" s="67" t="s">
        <v>42</v>
      </c>
      <c r="AB5" s="67" t="s">
        <v>42</v>
      </c>
      <c r="AC5" s="70" t="s">
        <v>102</v>
      </c>
      <c r="AD5" s="87"/>
      <c r="AE5" s="87"/>
      <c r="AG5" s="141" t="s">
        <v>103</v>
      </c>
      <c r="AH5" s="141"/>
    </row>
    <row r="6" customFormat="false" ht="11.1" hidden="false" customHeight="true" outlineLevel="0" collapsed="false">
      <c r="A6" s="71"/>
      <c r="B6" s="71"/>
      <c r="C6" s="14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  <c r="AD6" s="88"/>
      <c r="AE6" s="88"/>
      <c r="AF6" s="89"/>
      <c r="AG6" s="133"/>
      <c r="AH6" s="133"/>
    </row>
    <row r="7" customFormat="false" ht="11.1" hidden="false" customHeight="true" outlineLevel="0" collapsed="false">
      <c r="A7" s="53" t="s">
        <v>43</v>
      </c>
      <c r="B7" s="53"/>
      <c r="C7" s="143"/>
      <c r="D7" s="54"/>
      <c r="E7" s="54"/>
      <c r="F7" s="54" t="n">
        <f aca="false" t="array" ref="F7:Y7">AUG!$F$45:$Y$45</f>
        <v>47577.5144945803</v>
      </c>
      <c r="G7" s="54" t="n">
        <v>153701</v>
      </c>
      <c r="H7" s="54" t="n">
        <v>4810</v>
      </c>
      <c r="I7" s="54" t="n">
        <v>158511</v>
      </c>
      <c r="J7" s="54" t="n">
        <v>18376.3160196622</v>
      </c>
      <c r="K7" s="54" t="n">
        <v>176887.316019662</v>
      </c>
      <c r="L7" s="54" t="n">
        <v>17337.2744945803</v>
      </c>
      <c r="M7" s="54" t="n">
        <v>29106.6</v>
      </c>
      <c r="N7" s="54" t="n">
        <v>6586.8293</v>
      </c>
      <c r="O7" s="54" t="n">
        <v>22519.7707</v>
      </c>
      <c r="P7" s="54" t="n">
        <v>14249</v>
      </c>
      <c r="Q7" s="54" t="n">
        <v>7934.3</v>
      </c>
      <c r="R7" s="54" t="n">
        <v>44703.0707</v>
      </c>
      <c r="S7" s="54" t="n">
        <v>31643.1734643559</v>
      </c>
      <c r="T7" s="54" t="n">
        <v>15223.86</v>
      </c>
      <c r="U7" s="54" t="n">
        <v>61757</v>
      </c>
      <c r="V7" s="54" t="n">
        <v>0</v>
      </c>
      <c r="W7" s="54" t="n">
        <v>128270.76</v>
      </c>
      <c r="X7" s="54" t="n">
        <v>1039.04152508193</v>
      </c>
      <c r="Y7" s="54" t="n">
        <v>129309.801525082</v>
      </c>
      <c r="Z7" s="57"/>
      <c r="AA7" s="58"/>
      <c r="AB7" s="58"/>
      <c r="AC7" s="59"/>
      <c r="AD7" s="88"/>
      <c r="AE7" s="89"/>
      <c r="AF7" s="89"/>
    </row>
    <row r="8" s="47" customFormat="true" ht="11.1" hidden="false" customHeight="true" outlineLevel="0" collapsed="false">
      <c r="A8" s="54" t="s">
        <v>44</v>
      </c>
      <c r="B8" s="74" t="n">
        <f aca="false" t="array" ref="B8:C8">AUG!$B$40:$C$40</f>
        <v>6922.35</v>
      </c>
      <c r="C8" s="54" t="n">
        <v>373839</v>
      </c>
      <c r="D8" s="54" t="n">
        <f aca="false" t="array" ref="D8:E8">AUG!$D$49:$E$49</f>
        <v>115720</v>
      </c>
      <c r="E8" s="54" t="n">
        <v>221839</v>
      </c>
      <c r="F8" s="54" t="n">
        <f aca="false" t="array" ref="F8:Z8">AUG!$F$48:$Z$48</f>
        <v>58341.3158558104</v>
      </c>
      <c r="G8" s="54" t="n">
        <v>168134</v>
      </c>
      <c r="H8" s="54" t="n">
        <v>5140.3</v>
      </c>
      <c r="I8" s="54" t="n">
        <v>173269.2</v>
      </c>
      <c r="J8" s="54" t="n">
        <v>22626.6839551298</v>
      </c>
      <c r="K8" s="54" t="n">
        <v>195898.588643811</v>
      </c>
      <c r="L8" s="54" t="n">
        <v>21044.7758558104</v>
      </c>
      <c r="M8" s="54" t="n">
        <v>30342.4</v>
      </c>
      <c r="N8" s="54" t="n">
        <v>6662.3978</v>
      </c>
      <c r="O8" s="54" t="n">
        <v>23394.4022</v>
      </c>
      <c r="P8" s="54" t="n">
        <v>14249</v>
      </c>
      <c r="Q8" s="54" t="n">
        <v>8064.4</v>
      </c>
      <c r="R8" s="54" t="n">
        <v>45938.2247</v>
      </c>
      <c r="S8" s="54" t="n">
        <v>31643.1734643559</v>
      </c>
      <c r="T8" s="54" t="n">
        <v>15223.86</v>
      </c>
      <c r="U8" s="54" t="n">
        <v>68093</v>
      </c>
      <c r="V8" s="54" t="n">
        <v>10218</v>
      </c>
      <c r="W8" s="54" t="n">
        <v>135972.66</v>
      </c>
      <c r="X8" s="54" t="n">
        <v>1581.90809931939</v>
      </c>
      <c r="Y8" s="54" t="n">
        <v>137554.568099319</v>
      </c>
      <c r="Z8" s="75" t="n">
        <v>15.05</v>
      </c>
      <c r="AA8" s="58"/>
      <c r="AB8" s="58"/>
      <c r="AC8" s="59"/>
      <c r="AD8" s="88"/>
      <c r="AE8" s="88"/>
      <c r="AF8" s="90"/>
      <c r="AG8" s="46"/>
      <c r="AH8" s="4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79"/>
      <c r="I9" s="76"/>
      <c r="J9" s="76"/>
      <c r="K9" s="76"/>
      <c r="L9" s="76"/>
      <c r="M9" s="76"/>
      <c r="N9" s="76"/>
      <c r="O9" s="76"/>
      <c r="P9" s="76"/>
      <c r="Q9" s="76"/>
      <c r="R9" s="76"/>
      <c r="S9" s="78"/>
      <c r="T9" s="76"/>
      <c r="U9" s="76"/>
      <c r="V9" s="78"/>
      <c r="W9" s="76"/>
      <c r="X9" s="76"/>
      <c r="Y9" s="76"/>
      <c r="Z9" s="80"/>
      <c r="AA9" s="81" t="n">
        <v>0</v>
      </c>
      <c r="AB9" s="81"/>
      <c r="AC9" s="82"/>
      <c r="AD9" s="88"/>
      <c r="AE9" s="88"/>
      <c r="AF9" s="89"/>
    </row>
    <row r="10" customFormat="false" ht="11.1" hidden="false" customHeight="true" outlineLevel="0" collapsed="false">
      <c r="A10" s="59" t="n">
        <v>1</v>
      </c>
      <c r="B10" s="74" t="n">
        <v>6922.54</v>
      </c>
      <c r="C10" s="54" t="n">
        <v>374678</v>
      </c>
      <c r="D10" s="58" t="n">
        <f aca="false">C10-C8</f>
        <v>839</v>
      </c>
      <c r="E10" s="54" t="n">
        <f aca="false">C10-151978</f>
        <v>222700</v>
      </c>
      <c r="F10" s="53" t="n">
        <f aca="false">D10/$D$2</f>
        <v>422.989664734056</v>
      </c>
      <c r="G10" s="53" t="n">
        <v>815</v>
      </c>
      <c r="H10" s="55" t="n">
        <v>15</v>
      </c>
      <c r="I10" s="53" t="n">
        <f aca="false">G10+H10</f>
        <v>830</v>
      </c>
      <c r="J10" s="75" t="n">
        <f aca="false">IF(L10&gt;0,L10,0)</f>
        <v>143.219664734056</v>
      </c>
      <c r="K10" s="53" t="n">
        <f aca="false">I10+J10</f>
        <v>973.219664734056</v>
      </c>
      <c r="L10" s="53" t="n">
        <f aca="false">F10-(I10-W10)</f>
        <v>143.219664734056</v>
      </c>
      <c r="M10" s="53" t="n">
        <v>216</v>
      </c>
      <c r="N10" s="53" t="n">
        <f aca="false">26.02+26.08*1.05</f>
        <v>53.404</v>
      </c>
      <c r="O10" s="53" t="n">
        <f aca="false">M10-N10</f>
        <v>162.596</v>
      </c>
      <c r="P10" s="53" t="n">
        <v>112</v>
      </c>
      <c r="Q10" s="53" t="n">
        <v>52</v>
      </c>
      <c r="R10" s="53" t="n">
        <f aca="false">SUM(O10:Q10)</f>
        <v>326.596</v>
      </c>
      <c r="S10" s="54" t="n">
        <f aca="false">(I10-R10)+S7</f>
        <v>32146.5774643559</v>
      </c>
      <c r="T10" s="53" t="n">
        <v>63.23</v>
      </c>
      <c r="U10" s="53" t="n">
        <v>107</v>
      </c>
      <c r="V10" s="54" t="n">
        <f aca="false">V8-U10</f>
        <v>10111</v>
      </c>
      <c r="W10" s="53" t="n">
        <f aca="false">R10+T10+N10+U10</f>
        <v>550.23</v>
      </c>
      <c r="X10" s="53" t="n">
        <f aca="false">IF(L10&lt;0,L10*-1,0)</f>
        <v>0</v>
      </c>
      <c r="Y10" s="53" t="n">
        <f aca="false">W10+X10</f>
        <v>550.23</v>
      </c>
      <c r="Z10" s="57" t="n">
        <v>0.47</v>
      </c>
      <c r="AA10" s="58" t="n">
        <v>64</v>
      </c>
      <c r="AB10" s="58" t="n">
        <v>52</v>
      </c>
      <c r="AC10" s="59" t="n">
        <v>1</v>
      </c>
      <c r="AD10" s="89" t="n">
        <f aca="false">S10*D2</f>
        <v>63762.73640055</v>
      </c>
      <c r="AE10" s="90"/>
      <c r="AF10" s="90"/>
    </row>
    <row r="11" customFormat="false" ht="11.1" hidden="false" customHeight="true" outlineLevel="0" collapsed="false">
      <c r="A11" s="59" t="n">
        <v>2</v>
      </c>
      <c r="B11" s="74" t="n">
        <v>6922.73</v>
      </c>
      <c r="C11" s="54" t="n">
        <v>375517</v>
      </c>
      <c r="D11" s="58" t="n">
        <f aca="false">C11-C10</f>
        <v>839</v>
      </c>
      <c r="E11" s="54" t="n">
        <f aca="false">C11-151978</f>
        <v>223539</v>
      </c>
      <c r="F11" s="53" t="n">
        <f aca="false">D11/$D$2</f>
        <v>422.989664734056</v>
      </c>
      <c r="G11" s="53" t="n">
        <v>787</v>
      </c>
      <c r="H11" s="55" t="n">
        <v>16</v>
      </c>
      <c r="I11" s="53" t="n">
        <f aca="false">G11+H11</f>
        <v>803</v>
      </c>
      <c r="J11" s="75" t="n">
        <f aca="false">IF(L11&gt;0,L11,0)</f>
        <v>119.729664734056</v>
      </c>
      <c r="K11" s="53" t="n">
        <f aca="false">I11+J11</f>
        <v>922.729664734056</v>
      </c>
      <c r="L11" s="53" t="n">
        <f aca="false">F11-(I11-W11)</f>
        <v>119.729664734056</v>
      </c>
      <c r="M11" s="53" t="n">
        <v>187</v>
      </c>
      <c r="N11" s="53" t="n">
        <f aca="false">23.04+21.22*1.05</f>
        <v>45.321</v>
      </c>
      <c r="O11" s="53" t="n">
        <f aca="false">M11-N11</f>
        <v>141.679</v>
      </c>
      <c r="P11" s="53" t="n">
        <v>113</v>
      </c>
      <c r="Q11" s="53" t="n">
        <v>49</v>
      </c>
      <c r="R11" s="53" t="n">
        <f aca="false">SUM(O11:Q11)</f>
        <v>303.679</v>
      </c>
      <c r="S11" s="54" t="n">
        <f aca="false">(I11-R11)+S10</f>
        <v>32645.8984643559</v>
      </c>
      <c r="T11" s="53" t="n">
        <v>43.74</v>
      </c>
      <c r="U11" s="53" t="n">
        <v>107</v>
      </c>
      <c r="V11" s="54" t="n">
        <f aca="false">V10-U11</f>
        <v>10004</v>
      </c>
      <c r="W11" s="53" t="n">
        <f aca="false">R11+T11+N11+U11</f>
        <v>499.74</v>
      </c>
      <c r="X11" s="53" t="n">
        <f aca="false">IF(L11&lt;0,L11*-1,0)</f>
        <v>0</v>
      </c>
      <c r="Y11" s="53" t="n">
        <f aca="false">W11+X11</f>
        <v>499.74</v>
      </c>
      <c r="Z11" s="57" t="n">
        <v>0.51</v>
      </c>
      <c r="AA11" s="58" t="n">
        <v>72</v>
      </c>
      <c r="AB11" s="58" t="n">
        <v>51</v>
      </c>
      <c r="AC11" s="59" t="n">
        <v>2</v>
      </c>
      <c r="AD11" s="89"/>
      <c r="AE11" s="90"/>
      <c r="AF11" s="90"/>
    </row>
    <row r="12" customFormat="false" ht="11.1" hidden="false" customHeight="true" outlineLevel="0" collapsed="false">
      <c r="A12" s="59" t="n">
        <v>3</v>
      </c>
      <c r="B12" s="74" t="n">
        <v>6922.95</v>
      </c>
      <c r="C12" s="54" t="n">
        <v>376488</v>
      </c>
      <c r="D12" s="58" t="n">
        <f aca="false">C12-C11</f>
        <v>971</v>
      </c>
      <c r="E12" s="54" t="n">
        <f aca="false">C12-151978</f>
        <v>224510</v>
      </c>
      <c r="F12" s="53" t="n">
        <f aca="false">D12/$D$2</f>
        <v>489.538694227376</v>
      </c>
      <c r="G12" s="53" t="n">
        <v>906</v>
      </c>
      <c r="H12" s="55" t="n">
        <v>19</v>
      </c>
      <c r="I12" s="53" t="n">
        <f aca="false">G12+H12</f>
        <v>925</v>
      </c>
      <c r="J12" s="75" t="n">
        <f aca="false">IF(L12&gt;0,L12,0)</f>
        <v>54.2486942273758</v>
      </c>
      <c r="K12" s="53" t="n">
        <f aca="false">I12+J12</f>
        <v>979.248694227376</v>
      </c>
      <c r="L12" s="53" t="n">
        <f aca="false">F12-(I12-W12)</f>
        <v>54.2486942273758</v>
      </c>
      <c r="M12" s="53" t="n">
        <v>170</v>
      </c>
      <c r="N12" s="53" t="n">
        <f aca="false">21.74+19.51*1.05</f>
        <v>42.2255</v>
      </c>
      <c r="O12" s="53" t="n">
        <f aca="false">M12-N12</f>
        <v>127.7745</v>
      </c>
      <c r="P12" s="53" t="n">
        <v>105</v>
      </c>
      <c r="Q12" s="53" t="n">
        <v>48</v>
      </c>
      <c r="R12" s="53" t="n">
        <f aca="false">SUM(O12:Q12)</f>
        <v>280.7745</v>
      </c>
      <c r="S12" s="54" t="n">
        <f aca="false">(I12-R12)+S11</f>
        <v>33290.1239643559</v>
      </c>
      <c r="T12" s="53" t="n">
        <v>49.71</v>
      </c>
      <c r="U12" s="53" t="n">
        <v>117</v>
      </c>
      <c r="V12" s="54" t="n">
        <f aca="false">V11-U12</f>
        <v>9887</v>
      </c>
      <c r="W12" s="53" t="n">
        <f aca="false">R12+T12+N12+U12</f>
        <v>489.71</v>
      </c>
      <c r="X12" s="53" t="n">
        <f aca="false">IF(L12&lt;0,L12*-1,0)</f>
        <v>0</v>
      </c>
      <c r="Y12" s="53" t="n">
        <f aca="false">W12+X12</f>
        <v>489.71</v>
      </c>
      <c r="Z12" s="57" t="n">
        <v>0</v>
      </c>
      <c r="AA12" s="58" t="n">
        <v>75</v>
      </c>
      <c r="AB12" s="58" t="n">
        <v>50</v>
      </c>
      <c r="AC12" s="59" t="n">
        <v>3</v>
      </c>
      <c r="AD12" s="89"/>
      <c r="AE12" s="90"/>
      <c r="AF12" s="90"/>
    </row>
    <row r="13" customFormat="false" ht="11.1" hidden="false" customHeight="true" outlineLevel="0" collapsed="false">
      <c r="A13" s="59" t="n">
        <v>4</v>
      </c>
      <c r="B13" s="74" t="n">
        <v>6923.09</v>
      </c>
      <c r="C13" s="54" t="n">
        <v>377109</v>
      </c>
      <c r="D13" s="58" t="n">
        <f aca="false">C13-C12</f>
        <v>621</v>
      </c>
      <c r="E13" s="54" t="n">
        <f aca="false">C13-151978</f>
        <v>225131</v>
      </c>
      <c r="F13" s="53" t="n">
        <f aca="false">D13/$D$2</f>
        <v>313.082934207209</v>
      </c>
      <c r="G13" s="53" t="n">
        <v>779</v>
      </c>
      <c r="H13" s="55" t="n">
        <v>18</v>
      </c>
      <c r="I13" s="53" t="n">
        <f aca="false">G13+H13</f>
        <v>797</v>
      </c>
      <c r="J13" s="75" t="n">
        <f aca="false">IF(L13&gt;0,L13,0)</f>
        <v>48.7529342072095</v>
      </c>
      <c r="K13" s="53" t="n">
        <f aca="false">I13+J13</f>
        <v>845.75293420721</v>
      </c>
      <c r="L13" s="53" t="n">
        <f aca="false">F13-(I13-W13)</f>
        <v>48.7529342072095</v>
      </c>
      <c r="M13" s="53" t="n">
        <v>167</v>
      </c>
      <c r="N13" s="53" t="n">
        <f aca="false">14.55+14.57*1.05</f>
        <v>29.8485</v>
      </c>
      <c r="O13" s="53" t="n">
        <f aca="false">M13-N13</f>
        <v>137.1515</v>
      </c>
      <c r="P13" s="53" t="n">
        <v>95</v>
      </c>
      <c r="Q13" s="53" t="n">
        <v>48</v>
      </c>
      <c r="R13" s="53" t="n">
        <f aca="false">SUM(O13:Q13)</f>
        <v>280.1515</v>
      </c>
      <c r="S13" s="54" t="n">
        <f aca="false">(I13-R13)+S12</f>
        <v>33806.9724643559</v>
      </c>
      <c r="T13" s="53" t="n">
        <v>69.67</v>
      </c>
      <c r="U13" s="53" t="n">
        <v>153</v>
      </c>
      <c r="V13" s="54" t="n">
        <f aca="false">V12-U13</f>
        <v>9734</v>
      </c>
      <c r="W13" s="53" t="n">
        <f aca="false">R13+T13+N13+U13</f>
        <v>532.67</v>
      </c>
      <c r="X13" s="53" t="n">
        <f aca="false">IF(L13&lt;0,L13*-1,0)</f>
        <v>0</v>
      </c>
      <c r="Y13" s="53" t="n">
        <f aca="false">W13+X13</f>
        <v>532.67</v>
      </c>
      <c r="Z13" s="57" t="n">
        <v>0</v>
      </c>
      <c r="AA13" s="58" t="n">
        <v>75</v>
      </c>
      <c r="AB13" s="58" t="n">
        <v>42</v>
      </c>
      <c r="AC13" s="59" t="n">
        <v>4</v>
      </c>
      <c r="AD13" s="89"/>
      <c r="AE13" s="90"/>
      <c r="AF13" s="90"/>
    </row>
    <row r="14" customFormat="false" ht="11.1" hidden="false" customHeight="true" outlineLevel="0" collapsed="false">
      <c r="A14" s="59" t="n">
        <v>5</v>
      </c>
      <c r="B14" s="74" t="n">
        <v>6923.17</v>
      </c>
      <c r="C14" s="54" t="n">
        <v>377465</v>
      </c>
      <c r="D14" s="58" t="n">
        <f aca="false">C14-C13</f>
        <v>356</v>
      </c>
      <c r="E14" s="54" t="n">
        <f aca="false">C14-151978</f>
        <v>225487</v>
      </c>
      <c r="F14" s="53" t="n">
        <f aca="false">D14/$D$2</f>
        <v>179.480715906226</v>
      </c>
      <c r="G14" s="53" t="n">
        <v>653</v>
      </c>
      <c r="H14" s="55" t="n">
        <v>13</v>
      </c>
      <c r="I14" s="53" t="n">
        <f aca="false">G14+H14</f>
        <v>666</v>
      </c>
      <c r="J14" s="75" t="n">
        <f aca="false">IF(L14&gt;0,L14,0)</f>
        <v>27.4207159062264</v>
      </c>
      <c r="K14" s="53" t="n">
        <f aca="false">I14+J14</f>
        <v>693.420715906226</v>
      </c>
      <c r="L14" s="53" t="n">
        <f aca="false">F14-(I14-W14)</f>
        <v>27.4207159062264</v>
      </c>
      <c r="M14" s="53" t="n">
        <v>156</v>
      </c>
      <c r="N14" s="53" t="n">
        <f aca="false">12.76+13.21*1.05</f>
        <v>26.6305</v>
      </c>
      <c r="O14" s="53" t="n">
        <f aca="false">M14-N14</f>
        <v>129.3695</v>
      </c>
      <c r="P14" s="53" t="n">
        <v>98</v>
      </c>
      <c r="Q14" s="53" t="n">
        <v>48</v>
      </c>
      <c r="R14" s="53" t="n">
        <f aca="false">SUM(O14:Q14)</f>
        <v>275.3695</v>
      </c>
      <c r="S14" s="54" t="n">
        <f aca="false">(I14-R14)+S13</f>
        <v>34197.6029643559</v>
      </c>
      <c r="T14" s="53" t="n">
        <v>54.94</v>
      </c>
      <c r="U14" s="53" t="n">
        <v>157</v>
      </c>
      <c r="V14" s="54" t="n">
        <f aca="false">V13-U14</f>
        <v>9577</v>
      </c>
      <c r="W14" s="53" t="n">
        <f aca="false">R14+T14+N14+U14</f>
        <v>513.94</v>
      </c>
      <c r="X14" s="53" t="n">
        <f aca="false">IF(L14&lt;0,L14*-1,0)</f>
        <v>0</v>
      </c>
      <c r="Y14" s="53" t="n">
        <f aca="false">W14+X14</f>
        <v>513.94</v>
      </c>
      <c r="Z14" s="57" t="n">
        <v>0</v>
      </c>
      <c r="AA14" s="58" t="n">
        <v>80</v>
      </c>
      <c r="AB14" s="58" t="n">
        <v>43</v>
      </c>
      <c r="AC14" s="59" t="n">
        <v>5</v>
      </c>
      <c r="AD14" s="89"/>
      <c r="AE14" s="90"/>
      <c r="AF14" s="90"/>
    </row>
    <row r="15" customFormat="false" ht="11.1" hidden="false" customHeight="true" outlineLevel="0" collapsed="false">
      <c r="A15" s="59" t="n">
        <v>6</v>
      </c>
      <c r="B15" s="74" t="n">
        <v>6923.19</v>
      </c>
      <c r="C15" s="54" t="n">
        <v>377554</v>
      </c>
      <c r="D15" s="58" t="n">
        <f aca="false">C15-C14</f>
        <v>89</v>
      </c>
      <c r="E15" s="54" t="n">
        <f aca="false">C15-151978</f>
        <v>225576</v>
      </c>
      <c r="F15" s="53" t="n">
        <f aca="false">D15/$D$2</f>
        <v>44.8701789765566</v>
      </c>
      <c r="G15" s="53" t="n">
        <v>581</v>
      </c>
      <c r="H15" s="55" t="n">
        <v>9.9</v>
      </c>
      <c r="I15" s="53" t="n">
        <f aca="false">G15+H15</f>
        <v>590.9</v>
      </c>
      <c r="J15" s="75" t="n">
        <f aca="false">IF(L15&gt;0,L15,0)</f>
        <v>34.0101789765566</v>
      </c>
      <c r="K15" s="53" t="n">
        <f aca="false">I15+J15</f>
        <v>624.910178976557</v>
      </c>
      <c r="L15" s="53" t="n">
        <f aca="false">F15-(I15-W15)</f>
        <v>34.0101789765566</v>
      </c>
      <c r="M15" s="53" t="n">
        <v>165</v>
      </c>
      <c r="N15" s="53" t="n">
        <f aca="false">11.62+12.84*1.05</f>
        <v>25.102</v>
      </c>
      <c r="O15" s="53" t="n">
        <f aca="false">M15-N15</f>
        <v>139.898</v>
      </c>
      <c r="P15" s="53" t="n">
        <v>92</v>
      </c>
      <c r="Q15" s="53" t="n">
        <v>48</v>
      </c>
      <c r="R15" s="53" t="n">
        <f aca="false">SUM(O15:Q15)</f>
        <v>279.898</v>
      </c>
      <c r="S15" s="54" t="n">
        <f aca="false">(I15-R15)+S14</f>
        <v>34508.6049643559</v>
      </c>
      <c r="T15" s="53" t="n">
        <v>89.04</v>
      </c>
      <c r="U15" s="53" t="n">
        <v>186</v>
      </c>
      <c r="V15" s="54" t="n">
        <f aca="false">V14-U15</f>
        <v>9391</v>
      </c>
      <c r="W15" s="53" t="n">
        <f aca="false">R15+T15+N15+U15</f>
        <v>580.04</v>
      </c>
      <c r="X15" s="53" t="n">
        <f aca="false">IF(L15&lt;0,L15*-1,0)</f>
        <v>0</v>
      </c>
      <c r="Y15" s="53" t="n">
        <f aca="false">W15+X15</f>
        <v>580.04</v>
      </c>
      <c r="Z15" s="57" t="n">
        <v>0</v>
      </c>
      <c r="AA15" s="58" t="n">
        <v>82</v>
      </c>
      <c r="AB15" s="58" t="n">
        <v>50</v>
      </c>
      <c r="AC15" s="59" t="n">
        <v>6</v>
      </c>
      <c r="AD15" s="89"/>
      <c r="AE15" s="90"/>
      <c r="AF15" s="90"/>
    </row>
    <row r="16" customFormat="false" ht="11.1" hidden="false" customHeight="true" outlineLevel="0" collapsed="false">
      <c r="A16" s="59" t="n">
        <v>7</v>
      </c>
      <c r="B16" s="74" t="n">
        <v>6922.99</v>
      </c>
      <c r="C16" s="54" t="n">
        <v>376665</v>
      </c>
      <c r="D16" s="58" t="n">
        <f aca="false">C16-C15</f>
        <v>-889</v>
      </c>
      <c r="E16" s="54" t="n">
        <f aca="false">C16-151978</f>
        <v>224687</v>
      </c>
      <c r="F16" s="53" t="n">
        <f aca="false">D16/$D$2</f>
        <v>-448.197630451223</v>
      </c>
      <c r="G16" s="53" t="n">
        <v>521</v>
      </c>
      <c r="H16" s="55" t="n">
        <v>8.2</v>
      </c>
      <c r="I16" s="53" t="n">
        <f aca="false">G16+H16</f>
        <v>529.2</v>
      </c>
      <c r="J16" s="75" t="n">
        <f aca="false">IF(L16&gt;0,L16,0)</f>
        <v>49.6523695487774</v>
      </c>
      <c r="K16" s="53" t="n">
        <f aca="false">I16+J16</f>
        <v>578.852369548777</v>
      </c>
      <c r="L16" s="53" t="n">
        <f aca="false">F16-(I16-W16)</f>
        <v>49.6523695487774</v>
      </c>
      <c r="M16" s="53" t="n">
        <v>201</v>
      </c>
      <c r="N16" s="53" t="n">
        <f aca="false">14.08+14.15*1.05</f>
        <v>28.9375</v>
      </c>
      <c r="O16" s="53" t="n">
        <f aca="false">M16-N16</f>
        <v>172.0625</v>
      </c>
      <c r="P16" s="53" t="n">
        <v>87</v>
      </c>
      <c r="Q16" s="53" t="n">
        <v>48</v>
      </c>
      <c r="R16" s="53" t="n">
        <f aca="false">SUM(O16:Q16)</f>
        <v>307.0625</v>
      </c>
      <c r="S16" s="54" t="n">
        <f aca="false">(I16-R16)+S15</f>
        <v>34730.7424643559</v>
      </c>
      <c r="T16" s="53" t="n">
        <v>101.05</v>
      </c>
      <c r="U16" s="53" t="n">
        <v>590</v>
      </c>
      <c r="V16" s="54" t="n">
        <v>9095</v>
      </c>
      <c r="W16" s="53" t="n">
        <f aca="false">R16+T16+N16+U16</f>
        <v>1027.05</v>
      </c>
      <c r="X16" s="53" t="n">
        <f aca="false">IF(L16&lt;0,L16*-1,0)</f>
        <v>0</v>
      </c>
      <c r="Y16" s="53" t="n">
        <f aca="false">W16+X16</f>
        <v>1027.05</v>
      </c>
      <c r="Z16" s="57" t="n">
        <v>0</v>
      </c>
      <c r="AA16" s="58" t="n">
        <v>84</v>
      </c>
      <c r="AB16" s="58" t="n">
        <v>50</v>
      </c>
      <c r="AC16" s="59" t="n">
        <v>7</v>
      </c>
      <c r="AD16" s="89"/>
      <c r="AE16" s="90"/>
      <c r="AF16" s="90"/>
    </row>
    <row r="17" customFormat="false" ht="11.1" hidden="false" customHeight="true" outlineLevel="0" collapsed="false">
      <c r="A17" s="59" t="n">
        <v>8</v>
      </c>
      <c r="B17" s="74" t="n">
        <v>6922.65</v>
      </c>
      <c r="C17" s="54" t="n">
        <v>375163</v>
      </c>
      <c r="D17" s="58" t="n">
        <f aca="false">C17-C16</f>
        <v>-1502</v>
      </c>
      <c r="E17" s="54" t="n">
        <f aca="false">C17-151978</f>
        <v>223185</v>
      </c>
      <c r="F17" s="53" t="n">
        <f aca="false">D17/$D$2</f>
        <v>-757.247290143685</v>
      </c>
      <c r="G17" s="53" t="n">
        <v>472</v>
      </c>
      <c r="H17" s="55" t="n">
        <v>6.4</v>
      </c>
      <c r="I17" s="53" t="n">
        <f aca="false">G17+H17</f>
        <v>478.4</v>
      </c>
      <c r="J17" s="75" t="n">
        <f aca="false">IF(L17&gt;0,L17,0)</f>
        <v>53.5227098563147</v>
      </c>
      <c r="K17" s="53" t="n">
        <f aca="false">I17+J17</f>
        <v>531.922709856315</v>
      </c>
      <c r="L17" s="53" t="n">
        <f aca="false">F17-(I17-W17)</f>
        <v>53.5227098563147</v>
      </c>
      <c r="M17" s="53" t="n">
        <v>221</v>
      </c>
      <c r="N17" s="53" t="n">
        <f aca="false">27.29+26.93*1.05</f>
        <v>55.5665</v>
      </c>
      <c r="O17" s="53" t="n">
        <f aca="false">M17-N17</f>
        <v>165.4335</v>
      </c>
      <c r="P17" s="53" t="n">
        <v>87</v>
      </c>
      <c r="Q17" s="53" t="n">
        <v>48</v>
      </c>
      <c r="R17" s="53" t="n">
        <f aca="false">SUM(O17:Q17)</f>
        <v>300.4335</v>
      </c>
      <c r="S17" s="54" t="n">
        <f aca="false">(I17-R17)+S16</f>
        <v>34908.7089643559</v>
      </c>
      <c r="T17" s="53" t="n">
        <v>127.17</v>
      </c>
      <c r="U17" s="53" t="n">
        <v>806</v>
      </c>
      <c r="V17" s="54" t="n">
        <v>9095</v>
      </c>
      <c r="W17" s="53" t="n">
        <f aca="false">R17+T17+N17+U17</f>
        <v>1289.17</v>
      </c>
      <c r="X17" s="53" t="n">
        <f aca="false">IF(L17&lt;0,L17*-1,0)</f>
        <v>0</v>
      </c>
      <c r="Y17" s="53" t="n">
        <f aca="false">W17+X17</f>
        <v>1289.17</v>
      </c>
      <c r="Z17" s="57" t="n">
        <v>0</v>
      </c>
      <c r="AA17" s="58" t="n">
        <v>86</v>
      </c>
      <c r="AB17" s="58" t="n">
        <v>50</v>
      </c>
      <c r="AC17" s="59" t="n">
        <v>8</v>
      </c>
      <c r="AD17" s="89"/>
      <c r="AE17" s="90"/>
      <c r="AF17" s="90"/>
    </row>
    <row r="18" customFormat="false" ht="11.1" hidden="false" customHeight="true" outlineLevel="0" collapsed="false">
      <c r="A18" s="59" t="n">
        <v>9</v>
      </c>
      <c r="B18" s="74" t="n">
        <v>6922.23</v>
      </c>
      <c r="C18" s="54" t="n">
        <v>373309</v>
      </c>
      <c r="D18" s="58" t="n">
        <f aca="false">C18-C17</f>
        <v>-1854</v>
      </c>
      <c r="E18" s="54" t="n">
        <f aca="false">C18-151978</f>
        <v>221331</v>
      </c>
      <c r="F18" s="53" t="n">
        <f aca="false">D18/$D$2</f>
        <v>-934.711368792538</v>
      </c>
      <c r="G18" s="53" t="n">
        <v>427</v>
      </c>
      <c r="H18" s="55" t="n">
        <v>5.4</v>
      </c>
      <c r="I18" s="53" t="n">
        <f aca="false">G18+H18</f>
        <v>432.4</v>
      </c>
      <c r="J18" s="75" t="n">
        <f aca="false">IF(L18&gt;0,L18,0)</f>
        <v>0</v>
      </c>
      <c r="K18" s="53" t="n">
        <f aca="false">I18+J18</f>
        <v>432.4</v>
      </c>
      <c r="L18" s="53" t="n">
        <f aca="false">F18-(I18-W18)</f>
        <v>-10.5013687925383</v>
      </c>
      <c r="M18" s="53" t="n">
        <v>237</v>
      </c>
      <c r="N18" s="53" t="n">
        <f aca="false">29.73+31.13*1.05</f>
        <v>62.4165</v>
      </c>
      <c r="O18" s="53" t="n">
        <f aca="false">M18-N18</f>
        <v>174.5835</v>
      </c>
      <c r="P18" s="53" t="n">
        <v>87</v>
      </c>
      <c r="Q18" s="53" t="n">
        <v>48</v>
      </c>
      <c r="R18" s="53" t="n">
        <f aca="false">SUM(O18:Q18)</f>
        <v>309.5835</v>
      </c>
      <c r="S18" s="54" t="n">
        <f aca="false">(I18-R18)+S17</f>
        <v>35031.5254643559</v>
      </c>
      <c r="T18" s="53" t="n">
        <v>130.61</v>
      </c>
      <c r="U18" s="53" t="n">
        <v>854</v>
      </c>
      <c r="V18" s="54" t="n">
        <v>9095</v>
      </c>
      <c r="W18" s="53" t="n">
        <f aca="false">R18+T18+N18+U18</f>
        <v>1356.61</v>
      </c>
      <c r="X18" s="53" t="n">
        <f aca="false">IF(L18&lt;0,L18*-1,0)</f>
        <v>10.5013687925383</v>
      </c>
      <c r="Y18" s="53" t="n">
        <f aca="false">W18+X18</f>
        <v>1367.11136879254</v>
      </c>
      <c r="Z18" s="57" t="n">
        <v>0</v>
      </c>
      <c r="AA18" s="58" t="n">
        <v>86</v>
      </c>
      <c r="AB18" s="58" t="n">
        <v>51</v>
      </c>
      <c r="AC18" s="59" t="n">
        <v>9</v>
      </c>
      <c r="AD18" s="89"/>
      <c r="AE18" s="90"/>
      <c r="AF18" s="90"/>
    </row>
    <row r="19" customFormat="false" ht="11.1" hidden="false" customHeight="true" outlineLevel="0" collapsed="false">
      <c r="A19" s="59" t="n">
        <v>10</v>
      </c>
      <c r="B19" s="74" t="n">
        <v>6921.78</v>
      </c>
      <c r="C19" s="54" t="n">
        <v>371330</v>
      </c>
      <c r="D19" s="58" t="n">
        <f aca="false">C19-C18</f>
        <v>-1979</v>
      </c>
      <c r="E19" s="54" t="n">
        <f aca="false">C19-151978</f>
        <v>219352</v>
      </c>
      <c r="F19" s="53" t="n">
        <f aca="false">D19/$D$2</f>
        <v>-997.731283085455</v>
      </c>
      <c r="G19" s="53" t="n">
        <v>401</v>
      </c>
      <c r="H19" s="55" t="n">
        <v>4.8</v>
      </c>
      <c r="I19" s="53" t="n">
        <f aca="false">G19+H19</f>
        <v>405.8</v>
      </c>
      <c r="J19" s="75" t="n">
        <f aca="false">IF(L19&gt;0,L19,0)</f>
        <v>0</v>
      </c>
      <c r="K19" s="53" t="n">
        <f aca="false">I19+J19</f>
        <v>405.8</v>
      </c>
      <c r="L19" s="53" t="n">
        <f aca="false">F19-(I19-W19)</f>
        <v>-14.6712830854548</v>
      </c>
      <c r="M19" s="53" t="n">
        <v>272</v>
      </c>
      <c r="N19" s="53" t="n">
        <f aca="false">42.74+40.76*1.05</f>
        <v>85.538</v>
      </c>
      <c r="O19" s="53" t="n">
        <f aca="false">M19-N19</f>
        <v>186.462</v>
      </c>
      <c r="P19" s="53" t="n">
        <v>86</v>
      </c>
      <c r="Q19" s="53" t="n">
        <v>48</v>
      </c>
      <c r="R19" s="53" t="n">
        <f aca="false">SUM(O19:Q19)</f>
        <v>320.462</v>
      </c>
      <c r="S19" s="54" t="n">
        <f aca="false">(I19-R19)+S18</f>
        <v>35116.8634643559</v>
      </c>
      <c r="T19" s="53" t="n">
        <v>130.86</v>
      </c>
      <c r="U19" s="53" t="n">
        <v>852</v>
      </c>
      <c r="V19" s="54" t="n">
        <v>9095</v>
      </c>
      <c r="W19" s="53" t="n">
        <f aca="false">R19+T19+N19+U19</f>
        <v>1388.86</v>
      </c>
      <c r="X19" s="53" t="n">
        <f aca="false">IF(L19&lt;0,L19*-1,0)</f>
        <v>14.6712830854548</v>
      </c>
      <c r="Y19" s="53" t="n">
        <f aca="false">W19+X19</f>
        <v>1403.53128308546</v>
      </c>
      <c r="Z19" s="57" t="n">
        <v>0</v>
      </c>
      <c r="AA19" s="58" t="n">
        <v>81</v>
      </c>
      <c r="AB19" s="58" t="n">
        <v>45</v>
      </c>
      <c r="AC19" s="59" t="n">
        <v>10</v>
      </c>
      <c r="AD19" s="89"/>
      <c r="AE19" s="90"/>
      <c r="AF19" s="90"/>
    </row>
    <row r="20" customFormat="false" ht="11.1" hidden="false" customHeight="true" outlineLevel="0" collapsed="false">
      <c r="A20" s="59" t="n">
        <v>11</v>
      </c>
      <c r="B20" s="74" t="n">
        <v>6921.32</v>
      </c>
      <c r="C20" s="54" t="n">
        <v>369316</v>
      </c>
      <c r="D20" s="58" t="n">
        <f aca="false">C20-C19</f>
        <v>-2014</v>
      </c>
      <c r="E20" s="54" t="n">
        <f aca="false">C20-151978</f>
        <v>217338</v>
      </c>
      <c r="F20" s="53" t="n">
        <f aca="false">D20/$D$2</f>
        <v>-1015.37685908747</v>
      </c>
      <c r="G20" s="53" t="n">
        <v>374</v>
      </c>
      <c r="H20" s="55" t="n">
        <v>4.2</v>
      </c>
      <c r="I20" s="53" t="n">
        <f aca="false">G20+H20</f>
        <v>378.2</v>
      </c>
      <c r="J20" s="75" t="n">
        <f aca="false">IF(L20&gt;0,L20,0)</f>
        <v>0</v>
      </c>
      <c r="K20" s="53" t="n">
        <f aca="false">I20+J20</f>
        <v>378.2</v>
      </c>
      <c r="L20" s="53" t="n">
        <f aca="false">F20-(I20-W20)</f>
        <v>-0.486859087471544</v>
      </c>
      <c r="M20" s="53" t="n">
        <v>271</v>
      </c>
      <c r="N20" s="53" t="n">
        <f aca="false">43.47+44.52*1.05</f>
        <v>90.216</v>
      </c>
      <c r="O20" s="53" t="n">
        <f aca="false">M20-N20</f>
        <v>180.784</v>
      </c>
      <c r="P20" s="53" t="n">
        <v>86</v>
      </c>
      <c r="Q20" s="53" t="n">
        <v>47</v>
      </c>
      <c r="R20" s="53" t="n">
        <f aca="false">SUM(O20:Q20)</f>
        <v>313.784</v>
      </c>
      <c r="S20" s="54" t="n">
        <f aca="false">(I20-R20)+S19</f>
        <v>35181.2794643559</v>
      </c>
      <c r="T20" s="53" t="n">
        <v>132.09</v>
      </c>
      <c r="U20" s="53" t="n">
        <v>857</v>
      </c>
      <c r="V20" s="54" t="n">
        <v>9095</v>
      </c>
      <c r="W20" s="53" t="n">
        <f aca="false">R20+T20+N20+U20</f>
        <v>1393.09</v>
      </c>
      <c r="X20" s="53" t="n">
        <f aca="false">IF(L20&lt;0,L20*-1,0)</f>
        <v>0.486859087471544</v>
      </c>
      <c r="Y20" s="53" t="n">
        <f aca="false">W20+X20</f>
        <v>1393.57685908747</v>
      </c>
      <c r="Z20" s="57" t="n">
        <v>0</v>
      </c>
      <c r="AA20" s="58" t="n">
        <v>79</v>
      </c>
      <c r="AB20" s="58" t="n">
        <v>50</v>
      </c>
      <c r="AC20" s="59" t="n">
        <v>11</v>
      </c>
      <c r="AD20" s="89"/>
      <c r="AE20" s="90"/>
      <c r="AF20" s="90"/>
    </row>
    <row r="21" customFormat="false" ht="11.1" hidden="false" customHeight="true" outlineLevel="0" collapsed="false">
      <c r="A21" s="59" t="n">
        <v>12</v>
      </c>
      <c r="B21" s="74" t="n">
        <v>6920.86</v>
      </c>
      <c r="C21" s="54" t="n">
        <v>367307</v>
      </c>
      <c r="D21" s="58" t="n">
        <f aca="false">C21-C20</f>
        <v>-2009</v>
      </c>
      <c r="E21" s="54" t="n">
        <f aca="false">C21-151978</f>
        <v>215329</v>
      </c>
      <c r="F21" s="53" t="n">
        <f aca="false">D21/$D$2</f>
        <v>-1012.85606251576</v>
      </c>
      <c r="G21" s="53" t="n">
        <v>359</v>
      </c>
      <c r="H21" s="55" t="n">
        <v>4</v>
      </c>
      <c r="I21" s="53" t="n">
        <f aca="false">G21+H21</f>
        <v>363</v>
      </c>
      <c r="J21" s="75" t="n">
        <f aca="false">IF(L21&gt;0,L21,0)</f>
        <v>21.8139374842451</v>
      </c>
      <c r="K21" s="53" t="n">
        <f aca="false">I21+J21</f>
        <v>384.813937484245</v>
      </c>
      <c r="L21" s="53" t="n">
        <f aca="false">F21-(I21-W21)</f>
        <v>21.8139374842451</v>
      </c>
      <c r="M21" s="53" t="n">
        <v>259</v>
      </c>
      <c r="N21" s="53" t="n">
        <f aca="false">40.96+43.75*1.05</f>
        <v>86.8975</v>
      </c>
      <c r="O21" s="53" t="n">
        <f aca="false">M21-N21</f>
        <v>172.1025</v>
      </c>
      <c r="P21" s="53" t="n">
        <v>85</v>
      </c>
      <c r="Q21" s="53" t="n">
        <v>47</v>
      </c>
      <c r="R21" s="53" t="n">
        <f aca="false">SUM(O21:Q21)</f>
        <v>304.1025</v>
      </c>
      <c r="S21" s="54" t="n">
        <f aca="false">(I21-R21)+S20</f>
        <v>35240.1769643559</v>
      </c>
      <c r="T21" s="53" t="n">
        <v>149.67</v>
      </c>
      <c r="U21" s="53" t="n">
        <v>857</v>
      </c>
      <c r="V21" s="54" t="n">
        <v>9095</v>
      </c>
      <c r="W21" s="53" t="n">
        <f aca="false">R21+T21+N21+U21</f>
        <v>1397.67</v>
      </c>
      <c r="X21" s="53" t="n">
        <f aca="false">IF(L21&lt;0,L21*-1,0)</f>
        <v>0</v>
      </c>
      <c r="Y21" s="53" t="n">
        <f aca="false">W21+X21</f>
        <v>1397.67</v>
      </c>
      <c r="Z21" s="57" t="n">
        <v>0</v>
      </c>
      <c r="AA21" s="58" t="n">
        <v>76</v>
      </c>
      <c r="AB21" s="58" t="n">
        <v>46</v>
      </c>
      <c r="AC21" s="59" t="n">
        <v>12</v>
      </c>
      <c r="AD21" s="89"/>
      <c r="AE21" s="90"/>
      <c r="AF21" s="90"/>
    </row>
    <row r="22" customFormat="false" ht="11.1" hidden="false" customHeight="true" outlineLevel="0" collapsed="false">
      <c r="A22" s="59" t="n">
        <v>13</v>
      </c>
      <c r="B22" s="74" t="n">
        <v>6920.36</v>
      </c>
      <c r="C22" s="54" t="n">
        <v>365136</v>
      </c>
      <c r="D22" s="58" t="n">
        <f aca="false">C22-C21</f>
        <v>-2171</v>
      </c>
      <c r="E22" s="54" t="n">
        <f aca="false">C22-151978</f>
        <v>213158</v>
      </c>
      <c r="F22" s="53" t="n">
        <f aca="false">D22/$D$2</f>
        <v>-1094.52987143937</v>
      </c>
      <c r="G22" s="53" t="n">
        <v>335</v>
      </c>
      <c r="H22" s="55" t="n">
        <v>3.6</v>
      </c>
      <c r="I22" s="53" t="n">
        <f aca="false">G22+H22</f>
        <v>338.6</v>
      </c>
      <c r="J22" s="75" t="n">
        <f aca="false">IF(L22&gt;0,L22,0)</f>
        <v>0</v>
      </c>
      <c r="K22" s="53" t="n">
        <f aca="false">I22+J22</f>
        <v>338.6</v>
      </c>
      <c r="L22" s="53" t="n">
        <f aca="false">F22-(I22-W22)</f>
        <v>-11.1898714393747</v>
      </c>
      <c r="M22" s="53" t="n">
        <v>279</v>
      </c>
      <c r="N22" s="53" t="n">
        <f aca="false">42.98+43.4*1.05</f>
        <v>88.55</v>
      </c>
      <c r="O22" s="53" t="n">
        <f aca="false">M22-N22</f>
        <v>190.45</v>
      </c>
      <c r="P22" s="53" t="n">
        <v>85</v>
      </c>
      <c r="Q22" s="53" t="n">
        <v>47</v>
      </c>
      <c r="R22" s="53" t="n">
        <f aca="false">SUM(O22:Q22)</f>
        <v>322.45</v>
      </c>
      <c r="S22" s="54" t="n">
        <f aca="false">(I22-R22)+S21</f>
        <v>35256.3269643559</v>
      </c>
      <c r="T22" s="53" t="n">
        <v>151.94</v>
      </c>
      <c r="U22" s="53" t="n">
        <v>859</v>
      </c>
      <c r="V22" s="54" t="n">
        <v>9095</v>
      </c>
      <c r="W22" s="53" t="n">
        <f aca="false">R22+T22+N22+U22</f>
        <v>1421.94</v>
      </c>
      <c r="X22" s="53" t="n">
        <f aca="false">IF(L22&lt;0,L22*-1,0)</f>
        <v>11.1898714393747</v>
      </c>
      <c r="Y22" s="53" t="n">
        <f aca="false">W22+X22</f>
        <v>1433.12987143937</v>
      </c>
      <c r="Z22" s="57" t="n">
        <v>0</v>
      </c>
      <c r="AA22" s="58" t="n">
        <v>80</v>
      </c>
      <c r="AB22" s="58" t="n">
        <v>42</v>
      </c>
      <c r="AC22" s="59" t="n">
        <v>13</v>
      </c>
      <c r="AD22" s="89"/>
      <c r="AE22" s="90"/>
      <c r="AF22" s="90"/>
    </row>
    <row r="23" customFormat="false" ht="11.1" hidden="false" customHeight="true" outlineLevel="0" collapsed="false">
      <c r="A23" s="59" t="n">
        <v>14</v>
      </c>
      <c r="B23" s="74" t="n">
        <v>6919.87</v>
      </c>
      <c r="C23" s="54" t="n">
        <v>363013</v>
      </c>
      <c r="D23" s="58" t="n">
        <f aca="false">C23-C22</f>
        <v>-2123</v>
      </c>
      <c r="E23" s="54" t="n">
        <f aca="false">C23-151978</f>
        <v>211035</v>
      </c>
      <c r="F23" s="53" t="n">
        <f aca="false">D23/$D$2</f>
        <v>-1070.3302243509</v>
      </c>
      <c r="G23" s="53" t="n">
        <v>314</v>
      </c>
      <c r="H23" s="55" t="n">
        <v>3</v>
      </c>
      <c r="I23" s="53" t="n">
        <f aca="false">G23+H23</f>
        <v>317</v>
      </c>
      <c r="J23" s="75" t="n">
        <f aca="false">IF(L23&gt;0,L23,0)</f>
        <v>15.8597756491051</v>
      </c>
      <c r="K23" s="53" t="n">
        <f aca="false">I23+J23</f>
        <v>332.859775649105</v>
      </c>
      <c r="L23" s="53" t="n">
        <f aca="false">F23-(I23-W23)</f>
        <v>15.8597756491051</v>
      </c>
      <c r="M23" s="53" t="n">
        <v>261</v>
      </c>
      <c r="N23" s="53" t="n">
        <f aca="false">35.08+36.91*1.05</f>
        <v>73.8355</v>
      </c>
      <c r="O23" s="53" t="n">
        <f aca="false">M23-N23</f>
        <v>187.1645</v>
      </c>
      <c r="P23" s="53" t="n">
        <v>84</v>
      </c>
      <c r="Q23" s="53" t="n">
        <v>46</v>
      </c>
      <c r="R23" s="53" t="n">
        <f aca="false">SUM(O23:Q23)</f>
        <v>317.1645</v>
      </c>
      <c r="S23" s="54" t="n">
        <f aca="false">(I23-R23)+S22</f>
        <v>35256.1624643559</v>
      </c>
      <c r="T23" s="53" t="n">
        <v>157.19</v>
      </c>
      <c r="U23" s="53" t="n">
        <v>855</v>
      </c>
      <c r="V23" s="54" t="n">
        <v>9095</v>
      </c>
      <c r="W23" s="53" t="n">
        <f aca="false">R23+T23+N23+U23</f>
        <v>1403.19</v>
      </c>
      <c r="X23" s="53" t="n">
        <f aca="false">IF(L23&lt;0,L23*-1,0)</f>
        <v>0</v>
      </c>
      <c r="Y23" s="53" t="n">
        <f aca="false">W23+X23</f>
        <v>1403.19</v>
      </c>
      <c r="Z23" s="57" t="n">
        <v>0</v>
      </c>
      <c r="AA23" s="58" t="n">
        <v>72</v>
      </c>
      <c r="AB23" s="58" t="n">
        <v>43</v>
      </c>
      <c r="AC23" s="59" t="n">
        <v>14</v>
      </c>
      <c r="AD23" s="89"/>
      <c r="AE23" s="90"/>
      <c r="AF23" s="90"/>
    </row>
    <row r="24" customFormat="false" ht="11.1" hidden="false" customHeight="true" outlineLevel="0" collapsed="false">
      <c r="A24" s="59" t="n">
        <v>15</v>
      </c>
      <c r="B24" s="74" t="n">
        <v>6919.42</v>
      </c>
      <c r="C24" s="54" t="n">
        <v>361075</v>
      </c>
      <c r="D24" s="58" t="n">
        <f aca="false">C24-C23</f>
        <v>-1938</v>
      </c>
      <c r="E24" s="54" t="n">
        <f aca="false">C24-151978</f>
        <v>209097</v>
      </c>
      <c r="F24" s="53" t="n">
        <f aca="false">D24/$D$2</f>
        <v>-977.060751197378</v>
      </c>
      <c r="G24" s="53" t="n">
        <v>320</v>
      </c>
      <c r="H24" s="55" t="n">
        <v>3</v>
      </c>
      <c r="I24" s="53" t="n">
        <f aca="false">G24+H24</f>
        <v>323</v>
      </c>
      <c r="J24" s="75" t="n">
        <f aca="false">IF(L24&gt;0,L24,0)</f>
        <v>91.7392488026217</v>
      </c>
      <c r="K24" s="53" t="n">
        <f aca="false">I24+J24</f>
        <v>414.739248802622</v>
      </c>
      <c r="L24" s="53" t="n">
        <f aca="false">F24-(I24-W24)</f>
        <v>91.7392488026217</v>
      </c>
      <c r="M24" s="53" t="n">
        <v>258</v>
      </c>
      <c r="N24" s="53" t="n">
        <f aca="false">33.96+33.6*1.05</f>
        <v>69.24</v>
      </c>
      <c r="O24" s="53" t="n">
        <f aca="false">M24-N24</f>
        <v>188.76</v>
      </c>
      <c r="P24" s="53" t="n">
        <v>84</v>
      </c>
      <c r="Q24" s="53" t="n">
        <v>51</v>
      </c>
      <c r="R24" s="53" t="n">
        <f aca="false">SUM(O24:Q24)</f>
        <v>323.76</v>
      </c>
      <c r="S24" s="54" t="n">
        <f aca="false">(I24-R24)+S23</f>
        <v>35255.4024643559</v>
      </c>
      <c r="T24" s="53" t="n">
        <v>148.8</v>
      </c>
      <c r="U24" s="53" t="n">
        <v>850</v>
      </c>
      <c r="V24" s="54" t="n">
        <v>9095</v>
      </c>
      <c r="W24" s="53" t="n">
        <f aca="false">R24+T24+N24+U24</f>
        <v>1391.8</v>
      </c>
      <c r="X24" s="53" t="n">
        <f aca="false">IF(L24&lt;0,L24*-1,0)</f>
        <v>0</v>
      </c>
      <c r="Y24" s="53" t="n">
        <f aca="false">W24+X24</f>
        <v>1391.8</v>
      </c>
      <c r="Z24" s="57" t="n">
        <v>0.03</v>
      </c>
      <c r="AA24" s="58" t="n">
        <v>77</v>
      </c>
      <c r="AB24" s="58" t="n">
        <v>42</v>
      </c>
      <c r="AC24" s="59" t="n">
        <v>15</v>
      </c>
      <c r="AD24" s="89"/>
      <c r="AE24" s="90"/>
      <c r="AF24" s="90"/>
    </row>
    <row r="25" customFormat="false" ht="11.1" hidden="false" customHeight="true" outlineLevel="0" collapsed="false">
      <c r="A25" s="59" t="n">
        <v>16</v>
      </c>
      <c r="B25" s="74" t="n">
        <v>6918.99</v>
      </c>
      <c r="C25" s="54" t="n">
        <v>359224</v>
      </c>
      <c r="D25" s="58" t="n">
        <f aca="false">C25-C24</f>
        <v>-1851</v>
      </c>
      <c r="E25" s="54" t="n">
        <f aca="false">C25-151978</f>
        <v>207246</v>
      </c>
      <c r="F25" s="53" t="n">
        <f aca="false">D25/$D$2</f>
        <v>-933.198890849508</v>
      </c>
      <c r="G25" s="53" t="n">
        <v>351</v>
      </c>
      <c r="H25" s="55" t="n">
        <v>4</v>
      </c>
      <c r="I25" s="53" t="n">
        <f aca="false">G25+H25</f>
        <v>355</v>
      </c>
      <c r="J25" s="75" t="n">
        <f aca="false">IF(L25&gt;0,L25,0)</f>
        <v>84.4111091504917</v>
      </c>
      <c r="K25" s="53" t="n">
        <f aca="false">I25+J25</f>
        <v>439.411109150492</v>
      </c>
      <c r="L25" s="53" t="n">
        <f aca="false">F25-(I25-W25)</f>
        <v>84.4111091504917</v>
      </c>
      <c r="M25" s="53" t="n">
        <v>256</v>
      </c>
      <c r="N25" s="53" t="n">
        <f aca="false">36.96+37.07*1.05</f>
        <v>75.8835</v>
      </c>
      <c r="O25" s="53" t="n">
        <f aca="false">M25-N25</f>
        <v>180.1165</v>
      </c>
      <c r="P25" s="53" t="n">
        <v>85</v>
      </c>
      <c r="Q25" s="53" t="n">
        <v>53</v>
      </c>
      <c r="R25" s="53" t="n">
        <f aca="false">SUM(O25:Q25)</f>
        <v>318.1165</v>
      </c>
      <c r="S25" s="54" t="n">
        <f aca="false">(I25-R25)+S24</f>
        <v>35292.2859643559</v>
      </c>
      <c r="T25" s="53" t="n">
        <v>126.61</v>
      </c>
      <c r="U25" s="53" t="n">
        <v>852</v>
      </c>
      <c r="V25" s="54" t="n">
        <v>9095</v>
      </c>
      <c r="W25" s="53" t="n">
        <f aca="false">R25+T25+N25+U25</f>
        <v>1372.61</v>
      </c>
      <c r="X25" s="53" t="n">
        <f aca="false">IF(L25&lt;0,L25*-1,0)</f>
        <v>0</v>
      </c>
      <c r="Y25" s="53" t="n">
        <f aca="false">W25+X25</f>
        <v>1372.61</v>
      </c>
      <c r="Z25" s="57" t="n">
        <v>0.05</v>
      </c>
      <c r="AA25" s="58" t="n">
        <v>75</v>
      </c>
      <c r="AB25" s="58" t="n">
        <v>44</v>
      </c>
      <c r="AC25" s="59" t="n">
        <v>16</v>
      </c>
      <c r="AD25" s="89"/>
      <c r="AE25" s="90"/>
      <c r="AF25" s="90"/>
    </row>
    <row r="26" customFormat="false" ht="11.1" hidden="false" customHeight="true" outlineLevel="0" collapsed="false">
      <c r="A26" s="59" t="n">
        <v>17</v>
      </c>
      <c r="B26" s="74" t="n">
        <v>6918.6</v>
      </c>
      <c r="C26" s="54" t="n">
        <v>357558</v>
      </c>
      <c r="D26" s="58" t="n">
        <f aca="false">C26-C25</f>
        <v>-1666</v>
      </c>
      <c r="E26" s="54" t="n">
        <f aca="false">C26-151978</f>
        <v>205580</v>
      </c>
      <c r="F26" s="53" t="n">
        <f aca="false">D26/$D$2</f>
        <v>-839.929417695992</v>
      </c>
      <c r="G26" s="53" t="n">
        <v>386</v>
      </c>
      <c r="H26" s="55" t="n">
        <v>4.6</v>
      </c>
      <c r="I26" s="53" t="n">
        <f aca="false">G26+H26</f>
        <v>390.6</v>
      </c>
      <c r="J26" s="75" t="n">
        <f aca="false">IF(L26&gt;0,L26,0)</f>
        <v>62.3705823040082</v>
      </c>
      <c r="K26" s="53" t="n">
        <f aca="false">I26+J26</f>
        <v>452.970582304008</v>
      </c>
      <c r="L26" s="53" t="n">
        <f aca="false">F26-(I26-W26)</f>
        <v>62.3705823040082</v>
      </c>
      <c r="M26" s="53" t="n">
        <v>254</v>
      </c>
      <c r="N26" s="53" t="n">
        <f aca="false">35.72+35.47*1.05</f>
        <v>72.9635</v>
      </c>
      <c r="O26" s="53" t="n">
        <f aca="false">M26-N26</f>
        <v>181.0365</v>
      </c>
      <c r="P26" s="53" t="n">
        <v>85</v>
      </c>
      <c r="Q26" s="53" t="n">
        <v>53</v>
      </c>
      <c r="R26" s="53" t="n">
        <f aca="false">SUM(O26:Q26)</f>
        <v>319.0365</v>
      </c>
      <c r="S26" s="54" t="n">
        <f aca="false">(I26-R26)+S25</f>
        <v>35363.8494643559</v>
      </c>
      <c r="T26" s="53" t="n">
        <v>128.9</v>
      </c>
      <c r="U26" s="53" t="n">
        <v>772</v>
      </c>
      <c r="V26" s="54" t="n">
        <v>9095</v>
      </c>
      <c r="W26" s="53" t="n">
        <f aca="false">R26+T26+N26+U26</f>
        <v>1292.9</v>
      </c>
      <c r="X26" s="53" t="n">
        <f aca="false">IF(L26&lt;0,L26*-1,0)</f>
        <v>0</v>
      </c>
      <c r="Y26" s="53" t="n">
        <f aca="false">W26+X26</f>
        <v>1292.9</v>
      </c>
      <c r="Z26" s="57" t="n">
        <v>0</v>
      </c>
      <c r="AA26" s="58" t="n">
        <v>75</v>
      </c>
      <c r="AB26" s="58" t="n">
        <v>41</v>
      </c>
      <c r="AC26" s="59" t="n">
        <v>17</v>
      </c>
      <c r="AD26" s="89"/>
      <c r="AE26" s="90"/>
      <c r="AF26" s="90"/>
    </row>
    <row r="27" customFormat="false" ht="11.1" hidden="false" customHeight="true" outlineLevel="0" collapsed="false">
      <c r="A27" s="59" t="n">
        <v>18</v>
      </c>
      <c r="B27" s="74" t="n">
        <v>6918.26</v>
      </c>
      <c r="C27" s="54" t="n">
        <v>356105</v>
      </c>
      <c r="D27" s="58" t="n">
        <f aca="false">C27-C26</f>
        <v>-1453</v>
      </c>
      <c r="E27" s="54" t="n">
        <f aca="false">C27-151978</f>
        <v>204127</v>
      </c>
      <c r="F27" s="53" t="n">
        <f aca="false">D27/$D$2</f>
        <v>-732.543483740862</v>
      </c>
      <c r="G27" s="53" t="n">
        <v>296</v>
      </c>
      <c r="H27" s="55" t="n">
        <v>4</v>
      </c>
      <c r="I27" s="53" t="n">
        <f aca="false">G27+H27</f>
        <v>300</v>
      </c>
      <c r="J27" s="75" t="n">
        <f aca="false">IF(L27&gt;0,L27,0)</f>
        <v>55.816516259138</v>
      </c>
      <c r="K27" s="53" t="n">
        <f aca="false">I27+J27</f>
        <v>355.816516259138</v>
      </c>
      <c r="L27" s="53" t="n">
        <f aca="false">F27-(I27-W27)</f>
        <v>55.816516259138</v>
      </c>
      <c r="M27" s="53" t="n">
        <v>253</v>
      </c>
      <c r="N27" s="53" t="n">
        <f aca="false">31.6+37.21*1.05</f>
        <v>70.6705</v>
      </c>
      <c r="O27" s="53" t="n">
        <f aca="false">M27-N27</f>
        <v>182.3295</v>
      </c>
      <c r="P27" s="53" t="n">
        <v>85</v>
      </c>
      <c r="Q27" s="53" t="n">
        <v>52</v>
      </c>
      <c r="R27" s="53" t="n">
        <f aca="false">SUM(O27:Q27)</f>
        <v>319.3295</v>
      </c>
      <c r="S27" s="54" t="n">
        <f aca="false">(I27-R27)+S26</f>
        <v>35344.5199643559</v>
      </c>
      <c r="T27" s="53" t="n">
        <v>126.36</v>
      </c>
      <c r="U27" s="53" t="n">
        <v>572</v>
      </c>
      <c r="V27" s="54" t="n">
        <v>9095</v>
      </c>
      <c r="W27" s="53" t="n">
        <f aca="false">R27+T27+N27+U27</f>
        <v>1088.36</v>
      </c>
      <c r="X27" s="53" t="n">
        <f aca="false">IF(L27&lt;0,L27*-1,0)</f>
        <v>0</v>
      </c>
      <c r="Y27" s="53" t="n">
        <f aca="false">W27+X27</f>
        <v>1088.36</v>
      </c>
      <c r="Z27" s="57" t="n">
        <v>0.07</v>
      </c>
      <c r="AA27" s="58" t="n">
        <v>74</v>
      </c>
      <c r="AB27" s="58" t="n">
        <v>42</v>
      </c>
      <c r="AC27" s="59" t="n">
        <v>18</v>
      </c>
      <c r="AD27" s="89"/>
      <c r="AE27" s="90"/>
      <c r="AF27" s="90"/>
    </row>
    <row r="28" customFormat="false" ht="11.1" hidden="false" customHeight="true" outlineLevel="0" collapsed="false">
      <c r="A28" s="59" t="n">
        <v>19</v>
      </c>
      <c r="B28" s="74" t="n">
        <v>6918.04</v>
      </c>
      <c r="C28" s="54" t="n">
        <v>355165</v>
      </c>
      <c r="D28" s="58" t="n">
        <f aca="false">C28-C27</f>
        <v>-940</v>
      </c>
      <c r="E28" s="54" t="n">
        <f aca="false">C28-151978</f>
        <v>203187</v>
      </c>
      <c r="F28" s="53" t="n">
        <f aca="false">D28/$D$2</f>
        <v>-473.909755482733</v>
      </c>
      <c r="G28" s="53" t="n">
        <v>263</v>
      </c>
      <c r="H28" s="55" t="n">
        <v>3.7</v>
      </c>
      <c r="I28" s="53" t="n">
        <f aca="false">G28+H28</f>
        <v>266.7</v>
      </c>
      <c r="J28" s="75" t="n">
        <f aca="false">IF(L28&gt;0,L28,0)</f>
        <v>26.1202445172675</v>
      </c>
      <c r="K28" s="53" t="n">
        <f aca="false">I28+J28</f>
        <v>292.820244517267</v>
      </c>
      <c r="L28" s="53" t="n">
        <f aca="false">F28-(I28-W28)</f>
        <v>26.1202445172675</v>
      </c>
      <c r="M28" s="53" t="n">
        <v>235</v>
      </c>
      <c r="N28" s="53" t="n">
        <f aca="false">31.08+31.37*1.05</f>
        <v>64.0185</v>
      </c>
      <c r="O28" s="53" t="n">
        <f aca="false">M28-N28</f>
        <v>170.9815</v>
      </c>
      <c r="P28" s="53" t="n">
        <v>86</v>
      </c>
      <c r="Q28" s="53" t="n">
        <v>53</v>
      </c>
      <c r="R28" s="53" t="n">
        <f aca="false">SUM(O28:Q28)</f>
        <v>309.9815</v>
      </c>
      <c r="S28" s="54" t="n">
        <f aca="false">(I28-R28)+S27</f>
        <v>35301.2384643559</v>
      </c>
      <c r="T28" s="53" t="n">
        <v>78.73</v>
      </c>
      <c r="U28" s="53" t="n">
        <v>314</v>
      </c>
      <c r="V28" s="54" t="n">
        <v>9095</v>
      </c>
      <c r="W28" s="53" t="n">
        <f aca="false">R28+T28+N28+U28</f>
        <v>766.73</v>
      </c>
      <c r="X28" s="53" t="n">
        <f aca="false">IF(L28&lt;0,L28*-1,0)</f>
        <v>0</v>
      </c>
      <c r="Y28" s="53" t="n">
        <f aca="false">W28+X28</f>
        <v>766.73</v>
      </c>
      <c r="Z28" s="57" t="n">
        <v>0</v>
      </c>
      <c r="AA28" s="58" t="n">
        <v>71</v>
      </c>
      <c r="AB28" s="58" t="n">
        <v>44</v>
      </c>
      <c r="AC28" s="59" t="n">
        <v>19</v>
      </c>
      <c r="AD28" s="89"/>
      <c r="AE28" s="90"/>
      <c r="AF28" s="90"/>
    </row>
    <row r="29" customFormat="false" ht="11.1" hidden="false" customHeight="true" outlineLevel="0" collapsed="false">
      <c r="A29" s="59" t="n">
        <v>20</v>
      </c>
      <c r="B29" s="74" t="n">
        <v>6917.85</v>
      </c>
      <c r="C29" s="54" t="n">
        <v>354358</v>
      </c>
      <c r="D29" s="58" t="n">
        <f aca="false">C29-C28</f>
        <v>-807</v>
      </c>
      <c r="E29" s="54" t="n">
        <f aca="false">C29-151978</f>
        <v>202380</v>
      </c>
      <c r="F29" s="53" t="n">
        <f aca="false">D29/$D$2</f>
        <v>-406.856566675069</v>
      </c>
      <c r="G29" s="53" t="n">
        <v>281</v>
      </c>
      <c r="H29" s="55" t="n">
        <v>3.6</v>
      </c>
      <c r="I29" s="53" t="n">
        <f aca="false">G29+H29</f>
        <v>284.6</v>
      </c>
      <c r="J29" s="75" t="n">
        <f aca="false">IF(L29&gt;0,L29,0)</f>
        <v>0</v>
      </c>
      <c r="K29" s="53" t="n">
        <f aca="false">I29+J29</f>
        <v>284.6</v>
      </c>
      <c r="L29" s="53" t="n">
        <f aca="false">F29-(I29-W29)</f>
        <v>-81.8765666750694</v>
      </c>
      <c r="M29" s="53" t="n">
        <v>234</v>
      </c>
      <c r="N29" s="53" t="n">
        <f aca="false">31.78+32.58*1.05</f>
        <v>65.989</v>
      </c>
      <c r="O29" s="53" t="n">
        <f aca="false">M29-N29</f>
        <v>168.011</v>
      </c>
      <c r="P29" s="53" t="n">
        <v>86</v>
      </c>
      <c r="Q29" s="53" t="n">
        <v>53</v>
      </c>
      <c r="R29" s="53" t="n">
        <f aca="false">SUM(O29:Q29)</f>
        <v>307.011</v>
      </c>
      <c r="S29" s="54" t="n">
        <f aca="false">(I29-R29)+S28</f>
        <v>35278.8274643559</v>
      </c>
      <c r="T29" s="53" t="n">
        <v>97.58</v>
      </c>
      <c r="U29" s="53" t="n">
        <v>139</v>
      </c>
      <c r="V29" s="54" t="n">
        <v>9095</v>
      </c>
      <c r="W29" s="53" t="n">
        <f aca="false">R29+T29+N29+U29</f>
        <v>609.58</v>
      </c>
      <c r="X29" s="53" t="n">
        <f aca="false">IF(L29&lt;0,L29*-1,0)</f>
        <v>81.8765666750694</v>
      </c>
      <c r="Y29" s="53" t="n">
        <f aca="false">W29+X29</f>
        <v>691.456566675069</v>
      </c>
      <c r="Z29" s="57" t="n">
        <v>0</v>
      </c>
      <c r="AA29" s="58" t="n">
        <v>70</v>
      </c>
      <c r="AB29" s="58" t="n">
        <v>43</v>
      </c>
      <c r="AC29" s="59" t="n">
        <v>20</v>
      </c>
      <c r="AD29" s="89"/>
      <c r="AE29" s="90"/>
      <c r="AF29" s="90"/>
    </row>
    <row r="30" customFormat="false" ht="11.1" hidden="false" customHeight="true" outlineLevel="0" collapsed="false">
      <c r="A30" s="59" t="n">
        <v>21</v>
      </c>
      <c r="B30" s="74" t="n">
        <v>6917.66</v>
      </c>
      <c r="C30" s="54" t="n">
        <v>353552</v>
      </c>
      <c r="D30" s="58" t="n">
        <f aca="false">C30-C29</f>
        <v>-806</v>
      </c>
      <c r="E30" s="54" t="n">
        <f aca="false">C30-151978</f>
        <v>201574</v>
      </c>
      <c r="F30" s="53" t="n">
        <f aca="false">D30/$D$2</f>
        <v>-406.352407360726</v>
      </c>
      <c r="G30" s="53" t="n">
        <v>233</v>
      </c>
      <c r="H30" s="55" t="n">
        <v>3.4</v>
      </c>
      <c r="I30" s="53" t="n">
        <f aca="false">G30+H30</f>
        <v>236.4</v>
      </c>
      <c r="J30" s="75" t="n">
        <f aca="false">IF(L30&gt;0,L30,0)</f>
        <v>0</v>
      </c>
      <c r="K30" s="53" t="n">
        <f aca="false">I30+J30</f>
        <v>236.4</v>
      </c>
      <c r="L30" s="53" t="n">
        <f aca="false">F30-(I30-W30)</f>
        <v>-74.322407360726</v>
      </c>
      <c r="M30" s="53" t="n">
        <v>232</v>
      </c>
      <c r="N30" s="53" t="n">
        <f aca="false">35.81+36.26*1.05</f>
        <v>73.883</v>
      </c>
      <c r="O30" s="53" t="n">
        <f aca="false">M30-N30</f>
        <v>158.117</v>
      </c>
      <c r="P30" s="53" t="n">
        <v>85</v>
      </c>
      <c r="Q30" s="53" t="n">
        <v>53</v>
      </c>
      <c r="R30" s="53" t="n">
        <f aca="false">SUM(O30:Q30)</f>
        <v>296.117</v>
      </c>
      <c r="S30" s="54" t="n">
        <f aca="false">(I30-R30)+S29</f>
        <v>35219.1104643559</v>
      </c>
      <c r="T30" s="53" t="n">
        <v>91.43</v>
      </c>
      <c r="U30" s="53" t="n">
        <v>107</v>
      </c>
      <c r="V30" s="54" t="n">
        <f aca="false">V29-U30</f>
        <v>8988</v>
      </c>
      <c r="W30" s="53" t="n">
        <f aca="false">R30+T30+N30+U30</f>
        <v>568.43</v>
      </c>
      <c r="X30" s="53" t="n">
        <f aca="false">IF(L30&lt;0,L30*-1,0)</f>
        <v>74.322407360726</v>
      </c>
      <c r="Y30" s="53" t="n">
        <f aca="false">W30+X30</f>
        <v>642.752407360726</v>
      </c>
      <c r="Z30" s="57" t="n">
        <v>0</v>
      </c>
      <c r="AA30" s="58" t="n">
        <v>73</v>
      </c>
      <c r="AB30" s="58" t="n">
        <v>39</v>
      </c>
      <c r="AC30" s="59" t="n">
        <v>21</v>
      </c>
      <c r="AD30" s="89"/>
      <c r="AE30" s="90"/>
      <c r="AF30" s="90"/>
    </row>
    <row r="31" customFormat="false" ht="11.1" hidden="false" customHeight="true" outlineLevel="0" collapsed="false">
      <c r="A31" s="59" t="n">
        <v>22</v>
      </c>
      <c r="B31" s="74" t="n">
        <v>6917.48</v>
      </c>
      <c r="C31" s="54" t="n">
        <v>352789</v>
      </c>
      <c r="D31" s="58" t="n">
        <f aca="false">C31-C30</f>
        <v>-763</v>
      </c>
      <c r="E31" s="54" t="n">
        <f aca="false">C31-151978</f>
        <v>200811</v>
      </c>
      <c r="F31" s="53" t="n">
        <f aca="false">D31/$D$2</f>
        <v>-384.673556843963</v>
      </c>
      <c r="G31" s="53" t="n">
        <v>212</v>
      </c>
      <c r="H31" s="55" t="n">
        <v>2.9</v>
      </c>
      <c r="I31" s="53" t="n">
        <f aca="false">G31+H31</f>
        <v>214.9</v>
      </c>
      <c r="J31" s="75" t="n">
        <f aca="false">IF(L31&gt;0,L31,0)</f>
        <v>0</v>
      </c>
      <c r="K31" s="53" t="n">
        <f aca="false">I31+J31</f>
        <v>214.9</v>
      </c>
      <c r="L31" s="53" t="n">
        <f aca="false">F31-(I31-W31)</f>
        <v>-39.7735568439627</v>
      </c>
      <c r="M31" s="53" t="n">
        <v>224</v>
      </c>
      <c r="N31" s="53" t="n">
        <f aca="false">27.92+27.66*1.05</f>
        <v>56.963</v>
      </c>
      <c r="O31" s="53" t="n">
        <f aca="false">M31-N31</f>
        <v>167.037</v>
      </c>
      <c r="P31" s="53" t="n">
        <v>85</v>
      </c>
      <c r="Q31" s="53" t="n">
        <v>52</v>
      </c>
      <c r="R31" s="53" t="n">
        <f aca="false">SUM(O31:Q31)</f>
        <v>304.037</v>
      </c>
      <c r="S31" s="54" t="n">
        <f aca="false">(I31-R31)+S30</f>
        <v>35129.9734643559</v>
      </c>
      <c r="T31" s="53" t="n">
        <v>90.8</v>
      </c>
      <c r="U31" s="53" t="n">
        <v>108</v>
      </c>
      <c r="V31" s="54" t="n">
        <f aca="false">V30-U31</f>
        <v>8880</v>
      </c>
      <c r="W31" s="53" t="n">
        <f aca="false">R31+T31+N31+U31</f>
        <v>559.8</v>
      </c>
      <c r="X31" s="53" t="n">
        <f aca="false">IF(L31&lt;0,L31*-1,0)</f>
        <v>39.7735568439627</v>
      </c>
      <c r="Y31" s="53" t="n">
        <f aca="false">W31+X31</f>
        <v>599.573556843963</v>
      </c>
      <c r="Z31" s="57" t="n">
        <v>0.18</v>
      </c>
      <c r="AA31" s="58" t="n">
        <v>73</v>
      </c>
      <c r="AB31" s="58" t="n">
        <v>41</v>
      </c>
      <c r="AC31" s="59" t="n">
        <v>22</v>
      </c>
      <c r="AD31" s="89"/>
      <c r="AE31" s="90"/>
      <c r="AF31" s="90"/>
    </row>
    <row r="32" customFormat="false" ht="11.1" hidden="false" customHeight="true" outlineLevel="0" collapsed="false">
      <c r="A32" s="59" t="n">
        <v>23</v>
      </c>
      <c r="B32" s="74" t="n">
        <v>6917.37</v>
      </c>
      <c r="C32" s="54" t="n">
        <v>352323</v>
      </c>
      <c r="D32" s="58" t="n">
        <f aca="false">C32-C31</f>
        <v>-466</v>
      </c>
      <c r="E32" s="54" t="n">
        <f aca="false">C32-151978</f>
        <v>200345</v>
      </c>
      <c r="F32" s="53" t="n">
        <f aca="false">D32/$D$2</f>
        <v>-234.938240483993</v>
      </c>
      <c r="G32" s="53" t="n">
        <v>226</v>
      </c>
      <c r="H32" s="55" t="n">
        <v>3.1</v>
      </c>
      <c r="I32" s="53" t="n">
        <f aca="false">G32+H32</f>
        <v>229.1</v>
      </c>
      <c r="J32" s="75" t="n">
        <f aca="false">IF(L32&gt;0,L32,0)</f>
        <v>47.0117595160071</v>
      </c>
      <c r="K32" s="53" t="n">
        <f aca="false">I32+J32</f>
        <v>276.111759516007</v>
      </c>
      <c r="L32" s="53" t="n">
        <f aca="false">F32-(I32-W32)</f>
        <v>47.0117595160071</v>
      </c>
      <c r="M32" s="53" t="n">
        <v>216</v>
      </c>
      <c r="N32" s="53" t="n">
        <f aca="false">28.94+29.27*1.05</f>
        <v>59.6735</v>
      </c>
      <c r="O32" s="53" t="n">
        <f aca="false">M32-N32</f>
        <v>156.3265</v>
      </c>
      <c r="P32" s="53" t="n">
        <v>85</v>
      </c>
      <c r="Q32" s="53" t="n">
        <v>52</v>
      </c>
      <c r="R32" s="53" t="n">
        <f aca="false">SUM(O32:Q32)</f>
        <v>293.3265</v>
      </c>
      <c r="S32" s="54" t="n">
        <f aca="false">(I32-R32)+S31</f>
        <v>35065.7469643559</v>
      </c>
      <c r="T32" s="53" t="n">
        <v>68.05</v>
      </c>
      <c r="U32" s="53" t="n">
        <v>90</v>
      </c>
      <c r="V32" s="54" t="n">
        <f aca="false">V31-U32</f>
        <v>8790</v>
      </c>
      <c r="W32" s="53" t="n">
        <f aca="false">R32+T32+N32+U32</f>
        <v>511.05</v>
      </c>
      <c r="X32" s="53" t="n">
        <f aca="false">IF(L32&lt;0,L32*-1,0)</f>
        <v>0</v>
      </c>
      <c r="Y32" s="53" t="n">
        <f aca="false">W32+X32</f>
        <v>511.05</v>
      </c>
      <c r="Z32" s="57" t="n">
        <v>0</v>
      </c>
      <c r="AA32" s="58" t="n">
        <v>59</v>
      </c>
      <c r="AB32" s="58" t="n">
        <v>40</v>
      </c>
      <c r="AC32" s="59" t="n">
        <v>23</v>
      </c>
      <c r="AD32" s="89"/>
      <c r="AE32" s="90"/>
      <c r="AF32" s="90"/>
    </row>
    <row r="33" customFormat="false" ht="11.1" hidden="false" customHeight="true" outlineLevel="0" collapsed="false">
      <c r="A33" s="59" t="n">
        <v>24</v>
      </c>
      <c r="B33" s="74" t="n">
        <v>6917.29</v>
      </c>
      <c r="C33" s="54" t="n">
        <v>351983</v>
      </c>
      <c r="D33" s="58" t="n">
        <f aca="false">C33-C32</f>
        <v>-340</v>
      </c>
      <c r="E33" s="54" t="n">
        <f aca="false">C33-151978</f>
        <v>200005</v>
      </c>
      <c r="F33" s="53" t="n">
        <f aca="false">D33/$D$2</f>
        <v>-171.414166876733</v>
      </c>
      <c r="G33" s="53" t="n">
        <v>264</v>
      </c>
      <c r="H33" s="55" t="n">
        <v>3.8</v>
      </c>
      <c r="I33" s="53" t="n">
        <f aca="false">G33+H33</f>
        <v>267.8</v>
      </c>
      <c r="J33" s="75" t="n">
        <f aca="false">IF(L33&gt;0,L33,0)</f>
        <v>28.6758331232669</v>
      </c>
      <c r="K33" s="53" t="n">
        <f aca="false">I33+J33</f>
        <v>296.475833123267</v>
      </c>
      <c r="L33" s="53" t="n">
        <f aca="false">F33-(I33-W33)</f>
        <v>28.6758331232669</v>
      </c>
      <c r="M33" s="53" t="n">
        <v>191</v>
      </c>
      <c r="N33" s="53" t="n">
        <f aca="false">26.39+27.31*1.05</f>
        <v>55.0655</v>
      </c>
      <c r="O33" s="53" t="n">
        <f aca="false">M33-N33</f>
        <v>135.9345</v>
      </c>
      <c r="P33" s="53" t="n">
        <v>84</v>
      </c>
      <c r="Q33" s="53" t="n">
        <v>52</v>
      </c>
      <c r="R33" s="53" t="n">
        <f aca="false">SUM(O33:Q33)</f>
        <v>271.9345</v>
      </c>
      <c r="S33" s="54" t="n">
        <f aca="false">(I33-R33)+S32</f>
        <v>35061.6124643559</v>
      </c>
      <c r="T33" s="53" t="n">
        <v>58.89</v>
      </c>
      <c r="U33" s="53" t="n">
        <v>82</v>
      </c>
      <c r="V33" s="54" t="n">
        <f aca="false">V32-U33</f>
        <v>8708</v>
      </c>
      <c r="W33" s="53" t="n">
        <f aca="false">R33+T33+N33+U33</f>
        <v>467.89</v>
      </c>
      <c r="X33" s="53" t="n">
        <f aca="false">IF(L33&lt;0,L33*-1,0)</f>
        <v>0</v>
      </c>
      <c r="Y33" s="53" t="n">
        <f aca="false">W33+X33</f>
        <v>467.89</v>
      </c>
      <c r="Z33" s="57" t="n">
        <v>0.02</v>
      </c>
      <c r="AA33" s="58" t="n">
        <v>71</v>
      </c>
      <c r="AB33" s="58" t="n">
        <v>49</v>
      </c>
      <c r="AC33" s="59" t="n">
        <v>24</v>
      </c>
      <c r="AD33" s="89"/>
      <c r="AE33" s="90"/>
      <c r="AF33" s="90"/>
    </row>
    <row r="34" customFormat="false" ht="11.1" hidden="false" customHeight="true" outlineLevel="0" collapsed="false">
      <c r="A34" s="59" t="n">
        <v>25</v>
      </c>
      <c r="B34" s="74" t="n">
        <v>6917.17</v>
      </c>
      <c r="C34" s="54" t="n">
        <v>351475</v>
      </c>
      <c r="D34" s="58" t="n">
        <f aca="false">C34-C33</f>
        <v>-508</v>
      </c>
      <c r="E34" s="54" t="n">
        <f aca="false">C34-151978</f>
        <v>199497</v>
      </c>
      <c r="F34" s="53" t="n">
        <f aca="false">D34/$D$2</f>
        <v>-256.112931686413</v>
      </c>
      <c r="G34" s="53" t="n">
        <v>220</v>
      </c>
      <c r="H34" s="55" t="n">
        <v>3.5</v>
      </c>
      <c r="I34" s="53" t="n">
        <f aca="false">G34+H34</f>
        <v>223.5</v>
      </c>
      <c r="J34" s="75" t="n">
        <f aca="false">IF(L34&gt;0,L34,0)</f>
        <v>0</v>
      </c>
      <c r="K34" s="53" t="n">
        <f aca="false">I34+J34</f>
        <v>223.5</v>
      </c>
      <c r="L34" s="53" t="n">
        <f aca="false">F34-(I34-W34)</f>
        <v>-29.6129316864129</v>
      </c>
      <c r="M34" s="53" t="n">
        <v>166</v>
      </c>
      <c r="N34" s="53" t="n">
        <f aca="false">12.39+13.36*1.05</f>
        <v>26.418</v>
      </c>
      <c r="O34" s="53" t="n">
        <f aca="false">M34-N34</f>
        <v>139.582</v>
      </c>
      <c r="P34" s="53" t="n">
        <v>84</v>
      </c>
      <c r="Q34" s="53" t="n">
        <v>52</v>
      </c>
      <c r="R34" s="53" t="n">
        <f aca="false">SUM(O34:Q34)</f>
        <v>275.582</v>
      </c>
      <c r="S34" s="54" t="n">
        <f aca="false">(I34-R34)+S33</f>
        <v>35009.5304643559</v>
      </c>
      <c r="T34" s="53" t="n">
        <v>65</v>
      </c>
      <c r="U34" s="53" t="n">
        <v>83</v>
      </c>
      <c r="V34" s="54" t="n">
        <f aca="false">V33-U34</f>
        <v>8625</v>
      </c>
      <c r="W34" s="53" t="n">
        <f aca="false">R34+T34+N34+U34</f>
        <v>450</v>
      </c>
      <c r="X34" s="53" t="n">
        <f aca="false">IF(L34&lt;0,L34*-1,0)</f>
        <v>29.6129316864129</v>
      </c>
      <c r="Y34" s="53" t="n">
        <f aca="false">W34+X34</f>
        <v>479.612931686413</v>
      </c>
      <c r="Z34" s="57" t="n">
        <v>0</v>
      </c>
      <c r="AA34" s="58" t="n">
        <v>77</v>
      </c>
      <c r="AB34" s="58" t="n">
        <v>43</v>
      </c>
      <c r="AC34" s="59" t="n">
        <v>25</v>
      </c>
      <c r="AD34" s="89"/>
      <c r="AE34" s="90"/>
      <c r="AF34" s="90"/>
    </row>
    <row r="35" customFormat="false" ht="11.1" hidden="false" customHeight="true" outlineLevel="0" collapsed="false">
      <c r="A35" s="59" t="n">
        <v>26</v>
      </c>
      <c r="B35" s="74" t="n">
        <v>6917.04</v>
      </c>
      <c r="C35" s="54" t="n">
        <v>350923</v>
      </c>
      <c r="D35" s="58" t="n">
        <f aca="false">C35-C34</f>
        <v>-552</v>
      </c>
      <c r="E35" s="54" t="n">
        <f aca="false">C35-151978</f>
        <v>198945</v>
      </c>
      <c r="F35" s="53" t="n">
        <f aca="false">D35/$D$2</f>
        <v>-278.295941517519</v>
      </c>
      <c r="G35" s="53" t="n">
        <v>201</v>
      </c>
      <c r="H35" s="55" t="n">
        <v>2.9</v>
      </c>
      <c r="I35" s="53" t="n">
        <f aca="false">G35+H35</f>
        <v>203.9</v>
      </c>
      <c r="J35" s="75" t="n">
        <f aca="false">IF(L35&gt;0,L35,0)</f>
        <v>0</v>
      </c>
      <c r="K35" s="53" t="n">
        <f aca="false">I35+J35</f>
        <v>203.9</v>
      </c>
      <c r="L35" s="53" t="n">
        <f aca="false">F35-(I35-W35)</f>
        <v>-51.7859415175195</v>
      </c>
      <c r="M35" s="53" t="n">
        <v>158</v>
      </c>
      <c r="N35" s="53" t="n">
        <f aca="false">7.92+13.48*1.05</f>
        <v>22.074</v>
      </c>
      <c r="O35" s="53" t="n">
        <f aca="false">M35-N35</f>
        <v>135.926</v>
      </c>
      <c r="P35" s="53" t="n">
        <v>84</v>
      </c>
      <c r="Q35" s="53" t="n">
        <v>52</v>
      </c>
      <c r="R35" s="53" t="n">
        <f aca="false">SUM(O35:Q35)</f>
        <v>271.926</v>
      </c>
      <c r="S35" s="54" t="n">
        <f aca="false">(I35-R35)+S34</f>
        <v>34941.5044643559</v>
      </c>
      <c r="T35" s="53" t="n">
        <v>49.41</v>
      </c>
      <c r="U35" s="53" t="n">
        <v>87</v>
      </c>
      <c r="V35" s="54" t="n">
        <f aca="false">V34-U35</f>
        <v>8538</v>
      </c>
      <c r="W35" s="53" t="n">
        <f aca="false">R35+T35+N35+U35</f>
        <v>430.41</v>
      </c>
      <c r="X35" s="53" t="n">
        <f aca="false">IF(L35&lt;0,L35*-1,0)</f>
        <v>51.7859415175195</v>
      </c>
      <c r="Y35" s="53" t="n">
        <f aca="false">W35+X35</f>
        <v>482.19594151752</v>
      </c>
      <c r="Z35" s="57" t="n">
        <v>0</v>
      </c>
      <c r="AA35" s="58" t="n">
        <v>81</v>
      </c>
      <c r="AB35" s="58" t="n">
        <v>44</v>
      </c>
      <c r="AC35" s="59" t="n">
        <v>26</v>
      </c>
      <c r="AD35" s="89"/>
      <c r="AE35" s="90"/>
      <c r="AF35" s="90"/>
    </row>
    <row r="36" customFormat="false" ht="11.1" hidden="false" customHeight="true" outlineLevel="0" collapsed="false">
      <c r="A36" s="59" t="n">
        <v>27</v>
      </c>
      <c r="B36" s="74" t="n">
        <v>6916.91</v>
      </c>
      <c r="C36" s="54" t="n">
        <v>350375</v>
      </c>
      <c r="D36" s="58" t="n">
        <f aca="false">C36-C35</f>
        <v>-548</v>
      </c>
      <c r="E36" s="54" t="n">
        <f aca="false">C36-151978</f>
        <v>198397</v>
      </c>
      <c r="F36" s="53" t="n">
        <f aca="false">D36/$D$2</f>
        <v>-276.279304260146</v>
      </c>
      <c r="G36" s="53" t="n">
        <v>187</v>
      </c>
      <c r="H36" s="55" t="n">
        <v>2.4</v>
      </c>
      <c r="I36" s="53" t="n">
        <f aca="false">G36+H36</f>
        <v>189.4</v>
      </c>
      <c r="J36" s="75" t="n">
        <f aca="false">IF(L36&gt;0,L36,0)</f>
        <v>0</v>
      </c>
      <c r="K36" s="53" t="n">
        <f aca="false">I36+J36</f>
        <v>189.4</v>
      </c>
      <c r="L36" s="53" t="n">
        <f aca="false">F36-(I36-W36)</f>
        <v>-27.3393042601462</v>
      </c>
      <c r="M36" s="53" t="n">
        <v>173</v>
      </c>
      <c r="N36" s="53" t="n">
        <f aca="false">12.4+11.94*1.05</f>
        <v>24.937</v>
      </c>
      <c r="O36" s="53" t="n">
        <f aca="false">M36-N36</f>
        <v>148.063</v>
      </c>
      <c r="P36" s="53" t="n">
        <v>84</v>
      </c>
      <c r="Q36" s="53" t="n">
        <v>52</v>
      </c>
      <c r="R36" s="53" t="n">
        <f aca="false">SUM(O36:Q36)</f>
        <v>284.063</v>
      </c>
      <c r="S36" s="54" t="n">
        <f aca="false">(I36-R36)+S35</f>
        <v>34846.8414643559</v>
      </c>
      <c r="T36" s="53" t="n">
        <v>45.34</v>
      </c>
      <c r="U36" s="53" t="n">
        <v>84</v>
      </c>
      <c r="V36" s="54" t="n">
        <f aca="false">V35-U36</f>
        <v>8454</v>
      </c>
      <c r="W36" s="53" t="n">
        <f aca="false">R36+T36+N36+U36</f>
        <v>438.34</v>
      </c>
      <c r="X36" s="53" t="n">
        <f aca="false">IF(L36&lt;0,L36*-1,0)</f>
        <v>27.3393042601462</v>
      </c>
      <c r="Y36" s="53" t="n">
        <f aca="false">W36+X36</f>
        <v>465.679304260146</v>
      </c>
      <c r="Z36" s="57" t="n">
        <v>0</v>
      </c>
      <c r="AA36" s="58" t="n">
        <v>67</v>
      </c>
      <c r="AB36" s="58" t="n">
        <v>41</v>
      </c>
      <c r="AC36" s="59" t="n">
        <v>27</v>
      </c>
      <c r="AD36" s="89"/>
      <c r="AE36" s="90"/>
      <c r="AF36" s="90"/>
    </row>
    <row r="37" customFormat="false" ht="11.1" hidden="false" customHeight="true" outlineLevel="0" collapsed="false">
      <c r="A37" s="59" t="n">
        <v>28</v>
      </c>
      <c r="B37" s="74" t="n">
        <v>6916.79</v>
      </c>
      <c r="C37" s="54" t="n">
        <v>349870</v>
      </c>
      <c r="D37" s="58" t="n">
        <f aca="false">C37-C36</f>
        <v>-505</v>
      </c>
      <c r="E37" s="54" t="n">
        <f aca="false">C37-151978</f>
        <v>197892</v>
      </c>
      <c r="F37" s="53" t="n">
        <f aca="false">D37/$D$2</f>
        <v>-254.600453743383</v>
      </c>
      <c r="G37" s="53" t="n">
        <v>171</v>
      </c>
      <c r="H37" s="55" t="n">
        <v>2.1</v>
      </c>
      <c r="I37" s="53" t="n">
        <f aca="false">G37+H37</f>
        <v>173.1</v>
      </c>
      <c r="J37" s="75" t="n">
        <f aca="false">IF(L37&gt;0,L37,0)</f>
        <v>0</v>
      </c>
      <c r="K37" s="53" t="n">
        <f aca="false">I37+J37</f>
        <v>173.1</v>
      </c>
      <c r="L37" s="53" t="n">
        <f aca="false">F37-(I37-W37)</f>
        <v>-50.8704537433829</v>
      </c>
      <c r="M37" s="53" t="n">
        <v>167</v>
      </c>
      <c r="N37" s="53" t="n">
        <f aca="false">15.51+14.69*1.05</f>
        <v>30.9345</v>
      </c>
      <c r="O37" s="53" t="n">
        <f aca="false">M37-N37</f>
        <v>136.0655</v>
      </c>
      <c r="P37" s="53" t="n">
        <v>84</v>
      </c>
      <c r="Q37" s="53" t="n">
        <v>33</v>
      </c>
      <c r="R37" s="53" t="n">
        <f aca="false">SUM(O37:Q37)</f>
        <v>253.0655</v>
      </c>
      <c r="S37" s="54" t="n">
        <f aca="false">(I37-R37)+S36</f>
        <v>34766.8759643559</v>
      </c>
      <c r="T37" s="53" t="n">
        <v>14.83</v>
      </c>
      <c r="U37" s="53" t="n">
        <v>78</v>
      </c>
      <c r="V37" s="54" t="n">
        <f aca="false">V36-U37</f>
        <v>8376</v>
      </c>
      <c r="W37" s="53" t="n">
        <f aca="false">R37+T37+N37+U37</f>
        <v>376.83</v>
      </c>
      <c r="X37" s="53" t="n">
        <f aca="false">IF(L37&lt;0,L37*-1,0)</f>
        <v>50.8704537433829</v>
      </c>
      <c r="Y37" s="53" t="n">
        <f aca="false">W37+X37</f>
        <v>427.700453743383</v>
      </c>
      <c r="Z37" s="57" t="n">
        <v>0</v>
      </c>
      <c r="AA37" s="58" t="n">
        <v>55</v>
      </c>
      <c r="AB37" s="58" t="n">
        <v>34</v>
      </c>
      <c r="AC37" s="59" t="n">
        <v>28</v>
      </c>
      <c r="AD37" s="89"/>
      <c r="AE37" s="90"/>
      <c r="AF37" s="90"/>
    </row>
    <row r="38" customFormat="false" ht="11.1" hidden="false" customHeight="true" outlineLevel="0" collapsed="false">
      <c r="A38" s="59" t="n">
        <v>29</v>
      </c>
      <c r="B38" s="74" t="n">
        <v>6916.65</v>
      </c>
      <c r="C38" s="54" t="n">
        <v>349281</v>
      </c>
      <c r="D38" s="58" t="n">
        <f aca="false">C38-C37</f>
        <v>-589</v>
      </c>
      <c r="E38" s="54" t="n">
        <f aca="false">C38-151978</f>
        <v>197303</v>
      </c>
      <c r="F38" s="53" t="n">
        <f aca="false">D38/$D$2</f>
        <v>-296.949836148223</v>
      </c>
      <c r="G38" s="53" t="n">
        <v>163</v>
      </c>
      <c r="H38" s="55" t="n">
        <v>2.1</v>
      </c>
      <c r="I38" s="53" t="n">
        <f aca="false">G38+H38</f>
        <v>165.1</v>
      </c>
      <c r="J38" s="75" t="n">
        <f aca="false">IF(L38&gt;0,L38,0)</f>
        <v>0</v>
      </c>
      <c r="K38" s="53" t="n">
        <f aca="false">I38+J38</f>
        <v>165.1</v>
      </c>
      <c r="L38" s="53" t="n">
        <f aca="false">F38-(I38-W38)</f>
        <v>-45.6498361482229</v>
      </c>
      <c r="M38" s="53" t="n">
        <v>180</v>
      </c>
      <c r="N38" s="53" t="n">
        <f aca="false">17.71+16.95*1.05</f>
        <v>35.5075</v>
      </c>
      <c r="O38" s="53" t="n">
        <f aca="false">M38-N38</f>
        <v>144.4925</v>
      </c>
      <c r="P38" s="53" t="n">
        <v>84</v>
      </c>
      <c r="Q38" s="53" t="n">
        <v>49</v>
      </c>
      <c r="R38" s="53" t="n">
        <f aca="false">SUM(O38:Q38)</f>
        <v>277.4925</v>
      </c>
      <c r="S38" s="54" t="n">
        <f aca="false">(I38-R38)+S37</f>
        <v>34654.4834643559</v>
      </c>
      <c r="T38" s="53" t="n">
        <v>23.4</v>
      </c>
      <c r="U38" s="53" t="n">
        <v>80</v>
      </c>
      <c r="V38" s="54" t="n">
        <f aca="false">V37-U38</f>
        <v>8296</v>
      </c>
      <c r="W38" s="53" t="n">
        <f aca="false">R38+T38+N38+U38</f>
        <v>416.4</v>
      </c>
      <c r="X38" s="53" t="n">
        <f aca="false">IF(L38&lt;0,L38*-1,0)</f>
        <v>45.6498361482229</v>
      </c>
      <c r="Y38" s="53" t="n">
        <f aca="false">W38+X38</f>
        <v>462.049836148223</v>
      </c>
      <c r="Z38" s="57" t="n">
        <v>0</v>
      </c>
      <c r="AA38" s="58" t="n">
        <v>70</v>
      </c>
      <c r="AB38" s="58" t="n">
        <v>28</v>
      </c>
      <c r="AC38" s="59" t="n">
        <v>29</v>
      </c>
      <c r="AD38" s="89"/>
      <c r="AE38" s="90"/>
      <c r="AF38" s="90"/>
    </row>
    <row r="39" customFormat="false" ht="11.1" hidden="false" customHeight="true" outlineLevel="0" collapsed="false">
      <c r="A39" s="59" t="n">
        <v>30</v>
      </c>
      <c r="B39" s="74" t="n">
        <v>6916.51</v>
      </c>
      <c r="C39" s="54" t="n">
        <v>348692</v>
      </c>
      <c r="D39" s="58" t="n">
        <f aca="false">C39-C38</f>
        <v>-589</v>
      </c>
      <c r="E39" s="54" t="n">
        <f aca="false">C39-151978</f>
        <v>196714</v>
      </c>
      <c r="F39" s="53" t="n">
        <f aca="false">D39/$D$2</f>
        <v>-296.949836148223</v>
      </c>
      <c r="G39" s="53" t="n">
        <v>159</v>
      </c>
      <c r="H39" s="55" t="n">
        <v>2</v>
      </c>
      <c r="I39" s="53" t="n">
        <f aca="false">G39+H39</f>
        <v>161</v>
      </c>
      <c r="J39" s="75" t="n">
        <f aca="false">IF(L39&gt;0,L39,0)</f>
        <v>0</v>
      </c>
      <c r="K39" s="53" t="n">
        <f aca="false">I39+J39</f>
        <v>161</v>
      </c>
      <c r="L39" s="53" t="n">
        <f aca="false">F39-(I39-W39)</f>
        <v>-54.9498361482229</v>
      </c>
      <c r="M39" s="53" t="n">
        <v>175</v>
      </c>
      <c r="N39" s="53" t="n">
        <f aca="false">18.79+20.04*1.05</f>
        <v>39.832</v>
      </c>
      <c r="O39" s="53" t="n">
        <f aca="false">M39-N39</f>
        <v>135.168</v>
      </c>
      <c r="P39" s="53" t="n">
        <v>84</v>
      </c>
      <c r="Q39" s="53" t="n">
        <v>51</v>
      </c>
      <c r="R39" s="53" t="n">
        <f aca="false">SUM(O39:Q39)</f>
        <v>270.168</v>
      </c>
      <c r="S39" s="54" t="n">
        <f aca="false">(I39-R39)+S38</f>
        <v>34545.3154643559</v>
      </c>
      <c r="T39" s="53" t="n">
        <v>23</v>
      </c>
      <c r="U39" s="53" t="n">
        <v>70</v>
      </c>
      <c r="V39" s="54" t="n">
        <f aca="false">V38-U39</f>
        <v>8226</v>
      </c>
      <c r="W39" s="53" t="n">
        <f aca="false">R39+T39+N39+U39</f>
        <v>403</v>
      </c>
      <c r="X39" s="53" t="n">
        <f aca="false">IF(L39&lt;0,L39*-1,0)</f>
        <v>54.9498361482229</v>
      </c>
      <c r="Y39" s="53" t="n">
        <f aca="false">W39+X39</f>
        <v>457.949836148223</v>
      </c>
      <c r="Z39" s="57" t="n">
        <v>0</v>
      </c>
      <c r="AA39" s="131" t="n">
        <v>75</v>
      </c>
      <c r="AB39" s="58" t="n">
        <v>33</v>
      </c>
      <c r="AC39" s="59" t="n">
        <v>30</v>
      </c>
      <c r="AD39" s="89"/>
      <c r="AE39" s="90"/>
      <c r="AF39" s="90"/>
    </row>
    <row r="40" customFormat="false" ht="3" hidden="false" customHeight="true" outlineLevel="0" collapsed="false">
      <c r="A40" s="76"/>
      <c r="B40" s="76"/>
      <c r="C40" s="78"/>
      <c r="D40" s="76"/>
      <c r="E40" s="78"/>
      <c r="F40" s="76"/>
      <c r="G40" s="76"/>
      <c r="H40" s="79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8"/>
      <c r="T40" s="76"/>
      <c r="U40" s="76"/>
      <c r="V40" s="76"/>
      <c r="W40" s="76"/>
      <c r="X40" s="76"/>
      <c r="Y40" s="76"/>
      <c r="Z40" s="80"/>
      <c r="AA40" s="81"/>
      <c r="AB40" s="81"/>
      <c r="AC40" s="82"/>
      <c r="AD40" s="88"/>
      <c r="AE40" s="88"/>
      <c r="AF40" s="89"/>
    </row>
    <row r="41" customFormat="false" ht="11.1" hidden="false" customHeight="true" outlineLevel="0" collapsed="false">
      <c r="A41" s="53" t="s">
        <v>45</v>
      </c>
      <c r="B41" s="53"/>
      <c r="C41" s="54"/>
      <c r="D41" s="54"/>
      <c r="E41" s="54"/>
      <c r="F41" s="54" t="n">
        <f aca="false">SUM(F10:F39)</f>
        <v>-12678.0942777918</v>
      </c>
      <c r="G41" s="54" t="n">
        <f aca="false">SUM(G10:G39)</f>
        <v>11657</v>
      </c>
      <c r="H41" s="54" t="n">
        <f aca="false">SUM(H10:H39)</f>
        <v>181.6</v>
      </c>
      <c r="I41" s="54" t="n">
        <f aca="false">SUM(I10:I39)</f>
        <v>11838.6</v>
      </c>
      <c r="J41" s="54" t="n">
        <f aca="false">SUM(J10:J39)</f>
        <v>964.375938996724</v>
      </c>
      <c r="K41" s="54" t="n">
        <f aca="false">SUM(K10:K39)</f>
        <v>12802.9759389967</v>
      </c>
      <c r="L41" s="54" t="n">
        <f aca="false">SUM(L10:L39)</f>
        <v>471.345722208219</v>
      </c>
      <c r="M41" s="54" t="n">
        <f aca="false">SUM(M10:M39)</f>
        <v>6434</v>
      </c>
      <c r="N41" s="54" t="n">
        <f aca="false">SUM(N10:N39)</f>
        <v>1638.542</v>
      </c>
      <c r="O41" s="54" t="n">
        <f aca="false">SUM(O10:O39)</f>
        <v>4795.458</v>
      </c>
      <c r="P41" s="54" t="n">
        <f aca="false">SUM(P10:P39)</f>
        <v>2656</v>
      </c>
      <c r="Q41" s="54" t="n">
        <f aca="false">SUM(Q10:Q39)</f>
        <v>1485</v>
      </c>
      <c r="R41" s="54" t="n">
        <f aca="false">SUM(R10:R39)</f>
        <v>8936.458</v>
      </c>
      <c r="S41" s="54"/>
      <c r="T41" s="54" t="n">
        <f aca="false">SUM(T10:T39)</f>
        <v>2688.04</v>
      </c>
      <c r="U41" s="54" t="n">
        <f aca="false">SUM(U10:U39)</f>
        <v>11725</v>
      </c>
      <c r="V41" s="54"/>
      <c r="W41" s="54" t="n">
        <f aca="false">SUM(W10:W39)</f>
        <v>24988.04</v>
      </c>
      <c r="X41" s="54" t="n">
        <f aca="false">SUM(X10:X39)</f>
        <v>493.030216788505</v>
      </c>
      <c r="Y41" s="54" t="n">
        <f aca="false">SUM(Y10:Y39)</f>
        <v>25481.0702167885</v>
      </c>
      <c r="Z41" s="57" t="n">
        <f aca="false">SUM(Z10:Z39)</f>
        <v>1.33</v>
      </c>
      <c r="AA41" s="58" t="n">
        <f aca="false">AVERAGE(AA10:AA39)</f>
        <v>74.5</v>
      </c>
      <c r="AB41" s="58" t="n">
        <f aca="false">AVERAGE(AB10:AB39)</f>
        <v>43.7666666666667</v>
      </c>
      <c r="AC41" s="59"/>
      <c r="AD41" s="88"/>
      <c r="AE41" s="88"/>
      <c r="AF41" s="89"/>
    </row>
    <row r="42" customFormat="false" ht="11.1" hidden="false" customHeight="true" outlineLevel="0" collapsed="false">
      <c r="A42" s="53" t="s">
        <v>46</v>
      </c>
      <c r="B42" s="53"/>
      <c r="C42" s="54"/>
      <c r="D42" s="54" t="n">
        <f aca="false">SUM(D10:D10)</f>
        <v>839</v>
      </c>
      <c r="E42" s="54"/>
      <c r="F42" s="54" t="n">
        <f aca="false">F41*$D$2</f>
        <v>-25147</v>
      </c>
      <c r="G42" s="54" t="n">
        <f aca="false">G41*$D$2</f>
        <v>23121.6595</v>
      </c>
      <c r="H42" s="54" t="n">
        <f aca="false">H41*$D$2</f>
        <v>360.2036</v>
      </c>
      <c r="I42" s="54" t="n">
        <f aca="false">I41*$D$2</f>
        <v>23481.8631</v>
      </c>
      <c r="J42" s="54" t="n">
        <f aca="false">J41*$D$2</f>
        <v>1912.839675</v>
      </c>
      <c r="K42" s="54" t="n">
        <f aca="false">K41*$D$2</f>
        <v>25394.702775</v>
      </c>
      <c r="L42" s="54" t="n">
        <f aca="false">L41*$D$2</f>
        <v>934.914240000003</v>
      </c>
      <c r="M42" s="54" t="n">
        <f aca="false">M41*$D$2</f>
        <v>12761.839</v>
      </c>
      <c r="N42" s="54" t="n">
        <f aca="false">N41*$D$2</f>
        <v>3250.048057</v>
      </c>
      <c r="O42" s="54" t="n">
        <f aca="false">O41*$D$2</f>
        <v>9511.790943</v>
      </c>
      <c r="P42" s="54" t="n">
        <f aca="false">P41*$D$2</f>
        <v>5268.176</v>
      </c>
      <c r="Q42" s="54" t="n">
        <f aca="false">Q41*$D$2</f>
        <v>2945.4975</v>
      </c>
      <c r="R42" s="54" t="n">
        <f aca="false">R41*$D$2</f>
        <v>17725.464443</v>
      </c>
      <c r="S42" s="54"/>
      <c r="T42" s="54" t="n">
        <f aca="false">T41*$D$2</f>
        <v>5331.72734</v>
      </c>
      <c r="U42" s="54" t="n">
        <f aca="false">U41*$D$2</f>
        <v>23256.5375</v>
      </c>
      <c r="V42" s="54"/>
      <c r="W42" s="54" t="n">
        <f aca="false">W41*$D$2</f>
        <v>49563.77734</v>
      </c>
      <c r="X42" s="54" t="n">
        <f aca="false">X41*$D$2</f>
        <v>977.925434999999</v>
      </c>
      <c r="Y42" s="54" t="n">
        <f aca="false">Y41*$D$2</f>
        <v>50541.702775</v>
      </c>
      <c r="Z42" s="57"/>
      <c r="AA42" s="58" t="n">
        <f aca="false">MAX(AA10:AA39)</f>
        <v>86</v>
      </c>
      <c r="AB42" s="58" t="n">
        <f aca="false">MAX(AB10:AB39)</f>
        <v>52</v>
      </c>
      <c r="AC42" s="59" t="s">
        <v>47</v>
      </c>
      <c r="AD42" s="88"/>
      <c r="AE42" s="88"/>
      <c r="AF42" s="89"/>
    </row>
    <row r="43" customFormat="false" ht="3" hidden="false" customHeight="true" outlineLevel="0" collapsed="false">
      <c r="A43" s="76"/>
      <c r="B43" s="76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6"/>
      <c r="W43" s="78"/>
      <c r="X43" s="78"/>
      <c r="Y43" s="78"/>
      <c r="Z43" s="57"/>
      <c r="AA43" s="58"/>
      <c r="AB43" s="58"/>
      <c r="AC43" s="59"/>
      <c r="AD43" s="88"/>
      <c r="AE43" s="88"/>
      <c r="AF43" s="89"/>
    </row>
    <row r="44" customFormat="false" ht="11.1" hidden="false" customHeight="true" outlineLevel="0" collapsed="false">
      <c r="A44" s="53" t="s">
        <v>48</v>
      </c>
      <c r="B44" s="53"/>
      <c r="C44" s="54"/>
      <c r="D44" s="54"/>
      <c r="E44" s="54"/>
      <c r="F44" s="54" t="n">
        <f aca="false">F7+F41</f>
        <v>34899.4202167885</v>
      </c>
      <c r="G44" s="54" t="n">
        <f aca="false">G7+G41</f>
        <v>165358</v>
      </c>
      <c r="H44" s="54" t="n">
        <f aca="false">H7+H41</f>
        <v>4991.6</v>
      </c>
      <c r="I44" s="54" t="n">
        <f aca="false">I7+I41</f>
        <v>170349.6</v>
      </c>
      <c r="J44" s="54" t="n">
        <f aca="false">J7+J41</f>
        <v>19340.6919586589</v>
      </c>
      <c r="K44" s="54" t="n">
        <f aca="false">K7+K41</f>
        <v>189690.291958659</v>
      </c>
      <c r="L44" s="54" t="n">
        <f aca="false">L7+L41</f>
        <v>17808.6202167885</v>
      </c>
      <c r="M44" s="54" t="n">
        <f aca="false">M7+M41</f>
        <v>35540.6</v>
      </c>
      <c r="N44" s="54" t="n">
        <f aca="false">N7+N41</f>
        <v>8225.3713</v>
      </c>
      <c r="O44" s="54" t="n">
        <f aca="false">O7+O41</f>
        <v>27315.2287</v>
      </c>
      <c r="P44" s="54" t="n">
        <f aca="false">P7+P41</f>
        <v>16905</v>
      </c>
      <c r="Q44" s="54" t="n">
        <f aca="false">Q7+Q41</f>
        <v>9419.3</v>
      </c>
      <c r="R44" s="54" t="n">
        <f aca="false">R7+R41</f>
        <v>53639.5287</v>
      </c>
      <c r="S44" s="54" t="n">
        <f aca="false">S38</f>
        <v>34654.4834643559</v>
      </c>
      <c r="T44" s="54" t="n">
        <f aca="false">T7+T41</f>
        <v>17911.9</v>
      </c>
      <c r="U44" s="54" t="n">
        <f aca="false">U7+U41</f>
        <v>73482</v>
      </c>
      <c r="V44" s="54"/>
      <c r="W44" s="54" t="n">
        <f aca="false">W7+W41</f>
        <v>153258.8</v>
      </c>
      <c r="X44" s="54" t="n">
        <f aca="false">X7+X41</f>
        <v>1532.07174187043</v>
      </c>
      <c r="Y44" s="54" t="n">
        <f aca="false">Y7+Y41</f>
        <v>154790.87174187</v>
      </c>
      <c r="Z44" s="57"/>
      <c r="AA44" s="58" t="n">
        <f aca="false">MIN(AA10:AA39)</f>
        <v>55</v>
      </c>
      <c r="AB44" s="58" t="n">
        <f aca="false">MIN(AB10:AB39)</f>
        <v>28</v>
      </c>
      <c r="AC44" s="59" t="s">
        <v>49</v>
      </c>
      <c r="AD44" s="88"/>
      <c r="AE44" s="88"/>
      <c r="AF44" s="89"/>
    </row>
    <row r="45" customFormat="false" ht="11.1" hidden="false" customHeight="true" outlineLevel="0" collapsed="false">
      <c r="A45" s="53" t="s">
        <v>50</v>
      </c>
      <c r="B45" s="53"/>
      <c r="C45" s="54"/>
      <c r="D45" s="54"/>
      <c r="E45" s="54"/>
      <c r="F45" s="54" t="n">
        <f aca="false">F44*$D$2</f>
        <v>69223</v>
      </c>
      <c r="G45" s="54" t="n">
        <f aca="false">G44*$D$2</f>
        <v>327987.593</v>
      </c>
      <c r="H45" s="54" t="n">
        <f aca="false">H44*$D$2</f>
        <v>9900.8386</v>
      </c>
      <c r="I45" s="54" t="n">
        <f aca="false">I44*$D$2</f>
        <v>337888.4316</v>
      </c>
      <c r="J45" s="54" t="n">
        <f aca="false">J44*$D$2</f>
        <v>38362.2625</v>
      </c>
      <c r="K45" s="54" t="n">
        <f aca="false">K44*$D$2</f>
        <v>376250.6941</v>
      </c>
      <c r="L45" s="54" t="n">
        <f aca="false">L44*$D$2</f>
        <v>35323.3982</v>
      </c>
      <c r="M45" s="54" t="n">
        <f aca="false">M44*$D$2</f>
        <v>70494.7801</v>
      </c>
      <c r="N45" s="54" t="n">
        <f aca="false">N44*$D$2</f>
        <v>16315.02397355</v>
      </c>
      <c r="O45" s="54" t="n">
        <f aca="false">O44*$D$2</f>
        <v>54179.75612645</v>
      </c>
      <c r="P45" s="54" t="n">
        <f aca="false">P44*$D$2</f>
        <v>33531.0675</v>
      </c>
      <c r="Q45" s="54" t="n">
        <f aca="false">Q44*$D$2</f>
        <v>18683.18155</v>
      </c>
      <c r="R45" s="54" t="n">
        <f aca="false">R44*$D$2</f>
        <v>106394.00517645</v>
      </c>
      <c r="S45" s="54" t="n">
        <f aca="false">S44*$D$2</f>
        <v>68737.16795155</v>
      </c>
      <c r="T45" s="54" t="n">
        <f aca="false">T44*$D$2</f>
        <v>35528.25365</v>
      </c>
      <c r="U45" s="54" t="n">
        <f aca="false">U44*$D$2</f>
        <v>145751.547</v>
      </c>
      <c r="V45" s="54"/>
      <c r="W45" s="54" t="n">
        <f aca="false">W44*$D$2</f>
        <v>303988.8298</v>
      </c>
      <c r="X45" s="54" t="n">
        <f aca="false">X44*$D$2</f>
        <v>3038.8643</v>
      </c>
      <c r="Y45" s="54" t="n">
        <f aca="false">Y44*$D$2</f>
        <v>307027.6941</v>
      </c>
      <c r="Z45" s="57"/>
      <c r="AA45" s="58"/>
      <c r="AB45" s="58"/>
      <c r="AC45" s="59"/>
      <c r="AD45" s="88"/>
      <c r="AE45" s="88"/>
      <c r="AF45" s="89"/>
    </row>
    <row r="46" customFormat="false" ht="3" hidden="false" customHeight="true" outlineLevel="0" collapsed="false">
      <c r="A46" s="76"/>
      <c r="B46" s="76"/>
      <c r="C46" s="78"/>
      <c r="D46" s="78"/>
      <c r="E46" s="78"/>
      <c r="F46" s="78"/>
      <c r="G46" s="78"/>
      <c r="H46" s="81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80"/>
      <c r="AA46" s="58"/>
      <c r="AB46" s="58"/>
      <c r="AC46" s="59"/>
      <c r="AD46" s="88"/>
      <c r="AE46" s="88"/>
      <c r="AF46" s="89"/>
    </row>
    <row r="47" customFormat="false" ht="11.1" hidden="false" customHeight="true" outlineLevel="0" collapsed="false">
      <c r="A47" s="53" t="s">
        <v>51</v>
      </c>
      <c r="B47" s="53"/>
      <c r="C47" s="54"/>
      <c r="D47" s="54"/>
      <c r="E47" s="54"/>
      <c r="F47" s="54" t="n">
        <f aca="false">F8+F41</f>
        <v>45663.2215780187</v>
      </c>
      <c r="G47" s="54" t="n">
        <f aca="false">G8+G41</f>
        <v>179791</v>
      </c>
      <c r="H47" s="58" t="n">
        <f aca="false">H8+H41</f>
        <v>5321.9</v>
      </c>
      <c r="I47" s="54" t="n">
        <f aca="false">I8+I41</f>
        <v>185107.8</v>
      </c>
      <c r="J47" s="54" t="n">
        <f aca="false">J8+J41</f>
        <v>23591.0598941265</v>
      </c>
      <c r="K47" s="54" t="n">
        <f aca="false">K8+K41</f>
        <v>208701.564582808</v>
      </c>
      <c r="L47" s="54" t="n">
        <f aca="false">L8+L41</f>
        <v>21516.1215780187</v>
      </c>
      <c r="M47" s="54" t="n">
        <f aca="false">M8+M41</f>
        <v>36776.4</v>
      </c>
      <c r="N47" s="54" t="n">
        <f aca="false">N8+N41</f>
        <v>8300.9398</v>
      </c>
      <c r="O47" s="54" t="n">
        <f aca="false">O8+O41</f>
        <v>28189.8602</v>
      </c>
      <c r="P47" s="54" t="n">
        <f aca="false">P8+P41</f>
        <v>16905</v>
      </c>
      <c r="Q47" s="54" t="n">
        <f aca="false">Q8+Q41</f>
        <v>9549.4</v>
      </c>
      <c r="R47" s="54" t="n">
        <f aca="false">R8+R41</f>
        <v>54874.6827</v>
      </c>
      <c r="S47" s="54"/>
      <c r="T47" s="54" t="n">
        <f aca="false">T8+T41</f>
        <v>17911.9</v>
      </c>
      <c r="U47" s="54" t="n">
        <f aca="false">U8+U41</f>
        <v>79818</v>
      </c>
      <c r="V47" s="54" t="n">
        <f aca="false">V39</f>
        <v>8226</v>
      </c>
      <c r="W47" s="54" t="n">
        <f aca="false">W8+W41</f>
        <v>160960.7</v>
      </c>
      <c r="X47" s="54" t="n">
        <f aca="false">X8+X41</f>
        <v>2074.93831610789</v>
      </c>
      <c r="Y47" s="54" t="n">
        <f aca="false">Y8+Y41</f>
        <v>163035.638316108</v>
      </c>
      <c r="Z47" s="75" t="n">
        <f aca="false">Z8+Z41</f>
        <v>16.38</v>
      </c>
      <c r="AA47" s="58"/>
      <c r="AB47" s="58"/>
      <c r="AC47" s="59"/>
      <c r="AD47" s="88"/>
      <c r="AE47" s="88"/>
      <c r="AF47" s="89"/>
    </row>
    <row r="48" customFormat="false" ht="11.1" hidden="false" customHeight="true" outlineLevel="0" collapsed="false">
      <c r="A48" s="53" t="s">
        <v>52</v>
      </c>
      <c r="B48" s="53"/>
      <c r="C48" s="54"/>
      <c r="D48" s="54" t="n">
        <f aca="false">D8+D42</f>
        <v>116559</v>
      </c>
      <c r="E48" s="54" t="n">
        <f aca="false">E39</f>
        <v>196714</v>
      </c>
      <c r="F48" s="54" t="n">
        <f aca="false">F47*$D$2</f>
        <v>90573</v>
      </c>
      <c r="G48" s="54" t="n">
        <f aca="false">G47*$D$2</f>
        <v>356615.4485</v>
      </c>
      <c r="H48" s="58" t="n">
        <f aca="false">H47*$D$2</f>
        <v>10555.98865</v>
      </c>
      <c r="I48" s="54" t="n">
        <f aca="false">I47*$D$2</f>
        <v>367161.3213</v>
      </c>
      <c r="J48" s="54" t="n">
        <f aca="false">J47*$D$2</f>
        <v>46792.8673</v>
      </c>
      <c r="K48" s="54" t="n">
        <f aca="false">K47*$D$2</f>
        <v>413959.55335</v>
      </c>
      <c r="L48" s="54" t="n">
        <f aca="false">L47*$D$2</f>
        <v>42677.22715</v>
      </c>
      <c r="M48" s="54" t="n">
        <f aca="false">M47*$D$2</f>
        <v>72945.9894</v>
      </c>
      <c r="N48" s="54" t="n">
        <f aca="false">N47*$D$2</f>
        <v>16464.9140933</v>
      </c>
      <c r="O48" s="54" t="n">
        <f aca="false">O47*$D$2</f>
        <v>55914.5877067</v>
      </c>
      <c r="P48" s="54" t="n">
        <f aca="false">P47*$D$2</f>
        <v>33531.0675</v>
      </c>
      <c r="Q48" s="54" t="n">
        <f aca="false">Q47*$D$2</f>
        <v>18941.2349</v>
      </c>
      <c r="R48" s="54" t="n">
        <f aca="false">R47*$D$2</f>
        <v>108843.93313545</v>
      </c>
      <c r="S48" s="54" t="n">
        <f aca="false">S47*$D$2</f>
        <v>0</v>
      </c>
      <c r="T48" s="54" t="n">
        <f aca="false">T47*$D$2</f>
        <v>35528.25365</v>
      </c>
      <c r="U48" s="54" t="n">
        <f aca="false">U47*$D$2</f>
        <v>158319.003</v>
      </c>
      <c r="V48" s="54" t="n">
        <f aca="false">V47*$D$2</f>
        <v>16316.271</v>
      </c>
      <c r="W48" s="54" t="n">
        <f aca="false">W47*$D$2</f>
        <v>319265.54845</v>
      </c>
      <c r="X48" s="54" t="n">
        <f aca="false">X47*$D$2</f>
        <v>4115.64015</v>
      </c>
      <c r="Y48" s="54" t="n">
        <f aca="false">Y47*$D$2</f>
        <v>323381.1886</v>
      </c>
      <c r="Z48" s="57"/>
      <c r="AA48" s="58"/>
      <c r="AB48" s="58"/>
      <c r="AC48" s="59"/>
      <c r="AD48" s="88"/>
      <c r="AE48" s="88"/>
      <c r="AF48" s="89"/>
    </row>
    <row r="49" customFormat="false" ht="3" hidden="false" customHeight="true" outlineLevel="0" collapsed="false">
      <c r="A49" s="76"/>
      <c r="B49" s="76"/>
      <c r="C49" s="78"/>
      <c r="D49" s="76"/>
      <c r="E49" s="78"/>
      <c r="F49" s="76"/>
      <c r="G49" s="76"/>
      <c r="H49" s="79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8"/>
      <c r="T49" s="76"/>
      <c r="U49" s="76"/>
      <c r="V49" s="78"/>
      <c r="W49" s="76"/>
      <c r="X49" s="76"/>
      <c r="Y49" s="76"/>
      <c r="Z49" s="57"/>
      <c r="AA49" s="58"/>
      <c r="AB49" s="58"/>
      <c r="AC49" s="59"/>
      <c r="AD49" s="88"/>
      <c r="AE49" s="88"/>
      <c r="AF49" s="89"/>
    </row>
    <row r="50" customFormat="false" ht="11.1" hidden="false" customHeight="true" outlineLevel="0" collapsed="false">
      <c r="A50" s="137"/>
      <c r="B50" s="85"/>
      <c r="C50" s="54"/>
      <c r="D50" s="53"/>
      <c r="E50" s="54"/>
      <c r="F50" s="53"/>
      <c r="G50" s="144" t="n">
        <v>36052</v>
      </c>
      <c r="H50" s="55"/>
      <c r="I50" s="53"/>
      <c r="J50" s="53"/>
      <c r="K50" s="53"/>
      <c r="L50" s="53"/>
      <c r="M50" s="53"/>
      <c r="N50" s="53"/>
      <c r="O50" s="53"/>
      <c r="P50" s="53"/>
      <c r="Q50" s="53" t="s">
        <v>95</v>
      </c>
      <c r="R50" s="53"/>
      <c r="S50" s="54"/>
      <c r="T50" s="53" t="n">
        <v>55470</v>
      </c>
      <c r="U50" s="145" t="str">
        <f aca="false">"@ no restrictions"</f>
        <v>@ no restrictions</v>
      </c>
      <c r="V50" s="54"/>
      <c r="W50" s="53"/>
      <c r="X50" s="53"/>
      <c r="Y50" s="53"/>
      <c r="Z50" s="57"/>
      <c r="AA50" s="58"/>
      <c r="AB50" s="58"/>
      <c r="AC50" s="59"/>
      <c r="AD50" s="87"/>
      <c r="AE50" s="87"/>
    </row>
    <row r="51" customFormat="false" ht="11.1" hidden="false" customHeight="true" outlineLevel="0" collapsed="false">
      <c r="A51" s="53"/>
      <c r="B51" s="74"/>
      <c r="C51" s="54"/>
      <c r="D51" s="83"/>
      <c r="E51" s="54"/>
      <c r="F51" s="53"/>
      <c r="G51" s="83" t="s">
        <v>104</v>
      </c>
      <c r="I51" s="55" t="n">
        <f aca="false">AVERAGE(I23:I29)</f>
        <v>319.557142857143</v>
      </c>
      <c r="J51" s="53"/>
      <c r="K51" s="44"/>
      <c r="L51" s="53"/>
      <c r="M51" s="53"/>
      <c r="N51" s="53"/>
      <c r="O51" s="53"/>
      <c r="P51" s="53"/>
      <c r="Q51" s="53" t="s">
        <v>96</v>
      </c>
      <c r="R51" s="53"/>
      <c r="S51" s="54"/>
      <c r="T51" s="53" t="n">
        <f aca="false">T50-T48</f>
        <v>19941.74635</v>
      </c>
      <c r="U51" s="47" t="n">
        <f aca="false">T50-(T48-360)</f>
        <v>20301.74635</v>
      </c>
      <c r="V51" s="54"/>
      <c r="W51" s="53"/>
      <c r="X51" s="53"/>
      <c r="Y51" s="53"/>
      <c r="Z51" s="57"/>
      <c r="AA51" s="58"/>
      <c r="AB51" s="58"/>
      <c r="AC51" s="59"/>
      <c r="AD51" s="87"/>
      <c r="AE51" s="87"/>
    </row>
    <row r="52" customFormat="false" ht="11.1" hidden="false" customHeight="true" outlineLevel="0" collapsed="false">
      <c r="A52" s="83"/>
      <c r="B52" s="83"/>
      <c r="C52" s="54"/>
      <c r="D52" s="54"/>
      <c r="E52" s="54"/>
      <c r="F52" s="83"/>
      <c r="G52" s="55" t="s">
        <v>105</v>
      </c>
      <c r="I52" s="53" t="n">
        <f aca="false">AVERAGE(R23:R29)</f>
        <v>316.342785714286</v>
      </c>
      <c r="J52" s="83"/>
      <c r="K52" s="83"/>
      <c r="L52" s="83"/>
      <c r="M52" s="75"/>
      <c r="N52" s="75"/>
      <c r="O52" s="75"/>
      <c r="P52" s="83"/>
      <c r="Q52" s="83" t="s">
        <v>97</v>
      </c>
      <c r="R52" s="94"/>
      <c r="S52" s="54"/>
      <c r="T52" s="58" t="n">
        <f aca="false">(2400/61)*14</f>
        <v>550.819672131148</v>
      </c>
      <c r="V52" s="54"/>
      <c r="W52" s="83"/>
      <c r="X52" s="83"/>
      <c r="Y52" s="83"/>
      <c r="Z52" s="57"/>
      <c r="AA52" s="58"/>
      <c r="AB52" s="58"/>
      <c r="AC52" s="59"/>
      <c r="AD52" s="92"/>
      <c r="AE52" s="92"/>
    </row>
    <row r="53" customFormat="false" ht="11.1" hidden="false" customHeight="true" outlineLevel="0" collapsed="false">
      <c r="A53" s="83"/>
      <c r="B53" s="57"/>
      <c r="C53" s="54"/>
      <c r="D53" s="54"/>
      <c r="E53" s="54"/>
      <c r="F53" s="83"/>
      <c r="G53" s="55" t="s">
        <v>106</v>
      </c>
      <c r="I53" s="53" t="n">
        <f aca="false">I52-151</f>
        <v>165.342785714286</v>
      </c>
      <c r="J53" s="83"/>
      <c r="K53" s="83"/>
      <c r="L53" s="83"/>
      <c r="M53" s="75"/>
      <c r="N53" s="75"/>
      <c r="O53" s="75"/>
      <c r="P53" s="83"/>
      <c r="Q53" s="83" t="s">
        <v>98</v>
      </c>
      <c r="R53" s="83"/>
      <c r="S53" s="54"/>
      <c r="T53" s="54" t="n">
        <f aca="false">T51-T52</f>
        <v>19390.9266778688</v>
      </c>
      <c r="U53" s="47" t="n">
        <f aca="false">U51</f>
        <v>20301.74635</v>
      </c>
      <c r="V53" s="54"/>
      <c r="W53" s="83"/>
      <c r="X53" s="83"/>
      <c r="Y53" s="83"/>
      <c r="Z53" s="57"/>
      <c r="AA53" s="58"/>
      <c r="AB53" s="58"/>
      <c r="AC53" s="59"/>
      <c r="AD53" s="92"/>
      <c r="AE53" s="92"/>
    </row>
    <row r="54" customFormat="false" ht="11.1" hidden="false" customHeight="true" outlineLevel="0" collapsed="false">
      <c r="A54" s="83"/>
      <c r="B54" s="83"/>
      <c r="C54" s="54"/>
      <c r="D54" s="83"/>
      <c r="E54" s="54"/>
      <c r="F54" s="83"/>
      <c r="G54" s="55" t="str">
        <f aca="false">"% Pr Wtr"</f>
        <v>% Pr Wtr</v>
      </c>
      <c r="I54" s="44" t="n">
        <f aca="false">I53/I52</f>
        <v>0.52266968990916</v>
      </c>
      <c r="J54" s="83"/>
      <c r="K54" s="83"/>
      <c r="L54" s="83"/>
      <c r="M54" s="75"/>
      <c r="N54" s="75"/>
      <c r="O54" s="75"/>
      <c r="P54" s="83"/>
      <c r="Q54" s="83" t="s">
        <v>99</v>
      </c>
      <c r="R54" s="83"/>
      <c r="S54" s="0"/>
      <c r="T54" s="54" t="n">
        <f aca="false">T53/D2</f>
        <v>9776.11629839619</v>
      </c>
      <c r="U54" s="49" t="n">
        <f aca="false">U53/D2</f>
        <v>10235.3145197883</v>
      </c>
      <c r="V54" s="54"/>
      <c r="W54" s="83"/>
      <c r="X54" s="83"/>
      <c r="Y54" s="83"/>
      <c r="Z54" s="57"/>
      <c r="AA54" s="58"/>
      <c r="AB54" s="58"/>
      <c r="AC54" s="59"/>
      <c r="AD54" s="92"/>
      <c r="AE54" s="92"/>
    </row>
    <row r="55" customFormat="false" ht="11.1" hidden="false" customHeight="true" outlineLevel="0" collapsed="false">
      <c r="Q55" s="140" t="s">
        <v>100</v>
      </c>
      <c r="S55" s="54" t="n">
        <v>50</v>
      </c>
      <c r="T55" s="53" t="n">
        <f aca="false">T54/S55</f>
        <v>195.522325967924</v>
      </c>
      <c r="U55" s="49" t="n">
        <f aca="false">U54/S55</f>
        <v>204.706290395765</v>
      </c>
    </row>
    <row r="56" customFormat="false" ht="11.1" hidden="false" customHeight="true" outlineLevel="0" collapsed="false">
      <c r="Q56" s="140" t="s">
        <v>100</v>
      </c>
      <c r="S56" s="54" t="n">
        <v>40</v>
      </c>
      <c r="T56" s="53" t="n">
        <f aca="false">T54/S56</f>
        <v>244.402907459905</v>
      </c>
      <c r="U56" s="49" t="n">
        <f aca="false">U54/S56</f>
        <v>255.882862994706</v>
      </c>
    </row>
    <row r="57" customFormat="false" ht="11.1" hidden="false" customHeight="true" outlineLevel="0" collapsed="false">
      <c r="Q57" s="140"/>
    </row>
    <row r="58" customFormat="false" ht="11.1" hidden="false" customHeight="true" outlineLevel="0" collapsed="false">
      <c r="Q58" s="140"/>
    </row>
  </sheetData>
  <mergeCells count="3">
    <mergeCell ref="K2:T2"/>
    <mergeCell ref="M4:O4"/>
    <mergeCell ref="AG5:AH5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O37" activePane="bottomRight" state="frozen"/>
      <selection pane="topLeft" activeCell="A1" activeCellId="0" sqref="A1"/>
      <selection pane="topRight" activeCell="O1" activeCellId="0" sqref="O1"/>
      <selection pane="bottomLeft" activeCell="A37" activeCellId="0" sqref="A37"/>
      <selection pane="bottomRight" activeCell="R55" activeCellId="0" sqref="R55"/>
    </sheetView>
  </sheetViews>
  <sheetFormatPr defaultColWidth="9.328125" defaultRowHeight="11.1" zeroHeight="false" outlineLevelRow="0" outlineLevelCol="0"/>
  <cols>
    <col collapsed="false" customWidth="true" hidden="false" outlineLevel="0" max="1" min="1" style="46" width="5.66"/>
    <col collapsed="false" customWidth="false" hidden="false" outlineLevel="0" max="2" min="2" style="46" width="9.32"/>
    <col collapsed="false" customWidth="true" hidden="false" outlineLevel="0" max="3" min="3" style="47" width="7.66"/>
    <col collapsed="false" customWidth="true" hidden="false" outlineLevel="0" max="4" min="4" style="46" width="7.66"/>
    <col collapsed="false" customWidth="true" hidden="false" outlineLevel="0" max="5" min="5" style="47" width="7.66"/>
    <col collapsed="false" customWidth="true" hidden="false" outlineLevel="0" max="7" min="6" style="46" width="7.66"/>
    <col collapsed="false" customWidth="true" hidden="false" outlineLevel="0" max="8" min="8" style="48" width="7.16"/>
    <col collapsed="false" customWidth="true" hidden="false" outlineLevel="0" max="9" min="9" style="46" width="8.82"/>
    <col collapsed="false" customWidth="true" hidden="false" outlineLevel="0" max="12" min="10" style="46" width="7.66"/>
    <col collapsed="false" customWidth="true" hidden="false" outlineLevel="0" max="15" min="13" style="49" width="7.49"/>
    <col collapsed="false" customWidth="true" hidden="false" outlineLevel="0" max="16" min="16" style="46" width="7.66"/>
    <col collapsed="false" customWidth="true" hidden="false" outlineLevel="0" max="17" min="17" style="46" width="7.16"/>
    <col collapsed="false" customWidth="true" hidden="false" outlineLevel="0" max="18" min="18" style="46" width="7.66"/>
    <col collapsed="false" customWidth="true" hidden="false" outlineLevel="0" max="19" min="19" style="47" width="7.66"/>
    <col collapsed="false" customWidth="true" hidden="false" outlineLevel="0" max="20" min="20" style="46" width="7.66"/>
    <col collapsed="false" customWidth="true" hidden="false" outlineLevel="0" max="21" min="21" style="46" width="7.49"/>
    <col collapsed="false" customWidth="true" hidden="false" outlineLevel="0" max="22" min="22" style="47" width="6.32"/>
    <col collapsed="false" customWidth="true" hidden="false" outlineLevel="0" max="25" min="23" style="46" width="7.82"/>
    <col collapsed="false" customWidth="true" hidden="false" outlineLevel="0" max="26" min="26" style="50" width="5.66"/>
    <col collapsed="false" customWidth="true" hidden="false" outlineLevel="0" max="28" min="27" style="51" width="5.66"/>
    <col collapsed="false" customWidth="true" hidden="false" outlineLevel="0" max="29" min="29" style="52" width="5.66"/>
    <col collapsed="false" customWidth="false" hidden="false" outlineLevel="0" max="257" min="30" style="46" width="9.32"/>
  </cols>
  <sheetData>
    <row r="1" customFormat="false" ht="14.1" hidden="false" customHeight="true" outlineLevel="0" collapsed="false">
      <c r="A1" s="53"/>
      <c r="B1" s="53"/>
      <c r="C1" s="54"/>
      <c r="D1" s="53"/>
      <c r="E1" s="54"/>
      <c r="F1" s="53"/>
      <c r="G1" s="53"/>
      <c r="H1" s="55"/>
      <c r="I1" s="53"/>
      <c r="J1" s="53"/>
      <c r="K1" s="56" t="s">
        <v>0</v>
      </c>
      <c r="L1" s="53"/>
      <c r="M1" s="53"/>
      <c r="N1" s="53"/>
      <c r="O1" s="53"/>
      <c r="P1" s="53"/>
      <c r="Q1" s="53"/>
      <c r="R1" s="53"/>
      <c r="S1" s="54"/>
      <c r="T1" s="53"/>
      <c r="U1" s="53"/>
      <c r="V1" s="54"/>
      <c r="W1" s="53"/>
      <c r="X1" s="53"/>
      <c r="Y1" s="53"/>
      <c r="Z1" s="57"/>
      <c r="AA1" s="58"/>
      <c r="AB1" s="58"/>
      <c r="AC1" s="59"/>
      <c r="AD1" s="87"/>
      <c r="AE1" s="87"/>
    </row>
    <row r="2" customFormat="false" ht="14.1" hidden="false" customHeight="true" outlineLevel="0" collapsed="false">
      <c r="A2" s="53" t="s">
        <v>1</v>
      </c>
      <c r="B2" s="53"/>
      <c r="C2" s="54"/>
      <c r="D2" s="60" t="n">
        <v>1.9835</v>
      </c>
      <c r="E2" s="54"/>
      <c r="F2" s="53"/>
      <c r="G2" s="53"/>
      <c r="H2" s="55"/>
      <c r="I2" s="53"/>
      <c r="J2" s="53"/>
      <c r="K2" s="61" t="s">
        <v>107</v>
      </c>
      <c r="L2" s="61"/>
      <c r="M2" s="61"/>
      <c r="N2" s="61"/>
      <c r="O2" s="61"/>
      <c r="P2" s="61"/>
      <c r="Q2" s="61"/>
      <c r="R2" s="61"/>
      <c r="S2" s="61"/>
      <c r="T2" s="61"/>
      <c r="U2" s="53"/>
      <c r="V2" s="54"/>
      <c r="W2" s="53"/>
      <c r="X2" s="53"/>
      <c r="Y2" s="53"/>
      <c r="Z2" s="57"/>
      <c r="AA2" s="58"/>
      <c r="AB2" s="58"/>
      <c r="AC2" s="59"/>
      <c r="AD2" s="87"/>
      <c r="AE2" s="87"/>
    </row>
    <row r="3" customFormat="false" ht="11.1" hidden="false" customHeight="true" outlineLevel="0" collapsed="false">
      <c r="A3" s="53"/>
      <c r="B3" s="53"/>
      <c r="C3" s="54"/>
      <c r="D3" s="62"/>
      <c r="E3" s="54"/>
      <c r="F3" s="53"/>
      <c r="G3" s="53"/>
      <c r="H3" s="55"/>
      <c r="I3" s="53"/>
      <c r="J3" s="53"/>
      <c r="K3" s="53"/>
      <c r="L3" s="53"/>
      <c r="M3" s="53"/>
      <c r="N3" s="53"/>
      <c r="O3" s="53"/>
      <c r="P3" s="53"/>
      <c r="Q3" s="53"/>
      <c r="R3" s="53"/>
      <c r="S3" s="54"/>
      <c r="T3" s="53"/>
      <c r="U3" s="53"/>
      <c r="V3" s="54"/>
      <c r="W3" s="53"/>
      <c r="X3" s="53"/>
      <c r="Y3" s="53"/>
      <c r="Z3" s="57"/>
      <c r="AA3" s="58"/>
      <c r="AB3" s="58"/>
      <c r="AC3" s="59"/>
      <c r="AD3" s="87"/>
      <c r="AE3" s="87"/>
    </row>
    <row r="4" customFormat="false" ht="11.1" hidden="false" customHeight="true" outlineLevel="0" collapsed="false">
      <c r="A4" s="63" t="s">
        <v>3</v>
      </c>
      <c r="B4" s="63" t="s">
        <v>4</v>
      </c>
      <c r="C4" s="64" t="s">
        <v>4</v>
      </c>
      <c r="D4" s="63" t="s">
        <v>5</v>
      </c>
      <c r="E4" s="64" t="s">
        <v>6</v>
      </c>
      <c r="F4" s="63" t="s">
        <v>7</v>
      </c>
      <c r="G4" s="63" t="s">
        <v>8</v>
      </c>
      <c r="H4" s="65" t="s">
        <v>9</v>
      </c>
      <c r="I4" s="63" t="s">
        <v>10</v>
      </c>
      <c r="J4" s="63" t="s">
        <v>11</v>
      </c>
      <c r="K4" s="63" t="s">
        <v>12</v>
      </c>
      <c r="L4" s="63" t="s">
        <v>11</v>
      </c>
      <c r="M4" s="63" t="s">
        <v>13</v>
      </c>
      <c r="N4" s="63"/>
      <c r="O4" s="63"/>
      <c r="P4" s="63" t="s">
        <v>14</v>
      </c>
      <c r="Q4" s="63" t="s">
        <v>15</v>
      </c>
      <c r="R4" s="63" t="s">
        <v>12</v>
      </c>
      <c r="S4" s="64" t="s">
        <v>16</v>
      </c>
      <c r="T4" s="63" t="s">
        <v>17</v>
      </c>
      <c r="U4" s="63" t="s">
        <v>18</v>
      </c>
      <c r="V4" s="64" t="s">
        <v>19</v>
      </c>
      <c r="W4" s="63" t="s">
        <v>10</v>
      </c>
      <c r="X4" s="63" t="s">
        <v>11</v>
      </c>
      <c r="Y4" s="63" t="s">
        <v>12</v>
      </c>
      <c r="Z4" s="66" t="s">
        <v>20</v>
      </c>
      <c r="AA4" s="67" t="s">
        <v>21</v>
      </c>
      <c r="AB4" s="67" t="s">
        <v>22</v>
      </c>
      <c r="AC4" s="67" t="s">
        <v>3</v>
      </c>
      <c r="AD4" s="87"/>
      <c r="AE4" s="87"/>
    </row>
    <row r="5" customFormat="false" ht="11.1" hidden="false" customHeight="true" outlineLevel="0" collapsed="false">
      <c r="A5" s="68" t="s">
        <v>108</v>
      </c>
      <c r="B5" s="63" t="s">
        <v>24</v>
      </c>
      <c r="C5" s="64" t="s">
        <v>5</v>
      </c>
      <c r="D5" s="63" t="s">
        <v>25</v>
      </c>
      <c r="E5" s="64" t="s">
        <v>26</v>
      </c>
      <c r="F5" s="63" t="s">
        <v>27</v>
      </c>
      <c r="G5" s="63" t="s">
        <v>28</v>
      </c>
      <c r="H5" s="65" t="s">
        <v>29</v>
      </c>
      <c r="I5" s="63" t="s">
        <v>30</v>
      </c>
      <c r="J5" s="63" t="s">
        <v>30</v>
      </c>
      <c r="K5" s="63" t="s">
        <v>30</v>
      </c>
      <c r="L5" s="63" t="s">
        <v>31</v>
      </c>
      <c r="M5" s="63" t="s">
        <v>32</v>
      </c>
      <c r="N5" s="63" t="s">
        <v>33</v>
      </c>
      <c r="O5" s="63" t="s">
        <v>34</v>
      </c>
      <c r="P5" s="63" t="s">
        <v>35</v>
      </c>
      <c r="Q5" s="63" t="s">
        <v>36</v>
      </c>
      <c r="R5" s="63" t="s">
        <v>16</v>
      </c>
      <c r="S5" s="64" t="s">
        <v>37</v>
      </c>
      <c r="T5" s="63" t="s">
        <v>38</v>
      </c>
      <c r="U5" s="63" t="s">
        <v>39</v>
      </c>
      <c r="V5" s="64" t="s">
        <v>40</v>
      </c>
      <c r="W5" s="63" t="s">
        <v>41</v>
      </c>
      <c r="X5" s="63" t="s">
        <v>41</v>
      </c>
      <c r="Y5" s="63" t="s">
        <v>41</v>
      </c>
      <c r="Z5" s="69"/>
      <c r="AA5" s="67" t="s">
        <v>42</v>
      </c>
      <c r="AB5" s="67" t="s">
        <v>42</v>
      </c>
      <c r="AC5" s="70" t="s">
        <v>108</v>
      </c>
      <c r="AD5" s="87"/>
      <c r="AE5" s="87"/>
      <c r="AG5" s="133"/>
      <c r="AH5" s="133"/>
    </row>
    <row r="6" customFormat="false" ht="11.1" hidden="false" customHeight="true" outlineLevel="0" collapsed="false">
      <c r="A6" s="71"/>
      <c r="B6" s="71"/>
      <c r="C6" s="72"/>
      <c r="D6" s="71"/>
      <c r="E6" s="72"/>
      <c r="F6" s="71"/>
      <c r="G6" s="71"/>
      <c r="H6" s="73"/>
      <c r="I6" s="71"/>
      <c r="J6" s="71"/>
      <c r="K6" s="71"/>
      <c r="L6" s="71"/>
      <c r="M6" s="71"/>
      <c r="N6" s="71"/>
      <c r="O6" s="71"/>
      <c r="P6" s="71"/>
      <c r="Q6" s="71"/>
      <c r="R6" s="71"/>
      <c r="S6" s="72"/>
      <c r="T6" s="71"/>
      <c r="U6" s="71"/>
      <c r="V6" s="72"/>
      <c r="W6" s="71"/>
      <c r="X6" s="71"/>
      <c r="Y6" s="71"/>
      <c r="Z6" s="57"/>
      <c r="AA6" s="59"/>
      <c r="AB6" s="59"/>
      <c r="AC6" s="59"/>
      <c r="AD6" s="88"/>
      <c r="AE6" s="88"/>
      <c r="AF6" s="89"/>
      <c r="AG6" s="133"/>
      <c r="AH6" s="133"/>
    </row>
    <row r="7" customFormat="false" ht="11.1" hidden="false" customHeight="true" outlineLevel="0" collapsed="false">
      <c r="A7" s="53" t="s">
        <v>43</v>
      </c>
      <c r="B7" s="53"/>
      <c r="C7" s="54"/>
      <c r="D7" s="54"/>
      <c r="E7" s="54"/>
      <c r="F7" s="54" t="n">
        <f aca="false" t="array" ref="F7:Y7">SEP!$F$44:$Y$44</f>
        <v>34899.4202167885</v>
      </c>
      <c r="G7" s="54" t="n">
        <v>165358</v>
      </c>
      <c r="H7" s="54" t="n">
        <v>4991.6</v>
      </c>
      <c r="I7" s="54" t="n">
        <v>170349.6</v>
      </c>
      <c r="J7" s="54" t="n">
        <v>19340.6919586589</v>
      </c>
      <c r="K7" s="54" t="n">
        <v>189690.291958659</v>
      </c>
      <c r="L7" s="54" t="n">
        <v>17808.6202167885</v>
      </c>
      <c r="M7" s="54" t="n">
        <v>35540.6</v>
      </c>
      <c r="N7" s="54" t="n">
        <v>8225.3713</v>
      </c>
      <c r="O7" s="54" t="n">
        <v>27315.2287</v>
      </c>
      <c r="P7" s="54" t="n">
        <v>16905</v>
      </c>
      <c r="Q7" s="54" t="n">
        <v>9419.3</v>
      </c>
      <c r="R7" s="54" t="n">
        <v>53639.5287</v>
      </c>
      <c r="S7" s="54" t="n">
        <v>34654.4834643559</v>
      </c>
      <c r="T7" s="54" t="n">
        <v>17911.9</v>
      </c>
      <c r="U7" s="54" t="n">
        <v>73482</v>
      </c>
      <c r="V7" s="54" t="n">
        <v>0</v>
      </c>
      <c r="W7" s="54" t="n">
        <v>153258.8</v>
      </c>
      <c r="X7" s="54" t="n">
        <v>1532.07174187043</v>
      </c>
      <c r="Y7" s="54" t="n">
        <v>154790.87174187</v>
      </c>
      <c r="Z7" s="57"/>
      <c r="AA7" s="58"/>
      <c r="AB7" s="58"/>
      <c r="AC7" s="59"/>
      <c r="AD7" s="88"/>
      <c r="AE7" s="89"/>
      <c r="AF7" s="89"/>
    </row>
    <row r="8" s="47" customFormat="true" ht="11.1" hidden="false" customHeight="true" outlineLevel="0" collapsed="false">
      <c r="A8" s="54" t="s">
        <v>44</v>
      </c>
      <c r="B8" s="74" t="n">
        <f aca="false" t="array" ref="B8:C8">SEP!$B$39:$C$39</f>
        <v>6916.51</v>
      </c>
      <c r="C8" s="54" t="n">
        <v>348692</v>
      </c>
      <c r="D8" s="54" t="n">
        <f aca="false" t="array" ref="D8:E8">SEP!$D$48:$E$48</f>
        <v>116559</v>
      </c>
      <c r="E8" s="54" t="n">
        <v>196714</v>
      </c>
      <c r="F8" s="54" t="n">
        <f aca="false" t="array" ref="F8:Z8">SEP!$F$47:$Z$47</f>
        <v>45663.2215780187</v>
      </c>
      <c r="G8" s="54" t="n">
        <v>179791</v>
      </c>
      <c r="H8" s="58" t="n">
        <v>5321.9</v>
      </c>
      <c r="I8" s="54" t="n">
        <v>185107.8</v>
      </c>
      <c r="J8" s="54" t="n">
        <v>23591.0598941265</v>
      </c>
      <c r="K8" s="54" t="n">
        <v>208701.564582808</v>
      </c>
      <c r="L8" s="54" t="n">
        <v>21516.1215780187</v>
      </c>
      <c r="M8" s="54" t="n">
        <v>36776.4</v>
      </c>
      <c r="N8" s="54" t="n">
        <v>8300.9398</v>
      </c>
      <c r="O8" s="54" t="n">
        <v>28189.8602</v>
      </c>
      <c r="P8" s="54" t="n">
        <v>16905</v>
      </c>
      <c r="Q8" s="54" t="n">
        <v>9549.4</v>
      </c>
      <c r="R8" s="54" t="n">
        <v>54874.6827</v>
      </c>
      <c r="S8" s="54" t="n">
        <v>0</v>
      </c>
      <c r="T8" s="54" t="n">
        <v>17911.9</v>
      </c>
      <c r="U8" s="54" t="n">
        <v>79818</v>
      </c>
      <c r="V8" s="54" t="n">
        <v>8226</v>
      </c>
      <c r="W8" s="54" t="n">
        <v>160960.7</v>
      </c>
      <c r="X8" s="54" t="n">
        <v>2074.93831610789</v>
      </c>
      <c r="Y8" s="54" t="n">
        <v>163035.638316108</v>
      </c>
      <c r="Z8" s="75" t="n">
        <v>16.38</v>
      </c>
      <c r="AA8" s="58"/>
      <c r="AB8" s="58"/>
      <c r="AC8" s="59"/>
      <c r="AD8" s="88"/>
      <c r="AE8" s="88"/>
      <c r="AF8" s="89"/>
      <c r="AG8" s="46"/>
      <c r="AH8" s="46"/>
    </row>
    <row r="9" customFormat="false" ht="3" hidden="false" customHeight="true" outlineLevel="0" collapsed="false">
      <c r="A9" s="76"/>
      <c r="B9" s="77"/>
      <c r="C9" s="78"/>
      <c r="D9" s="76"/>
      <c r="E9" s="78"/>
      <c r="F9" s="76"/>
      <c r="G9" s="76"/>
      <c r="H9" s="79"/>
      <c r="I9" s="76"/>
      <c r="J9" s="76"/>
      <c r="K9" s="76"/>
      <c r="L9" s="76"/>
      <c r="M9" s="76"/>
      <c r="N9" s="76"/>
      <c r="O9" s="76"/>
      <c r="P9" s="76"/>
      <c r="Q9" s="76"/>
      <c r="R9" s="76"/>
      <c r="S9" s="78"/>
      <c r="T9" s="76"/>
      <c r="U9" s="76"/>
      <c r="V9" s="78"/>
      <c r="W9" s="76"/>
      <c r="X9" s="76"/>
      <c r="Y9" s="76"/>
      <c r="Z9" s="80"/>
      <c r="AA9" s="81"/>
      <c r="AB9" s="81"/>
      <c r="AC9" s="82"/>
      <c r="AD9" s="88"/>
      <c r="AE9" s="88"/>
      <c r="AF9" s="89"/>
    </row>
    <row r="10" customFormat="false" ht="11.1" hidden="false" customHeight="true" outlineLevel="0" collapsed="false">
      <c r="A10" s="59" t="n">
        <v>1</v>
      </c>
      <c r="B10" s="74" t="n">
        <v>6916.39</v>
      </c>
      <c r="C10" s="54" t="n">
        <v>348187</v>
      </c>
      <c r="D10" s="58" t="n">
        <f aca="false">C10-C8</f>
        <v>-505</v>
      </c>
      <c r="E10" s="54" t="n">
        <f aca="false">C10-152000</f>
        <v>196187</v>
      </c>
      <c r="F10" s="53" t="n">
        <f aca="false">D10/$D$2</f>
        <v>-254.600453743383</v>
      </c>
      <c r="G10" s="53" t="n">
        <v>152</v>
      </c>
      <c r="H10" s="55" t="n">
        <v>1.9</v>
      </c>
      <c r="I10" s="53" t="n">
        <f aca="false">G10+H10</f>
        <v>153.9</v>
      </c>
      <c r="J10" s="75" t="n">
        <f aca="false">IF(L10&gt;0,L10,0)</f>
        <v>0</v>
      </c>
      <c r="K10" s="53" t="n">
        <f aca="false">I10+J10</f>
        <v>153.9</v>
      </c>
      <c r="L10" s="53" t="n">
        <f aca="false">F10-(I10-W10)</f>
        <v>-41.9004537433829</v>
      </c>
      <c r="M10" s="53" t="n">
        <v>169</v>
      </c>
      <c r="N10" s="53" t="n">
        <f aca="false">14.5+15.32*1.05</f>
        <v>30.586</v>
      </c>
      <c r="O10" s="53" t="n">
        <f aca="false">M10-N10</f>
        <v>138.414</v>
      </c>
      <c r="P10" s="53" t="n">
        <v>83</v>
      </c>
      <c r="Q10" s="53" t="n">
        <v>51</v>
      </c>
      <c r="R10" s="53" t="n">
        <f aca="false">SUM(O10:Q10)</f>
        <v>272.414</v>
      </c>
      <c r="S10" s="54" t="n">
        <f aca="false">(I10-R10)+S7</f>
        <v>34535.9694643559</v>
      </c>
      <c r="T10" s="53" t="n">
        <v>12.6</v>
      </c>
      <c r="U10" s="53" t="n">
        <v>51</v>
      </c>
      <c r="V10" s="54" t="n">
        <f aca="false">V8-U10</f>
        <v>8175</v>
      </c>
      <c r="W10" s="53" t="n">
        <f aca="false">R10+T10+N10+U10</f>
        <v>366.6</v>
      </c>
      <c r="X10" s="53" t="n">
        <f aca="false">IF(L10&lt;0,L10*-1,0)</f>
        <v>41.9004537433829</v>
      </c>
      <c r="Y10" s="53" t="n">
        <f aca="false">W10+X10</f>
        <v>408.500453743383</v>
      </c>
      <c r="Z10" s="57" t="n">
        <v>0</v>
      </c>
      <c r="AA10" s="58" t="n">
        <v>74</v>
      </c>
      <c r="AB10" s="58" t="n">
        <v>35</v>
      </c>
      <c r="AC10" s="59" t="n">
        <v>1</v>
      </c>
      <c r="AD10" s="88"/>
      <c r="AE10" s="90"/>
      <c r="AF10" s="90"/>
    </row>
    <row r="11" customFormat="false" ht="11.1" hidden="false" customHeight="true" outlineLevel="0" collapsed="false">
      <c r="A11" s="59" t="n">
        <f aca="false">A10+1</f>
        <v>2</v>
      </c>
      <c r="B11" s="74" t="n">
        <v>6916.29</v>
      </c>
      <c r="C11" s="54" t="n">
        <v>347767</v>
      </c>
      <c r="D11" s="58" t="n">
        <f aca="false">C11-C10</f>
        <v>-420</v>
      </c>
      <c r="E11" s="54" t="n">
        <f aca="false">C11-152000</f>
        <v>195767</v>
      </c>
      <c r="F11" s="53" t="n">
        <f aca="false">D11/$D$2</f>
        <v>-211.7469120242</v>
      </c>
      <c r="G11" s="53" t="n">
        <v>144</v>
      </c>
      <c r="H11" s="55" t="n">
        <v>1.8</v>
      </c>
      <c r="I11" s="53" t="n">
        <f aca="false">G11+H11</f>
        <v>145.8</v>
      </c>
      <c r="J11" s="75" t="n">
        <f aca="false">IF(L11&gt;0,L11,0)</f>
        <v>0</v>
      </c>
      <c r="K11" s="53" t="n">
        <f aca="false">I11+J11</f>
        <v>145.8</v>
      </c>
      <c r="L11" s="53" t="n">
        <f aca="false">F11-(I11-W11)</f>
        <v>-31.7469120241997</v>
      </c>
      <c r="M11" s="53" t="n">
        <v>143</v>
      </c>
      <c r="N11" s="53" t="n">
        <f aca="false">4.61+5.21*1.05</f>
        <v>10.0805</v>
      </c>
      <c r="O11" s="53" t="n">
        <f aca="false">M11-N11</f>
        <v>132.9195</v>
      </c>
      <c r="P11" s="53" t="n">
        <v>83</v>
      </c>
      <c r="Q11" s="53" t="n">
        <v>51</v>
      </c>
      <c r="R11" s="53" t="n">
        <f aca="false">SUM(O11:Q11)</f>
        <v>266.9195</v>
      </c>
      <c r="S11" s="54" t="n">
        <f aca="false">(I11-R11)+S10</f>
        <v>34414.8499643559</v>
      </c>
      <c r="T11" s="53" t="n">
        <v>3.8</v>
      </c>
      <c r="U11" s="53" t="n">
        <v>45</v>
      </c>
      <c r="V11" s="54" t="n">
        <f aca="false">V10-U11</f>
        <v>8130</v>
      </c>
      <c r="W11" s="53" t="n">
        <f aca="false">R11+T11+N11+U11</f>
        <v>325.8</v>
      </c>
      <c r="X11" s="53" t="n">
        <f aca="false">IF(L11&lt;0,L11*-1,0)</f>
        <v>31.7469120241997</v>
      </c>
      <c r="Y11" s="53" t="n">
        <f aca="false">W11+X11</f>
        <v>357.5469120242</v>
      </c>
      <c r="Z11" s="57" t="n">
        <v>0</v>
      </c>
      <c r="AA11" s="58" t="n">
        <v>74</v>
      </c>
      <c r="AB11" s="58" t="n">
        <v>38</v>
      </c>
      <c r="AC11" s="59" t="n">
        <f aca="false">AC10+1</f>
        <v>2</v>
      </c>
      <c r="AD11" s="88"/>
      <c r="AE11" s="90"/>
      <c r="AF11" s="90"/>
    </row>
    <row r="12" customFormat="false" ht="11.1" hidden="false" customHeight="true" outlineLevel="0" collapsed="false">
      <c r="A12" s="59" t="n">
        <f aca="false">A11+1</f>
        <v>3</v>
      </c>
      <c r="B12" s="74" t="n">
        <v>6916.19</v>
      </c>
      <c r="C12" s="54" t="n">
        <v>347346</v>
      </c>
      <c r="D12" s="58" t="n">
        <f aca="false">C12-C11</f>
        <v>-421</v>
      </c>
      <c r="E12" s="54" t="n">
        <f aca="false">C12-152000</f>
        <v>195346</v>
      </c>
      <c r="F12" s="53" t="n">
        <f aca="false">D12/$D$2</f>
        <v>-212.251071338543</v>
      </c>
      <c r="G12" s="53" t="n">
        <v>137</v>
      </c>
      <c r="H12" s="55" t="n">
        <v>1.7</v>
      </c>
      <c r="I12" s="53" t="n">
        <f aca="false">G12+H12</f>
        <v>138.7</v>
      </c>
      <c r="J12" s="75" t="n">
        <f aca="false">IF(L12&gt;0,L12,0)</f>
        <v>0</v>
      </c>
      <c r="K12" s="53" t="n">
        <f aca="false">I12+J12</f>
        <v>138.7</v>
      </c>
      <c r="L12" s="53" t="n">
        <f aca="false">F12-(I12-W12)</f>
        <v>-30.951071338543</v>
      </c>
      <c r="M12" s="53" t="n">
        <v>149</v>
      </c>
      <c r="N12" s="53" t="n">
        <f aca="false">1.89*1.05</f>
        <v>1.9845</v>
      </c>
      <c r="O12" s="53" t="n">
        <f aca="false">M12-N12</f>
        <v>147.0155</v>
      </c>
      <c r="P12" s="53" t="n">
        <v>83</v>
      </c>
      <c r="Q12" s="53" t="n">
        <v>53</v>
      </c>
      <c r="R12" s="53" t="n">
        <f aca="false">SUM(O12:Q12)</f>
        <v>283.0155</v>
      </c>
      <c r="S12" s="54" t="n">
        <f aca="false">(I12-R12)+S11</f>
        <v>34270.5344643559</v>
      </c>
      <c r="T12" s="53" t="n">
        <v>0</v>
      </c>
      <c r="U12" s="53" t="n">
        <v>35</v>
      </c>
      <c r="V12" s="54" t="n">
        <f aca="false">V11-U12</f>
        <v>8095</v>
      </c>
      <c r="W12" s="53" t="n">
        <f aca="false">R12+T12+N12+U12</f>
        <v>320</v>
      </c>
      <c r="X12" s="53" t="n">
        <f aca="false">IF(L12&lt;0,L12*-1,0)</f>
        <v>30.951071338543</v>
      </c>
      <c r="Y12" s="53" t="n">
        <f aca="false">W12+X12</f>
        <v>350.951071338543</v>
      </c>
      <c r="Z12" s="57" t="n">
        <v>0</v>
      </c>
      <c r="AA12" s="58" t="n">
        <v>73</v>
      </c>
      <c r="AB12" s="58" t="n">
        <v>39</v>
      </c>
      <c r="AC12" s="59" t="n">
        <f aca="false">AC11+1</f>
        <v>3</v>
      </c>
      <c r="AD12" s="88"/>
      <c r="AE12" s="90"/>
      <c r="AF12" s="90"/>
    </row>
    <row r="13" customFormat="false" ht="11.1" hidden="false" customHeight="true" outlineLevel="0" collapsed="false">
      <c r="A13" s="59" t="n">
        <f aca="false">A12+1</f>
        <v>4</v>
      </c>
      <c r="B13" s="74" t="n">
        <v>6916.09</v>
      </c>
      <c r="C13" s="54" t="n">
        <v>346925</v>
      </c>
      <c r="D13" s="58" t="n">
        <f aca="false">C13-C12</f>
        <v>-421</v>
      </c>
      <c r="E13" s="54" t="n">
        <f aca="false">C13-152000</f>
        <v>194925</v>
      </c>
      <c r="F13" s="53" t="n">
        <f aca="false">D13/$D$2</f>
        <v>-212.251071338543</v>
      </c>
      <c r="G13" s="53" t="n">
        <v>131</v>
      </c>
      <c r="H13" s="55" t="n">
        <v>1.6</v>
      </c>
      <c r="I13" s="53" t="n">
        <f aca="false">G13+H13</f>
        <v>132.6</v>
      </c>
      <c r="J13" s="75" t="n">
        <f aca="false">IF(L13&gt;0,L13,0)</f>
        <v>0</v>
      </c>
      <c r="K13" s="53" t="n">
        <f aca="false">I13+J13</f>
        <v>132.6</v>
      </c>
      <c r="L13" s="53" t="n">
        <f aca="false">F13-(I13-W13)</f>
        <v>-23.851071338543</v>
      </c>
      <c r="M13" s="53" t="n">
        <v>145</v>
      </c>
      <c r="N13" s="53" t="n">
        <f aca="false">1.24*1.05</f>
        <v>1.302</v>
      </c>
      <c r="O13" s="53" t="n">
        <f aca="false">M13-N13</f>
        <v>143.698</v>
      </c>
      <c r="P13" s="53" t="n">
        <v>83</v>
      </c>
      <c r="Q13" s="53" t="n">
        <v>60</v>
      </c>
      <c r="R13" s="53" t="n">
        <f aca="false">SUM(O13:Q13)</f>
        <v>286.698</v>
      </c>
      <c r="S13" s="54" t="n">
        <f aca="false">(I13-R13)+S12</f>
        <v>34116.4364643559</v>
      </c>
      <c r="T13" s="53" t="n">
        <v>0</v>
      </c>
      <c r="U13" s="53" t="n">
        <v>33</v>
      </c>
      <c r="V13" s="54" t="n">
        <f aca="false">V12-U13</f>
        <v>8062</v>
      </c>
      <c r="W13" s="53" t="n">
        <f aca="false">R13+T13+N13+U13</f>
        <v>321</v>
      </c>
      <c r="X13" s="53" t="n">
        <f aca="false">IF(L13&lt;0,L13*-1,0)</f>
        <v>23.851071338543</v>
      </c>
      <c r="Y13" s="53" t="n">
        <f aca="false">W13+X13</f>
        <v>344.851071338543</v>
      </c>
      <c r="Z13" s="57" t="n">
        <v>0</v>
      </c>
      <c r="AA13" s="58" t="n">
        <v>74</v>
      </c>
      <c r="AB13" s="58" t="n">
        <v>35</v>
      </c>
      <c r="AC13" s="59" t="n">
        <f aca="false">AC12+1</f>
        <v>4</v>
      </c>
      <c r="AD13" s="88"/>
      <c r="AE13" s="90"/>
      <c r="AF13" s="90"/>
    </row>
    <row r="14" customFormat="false" ht="11.1" hidden="false" customHeight="true" outlineLevel="0" collapsed="false">
      <c r="A14" s="59" t="n">
        <f aca="false">A13+1</f>
        <v>5</v>
      </c>
      <c r="B14" s="74" t="n">
        <v>6916</v>
      </c>
      <c r="C14" s="54" t="n">
        <v>346547</v>
      </c>
      <c r="D14" s="58" t="n">
        <f aca="false">C14-C13</f>
        <v>-378</v>
      </c>
      <c r="E14" s="54" t="n">
        <f aca="false">C14-152000</f>
        <v>194547</v>
      </c>
      <c r="F14" s="53" t="n">
        <f aca="false">D14/$D$2</f>
        <v>-190.57222082178</v>
      </c>
      <c r="G14" s="53" t="n">
        <v>126</v>
      </c>
      <c r="H14" s="55" t="n">
        <v>1.6</v>
      </c>
      <c r="I14" s="53" t="n">
        <f aca="false">G14+H14</f>
        <v>127.6</v>
      </c>
      <c r="J14" s="75" t="n">
        <f aca="false">IF(L14&gt;0,L14,0)</f>
        <v>4.82777917822034</v>
      </c>
      <c r="K14" s="53" t="n">
        <f aca="false">I14+J14</f>
        <v>132.42777917822</v>
      </c>
      <c r="L14" s="53" t="n">
        <f aca="false">F14-(I14-W14)</f>
        <v>4.82777917822034</v>
      </c>
      <c r="M14" s="53" t="n">
        <v>146</v>
      </c>
      <c r="N14" s="53" t="n">
        <f aca="false">0.87+0.84*1.05</f>
        <v>1.752</v>
      </c>
      <c r="O14" s="53" t="n">
        <f aca="false">M14-N14</f>
        <v>144.248</v>
      </c>
      <c r="P14" s="53" t="n">
        <v>83</v>
      </c>
      <c r="Q14" s="53" t="n">
        <v>61</v>
      </c>
      <c r="R14" s="53" t="n">
        <f aca="false">SUM(O14:Q14)</f>
        <v>288.248</v>
      </c>
      <c r="S14" s="54" t="n">
        <f aca="false">(I14-R14)+S13</f>
        <v>33955.7884643559</v>
      </c>
      <c r="T14" s="53" t="n">
        <v>0</v>
      </c>
      <c r="U14" s="53" t="n">
        <v>33</v>
      </c>
      <c r="V14" s="54" t="n">
        <f aca="false">V13-U14</f>
        <v>8029</v>
      </c>
      <c r="W14" s="53" t="n">
        <f aca="false">R14+T14+N14+U14</f>
        <v>323</v>
      </c>
      <c r="X14" s="53" t="n">
        <f aca="false">IF(L14&lt;0,L14*-1,0)</f>
        <v>0</v>
      </c>
      <c r="Y14" s="53" t="n">
        <f aca="false">W14+X14</f>
        <v>323</v>
      </c>
      <c r="Z14" s="57" t="n">
        <v>0</v>
      </c>
      <c r="AA14" s="58" t="n">
        <v>80</v>
      </c>
      <c r="AB14" s="58" t="n">
        <v>41</v>
      </c>
      <c r="AC14" s="59" t="n">
        <f aca="false">AC13+1</f>
        <v>5</v>
      </c>
      <c r="AD14" s="88"/>
      <c r="AE14" s="90"/>
      <c r="AF14" s="90"/>
    </row>
    <row r="15" customFormat="false" ht="11.1" hidden="false" customHeight="true" outlineLevel="0" collapsed="false">
      <c r="A15" s="59" t="n">
        <f aca="false">A14+1</f>
        <v>6</v>
      </c>
      <c r="B15" s="74" t="n">
        <v>6915.86</v>
      </c>
      <c r="C15" s="54" t="n">
        <v>345962</v>
      </c>
      <c r="D15" s="58" t="n">
        <f aca="false">C15-C14</f>
        <v>-585</v>
      </c>
      <c r="E15" s="54" t="n">
        <f aca="false">C15-152000</f>
        <v>193962</v>
      </c>
      <c r="F15" s="53" t="n">
        <f aca="false">D15/$D$2</f>
        <v>-294.933198890849</v>
      </c>
      <c r="G15" s="53" t="n">
        <v>125</v>
      </c>
      <c r="H15" s="55" t="n">
        <v>1.6</v>
      </c>
      <c r="I15" s="53" t="n">
        <f aca="false">G15+H15</f>
        <v>126.6</v>
      </c>
      <c r="J15" s="75" t="n">
        <f aca="false">IF(L15&gt;0,L15,0)</f>
        <v>0</v>
      </c>
      <c r="K15" s="53" t="n">
        <f aca="false">I15+J15</f>
        <v>126.6</v>
      </c>
      <c r="L15" s="53" t="n">
        <f aca="false">F15-(I15-W15)</f>
        <v>-72.5331988908495</v>
      </c>
      <c r="M15" s="53" t="n">
        <v>134</v>
      </c>
      <c r="N15" s="53" t="n">
        <f aca="false">1.86+1.54*1.05</f>
        <v>3.477</v>
      </c>
      <c r="O15" s="53" t="n">
        <f aca="false">M15-N15</f>
        <v>130.523</v>
      </c>
      <c r="P15" s="53" t="n">
        <v>113</v>
      </c>
      <c r="Q15" s="53" t="n">
        <v>61</v>
      </c>
      <c r="R15" s="53" t="n">
        <f aca="false">SUM(O15:Q15)</f>
        <v>304.523</v>
      </c>
      <c r="S15" s="54" t="n">
        <f aca="false">(I15-R15)+S14</f>
        <v>33777.8654643559</v>
      </c>
      <c r="T15" s="53" t="n">
        <v>0</v>
      </c>
      <c r="U15" s="53" t="n">
        <v>41</v>
      </c>
      <c r="V15" s="54" t="n">
        <f aca="false">V14-U15</f>
        <v>7988</v>
      </c>
      <c r="W15" s="53" t="n">
        <f aca="false">R15+T15+N15+U15</f>
        <v>349</v>
      </c>
      <c r="X15" s="53" t="n">
        <f aca="false">IF(L15&lt;0,L15*-1,0)</f>
        <v>72.5331988908495</v>
      </c>
      <c r="Y15" s="53" t="n">
        <f aca="false">W15+X15</f>
        <v>421.533198890849</v>
      </c>
      <c r="Z15" s="57" t="n">
        <v>0</v>
      </c>
      <c r="AA15" s="58" t="n">
        <v>73</v>
      </c>
      <c r="AB15" s="58" t="n">
        <v>50</v>
      </c>
      <c r="AC15" s="59" t="n">
        <f aca="false">AC14+1</f>
        <v>6</v>
      </c>
      <c r="AD15" s="88"/>
      <c r="AE15" s="90"/>
      <c r="AF15" s="90"/>
    </row>
    <row r="16" customFormat="false" ht="11.1" hidden="false" customHeight="true" outlineLevel="0" collapsed="false">
      <c r="A16" s="59" t="n">
        <f aca="false">A15+1</f>
        <v>7</v>
      </c>
      <c r="B16" s="74" t="n">
        <v>6915.74</v>
      </c>
      <c r="C16" s="54" t="n">
        <v>345461</v>
      </c>
      <c r="D16" s="58" t="n">
        <f aca="false">C16-C15</f>
        <v>-501</v>
      </c>
      <c r="E16" s="54" t="n">
        <f aca="false">C16-152000</f>
        <v>193461</v>
      </c>
      <c r="F16" s="53" t="n">
        <f aca="false">D16/$D$2</f>
        <v>-252.58381648601</v>
      </c>
      <c r="G16" s="53" t="n">
        <v>130</v>
      </c>
      <c r="H16" s="55" t="n">
        <v>1.7</v>
      </c>
      <c r="I16" s="53" t="n">
        <f aca="false">G16+H16</f>
        <v>131.7</v>
      </c>
      <c r="J16" s="75" t="n">
        <f aca="false">IF(L16&gt;0,L16,0)</f>
        <v>0</v>
      </c>
      <c r="K16" s="53" t="n">
        <f aca="false">I16+J16</f>
        <v>131.7</v>
      </c>
      <c r="L16" s="53" t="n">
        <f aca="false">F16-(I16-W16)</f>
        <v>-17.2838164860096</v>
      </c>
      <c r="M16" s="53" t="n">
        <v>141</v>
      </c>
      <c r="N16" s="53" t="n">
        <f aca="false">3.58+3.18*1.05</f>
        <v>6.919</v>
      </c>
      <c r="O16" s="53" t="n">
        <f aca="false">M16-N16</f>
        <v>134.081</v>
      </c>
      <c r="P16" s="53" t="n">
        <v>120</v>
      </c>
      <c r="Q16" s="53" t="n">
        <v>61</v>
      </c>
      <c r="R16" s="53" t="n">
        <f aca="false">SUM(O16:Q16)</f>
        <v>315.081</v>
      </c>
      <c r="S16" s="54" t="n">
        <f aca="false">(I16-R16)+S15</f>
        <v>33594.4844643559</v>
      </c>
      <c r="T16" s="53" t="n">
        <v>0</v>
      </c>
      <c r="U16" s="53" t="n">
        <v>45</v>
      </c>
      <c r="V16" s="54" t="n">
        <f aca="false">V15-U16</f>
        <v>7943</v>
      </c>
      <c r="W16" s="53" t="n">
        <f aca="false">R16+T16+N16+U16</f>
        <v>367</v>
      </c>
      <c r="X16" s="53" t="n">
        <f aca="false">IF(L16&lt;0,L16*-1,0)</f>
        <v>17.2838164860096</v>
      </c>
      <c r="Y16" s="53" t="n">
        <f aca="false">W16+X16</f>
        <v>384.28381648601</v>
      </c>
      <c r="Z16" s="57" t="n">
        <v>0.02</v>
      </c>
      <c r="AA16" s="58" t="n">
        <v>74</v>
      </c>
      <c r="AB16" s="58" t="n">
        <v>36</v>
      </c>
      <c r="AC16" s="59" t="n">
        <f aca="false">AC15+1</f>
        <v>7</v>
      </c>
      <c r="AD16" s="88"/>
      <c r="AE16" s="90"/>
      <c r="AF16" s="90"/>
    </row>
    <row r="17" customFormat="false" ht="11.1" hidden="false" customHeight="true" outlineLevel="0" collapsed="false">
      <c r="A17" s="59" t="n">
        <f aca="false">A16+1</f>
        <v>8</v>
      </c>
      <c r="B17" s="74" t="n">
        <v>6915.62</v>
      </c>
      <c r="C17" s="54" t="n">
        <v>344960</v>
      </c>
      <c r="D17" s="58" t="n">
        <f aca="false">C17-C16</f>
        <v>-501</v>
      </c>
      <c r="E17" s="54" t="n">
        <f aca="false">C17-152000</f>
        <v>192960</v>
      </c>
      <c r="F17" s="53" t="n">
        <f aca="false">D17/$D$2</f>
        <v>-252.58381648601</v>
      </c>
      <c r="G17" s="53" t="n">
        <v>131</v>
      </c>
      <c r="H17" s="55" t="n">
        <v>1.7</v>
      </c>
      <c r="I17" s="53" t="n">
        <f aca="false">G17+H17</f>
        <v>132.7</v>
      </c>
      <c r="J17" s="75" t="n">
        <f aca="false">IF(L17&gt;0,L17,0)</f>
        <v>0</v>
      </c>
      <c r="K17" s="53" t="n">
        <f aca="false">I17+J17</f>
        <v>132.7</v>
      </c>
      <c r="L17" s="53" t="n">
        <f aca="false">F17-(I17-W17)</f>
        <v>-16.2838164860096</v>
      </c>
      <c r="M17" s="53" t="n">
        <v>123</v>
      </c>
      <c r="N17" s="53" t="n">
        <f aca="false">3.99+4.77*1.05</f>
        <v>8.9985</v>
      </c>
      <c r="O17" s="53" t="n">
        <f aca="false">M17-N17</f>
        <v>114.0015</v>
      </c>
      <c r="P17" s="53" t="n">
        <v>140</v>
      </c>
      <c r="Q17" s="53" t="n">
        <v>61</v>
      </c>
      <c r="R17" s="53" t="n">
        <f aca="false">SUM(O17:Q17)</f>
        <v>315.0015</v>
      </c>
      <c r="S17" s="54" t="n">
        <f aca="false">(I17-R17)+S16</f>
        <v>33412.1829643559</v>
      </c>
      <c r="T17" s="53" t="n">
        <v>0</v>
      </c>
      <c r="U17" s="53" t="n">
        <v>45</v>
      </c>
      <c r="V17" s="54" t="n">
        <f aca="false">V16-U17</f>
        <v>7898</v>
      </c>
      <c r="W17" s="53" t="n">
        <f aca="false">R17+T17+N17+U17</f>
        <v>369</v>
      </c>
      <c r="X17" s="53" t="n">
        <f aca="false">IF(L17&lt;0,L17*-1,0)</f>
        <v>16.2838164860096</v>
      </c>
      <c r="Y17" s="53" t="n">
        <f aca="false">W17+X17</f>
        <v>385.28381648601</v>
      </c>
      <c r="Z17" s="57" t="n">
        <v>0</v>
      </c>
      <c r="AA17" s="58" t="n">
        <v>73</v>
      </c>
      <c r="AB17" s="58" t="n">
        <v>37</v>
      </c>
      <c r="AC17" s="59" t="n">
        <f aca="false">AC16+1</f>
        <v>8</v>
      </c>
      <c r="AD17" s="88"/>
      <c r="AE17" s="90"/>
      <c r="AF17" s="90"/>
    </row>
    <row r="18" customFormat="false" ht="11.1" hidden="false" customHeight="true" outlineLevel="0" collapsed="false">
      <c r="A18" s="59" t="n">
        <f aca="false">A17+1</f>
        <v>9</v>
      </c>
      <c r="B18" s="74" t="n">
        <v>6915.47</v>
      </c>
      <c r="C18" s="54" t="n">
        <v>344334</v>
      </c>
      <c r="D18" s="58" t="n">
        <f aca="false">C18-C17</f>
        <v>-626</v>
      </c>
      <c r="E18" s="54" t="n">
        <f aca="false">C18-152000</f>
        <v>192334</v>
      </c>
      <c r="F18" s="53" t="n">
        <f aca="false">D18/$D$2</f>
        <v>-315.603730778926</v>
      </c>
      <c r="G18" s="53" t="n">
        <v>122</v>
      </c>
      <c r="H18" s="55" t="n">
        <v>1.7</v>
      </c>
      <c r="I18" s="53" t="n">
        <f aca="false">G18+H18</f>
        <v>123.7</v>
      </c>
      <c r="J18" s="75" t="n">
        <f aca="false">IF(L18&gt;0,L18,0)</f>
        <v>0</v>
      </c>
      <c r="K18" s="53" t="n">
        <f aca="false">I18+J18</f>
        <v>123.7</v>
      </c>
      <c r="L18" s="53" t="n">
        <f aca="false">F18-(I18-W18)</f>
        <v>-55.3037307789261</v>
      </c>
      <c r="M18" s="53" t="n">
        <v>129</v>
      </c>
      <c r="N18" s="53" t="n">
        <f aca="false">3.34+3.95*1.05</f>
        <v>7.4875</v>
      </c>
      <c r="O18" s="53" t="n">
        <f aca="false">M18-N18</f>
        <v>121.5125</v>
      </c>
      <c r="P18" s="53" t="n">
        <v>150</v>
      </c>
      <c r="Q18" s="53" t="n">
        <v>60</v>
      </c>
      <c r="R18" s="53" t="n">
        <f aca="false">SUM(O18:Q18)</f>
        <v>331.5125</v>
      </c>
      <c r="S18" s="54" t="n">
        <f aca="false">(I18-R18)+S17</f>
        <v>33204.3704643559</v>
      </c>
      <c r="T18" s="53" t="n">
        <v>0</v>
      </c>
      <c r="U18" s="53" t="n">
        <v>45</v>
      </c>
      <c r="V18" s="54" t="n">
        <f aca="false">V17-U18</f>
        <v>7853</v>
      </c>
      <c r="W18" s="53" t="n">
        <f aca="false">R18+T18+N18+U18</f>
        <v>384</v>
      </c>
      <c r="X18" s="53" t="n">
        <f aca="false">IF(L18&lt;0,L18*-1,0)</f>
        <v>55.3037307789261</v>
      </c>
      <c r="Y18" s="53" t="n">
        <f aca="false">W18+X18</f>
        <v>439.303730778926</v>
      </c>
      <c r="Z18" s="57" t="n">
        <v>0</v>
      </c>
      <c r="AA18" s="83" t="n">
        <v>75</v>
      </c>
      <c r="AB18" s="58" t="n">
        <v>37</v>
      </c>
      <c r="AC18" s="59" t="n">
        <f aca="false">AC17+1</f>
        <v>9</v>
      </c>
      <c r="AD18" s="88"/>
      <c r="AE18" s="90"/>
      <c r="AF18" s="90"/>
    </row>
    <row r="19" customFormat="false" ht="11.1" hidden="false" customHeight="true" outlineLevel="0" collapsed="false">
      <c r="A19" s="59" t="n">
        <f aca="false">A18+1</f>
        <v>10</v>
      </c>
      <c r="B19" s="74" t="n">
        <v>6915.31</v>
      </c>
      <c r="C19" s="54" t="n">
        <v>343666</v>
      </c>
      <c r="D19" s="58" t="n">
        <f aca="false">C19-C18</f>
        <v>-668</v>
      </c>
      <c r="E19" s="54" t="n">
        <f aca="false">C19-152000</f>
        <v>191666</v>
      </c>
      <c r="F19" s="53" t="n">
        <f aca="false">D19/$D$2</f>
        <v>-336.778421981346</v>
      </c>
      <c r="G19" s="53" t="n">
        <v>114</v>
      </c>
      <c r="H19" s="55" t="n">
        <v>1.6</v>
      </c>
      <c r="I19" s="53" t="n">
        <f aca="false">G19+H19</f>
        <v>115.6</v>
      </c>
      <c r="J19" s="75" t="n">
        <f aca="false">IF(L19&gt;0,L19,0)</f>
        <v>0</v>
      </c>
      <c r="K19" s="53" t="n">
        <f aca="false">I19+J19</f>
        <v>115.6</v>
      </c>
      <c r="L19" s="53" t="n">
        <f aca="false">F19-(I19-W19)</f>
        <v>-68.378421981346</v>
      </c>
      <c r="M19" s="53" t="n">
        <v>125</v>
      </c>
      <c r="N19" s="53" t="n">
        <f aca="false">1.09+1.88*1.05</f>
        <v>3.064</v>
      </c>
      <c r="O19" s="53" t="n">
        <f aca="false">M19-N19</f>
        <v>121.936</v>
      </c>
      <c r="P19" s="53" t="n">
        <v>149</v>
      </c>
      <c r="Q19" s="53" t="n">
        <v>60</v>
      </c>
      <c r="R19" s="53" t="n">
        <f aca="false">SUM(O19:Q19)</f>
        <v>330.936</v>
      </c>
      <c r="S19" s="54" t="n">
        <f aca="false">(I19-R19)+S18</f>
        <v>32989.0344643559</v>
      </c>
      <c r="T19" s="53" t="n">
        <v>0</v>
      </c>
      <c r="U19" s="53" t="n">
        <v>50</v>
      </c>
      <c r="V19" s="54" t="n">
        <f aca="false">V18-U19</f>
        <v>7803</v>
      </c>
      <c r="W19" s="53" t="n">
        <f aca="false">R19+T19+N19+U19</f>
        <v>384</v>
      </c>
      <c r="X19" s="53" t="n">
        <f aca="false">IF(L19&lt;0,L19*-1,0)</f>
        <v>68.378421981346</v>
      </c>
      <c r="Y19" s="53" t="n">
        <f aca="false">W19+X19</f>
        <v>452.378421981346</v>
      </c>
      <c r="Z19" s="57" t="n">
        <v>0</v>
      </c>
      <c r="AA19" s="58" t="n">
        <v>80</v>
      </c>
      <c r="AB19" s="58" t="n">
        <v>39</v>
      </c>
      <c r="AC19" s="59" t="n">
        <f aca="false">AC18+1</f>
        <v>10</v>
      </c>
      <c r="AD19" s="88"/>
      <c r="AE19" s="90"/>
      <c r="AF19" s="90"/>
    </row>
    <row r="20" customFormat="false" ht="11.1" hidden="false" customHeight="true" outlineLevel="0" collapsed="false">
      <c r="A20" s="59" t="n">
        <f aca="false">A19+1</f>
        <v>11</v>
      </c>
      <c r="B20" s="74" t="n">
        <v>6915.18</v>
      </c>
      <c r="C20" s="54" t="n">
        <v>343124</v>
      </c>
      <c r="D20" s="58" t="n">
        <f aca="false">C20-C19</f>
        <v>-542</v>
      </c>
      <c r="E20" s="54" t="n">
        <f aca="false">C20-152000</f>
        <v>191124</v>
      </c>
      <c r="F20" s="53" t="n">
        <f aca="false">D20/$D$2</f>
        <v>-273.254348374086</v>
      </c>
      <c r="G20" s="53" t="n">
        <v>109</v>
      </c>
      <c r="H20" s="55" t="n">
        <v>1.5</v>
      </c>
      <c r="I20" s="53" t="n">
        <f aca="false">G20+H20</f>
        <v>110.5</v>
      </c>
      <c r="J20" s="75" t="n">
        <f aca="false">IF(L20&gt;0,L20,0)</f>
        <v>70.2456516259138</v>
      </c>
      <c r="K20" s="53" t="n">
        <f aca="false">I20+J20</f>
        <v>180.745651625914</v>
      </c>
      <c r="L20" s="53" t="n">
        <f aca="false">F20-(I20-W20)</f>
        <v>70.2456516259138</v>
      </c>
      <c r="M20" s="53" t="n">
        <v>121</v>
      </c>
      <c r="N20" s="53" t="n">
        <f aca="false">3.34+0*1.05</f>
        <v>3.34</v>
      </c>
      <c r="O20" s="53" t="n">
        <f aca="false">M20-N20</f>
        <v>117.66</v>
      </c>
      <c r="P20" s="53" t="n">
        <v>149</v>
      </c>
      <c r="Q20" s="53" t="n">
        <v>60</v>
      </c>
      <c r="R20" s="53" t="n">
        <f aca="false">SUM(O20:Q20)</f>
        <v>326.66</v>
      </c>
      <c r="S20" s="54" t="n">
        <f aca="false">(I20-R20)+S19</f>
        <v>32772.8744643559</v>
      </c>
      <c r="T20" s="53" t="n">
        <v>0</v>
      </c>
      <c r="U20" s="53" t="n">
        <v>124</v>
      </c>
      <c r="V20" s="54" t="n">
        <f aca="false">V19-U20</f>
        <v>7679</v>
      </c>
      <c r="W20" s="53" t="n">
        <f aca="false">R20+T20+N20+U20</f>
        <v>454</v>
      </c>
      <c r="X20" s="53" t="n">
        <f aca="false">IF(L20&lt;0,L20*-1,0)</f>
        <v>0</v>
      </c>
      <c r="Y20" s="53" t="n">
        <f aca="false">W20+X20</f>
        <v>454</v>
      </c>
      <c r="Z20" s="57" t="n">
        <v>0</v>
      </c>
      <c r="AA20" s="58" t="n">
        <v>80</v>
      </c>
      <c r="AB20" s="58" t="n">
        <v>42</v>
      </c>
      <c r="AC20" s="59" t="n">
        <f aca="false">AC19+1</f>
        <v>11</v>
      </c>
      <c r="AD20" s="88"/>
      <c r="AE20" s="90"/>
      <c r="AF20" s="90"/>
      <c r="AG20" s="132"/>
      <c r="AH20" s="132"/>
      <c r="AI20" s="132"/>
    </row>
    <row r="21" customFormat="false" ht="11.1" hidden="false" customHeight="true" outlineLevel="0" collapsed="false">
      <c r="A21" s="59" t="n">
        <f aca="false">A20+1</f>
        <v>12</v>
      </c>
      <c r="B21" s="74" t="n">
        <v>6914.87</v>
      </c>
      <c r="C21" s="54" t="n">
        <v>341834</v>
      </c>
      <c r="D21" s="58" t="n">
        <f aca="false">C21-C20</f>
        <v>-1290</v>
      </c>
      <c r="E21" s="54" t="n">
        <f aca="false">C21-152000</f>
        <v>189834</v>
      </c>
      <c r="F21" s="53" t="n">
        <f aca="false">D21/$D$2</f>
        <v>-650.365515502899</v>
      </c>
      <c r="G21" s="53" t="n">
        <v>107</v>
      </c>
      <c r="H21" s="55" t="n">
        <v>1.4</v>
      </c>
      <c r="I21" s="53" t="n">
        <f aca="false">G21+H21</f>
        <v>108.4</v>
      </c>
      <c r="J21" s="75" t="n">
        <f aca="false">IF(L21&gt;0,L21,0)</f>
        <v>0</v>
      </c>
      <c r="K21" s="53" t="n">
        <f aca="false">I21+J21</f>
        <v>108.4</v>
      </c>
      <c r="L21" s="53" t="n">
        <f aca="false">F21-(I21-W21)</f>
        <v>-29.7655155028989</v>
      </c>
      <c r="M21" s="53" t="n">
        <v>148</v>
      </c>
      <c r="N21" s="53" t="n">
        <f aca="false">5.63+3.56*1.05</f>
        <v>9.368</v>
      </c>
      <c r="O21" s="53" t="n">
        <f aca="false">M21-N21</f>
        <v>138.632</v>
      </c>
      <c r="P21" s="53" t="n">
        <v>149</v>
      </c>
      <c r="Q21" s="53" t="n">
        <v>60</v>
      </c>
      <c r="R21" s="53" t="n">
        <f aca="false">SUM(O21:Q21)</f>
        <v>347.632</v>
      </c>
      <c r="S21" s="54" t="n">
        <f aca="false">(I21-R21)+S20</f>
        <v>32533.6424643559</v>
      </c>
      <c r="T21" s="53" t="n">
        <v>0</v>
      </c>
      <c r="U21" s="53" t="n">
        <v>372</v>
      </c>
      <c r="V21" s="54" t="n">
        <f aca="false">V20-U21</f>
        <v>7307</v>
      </c>
      <c r="W21" s="53" t="n">
        <f aca="false">R21+T21+N21+U21</f>
        <v>729</v>
      </c>
      <c r="X21" s="53" t="n">
        <f aca="false">IF(L21&lt;0,L21*-1,0)</f>
        <v>29.7655155028989</v>
      </c>
      <c r="Y21" s="53" t="n">
        <f aca="false">W21+X21</f>
        <v>758.765515502899</v>
      </c>
      <c r="Z21" s="57" t="n">
        <v>0</v>
      </c>
      <c r="AA21" s="58" t="n">
        <v>80</v>
      </c>
      <c r="AB21" s="58" t="n">
        <v>41</v>
      </c>
      <c r="AC21" s="59" t="n">
        <f aca="false">AC20+1</f>
        <v>12</v>
      </c>
      <c r="AD21" s="88"/>
      <c r="AE21" s="88"/>
      <c r="AF21" s="90"/>
    </row>
    <row r="22" customFormat="false" ht="11.1" hidden="false" customHeight="true" outlineLevel="0" collapsed="false">
      <c r="A22" s="59" t="n">
        <f aca="false">A21+1</f>
        <v>13</v>
      </c>
      <c r="B22" s="74" t="n">
        <v>6914.64</v>
      </c>
      <c r="C22" s="54" t="n">
        <v>340881</v>
      </c>
      <c r="D22" s="58" t="n">
        <f aca="false">C22-C21</f>
        <v>-953</v>
      </c>
      <c r="E22" s="54" t="n">
        <f aca="false">C22-152000</f>
        <v>188881</v>
      </c>
      <c r="F22" s="53" t="n">
        <f aca="false">D22/$D$2</f>
        <v>-480.463826569196</v>
      </c>
      <c r="G22" s="53" t="n">
        <v>105</v>
      </c>
      <c r="H22" s="55" t="n">
        <v>1.4</v>
      </c>
      <c r="I22" s="53" t="n">
        <f aca="false">G22+H22</f>
        <v>106.4</v>
      </c>
      <c r="J22" s="75" t="n">
        <f aca="false">IF(L22&gt;0,L22,0)</f>
        <v>0</v>
      </c>
      <c r="K22" s="53" t="n">
        <f aca="false">I22+J22</f>
        <v>106.4</v>
      </c>
      <c r="L22" s="53" t="n">
        <f aca="false">F22-(I22-W22)</f>
        <v>-3.86382656919585</v>
      </c>
      <c r="M22" s="53" t="n">
        <v>164</v>
      </c>
      <c r="N22" s="53" t="n">
        <f aca="false">8.66+9.86*1.05</f>
        <v>19.013</v>
      </c>
      <c r="O22" s="53" t="n">
        <f aca="false">M22-N22</f>
        <v>144.987</v>
      </c>
      <c r="P22" s="53" t="n">
        <v>273</v>
      </c>
      <c r="Q22" s="53" t="n">
        <v>60</v>
      </c>
      <c r="R22" s="53" t="n">
        <f aca="false">SUM(O22:Q22)</f>
        <v>477.987</v>
      </c>
      <c r="S22" s="54" t="n">
        <f aca="false">(I22-R22)+S21</f>
        <v>32162.0554643559</v>
      </c>
      <c r="T22" s="53" t="n">
        <v>0</v>
      </c>
      <c r="U22" s="53" t="n">
        <v>86</v>
      </c>
      <c r="V22" s="54" t="n">
        <f aca="false">V21-45</f>
        <v>7262</v>
      </c>
      <c r="W22" s="53" t="n">
        <f aca="false">R22+T22+N22+U22</f>
        <v>583</v>
      </c>
      <c r="X22" s="53" t="n">
        <f aca="false">IF(L22&lt;0,L22*-1,0)</f>
        <v>3.86382656919585</v>
      </c>
      <c r="Y22" s="53" t="n">
        <f aca="false">W22+X22</f>
        <v>586.863826569196</v>
      </c>
      <c r="Z22" s="57" t="n">
        <v>0</v>
      </c>
      <c r="AA22" s="58" t="n">
        <v>80</v>
      </c>
      <c r="AB22" s="58" t="n">
        <v>39</v>
      </c>
      <c r="AC22" s="59" t="n">
        <f aca="false">AC21+1</f>
        <v>13</v>
      </c>
      <c r="AD22" s="88"/>
      <c r="AE22" s="88"/>
      <c r="AF22" s="90"/>
    </row>
    <row r="23" customFormat="false" ht="11.1" hidden="false" customHeight="true" outlineLevel="0" collapsed="false">
      <c r="A23" s="59" t="n">
        <f aca="false">A22+1</f>
        <v>14</v>
      </c>
      <c r="B23" s="74" t="n">
        <v>6914.38</v>
      </c>
      <c r="C23" s="54" t="n">
        <v>339804</v>
      </c>
      <c r="D23" s="58" t="n">
        <f aca="false">C23-C22</f>
        <v>-1077</v>
      </c>
      <c r="E23" s="54" t="n">
        <f aca="false">C23-152000</f>
        <v>187804</v>
      </c>
      <c r="F23" s="53" t="n">
        <f aca="false">D23/$D$2</f>
        <v>-542.979581547769</v>
      </c>
      <c r="G23" s="53" t="n">
        <v>102</v>
      </c>
      <c r="H23" s="55" t="n">
        <v>1.3</v>
      </c>
      <c r="I23" s="53" t="n">
        <f aca="false">G23+H23</f>
        <v>103.3</v>
      </c>
      <c r="J23" s="75" t="n">
        <f aca="false">IF(L23&gt;0,L23,0)</f>
        <v>0</v>
      </c>
      <c r="K23" s="53" t="n">
        <f aca="false">I23+J23</f>
        <v>103.3</v>
      </c>
      <c r="L23" s="53" t="n">
        <f aca="false">F23-(I23-W23)</f>
        <v>-24.2795815477691</v>
      </c>
      <c r="M23" s="53" t="n">
        <v>148</v>
      </c>
      <c r="N23" s="53" t="n">
        <f aca="false">10.35+11.83*1.05</f>
        <v>22.7715</v>
      </c>
      <c r="O23" s="53" t="n">
        <f aca="false">M23-N23</f>
        <v>125.2285</v>
      </c>
      <c r="P23" s="53" t="n">
        <v>329</v>
      </c>
      <c r="Q23" s="100" t="n">
        <v>60</v>
      </c>
      <c r="R23" s="53" t="n">
        <f aca="false">SUM(O23:Q23)</f>
        <v>514.2285</v>
      </c>
      <c r="S23" s="54" t="n">
        <f aca="false">(I23-R23)+S22</f>
        <v>31751.1269643559</v>
      </c>
      <c r="T23" s="53" t="n">
        <v>0</v>
      </c>
      <c r="U23" s="53" t="n">
        <v>85</v>
      </c>
      <c r="V23" s="54" t="n">
        <f aca="false">V22-45</f>
        <v>7217</v>
      </c>
      <c r="W23" s="53" t="n">
        <f aca="false">R23+T23+N23+U23</f>
        <v>622</v>
      </c>
      <c r="X23" s="53" t="n">
        <f aca="false">IF(L23&lt;0,L23*-1,0)</f>
        <v>24.2795815477691</v>
      </c>
      <c r="Y23" s="53" t="n">
        <f aca="false">W23+X23</f>
        <v>646.279581547769</v>
      </c>
      <c r="Z23" s="57" t="n">
        <v>0</v>
      </c>
      <c r="AA23" s="83" t="n">
        <v>75</v>
      </c>
      <c r="AB23" s="58" t="n">
        <v>38</v>
      </c>
      <c r="AC23" s="59" t="n">
        <f aca="false">AC22+1</f>
        <v>14</v>
      </c>
      <c r="AD23" s="88"/>
      <c r="AE23" s="88"/>
      <c r="AF23" s="90"/>
    </row>
    <row r="24" customFormat="false" ht="11.1" hidden="false" customHeight="true" outlineLevel="0" collapsed="false">
      <c r="A24" s="59" t="n">
        <f aca="false">A23+1</f>
        <v>15</v>
      </c>
      <c r="B24" s="74" t="n">
        <v>6914.13</v>
      </c>
      <c r="C24" s="54" t="n">
        <v>338769</v>
      </c>
      <c r="D24" s="58" t="n">
        <f aca="false">C24-C23</f>
        <v>-1035</v>
      </c>
      <c r="E24" s="54" t="n">
        <f aca="false">C24-152000</f>
        <v>186769</v>
      </c>
      <c r="F24" s="53" t="n">
        <f aca="false">D24/$D$2</f>
        <v>-521.804890345349</v>
      </c>
      <c r="G24" s="53" t="n">
        <v>99</v>
      </c>
      <c r="H24" s="55" t="n">
        <v>1.3</v>
      </c>
      <c r="I24" s="53" t="n">
        <f aca="false">G24+H24</f>
        <v>100.3</v>
      </c>
      <c r="J24" s="75" t="n">
        <f aca="false">IF(L24&gt;0,L24,0)</f>
        <v>0</v>
      </c>
      <c r="K24" s="53" t="n">
        <f aca="false">I24+J24</f>
        <v>100.3</v>
      </c>
      <c r="L24" s="53" t="n">
        <f aca="false">F24-(I24-W24)</f>
        <v>-14.1048903453491</v>
      </c>
      <c r="M24" s="53" t="n">
        <v>135</v>
      </c>
      <c r="N24" s="53" t="n">
        <f aca="false">2.27+5.11*1.05</f>
        <v>7.6355</v>
      </c>
      <c r="O24" s="53" t="n">
        <f aca="false">M24-N24</f>
        <v>127.3645</v>
      </c>
      <c r="P24" s="53" t="n">
        <v>328</v>
      </c>
      <c r="Q24" s="100" t="n">
        <v>60</v>
      </c>
      <c r="R24" s="53" t="n">
        <f aca="false">SUM(O24:Q24)</f>
        <v>515.3645</v>
      </c>
      <c r="S24" s="54" t="n">
        <f aca="false">(I24-R24)+S23</f>
        <v>31336.0624643559</v>
      </c>
      <c r="T24" s="53" t="n">
        <v>0</v>
      </c>
      <c r="U24" s="53" t="n">
        <v>85</v>
      </c>
      <c r="V24" s="54" t="n">
        <f aca="false">V23-45</f>
        <v>7172</v>
      </c>
      <c r="W24" s="53" t="n">
        <f aca="false">R24+T24+N24+U24</f>
        <v>608</v>
      </c>
      <c r="X24" s="53" t="n">
        <f aca="false">IF(L24&lt;0,L24*-1,0)</f>
        <v>14.1048903453491</v>
      </c>
      <c r="Y24" s="53" t="n">
        <f aca="false">W24+X24</f>
        <v>622.104890345349</v>
      </c>
      <c r="Z24" s="57" t="n">
        <v>0</v>
      </c>
      <c r="AA24" s="83" t="n">
        <v>70</v>
      </c>
      <c r="AB24" s="58" t="n">
        <v>36</v>
      </c>
      <c r="AC24" s="59" t="n">
        <f aca="false">AC23+1</f>
        <v>15</v>
      </c>
      <c r="AD24" s="88"/>
      <c r="AE24" s="88"/>
      <c r="AF24" s="90"/>
    </row>
    <row r="25" customFormat="false" ht="11.1" hidden="false" customHeight="true" outlineLevel="0" collapsed="false">
      <c r="A25" s="59" t="n">
        <f aca="false">A24+1</f>
        <v>16</v>
      </c>
      <c r="B25" s="74" t="n">
        <v>6913.88</v>
      </c>
      <c r="C25" s="54" t="n">
        <v>337737</v>
      </c>
      <c r="D25" s="58" t="n">
        <f aca="false">C25-C24</f>
        <v>-1032</v>
      </c>
      <c r="E25" s="54" t="n">
        <f aca="false">C25-152000</f>
        <v>185737</v>
      </c>
      <c r="F25" s="53" t="n">
        <f aca="false">D25/$D$2</f>
        <v>-520.292412402319</v>
      </c>
      <c r="G25" s="53" t="n">
        <v>96</v>
      </c>
      <c r="H25" s="55" t="n">
        <v>1.3</v>
      </c>
      <c r="I25" s="53" t="n">
        <f aca="false">G25+H25</f>
        <v>97.3</v>
      </c>
      <c r="J25" s="75" t="n">
        <f aca="false">IF(L25&gt;0,L25,0)</f>
        <v>0</v>
      </c>
      <c r="K25" s="53" t="n">
        <f aca="false">I25+J25</f>
        <v>97.3</v>
      </c>
      <c r="L25" s="53" t="n">
        <f aca="false">F25-(I25-W25)</f>
        <v>-11.5924124023191</v>
      </c>
      <c r="M25" s="53" t="n">
        <v>134</v>
      </c>
      <c r="N25" s="53" t="n">
        <f aca="false">1.99+3.41*1.05</f>
        <v>5.5705</v>
      </c>
      <c r="O25" s="53" t="n">
        <f aca="false">M25-N25</f>
        <v>128.4295</v>
      </c>
      <c r="P25" s="53" t="n">
        <v>327</v>
      </c>
      <c r="Q25" s="53" t="n">
        <v>60</v>
      </c>
      <c r="R25" s="53" t="n">
        <f aca="false">SUM(O25:Q25)</f>
        <v>515.4295</v>
      </c>
      <c r="S25" s="54" t="n">
        <f aca="false">(I25-R25)+S24</f>
        <v>30917.9329643559</v>
      </c>
      <c r="T25" s="53" t="n">
        <v>0</v>
      </c>
      <c r="U25" s="53" t="n">
        <v>85</v>
      </c>
      <c r="V25" s="54" t="n">
        <f aca="false">V24-45</f>
        <v>7127</v>
      </c>
      <c r="W25" s="53" t="n">
        <f aca="false">R25+T25+N25+U25</f>
        <v>606</v>
      </c>
      <c r="X25" s="53" t="n">
        <f aca="false">IF(L25&lt;0,L25*-1,0)</f>
        <v>11.5924124023191</v>
      </c>
      <c r="Y25" s="53" t="n">
        <f aca="false">W25+X25</f>
        <v>617.592412402319</v>
      </c>
      <c r="Z25" s="57" t="n">
        <v>0</v>
      </c>
      <c r="AA25" s="83" t="n">
        <v>50</v>
      </c>
      <c r="AB25" s="58" t="n">
        <v>34</v>
      </c>
      <c r="AC25" s="59" t="n">
        <f aca="false">AC24+1</f>
        <v>16</v>
      </c>
      <c r="AD25" s="88"/>
      <c r="AE25" s="88"/>
      <c r="AF25" s="90"/>
    </row>
    <row r="26" customFormat="false" ht="11.1" hidden="false" customHeight="true" outlineLevel="0" collapsed="false">
      <c r="A26" s="59" t="n">
        <f aca="false">A25+1</f>
        <v>17</v>
      </c>
      <c r="B26" s="74" t="n">
        <v>6913.62</v>
      </c>
      <c r="C26" s="54" t="n">
        <v>336669</v>
      </c>
      <c r="D26" s="58" t="n">
        <f aca="false">C26-C25</f>
        <v>-1068</v>
      </c>
      <c r="E26" s="54" t="n">
        <f aca="false">C26-152000</f>
        <v>184669</v>
      </c>
      <c r="F26" s="53" t="n">
        <f aca="false">D26/$D$2</f>
        <v>-538.442147718679</v>
      </c>
      <c r="G26" s="53" t="n">
        <v>91</v>
      </c>
      <c r="H26" s="55" t="n">
        <v>1.3</v>
      </c>
      <c r="I26" s="53" t="n">
        <f aca="false">G26+H26</f>
        <v>92.3</v>
      </c>
      <c r="J26" s="75" t="n">
        <f aca="false">IF(L26&gt;0,L26,0)</f>
        <v>0</v>
      </c>
      <c r="K26" s="53" t="n">
        <f aca="false">I26+J26</f>
        <v>92.3</v>
      </c>
      <c r="L26" s="53" t="n">
        <f aca="false">F26-(I26-W26)</f>
        <v>-24.742147718679</v>
      </c>
      <c r="M26" s="53" t="n">
        <v>135</v>
      </c>
      <c r="N26" s="53" t="n">
        <f aca="false">0+2.2*1.05</f>
        <v>2.31</v>
      </c>
      <c r="O26" s="53" t="n">
        <f aca="false">M26-N26</f>
        <v>132.69</v>
      </c>
      <c r="P26" s="53" t="n">
        <v>326</v>
      </c>
      <c r="Q26" s="53" t="n">
        <v>60</v>
      </c>
      <c r="R26" s="53" t="n">
        <f aca="false">SUM(O26:Q26)</f>
        <v>518.69</v>
      </c>
      <c r="S26" s="54" t="n">
        <f aca="false">(I26-R26)+S25</f>
        <v>30491.5429643559</v>
      </c>
      <c r="T26" s="53" t="n">
        <v>0</v>
      </c>
      <c r="U26" s="53" t="n">
        <v>85</v>
      </c>
      <c r="V26" s="54" t="n">
        <f aca="false">V25-45</f>
        <v>7082</v>
      </c>
      <c r="W26" s="53" t="n">
        <f aca="false">R26+T26+N26+U26</f>
        <v>606</v>
      </c>
      <c r="X26" s="53" t="n">
        <f aca="false">IF(L26&lt;0,L26*-1,0)</f>
        <v>24.742147718679</v>
      </c>
      <c r="Y26" s="53" t="n">
        <f aca="false">W26+X26</f>
        <v>630.742147718679</v>
      </c>
      <c r="Z26" s="57" t="n">
        <v>0</v>
      </c>
      <c r="AA26" s="83" t="n">
        <v>52</v>
      </c>
      <c r="AB26" s="58" t="n">
        <v>21</v>
      </c>
      <c r="AC26" s="59" t="n">
        <f aca="false">AC25+1</f>
        <v>17</v>
      </c>
      <c r="AD26" s="88"/>
      <c r="AE26" s="88"/>
      <c r="AF26" s="90"/>
    </row>
    <row r="27" customFormat="false" ht="11.1" hidden="false" customHeight="true" outlineLevel="0" collapsed="false">
      <c r="A27" s="59" t="n">
        <f aca="false">A26+1</f>
        <v>18</v>
      </c>
      <c r="B27" s="74" t="n">
        <v>6913.35</v>
      </c>
      <c r="C27" s="54" t="n">
        <v>335560</v>
      </c>
      <c r="D27" s="58" t="n">
        <f aca="false">C27-C26</f>
        <v>-1109</v>
      </c>
      <c r="E27" s="54" t="n">
        <f aca="false">C27-152000</f>
        <v>183560</v>
      </c>
      <c r="F27" s="53" t="n">
        <f aca="false">D27/$D$2</f>
        <v>-559.112679606756</v>
      </c>
      <c r="G27" s="53" t="n">
        <v>87</v>
      </c>
      <c r="H27" s="55" t="n">
        <v>1.3</v>
      </c>
      <c r="I27" s="53" t="n">
        <f aca="false">G27+H27</f>
        <v>88.3</v>
      </c>
      <c r="J27" s="75" t="n">
        <f aca="false">IF(L27&gt;0,L27,0)</f>
        <v>0</v>
      </c>
      <c r="K27" s="53" t="n">
        <f aca="false">I27+J27</f>
        <v>88.3</v>
      </c>
      <c r="L27" s="53" t="n">
        <f aca="false">F27-(I27-W27)</f>
        <v>-20.4126796067557</v>
      </c>
      <c r="M27" s="53" t="n">
        <v>159</v>
      </c>
      <c r="N27" s="53" t="n">
        <f aca="false">23.03+24.48*1.05</f>
        <v>48.734</v>
      </c>
      <c r="O27" s="53" t="n">
        <f aca="false">M27-N27</f>
        <v>110.266</v>
      </c>
      <c r="P27" s="53" t="n">
        <v>326</v>
      </c>
      <c r="Q27" s="53" t="n">
        <v>57</v>
      </c>
      <c r="R27" s="53" t="n">
        <f aca="false">SUM(O27:Q27)</f>
        <v>493.266</v>
      </c>
      <c r="S27" s="54" t="n">
        <f aca="false">(I27-R27)+S26</f>
        <v>30086.5769643559</v>
      </c>
      <c r="T27" s="53" t="n">
        <v>0</v>
      </c>
      <c r="U27" s="53" t="n">
        <v>85</v>
      </c>
      <c r="V27" s="54" t="n">
        <f aca="false">V26-45</f>
        <v>7037</v>
      </c>
      <c r="W27" s="53" t="n">
        <f aca="false">R27+T27+N27+U27</f>
        <v>627</v>
      </c>
      <c r="X27" s="53" t="n">
        <f aca="false">IF(L27&lt;0,L27*-1,0)</f>
        <v>20.4126796067557</v>
      </c>
      <c r="Y27" s="53" t="n">
        <f aca="false">W27+X27</f>
        <v>647.412679606756</v>
      </c>
      <c r="Z27" s="57" t="n">
        <v>0</v>
      </c>
      <c r="AA27" s="83" t="n">
        <v>60</v>
      </c>
      <c r="AB27" s="58" t="n">
        <v>25</v>
      </c>
      <c r="AC27" s="59" t="n">
        <f aca="false">AC26+1</f>
        <v>18</v>
      </c>
      <c r="AD27" s="88"/>
      <c r="AE27" s="88"/>
      <c r="AF27" s="90"/>
    </row>
    <row r="28" customFormat="false" ht="11.1" hidden="false" customHeight="true" outlineLevel="0" collapsed="false">
      <c r="A28" s="59" t="n">
        <f aca="false">A27+1</f>
        <v>19</v>
      </c>
      <c r="B28" s="74" t="n">
        <v>6913.07</v>
      </c>
      <c r="C28" s="94" t="n">
        <v>334409</v>
      </c>
      <c r="D28" s="58" t="n">
        <f aca="false">C28-C27</f>
        <v>-1151</v>
      </c>
      <c r="E28" s="54" t="n">
        <f aca="false">C28-152000</f>
        <v>182409</v>
      </c>
      <c r="F28" s="53" t="n">
        <f aca="false">D28/$D$2</f>
        <v>-580.287370809176</v>
      </c>
      <c r="G28" s="53" t="n">
        <v>91</v>
      </c>
      <c r="H28" s="55" t="n">
        <v>1.2</v>
      </c>
      <c r="I28" s="53" t="n">
        <f aca="false">G28+H28</f>
        <v>92.2</v>
      </c>
      <c r="J28" s="75" t="n">
        <f aca="false">IF(L28&gt;0,L28,0)</f>
        <v>0</v>
      </c>
      <c r="K28" s="53" t="n">
        <f aca="false">I28+J28</f>
        <v>92.2</v>
      </c>
      <c r="L28" s="53" t="n">
        <f aca="false">F28-(I28-W28)</f>
        <v>-35.4873708091758</v>
      </c>
      <c r="M28" s="53" t="n">
        <v>173</v>
      </c>
      <c r="N28" s="53" t="n">
        <f aca="false">34.53+36.81*1.05</f>
        <v>73.1805</v>
      </c>
      <c r="O28" s="53" t="n">
        <f aca="false">M28-N28</f>
        <v>99.8195</v>
      </c>
      <c r="P28" s="53" t="n">
        <v>324</v>
      </c>
      <c r="Q28" s="53" t="n">
        <v>55</v>
      </c>
      <c r="R28" s="53" t="n">
        <f aca="false">SUM(O28:Q28)</f>
        <v>478.8195</v>
      </c>
      <c r="S28" s="54" t="n">
        <f aca="false">(I28-R28)+S27</f>
        <v>29699.9574643559</v>
      </c>
      <c r="T28" s="53" t="n">
        <v>0</v>
      </c>
      <c r="U28" s="53" t="n">
        <v>85</v>
      </c>
      <c r="V28" s="54" t="n">
        <f aca="false">V27-45</f>
        <v>6992</v>
      </c>
      <c r="W28" s="53" t="n">
        <f aca="false">R28+T28+N28+U28</f>
        <v>637</v>
      </c>
      <c r="X28" s="53" t="n">
        <f aca="false">IF(L28&lt;0,L28*-1,0)</f>
        <v>35.4873708091758</v>
      </c>
      <c r="Y28" s="53" t="n">
        <f aca="false">W28+X28</f>
        <v>672.487370809176</v>
      </c>
      <c r="Z28" s="57" t="n">
        <v>0</v>
      </c>
      <c r="AA28" s="83" t="n">
        <v>60</v>
      </c>
      <c r="AB28" s="58" t="n">
        <v>24</v>
      </c>
      <c r="AC28" s="59" t="n">
        <f aca="false">AC27+1</f>
        <v>19</v>
      </c>
      <c r="AD28" s="88"/>
      <c r="AE28" s="88"/>
      <c r="AF28" s="90"/>
    </row>
    <row r="29" customFormat="false" ht="11.1" hidden="false" customHeight="true" outlineLevel="0" collapsed="false">
      <c r="A29" s="59" t="n">
        <f aca="false">A28+1</f>
        <v>20</v>
      </c>
      <c r="B29" s="74" t="n">
        <v>6912.9</v>
      </c>
      <c r="C29" s="54" t="n">
        <v>333714</v>
      </c>
      <c r="D29" s="58" t="n">
        <f aca="false">C29-C28</f>
        <v>-695</v>
      </c>
      <c r="E29" s="54" t="n">
        <f aca="false">C29-152000</f>
        <v>181714</v>
      </c>
      <c r="F29" s="53" t="n">
        <f aca="false">D29/$D$2</f>
        <v>-350.390723468616</v>
      </c>
      <c r="G29" s="53" t="n">
        <v>88</v>
      </c>
      <c r="H29" s="55" t="n">
        <v>1.1</v>
      </c>
      <c r="I29" s="53" t="n">
        <f aca="false">G29+H29</f>
        <v>89.1</v>
      </c>
      <c r="J29" s="75" t="n">
        <f aca="false">IF(L29&gt;0,L29,0)</f>
        <v>0</v>
      </c>
      <c r="K29" s="53" t="n">
        <f aca="false">I29+J29</f>
        <v>89.1</v>
      </c>
      <c r="L29" s="53" t="n">
        <f aca="false">F29-(I29-W29)</f>
        <v>-41.4907234686161</v>
      </c>
      <c r="M29" s="53" t="n">
        <v>187</v>
      </c>
      <c r="N29" s="53" t="n">
        <f aca="false">40.22+42.36*1.05</f>
        <v>84.698</v>
      </c>
      <c r="O29" s="53" t="n">
        <f aca="false">M29-N29</f>
        <v>102.302</v>
      </c>
      <c r="P29" s="53" t="n">
        <v>70</v>
      </c>
      <c r="Q29" s="53" t="n">
        <v>56</v>
      </c>
      <c r="R29" s="53" t="n">
        <f aca="false">SUM(O29:Q29)</f>
        <v>228.302</v>
      </c>
      <c r="S29" s="54" t="n">
        <f aca="false">(I29-R29)+S28</f>
        <v>29560.7554643559</v>
      </c>
      <c r="T29" s="53" t="n">
        <v>0</v>
      </c>
      <c r="U29" s="53" t="n">
        <v>85</v>
      </c>
      <c r="V29" s="54" t="n">
        <f aca="false">V28-45</f>
        <v>6947</v>
      </c>
      <c r="W29" s="53" t="n">
        <f aca="false">R29+T29+N29+U29</f>
        <v>398</v>
      </c>
      <c r="X29" s="53" t="n">
        <f aca="false">IF(L29&lt;0,L29*-1,0)</f>
        <v>41.4907234686161</v>
      </c>
      <c r="Y29" s="53" t="n">
        <f aca="false">W29+X29</f>
        <v>439.490723468616</v>
      </c>
      <c r="Z29" s="57" t="n">
        <v>0</v>
      </c>
      <c r="AA29" s="83" t="n">
        <v>64</v>
      </c>
      <c r="AB29" s="58" t="n">
        <v>28</v>
      </c>
      <c r="AC29" s="59" t="n">
        <f aca="false">AC28+1</f>
        <v>20</v>
      </c>
      <c r="AD29" s="88"/>
      <c r="AE29" s="88"/>
      <c r="AF29" s="90"/>
    </row>
    <row r="30" customFormat="false" ht="11.1" hidden="false" customHeight="true" outlineLevel="0" collapsed="false">
      <c r="A30" s="59" t="n">
        <f aca="false">A29+1</f>
        <v>21</v>
      </c>
      <c r="B30" s="74" t="n">
        <v>6912.8</v>
      </c>
      <c r="C30" s="54" t="n">
        <v>333306</v>
      </c>
      <c r="D30" s="58" t="n">
        <f aca="false">C30-C29</f>
        <v>-408</v>
      </c>
      <c r="E30" s="54" t="n">
        <f aca="false">C30-152000</f>
        <v>181306</v>
      </c>
      <c r="F30" s="53" t="n">
        <f aca="false">D30/$D$2</f>
        <v>-205.69700025208</v>
      </c>
      <c r="G30" s="53" t="n">
        <v>85</v>
      </c>
      <c r="H30" s="55" t="n">
        <v>1.2</v>
      </c>
      <c r="I30" s="53" t="n">
        <f aca="false">G30+H30</f>
        <v>86.2</v>
      </c>
      <c r="J30" s="75" t="n">
        <f aca="false">IF(L30&gt;0,L30,0)</f>
        <v>11.1029997479204</v>
      </c>
      <c r="K30" s="53" t="n">
        <f aca="false">I30+J30</f>
        <v>97.3029997479204</v>
      </c>
      <c r="L30" s="53" t="n">
        <f aca="false">F30-(I30-W30)</f>
        <v>11.1029997479204</v>
      </c>
      <c r="M30" s="53" t="n">
        <v>166</v>
      </c>
      <c r="N30" s="53" t="n">
        <f aca="false">33+33.58*1.05</f>
        <v>68.259</v>
      </c>
      <c r="O30" s="53" t="n">
        <f aca="false">M30-N30</f>
        <v>97.741</v>
      </c>
      <c r="P30" s="53" t="n">
        <v>0</v>
      </c>
      <c r="Q30" s="53" t="n">
        <v>52</v>
      </c>
      <c r="R30" s="53" t="n">
        <f aca="false">SUM(O30:Q30)</f>
        <v>149.741</v>
      </c>
      <c r="S30" s="54" t="n">
        <f aca="false">(I30-R30)+S29</f>
        <v>29497.2144643559</v>
      </c>
      <c r="T30" s="53" t="n">
        <v>0</v>
      </c>
      <c r="U30" s="53" t="n">
        <v>85</v>
      </c>
      <c r="V30" s="54" t="n">
        <f aca="false">V29-45</f>
        <v>6902</v>
      </c>
      <c r="W30" s="53" t="n">
        <f aca="false">R30+T30+N30+U30</f>
        <v>303</v>
      </c>
      <c r="X30" s="53" t="n">
        <f aca="false">IF(L30&lt;0,L30*-1,0)</f>
        <v>0</v>
      </c>
      <c r="Y30" s="53" t="n">
        <f aca="false">W30+X30</f>
        <v>303</v>
      </c>
      <c r="Z30" s="57" t="n">
        <v>0</v>
      </c>
      <c r="AA30" s="58" t="n">
        <v>68</v>
      </c>
      <c r="AB30" s="58" t="n">
        <v>32</v>
      </c>
      <c r="AC30" s="59" t="n">
        <f aca="false">AC29+1</f>
        <v>21</v>
      </c>
      <c r="AD30" s="88"/>
      <c r="AE30" s="88"/>
      <c r="AF30" s="90"/>
    </row>
    <row r="31" customFormat="false" ht="11.1" hidden="false" customHeight="true" outlineLevel="0" collapsed="false">
      <c r="A31" s="59" t="n">
        <f aca="false">A30+1</f>
        <v>22</v>
      </c>
      <c r="B31" s="74" t="n">
        <v>6912.71</v>
      </c>
      <c r="C31" s="54" t="n">
        <v>332939</v>
      </c>
      <c r="D31" s="58" t="n">
        <f aca="false">C31-C30</f>
        <v>-367</v>
      </c>
      <c r="E31" s="54" t="n">
        <f aca="false">C31-152000</f>
        <v>180939</v>
      </c>
      <c r="F31" s="53" t="n">
        <f aca="false">D31/$D$2</f>
        <v>-185.026468364003</v>
      </c>
      <c r="G31" s="53" t="n">
        <v>82</v>
      </c>
      <c r="H31" s="55" t="n">
        <v>1.2</v>
      </c>
      <c r="I31" s="53" t="n">
        <f aca="false">G31+H31</f>
        <v>83.2</v>
      </c>
      <c r="J31" s="75" t="n">
        <f aca="false">IF(L31&gt;0,L31,0)</f>
        <v>0</v>
      </c>
      <c r="K31" s="53" t="n">
        <f aca="false">I31+J31</f>
        <v>83.2</v>
      </c>
      <c r="L31" s="53" t="n">
        <f aca="false">F31-(I31-W31)</f>
        <v>-13.226468364003</v>
      </c>
      <c r="M31" s="53" t="n">
        <v>120</v>
      </c>
      <c r="N31" s="53" t="n">
        <f aca="false">16.91+17.2*1.05</f>
        <v>34.97</v>
      </c>
      <c r="O31" s="53" t="n">
        <f aca="false">M31-N31</f>
        <v>85.03</v>
      </c>
      <c r="P31" s="53" t="n">
        <v>0</v>
      </c>
      <c r="Q31" s="53" t="n">
        <v>50</v>
      </c>
      <c r="R31" s="53" t="n">
        <f aca="false">SUM(O31:Q31)</f>
        <v>135.03</v>
      </c>
      <c r="S31" s="54" t="n">
        <f aca="false">(I31-R31)+S30</f>
        <v>29445.3844643559</v>
      </c>
      <c r="T31" s="53" t="n">
        <v>0</v>
      </c>
      <c r="U31" s="53" t="n">
        <v>85</v>
      </c>
      <c r="V31" s="54" t="n">
        <f aca="false">V30-45</f>
        <v>6857</v>
      </c>
      <c r="W31" s="53" t="n">
        <f aca="false">R31+T31+N31+U31</f>
        <v>255</v>
      </c>
      <c r="X31" s="53" t="n">
        <f aca="false">IF(L31&lt;0,L31*-1,0)</f>
        <v>13.226468364003</v>
      </c>
      <c r="Y31" s="53" t="n">
        <f aca="false">W31+X31</f>
        <v>268.226468364003</v>
      </c>
      <c r="Z31" s="57" t="n">
        <v>0</v>
      </c>
      <c r="AA31" s="58" t="n">
        <v>64</v>
      </c>
      <c r="AB31" s="58" t="n">
        <v>35</v>
      </c>
      <c r="AC31" s="59" t="n">
        <f aca="false">AC30+1</f>
        <v>22</v>
      </c>
      <c r="AD31" s="88"/>
      <c r="AE31" s="88"/>
      <c r="AF31" s="90"/>
      <c r="AG31" s="132"/>
      <c r="AH31" s="132"/>
      <c r="AI31" s="132"/>
    </row>
    <row r="32" customFormat="false" ht="11.1" hidden="false" customHeight="true" outlineLevel="0" collapsed="false">
      <c r="A32" s="59" t="n">
        <f aca="false">A31+1</f>
        <v>23</v>
      </c>
      <c r="B32" s="74" t="n">
        <v>6912.63</v>
      </c>
      <c r="C32" s="54" t="n">
        <v>332613</v>
      </c>
      <c r="D32" s="58" t="n">
        <f aca="false">C32-C31</f>
        <v>-326</v>
      </c>
      <c r="E32" s="54" t="n">
        <f aca="false">C32-152000</f>
        <v>180613</v>
      </c>
      <c r="F32" s="53" t="n">
        <f aca="false">D32/$D$2</f>
        <v>-164.355936475926</v>
      </c>
      <c r="G32" s="53" t="n">
        <v>82</v>
      </c>
      <c r="H32" s="55" t="n">
        <v>1.2</v>
      </c>
      <c r="I32" s="53" t="n">
        <f aca="false">G32+H32</f>
        <v>83.2</v>
      </c>
      <c r="J32" s="75" t="n">
        <f aca="false">IF(L32&gt;0,L32,0)</f>
        <v>0</v>
      </c>
      <c r="K32" s="53" t="n">
        <f aca="false">I32+J32</f>
        <v>83.2</v>
      </c>
      <c r="L32" s="53" t="n">
        <f aca="false">F32-(I32-W32)</f>
        <v>-12.5559364759264</v>
      </c>
      <c r="M32" s="53" t="n">
        <v>100</v>
      </c>
      <c r="N32" s="53" t="n">
        <f aca="false">2.87+3.31*1.05</f>
        <v>6.3455</v>
      </c>
      <c r="O32" s="53" t="n">
        <f aca="false">M32-N32</f>
        <v>93.6545</v>
      </c>
      <c r="P32" s="53" t="n">
        <v>0</v>
      </c>
      <c r="Q32" s="53" t="n">
        <v>50</v>
      </c>
      <c r="R32" s="53" t="n">
        <f aca="false">SUM(O32:Q32)</f>
        <v>143.6545</v>
      </c>
      <c r="S32" s="54" t="n">
        <f aca="false">(I32-R32)+S31</f>
        <v>29384.9299643559</v>
      </c>
      <c r="T32" s="53" t="n">
        <v>0</v>
      </c>
      <c r="U32" s="53" t="n">
        <v>85</v>
      </c>
      <c r="V32" s="54" t="n">
        <f aca="false">V31-45</f>
        <v>6812</v>
      </c>
      <c r="W32" s="53" t="n">
        <f aca="false">R32+T32+N32+U32</f>
        <v>235</v>
      </c>
      <c r="X32" s="53" t="n">
        <f aca="false">IF(L32&lt;0,L32*-1,0)</f>
        <v>12.5559364759264</v>
      </c>
      <c r="Y32" s="53" t="n">
        <f aca="false">W32+X32</f>
        <v>247.555936475926</v>
      </c>
      <c r="Z32" s="57" t="n">
        <v>0</v>
      </c>
      <c r="AA32" s="58" t="n">
        <v>72</v>
      </c>
      <c r="AB32" s="83" t="n">
        <v>22</v>
      </c>
      <c r="AC32" s="59" t="n">
        <f aca="false">AC31+1</f>
        <v>23</v>
      </c>
      <c r="AD32" s="88"/>
      <c r="AE32" s="88"/>
      <c r="AF32" s="90"/>
    </row>
    <row r="33" customFormat="false" ht="11.1" hidden="false" customHeight="true" outlineLevel="0" collapsed="false">
      <c r="A33" s="59" t="n">
        <f aca="false">A32+1</f>
        <v>24</v>
      </c>
      <c r="B33" s="74" t="n">
        <v>6912.56</v>
      </c>
      <c r="C33" s="54" t="n">
        <v>332327</v>
      </c>
      <c r="D33" s="58" t="n">
        <f aca="false">C33-C32</f>
        <v>-286</v>
      </c>
      <c r="E33" s="54" t="n">
        <f aca="false">C33-152000</f>
        <v>180327</v>
      </c>
      <c r="F33" s="53" t="n">
        <f aca="false">D33/$D$2</f>
        <v>-144.189563902193</v>
      </c>
      <c r="G33" s="53" t="n">
        <v>83</v>
      </c>
      <c r="H33" s="55" t="n">
        <v>1.3</v>
      </c>
      <c r="I33" s="53" t="n">
        <f aca="false">G33+H33</f>
        <v>84.3</v>
      </c>
      <c r="J33" s="75" t="n">
        <f aca="false">IF(L33&gt;0,L33,0)</f>
        <v>2.51043609780689</v>
      </c>
      <c r="K33" s="53" t="n">
        <f aca="false">I33+J33</f>
        <v>86.8104360978069</v>
      </c>
      <c r="L33" s="53" t="n">
        <f aca="false">F33-(I33-W33)</f>
        <v>2.51043609780689</v>
      </c>
      <c r="M33" s="53" t="n">
        <v>100</v>
      </c>
      <c r="N33" s="53" t="n">
        <f aca="false">2.87+3.34*1.05</f>
        <v>6.377</v>
      </c>
      <c r="O33" s="53" t="n">
        <f aca="false">M33-N33</f>
        <v>93.623</v>
      </c>
      <c r="P33" s="53" t="n">
        <v>0</v>
      </c>
      <c r="Q33" s="53" t="n">
        <v>50</v>
      </c>
      <c r="R33" s="53" t="n">
        <f aca="false">SUM(O33:Q33)</f>
        <v>143.623</v>
      </c>
      <c r="S33" s="54" t="n">
        <f aca="false">(I33-R33)+S32</f>
        <v>29325.6069643559</v>
      </c>
      <c r="T33" s="53" t="n">
        <v>0</v>
      </c>
      <c r="U33" s="53" t="n">
        <v>81</v>
      </c>
      <c r="V33" s="54" t="n">
        <f aca="false">V32-45</f>
        <v>6767</v>
      </c>
      <c r="W33" s="53" t="n">
        <f aca="false">R33+T33+N33+U33</f>
        <v>231</v>
      </c>
      <c r="X33" s="53" t="n">
        <f aca="false">IF(L33&lt;0,L33*-1,0)</f>
        <v>0</v>
      </c>
      <c r="Y33" s="53" t="n">
        <f aca="false">W33+X33</f>
        <v>231</v>
      </c>
      <c r="Z33" s="57" t="n">
        <v>0</v>
      </c>
      <c r="AA33" s="58" t="n">
        <v>66</v>
      </c>
      <c r="AB33" s="83" t="n">
        <v>35</v>
      </c>
      <c r="AC33" s="59" t="n">
        <f aca="false">AC32+1</f>
        <v>24</v>
      </c>
      <c r="AD33" s="88"/>
      <c r="AE33" s="88"/>
      <c r="AF33" s="90"/>
    </row>
    <row r="34" customFormat="false" ht="11.1" hidden="false" customHeight="true" outlineLevel="0" collapsed="false">
      <c r="A34" s="59" t="n">
        <v>25</v>
      </c>
      <c r="B34" s="74" t="n">
        <v>6912.46</v>
      </c>
      <c r="C34" s="54" t="n">
        <v>331920</v>
      </c>
      <c r="D34" s="58" t="n">
        <f aca="false">C34-C33</f>
        <v>-407</v>
      </c>
      <c r="E34" s="54" t="n">
        <f aca="false">C34-152000</f>
        <v>179920</v>
      </c>
      <c r="F34" s="53" t="n">
        <f aca="false">D34/$D$2</f>
        <v>-205.192840937736</v>
      </c>
      <c r="G34" s="53" t="n">
        <v>82</v>
      </c>
      <c r="H34" s="55" t="n">
        <v>1.3</v>
      </c>
      <c r="I34" s="53" t="n">
        <f aca="false">G34+H34</f>
        <v>83.3</v>
      </c>
      <c r="J34" s="75" t="n">
        <f aca="false">IF(L34&gt;0,L34,0)</f>
        <v>0</v>
      </c>
      <c r="K34" s="53" t="n">
        <f aca="false">I34+J34</f>
        <v>83.3</v>
      </c>
      <c r="L34" s="53" t="n">
        <f aca="false">F34-(I34-W34)</f>
        <v>-3.49284093773633</v>
      </c>
      <c r="M34" s="53" t="n">
        <v>150</v>
      </c>
      <c r="N34" s="53" t="n">
        <f aca="false">25.03+26.33*1.05</f>
        <v>52.6765</v>
      </c>
      <c r="O34" s="53" t="n">
        <f aca="false">M34-N34</f>
        <v>97.3235</v>
      </c>
      <c r="P34" s="53" t="n">
        <v>0</v>
      </c>
      <c r="Q34" s="53" t="n">
        <v>50</v>
      </c>
      <c r="R34" s="53" t="n">
        <f aca="false">SUM(O34:Q34)</f>
        <v>147.3235</v>
      </c>
      <c r="S34" s="54" t="n">
        <f aca="false">(I34-R34)+S33</f>
        <v>29261.5834643559</v>
      </c>
      <c r="T34" s="53" t="n">
        <v>0</v>
      </c>
      <c r="U34" s="53" t="n">
        <v>85</v>
      </c>
      <c r="V34" s="54" t="n">
        <f aca="false">V33-45</f>
        <v>6722</v>
      </c>
      <c r="W34" s="53" t="n">
        <f aca="false">R34+T34+N34+U34</f>
        <v>285</v>
      </c>
      <c r="X34" s="53" t="n">
        <f aca="false">IF(L34&lt;0,L34*-1,0)</f>
        <v>3.49284093773633</v>
      </c>
      <c r="Y34" s="53" t="n">
        <f aca="false">W34+X34</f>
        <v>288.492840937736</v>
      </c>
      <c r="Z34" s="57" t="n">
        <v>0</v>
      </c>
      <c r="AA34" s="58" t="n">
        <v>72</v>
      </c>
      <c r="AB34" s="83" t="n">
        <v>34</v>
      </c>
      <c r="AC34" s="59" t="n">
        <v>25</v>
      </c>
      <c r="AD34" s="88"/>
      <c r="AE34" s="88"/>
      <c r="AF34" s="90"/>
    </row>
    <row r="35" customFormat="false" ht="11.1" hidden="false" customHeight="true" outlineLevel="0" collapsed="false">
      <c r="A35" s="59" t="n">
        <v>26</v>
      </c>
      <c r="B35" s="74" t="n">
        <v>6912.34</v>
      </c>
      <c r="C35" s="54" t="n">
        <v>331430</v>
      </c>
      <c r="D35" s="58" t="n">
        <f aca="false">C35-C34</f>
        <v>-490</v>
      </c>
      <c r="E35" s="54" t="n">
        <f aca="false">C35-152000</f>
        <v>179430</v>
      </c>
      <c r="F35" s="53" t="n">
        <f aca="false">D35/$D$2</f>
        <v>-247.038064028233</v>
      </c>
      <c r="G35" s="53" t="n">
        <v>79</v>
      </c>
      <c r="H35" s="55" t="n">
        <v>1.2</v>
      </c>
      <c r="I35" s="53" t="n">
        <f aca="false">G35+H35</f>
        <v>80.2</v>
      </c>
      <c r="J35" s="75" t="n">
        <f aca="false">IF(L35&gt;0,L35,0)</f>
        <v>0</v>
      </c>
      <c r="K35" s="53" t="n">
        <f aca="false">I35+J35</f>
        <v>80.2</v>
      </c>
      <c r="L35" s="53" t="n">
        <f aca="false">F35-(I35-W35)</f>
        <v>-16.2380640282329</v>
      </c>
      <c r="M35" s="53" t="n">
        <v>176</v>
      </c>
      <c r="N35" s="53" t="n">
        <f aca="false">40.9+41.91*1.05</f>
        <v>84.9055</v>
      </c>
      <c r="O35" s="53" t="n">
        <f aca="false">M35-N35</f>
        <v>91.0945</v>
      </c>
      <c r="P35" s="53" t="n">
        <v>0</v>
      </c>
      <c r="Q35" s="53" t="n">
        <v>50</v>
      </c>
      <c r="R35" s="53" t="n">
        <f aca="false">SUM(O35:Q35)</f>
        <v>141.0945</v>
      </c>
      <c r="S35" s="54" t="n">
        <f aca="false">(I35-R35)+S34</f>
        <v>29200.6889643559</v>
      </c>
      <c r="T35" s="53" t="n">
        <v>0</v>
      </c>
      <c r="U35" s="53" t="n">
        <v>85</v>
      </c>
      <c r="V35" s="54" t="n">
        <f aca="false">V34-45</f>
        <v>6677</v>
      </c>
      <c r="W35" s="53" t="n">
        <f aca="false">R35+T35+N35+U35</f>
        <v>311</v>
      </c>
      <c r="X35" s="53" t="n">
        <f aca="false">IF(L35&lt;0,L35*-1,0)</f>
        <v>16.2380640282329</v>
      </c>
      <c r="Y35" s="53" t="n">
        <f aca="false">W35+X35</f>
        <v>327.238064028233</v>
      </c>
      <c r="Z35" s="57" t="n">
        <v>0</v>
      </c>
      <c r="AA35" s="58" t="n">
        <v>70</v>
      </c>
      <c r="AB35" s="83" t="n">
        <v>36</v>
      </c>
      <c r="AC35" s="59" t="n">
        <v>26</v>
      </c>
      <c r="AD35" s="88"/>
      <c r="AE35" s="88"/>
      <c r="AF35" s="90"/>
    </row>
    <row r="36" customFormat="false" ht="11.1" hidden="false" customHeight="true" outlineLevel="0" collapsed="false">
      <c r="A36" s="59" t="n">
        <v>27</v>
      </c>
      <c r="B36" s="74" t="n">
        <v>6912.23</v>
      </c>
      <c r="C36" s="54" t="n">
        <v>330982</v>
      </c>
      <c r="D36" s="58" t="n">
        <f aca="false">C36-C35</f>
        <v>-448</v>
      </c>
      <c r="E36" s="54" t="n">
        <f aca="false">C36-152000</f>
        <v>178982</v>
      </c>
      <c r="F36" s="53" t="n">
        <f aca="false">D36/$D$2</f>
        <v>-225.863372825813</v>
      </c>
      <c r="G36" s="53" t="n">
        <v>79</v>
      </c>
      <c r="H36" s="55" t="n">
        <v>1.1</v>
      </c>
      <c r="I36" s="53" t="n">
        <f aca="false">G36+H36</f>
        <v>80.1</v>
      </c>
      <c r="J36" s="75" t="n">
        <f aca="false">IF(L36&gt;0,L36,0)</f>
        <v>1.03662717418706</v>
      </c>
      <c r="K36" s="53" t="n">
        <f aca="false">I36+J36</f>
        <v>81.1366271741871</v>
      </c>
      <c r="L36" s="53" t="n">
        <f aca="false">F36-(I36-W36)</f>
        <v>1.03662717418706</v>
      </c>
      <c r="M36" s="53" t="n">
        <v>176</v>
      </c>
      <c r="N36" s="53" t="n">
        <f aca="false">41.52+40.78*1.05</f>
        <v>84.339</v>
      </c>
      <c r="O36" s="53" t="n">
        <f aca="false">M36-N36</f>
        <v>91.661</v>
      </c>
      <c r="P36" s="53" t="n">
        <v>0</v>
      </c>
      <c r="Q36" s="53" t="n">
        <v>46</v>
      </c>
      <c r="R36" s="53" t="n">
        <f aca="false">SUM(O36:Q36)</f>
        <v>137.661</v>
      </c>
      <c r="S36" s="54" t="n">
        <f aca="false">(I36-R36)+S35</f>
        <v>29143.1279643559</v>
      </c>
      <c r="T36" s="53" t="n">
        <v>0</v>
      </c>
      <c r="U36" s="53" t="n">
        <v>85</v>
      </c>
      <c r="V36" s="54" t="n">
        <f aca="false">V35-45</f>
        <v>6632</v>
      </c>
      <c r="W36" s="53" t="n">
        <f aca="false">R36+T36+N36+U36</f>
        <v>307</v>
      </c>
      <c r="X36" s="53" t="n">
        <f aca="false">IF(L36&lt;0,L36*-1,0)</f>
        <v>0</v>
      </c>
      <c r="Y36" s="53" t="n">
        <f aca="false">W36+X36</f>
        <v>307</v>
      </c>
      <c r="Z36" s="57" t="n">
        <v>0</v>
      </c>
      <c r="AA36" s="58" t="n">
        <v>68</v>
      </c>
      <c r="AB36" s="83" t="n">
        <v>36</v>
      </c>
      <c r="AC36" s="59" t="n">
        <v>27</v>
      </c>
      <c r="AD36" s="88"/>
      <c r="AE36" s="88"/>
      <c r="AF36" s="90"/>
    </row>
    <row r="37" customFormat="false" ht="11.1" hidden="false" customHeight="true" outlineLevel="0" collapsed="false">
      <c r="A37" s="59" t="n">
        <v>28</v>
      </c>
      <c r="B37" s="74" t="n">
        <v>6912.12</v>
      </c>
      <c r="C37" s="54" t="n">
        <v>330534</v>
      </c>
      <c r="D37" s="58" t="n">
        <f aca="false">C37-C36</f>
        <v>-448</v>
      </c>
      <c r="E37" s="54" t="n">
        <f aca="false">C37-152000</f>
        <v>178534</v>
      </c>
      <c r="F37" s="53" t="n">
        <f aca="false">D37/$D$2</f>
        <v>-225.863372825813</v>
      </c>
      <c r="G37" s="53" t="n">
        <v>78</v>
      </c>
      <c r="H37" s="55" t="n">
        <v>1.1</v>
      </c>
      <c r="I37" s="53" t="n">
        <f aca="false">G37+H37</f>
        <v>79.1</v>
      </c>
      <c r="J37" s="75" t="n">
        <f aca="false">IF(L37&gt;0,L37,0)</f>
        <v>0</v>
      </c>
      <c r="K37" s="53" t="n">
        <f aca="false">I37+J37</f>
        <v>79.1</v>
      </c>
      <c r="L37" s="53" t="n">
        <f aca="false">F37-(I37-W37)</f>
        <v>-16.9633728258129</v>
      </c>
      <c r="M37" s="53" t="n">
        <v>162</v>
      </c>
      <c r="N37" s="53" t="n">
        <f aca="false">34.59+35.13*1.05</f>
        <v>71.4765</v>
      </c>
      <c r="O37" s="53" t="n">
        <f aca="false">M37-N37</f>
        <v>90.5235</v>
      </c>
      <c r="P37" s="53" t="n">
        <v>0</v>
      </c>
      <c r="Q37" s="53" t="n">
        <v>41</v>
      </c>
      <c r="R37" s="53" t="n">
        <f aca="false">SUM(O37:Q37)</f>
        <v>131.5235</v>
      </c>
      <c r="S37" s="54" t="n">
        <f aca="false">(I37-R37)+S36</f>
        <v>29090.7044643559</v>
      </c>
      <c r="T37" s="53" t="n">
        <v>0</v>
      </c>
      <c r="U37" s="53" t="n">
        <v>85</v>
      </c>
      <c r="V37" s="54" t="n">
        <f aca="false">V36-45</f>
        <v>6587</v>
      </c>
      <c r="W37" s="53" t="n">
        <f aca="false">R37+T37+N37+U37</f>
        <v>288</v>
      </c>
      <c r="X37" s="53" t="n">
        <f aca="false">IF(L37&lt;0,L37*-1,0)</f>
        <v>16.9633728258129</v>
      </c>
      <c r="Y37" s="53" t="n">
        <f aca="false">W37+X37</f>
        <v>304.963372825813</v>
      </c>
      <c r="Z37" s="57" t="n">
        <v>0</v>
      </c>
      <c r="AA37" s="58" t="n">
        <v>66</v>
      </c>
      <c r="AB37" s="83" t="n">
        <v>35</v>
      </c>
      <c r="AC37" s="59" t="n">
        <v>28</v>
      </c>
      <c r="AD37" s="88"/>
      <c r="AE37" s="88"/>
      <c r="AF37" s="90"/>
    </row>
    <row r="38" customFormat="false" ht="11.1" hidden="false" customHeight="true" outlineLevel="0" collapsed="false">
      <c r="A38" s="59" t="n">
        <v>29</v>
      </c>
      <c r="B38" s="74" t="n">
        <v>6912.04</v>
      </c>
      <c r="C38" s="54" t="n">
        <v>330207</v>
      </c>
      <c r="D38" s="58" t="n">
        <f aca="false">C38-C37</f>
        <v>-327</v>
      </c>
      <c r="E38" s="54" t="n">
        <f aca="false">C38-152000</f>
        <v>178207</v>
      </c>
      <c r="F38" s="53" t="n">
        <f aca="false">D38/$D$2</f>
        <v>-164.86009579027</v>
      </c>
      <c r="G38" s="53" t="n">
        <v>78</v>
      </c>
      <c r="H38" s="55" t="n">
        <v>1.3</v>
      </c>
      <c r="I38" s="53" t="n">
        <f aca="false">G38+H38</f>
        <v>79.3</v>
      </c>
      <c r="J38" s="75" t="n">
        <f aca="false">IF(L38&gt;0,L38,0)</f>
        <v>0</v>
      </c>
      <c r="K38" s="53" t="n">
        <f aca="false">I38+J38</f>
        <v>79.3</v>
      </c>
      <c r="L38" s="53" t="n">
        <f aca="false">F38-(I38-W38)</f>
        <v>-7.16009579026974</v>
      </c>
      <c r="M38" s="53" t="n">
        <v>115</v>
      </c>
      <c r="N38" s="53" t="n">
        <f aca="false">13.12+9.24*1.05</f>
        <v>22.822</v>
      </c>
      <c r="O38" s="53" t="n">
        <f aca="false">M38-N38</f>
        <v>92.178</v>
      </c>
      <c r="P38" s="53" t="n">
        <v>0</v>
      </c>
      <c r="Q38" s="53" t="n">
        <v>37</v>
      </c>
      <c r="R38" s="53" t="n">
        <f aca="false">SUM(O38:Q38)</f>
        <v>129.178</v>
      </c>
      <c r="S38" s="54" t="n">
        <f aca="false">(I38-R38)+S37</f>
        <v>29040.8264643559</v>
      </c>
      <c r="T38" s="53" t="n">
        <v>0</v>
      </c>
      <c r="U38" s="53" t="n">
        <v>85</v>
      </c>
      <c r="V38" s="54" t="n">
        <f aca="false">V37-45</f>
        <v>6542</v>
      </c>
      <c r="W38" s="53" t="n">
        <f aca="false">R38+T38+N38+U38</f>
        <v>237</v>
      </c>
      <c r="X38" s="53" t="n">
        <f aca="false">IF(L38&lt;0,L38*-1,0)</f>
        <v>7.16009579026974</v>
      </c>
      <c r="Y38" s="53" t="n">
        <f aca="false">W38+X38</f>
        <v>244.16009579027</v>
      </c>
      <c r="Z38" s="57" t="n">
        <v>0</v>
      </c>
      <c r="AA38" s="58" t="n">
        <v>49</v>
      </c>
      <c r="AB38" s="83" t="n">
        <v>34</v>
      </c>
      <c r="AC38" s="59" t="n">
        <v>29</v>
      </c>
      <c r="AD38" s="88"/>
      <c r="AE38" s="88"/>
      <c r="AF38" s="90"/>
    </row>
    <row r="39" customFormat="false" ht="11.1" hidden="false" customHeight="true" outlineLevel="0" collapsed="false">
      <c r="A39" s="59" t="n">
        <v>30</v>
      </c>
      <c r="B39" s="74" t="n">
        <v>6911.97</v>
      </c>
      <c r="C39" s="54" t="n">
        <v>329923</v>
      </c>
      <c r="D39" s="58" t="n">
        <f aca="false">C39-C38</f>
        <v>-284</v>
      </c>
      <c r="E39" s="54" t="n">
        <f aca="false">C39-152000</f>
        <v>177923</v>
      </c>
      <c r="F39" s="53" t="n">
        <f aca="false">D39/$D$2</f>
        <v>-143.181245273506</v>
      </c>
      <c r="G39" s="53" t="n">
        <v>73</v>
      </c>
      <c r="H39" s="55" t="n">
        <v>1.2</v>
      </c>
      <c r="I39" s="53" t="n">
        <f aca="false">G39+H39</f>
        <v>74.2</v>
      </c>
      <c r="J39" s="75" t="n">
        <f aca="false">IF(L39&gt;0,L39,0)</f>
        <v>0</v>
      </c>
      <c r="K39" s="53" t="n">
        <f aca="false">I39+J39</f>
        <v>74.2</v>
      </c>
      <c r="L39" s="53" t="n">
        <f aca="false">F39-(I39-W39)</f>
        <v>-2.38124527350641</v>
      </c>
      <c r="M39" s="53" t="n">
        <v>94</v>
      </c>
      <c r="N39" s="53" t="n">
        <f aca="false">6+1.66*1.05</f>
        <v>7.743</v>
      </c>
      <c r="O39" s="53" t="n">
        <f aca="false">M39-N39</f>
        <v>86.257</v>
      </c>
      <c r="P39" s="53" t="n">
        <v>0</v>
      </c>
      <c r="Q39" s="53" t="n">
        <v>36</v>
      </c>
      <c r="R39" s="53" t="n">
        <f aca="false">SUM(O39:Q39)</f>
        <v>122.257</v>
      </c>
      <c r="S39" s="54" t="n">
        <f aca="false">(I39-R39)+S38</f>
        <v>28992.7694643559</v>
      </c>
      <c r="T39" s="53" t="n">
        <v>0</v>
      </c>
      <c r="U39" s="53" t="n">
        <v>85</v>
      </c>
      <c r="V39" s="54" t="n">
        <f aca="false">V38-45</f>
        <v>6497</v>
      </c>
      <c r="W39" s="53" t="n">
        <f aca="false">R39+T39+N39+U39</f>
        <v>215</v>
      </c>
      <c r="X39" s="53" t="n">
        <f aca="false">IF(L39&lt;0,L39*-1,0)</f>
        <v>2.38124527350641</v>
      </c>
      <c r="Y39" s="53" t="n">
        <f aca="false">W39+X39</f>
        <v>217.381245273506</v>
      </c>
      <c r="Z39" s="57" t="n">
        <v>0</v>
      </c>
      <c r="AA39" s="58" t="n">
        <v>63</v>
      </c>
      <c r="AB39" s="83" t="n">
        <v>20</v>
      </c>
      <c r="AC39" s="59" t="n">
        <v>30</v>
      </c>
      <c r="AD39" s="88"/>
      <c r="AE39" s="88"/>
      <c r="AF39" s="90"/>
    </row>
    <row r="40" customFormat="false" ht="11.1" hidden="false" customHeight="true" outlineLevel="0" collapsed="false">
      <c r="A40" s="59" t="n">
        <v>31</v>
      </c>
      <c r="B40" s="74" t="n">
        <v>6911.91</v>
      </c>
      <c r="C40" s="54" t="n">
        <v>329680</v>
      </c>
      <c r="D40" s="58" t="n">
        <f aca="false">C40-C39</f>
        <v>-243</v>
      </c>
      <c r="E40" s="54" t="n">
        <f aca="false">C40-152000</f>
        <v>177680</v>
      </c>
      <c r="F40" s="53" t="n">
        <f aca="false">D40/$D$2</f>
        <v>-122.51071338543</v>
      </c>
      <c r="G40" s="53" t="n">
        <v>74</v>
      </c>
      <c r="H40" s="55" t="n">
        <v>1.4</v>
      </c>
      <c r="I40" s="53" t="n">
        <f aca="false">G40+H40</f>
        <v>75.4</v>
      </c>
      <c r="J40" s="75" t="n">
        <f aca="false">IF(L40&gt;0,L40,0)</f>
        <v>7.0892866145702</v>
      </c>
      <c r="K40" s="53" t="n">
        <f aca="false">I40+J40</f>
        <v>82.4892866145702</v>
      </c>
      <c r="L40" s="53" t="n">
        <f aca="false">F40-(I40-W40)</f>
        <v>7.0892866145702</v>
      </c>
      <c r="M40" s="53" t="n">
        <v>84</v>
      </c>
      <c r="N40" s="53" t="n">
        <f aca="false">3.28+3.72*1.05</f>
        <v>7.186</v>
      </c>
      <c r="O40" s="53" t="n">
        <f aca="false">M40-N40</f>
        <v>76.814</v>
      </c>
      <c r="P40" s="53" t="n">
        <v>0</v>
      </c>
      <c r="Q40" s="53" t="n">
        <v>36</v>
      </c>
      <c r="R40" s="53" t="n">
        <f aca="false">SUM(O40:Q40)</f>
        <v>112.814</v>
      </c>
      <c r="S40" s="54" t="n">
        <f aca="false">(I40-R40)+S39</f>
        <v>28955.3554643559</v>
      </c>
      <c r="T40" s="53" t="n">
        <v>0</v>
      </c>
      <c r="U40" s="53" t="n">
        <v>85</v>
      </c>
      <c r="V40" s="54" t="n">
        <f aca="false">V39-45</f>
        <v>6452</v>
      </c>
      <c r="W40" s="53" t="n">
        <f aca="false">R40+T40+N40+U40</f>
        <v>205</v>
      </c>
      <c r="X40" s="53" t="n">
        <f aca="false">IF(L40&lt;0,L40*-1,0)</f>
        <v>0</v>
      </c>
      <c r="Y40" s="53" t="n">
        <f aca="false">W40+X40</f>
        <v>205</v>
      </c>
      <c r="Z40" s="57" t="n">
        <v>0</v>
      </c>
      <c r="AA40" s="58" t="n">
        <v>66</v>
      </c>
      <c r="AB40" s="83" t="n">
        <v>25</v>
      </c>
      <c r="AC40" s="59" t="n">
        <v>31</v>
      </c>
      <c r="AD40" s="88"/>
      <c r="AE40" s="88"/>
      <c r="AF40" s="90"/>
    </row>
    <row r="41" customFormat="false" ht="3" hidden="false" customHeight="true" outlineLevel="0" collapsed="false">
      <c r="A41" s="76"/>
      <c r="B41" s="76"/>
      <c r="C41" s="78"/>
      <c r="D41" s="76"/>
      <c r="E41" s="78"/>
      <c r="F41" s="76"/>
      <c r="G41" s="76"/>
      <c r="H41" s="79" t="n">
        <v>0</v>
      </c>
      <c r="I41" s="76"/>
      <c r="J41" s="76"/>
      <c r="K41" s="76"/>
      <c r="L41" s="76"/>
      <c r="M41" s="76" t="n">
        <v>0</v>
      </c>
      <c r="N41" s="76"/>
      <c r="O41" s="76"/>
      <c r="P41" s="76"/>
      <c r="Q41" s="76" t="n">
        <v>0</v>
      </c>
      <c r="R41" s="76"/>
      <c r="S41" s="78"/>
      <c r="T41" s="76"/>
      <c r="U41" s="76" t="n">
        <v>0</v>
      </c>
      <c r="V41" s="76"/>
      <c r="W41" s="76"/>
      <c r="X41" s="76"/>
      <c r="Y41" s="76"/>
      <c r="Z41" s="80"/>
      <c r="AA41" s="81"/>
      <c r="AB41" s="81"/>
      <c r="AC41" s="82"/>
      <c r="AD41" s="88"/>
      <c r="AE41" s="88"/>
      <c r="AF41" s="89"/>
    </row>
    <row r="42" customFormat="false" ht="11.1" hidden="false" customHeight="true" outlineLevel="0" collapsed="false">
      <c r="A42" s="53" t="s">
        <v>45</v>
      </c>
      <c r="B42" s="53"/>
      <c r="C42" s="54"/>
      <c r="D42" s="54"/>
      <c r="E42" s="54"/>
      <c r="F42" s="54" t="n">
        <f aca="false">SUM(F10:F40)</f>
        <v>-9585.07688429544</v>
      </c>
      <c r="G42" s="54" t="n">
        <f aca="false">SUM(G10:G40)</f>
        <v>3162</v>
      </c>
      <c r="H42" s="54" t="n">
        <f aca="false">SUM(H10:H40)</f>
        <v>43.5</v>
      </c>
      <c r="I42" s="54" t="n">
        <f aca="false">SUM(I10:I40)</f>
        <v>3205.5</v>
      </c>
      <c r="J42" s="54" t="n">
        <f aca="false">SUM(J10:J40)</f>
        <v>96.8127804386186</v>
      </c>
      <c r="K42" s="54" t="n">
        <f aca="false">SUM(K10:K40)</f>
        <v>3302.31278043862</v>
      </c>
      <c r="L42" s="54" t="n">
        <f aca="false">SUM(L10:L40)</f>
        <v>-539.176884295437</v>
      </c>
      <c r="M42" s="54" t="n">
        <f aca="false">SUM(M11:M40)</f>
        <v>4182</v>
      </c>
      <c r="N42" s="54" t="n">
        <f aca="false">SUM(N10:N40)</f>
        <v>799.372</v>
      </c>
      <c r="O42" s="54" t="n">
        <f aca="false">SUM(O10:O40)</f>
        <v>3551.628</v>
      </c>
      <c r="P42" s="54" t="n">
        <f aca="false">SUM(P10:P40)</f>
        <v>3688</v>
      </c>
      <c r="Q42" s="54" t="n">
        <f aca="false">SUM(Q10:Q40)</f>
        <v>1665</v>
      </c>
      <c r="R42" s="54" t="n">
        <f aca="false">SUM(R10:R40)</f>
        <v>8904.628</v>
      </c>
      <c r="S42" s="54" t="n">
        <f aca="false">S21</f>
        <v>32533.6424643559</v>
      </c>
      <c r="T42" s="54" t="n">
        <f aca="false">SUM(T10:T40)</f>
        <v>16.4</v>
      </c>
      <c r="U42" s="54" t="n">
        <f aca="false">SUM(U10:U40)</f>
        <v>2531</v>
      </c>
      <c r="V42" s="54"/>
      <c r="W42" s="54" t="n">
        <f aca="false">SUM(W10:W40)</f>
        <v>12251.4</v>
      </c>
      <c r="X42" s="54" t="n">
        <f aca="false">SUM(X10:X40)</f>
        <v>635.989664734056</v>
      </c>
      <c r="Y42" s="54" t="n">
        <f aca="false">SUM(Y10:Y40)</f>
        <v>12887.3896647341</v>
      </c>
      <c r="Z42" s="57" t="n">
        <f aca="false">SUM(Z10:Z40)</f>
        <v>0.02</v>
      </c>
      <c r="AA42" s="58" t="n">
        <f aca="false">AVERAGE(AA10:AA40)</f>
        <v>69.1935483870968</v>
      </c>
      <c r="AB42" s="58" t="n">
        <f aca="false">AVERAGE(AB10:AB40)</f>
        <v>34.1612903225806</v>
      </c>
      <c r="AC42" s="59"/>
      <c r="AD42" s="88"/>
      <c r="AE42" s="88"/>
      <c r="AF42" s="89"/>
    </row>
    <row r="43" customFormat="false" ht="11.1" hidden="false" customHeight="true" outlineLevel="0" collapsed="false">
      <c r="A43" s="53" t="s">
        <v>46</v>
      </c>
      <c r="B43" s="53"/>
      <c r="C43" s="54"/>
      <c r="D43" s="54" t="n">
        <f aca="false">SUM(D10:D40)</f>
        <v>-19012</v>
      </c>
      <c r="E43" s="54"/>
      <c r="F43" s="54" t="n">
        <f aca="false">F42*$D$2</f>
        <v>-19012</v>
      </c>
      <c r="G43" s="54" t="n">
        <f aca="false">G42*$D$2</f>
        <v>6271.827</v>
      </c>
      <c r="H43" s="54" t="n">
        <f aca="false">H42*$D$2</f>
        <v>86.28225</v>
      </c>
      <c r="I43" s="54" t="n">
        <f aca="false">I42*$D$2</f>
        <v>6358.10925</v>
      </c>
      <c r="J43" s="54" t="n">
        <f aca="false">J42*$D$2</f>
        <v>192.02815</v>
      </c>
      <c r="K43" s="54" t="n">
        <f aca="false">K42*$D$2</f>
        <v>6550.1374</v>
      </c>
      <c r="L43" s="54" t="n">
        <f aca="false">L42*$D$2</f>
        <v>-1069.45735</v>
      </c>
      <c r="M43" s="54" t="n">
        <f aca="false">M42*$D$2</f>
        <v>8294.997</v>
      </c>
      <c r="N43" s="54" t="n">
        <f aca="false">N42*$D$2</f>
        <v>1585.554362</v>
      </c>
      <c r="O43" s="54" t="n">
        <f aca="false">O42*$D$2</f>
        <v>7044.654138</v>
      </c>
      <c r="P43" s="54" t="n">
        <f aca="false">P42*$D$2</f>
        <v>7315.148</v>
      </c>
      <c r="Q43" s="54" t="n">
        <f aca="false">Q42*$D$2</f>
        <v>3302.5275</v>
      </c>
      <c r="R43" s="54" t="n">
        <f aca="false">R42*$D$2</f>
        <v>17662.329638</v>
      </c>
      <c r="S43" s="54" t="n">
        <f aca="false">S42*$D$2</f>
        <v>64530.47982805</v>
      </c>
      <c r="T43" s="54" t="n">
        <f aca="false">T42*$D$2</f>
        <v>32.5294</v>
      </c>
      <c r="U43" s="54" t="n">
        <f aca="false">U42*$D$2</f>
        <v>5020.2385</v>
      </c>
      <c r="V43" s="54" t="n">
        <f aca="false">V42*$D$2</f>
        <v>0</v>
      </c>
      <c r="W43" s="54" t="n">
        <f aca="false">W42*$D$2</f>
        <v>24300.6519</v>
      </c>
      <c r="X43" s="54" t="n">
        <f aca="false">X42*$D$2</f>
        <v>1261.4855</v>
      </c>
      <c r="Y43" s="54" t="n">
        <f aca="false">Y42*$D$2</f>
        <v>25562.1374</v>
      </c>
      <c r="Z43" s="57"/>
      <c r="AA43" s="58" t="n">
        <f aca="false">MAX(AA10:AA40)</f>
        <v>80</v>
      </c>
      <c r="AB43" s="58" t="n">
        <f aca="false">MAX(AB10:AB40)</f>
        <v>50</v>
      </c>
      <c r="AC43" s="59" t="s">
        <v>47</v>
      </c>
      <c r="AD43" s="88"/>
      <c r="AE43" s="88"/>
      <c r="AF43" s="89"/>
    </row>
    <row r="44" customFormat="false" ht="3" hidden="false" customHeight="true" outlineLevel="0" collapsed="false">
      <c r="A44" s="76"/>
      <c r="B44" s="76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6"/>
      <c r="W44" s="78"/>
      <c r="X44" s="78"/>
      <c r="Y44" s="78"/>
      <c r="Z44" s="57"/>
      <c r="AA44" s="58"/>
      <c r="AB44" s="58"/>
      <c r="AC44" s="59"/>
      <c r="AD44" s="88"/>
      <c r="AE44" s="88"/>
      <c r="AF44" s="89"/>
    </row>
    <row r="45" customFormat="false" ht="11.1" hidden="false" customHeight="true" outlineLevel="0" collapsed="false">
      <c r="A45" s="53" t="s">
        <v>48</v>
      </c>
      <c r="B45" s="53"/>
      <c r="C45" s="54"/>
      <c r="D45" s="54"/>
      <c r="E45" s="54"/>
      <c r="F45" s="54" t="n">
        <f aca="false">F7+F42</f>
        <v>25314.3433324931</v>
      </c>
      <c r="G45" s="54" t="n">
        <f aca="false">G7+G42</f>
        <v>168520</v>
      </c>
      <c r="H45" s="54" t="n">
        <f aca="false">H7+H42</f>
        <v>5035.1</v>
      </c>
      <c r="I45" s="54" t="n">
        <f aca="false">I7+I42</f>
        <v>173555.1</v>
      </c>
      <c r="J45" s="54" t="n">
        <f aca="false">J7+J42</f>
        <v>19437.5047390976</v>
      </c>
      <c r="K45" s="54" t="n">
        <f aca="false">K7+K42</f>
        <v>192992.604739098</v>
      </c>
      <c r="L45" s="54" t="n">
        <f aca="false">L7+L42</f>
        <v>17269.4433324931</v>
      </c>
      <c r="M45" s="54" t="n">
        <f aca="false">M7+M42</f>
        <v>39722.6</v>
      </c>
      <c r="N45" s="54" t="n">
        <f aca="false">N7+N42</f>
        <v>9024.7433</v>
      </c>
      <c r="O45" s="54" t="n">
        <f aca="false">O7+O42</f>
        <v>30866.8567</v>
      </c>
      <c r="P45" s="54" t="n">
        <f aca="false">P7+P42</f>
        <v>20593</v>
      </c>
      <c r="Q45" s="54" t="n">
        <f aca="false">Q7+Q42</f>
        <v>11084.3</v>
      </c>
      <c r="R45" s="54" t="n">
        <f aca="false">R7+R42</f>
        <v>62544.1567</v>
      </c>
      <c r="S45" s="54" t="n">
        <f aca="false">S40</f>
        <v>28955.3554643559</v>
      </c>
      <c r="T45" s="54" t="n">
        <f aca="false">T7+T42</f>
        <v>17928.3</v>
      </c>
      <c r="U45" s="54" t="n">
        <f aca="false">U7+U42</f>
        <v>76013</v>
      </c>
      <c r="V45" s="54"/>
      <c r="W45" s="54" t="n">
        <f aca="false">W7+W42</f>
        <v>165510.2</v>
      </c>
      <c r="X45" s="54" t="n">
        <f aca="false">X7+X42</f>
        <v>2168.06140660449</v>
      </c>
      <c r="Y45" s="54" t="n">
        <f aca="false">Y7+Y42</f>
        <v>167678.261406604</v>
      </c>
      <c r="Z45" s="57"/>
      <c r="AA45" s="58" t="n">
        <f aca="false">MIN(AA10:AA40)</f>
        <v>49</v>
      </c>
      <c r="AB45" s="58" t="n">
        <f aca="false">MIN(AB10:AB40)</f>
        <v>20</v>
      </c>
      <c r="AC45" s="59" t="s">
        <v>49</v>
      </c>
      <c r="AD45" s="88"/>
      <c r="AE45" s="88"/>
      <c r="AF45" s="89"/>
    </row>
    <row r="46" customFormat="false" ht="11.1" hidden="false" customHeight="true" outlineLevel="0" collapsed="false">
      <c r="A46" s="53" t="s">
        <v>50</v>
      </c>
      <c r="B46" s="53"/>
      <c r="C46" s="54"/>
      <c r="D46" s="54"/>
      <c r="E46" s="54"/>
      <c r="F46" s="54" t="n">
        <f aca="false">F45*$D$2</f>
        <v>50211</v>
      </c>
      <c r="G46" s="54" t="n">
        <f aca="false">G45*$D$2</f>
        <v>334259.42</v>
      </c>
      <c r="H46" s="54" t="n">
        <f aca="false">H45*$D$2</f>
        <v>9987.12085</v>
      </c>
      <c r="I46" s="54" t="n">
        <f aca="false">I45*$D$2</f>
        <v>344246.54085</v>
      </c>
      <c r="J46" s="54" t="n">
        <f aca="false">J45*$D$2</f>
        <v>38554.29065</v>
      </c>
      <c r="K46" s="54" t="n">
        <f aca="false">K45*$D$2</f>
        <v>382800.8315</v>
      </c>
      <c r="L46" s="54" t="n">
        <f aca="false">L45*$D$2</f>
        <v>34253.94085</v>
      </c>
      <c r="M46" s="54" t="n">
        <f aca="false">M45*$D$2</f>
        <v>78789.7771</v>
      </c>
      <c r="N46" s="54" t="n">
        <f aca="false">N45*$D$2</f>
        <v>17900.57833555</v>
      </c>
      <c r="O46" s="54" t="n">
        <f aca="false">O45*$D$2</f>
        <v>61224.41026445</v>
      </c>
      <c r="P46" s="54" t="n">
        <f aca="false">P45*$D$2</f>
        <v>40846.2155</v>
      </c>
      <c r="Q46" s="54" t="n">
        <f aca="false">Q45*$D$2</f>
        <v>21985.70905</v>
      </c>
      <c r="R46" s="54" t="n">
        <f aca="false">R45*$D$2</f>
        <v>124056.33481445</v>
      </c>
      <c r="S46" s="54" t="n">
        <f aca="false">S45*$D$2</f>
        <v>57432.94756355</v>
      </c>
      <c r="T46" s="54" t="n">
        <f aca="false">T45*$D$2</f>
        <v>35560.78305</v>
      </c>
      <c r="U46" s="54" t="n">
        <f aca="false">U45*$D$2</f>
        <v>150771.7855</v>
      </c>
      <c r="V46" s="54" t="n">
        <f aca="false">V45*$D$2</f>
        <v>0</v>
      </c>
      <c r="W46" s="54" t="n">
        <f aca="false">W45*$D$2</f>
        <v>328289.4817</v>
      </c>
      <c r="X46" s="54" t="n">
        <f aca="false">X45*$D$2</f>
        <v>4300.3498</v>
      </c>
      <c r="Y46" s="54" t="n">
        <f aca="false">Y45*$D$2</f>
        <v>332589.8315</v>
      </c>
      <c r="Z46" s="57"/>
      <c r="AA46" s="58"/>
      <c r="AB46" s="58"/>
      <c r="AC46" s="59"/>
      <c r="AD46" s="88"/>
      <c r="AE46" s="88"/>
      <c r="AF46" s="89"/>
    </row>
    <row r="47" customFormat="false" ht="3" hidden="false" customHeight="true" outlineLevel="0" collapsed="false">
      <c r="A47" s="76"/>
      <c r="B47" s="76"/>
      <c r="C47" s="78"/>
      <c r="D47" s="78"/>
      <c r="E47" s="78"/>
      <c r="F47" s="78"/>
      <c r="G47" s="78"/>
      <c r="H47" s="81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80"/>
      <c r="AA47" s="58"/>
      <c r="AB47" s="58"/>
      <c r="AC47" s="59"/>
      <c r="AD47" s="88"/>
      <c r="AE47" s="88"/>
      <c r="AF47" s="89"/>
    </row>
    <row r="48" customFormat="false" ht="11.1" hidden="false" customHeight="true" outlineLevel="0" collapsed="false">
      <c r="A48" s="53" t="s">
        <v>51</v>
      </c>
      <c r="B48" s="53"/>
      <c r="C48" s="54"/>
      <c r="D48" s="54"/>
      <c r="E48" s="54"/>
      <c r="F48" s="54" t="n">
        <f aca="false">F8+F42</f>
        <v>36078.1446937232</v>
      </c>
      <c r="G48" s="54" t="n">
        <f aca="false">G8+G42</f>
        <v>182953</v>
      </c>
      <c r="H48" s="58" t="n">
        <f aca="false">H8+H42</f>
        <v>5365.4</v>
      </c>
      <c r="I48" s="54" t="n">
        <f aca="false">I8+I42</f>
        <v>188313.3</v>
      </c>
      <c r="J48" s="54" t="n">
        <f aca="false">J8+J42</f>
        <v>23687.8726745652</v>
      </c>
      <c r="K48" s="54" t="n">
        <f aca="false">K8+K42</f>
        <v>212003.877363247</v>
      </c>
      <c r="L48" s="54" t="n">
        <f aca="false">L8+L42</f>
        <v>20976.9446937232</v>
      </c>
      <c r="M48" s="54" t="n">
        <f aca="false">M8+M42</f>
        <v>40958.4</v>
      </c>
      <c r="N48" s="54" t="n">
        <f aca="false">N8+N42</f>
        <v>9100.3118</v>
      </c>
      <c r="O48" s="54" t="n">
        <f aca="false">O8+O42</f>
        <v>31741.4882</v>
      </c>
      <c r="P48" s="54" t="n">
        <f aca="false">P8+P42</f>
        <v>20593</v>
      </c>
      <c r="Q48" s="54" t="n">
        <f aca="false">Q8+Q42</f>
        <v>11214.4</v>
      </c>
      <c r="R48" s="54" t="n">
        <f aca="false">R8+R42</f>
        <v>63779.3107</v>
      </c>
      <c r="S48" s="54"/>
      <c r="T48" s="54" t="n">
        <f aca="false">T8+T42</f>
        <v>17928.3</v>
      </c>
      <c r="U48" s="54" t="n">
        <f aca="false">U8+U42</f>
        <v>82349</v>
      </c>
      <c r="V48" s="54" t="n">
        <f aca="false">V40</f>
        <v>6452</v>
      </c>
      <c r="W48" s="54" t="n">
        <f aca="false">W8+W42</f>
        <v>173212.1</v>
      </c>
      <c r="X48" s="54" t="n">
        <f aca="false">X8+X42</f>
        <v>2710.92798084195</v>
      </c>
      <c r="Y48" s="54" t="n">
        <f aca="false">Y8+Y42</f>
        <v>175923.027980842</v>
      </c>
      <c r="Z48" s="75" t="n">
        <f aca="false">Z8+Z42</f>
        <v>16.4</v>
      </c>
      <c r="AA48" s="58"/>
      <c r="AB48" s="58"/>
      <c r="AC48" s="59"/>
      <c r="AD48" s="88"/>
      <c r="AE48" s="88"/>
      <c r="AF48" s="89"/>
    </row>
    <row r="49" customFormat="false" ht="11.1" hidden="false" customHeight="true" outlineLevel="0" collapsed="false">
      <c r="A49" s="53" t="s">
        <v>52</v>
      </c>
      <c r="B49" s="53"/>
      <c r="C49" s="54"/>
      <c r="D49" s="54" t="n">
        <f aca="false">D8+D43</f>
        <v>97547</v>
      </c>
      <c r="E49" s="54" t="n">
        <f aca="false">E40</f>
        <v>177680</v>
      </c>
      <c r="F49" s="54" t="n">
        <f aca="false">F48*$D$2</f>
        <v>71561</v>
      </c>
      <c r="G49" s="54" t="n">
        <f aca="false">G48*$D$2</f>
        <v>362887.2755</v>
      </c>
      <c r="H49" s="58" t="n">
        <f aca="false">H48*$D$2</f>
        <v>10642.2709</v>
      </c>
      <c r="I49" s="54" t="n">
        <f aca="false">I48*$D$2</f>
        <v>373519.43055</v>
      </c>
      <c r="J49" s="54" t="n">
        <f aca="false">J48*$D$2</f>
        <v>46984.89545</v>
      </c>
      <c r="K49" s="54" t="n">
        <f aca="false">K48*$D$2</f>
        <v>420509.69075</v>
      </c>
      <c r="L49" s="54" t="n">
        <f aca="false">L48*$D$2</f>
        <v>41607.7698</v>
      </c>
      <c r="M49" s="54" t="n">
        <f aca="false">M48*$D$2</f>
        <v>81240.9864</v>
      </c>
      <c r="N49" s="54" t="n">
        <f aca="false">N48*$D$2</f>
        <v>18050.4684553</v>
      </c>
      <c r="O49" s="54" t="n">
        <f aca="false">O48*$D$2</f>
        <v>62959.2418447</v>
      </c>
      <c r="P49" s="54" t="n">
        <f aca="false">P48*$D$2</f>
        <v>40846.2155</v>
      </c>
      <c r="Q49" s="54" t="n">
        <f aca="false">Q48*$D$2</f>
        <v>22243.7624</v>
      </c>
      <c r="R49" s="54" t="n">
        <f aca="false">R48*$D$2</f>
        <v>126506.26277345</v>
      </c>
      <c r="S49" s="54" t="n">
        <f aca="false">S48*$D$2</f>
        <v>0</v>
      </c>
      <c r="T49" s="54" t="n">
        <f aca="false">T48*$D$2</f>
        <v>35560.78305</v>
      </c>
      <c r="U49" s="54" t="n">
        <f aca="false">U48*$D$2</f>
        <v>163339.2415</v>
      </c>
      <c r="V49" s="54" t="n">
        <f aca="false">V48*$D$2</f>
        <v>12797.542</v>
      </c>
      <c r="W49" s="54" t="n">
        <f aca="false">W48*$D$2</f>
        <v>343566.20035</v>
      </c>
      <c r="X49" s="54" t="n">
        <f aca="false">X48*$D$2</f>
        <v>5377.12565</v>
      </c>
      <c r="Y49" s="54" t="n">
        <f aca="false">Y48*$D$2</f>
        <v>348943.326</v>
      </c>
      <c r="Z49" s="57"/>
      <c r="AA49" s="58"/>
      <c r="AB49" s="58"/>
      <c r="AC49" s="59"/>
      <c r="AD49" s="88"/>
      <c r="AE49" s="88"/>
      <c r="AF49" s="89"/>
    </row>
    <row r="50" customFormat="false" ht="3" hidden="false" customHeight="true" outlineLevel="0" collapsed="false">
      <c r="A50" s="76"/>
      <c r="B50" s="76"/>
      <c r="C50" s="78"/>
      <c r="D50" s="76"/>
      <c r="E50" s="78"/>
      <c r="F50" s="76"/>
      <c r="G50" s="76"/>
      <c r="H50" s="79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8"/>
      <c r="T50" s="76"/>
      <c r="U50" s="76"/>
      <c r="V50" s="78"/>
      <c r="W50" s="76"/>
      <c r="X50" s="76"/>
      <c r="Y50" s="76"/>
      <c r="Z50" s="57"/>
      <c r="AA50" s="58"/>
      <c r="AB50" s="58"/>
      <c r="AC50" s="59"/>
      <c r="AD50" s="88"/>
      <c r="AE50" s="88"/>
      <c r="AF50" s="89"/>
    </row>
    <row r="51" customFormat="false" ht="11.1" hidden="false" customHeight="true" outlineLevel="0" collapsed="false">
      <c r="A51" s="137" t="str">
        <f aca="false">"NOV /7"</f>
        <v>NOV /7</v>
      </c>
      <c r="B51" s="85"/>
      <c r="C51" s="54"/>
      <c r="D51" s="53"/>
      <c r="E51" s="54"/>
      <c r="F51" s="53"/>
      <c r="G51" s="53"/>
      <c r="H51" s="55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4"/>
      <c r="T51" s="53"/>
      <c r="U51" s="53"/>
      <c r="V51" s="54"/>
      <c r="W51" s="53"/>
      <c r="X51" s="53"/>
      <c r="Y51" s="53"/>
      <c r="Z51" s="57"/>
      <c r="AA51" s="58"/>
      <c r="AB51" s="58"/>
      <c r="AC51" s="59"/>
      <c r="AD51" s="87"/>
      <c r="AE51" s="87"/>
    </row>
    <row r="52" customFormat="false" ht="11.1" hidden="false" customHeight="true" outlineLevel="0" collapsed="false">
      <c r="A52" s="53"/>
      <c r="B52" s="74" t="n">
        <v>6889.52</v>
      </c>
      <c r="C52" s="54" t="n">
        <v>246552</v>
      </c>
      <c r="D52" s="83"/>
      <c r="E52" s="54" t="n">
        <f aca="false">C52-152000</f>
        <v>94552</v>
      </c>
      <c r="F52" s="53"/>
      <c r="G52" s="53"/>
      <c r="H52" s="83"/>
      <c r="I52" s="55"/>
      <c r="J52" s="53"/>
      <c r="K52" s="44"/>
      <c r="L52" s="53"/>
      <c r="M52" s="53"/>
      <c r="N52" s="53"/>
      <c r="O52" s="46"/>
      <c r="S52" s="54"/>
      <c r="T52" s="111" t="n">
        <v>53026</v>
      </c>
      <c r="U52" s="46" t="str">
        <f aca="false">"= FS metered "</f>
        <v>= FS metered </v>
      </c>
      <c r="V52" s="54"/>
      <c r="W52" s="53"/>
      <c r="X52" s="53"/>
      <c r="Y52" s="53"/>
      <c r="Z52" s="57"/>
      <c r="AA52" s="58"/>
      <c r="AB52" s="58"/>
      <c r="AC52" s="59"/>
      <c r="AD52" s="87"/>
      <c r="AE52" s="87"/>
    </row>
    <row r="53" customFormat="false" ht="11.1" hidden="false" customHeight="true" outlineLevel="0" collapsed="false">
      <c r="A53" s="83" t="str">
        <f aca="false">"9/12/96 thru 10/7/96"</f>
        <v>9/12/96 thru 10/7/96</v>
      </c>
      <c r="B53" s="83"/>
      <c r="C53" s="54"/>
      <c r="D53" s="54"/>
      <c r="E53" s="54"/>
      <c r="F53" s="83"/>
      <c r="G53" s="83"/>
      <c r="H53" s="55"/>
      <c r="I53" s="83"/>
      <c r="J53" s="83"/>
      <c r="K53" s="83"/>
      <c r="L53" s="83"/>
      <c r="M53" s="75"/>
      <c r="N53" s="75"/>
      <c r="O53" s="75"/>
      <c r="P53" s="53" t="s">
        <v>109</v>
      </c>
      <c r="Q53" s="53"/>
      <c r="R53" s="54" t="n">
        <v>3587</v>
      </c>
      <c r="S53" s="54"/>
      <c r="T53" s="146" t="n">
        <f aca="false">T52/T49</f>
        <v>1.4911370181428</v>
      </c>
      <c r="U53" s="46" t="str">
        <f aca="false">"= FS Delivery Efficiency"</f>
        <v>= FS Delivery Efficiency</v>
      </c>
      <c r="V53" s="54"/>
      <c r="W53" s="83"/>
      <c r="X53" s="83"/>
      <c r="Y53" s="83"/>
      <c r="Z53" s="57"/>
      <c r="AA53" s="58"/>
      <c r="AB53" s="58"/>
      <c r="AC53" s="59"/>
      <c r="AD53" s="92"/>
      <c r="AE53" s="92"/>
    </row>
    <row r="54" customFormat="false" ht="11.1" hidden="false" customHeight="true" outlineLevel="0" collapsed="false">
      <c r="A54" s="83"/>
      <c r="B54" s="57" t="n">
        <f aca="false">B52-B21</f>
        <v>-25.3499999999995</v>
      </c>
      <c r="C54" s="54"/>
      <c r="D54" s="54" t="n">
        <f aca="false">C52-C21</f>
        <v>-95282</v>
      </c>
      <c r="E54" s="54"/>
      <c r="F54" s="83"/>
      <c r="G54" s="83"/>
      <c r="H54" s="55"/>
      <c r="I54" s="83"/>
      <c r="J54" s="83"/>
      <c r="K54" s="83"/>
      <c r="L54" s="83"/>
      <c r="M54" s="75"/>
      <c r="N54" s="75"/>
      <c r="O54" s="75"/>
      <c r="P54" s="83" t="s">
        <v>110</v>
      </c>
      <c r="Q54" s="83"/>
      <c r="R54" s="111" t="n">
        <v>1104</v>
      </c>
      <c r="S54" s="54"/>
      <c r="T54" s="83"/>
      <c r="V54" s="54"/>
      <c r="W54" s="83"/>
      <c r="X54" s="83"/>
      <c r="Y54" s="83"/>
      <c r="Z54" s="57"/>
      <c r="AA54" s="58"/>
      <c r="AB54" s="58"/>
      <c r="AC54" s="59"/>
      <c r="AD54" s="92"/>
      <c r="AE54" s="92"/>
    </row>
    <row r="55" customFormat="false" ht="11.1" hidden="false" customHeight="true" outlineLevel="0" collapsed="false">
      <c r="A55" s="83"/>
      <c r="B55" s="83"/>
      <c r="C55" s="54"/>
      <c r="D55" s="83"/>
      <c r="E55" s="54"/>
      <c r="F55" s="83"/>
      <c r="G55" s="86"/>
      <c r="H55" s="55"/>
      <c r="I55" s="83"/>
      <c r="J55" s="83"/>
      <c r="K55" s="83"/>
      <c r="L55" s="83"/>
      <c r="M55" s="75"/>
      <c r="N55" s="75"/>
      <c r="O55" s="75"/>
      <c r="P55" s="83" t="s">
        <v>111</v>
      </c>
      <c r="Q55" s="83"/>
      <c r="R55" s="54" t="n">
        <f aca="false">R49-(R53+R54)</f>
        <v>121815.26277345</v>
      </c>
      <c r="S55" s="54"/>
      <c r="T55" s="83"/>
      <c r="V55" s="54"/>
      <c r="W55" s="83"/>
      <c r="X55" s="83"/>
      <c r="Y55" s="83"/>
      <c r="Z55" s="57"/>
      <c r="AA55" s="58"/>
      <c r="AB55" s="58"/>
      <c r="AC55" s="59"/>
      <c r="AD55" s="92"/>
      <c r="AE55" s="92"/>
    </row>
  </sheetData>
  <mergeCells count="2">
    <mergeCell ref="K2:T2"/>
    <mergeCell ref="M4:O4"/>
  </mergeCells>
  <printOptions headings="true" gridLines="true" gridLinesSet="true" horizontalCentered="true" verticalCentered="false"/>
  <pageMargins left="0" right="0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1997-11-03T15:03:40Z</dcterms:created>
  <dc:creator>JOHN PORTER</dc:creator>
  <dc:description/>
  <dc:language>en-US</dc:language>
  <cp:lastModifiedBy>E A Birk</cp:lastModifiedBy>
  <cp:lastPrinted>2003-01-30T08:05:46Z</cp:lastPrinted>
  <dcterms:modified xsi:type="dcterms:W3CDTF">2004-12-01T09:16:31Z</dcterms:modified>
  <cp:revision>0</cp:revision>
  <dc:subject>MCPHEE IN/OUT FLOW</dc:subject>
  <dc:title>RIVER</dc:title>
</cp:coreProperties>
</file>