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5.vml" ContentType="application/vnd.openxmlformats-officedocument.vmlDrawing"/>
  <Override PartName="/xl/drawings/drawing3.xml" ContentType="application/vnd.openxmlformats-officedocument.drawing+xml"/>
  <Override PartName="/xl/drawings/vmlDrawing6.vml" ContentType="application/vnd.openxmlformats-officedocument.vmlDrawing"/>
  <Override PartName="/xl/comments2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APR!$A$1:$AN$57</definedName>
    <definedName function="false" hidden="false" localSheetId="9" name="_xlnm.Print_Area" vbProcedure="false">AUG!$A$1:$AN$57</definedName>
    <definedName function="false" hidden="false" localSheetId="1" name="_xlnm.Print_Area" vbProcedure="false">DEC!$A$1:$AN$57</definedName>
    <definedName function="false" hidden="false" localSheetId="3" name="_xlnm.Print_Area" vbProcedure="false">FEB!$A$1:$AN$57</definedName>
    <definedName function="false" hidden="false" localSheetId="2" name="_xlnm.Print_Area" vbProcedure="false">JAN!$A$1:$AN$57</definedName>
    <definedName function="false" hidden="false" localSheetId="8" name="_xlnm.Print_Area" vbProcedure="false">JUL!$A$1:$AN$57</definedName>
    <definedName function="false" hidden="false" localSheetId="7" name="_xlnm.Print_Area" vbProcedure="false">JUN!$A$1:$AN$57</definedName>
    <definedName function="false" hidden="false" localSheetId="4" name="_xlnm.Print_Area" vbProcedure="false">MAR!$A$1:$AN$57</definedName>
    <definedName function="false" hidden="false" localSheetId="6" name="_xlnm.Print_Area" vbProcedure="false">MAY!$A$1:$AN$57</definedName>
    <definedName function="false" hidden="false" localSheetId="0" name="_xlnm.Print_Area" vbProcedure="false">NOV!$A$1:$AN$57</definedName>
    <definedName function="false" hidden="false" localSheetId="11" name="_xlnm.Print_Area" vbProcedure="false">OCT!$A$1:$AN$57</definedName>
    <definedName function="false" hidden="false" localSheetId="10" name="_xlnm.Print_Area" vbProcedure="false">SEP!$A$1:$AN$57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B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 1st to Mar 31st according to contract.</t>
        </r>
      </text>
    </comment>
    <comment ref="AJ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Jan 1st to Dec 31st according to contract.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12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River at Dolores Froze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J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Jan 1st to Dec 31st according to contract.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37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River unthawed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B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 1st to Mar 31st according to contract.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O40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Ute Farm &amp; Ranch brought 92 Ac. Ft. of MVIC water from Chuck Lurvey.</t>
        </r>
      </text>
    </comment>
  </commentList>
</comments>
</file>

<file path=xl/sharedStrings.xml><?xml version="1.0" encoding="utf-8"?>
<sst xmlns="http://schemas.openxmlformats.org/spreadsheetml/2006/main" count="1255" uniqueCount="125">
  <si>
    <t xml:space="preserve">MCPHEE  RESERVOIR  INFLOW/OUTFLOW  TABULATION</t>
  </si>
  <si>
    <t xml:space="preserve">AF/cfs  CONVERT FACTOR</t>
  </si>
  <si>
    <t xml:space="preserve">           NOVEMBER  "2004"</t>
  </si>
  <si>
    <t xml:space="preserve">RESERVOIR</t>
  </si>
  <si>
    <t xml:space="preserve">INFLOW/OUTFLOW (CFS)</t>
  </si>
  <si>
    <t xml:space="preserve">WEATHER</t>
  </si>
  <si>
    <t xml:space="preserve">ADJUSTMENTS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</si>
  <si>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</si>
  <si>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</si>
  <si>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</si>
  <si>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</si>
  <si>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</si>
  <si>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</si>
  <si>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</si>
  <si>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</t>
  </si>
  <si>
    <t xml:space="preserve">CALC</t>
  </si>
  <si>
    <t xml:space="preserve">TOTAL</t>
  </si>
  <si>
    <t xml:space="preserve">DOLORES TUNNEL</t>
  </si>
  <si>
    <t xml:space="preserve">LONE</t>
  </si>
  <si>
    <t xml:space="preserve">U</t>
  </si>
  <si>
    <t xml:space="preserve">MVI</t>
  </si>
  <si>
    <t xml:space="preserve">DV  CR</t>
  </si>
  <si>
    <t xml:space="preserve">       D/S SENIOR </t>
  </si>
  <si>
    <t xml:space="preserve">BELOW</t>
  </si>
  <si>
    <t xml:space="preserve">FISH</t>
  </si>
  <si>
    <t xml:space="preserve">RAIN</t>
  </si>
  <si>
    <t xml:space="preserve">MAX</t>
  </si>
  <si>
    <t xml:space="preserve">MIN</t>
  </si>
  <si>
    <t xml:space="preserve">NAR.</t>
  </si>
  <si>
    <t xml:space="preserve">U/S</t>
  </si>
  <si>
    <t xml:space="preserve">TOTTEN</t>
  </si>
  <si>
    <t xml:space="preserve">NOV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</si>
  <si>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</si>
  <si>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</si>
  <si>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</si>
  <si>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</si>
  <si>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</si>
  <si>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</t>
  </si>
  <si>
    <t xml:space="preserve">INFLOW</t>
  </si>
  <si>
    <t xml:space="preserve">INF/OTF</t>
  </si>
  <si>
    <t xml:space="preserve">TOT DIV</t>
  </si>
  <si>
    <t xml:space="preserve">WET</t>
  </si>
  <si>
    <t xml:space="preserve">UTE</t>
  </si>
  <si>
    <t xml:space="preserve">MWC</t>
  </si>
  <si>
    <t xml:space="preserve">CTZ</t>
  </si>
  <si>
    <t xml:space="preserve">CTZ &amp;</t>
  </si>
  <si>
    <t xml:space="preserve">PINE</t>
  </si>
  <si>
    <t xml:space="preserve">LAT</t>
  </si>
  <si>
    <t xml:space="preserve">CALL  </t>
  </si>
  <si>
    <t xml:space="preserve">PROJ &amp;</t>
  </si>
  <si>
    <t xml:space="preserve">CANAL</t>
  </si>
  <si>
    <t xml:space="preserve">MVIC</t>
  </si>
  <si>
    <t xml:space="preserve">PROJ</t>
  </si>
  <si>
    <t xml:space="preserve">MCP</t>
  </si>
  <si>
    <t xml:space="preserve">LEFT</t>
  </si>
  <si>
    <t xml:space="preserve">OTF</t>
  </si>
  <si>
    <t xml:space="preserve">TMP</t>
  </si>
  <si>
    <t xml:space="preserve">CALL</t>
  </si>
  <si>
    <t xml:space="preserve">STOCK</t>
  </si>
  <si>
    <t xml:space="preserve">STORED</t>
  </si>
  <si>
    <t xml:space="preserve">USERS</t>
  </si>
  <si>
    <t xml:space="preserve">(FRESH</t>
  </si>
  <si>
    <t xml:space="preserve">AC FT</t>
  </si>
  <si>
    <t xml:space="preserve">LAND</t>
  </si>
  <si>
    <t xml:space="preserve">F&amp;R</t>
  </si>
  <si>
    <t xml:space="preserve">TO EX &amp; </t>
  </si>
  <si>
    <t xml:space="preserve">AC.FT.</t>
  </si>
  <si>
    <t xml:space="preserve">Apr-Jun</t>
  </si>
  <si>
    <t xml:space="preserve">EVAP </t>
  </si>
  <si>
    <t xml:space="preserve">EXCH</t>
  </si>
  <si>
    <t xml:space="preserve">WATER)</t>
  </si>
  <si>
    <t xml:space="preserve">U/S EX</t>
  </si>
  <si>
    <t xml:space="preserve">AC.FT</t>
  </si>
  <si>
    <t xml:space="preserve">SEASON BAL</t>
  </si>
  <si>
    <t xml:space="preserve">YTD</t>
  </si>
  <si>
    <t xml:space="preserve">MONTH / CFS</t>
  </si>
  <si>
    <t xml:space="preserve">Avg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</si>
  <si>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</si>
  <si>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</si>
  <si>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</si>
  <si>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</si>
  <si>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</si>
  <si>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</si>
  <si>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</si>
  <si>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"2004"</t>
  </si>
  <si>
    <t xml:space="preserve">       D/S SENIOR</t>
  </si>
  <si>
    <t xml:space="preserve">NAR</t>
  </si>
  <si>
    <t xml:space="preserve">MVI </t>
  </si>
  <si>
    <t xml:space="preserve">DEC</t>
  </si>
  <si>
    <t xml:space="preserve">UTE </t>
  </si>
  <si>
    <t xml:space="preserve">CALL </t>
  </si>
  <si>
    <t xml:space="preserve">TO EX &amp;</t>
  </si>
  <si>
    <t xml:space="preserve">EVAP</t>
  </si>
  <si>
    <t xml:space="preserve"> </t>
  </si>
  <si>
    <t xml:space="preserve">JANUARY  "2005"</t>
  </si>
  <si>
    <t xml:space="preserve">JAN</t>
  </si>
  <si>
    <t xml:space="preserve">AVE</t>
  </si>
  <si>
    <t xml:space="preserve">FEBRUARY  "2005"</t>
  </si>
  <si>
    <t xml:space="preserve">FEB</t>
  </si>
  <si>
    <t xml:space="preserve">MARCH  "2005"</t>
  </si>
  <si>
    <t xml:space="preserve">MAR</t>
  </si>
  <si>
    <t xml:space="preserve">CTX &amp;</t>
  </si>
  <si>
    <t xml:space="preserve">MCPHEE  RESERVOIR  INFLOW/OUTFLOW TABULATION</t>
  </si>
  <si>
    <t xml:space="preserve">                               APRIL  "2005"</t>
  </si>
  <si>
    <t xml:space="preserve">APR</t>
  </si>
  <si>
    <t xml:space="preserve">Apr - Jun</t>
  </si>
  <si>
    <t xml:space="preserve">AVG</t>
  </si>
  <si>
    <t xml:space="preserve">MAY  "2005"</t>
  </si>
  <si>
    <t xml:space="preserve">FISH </t>
  </si>
  <si>
    <t xml:space="preserve">MAY</t>
  </si>
  <si>
    <t xml:space="preserve">49+</t>
  </si>
  <si>
    <t xml:space="preserve">JUNE  "2005"</t>
  </si>
  <si>
    <t xml:space="preserve">JUN</t>
  </si>
  <si>
    <t xml:space="preserve">July-Oct</t>
  </si>
  <si>
    <t xml:space="preserve">JULY  "2005"</t>
  </si>
  <si>
    <t xml:space="preserve"> D/S SENIOR</t>
  </si>
  <si>
    <t xml:space="preserve">JUL</t>
  </si>
  <si>
    <t xml:space="preserve">(FRESH </t>
  </si>
  <si>
    <t xml:space="preserve">AUGUST  "2005"</t>
  </si>
  <si>
    <t xml:space="preserve">AUG</t>
  </si>
  <si>
    <t xml:space="preserve">SEPTEMBER  "2005"</t>
  </si>
  <si>
    <t xml:space="preserve">"SEP"</t>
  </si>
  <si>
    <t xml:space="preserve">c</t>
  </si>
  <si>
    <t xml:space="preserve">OCTOBER  "2005"</t>
  </si>
  <si>
    <t xml:space="preserve">OCT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</si>
</sst>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"/>
    <numFmt numFmtId="166" formatCode="0.00_);\(0.00\)"/>
    <numFmt numFmtId="167" formatCode="0.0"/>
    <numFmt numFmtId="168" formatCode="0"/>
    <numFmt numFmtId="169" formatCode="0.00"/>
    <numFmt numFmtId="170" formatCode="#,##0.0"/>
    <numFmt numFmtId="171" formatCode="##0.0"/>
    <numFmt numFmtId="172" formatCode="0.0000"/>
    <numFmt numFmtId="173" formatCode="0.000"/>
    <numFmt numFmtId="174" formatCode="#,##0.00"/>
    <numFmt numFmtId="175" formatCode="[$-409]d\-mmm"/>
    <numFmt numFmtId="176" formatCode="0%"/>
    <numFmt numFmtId="177" formatCode="0.0_);\(0.0\)"/>
    <numFmt numFmtId="178" formatCode="0_);\(0\)"/>
    <numFmt numFmtId="179" formatCode="[$-409]mmm\-yy"/>
    <numFmt numFmtId="180" formatCode="General"/>
    <numFmt numFmtId="181" formatCode="#,##0.0000"/>
    <numFmt numFmtId="182" formatCode="0.00_);[RED]\(0.00\)"/>
    <numFmt numFmtId="183" formatCode="0_);[RED]\(0\)"/>
  </numFmts>
  <fonts count="23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2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 Narrow"/>
      <family val="2"/>
    </font>
    <font>
      <b val="true"/>
      <sz val="8"/>
      <name val="Arial Narrow"/>
      <family val="2"/>
    </font>
    <font>
      <sz val="6"/>
      <name val="Arial Narrow"/>
      <family val="0"/>
    </font>
    <font>
      <b val="true"/>
      <sz val="6"/>
      <name val="Arial Narrow"/>
      <family val="2"/>
    </font>
    <font>
      <b val="true"/>
      <sz val="6"/>
      <name val="Arial Narrow"/>
      <family val="0"/>
    </font>
    <font>
      <b val="true"/>
      <sz val="9"/>
      <name val="Arial Narrow"/>
      <family val="0"/>
    </font>
    <font>
      <b val="true"/>
      <sz val="8"/>
      <color rgb="FF000000"/>
      <name val="Tahoma"/>
      <family val="0"/>
    </font>
    <font>
      <sz val="8"/>
      <color rgb="FF000000"/>
      <name val="Tahoma"/>
      <family val="0"/>
    </font>
    <font>
      <sz val="6"/>
      <name val="LinePrinter"/>
      <family val="3"/>
    </font>
    <font>
      <sz val="6"/>
      <name val="LinePrinter"/>
      <family val="0"/>
    </font>
    <font>
      <sz val="6"/>
      <name val="Arial"/>
      <family val="0"/>
    </font>
    <font>
      <sz val="6"/>
      <name val="Arial"/>
      <family val="2"/>
    </font>
    <font>
      <sz val="8"/>
      <name val="Arial"/>
      <family val="0"/>
    </font>
    <font>
      <b val="true"/>
      <sz val="12"/>
      <name val="Arial Narrow"/>
      <family val="0"/>
    </font>
    <font>
      <sz val="4"/>
      <name val="LinePrinter"/>
      <family val="3"/>
    </font>
    <font>
      <b val="true"/>
      <sz val="8"/>
      <name val="Arial Narrow"/>
      <family val="0"/>
    </font>
  </fonts>
  <fills count="6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  <fill>
      <patternFill patternType="solid">
        <fgColor rgb="FFA6CAF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EEEEEC"/>
      </bottom>
      <diagonal/>
    </border>
    <border diagonalUp="false" diagonalDown="false">
      <left style="thick">
        <color rgb="FFEEEEEC"/>
      </left>
      <right/>
      <top style="thick">
        <color rgb="FFEEEEEC"/>
      </top>
      <bottom/>
      <diagonal/>
    </border>
    <border diagonalUp="false" diagonalDown="false">
      <left/>
      <right/>
      <top style="thick">
        <color rgb="FFEEEEEC"/>
      </top>
      <bottom/>
      <diagonal/>
    </border>
    <border diagonalUp="false" diagonalDown="false">
      <left/>
      <right style="thick">
        <color rgb="FFEEEEEC"/>
      </right>
      <top style="thick">
        <color rgb="FFEEEEEC"/>
      </top>
      <bottom/>
      <diagonal/>
    </border>
    <border diagonalUp="false" diagonalDown="false">
      <left style="thick">
        <color rgb="FFEEEEEC"/>
      </left>
      <right/>
      <top/>
      <bottom/>
      <diagonal/>
    </border>
    <border diagonalUp="false" diagonalDown="false">
      <left/>
      <right style="thick">
        <color rgb="FFEEEEEC"/>
      </right>
      <top/>
      <bottom/>
      <diagonal/>
    </border>
    <border diagonalUp="false" diagonalDown="false">
      <left style="medium">
        <color rgb="FFEEEEEC"/>
      </left>
      <right style="medium">
        <color rgb="FFEEEEEC"/>
      </right>
      <top style="medium">
        <color rgb="FFEEEEEC"/>
      </top>
      <bottom/>
      <diagonal/>
    </border>
    <border diagonalUp="false" diagonalDown="false">
      <left style="medium">
        <color rgb="FFEEEEEC"/>
      </left>
      <right/>
      <top/>
      <bottom/>
      <diagonal/>
    </border>
    <border diagonalUp="false" diagonalDown="false">
      <left/>
      <right style="medium">
        <color rgb="FFEEEEEC"/>
      </right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ck">
        <color rgb="FFEEEEEC"/>
      </left>
      <right/>
      <top style="thin">
        <color rgb="FFEEEEEC"/>
      </top>
      <bottom style="thin">
        <color rgb="FFEEEEEC"/>
      </bottom>
      <diagonal/>
    </border>
    <border diagonalUp="false" diagonalDown="false">
      <left/>
      <right style="thick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 style="medium">
        <color rgb="FFEEEEEC"/>
      </left>
      <right/>
      <top style="thin">
        <color rgb="FFEEEEEC"/>
      </top>
      <bottom style="thin">
        <color rgb="FFEEEEEC"/>
      </bottom>
      <diagonal/>
    </border>
    <border diagonalUp="false" diagonalDown="false">
      <left/>
      <right style="medium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 style="medium">
        <color rgb="FFEEEEEC"/>
      </right>
      <top style="thin">
        <color rgb="FFEEEEEC"/>
      </top>
      <bottom/>
      <diagonal/>
    </border>
    <border diagonalUp="false" diagonalDown="false">
      <left/>
      <right style="thick">
        <color rgb="FFEEEEEC"/>
      </right>
      <top/>
      <bottom style="thin">
        <color rgb="FFEEEEEC"/>
      </bottom>
      <diagonal/>
    </border>
    <border diagonalUp="false" diagonalDown="false">
      <left/>
      <right style="medium">
        <color rgb="FFEEEEEC"/>
      </right>
      <top/>
      <bottom style="thin">
        <color rgb="FFEEEEEC"/>
      </bottom>
      <diagonal/>
    </border>
    <border diagonalUp="false" diagonalDown="false">
      <left style="medium">
        <color rgb="FFEEEEEC"/>
      </left>
      <right/>
      <top/>
      <bottom style="thin">
        <color rgb="FFEEEEEC"/>
      </bottom>
      <diagonal/>
    </border>
    <border diagonalUp="false" diagonalDown="false">
      <left style="medium">
        <color rgb="FFEEEEEC"/>
      </left>
      <right/>
      <top style="thin">
        <color rgb="FFEEEEEC"/>
      </top>
      <bottom/>
      <diagonal/>
    </border>
    <border diagonalUp="false" diagonalDown="false">
      <left style="thick">
        <color rgb="FFEEEEEC"/>
      </left>
      <right/>
      <top/>
      <bottom style="thin">
        <color rgb="FFEEEEEC"/>
      </bottom>
      <diagonal/>
    </border>
    <border diagonalUp="false" diagonalDown="false">
      <left/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 style="thick">
        <color rgb="FFEEEEEC"/>
      </left>
      <right/>
      <top style="thin">
        <color rgb="FFEEEEEC"/>
      </top>
      <bottom/>
      <diagonal/>
    </border>
    <border diagonalUp="false" diagonalDown="false">
      <left/>
      <right/>
      <top style="hair">
        <color rgb="FFEEEEEC"/>
      </top>
      <bottom style="hair">
        <color rgb="FFEEEEE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6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6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7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0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9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1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1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4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5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2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2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2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2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2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2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5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5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F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30</xdr:row>
      <xdr:rowOff>0</xdr:rowOff>
    </xdr:from>
    <xdr:to>
      <xdr:col>7</xdr:col>
      <xdr:colOff>21600</xdr:colOff>
      <xdr:row>31</xdr:row>
      <xdr:rowOff>28800</xdr:rowOff>
    </xdr:to>
    <xdr:sp>
      <xdr:nvSpPr>
        <xdr:cNvPr id="0" name="Text 1"/>
        <xdr:cNvSpPr/>
      </xdr:nvSpPr>
      <xdr:spPr>
        <a:xfrm>
          <a:off x="2543760" y="4866120"/>
          <a:ext cx="463680" cy="1933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pc="-1" strike="noStrike"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27</xdr:col>
      <xdr:colOff>129240</xdr:colOff>
      <xdr:row>11</xdr:row>
      <xdr:rowOff>56880</xdr:rowOff>
    </xdr:from>
    <xdr:to>
      <xdr:col>28</xdr:col>
      <xdr:colOff>216000</xdr:colOff>
      <xdr:row>13</xdr:row>
      <xdr:rowOff>19440</xdr:rowOff>
    </xdr:to>
    <xdr:sp>
      <xdr:nvSpPr>
        <xdr:cNvPr id="1" name="Text 2"/>
        <xdr:cNvSpPr/>
      </xdr:nvSpPr>
      <xdr:spPr>
        <a:xfrm>
          <a:off x="10313280" y="1798200"/>
          <a:ext cx="442440" cy="2912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400" spc="-1" strike="noStrike"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164520</xdr:rowOff>
    </xdr:to>
    <xdr:sp>
      <xdr:nvSpPr>
        <xdr:cNvPr id="2" name="Rectangle 1"/>
        <xdr:cNvSpPr/>
      </xdr:nvSpPr>
      <xdr:spPr>
        <a:xfrm>
          <a:off x="5690880" y="58528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164520</xdr:rowOff>
    </xdr:to>
    <xdr:sp>
      <xdr:nvSpPr>
        <xdr:cNvPr id="3" name="Rectangle 3"/>
        <xdr:cNvSpPr/>
      </xdr:nvSpPr>
      <xdr:spPr>
        <a:xfrm>
          <a:off x="5690880" y="58528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164520</xdr:rowOff>
    </xdr:to>
    <xdr:sp>
      <xdr:nvSpPr>
        <xdr:cNvPr id="4" name="Rectangle 4"/>
        <xdr:cNvSpPr/>
      </xdr:nvSpPr>
      <xdr:spPr>
        <a:xfrm>
          <a:off x="5690880" y="58528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164520</xdr:rowOff>
    </xdr:to>
    <xdr:sp>
      <xdr:nvSpPr>
        <xdr:cNvPr id="5" name="Rectangle 6"/>
        <xdr:cNvSpPr/>
      </xdr:nvSpPr>
      <xdr:spPr>
        <a:xfrm>
          <a:off x="5690880" y="58528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164520</xdr:rowOff>
    </xdr:to>
    <xdr:sp>
      <xdr:nvSpPr>
        <xdr:cNvPr id="6" name="Rectangle 8"/>
        <xdr:cNvSpPr/>
      </xdr:nvSpPr>
      <xdr:spPr>
        <a:xfrm>
          <a:off x="5690880" y="58528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123840</xdr:rowOff>
    </xdr:from>
    <xdr:to>
      <xdr:col>14</xdr:col>
      <xdr:colOff>11160</xdr:colOff>
      <xdr:row>36</xdr:row>
      <xdr:rowOff>164520</xdr:rowOff>
    </xdr:to>
    <xdr:sp>
      <xdr:nvSpPr>
        <xdr:cNvPr id="7" name="Rectangle 10"/>
        <xdr:cNvSpPr/>
      </xdr:nvSpPr>
      <xdr:spPr>
        <a:xfrm>
          <a:off x="5690880" y="5976720"/>
          <a:ext cx="11160" cy="4068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164520</xdr:rowOff>
    </xdr:to>
    <xdr:sp>
      <xdr:nvSpPr>
        <xdr:cNvPr id="8" name="Rectangle 11"/>
        <xdr:cNvSpPr/>
      </xdr:nvSpPr>
      <xdr:spPr>
        <a:xfrm>
          <a:off x="5690880" y="5852880"/>
          <a:ext cx="356040" cy="164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30</xdr:row>
      <xdr:rowOff>0</xdr:rowOff>
    </xdr:from>
    <xdr:to>
      <xdr:col>15</xdr:col>
      <xdr:colOff>360</xdr:colOff>
      <xdr:row>30</xdr:row>
      <xdr:rowOff>164520</xdr:rowOff>
    </xdr:to>
    <xdr:sp>
      <xdr:nvSpPr>
        <xdr:cNvPr id="9" name="Rectangle 12"/>
        <xdr:cNvSpPr/>
      </xdr:nvSpPr>
      <xdr:spPr>
        <a:xfrm>
          <a:off x="5690880" y="486612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30</xdr:row>
      <xdr:rowOff>0</xdr:rowOff>
    </xdr:from>
    <xdr:to>
      <xdr:col>15</xdr:col>
      <xdr:colOff>360</xdr:colOff>
      <xdr:row>30</xdr:row>
      <xdr:rowOff>164520</xdr:rowOff>
    </xdr:to>
    <xdr:sp>
      <xdr:nvSpPr>
        <xdr:cNvPr id="10" name="Rectangle 13"/>
        <xdr:cNvSpPr/>
      </xdr:nvSpPr>
      <xdr:spPr>
        <a:xfrm>
          <a:off x="5690880" y="486612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Q12" activePane="bottomRight" state="frozen"/>
      <selection pane="topLeft" activeCell="A1" activeCellId="0" sqref="A1"/>
      <selection pane="topRight" activeCell="Q1" activeCellId="0" sqref="Q1"/>
      <selection pane="bottomLeft" activeCell="A12" activeCellId="0" sqref="A12"/>
      <selection pane="bottomRight" activeCell="AB5" activeCellId="0" sqref="AB5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4.66"/>
    <col collapsed="false" customWidth="true" hidden="false" outlineLevel="0" max="2" min="2" style="0" width="6.99"/>
    <col collapsed="false" customWidth="true" hidden="false" outlineLevel="0" max="3" min="3" style="1" width="6.32"/>
    <col collapsed="false" customWidth="true" hidden="false" outlineLevel="0" max="4" min="4" style="0" width="6.99"/>
    <col collapsed="false" customWidth="true" hidden="false" outlineLevel="0" max="5" min="5" style="1" width="6.99"/>
    <col collapsed="false" customWidth="true" hidden="false" outlineLevel="0" max="6" min="6" style="0" width="7.32"/>
    <col collapsed="false" customWidth="true" hidden="false" outlineLevel="0" max="7" min="7" style="0" width="6.82"/>
    <col collapsed="false" customWidth="true" hidden="false" outlineLevel="0" max="8" min="8" style="2" width="5.66"/>
    <col collapsed="false" customWidth="true" hidden="false" outlineLevel="0" max="11" min="9" style="0" width="6.32"/>
    <col collapsed="false" customWidth="true" hidden="false" outlineLevel="0" max="12" min="12" style="0" width="7.16"/>
    <col collapsed="false" customWidth="true" hidden="false" outlineLevel="0" max="13" min="13" style="3" width="5.49"/>
    <col collapsed="false" customWidth="true" hidden="false" outlineLevel="0" max="14" min="14" style="3" width="4.49"/>
    <col collapsed="false" customWidth="true" hidden="false" outlineLevel="0" max="15" min="15" style="3" width="5.49"/>
    <col collapsed="false" customWidth="true" hidden="false" outlineLevel="0" max="17" min="16" style="3" width="4.32"/>
    <col collapsed="false" customWidth="true" hidden="false" outlineLevel="0" max="18" min="18" style="0" width="4.32"/>
    <col collapsed="false" customWidth="true" hidden="false" outlineLevel="0" max="20" min="19" style="0" width="5.49"/>
    <col collapsed="false" customWidth="true" hidden="false" outlineLevel="0" max="21" min="21" style="1" width="6.32"/>
    <col collapsed="false" customWidth="true" hidden="false" outlineLevel="0" max="24" min="22" style="0" width="5.49"/>
    <col collapsed="false" customWidth="true" hidden="false" outlineLevel="0" max="27" min="25" style="1" width="5.49"/>
    <col collapsed="false" customWidth="true" hidden="false" outlineLevel="0" max="28" min="28" style="0" width="5.49"/>
    <col collapsed="false" customWidth="true" hidden="false" outlineLevel="0" max="29" min="29" style="0" width="6.32"/>
    <col collapsed="false" customWidth="true" hidden="false" outlineLevel="0" max="30" min="30" style="0" width="6.99"/>
    <col collapsed="false" customWidth="true" hidden="false" outlineLevel="0" max="31" min="31" style="2" width="6.99"/>
    <col collapsed="false" customWidth="true" hidden="false" outlineLevel="0" max="32" min="32" style="2" width="5.32"/>
    <col collapsed="false" customWidth="true" hidden="false" outlineLevel="0" max="33" min="33" style="4" width="3.82"/>
    <col collapsed="false" customWidth="true" hidden="false" outlineLevel="0" max="34" min="34" style="5" width="3.82"/>
    <col collapsed="false" customWidth="true" hidden="false" outlineLevel="0" max="35" min="35" style="0" width="5.49"/>
    <col collapsed="false" customWidth="true" hidden="false" outlineLevel="0" max="36" min="36" style="6" width="5.49"/>
    <col collapsed="false" customWidth="true" hidden="false" outlineLevel="0" max="37" min="37" style="0" width="6.32"/>
    <col collapsed="false" customWidth="true" hidden="false" outlineLevel="0" max="38" min="38" style="7" width="6.32"/>
    <col collapsed="false" customWidth="true" hidden="false" outlineLevel="0" max="39" min="39" style="0" width="6.32"/>
    <col collapsed="false" customWidth="true" hidden="false" outlineLevel="0" max="40" min="40" style="8" width="6.49"/>
  </cols>
  <sheetData>
    <row r="1" customFormat="false" ht="14.1" hidden="false" customHeight="true" outlineLevel="0" collapsed="false">
      <c r="A1" s="9"/>
      <c r="B1" s="9"/>
      <c r="C1" s="10"/>
      <c r="D1" s="9"/>
      <c r="E1" s="10"/>
      <c r="F1" s="9"/>
      <c r="G1" s="9"/>
      <c r="H1" s="11"/>
      <c r="I1" s="9"/>
      <c r="J1" s="9"/>
      <c r="K1" s="12" t="s">
        <v>0</v>
      </c>
      <c r="L1" s="9"/>
      <c r="M1" s="9"/>
      <c r="N1" s="9"/>
      <c r="O1" s="9"/>
      <c r="P1" s="9"/>
      <c r="Q1" s="9"/>
      <c r="R1" s="9"/>
      <c r="S1" s="9"/>
      <c r="T1" s="9"/>
      <c r="U1" s="10"/>
      <c r="V1" s="9"/>
      <c r="W1" s="9"/>
      <c r="X1" s="9"/>
      <c r="Y1" s="10"/>
      <c r="Z1" s="10"/>
      <c r="AA1" s="10"/>
      <c r="AB1" s="9"/>
      <c r="AC1" s="9"/>
      <c r="AD1" s="9"/>
      <c r="AE1" s="13"/>
      <c r="AF1" s="14"/>
      <c r="AG1" s="15"/>
      <c r="AH1" s="16"/>
    </row>
    <row r="2" customFormat="false" ht="14.1" hidden="false" customHeight="true" outlineLevel="0" collapsed="false">
      <c r="A2" s="17" t="s">
        <v>1</v>
      </c>
      <c r="B2" s="9"/>
      <c r="C2" s="10"/>
      <c r="D2" s="18" t="n">
        <v>1.9835</v>
      </c>
      <c r="E2" s="10"/>
      <c r="F2" s="9"/>
      <c r="G2" s="9"/>
      <c r="H2" s="11"/>
      <c r="I2" s="9"/>
      <c r="J2" s="9"/>
      <c r="K2" s="9"/>
      <c r="L2" s="12" t="s">
        <v>2</v>
      </c>
      <c r="M2" s="9"/>
      <c r="N2" s="9"/>
      <c r="O2" s="9"/>
      <c r="P2" s="9"/>
      <c r="Q2" s="9"/>
      <c r="R2" s="9"/>
      <c r="S2" s="9"/>
      <c r="T2" s="9"/>
      <c r="U2" s="10"/>
      <c r="V2" s="9"/>
      <c r="W2" s="9"/>
      <c r="X2" s="9"/>
      <c r="Y2" s="10"/>
      <c r="Z2" s="10"/>
      <c r="AA2" s="10"/>
      <c r="AB2" s="9"/>
      <c r="AC2" s="9"/>
      <c r="AD2" s="9"/>
      <c r="AE2" s="13"/>
      <c r="AF2" s="14"/>
      <c r="AG2" s="15"/>
      <c r="AH2" s="16"/>
    </row>
    <row r="3" customFormat="false" ht="14.1" hidden="false" customHeight="true" outlineLevel="0" collapsed="false">
      <c r="A3" s="19"/>
      <c r="B3" s="19"/>
      <c r="C3" s="20"/>
      <c r="D3" s="21"/>
      <c r="E3" s="20"/>
      <c r="F3" s="19"/>
      <c r="G3" s="19"/>
      <c r="H3" s="22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0"/>
      <c r="V3" s="19"/>
      <c r="W3" s="19"/>
      <c r="X3" s="19"/>
      <c r="Y3" s="20"/>
      <c r="Z3" s="20"/>
      <c r="AA3" s="20"/>
      <c r="AB3" s="19"/>
      <c r="AC3" s="19"/>
      <c r="AD3" s="19"/>
      <c r="AE3" s="23"/>
      <c r="AF3" s="24"/>
      <c r="AG3" s="25"/>
      <c r="AH3" s="26"/>
      <c r="AI3" s="27"/>
      <c r="AJ3" s="28"/>
      <c r="AK3" s="27"/>
      <c r="AL3" s="29"/>
      <c r="AM3" s="30"/>
    </row>
    <row r="4" s="8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5"/>
      <c r="G4" s="31"/>
      <c r="H4" s="36"/>
      <c r="I4" s="31"/>
      <c r="J4" s="31"/>
      <c r="K4" s="31"/>
      <c r="L4" s="31"/>
      <c r="M4" s="31"/>
      <c r="N4" s="31"/>
      <c r="O4" s="31"/>
      <c r="P4" s="31"/>
      <c r="Q4" s="31"/>
      <c r="R4" s="31"/>
      <c r="S4" s="37" t="s">
        <v>4</v>
      </c>
      <c r="T4" s="31"/>
      <c r="U4" s="38"/>
      <c r="V4" s="31"/>
      <c r="W4" s="31"/>
      <c r="X4" s="31"/>
      <c r="Y4" s="38"/>
      <c r="Z4" s="38"/>
      <c r="AA4" s="38"/>
      <c r="AB4" s="31"/>
      <c r="AC4" s="31"/>
      <c r="AD4" s="31"/>
      <c r="AE4" s="39"/>
      <c r="AF4" s="40"/>
      <c r="AG4" s="41" t="s">
        <v>5</v>
      </c>
      <c r="AH4" s="42"/>
      <c r="AJ4" s="39"/>
      <c r="AK4" s="43" t="s">
        <v>6</v>
      </c>
      <c r="AL4" s="43"/>
      <c r="AM4" s="44"/>
      <c r="AN4" s="44"/>
    </row>
    <row r="5" customFormat="false" ht="12.95" hidden="false" customHeight="true" outlineLevel="0" collapsed="false">
      <c r="A5" s="45" t="s">
        <v>7</v>
      </c>
      <c r="B5" s="46" t="s">
        <v>8</v>
      </c>
      <c r="C5" s="47" t="s">
        <v>8</v>
      </c>
      <c r="D5" s="48" t="s">
        <v>9</v>
      </c>
      <c r="E5" s="47" t="s">
        <v>10</v>
      </c>
      <c r="F5" s="49" t="s">
        <v>11</v>
      </c>
      <c r="G5" s="45" t="s">
        <v>12</v>
      </c>
      <c r="H5" s="50" t="s">
        <v>13</v>
      </c>
      <c r="I5" s="45" t="s">
        <v>14</v>
      </c>
      <c r="J5" s="45" t="s">
        <v>15</v>
      </c>
      <c r="K5" s="45" t="s">
        <v>16</v>
      </c>
      <c r="L5" s="45" t="s">
        <v>15</v>
      </c>
      <c r="M5" s="51" t="s">
        <v>17</v>
      </c>
      <c r="N5" s="51"/>
      <c r="O5" s="51"/>
      <c r="P5" s="51"/>
      <c r="Q5" s="51"/>
      <c r="R5" s="51"/>
      <c r="S5" s="45" t="s">
        <v>18</v>
      </c>
      <c r="T5" s="45" t="s">
        <v>19</v>
      </c>
      <c r="U5" s="45" t="s">
        <v>16</v>
      </c>
      <c r="V5" s="52" t="s">
        <v>20</v>
      </c>
      <c r="W5" s="52" t="s">
        <v>20</v>
      </c>
      <c r="X5" s="45" t="s">
        <v>21</v>
      </c>
      <c r="Y5" s="53" t="s">
        <v>22</v>
      </c>
      <c r="Z5" s="54"/>
      <c r="AA5" s="45" t="s">
        <v>23</v>
      </c>
      <c r="AB5" s="52" t="s">
        <v>24</v>
      </c>
      <c r="AC5" s="45" t="s">
        <v>14</v>
      </c>
      <c r="AD5" s="45" t="s">
        <v>15</v>
      </c>
      <c r="AE5" s="45" t="s">
        <v>16</v>
      </c>
      <c r="AF5" s="55" t="s">
        <v>25</v>
      </c>
      <c r="AG5" s="56" t="s">
        <v>26</v>
      </c>
      <c r="AH5" s="57" t="s">
        <v>27</v>
      </c>
      <c r="AI5" s="58" t="s">
        <v>28</v>
      </c>
      <c r="AJ5" s="59" t="s">
        <v>20</v>
      </c>
      <c r="AK5" s="58" t="s">
        <v>20</v>
      </c>
      <c r="AL5" s="60" t="s">
        <v>20</v>
      </c>
      <c r="AM5" s="60" t="s">
        <v>29</v>
      </c>
      <c r="AN5" s="61" t="s">
        <v>30</v>
      </c>
    </row>
    <row r="6" customFormat="false" ht="12.95" hidden="false" customHeight="true" outlineLevel="0" collapsed="false">
      <c r="A6" s="62" t="s">
        <v>31</v>
      </c>
      <c r="B6" s="46" t="s">
        <v>32</v>
      </c>
      <c r="C6" s="47" t="s">
        <v>9</v>
      </c>
      <c r="D6" s="48" t="s">
        <v>33</v>
      </c>
      <c r="E6" s="47" t="s">
        <v>34</v>
      </c>
      <c r="F6" s="49" t="s">
        <v>35</v>
      </c>
      <c r="G6" s="45" t="s">
        <v>36</v>
      </c>
      <c r="H6" s="50" t="s">
        <v>37</v>
      </c>
      <c r="I6" s="45" t="s">
        <v>38</v>
      </c>
      <c r="J6" s="45" t="s">
        <v>38</v>
      </c>
      <c r="K6" s="45" t="s">
        <v>38</v>
      </c>
      <c r="L6" s="45" t="s">
        <v>39</v>
      </c>
      <c r="M6" s="63" t="s">
        <v>40</v>
      </c>
      <c r="N6" s="48" t="s">
        <v>41</v>
      </c>
      <c r="O6" s="48" t="s">
        <v>42</v>
      </c>
      <c r="P6" s="48" t="s">
        <v>43</v>
      </c>
      <c r="Q6" s="48" t="s">
        <v>44</v>
      </c>
      <c r="R6" s="64" t="s">
        <v>45</v>
      </c>
      <c r="S6" s="45" t="s">
        <v>46</v>
      </c>
      <c r="T6" s="45" t="s">
        <v>47</v>
      </c>
      <c r="U6" s="45" t="s">
        <v>20</v>
      </c>
      <c r="V6" s="52" t="s">
        <v>48</v>
      </c>
      <c r="W6" s="52" t="s">
        <v>49</v>
      </c>
      <c r="X6" s="45" t="s">
        <v>50</v>
      </c>
      <c r="Y6" s="63" t="s">
        <v>51</v>
      </c>
      <c r="Z6" s="65" t="s">
        <v>52</v>
      </c>
      <c r="AA6" s="45" t="s">
        <v>53</v>
      </c>
      <c r="AB6" s="52" t="s">
        <v>54</v>
      </c>
      <c r="AC6" s="45" t="s">
        <v>55</v>
      </c>
      <c r="AD6" s="45" t="s">
        <v>55</v>
      </c>
      <c r="AE6" s="45" t="s">
        <v>55</v>
      </c>
      <c r="AF6" s="66"/>
      <c r="AG6" s="56" t="s">
        <v>56</v>
      </c>
      <c r="AH6" s="57" t="s">
        <v>56</v>
      </c>
      <c r="AI6" s="67" t="s">
        <v>57</v>
      </c>
      <c r="AJ6" s="68" t="s">
        <v>58</v>
      </c>
      <c r="AK6" s="67" t="s">
        <v>59</v>
      </c>
      <c r="AL6" s="69" t="s">
        <v>59</v>
      </c>
      <c r="AM6" s="69" t="s">
        <v>60</v>
      </c>
      <c r="AN6" s="61" t="s">
        <v>61</v>
      </c>
    </row>
    <row r="7" customFormat="false" ht="12.95" hidden="false" customHeight="true" outlineLevel="0" collapsed="false">
      <c r="A7" s="70"/>
      <c r="B7" s="71"/>
      <c r="C7" s="72"/>
      <c r="D7" s="73"/>
      <c r="E7" s="74" t="s">
        <v>62</v>
      </c>
      <c r="F7" s="75"/>
      <c r="G7" s="70"/>
      <c r="H7" s="76"/>
      <c r="I7" s="70"/>
      <c r="J7" s="70"/>
      <c r="K7" s="70"/>
      <c r="L7" s="70"/>
      <c r="M7" s="77"/>
      <c r="N7" s="78" t="s">
        <v>63</v>
      </c>
      <c r="O7" s="78" t="s">
        <v>64</v>
      </c>
      <c r="P7" s="73"/>
      <c r="Q7" s="73"/>
      <c r="R7" s="64" t="s">
        <v>42</v>
      </c>
      <c r="S7" s="70"/>
      <c r="T7" s="70"/>
      <c r="U7" s="70"/>
      <c r="V7" s="79"/>
      <c r="W7" s="79" t="s">
        <v>65</v>
      </c>
      <c r="X7" s="70"/>
      <c r="Y7" s="77"/>
      <c r="Z7" s="80"/>
      <c r="AA7" s="70"/>
      <c r="AB7" s="81"/>
      <c r="AC7" s="70"/>
      <c r="AD7" s="70"/>
      <c r="AE7" s="70"/>
      <c r="AF7" s="82"/>
      <c r="AG7" s="83"/>
      <c r="AH7" s="84"/>
      <c r="AI7" s="67" t="s">
        <v>66</v>
      </c>
      <c r="AJ7" s="68" t="s">
        <v>35</v>
      </c>
      <c r="AK7" s="61" t="s">
        <v>67</v>
      </c>
      <c r="AL7" s="61" t="s">
        <v>68</v>
      </c>
      <c r="AM7" s="61" t="s">
        <v>69</v>
      </c>
      <c r="AN7" s="61" t="s">
        <v>70</v>
      </c>
    </row>
    <row r="8" customFormat="false" ht="12.95" hidden="false" customHeight="true" outlineLevel="0" collapsed="false">
      <c r="A8" s="70"/>
      <c r="B8" s="71"/>
      <c r="C8" s="72"/>
      <c r="D8" s="73"/>
      <c r="E8" s="72"/>
      <c r="F8" s="75"/>
      <c r="G8" s="70"/>
      <c r="H8" s="76"/>
      <c r="I8" s="70"/>
      <c r="J8" s="70"/>
      <c r="K8" s="70"/>
      <c r="L8" s="70"/>
      <c r="M8" s="77"/>
      <c r="N8" s="85" t="n">
        <v>1.03</v>
      </c>
      <c r="O8" s="85" t="n">
        <v>1.05</v>
      </c>
      <c r="P8" s="85" t="n">
        <v>1.02</v>
      </c>
      <c r="Q8" s="85" t="n">
        <v>1.04</v>
      </c>
      <c r="R8" s="64" t="s">
        <v>52</v>
      </c>
      <c r="S8" s="70"/>
      <c r="T8" s="70"/>
      <c r="U8" s="70"/>
      <c r="V8" s="86"/>
      <c r="W8" s="79" t="s">
        <v>71</v>
      </c>
      <c r="X8" s="70"/>
      <c r="Y8" s="77"/>
      <c r="Z8" s="80"/>
      <c r="AA8" s="70"/>
      <c r="AB8" s="87"/>
      <c r="AC8" s="70"/>
      <c r="AD8" s="70"/>
      <c r="AE8" s="70"/>
      <c r="AF8" s="82"/>
      <c r="AG8" s="88"/>
      <c r="AH8" s="84"/>
      <c r="AI8" s="16"/>
      <c r="AJ8" s="89"/>
      <c r="AL8" s="61" t="s">
        <v>72</v>
      </c>
    </row>
    <row r="9" customFormat="false" ht="12.95" hidden="false" customHeight="true" outlineLevel="0" collapsed="false">
      <c r="A9" s="17" t="s">
        <v>73</v>
      </c>
      <c r="B9" s="90"/>
      <c r="C9" s="91"/>
      <c r="D9" s="91"/>
      <c r="E9" s="91"/>
      <c r="F9" s="92"/>
      <c r="G9" s="10"/>
      <c r="H9" s="15"/>
      <c r="I9" s="10"/>
      <c r="J9" s="10"/>
      <c r="K9" s="10"/>
      <c r="L9" s="10"/>
      <c r="M9" s="93"/>
      <c r="N9" s="91"/>
      <c r="O9" s="91"/>
      <c r="P9" s="94"/>
      <c r="Q9" s="94"/>
      <c r="R9" s="95"/>
      <c r="S9" s="96"/>
      <c r="T9" s="96"/>
      <c r="U9" s="96"/>
      <c r="V9" s="96"/>
      <c r="W9" s="96"/>
      <c r="X9" s="96"/>
      <c r="Y9" s="97"/>
      <c r="Z9" s="95"/>
      <c r="AA9" s="96"/>
      <c r="AB9" s="81"/>
      <c r="AC9" s="96"/>
      <c r="AD9" s="96"/>
      <c r="AE9" s="96"/>
      <c r="AF9" s="98"/>
      <c r="AG9" s="99"/>
      <c r="AH9" s="100"/>
      <c r="AI9" s="101"/>
      <c r="AJ9" s="102"/>
      <c r="AK9" s="103"/>
      <c r="AL9" s="103"/>
      <c r="AM9" s="103"/>
    </row>
    <row r="10" s="1" customFormat="true" ht="12.95" hidden="false" customHeight="true" outlineLevel="0" collapsed="false">
      <c r="A10" s="104" t="s">
        <v>74</v>
      </c>
      <c r="B10" s="105" t="n">
        <v>6876.98</v>
      </c>
      <c r="C10" s="91" t="n">
        <v>207246</v>
      </c>
      <c r="D10" s="91"/>
      <c r="E10" s="91"/>
      <c r="F10" s="92"/>
      <c r="G10" s="10"/>
      <c r="H10" s="15"/>
      <c r="I10" s="10"/>
      <c r="J10" s="10"/>
      <c r="K10" s="10"/>
      <c r="L10" s="10"/>
      <c r="M10" s="93"/>
      <c r="N10" s="91"/>
      <c r="O10" s="91"/>
      <c r="P10" s="94"/>
      <c r="Q10" s="94"/>
      <c r="R10" s="95"/>
      <c r="S10" s="96"/>
      <c r="T10" s="96"/>
      <c r="U10" s="96"/>
      <c r="V10" s="96"/>
      <c r="W10" s="96"/>
      <c r="X10" s="96"/>
      <c r="Y10" s="97"/>
      <c r="Z10" s="95"/>
      <c r="AA10" s="96"/>
      <c r="AB10" s="96" t="n">
        <v>4051</v>
      </c>
      <c r="AC10" s="96"/>
      <c r="AD10" s="96"/>
      <c r="AE10" s="96"/>
      <c r="AF10" s="98"/>
      <c r="AG10" s="99"/>
      <c r="AH10" s="100"/>
      <c r="AI10" s="101"/>
      <c r="AJ10" s="101" t="n">
        <v>352</v>
      </c>
      <c r="AK10" s="96"/>
      <c r="AL10" s="96"/>
      <c r="AM10" s="96"/>
      <c r="AN10" s="38"/>
    </row>
    <row r="11" customFormat="false" ht="3" hidden="false" customHeight="true" outlineLevel="0" collapsed="false">
      <c r="A11" s="106"/>
      <c r="B11" s="107"/>
      <c r="C11" s="108"/>
      <c r="D11" s="106"/>
      <c r="E11" s="108"/>
      <c r="F11" s="109"/>
      <c r="G11" s="106"/>
      <c r="H11" s="110"/>
      <c r="I11" s="106"/>
      <c r="J11" s="106"/>
      <c r="K11" s="106"/>
      <c r="L11" s="106"/>
      <c r="M11" s="111"/>
      <c r="N11" s="106"/>
      <c r="O11" s="106"/>
      <c r="P11" s="112"/>
      <c r="Q11" s="112"/>
      <c r="R11" s="113"/>
      <c r="S11" s="112"/>
      <c r="T11" s="112"/>
      <c r="U11" s="112"/>
      <c r="V11" s="114"/>
      <c r="W11" s="114"/>
      <c r="X11" s="112"/>
      <c r="Y11" s="115"/>
      <c r="Z11" s="113"/>
      <c r="AA11" s="112"/>
      <c r="AB11" s="114"/>
      <c r="AC11" s="112"/>
      <c r="AD11" s="112"/>
      <c r="AE11" s="112"/>
      <c r="AF11" s="116"/>
      <c r="AG11" s="117"/>
      <c r="AH11" s="118"/>
      <c r="AI11" s="117"/>
      <c r="AJ11" s="119"/>
      <c r="AK11" s="117"/>
      <c r="AL11" s="117"/>
      <c r="AM11" s="117"/>
      <c r="AN11" s="117"/>
    </row>
    <row r="12" customFormat="false" ht="12.95" hidden="false" customHeight="true" outlineLevel="0" collapsed="false">
      <c r="A12" s="16" t="n">
        <v>1</v>
      </c>
      <c r="B12" s="105" t="n">
        <v>6877.03</v>
      </c>
      <c r="C12" s="91" t="n">
        <v>207391</v>
      </c>
      <c r="D12" s="120" t="n">
        <f aca="false">C12-C10</f>
        <v>145</v>
      </c>
      <c r="E12" s="91" t="n">
        <f aca="false">C12-152000</f>
        <v>55391</v>
      </c>
      <c r="F12" s="121" t="n">
        <f aca="false">D12/$D$2</f>
        <v>73.1031005797832</v>
      </c>
      <c r="G12" s="9" t="n">
        <v>145</v>
      </c>
      <c r="H12" s="11" t="n">
        <v>0</v>
      </c>
      <c r="I12" s="9" t="n">
        <f aca="false">G12+H12</f>
        <v>145</v>
      </c>
      <c r="J12" s="122" t="n">
        <f aca="false">IF(L12&gt;0,L12,0)</f>
        <v>44.5031005797832</v>
      </c>
      <c r="K12" s="9" t="n">
        <f aca="false">I12+J12</f>
        <v>189.503100579783</v>
      </c>
      <c r="L12" s="9" t="n">
        <f aca="false">F12-(I12-AC12)</f>
        <v>44.5031005797832</v>
      </c>
      <c r="M12" s="123" t="n">
        <v>5.4</v>
      </c>
      <c r="N12" s="124" t="n">
        <v>0</v>
      </c>
      <c r="O12" s="124" t="n">
        <v>0</v>
      </c>
      <c r="P12" s="125" t="n">
        <f aca="false">1.33*1.02</f>
        <v>1.3566</v>
      </c>
      <c r="Q12" s="125" t="n">
        <f aca="false">2.75*1.04</f>
        <v>2.86</v>
      </c>
      <c r="R12" s="126" t="n">
        <v>0</v>
      </c>
      <c r="S12" s="127" t="n">
        <v>80</v>
      </c>
      <c r="T12" s="127" t="n">
        <v>0</v>
      </c>
      <c r="U12" s="127" t="n">
        <f aca="false">M12-N12-O12-P12-Q12-R16+S12+T12</f>
        <v>81.1834</v>
      </c>
      <c r="V12" s="96"/>
      <c r="W12" s="96"/>
      <c r="X12" s="127" t="n">
        <v>0</v>
      </c>
      <c r="Y12" s="128"/>
      <c r="Z12" s="129"/>
      <c r="AA12" s="127" t="n">
        <v>31</v>
      </c>
      <c r="AB12" s="96" t="n">
        <f aca="false">AB10-AA12</f>
        <v>4020</v>
      </c>
      <c r="AC12" s="127" t="n">
        <f aca="false">N12+O12+P12+Q12+R16+U12+X12+AA12</f>
        <v>116.4</v>
      </c>
      <c r="AD12" s="127" t="n">
        <f aca="false">IF(L12&lt;0,L12*-1,0)</f>
        <v>0</v>
      </c>
      <c r="AE12" s="127" t="n">
        <f aca="false">AC12+AD12</f>
        <v>116.4</v>
      </c>
      <c r="AF12" s="98" t="n">
        <v>0</v>
      </c>
      <c r="AG12" s="99" t="n">
        <v>38</v>
      </c>
      <c r="AH12" s="100" t="n">
        <v>25</v>
      </c>
      <c r="AI12" s="101" t="n">
        <f aca="false">AI11+(U12*1.9835)</f>
        <v>161.0272739</v>
      </c>
      <c r="AJ12" s="101" t="n">
        <v>0</v>
      </c>
      <c r="AK12" s="103"/>
      <c r="AL12" s="103"/>
      <c r="AM12" s="103"/>
    </row>
    <row r="13" customFormat="false" ht="12.95" hidden="false" customHeight="true" outlineLevel="0" collapsed="false">
      <c r="A13" s="16" t="n">
        <f aca="false">A12+1</f>
        <v>2</v>
      </c>
      <c r="B13" s="130" t="n">
        <v>6876.93</v>
      </c>
      <c r="C13" s="91" t="n">
        <v>207101</v>
      </c>
      <c r="D13" s="120" t="n">
        <f aca="false">C13-C12</f>
        <v>-290</v>
      </c>
      <c r="E13" s="91" t="n">
        <f aca="false">C13-152000</f>
        <v>55101</v>
      </c>
      <c r="F13" s="121" t="n">
        <f aca="false">D13/$D$2</f>
        <v>-146.206201159566</v>
      </c>
      <c r="G13" s="9" t="n">
        <v>113</v>
      </c>
      <c r="H13" s="11" t="n">
        <v>0</v>
      </c>
      <c r="I13" s="9" t="n">
        <f aca="false">G13+H13</f>
        <v>113</v>
      </c>
      <c r="J13" s="122" t="n">
        <f aca="false">IF(L13&gt;0,L13,0)</f>
        <v>0</v>
      </c>
      <c r="K13" s="9" t="n">
        <f aca="false">I13+J13</f>
        <v>113</v>
      </c>
      <c r="L13" s="9" t="n">
        <f aca="false">F13-(I13-AC13)</f>
        <v>-103.206201159566</v>
      </c>
      <c r="M13" s="123" t="n">
        <v>5</v>
      </c>
      <c r="N13" s="124" t="n">
        <v>0</v>
      </c>
      <c r="O13" s="124" t="n">
        <v>0</v>
      </c>
      <c r="P13" s="125" t="n">
        <f aca="false">1.33*1.02</f>
        <v>1.3566</v>
      </c>
      <c r="Q13" s="125" t="n">
        <f aca="false">2.07*1.04</f>
        <v>2.1528</v>
      </c>
      <c r="R13" s="131" t="n">
        <v>0</v>
      </c>
      <c r="S13" s="127" t="n">
        <v>123</v>
      </c>
      <c r="T13" s="127" t="n">
        <v>0</v>
      </c>
      <c r="U13" s="127" t="n">
        <f aca="false">M13-N13-O13-P13-Q13-R13+S13+T13</f>
        <v>124.4906</v>
      </c>
      <c r="V13" s="96"/>
      <c r="W13" s="96"/>
      <c r="X13" s="127" t="n">
        <v>0</v>
      </c>
      <c r="Y13" s="128"/>
      <c r="Z13" s="129"/>
      <c r="AA13" s="127" t="n">
        <v>28</v>
      </c>
      <c r="AB13" s="96" t="n">
        <f aca="false">AB12-AA13</f>
        <v>3992</v>
      </c>
      <c r="AC13" s="127" t="n">
        <f aca="false">N13+O13+P13+Q13+R17+U13+X13+AA13</f>
        <v>156</v>
      </c>
      <c r="AD13" s="127" t="n">
        <f aca="false">IF(L13&lt;0,L13*-1,0)</f>
        <v>103.206201159566</v>
      </c>
      <c r="AE13" s="127" t="n">
        <f aca="false">AC13+AD13</f>
        <v>259.206201159566</v>
      </c>
      <c r="AF13" s="98" t="n">
        <v>0</v>
      </c>
      <c r="AG13" s="99" t="n">
        <v>49</v>
      </c>
      <c r="AH13" s="100" t="n">
        <v>21</v>
      </c>
      <c r="AI13" s="101" t="n">
        <f aca="false">AI12+(U13*1.9835)</f>
        <v>407.954379</v>
      </c>
      <c r="AJ13" s="101" t="n">
        <v>0</v>
      </c>
      <c r="AK13" s="103"/>
      <c r="AL13" s="103"/>
      <c r="AM13" s="103"/>
    </row>
    <row r="14" customFormat="false" ht="12.95" hidden="false" customHeight="true" outlineLevel="0" collapsed="false">
      <c r="A14" s="16" t="n">
        <f aca="false">A13+1</f>
        <v>3</v>
      </c>
      <c r="B14" s="105" t="n">
        <v>6876.93</v>
      </c>
      <c r="C14" s="91" t="n">
        <v>207101</v>
      </c>
      <c r="D14" s="120" t="n">
        <f aca="false">C14-C13</f>
        <v>0</v>
      </c>
      <c r="E14" s="91" t="n">
        <f aca="false">C14-152000</f>
        <v>55101</v>
      </c>
      <c r="F14" s="121" t="n">
        <f aca="false">D14/$D$2</f>
        <v>0</v>
      </c>
      <c r="G14" s="9" t="n">
        <v>117</v>
      </c>
      <c r="H14" s="11" t="n">
        <v>0</v>
      </c>
      <c r="I14" s="9" t="n">
        <f aca="false">G14+H14</f>
        <v>117</v>
      </c>
      <c r="J14" s="122" t="n">
        <f aca="false">IF(L14&gt;0,L14,0)</f>
        <v>27.8</v>
      </c>
      <c r="K14" s="9" t="n">
        <f aca="false">I14+J14</f>
        <v>144.8</v>
      </c>
      <c r="L14" s="9" t="n">
        <f aca="false">F14-(I14-AC14)</f>
        <v>27.8</v>
      </c>
      <c r="M14" s="123" t="n">
        <v>4.8</v>
      </c>
      <c r="N14" s="124" t="n">
        <v>0</v>
      </c>
      <c r="O14" s="124" t="n">
        <v>0</v>
      </c>
      <c r="P14" s="125" t="n">
        <f aca="false">1.33*1.02</f>
        <v>1.3566</v>
      </c>
      <c r="Q14" s="125" t="n">
        <f aca="false">2.73*1.04</f>
        <v>2.8392</v>
      </c>
      <c r="R14" s="131" t="n">
        <v>0</v>
      </c>
      <c r="S14" s="127" t="n">
        <v>112</v>
      </c>
      <c r="T14" s="127" t="n">
        <v>0</v>
      </c>
      <c r="U14" s="127" t="n">
        <f aca="false">M14-N14-O14-P14-Q14-R14+S14+T14</f>
        <v>112.6042</v>
      </c>
      <c r="V14" s="96"/>
      <c r="W14" s="96"/>
      <c r="X14" s="127" t="n">
        <v>0</v>
      </c>
      <c r="Y14" s="128"/>
      <c r="Z14" s="129"/>
      <c r="AA14" s="127" t="n">
        <v>28</v>
      </c>
      <c r="AB14" s="96" t="n">
        <f aca="false">AB13-AA14</f>
        <v>3964</v>
      </c>
      <c r="AC14" s="127" t="n">
        <f aca="false">N14+O14+P14+Q14+R18+U14+X14+AA14</f>
        <v>144.8</v>
      </c>
      <c r="AD14" s="127" t="n">
        <f aca="false">IF(L14&lt;0,L14*-1,0)</f>
        <v>0</v>
      </c>
      <c r="AE14" s="127" t="n">
        <f aca="false">AC14+AD14</f>
        <v>144.8</v>
      </c>
      <c r="AF14" s="98" t="n">
        <v>0</v>
      </c>
      <c r="AG14" s="99" t="n">
        <v>51</v>
      </c>
      <c r="AH14" s="100" t="n">
        <v>21</v>
      </c>
      <c r="AI14" s="101" t="n">
        <f aca="false">AI13+(U14*1.9835)</f>
        <v>631.3048097</v>
      </c>
      <c r="AJ14" s="101" t="n">
        <v>0</v>
      </c>
      <c r="AK14" s="103"/>
      <c r="AL14" s="103"/>
      <c r="AM14" s="103"/>
    </row>
    <row r="15" customFormat="false" ht="12.95" hidden="false" customHeight="true" outlineLevel="0" collapsed="false">
      <c r="A15" s="16" t="n">
        <f aca="false">A14+1</f>
        <v>4</v>
      </c>
      <c r="B15" s="105" t="n">
        <v>6876.91</v>
      </c>
      <c r="C15" s="91" t="n">
        <v>207044</v>
      </c>
      <c r="D15" s="120" t="n">
        <f aca="false">C15-C14</f>
        <v>-57</v>
      </c>
      <c r="E15" s="91" t="n">
        <f aca="false">C15-152000</f>
        <v>55044</v>
      </c>
      <c r="F15" s="121" t="n">
        <f aca="false">D15/$D$2</f>
        <v>-28.7370809175699</v>
      </c>
      <c r="G15" s="9" t="n">
        <v>122</v>
      </c>
      <c r="H15" s="11" t="n">
        <v>0</v>
      </c>
      <c r="I15" s="9" t="n">
        <f aca="false">G15+H15</f>
        <v>122</v>
      </c>
      <c r="J15" s="122" t="n">
        <f aca="false">IF(L15&gt;0,L15,0)</f>
        <v>0</v>
      </c>
      <c r="K15" s="9" t="n">
        <f aca="false">I15+J15</f>
        <v>122</v>
      </c>
      <c r="L15" s="9" t="n">
        <f aca="false">F15-(I15-AC15)</f>
        <v>-18.8370809175699</v>
      </c>
      <c r="M15" s="123" t="n">
        <v>4.9</v>
      </c>
      <c r="N15" s="124" t="n">
        <v>0</v>
      </c>
      <c r="O15" s="124" t="n">
        <v>0</v>
      </c>
      <c r="P15" s="125" t="n">
        <f aca="false">1.33*1.02</f>
        <v>1.3566</v>
      </c>
      <c r="Q15" s="125" t="n">
        <f aca="false">2.62*1.04</f>
        <v>2.7248</v>
      </c>
      <c r="R15" s="131" t="n">
        <v>0</v>
      </c>
      <c r="S15" s="127" t="n">
        <v>99</v>
      </c>
      <c r="T15" s="127" t="n">
        <v>0</v>
      </c>
      <c r="U15" s="127" t="n">
        <f aca="false">M15-N15-O15-P15-Q15-R15+S15+T15</f>
        <v>99.8186</v>
      </c>
      <c r="V15" s="96"/>
      <c r="W15" s="96"/>
      <c r="X15" s="127" t="n">
        <v>0</v>
      </c>
      <c r="Y15" s="128"/>
      <c r="Z15" s="129"/>
      <c r="AA15" s="127" t="n">
        <v>28</v>
      </c>
      <c r="AB15" s="96" t="n">
        <f aca="false">AB14-AA15</f>
        <v>3936</v>
      </c>
      <c r="AC15" s="127" t="n">
        <f aca="false">N15+O15+P15+Q15+R19+U15+X15+AA15</f>
        <v>131.9</v>
      </c>
      <c r="AD15" s="127" t="n">
        <f aca="false">IF(L15&lt;0,L15*-1,0)</f>
        <v>18.8370809175699</v>
      </c>
      <c r="AE15" s="127" t="n">
        <f aca="false">AC15+AD15</f>
        <v>150.73708091757</v>
      </c>
      <c r="AF15" s="98" t="n">
        <v>0</v>
      </c>
      <c r="AG15" s="99" t="n">
        <v>60</v>
      </c>
      <c r="AH15" s="100" t="n">
        <v>28</v>
      </c>
      <c r="AI15" s="101" t="n">
        <f aca="false">AI14+(U15*1.9835)</f>
        <v>829.2950028</v>
      </c>
      <c r="AJ15" s="101" t="n">
        <v>0</v>
      </c>
      <c r="AK15" s="103"/>
      <c r="AL15" s="103"/>
      <c r="AM15" s="103"/>
    </row>
    <row r="16" customFormat="false" ht="12.95" hidden="false" customHeight="true" outlineLevel="0" collapsed="false">
      <c r="A16" s="16" t="n">
        <f aca="false">A15+1</f>
        <v>5</v>
      </c>
      <c r="B16" s="105" t="n">
        <v>6876.9</v>
      </c>
      <c r="C16" s="91" t="n">
        <v>207015</v>
      </c>
      <c r="D16" s="120" t="n">
        <f aca="false">C16-C15</f>
        <v>-29</v>
      </c>
      <c r="E16" s="91" t="n">
        <f aca="false">C16-152000</f>
        <v>55015</v>
      </c>
      <c r="F16" s="121" t="n">
        <f aca="false">D16/$D$2</f>
        <v>-14.6206201159566</v>
      </c>
      <c r="G16" s="9" t="n">
        <v>116</v>
      </c>
      <c r="H16" s="11" t="n">
        <v>0</v>
      </c>
      <c r="I16" s="9" t="n">
        <f aca="false">G16+H16</f>
        <v>116</v>
      </c>
      <c r="J16" s="122" t="n">
        <f aca="false">IF(L16&gt;0,L16,0)</f>
        <v>1.27937988404334</v>
      </c>
      <c r="K16" s="9" t="n">
        <f aca="false">I16+J16</f>
        <v>117.279379884043</v>
      </c>
      <c r="L16" s="9" t="n">
        <f aca="false">F16-(I16-AC16)</f>
        <v>1.27937988404334</v>
      </c>
      <c r="M16" s="123" t="n">
        <v>4.9</v>
      </c>
      <c r="N16" s="124" t="n">
        <v>0</v>
      </c>
      <c r="O16" s="124" t="n">
        <v>0</v>
      </c>
      <c r="P16" s="125" t="n">
        <f aca="false">1.33*1.02</f>
        <v>1.3566</v>
      </c>
      <c r="Q16" s="125" t="n">
        <f aca="false">2.23*1.04</f>
        <v>2.3192</v>
      </c>
      <c r="R16" s="131" t="n">
        <v>0</v>
      </c>
      <c r="S16" s="127" t="n">
        <v>99</v>
      </c>
      <c r="T16" s="127" t="n">
        <v>0</v>
      </c>
      <c r="U16" s="127" t="n">
        <f aca="false">M16-N16-O16-P16-Q16-R16+S16+T16</f>
        <v>100.2242</v>
      </c>
      <c r="V16" s="96"/>
      <c r="W16" s="96"/>
      <c r="X16" s="127" t="n">
        <v>0</v>
      </c>
      <c r="Y16" s="128"/>
      <c r="Z16" s="129"/>
      <c r="AA16" s="127" t="n">
        <v>28</v>
      </c>
      <c r="AB16" s="96" t="n">
        <f aca="false">AB15-AA16</f>
        <v>3908</v>
      </c>
      <c r="AC16" s="127" t="n">
        <f aca="false">N16+O16+P16+Q16+R20+U16+X16+AA16</f>
        <v>131.9</v>
      </c>
      <c r="AD16" s="127" t="n">
        <f aca="false">IF(L16&lt;0,L16*-1,0)</f>
        <v>0</v>
      </c>
      <c r="AE16" s="127" t="n">
        <f aca="false">AC16+AD16</f>
        <v>131.9</v>
      </c>
      <c r="AF16" s="98" t="n">
        <v>0</v>
      </c>
      <c r="AG16" s="99" t="n">
        <v>63</v>
      </c>
      <c r="AH16" s="100" t="n">
        <v>31</v>
      </c>
      <c r="AI16" s="101" t="n">
        <f aca="false">AI15+(U16*1.9835)</f>
        <v>1028.0897035</v>
      </c>
      <c r="AJ16" s="101" t="n">
        <v>0</v>
      </c>
      <c r="AK16" s="103"/>
      <c r="AL16" s="103"/>
      <c r="AM16" s="103"/>
    </row>
    <row r="17" customFormat="false" ht="12.95" hidden="false" customHeight="true" outlineLevel="0" collapsed="false">
      <c r="A17" s="16" t="n">
        <f aca="false">A16+1</f>
        <v>6</v>
      </c>
      <c r="B17" s="105" t="n">
        <v>6876.9</v>
      </c>
      <c r="C17" s="91" t="n">
        <v>207015</v>
      </c>
      <c r="D17" s="120" t="n">
        <f aca="false">C17-C16</f>
        <v>0</v>
      </c>
      <c r="E17" s="91" t="n">
        <f aca="false">C17-152000</f>
        <v>55015</v>
      </c>
      <c r="F17" s="121" t="n">
        <f aca="false">D17/$D$2</f>
        <v>0</v>
      </c>
      <c r="G17" s="9" t="n">
        <v>115</v>
      </c>
      <c r="H17" s="11" t="n">
        <v>0</v>
      </c>
      <c r="I17" s="9" t="n">
        <f aca="false">G17+H17</f>
        <v>115</v>
      </c>
      <c r="J17" s="122" t="n">
        <f aca="false">IF(L17&gt;0,L17,0)</f>
        <v>16.9</v>
      </c>
      <c r="K17" s="9" t="n">
        <f aca="false">I17+J17</f>
        <v>131.9</v>
      </c>
      <c r="L17" s="9" t="n">
        <f aca="false">F17-(I17-AC17)</f>
        <v>16.9</v>
      </c>
      <c r="M17" s="123" t="n">
        <v>4.9</v>
      </c>
      <c r="N17" s="124" t="n">
        <v>0</v>
      </c>
      <c r="O17" s="124" t="n">
        <v>0</v>
      </c>
      <c r="P17" s="125" t="n">
        <f aca="false">1.33*1.02</f>
        <v>1.3566</v>
      </c>
      <c r="Q17" s="125" t="n">
        <f aca="false">2.07*1.04</f>
        <v>2.1528</v>
      </c>
      <c r="R17" s="131" t="n">
        <v>0</v>
      </c>
      <c r="S17" s="127" t="n">
        <v>99</v>
      </c>
      <c r="T17" s="127" t="n">
        <v>0</v>
      </c>
      <c r="U17" s="127" t="n">
        <f aca="false">M17-N17-O17-P17-Q17-R17+S17+T17</f>
        <v>100.3906</v>
      </c>
      <c r="V17" s="96"/>
      <c r="W17" s="96"/>
      <c r="X17" s="127" t="n">
        <v>0</v>
      </c>
      <c r="Y17" s="128"/>
      <c r="Z17" s="129"/>
      <c r="AA17" s="127" t="n">
        <v>28</v>
      </c>
      <c r="AB17" s="96" t="n">
        <f aca="false">AB16-AA17</f>
        <v>3880</v>
      </c>
      <c r="AC17" s="127" t="n">
        <f aca="false">N17+O17+P17+Q17+R21+U17+X17+AA17</f>
        <v>131.9</v>
      </c>
      <c r="AD17" s="127" t="n">
        <f aca="false">IF(L17&lt;0,L17*-1,0)</f>
        <v>0</v>
      </c>
      <c r="AE17" s="127" t="n">
        <f aca="false">AC17+AD17</f>
        <v>131.9</v>
      </c>
      <c r="AF17" s="98" t="n">
        <v>0</v>
      </c>
      <c r="AG17" s="99" t="n">
        <v>64</v>
      </c>
      <c r="AH17" s="100" t="n">
        <v>31</v>
      </c>
      <c r="AI17" s="101" t="n">
        <f aca="false">AI16+(U17*1.9835)</f>
        <v>1227.2144586</v>
      </c>
      <c r="AJ17" s="101" t="n">
        <v>0</v>
      </c>
      <c r="AK17" s="103"/>
      <c r="AL17" s="103"/>
      <c r="AM17" s="103"/>
    </row>
    <row r="18" customFormat="false" ht="12.95" hidden="false" customHeight="true" outlineLevel="0" collapsed="false">
      <c r="A18" s="16" t="n">
        <f aca="false">A17+1</f>
        <v>7</v>
      </c>
      <c r="B18" s="105" t="n">
        <v>6876.81</v>
      </c>
      <c r="C18" s="91" t="n">
        <v>206755</v>
      </c>
      <c r="D18" s="120" t="n">
        <f aca="false">C18-C17</f>
        <v>-260</v>
      </c>
      <c r="E18" s="91" t="n">
        <f aca="false">C18-152000</f>
        <v>54755</v>
      </c>
      <c r="F18" s="121" t="n">
        <f aca="false">D18/$D$2</f>
        <v>-131.081421729266</v>
      </c>
      <c r="G18" s="9" t="n">
        <v>110</v>
      </c>
      <c r="H18" s="11" t="n">
        <v>0</v>
      </c>
      <c r="I18" s="9" t="n">
        <f aca="false">G18+H18</f>
        <v>110</v>
      </c>
      <c r="J18" s="122" t="n">
        <f aca="false">IF(L18&gt;0,L18,0)</f>
        <v>0</v>
      </c>
      <c r="K18" s="9" t="n">
        <f aca="false">I18+J18</f>
        <v>110</v>
      </c>
      <c r="L18" s="9" t="n">
        <f aca="false">F18-(I18-AC18)</f>
        <v>-108.881421729266</v>
      </c>
      <c r="M18" s="123" t="n">
        <v>5.2</v>
      </c>
      <c r="N18" s="124" t="n">
        <v>0</v>
      </c>
      <c r="O18" s="124" t="n">
        <v>0</v>
      </c>
      <c r="P18" s="125" t="n">
        <f aca="false">1.33*1.02</f>
        <v>1.3566</v>
      </c>
      <c r="Q18" s="125" t="n">
        <f aca="false">2.16*1.04</f>
        <v>2.2464</v>
      </c>
      <c r="R18" s="131" t="n">
        <v>0</v>
      </c>
      <c r="S18" s="127" t="n">
        <v>99</v>
      </c>
      <c r="T18" s="127" t="n">
        <v>0</v>
      </c>
      <c r="U18" s="127" t="n">
        <f aca="false">M18-N18-O18-P18-Q18-R18+S18+T18</f>
        <v>100.597</v>
      </c>
      <c r="V18" s="96"/>
      <c r="W18" s="96"/>
      <c r="X18" s="127" t="n">
        <v>0</v>
      </c>
      <c r="Y18" s="128"/>
      <c r="Z18" s="129"/>
      <c r="AA18" s="127" t="n">
        <v>28</v>
      </c>
      <c r="AB18" s="96" t="n">
        <f aca="false">AB17-AA18</f>
        <v>3852</v>
      </c>
      <c r="AC18" s="127" t="n">
        <f aca="false">N18+O18+P18+Q18+R22+U18+X18+AA18</f>
        <v>132.2</v>
      </c>
      <c r="AD18" s="127" t="n">
        <f aca="false">IF(L18&lt;0,L18*-1,0)</f>
        <v>108.881421729266</v>
      </c>
      <c r="AE18" s="127" t="n">
        <f aca="false">AC18+AD18</f>
        <v>241.081421729266</v>
      </c>
      <c r="AF18" s="98" t="n">
        <v>0</v>
      </c>
      <c r="AG18" s="99" t="n">
        <v>64</v>
      </c>
      <c r="AH18" s="100" t="n">
        <v>34</v>
      </c>
      <c r="AI18" s="101" t="n">
        <f aca="false">AI17+(U18*1.9835)</f>
        <v>1426.7486081</v>
      </c>
      <c r="AJ18" s="101" t="n">
        <v>0</v>
      </c>
      <c r="AK18" s="103"/>
      <c r="AL18" s="103"/>
      <c r="AM18" s="103"/>
    </row>
    <row r="19" customFormat="false" ht="12.95" hidden="false" customHeight="true" outlineLevel="0" collapsed="false">
      <c r="A19" s="16" t="n">
        <f aca="false">A18+1</f>
        <v>8</v>
      </c>
      <c r="B19" s="105" t="n">
        <v>6876.8</v>
      </c>
      <c r="C19" s="91" t="n">
        <v>206726</v>
      </c>
      <c r="D19" s="120" t="n">
        <f aca="false">C19-C18</f>
        <v>-29</v>
      </c>
      <c r="E19" s="91" t="n">
        <f aca="false">C19-152000</f>
        <v>54726</v>
      </c>
      <c r="F19" s="121" t="n">
        <f aca="false">D19/$D$2</f>
        <v>-14.6206201159566</v>
      </c>
      <c r="G19" s="9" t="n">
        <v>117</v>
      </c>
      <c r="H19" s="11" t="n">
        <v>0</v>
      </c>
      <c r="I19" s="9" t="n">
        <f aca="false">G19+H19</f>
        <v>117</v>
      </c>
      <c r="J19" s="122" t="n">
        <f aca="false">IF(L19&gt;0,L19,0)</f>
        <v>20.7793798840434</v>
      </c>
      <c r="K19" s="9" t="n">
        <f aca="false">I19+J19</f>
        <v>137.779379884043</v>
      </c>
      <c r="L19" s="9" t="n">
        <f aca="false">F19-(I19-AC19)</f>
        <v>20.7793798840434</v>
      </c>
      <c r="M19" s="123" t="n">
        <v>5.4</v>
      </c>
      <c r="N19" s="124" t="n">
        <v>0</v>
      </c>
      <c r="O19" s="124" t="n">
        <v>0</v>
      </c>
      <c r="P19" s="125" t="n">
        <f aca="false">1.33*1.02</f>
        <v>1.3566</v>
      </c>
      <c r="Q19" s="125" t="n">
        <f aca="false">1.98*1.04</f>
        <v>2.0592</v>
      </c>
      <c r="R19" s="132" t="n">
        <v>0</v>
      </c>
      <c r="S19" s="127" t="n">
        <v>119</v>
      </c>
      <c r="T19" s="127" t="n">
        <v>0</v>
      </c>
      <c r="U19" s="127" t="n">
        <f aca="false">M19-N19-O19-P19-Q19-R19+S19+T19</f>
        <v>120.9842</v>
      </c>
      <c r="V19" s="96"/>
      <c r="W19" s="96"/>
      <c r="X19" s="127" t="n">
        <v>0</v>
      </c>
      <c r="Y19" s="128"/>
      <c r="Z19" s="129"/>
      <c r="AA19" s="127" t="n">
        <v>28</v>
      </c>
      <c r="AB19" s="96" t="n">
        <f aca="false">AB18-AA19</f>
        <v>3824</v>
      </c>
      <c r="AC19" s="127" t="n">
        <f aca="false">N19+O19+P19+Q19+R23+U19+X19+AA19</f>
        <v>152.4</v>
      </c>
      <c r="AD19" s="127" t="n">
        <f aca="false">IF(L19&lt;0,L19*-1,0)</f>
        <v>0</v>
      </c>
      <c r="AE19" s="127" t="n">
        <f aca="false">AC19+AD19</f>
        <v>152.4</v>
      </c>
      <c r="AF19" s="98" t="n">
        <v>0.08</v>
      </c>
      <c r="AG19" s="99" t="n">
        <v>59</v>
      </c>
      <c r="AH19" s="100" t="n">
        <v>43</v>
      </c>
      <c r="AI19" s="101" t="n">
        <f aca="false">AI18+(U19*1.9835)</f>
        <v>1666.7207688</v>
      </c>
      <c r="AJ19" s="101" t="n">
        <v>0</v>
      </c>
      <c r="AK19" s="103"/>
      <c r="AL19" s="103"/>
      <c r="AM19" s="103"/>
    </row>
    <row r="20" customFormat="false" ht="12.95" hidden="false" customHeight="true" outlineLevel="0" collapsed="false">
      <c r="A20" s="16" t="n">
        <f aca="false">A19+1</f>
        <v>9</v>
      </c>
      <c r="B20" s="105" t="n">
        <v>6876.86</v>
      </c>
      <c r="C20" s="91" t="n">
        <v>206899</v>
      </c>
      <c r="D20" s="120" t="n">
        <f aca="false">C20-C19</f>
        <v>173</v>
      </c>
      <c r="E20" s="91" t="n">
        <f aca="false">C20-152000</f>
        <v>54899</v>
      </c>
      <c r="F20" s="121" t="n">
        <f aca="false">D20/$D$2</f>
        <v>87.2195613813965</v>
      </c>
      <c r="G20" s="9" t="n">
        <v>153</v>
      </c>
      <c r="H20" s="11" t="n">
        <v>0</v>
      </c>
      <c r="I20" s="9" t="n">
        <f aca="false">G20+H20</f>
        <v>153</v>
      </c>
      <c r="J20" s="122" t="n">
        <f aca="false">IF(L20&gt;0,L20,0)</f>
        <v>101.519561381397</v>
      </c>
      <c r="K20" s="9" t="n">
        <f aca="false">I20+J20</f>
        <v>254.519561381396</v>
      </c>
      <c r="L20" s="9" t="n">
        <f aca="false">F20-(I20-AC20)</f>
        <v>101.519561381397</v>
      </c>
      <c r="M20" s="123" t="n">
        <v>5.3</v>
      </c>
      <c r="N20" s="124" t="n">
        <v>0</v>
      </c>
      <c r="O20" s="124" t="n">
        <v>0</v>
      </c>
      <c r="P20" s="125" t="n">
        <f aca="false">1.33*1.02</f>
        <v>1.3566</v>
      </c>
      <c r="Q20" s="125" t="n">
        <f aca="false">2.03*1.04</f>
        <v>2.1112</v>
      </c>
      <c r="R20" s="132" t="n">
        <v>0</v>
      </c>
      <c r="S20" s="127" t="n">
        <v>135</v>
      </c>
      <c r="T20" s="127" t="n">
        <v>0</v>
      </c>
      <c r="U20" s="127" t="n">
        <f aca="false">M20-N20-O20-P20-Q20-R20+S20+T20</f>
        <v>136.8322</v>
      </c>
      <c r="V20" s="96"/>
      <c r="W20" s="96"/>
      <c r="X20" s="127" t="n">
        <v>0</v>
      </c>
      <c r="Y20" s="128"/>
      <c r="Z20" s="129"/>
      <c r="AA20" s="127" t="n">
        <v>27</v>
      </c>
      <c r="AB20" s="96" t="n">
        <f aca="false">AB19-AA20</f>
        <v>3797</v>
      </c>
      <c r="AC20" s="127" t="n">
        <f aca="false">N20+O20+P20+Q20+R24+U20+X20+AA20</f>
        <v>167.3</v>
      </c>
      <c r="AD20" s="127" t="n">
        <f aca="false">IF(L20&lt;0,L20*-1,0)</f>
        <v>0</v>
      </c>
      <c r="AE20" s="127" t="n">
        <f aca="false">AC20+AD20</f>
        <v>167.3</v>
      </c>
      <c r="AF20" s="98" t="n">
        <v>0.86</v>
      </c>
      <c r="AG20" s="133" t="n">
        <v>42</v>
      </c>
      <c r="AH20" s="100" t="n">
        <v>29</v>
      </c>
      <c r="AI20" s="101" t="n">
        <f aca="false">AI19+(U20*1.9835)</f>
        <v>1938.1274375</v>
      </c>
      <c r="AJ20" s="101" t="n">
        <v>0</v>
      </c>
      <c r="AK20" s="103"/>
      <c r="AL20" s="103"/>
      <c r="AM20" s="103"/>
    </row>
    <row r="21" customFormat="false" ht="12.95" hidden="false" customHeight="true" outlineLevel="0" collapsed="false">
      <c r="A21" s="16" t="n">
        <f aca="false">A20+1</f>
        <v>10</v>
      </c>
      <c r="B21" s="105" t="n">
        <v>6876.86</v>
      </c>
      <c r="C21" s="91" t="n">
        <v>206899</v>
      </c>
      <c r="D21" s="120" t="n">
        <f aca="false">C21-C20</f>
        <v>0</v>
      </c>
      <c r="E21" s="91" t="n">
        <f aca="false">C21-152000</f>
        <v>54899</v>
      </c>
      <c r="F21" s="121" t="n">
        <f aca="false">D21/$D$2</f>
        <v>0</v>
      </c>
      <c r="G21" s="9" t="n">
        <v>140</v>
      </c>
      <c r="H21" s="11" t="n">
        <v>0</v>
      </c>
      <c r="I21" s="9" t="n">
        <f aca="false">G21+H21</f>
        <v>140</v>
      </c>
      <c r="J21" s="122" t="n">
        <f aca="false">IF(L21&gt;0,L21,0)</f>
        <v>12.4</v>
      </c>
      <c r="K21" s="9" t="n">
        <f aca="false">I21+J21</f>
        <v>152.4</v>
      </c>
      <c r="L21" s="9" t="n">
        <f aca="false">F21-(I21-AC21)</f>
        <v>12.4</v>
      </c>
      <c r="M21" s="123" t="n">
        <v>5.4</v>
      </c>
      <c r="N21" s="124" t="n">
        <v>0</v>
      </c>
      <c r="O21" s="124" t="n">
        <v>0</v>
      </c>
      <c r="P21" s="125" t="n">
        <f aca="false">1.33*1.02</f>
        <v>1.3566</v>
      </c>
      <c r="Q21" s="125" t="n">
        <f aca="false">2.24*1.04</f>
        <v>2.3296</v>
      </c>
      <c r="R21" s="132" t="n">
        <v>0</v>
      </c>
      <c r="S21" s="127" t="n">
        <v>122</v>
      </c>
      <c r="T21" s="127" t="n">
        <v>0</v>
      </c>
      <c r="U21" s="127" t="n">
        <f aca="false">M21-N21-O21-P21-Q21-R21+S21+T21</f>
        <v>123.7138</v>
      </c>
      <c r="V21" s="96"/>
      <c r="W21" s="96"/>
      <c r="X21" s="127" t="n">
        <v>0</v>
      </c>
      <c r="Y21" s="128"/>
      <c r="Z21" s="129"/>
      <c r="AA21" s="127" t="n">
        <v>25</v>
      </c>
      <c r="AB21" s="96" t="n">
        <f aca="false">AB20-AA21</f>
        <v>3772</v>
      </c>
      <c r="AC21" s="127" t="n">
        <f aca="false">N21+O21+P21+Q21+R25+U21+X21+AA21</f>
        <v>152.4</v>
      </c>
      <c r="AD21" s="127" t="n">
        <f aca="false">IF(L21&lt;0,L21*-1,0)</f>
        <v>0</v>
      </c>
      <c r="AE21" s="127" t="n">
        <f aca="false">AC21+AD21</f>
        <v>152.4</v>
      </c>
      <c r="AF21" s="98" t="n">
        <v>0</v>
      </c>
      <c r="AG21" s="99" t="n">
        <v>51</v>
      </c>
      <c r="AH21" s="100" t="n">
        <v>28</v>
      </c>
      <c r="AI21" s="101" t="n">
        <f aca="false">AI20+(U21*1.9835)</f>
        <v>2183.5137598</v>
      </c>
      <c r="AJ21" s="101" t="n">
        <v>0</v>
      </c>
      <c r="AK21" s="103"/>
      <c r="AL21" s="103"/>
      <c r="AM21" s="103"/>
    </row>
    <row r="22" customFormat="false" ht="12.95" hidden="false" customHeight="true" outlineLevel="0" collapsed="false">
      <c r="A22" s="16" t="n">
        <f aca="false">A21+1</f>
        <v>11</v>
      </c>
      <c r="B22" s="105" t="n">
        <v>6876.84</v>
      </c>
      <c r="C22" s="91" t="n">
        <v>206841</v>
      </c>
      <c r="D22" s="120" t="n">
        <f aca="false">C22-C21</f>
        <v>-58</v>
      </c>
      <c r="E22" s="91" t="n">
        <f aca="false">C22-152000</f>
        <v>54841</v>
      </c>
      <c r="F22" s="121" t="n">
        <f aca="false">D22/$D$2</f>
        <v>-29.2412402319133</v>
      </c>
      <c r="G22" s="9" t="n">
        <v>142</v>
      </c>
      <c r="H22" s="11" t="n">
        <v>0</v>
      </c>
      <c r="I22" s="9" t="n">
        <f aca="false">G22+H22</f>
        <v>142</v>
      </c>
      <c r="J22" s="122" t="n">
        <f aca="false">IF(L22&gt;0,L22,0)</f>
        <v>0</v>
      </c>
      <c r="K22" s="9" t="n">
        <f aca="false">I22+J22</f>
        <v>142</v>
      </c>
      <c r="L22" s="9" t="n">
        <f aca="false">F22-(I22-AC22)</f>
        <v>-19.0412402319133</v>
      </c>
      <c r="M22" s="123" t="n">
        <v>5.2</v>
      </c>
      <c r="N22" s="124" t="n">
        <v>0</v>
      </c>
      <c r="O22" s="124" t="n">
        <v>0</v>
      </c>
      <c r="P22" s="125" t="n">
        <f aca="false">1.33*1.02</f>
        <v>1.3566</v>
      </c>
      <c r="Q22" s="125" t="n">
        <f aca="false">2.01*1.04</f>
        <v>2.0904</v>
      </c>
      <c r="R22" s="132" t="n">
        <v>0</v>
      </c>
      <c r="S22" s="127" t="n">
        <v>122</v>
      </c>
      <c r="T22" s="127" t="n">
        <v>0</v>
      </c>
      <c r="U22" s="127" t="n">
        <f aca="false">M22-N22-O22-P22-Q22-R22+S22+T22</f>
        <v>123.753</v>
      </c>
      <c r="V22" s="96"/>
      <c r="W22" s="96"/>
      <c r="X22" s="127" t="n">
        <v>0</v>
      </c>
      <c r="Y22" s="128"/>
      <c r="Z22" s="129"/>
      <c r="AA22" s="127" t="n">
        <v>25</v>
      </c>
      <c r="AB22" s="96" t="n">
        <f aca="false">AB21-AA22</f>
        <v>3747</v>
      </c>
      <c r="AC22" s="127" t="n">
        <f aca="false">N22+O22+P22+Q22+R26+U22+X22+AA22</f>
        <v>152.2</v>
      </c>
      <c r="AD22" s="127" t="n">
        <f aca="false">IF(L22&lt;0,L22*-1,0)</f>
        <v>19.0412402319133</v>
      </c>
      <c r="AE22" s="127" t="n">
        <f aca="false">AC22+AD22</f>
        <v>171.241240231913</v>
      </c>
      <c r="AF22" s="98" t="n">
        <v>0</v>
      </c>
      <c r="AG22" s="99" t="n">
        <v>50</v>
      </c>
      <c r="AH22" s="100" t="n">
        <v>33</v>
      </c>
      <c r="AI22" s="101" t="n">
        <f aca="false">AI21+(U22*1.9835)</f>
        <v>2428.9778353</v>
      </c>
      <c r="AJ22" s="101" t="n">
        <v>0</v>
      </c>
      <c r="AK22" s="103"/>
      <c r="AL22" s="103"/>
      <c r="AM22" s="103"/>
    </row>
    <row r="23" customFormat="false" ht="12.95" hidden="false" customHeight="true" outlineLevel="0" collapsed="false">
      <c r="A23" s="16" t="n">
        <f aca="false">A22+1</f>
        <v>12</v>
      </c>
      <c r="B23" s="105" t="n">
        <v>6876.83</v>
      </c>
      <c r="C23" s="91" t="n">
        <v>206813</v>
      </c>
      <c r="D23" s="120" t="n">
        <f aca="false">C23-C22</f>
        <v>-28</v>
      </c>
      <c r="E23" s="91" t="n">
        <f aca="false">C23-152000</f>
        <v>54813</v>
      </c>
      <c r="F23" s="121" t="n">
        <f aca="false">D23/$D$2</f>
        <v>-14.1164608016133</v>
      </c>
      <c r="G23" s="9" t="n">
        <v>138</v>
      </c>
      <c r="H23" s="11" t="n">
        <v>0.15</v>
      </c>
      <c r="I23" s="9" t="n">
        <f aca="false">G23+H23</f>
        <v>138.15</v>
      </c>
      <c r="J23" s="122" t="n">
        <f aca="false">IF(L23&gt;0,L23,0)</f>
        <v>0</v>
      </c>
      <c r="K23" s="9" t="n">
        <f aca="false">I23+J23</f>
        <v>138.15</v>
      </c>
      <c r="L23" s="9" t="n">
        <f aca="false">F23-(I23-AC23)</f>
        <v>-0.0664608016133261</v>
      </c>
      <c r="M23" s="123" t="n">
        <v>5.2</v>
      </c>
      <c r="N23" s="124" t="n">
        <v>0</v>
      </c>
      <c r="O23" s="124" t="n">
        <v>0</v>
      </c>
      <c r="P23" s="125" t="n">
        <f aca="false">1.33*1.02</f>
        <v>1.3566</v>
      </c>
      <c r="Q23" s="125" t="n">
        <f aca="false">2.1*1.04</f>
        <v>2.184</v>
      </c>
      <c r="R23" s="132" t="n">
        <v>0</v>
      </c>
      <c r="S23" s="127" t="n">
        <v>122</v>
      </c>
      <c r="T23" s="127" t="n">
        <v>0</v>
      </c>
      <c r="U23" s="127" t="n">
        <f aca="false">M23-N23-O23-P23-Q23-R23+S23+T23</f>
        <v>123.6594</v>
      </c>
      <c r="V23" s="96"/>
      <c r="W23" s="96"/>
      <c r="X23" s="127" t="n">
        <v>0</v>
      </c>
      <c r="Y23" s="128"/>
      <c r="Z23" s="129"/>
      <c r="AA23" s="127" t="n">
        <v>25</v>
      </c>
      <c r="AB23" s="96" t="n">
        <f aca="false">AB22-AA23</f>
        <v>3722</v>
      </c>
      <c r="AC23" s="127" t="n">
        <f aca="false">N23+O23+P23+Q23+R27+U23+X23+AA23</f>
        <v>152.2</v>
      </c>
      <c r="AD23" s="127" t="n">
        <f aca="false">IF(L23&lt;0,L23*-1,0)</f>
        <v>0.0664608016133261</v>
      </c>
      <c r="AE23" s="127" t="n">
        <f aca="false">AC23+AD23</f>
        <v>152.266460801613</v>
      </c>
      <c r="AF23" s="98" t="n">
        <v>0.01</v>
      </c>
      <c r="AG23" s="99" t="n">
        <v>43</v>
      </c>
      <c r="AH23" s="100" t="n">
        <v>36</v>
      </c>
      <c r="AI23" s="101" t="n">
        <f aca="false">AI22+(U23*1.9835)</f>
        <v>2674.2562552</v>
      </c>
      <c r="AJ23" s="101" t="n">
        <v>0</v>
      </c>
      <c r="AK23" s="103"/>
      <c r="AL23" s="103"/>
      <c r="AM23" s="103"/>
    </row>
    <row r="24" customFormat="false" ht="12.95" hidden="false" customHeight="true" outlineLevel="0" collapsed="false">
      <c r="A24" s="16" t="n">
        <f aca="false">A23+1</f>
        <v>13</v>
      </c>
      <c r="B24" s="105" t="n">
        <v>6876.83</v>
      </c>
      <c r="C24" s="91" t="n">
        <v>206813</v>
      </c>
      <c r="D24" s="120" t="n">
        <f aca="false">C24-C23</f>
        <v>0</v>
      </c>
      <c r="E24" s="91" t="n">
        <f aca="false">C24-152000</f>
        <v>54813</v>
      </c>
      <c r="F24" s="121" t="n">
        <f aca="false">D24/$D$2</f>
        <v>0</v>
      </c>
      <c r="G24" s="9" t="n">
        <v>133</v>
      </c>
      <c r="H24" s="11" t="n">
        <v>0.3</v>
      </c>
      <c r="I24" s="9" t="n">
        <f aca="false">G24+H24</f>
        <v>133.3</v>
      </c>
      <c r="J24" s="122" t="n">
        <f aca="false">IF(L24&gt;0,L24,0)</f>
        <v>18.9</v>
      </c>
      <c r="K24" s="9" t="n">
        <f aca="false">I24+J24</f>
        <v>152.2</v>
      </c>
      <c r="L24" s="9" t="n">
        <f aca="false">F24-(I24-AC24)</f>
        <v>18.9</v>
      </c>
      <c r="M24" s="123" t="n">
        <v>5.2</v>
      </c>
      <c r="N24" s="124" t="n">
        <v>0</v>
      </c>
      <c r="O24" s="124" t="n">
        <v>0</v>
      </c>
      <c r="P24" s="125" t="n">
        <f aca="false">1.33*1.02</f>
        <v>1.3566</v>
      </c>
      <c r="Q24" s="125" t="n">
        <f aca="false">2.1*1.04</f>
        <v>2.184</v>
      </c>
      <c r="R24" s="132" t="n">
        <v>0</v>
      </c>
      <c r="S24" s="127" t="n">
        <v>122</v>
      </c>
      <c r="T24" s="127" t="n">
        <v>0</v>
      </c>
      <c r="U24" s="127" t="n">
        <f aca="false">M24-N24-O24-P24-Q24-R24+S24+T24</f>
        <v>123.6594</v>
      </c>
      <c r="V24" s="96"/>
      <c r="W24" s="96"/>
      <c r="X24" s="127" t="n">
        <v>0</v>
      </c>
      <c r="Y24" s="128"/>
      <c r="Z24" s="129"/>
      <c r="AA24" s="127" t="n">
        <v>25</v>
      </c>
      <c r="AB24" s="96" t="n">
        <f aca="false">AB23-AA24</f>
        <v>3697</v>
      </c>
      <c r="AC24" s="127" t="n">
        <f aca="false">N24+O24+P24+Q24+R28+U24+X24+AA24</f>
        <v>152.2</v>
      </c>
      <c r="AD24" s="127" t="n">
        <f aca="false">IF(L24&lt;0,L24*-1,0)</f>
        <v>0</v>
      </c>
      <c r="AE24" s="127" t="n">
        <f aca="false">AC24+AD24</f>
        <v>152.2</v>
      </c>
      <c r="AF24" s="98" t="n">
        <v>0.01</v>
      </c>
      <c r="AG24" s="99" t="n">
        <v>41</v>
      </c>
      <c r="AH24" s="100" t="n">
        <v>31</v>
      </c>
      <c r="AI24" s="101" t="n">
        <f aca="false">AI23+(U24*1.9835)</f>
        <v>2919.5346751</v>
      </c>
      <c r="AJ24" s="101" t="n">
        <v>0</v>
      </c>
      <c r="AK24" s="103"/>
      <c r="AL24" s="103"/>
      <c r="AM24" s="103"/>
    </row>
    <row r="25" customFormat="false" ht="12.95" hidden="false" customHeight="true" outlineLevel="0" collapsed="false">
      <c r="A25" s="16" t="n">
        <f aca="false">A24+1</f>
        <v>14</v>
      </c>
      <c r="B25" s="105" t="n">
        <v>6876.81</v>
      </c>
      <c r="C25" s="91" t="n">
        <v>206755</v>
      </c>
      <c r="D25" s="120" t="n">
        <f aca="false">C25-C24</f>
        <v>-58</v>
      </c>
      <c r="E25" s="91" t="n">
        <f aca="false">C25-152000</f>
        <v>54755</v>
      </c>
      <c r="F25" s="121" t="n">
        <f aca="false">D25/$D$2</f>
        <v>-29.2412402319133</v>
      </c>
      <c r="G25" s="9" t="n">
        <v>125</v>
      </c>
      <c r="H25" s="11" t="n">
        <v>0.3</v>
      </c>
      <c r="I25" s="9" t="n">
        <f aca="false">G25+H25</f>
        <v>125.3</v>
      </c>
      <c r="J25" s="122" t="n">
        <f aca="false">IF(L25&gt;0,L25,0)</f>
        <v>0</v>
      </c>
      <c r="K25" s="9" t="n">
        <f aca="false">I25+J25</f>
        <v>125.3</v>
      </c>
      <c r="L25" s="9" t="n">
        <f aca="false">F25-(I25-AC25)</f>
        <v>-2.24124023191327</v>
      </c>
      <c r="M25" s="123" t="n">
        <v>5.3</v>
      </c>
      <c r="N25" s="124" t="n">
        <v>0</v>
      </c>
      <c r="O25" s="124" t="n">
        <v>0</v>
      </c>
      <c r="P25" s="125" t="n">
        <f aca="false">1.33*1.02</f>
        <v>1.3566</v>
      </c>
      <c r="Q25" s="125" t="n">
        <f aca="false">3.71*1.04</f>
        <v>3.8584</v>
      </c>
      <c r="R25" s="132" t="n">
        <v>0</v>
      </c>
      <c r="S25" s="127" t="n">
        <v>122</v>
      </c>
      <c r="T25" s="127" t="n">
        <v>0</v>
      </c>
      <c r="U25" s="127" t="n">
        <f aca="false">M25-N25-O25-P25-Q25-R25+S25+T25</f>
        <v>122.085</v>
      </c>
      <c r="V25" s="96"/>
      <c r="W25" s="96"/>
      <c r="X25" s="127" t="n">
        <v>0</v>
      </c>
      <c r="Y25" s="128"/>
      <c r="Z25" s="129"/>
      <c r="AA25" s="127" t="n">
        <v>25</v>
      </c>
      <c r="AB25" s="96" t="n">
        <f aca="false">AB24-AA25</f>
        <v>3672</v>
      </c>
      <c r="AC25" s="127" t="n">
        <f aca="false">N25+O25+P25+Q25+R29+U25+X25+AA25</f>
        <v>152.3</v>
      </c>
      <c r="AD25" s="127" t="n">
        <f aca="false">IF(L25&lt;0,L25*-1,0)</f>
        <v>2.24124023191327</v>
      </c>
      <c r="AE25" s="127" t="n">
        <f aca="false">AC25+AD25</f>
        <v>154.541240231913</v>
      </c>
      <c r="AF25" s="98" t="n">
        <v>0</v>
      </c>
      <c r="AG25" s="133" t="n">
        <v>46</v>
      </c>
      <c r="AH25" s="100" t="n">
        <v>26</v>
      </c>
      <c r="AI25" s="101" t="n">
        <f aca="false">AI24+(U25*1.9835)</f>
        <v>3161.6902726</v>
      </c>
      <c r="AJ25" s="101" t="n">
        <v>0</v>
      </c>
      <c r="AK25" s="103"/>
      <c r="AL25" s="103"/>
      <c r="AM25" s="103"/>
    </row>
    <row r="26" customFormat="false" ht="12.95" hidden="false" customHeight="true" outlineLevel="0" collapsed="false">
      <c r="A26" s="16" t="n">
        <f aca="false">A25+1</f>
        <v>15</v>
      </c>
      <c r="B26" s="105" t="n">
        <v>6876.76</v>
      </c>
      <c r="C26" s="91" t="n">
        <v>206610</v>
      </c>
      <c r="D26" s="120" t="n">
        <f aca="false">C26-C25</f>
        <v>-145</v>
      </c>
      <c r="E26" s="91" t="n">
        <f aca="false">C26-152000</f>
        <v>54610</v>
      </c>
      <c r="F26" s="121" t="n">
        <f aca="false">D26/$D$2</f>
        <v>-73.1031005797832</v>
      </c>
      <c r="G26" s="9" t="n">
        <v>114</v>
      </c>
      <c r="H26" s="11" t="n">
        <v>0.3</v>
      </c>
      <c r="I26" s="9" t="n">
        <f aca="false">G26+H26</f>
        <v>114.3</v>
      </c>
      <c r="J26" s="122" t="n">
        <f aca="false">IF(L26&gt;0,L26,0)</f>
        <v>0</v>
      </c>
      <c r="K26" s="9" t="n">
        <f aca="false">I26+J26</f>
        <v>114.3</v>
      </c>
      <c r="L26" s="9" t="n">
        <f aca="false">F26-(I26-AC26)</f>
        <v>-15.6031005797832</v>
      </c>
      <c r="M26" s="123" t="n">
        <v>16</v>
      </c>
      <c r="N26" s="124" t="n">
        <v>0</v>
      </c>
      <c r="O26" s="124" t="n">
        <v>0</v>
      </c>
      <c r="P26" s="125" t="n">
        <f aca="false">1.33*1.02</f>
        <v>1.3566</v>
      </c>
      <c r="Q26" s="125" t="n">
        <f aca="false">3.21*1.04</f>
        <v>3.3384</v>
      </c>
      <c r="R26" s="132" t="n">
        <v>0</v>
      </c>
      <c r="S26" s="127" t="n">
        <v>122</v>
      </c>
      <c r="T26" s="127" t="n">
        <v>8.8</v>
      </c>
      <c r="U26" s="127" t="n">
        <f aca="false">M26-N26-O26-P26-Q26-R26+S26+T26</f>
        <v>142.105</v>
      </c>
      <c r="V26" s="96"/>
      <c r="W26" s="96"/>
      <c r="X26" s="127" t="n">
        <v>0</v>
      </c>
      <c r="Y26" s="128"/>
      <c r="Z26" s="129"/>
      <c r="AA26" s="127" t="n">
        <v>25</v>
      </c>
      <c r="AB26" s="96" t="n">
        <f aca="false">AB25-AA26</f>
        <v>3647</v>
      </c>
      <c r="AC26" s="127" t="n">
        <f aca="false">N26+O26+P26+Q26+R30+U26+X26+AA26</f>
        <v>171.8</v>
      </c>
      <c r="AD26" s="127" t="n">
        <f aca="false">IF(L26&lt;0,L26*-1,0)</f>
        <v>15.6031005797832</v>
      </c>
      <c r="AE26" s="127" t="n">
        <f aca="false">AC26+AD26</f>
        <v>187.403100579783</v>
      </c>
      <c r="AF26" s="98" t="n">
        <v>0</v>
      </c>
      <c r="AG26" s="133" t="n">
        <v>50</v>
      </c>
      <c r="AH26" s="100" t="n">
        <v>46</v>
      </c>
      <c r="AI26" s="101" t="n">
        <f aca="false">AI25+(S26-17.81)*1.9835</f>
        <v>3368.3511376</v>
      </c>
      <c r="AJ26" s="101" t="n">
        <f aca="false">U26-106.09</f>
        <v>36.015</v>
      </c>
      <c r="AK26" s="103"/>
      <c r="AL26" s="103"/>
      <c r="AM26" s="103"/>
    </row>
    <row r="27" customFormat="false" ht="12.95" hidden="false" customHeight="true" outlineLevel="0" collapsed="false">
      <c r="A27" s="16" t="n">
        <f aca="false">A26+1</f>
        <v>16</v>
      </c>
      <c r="B27" s="105" t="n">
        <v>6876.72</v>
      </c>
      <c r="C27" s="91" t="n">
        <v>206495</v>
      </c>
      <c r="D27" s="120" t="n">
        <f aca="false">C27-C26</f>
        <v>-115</v>
      </c>
      <c r="E27" s="91" t="n">
        <f aca="false">C27-152000</f>
        <v>54495</v>
      </c>
      <c r="F27" s="121" t="n">
        <f aca="false">D27/$D$2</f>
        <v>-57.9783211494832</v>
      </c>
      <c r="G27" s="9" t="n">
        <v>119</v>
      </c>
      <c r="H27" s="11" t="n">
        <v>0.29</v>
      </c>
      <c r="I27" s="9" t="n">
        <f aca="false">G27+H27</f>
        <v>119.29</v>
      </c>
      <c r="J27" s="122" t="n">
        <f aca="false">IF(L27&gt;0,L27,0)</f>
        <v>8.73167885051676</v>
      </c>
      <c r="K27" s="9" t="n">
        <f aca="false">I27+J27</f>
        <v>128.021678850517</v>
      </c>
      <c r="L27" s="9" t="n">
        <f aca="false">F27-(I27-AC27)</f>
        <v>8.73167885051676</v>
      </c>
      <c r="M27" s="123" t="n">
        <v>28</v>
      </c>
      <c r="N27" s="124" t="n">
        <v>0</v>
      </c>
      <c r="O27" s="124" t="n">
        <v>0</v>
      </c>
      <c r="P27" s="125" t="n">
        <f aca="false">1.33*1.02</f>
        <v>1.3566</v>
      </c>
      <c r="Q27" s="125" t="n">
        <f aca="false">2.16*1.04</f>
        <v>2.2464</v>
      </c>
      <c r="R27" s="132" t="n">
        <v>0</v>
      </c>
      <c r="S27" s="127" t="n">
        <v>122</v>
      </c>
      <c r="T27" s="127" t="n">
        <v>11</v>
      </c>
      <c r="U27" s="127" t="n">
        <f aca="false">M27-N27-O27-P27-Q27-R27+S27+T27</f>
        <v>157.397</v>
      </c>
      <c r="V27" s="96"/>
      <c r="W27" s="96"/>
      <c r="X27" s="127" t="n">
        <v>0</v>
      </c>
      <c r="Y27" s="128"/>
      <c r="Z27" s="129"/>
      <c r="AA27" s="127" t="n">
        <v>25</v>
      </c>
      <c r="AB27" s="96" t="n">
        <f aca="false">AB26-AA27</f>
        <v>3622</v>
      </c>
      <c r="AC27" s="127" t="n">
        <f aca="false">N27+O27+P27+Q27+R31+U27+X27+AA27</f>
        <v>186</v>
      </c>
      <c r="AD27" s="127" t="n">
        <f aca="false">IF(L27&lt;0,L27*-1,0)</f>
        <v>0</v>
      </c>
      <c r="AE27" s="127" t="n">
        <f aca="false">AC27+AD27</f>
        <v>186</v>
      </c>
      <c r="AF27" s="98" t="n">
        <v>0</v>
      </c>
      <c r="AG27" s="133" t="n">
        <v>53</v>
      </c>
      <c r="AH27" s="100" t="n">
        <v>33</v>
      </c>
      <c r="AI27" s="101" t="n">
        <f aca="false">AI26+(S27-15.25)*1.9835</f>
        <v>3580.0897626</v>
      </c>
      <c r="AJ27" s="101" t="n">
        <f aca="false">U27-108.63</f>
        <v>48.767</v>
      </c>
      <c r="AK27" s="103"/>
      <c r="AL27" s="103"/>
      <c r="AM27" s="103"/>
    </row>
    <row r="28" customFormat="false" ht="12.95" hidden="false" customHeight="true" outlineLevel="0" collapsed="false">
      <c r="A28" s="16" t="n">
        <f aca="false">A27+1</f>
        <v>17</v>
      </c>
      <c r="B28" s="105" t="n">
        <v>6876.68</v>
      </c>
      <c r="C28" s="91" t="n">
        <v>206379</v>
      </c>
      <c r="D28" s="120" t="n">
        <f aca="false">C28-C27</f>
        <v>-116</v>
      </c>
      <c r="E28" s="91" t="n">
        <f aca="false">C28-152000</f>
        <v>54379</v>
      </c>
      <c r="F28" s="121" t="n">
        <f aca="false">D28/$D$2</f>
        <v>-58.4824804638266</v>
      </c>
      <c r="G28" s="9" t="n">
        <v>114</v>
      </c>
      <c r="H28" s="11" t="n">
        <v>0.28</v>
      </c>
      <c r="I28" s="9" t="n">
        <f aca="false">G28+H28</f>
        <v>114.28</v>
      </c>
      <c r="J28" s="122" t="n">
        <f aca="false">IF(L28&gt;0,L28,0)</f>
        <v>10.6375195361734</v>
      </c>
      <c r="K28" s="9" t="n">
        <f aca="false">I28+J28</f>
        <v>124.917519536173</v>
      </c>
      <c r="L28" s="9" t="n">
        <f aca="false">F28-(I28-AC28)</f>
        <v>10.6375195361734</v>
      </c>
      <c r="M28" s="123" t="n">
        <v>27</v>
      </c>
      <c r="N28" s="124" t="n">
        <v>0</v>
      </c>
      <c r="O28" s="124" t="n">
        <v>0</v>
      </c>
      <c r="P28" s="125" t="n">
        <f aca="false">1.33*1.02</f>
        <v>1.3566</v>
      </c>
      <c r="Q28" s="125" t="n">
        <f aca="false">2.1*1.04</f>
        <v>2.184</v>
      </c>
      <c r="R28" s="132" t="n">
        <v>0</v>
      </c>
      <c r="S28" s="127" t="n">
        <v>122</v>
      </c>
      <c r="T28" s="127" t="n">
        <v>9.4</v>
      </c>
      <c r="U28" s="127" t="n">
        <f aca="false">M28-N28-O28-P28-Q28-R28+S28+T28</f>
        <v>154.8594</v>
      </c>
      <c r="V28" s="96"/>
      <c r="W28" s="96"/>
      <c r="X28" s="127" t="n">
        <v>0</v>
      </c>
      <c r="Y28" s="128"/>
      <c r="Z28" s="129"/>
      <c r="AA28" s="127" t="n">
        <v>25</v>
      </c>
      <c r="AB28" s="96" t="n">
        <f aca="false">AB27-AA28</f>
        <v>3597</v>
      </c>
      <c r="AC28" s="127" t="n">
        <f aca="false">N28+O28+P28+Q28+R32+U28+X28+AA28</f>
        <v>183.4</v>
      </c>
      <c r="AD28" s="127" t="n">
        <f aca="false">IF(L28&lt;0,L28*-1,0)</f>
        <v>0</v>
      </c>
      <c r="AE28" s="127" t="n">
        <f aca="false">AC28+AD28</f>
        <v>183.4</v>
      </c>
      <c r="AF28" s="98" t="n">
        <v>0</v>
      </c>
      <c r="AG28" s="133" t="n">
        <v>56</v>
      </c>
      <c r="AH28" s="100" t="n">
        <v>29</v>
      </c>
      <c r="AI28" s="101" t="n">
        <f aca="false">AI27+(S28-14)*1.9835</f>
        <v>3794.3077626</v>
      </c>
      <c r="AJ28" s="101" t="n">
        <f aca="false">U28-109.69</f>
        <v>45.1694</v>
      </c>
      <c r="AK28" s="103"/>
      <c r="AL28" s="103"/>
      <c r="AM28" s="103"/>
    </row>
    <row r="29" customFormat="false" ht="12.95" hidden="false" customHeight="true" outlineLevel="0" collapsed="false">
      <c r="A29" s="16" t="n">
        <f aca="false">A28+1</f>
        <v>18</v>
      </c>
      <c r="B29" s="105" t="n">
        <v>6876.63</v>
      </c>
      <c r="C29" s="91" t="n">
        <v>206235</v>
      </c>
      <c r="D29" s="120" t="n">
        <f aca="false">C29-C28</f>
        <v>-144</v>
      </c>
      <c r="E29" s="91" t="n">
        <f aca="false">C29-152000</f>
        <v>54235</v>
      </c>
      <c r="F29" s="121" t="n">
        <f aca="false">D29/$D$2</f>
        <v>-72.5989412654399</v>
      </c>
      <c r="G29" s="9" t="n">
        <v>109</v>
      </c>
      <c r="H29" s="11" t="n">
        <v>0.27</v>
      </c>
      <c r="I29" s="9" t="n">
        <f aca="false">G29+H29</f>
        <v>109.27</v>
      </c>
      <c r="J29" s="122" t="n">
        <f aca="false">IF(L29&gt;0,L29,0)</f>
        <v>0</v>
      </c>
      <c r="K29" s="9" t="n">
        <f aca="false">I29+J29</f>
        <v>109.27</v>
      </c>
      <c r="L29" s="9" t="n">
        <f aca="false">F29-(I29-AC29)</f>
        <v>-25.2689412654399</v>
      </c>
      <c r="M29" s="123" t="n">
        <v>16</v>
      </c>
      <c r="N29" s="124" t="n">
        <v>0</v>
      </c>
      <c r="O29" s="124" t="n">
        <v>0</v>
      </c>
      <c r="P29" s="125" t="n">
        <f aca="false">1.33*1.02</f>
        <v>1.3566</v>
      </c>
      <c r="Q29" s="125" t="n">
        <f aca="false">2.39*1.04</f>
        <v>2.4856</v>
      </c>
      <c r="R29" s="132" t="n">
        <v>0</v>
      </c>
      <c r="S29" s="127" t="n">
        <v>110</v>
      </c>
      <c r="T29" s="127" t="n">
        <v>4.6</v>
      </c>
      <c r="U29" s="127" t="n">
        <f aca="false">M29-N29-O29-P29-Q29-R29+S29+T29</f>
        <v>126.7578</v>
      </c>
      <c r="V29" s="96"/>
      <c r="W29" s="96"/>
      <c r="X29" s="127" t="n">
        <v>0</v>
      </c>
      <c r="Y29" s="128"/>
      <c r="Z29" s="129"/>
      <c r="AA29" s="127" t="n">
        <v>26</v>
      </c>
      <c r="AB29" s="96" t="n">
        <f aca="false">AB28-AA29</f>
        <v>3571</v>
      </c>
      <c r="AC29" s="127" t="n">
        <f aca="false">N29+O29+P29+Q29+R33+U29+X29+AA29</f>
        <v>156.6</v>
      </c>
      <c r="AD29" s="127" t="n">
        <f aca="false">IF(L29&lt;0,L29*-1,0)</f>
        <v>25.2689412654399</v>
      </c>
      <c r="AE29" s="127" t="n">
        <f aca="false">AC29+AD29</f>
        <v>181.86894126544</v>
      </c>
      <c r="AF29" s="98" t="n">
        <v>0</v>
      </c>
      <c r="AG29" s="133" t="n">
        <v>53</v>
      </c>
      <c r="AH29" s="100" t="n">
        <v>30</v>
      </c>
      <c r="AI29" s="101" t="n">
        <f aca="false">AI28+(S29-14*1.9835)</f>
        <v>3876.5387626</v>
      </c>
      <c r="AJ29" s="101" t="n">
        <f aca="false">U29-97.12</f>
        <v>29.6378</v>
      </c>
      <c r="AK29" s="103"/>
      <c r="AL29" s="103"/>
      <c r="AM29" s="103"/>
    </row>
    <row r="30" customFormat="false" ht="12.95" hidden="false" customHeight="true" outlineLevel="0" collapsed="false">
      <c r="A30" s="16" t="n">
        <f aca="false">A29+1</f>
        <v>19</v>
      </c>
      <c r="B30" s="105" t="n">
        <v>6876.58</v>
      </c>
      <c r="C30" s="91" t="n">
        <v>206090</v>
      </c>
      <c r="D30" s="120" t="n">
        <f aca="false">C30-C29</f>
        <v>-145</v>
      </c>
      <c r="E30" s="91" t="n">
        <f aca="false">C30-152000</f>
        <v>54090</v>
      </c>
      <c r="F30" s="121" t="n">
        <f aca="false">D30/$D$2</f>
        <v>-73.1031005797832</v>
      </c>
      <c r="G30" s="9" t="n">
        <v>107</v>
      </c>
      <c r="H30" s="11" t="n">
        <v>0.28</v>
      </c>
      <c r="I30" s="9" t="n">
        <f aca="false">G30+H30</f>
        <v>107.28</v>
      </c>
      <c r="J30" s="122" t="n">
        <f aca="false">IF(L30&gt;0,L30,0)</f>
        <v>0</v>
      </c>
      <c r="K30" s="9" t="n">
        <f aca="false">I30+J30</f>
        <v>107.28</v>
      </c>
      <c r="L30" s="9" t="n">
        <f aca="false">F30-(I30-AC30)</f>
        <v>-51.8831005797832</v>
      </c>
      <c r="M30" s="123" t="n">
        <v>5.5</v>
      </c>
      <c r="N30" s="124" t="n">
        <v>0</v>
      </c>
      <c r="O30" s="124" t="n">
        <v>0</v>
      </c>
      <c r="P30" s="125" t="n">
        <f aca="false">1.33*1.02</f>
        <v>1.3566</v>
      </c>
      <c r="Q30" s="125" t="n">
        <f aca="false">2.05*1.04</f>
        <v>2.132</v>
      </c>
      <c r="R30" s="132" t="n">
        <v>0</v>
      </c>
      <c r="S30" s="127" t="n">
        <v>97</v>
      </c>
      <c r="T30" s="127" t="n">
        <v>0</v>
      </c>
      <c r="U30" s="127" t="n">
        <f aca="false">M30-N30-O30-P30-Q30-R30+S30+T30</f>
        <v>99.0114</v>
      </c>
      <c r="V30" s="96"/>
      <c r="W30" s="96"/>
      <c r="X30" s="127" t="n">
        <v>0</v>
      </c>
      <c r="Y30" s="128"/>
      <c r="Z30" s="129"/>
      <c r="AA30" s="127" t="n">
        <v>26</v>
      </c>
      <c r="AB30" s="96" t="n">
        <f aca="false">AB29-AA30</f>
        <v>3545</v>
      </c>
      <c r="AC30" s="127" t="n">
        <f aca="false">N30+O30+P30+Q30+R34+U30+X30+AA30</f>
        <v>128.5</v>
      </c>
      <c r="AD30" s="127" t="n">
        <f aca="false">IF(L30&lt;0,L30*-1,0)</f>
        <v>51.8831005797832</v>
      </c>
      <c r="AE30" s="127" t="n">
        <f aca="false">AC30+AD30</f>
        <v>180.383100579783</v>
      </c>
      <c r="AF30" s="98" t="n">
        <v>0</v>
      </c>
      <c r="AG30" s="133" t="n">
        <v>50</v>
      </c>
      <c r="AH30" s="100" t="n">
        <v>28</v>
      </c>
      <c r="AI30" s="101" t="n">
        <f aca="false">AI29+(U30-5.83)*1.9835</f>
        <v>4061.3640695</v>
      </c>
      <c r="AJ30" s="101" t="n">
        <v>5.83</v>
      </c>
      <c r="AK30" s="103"/>
      <c r="AL30" s="103"/>
      <c r="AM30" s="103"/>
    </row>
    <row r="31" customFormat="false" ht="12.95" hidden="false" customHeight="true" outlineLevel="0" collapsed="false">
      <c r="A31" s="16" t="n">
        <f aca="false">A30+1</f>
        <v>20</v>
      </c>
      <c r="B31" s="105" t="n">
        <v>6876.65</v>
      </c>
      <c r="C31" s="91" t="n">
        <v>206293</v>
      </c>
      <c r="D31" s="120" t="n">
        <f aca="false">C31-C30</f>
        <v>203</v>
      </c>
      <c r="E31" s="91" t="n">
        <f aca="false">C31-152000</f>
        <v>54293</v>
      </c>
      <c r="F31" s="121" t="n">
        <f aca="false">D31/$D$2</f>
        <v>102.344340811697</v>
      </c>
      <c r="G31" s="9" t="n">
        <v>107</v>
      </c>
      <c r="H31" s="11" t="n">
        <v>0.32</v>
      </c>
      <c r="I31" s="9" t="n">
        <f aca="false">G31+H31</f>
        <v>107.32</v>
      </c>
      <c r="J31" s="122" t="n">
        <f aca="false">IF(L31&gt;0,L31,0)</f>
        <v>123.524340811697</v>
      </c>
      <c r="K31" s="9" t="n">
        <f aca="false">I31+J31</f>
        <v>230.844340811697</v>
      </c>
      <c r="L31" s="9" t="n">
        <f aca="false">F31-(I31-AC31)</f>
        <v>123.524340811697</v>
      </c>
      <c r="M31" s="123" t="n">
        <v>5.5</v>
      </c>
      <c r="N31" s="124" t="n">
        <v>0</v>
      </c>
      <c r="O31" s="124" t="n">
        <v>0</v>
      </c>
      <c r="P31" s="125" t="n">
        <f aca="false">1.33*1.02</f>
        <v>1.3566</v>
      </c>
      <c r="Q31" s="125" t="n">
        <f aca="false">2.33*1.04</f>
        <v>2.4232</v>
      </c>
      <c r="R31" s="132" t="n">
        <v>0</v>
      </c>
      <c r="S31" s="127" t="n">
        <v>97</v>
      </c>
      <c r="T31" s="127" t="n">
        <v>0</v>
      </c>
      <c r="U31" s="127" t="n">
        <f aca="false">M31-N31-O31-P31-Q31-R31+S31+T31</f>
        <v>98.7202</v>
      </c>
      <c r="V31" s="96"/>
      <c r="W31" s="96"/>
      <c r="X31" s="127" t="n">
        <v>0</v>
      </c>
      <c r="Y31" s="128"/>
      <c r="Z31" s="129"/>
      <c r="AA31" s="127" t="n">
        <v>26</v>
      </c>
      <c r="AB31" s="96" t="n">
        <f aca="false">AB30-AA31</f>
        <v>3519</v>
      </c>
      <c r="AC31" s="127" t="n">
        <f aca="false">N31+O31+P31+Q31+R35+U31+X31+AA31</f>
        <v>128.5</v>
      </c>
      <c r="AD31" s="127" t="n">
        <f aca="false">IF(L31&lt;0,L31*-1,0)</f>
        <v>0</v>
      </c>
      <c r="AE31" s="127" t="n">
        <f aca="false">AC31+AD31</f>
        <v>128.5</v>
      </c>
      <c r="AF31" s="98" t="n">
        <v>0.67</v>
      </c>
      <c r="AG31" s="133" t="n">
        <v>44</v>
      </c>
      <c r="AH31" s="100" t="n">
        <v>29</v>
      </c>
      <c r="AI31" s="101" t="n">
        <f aca="false">AI30+(U31*1.9835)</f>
        <v>4257.1755862</v>
      </c>
      <c r="AJ31" s="101" t="n">
        <v>0</v>
      </c>
      <c r="AK31" s="103"/>
      <c r="AL31" s="103"/>
      <c r="AM31" s="103"/>
    </row>
    <row r="32" customFormat="false" ht="12.95" hidden="false" customHeight="true" outlineLevel="0" collapsed="false">
      <c r="A32" s="16" t="n">
        <f aca="false">A31+1</f>
        <v>21</v>
      </c>
      <c r="B32" s="105" t="n">
        <v>6876.71</v>
      </c>
      <c r="C32" s="91" t="n">
        <v>206466</v>
      </c>
      <c r="D32" s="120" t="n">
        <f aca="false">C32-C31</f>
        <v>173</v>
      </c>
      <c r="E32" s="91" t="n">
        <f aca="false">C32-152000</f>
        <v>54466</v>
      </c>
      <c r="F32" s="121" t="n">
        <f aca="false">D32/$D$2</f>
        <v>87.2195613813965</v>
      </c>
      <c r="G32" s="9" t="n">
        <v>107</v>
      </c>
      <c r="H32" s="11" t="n">
        <v>0.5</v>
      </c>
      <c r="I32" s="9" t="n">
        <f aca="false">G32+H32</f>
        <v>107.5</v>
      </c>
      <c r="J32" s="122" t="n">
        <f aca="false">IF(L32&gt;0,L32,0)</f>
        <v>108.219561381397</v>
      </c>
      <c r="K32" s="9" t="n">
        <f aca="false">I32+J32</f>
        <v>215.719561381397</v>
      </c>
      <c r="L32" s="9" t="n">
        <f aca="false">F32-(I32-AC32)</f>
        <v>108.219561381397</v>
      </c>
      <c r="M32" s="123" t="n">
        <v>5.5</v>
      </c>
      <c r="N32" s="124" t="n">
        <v>0</v>
      </c>
      <c r="O32" s="124" t="n">
        <v>0</v>
      </c>
      <c r="P32" s="125" t="n">
        <f aca="false">1.33*1.02</f>
        <v>1.3566</v>
      </c>
      <c r="Q32" s="125" t="n">
        <f aca="false">2.4*1.04</f>
        <v>2.496</v>
      </c>
      <c r="R32" s="132" t="n">
        <v>0</v>
      </c>
      <c r="S32" s="127" t="n">
        <v>97</v>
      </c>
      <c r="T32" s="127" t="n">
        <v>0</v>
      </c>
      <c r="U32" s="127" t="n">
        <f aca="false">M32-N32-O32-P32-Q32-R32+S32+T32</f>
        <v>98.6474</v>
      </c>
      <c r="V32" s="96"/>
      <c r="W32" s="96"/>
      <c r="X32" s="127" t="n">
        <v>0</v>
      </c>
      <c r="Y32" s="128"/>
      <c r="Z32" s="129"/>
      <c r="AA32" s="127" t="n">
        <v>26</v>
      </c>
      <c r="AB32" s="96" t="n">
        <f aca="false">AB31-AA32</f>
        <v>3493</v>
      </c>
      <c r="AC32" s="127" t="n">
        <f aca="false">N32+O32+P32+Q32+R36+U32+X32+AA32</f>
        <v>128.5</v>
      </c>
      <c r="AD32" s="127" t="n">
        <f aca="false">IF(L32&lt;0,L32*-1,0)</f>
        <v>0</v>
      </c>
      <c r="AE32" s="127" t="n">
        <f aca="false">AC32+AD32</f>
        <v>128.5</v>
      </c>
      <c r="AF32" s="98" t="n">
        <v>0.26</v>
      </c>
      <c r="AG32" s="99" t="n">
        <v>40</v>
      </c>
      <c r="AH32" s="100" t="n">
        <v>31</v>
      </c>
      <c r="AI32" s="101" t="n">
        <f aca="false">AI31+(U32*1.9835)</f>
        <v>4452.8427041</v>
      </c>
      <c r="AJ32" s="101" t="n">
        <v>0</v>
      </c>
      <c r="AK32" s="103"/>
      <c r="AL32" s="103"/>
      <c r="AM32" s="103"/>
    </row>
    <row r="33" customFormat="false" ht="12.95" hidden="false" customHeight="true" outlineLevel="0" collapsed="false">
      <c r="A33" s="16" t="n">
        <f aca="false">A32+1</f>
        <v>22</v>
      </c>
      <c r="B33" s="105" t="n">
        <v>6876.65</v>
      </c>
      <c r="C33" s="91" t="n">
        <v>206293</v>
      </c>
      <c r="D33" s="120" t="n">
        <f aca="false">C33-C32</f>
        <v>-173</v>
      </c>
      <c r="E33" s="91" t="n">
        <f aca="false">C33-152000</f>
        <v>54293</v>
      </c>
      <c r="F33" s="121" t="n">
        <f aca="false">D33/$D$2</f>
        <v>-87.2195613813965</v>
      </c>
      <c r="G33" s="9" t="n">
        <v>104</v>
      </c>
      <c r="H33" s="11" t="n">
        <v>0.53</v>
      </c>
      <c r="I33" s="9" t="n">
        <f aca="false">G33+H33</f>
        <v>104.53</v>
      </c>
      <c r="J33" s="122" t="n">
        <f aca="false">IF(L33&gt;0,L33,0)</f>
        <v>0</v>
      </c>
      <c r="K33" s="9" t="n">
        <f aca="false">I33+J33</f>
        <v>104.53</v>
      </c>
      <c r="L33" s="9" t="n">
        <f aca="false">F33-(I33-AC33)</f>
        <v>-72.8495613813965</v>
      </c>
      <c r="M33" s="123" t="n">
        <v>4.9</v>
      </c>
      <c r="N33" s="124" t="n">
        <v>0</v>
      </c>
      <c r="O33" s="124" t="n">
        <v>0</v>
      </c>
      <c r="P33" s="125" t="n">
        <f aca="false">1.33*1.02</f>
        <v>1.3566</v>
      </c>
      <c r="Q33" s="125" t="n">
        <f aca="false">2.07*1.04</f>
        <v>2.1528</v>
      </c>
      <c r="R33" s="132" t="n">
        <v>0</v>
      </c>
      <c r="S33" s="127" t="n">
        <v>88</v>
      </c>
      <c r="T33" s="127" t="n">
        <v>0</v>
      </c>
      <c r="U33" s="127" t="n">
        <f aca="false">M33-N33-O33-P33-Q33-R33+S33+T33</f>
        <v>89.3906</v>
      </c>
      <c r="V33" s="96"/>
      <c r="W33" s="96"/>
      <c r="X33" s="127" t="n">
        <v>0</v>
      </c>
      <c r="Y33" s="128"/>
      <c r="Z33" s="129"/>
      <c r="AA33" s="127" t="n">
        <v>26</v>
      </c>
      <c r="AB33" s="96" t="n">
        <f aca="false">AB32-AA33</f>
        <v>3467</v>
      </c>
      <c r="AC33" s="127" t="n">
        <f aca="false">N33+O33+P33+Q33+R37+U33+X33+AA33</f>
        <v>118.9</v>
      </c>
      <c r="AD33" s="127" t="n">
        <f aca="false">IF(L33&lt;0,L33*-1,0)</f>
        <v>72.8495613813965</v>
      </c>
      <c r="AE33" s="127" t="n">
        <f aca="false">AC33+AD33</f>
        <v>191.749561381397</v>
      </c>
      <c r="AF33" s="98" t="n">
        <v>0</v>
      </c>
      <c r="AG33" s="99" t="n">
        <v>48</v>
      </c>
      <c r="AH33" s="100" t="n">
        <v>31</v>
      </c>
      <c r="AI33" s="101" t="n">
        <f aca="false">AI32+(U33*1.9835)</f>
        <v>4630.1489592</v>
      </c>
      <c r="AJ33" s="101" t="n">
        <v>0</v>
      </c>
      <c r="AK33" s="103"/>
      <c r="AL33" s="103"/>
      <c r="AM33" s="103"/>
    </row>
    <row r="34" customFormat="false" ht="12.95" hidden="false" customHeight="true" outlineLevel="0" collapsed="false">
      <c r="A34" s="16" t="n">
        <f aca="false">A33+1</f>
        <v>23</v>
      </c>
      <c r="B34" s="105" t="n">
        <v>6876.64</v>
      </c>
      <c r="C34" s="91" t="n">
        <v>206264</v>
      </c>
      <c r="D34" s="120" t="n">
        <f aca="false">C34-C33</f>
        <v>-29</v>
      </c>
      <c r="E34" s="91" t="n">
        <f aca="false">C34-152000</f>
        <v>54264</v>
      </c>
      <c r="F34" s="121" t="n">
        <f aca="false">D34/$D$2</f>
        <v>-14.6206201159566</v>
      </c>
      <c r="G34" s="9" t="n">
        <v>103</v>
      </c>
      <c r="H34" s="11" t="n">
        <v>0.53</v>
      </c>
      <c r="I34" s="9" t="n">
        <f aca="false">G34+H34</f>
        <v>103.53</v>
      </c>
      <c r="J34" s="122" t="n">
        <f aca="false">IF(L34&gt;0,L34,0)</f>
        <v>8.54937988404336</v>
      </c>
      <c r="K34" s="9" t="n">
        <f aca="false">I34+J34</f>
        <v>112.079379884043</v>
      </c>
      <c r="L34" s="9" t="n">
        <f aca="false">F34-(I34-AC34)</f>
        <v>8.54937988404336</v>
      </c>
      <c r="M34" s="123" t="n">
        <v>4.7</v>
      </c>
      <c r="N34" s="124" t="n">
        <v>0</v>
      </c>
      <c r="O34" s="124" t="n">
        <v>0</v>
      </c>
      <c r="P34" s="125" t="n">
        <f aca="false">1.33*1.02</f>
        <v>1.3566</v>
      </c>
      <c r="Q34" s="125" t="n">
        <f aca="false">2.34*1.04</f>
        <v>2.4336</v>
      </c>
      <c r="R34" s="132" t="n">
        <v>0</v>
      </c>
      <c r="S34" s="127" t="n">
        <v>96</v>
      </c>
      <c r="T34" s="127" t="n">
        <v>0</v>
      </c>
      <c r="U34" s="127" t="n">
        <f aca="false">M34-N34-O34-P34-Q34-R34+S34+T34</f>
        <v>96.9098</v>
      </c>
      <c r="V34" s="96"/>
      <c r="W34" s="96"/>
      <c r="X34" s="127" t="n">
        <v>0</v>
      </c>
      <c r="Y34" s="128"/>
      <c r="Z34" s="129"/>
      <c r="AA34" s="127" t="n">
        <v>26</v>
      </c>
      <c r="AB34" s="96" t="n">
        <f aca="false">AB33-AA34</f>
        <v>3441</v>
      </c>
      <c r="AC34" s="127" t="n">
        <f aca="false">N34+O34+P34+Q34+R38+U34+X34+AA34</f>
        <v>126.7</v>
      </c>
      <c r="AD34" s="127" t="n">
        <f aca="false">IF(L34&lt;0,L34*-1,0)</f>
        <v>0</v>
      </c>
      <c r="AE34" s="127" t="n">
        <f aca="false">AC34+AD34</f>
        <v>126.7</v>
      </c>
      <c r="AF34" s="98" t="n">
        <v>0</v>
      </c>
      <c r="AG34" s="99" t="n">
        <v>44</v>
      </c>
      <c r="AH34" s="134" t="n">
        <v>27</v>
      </c>
      <c r="AI34" s="101" t="n">
        <f aca="false">AI33+(U34*1.9835)</f>
        <v>4822.3695475</v>
      </c>
      <c r="AJ34" s="101" t="n">
        <v>0</v>
      </c>
      <c r="AK34" s="103"/>
      <c r="AL34" s="103"/>
      <c r="AM34" s="103"/>
    </row>
    <row r="35" customFormat="false" ht="12.95" hidden="false" customHeight="true" outlineLevel="0" collapsed="false">
      <c r="A35" s="16" t="n">
        <f aca="false">A34+1</f>
        <v>24</v>
      </c>
      <c r="B35" s="105" t="n">
        <v>6876.63</v>
      </c>
      <c r="C35" s="91" t="n">
        <v>206235</v>
      </c>
      <c r="D35" s="120" t="n">
        <f aca="false">C35-C34</f>
        <v>-29</v>
      </c>
      <c r="E35" s="91" t="n">
        <f aca="false">C35-152000</f>
        <v>54235</v>
      </c>
      <c r="F35" s="121" t="n">
        <f aca="false">D35/$D$2</f>
        <v>-14.6206201159566</v>
      </c>
      <c r="G35" s="9" t="n">
        <v>93</v>
      </c>
      <c r="H35" s="11" t="n">
        <v>0.4</v>
      </c>
      <c r="I35" s="9" t="n">
        <f aca="false">G35+H35</f>
        <v>93.4</v>
      </c>
      <c r="J35" s="122" t="n">
        <f aca="false">IF(L35&gt;0,L35,0)</f>
        <v>18.8793798840434</v>
      </c>
      <c r="K35" s="9" t="n">
        <f aca="false">I35+J35</f>
        <v>112.279379884043</v>
      </c>
      <c r="L35" s="9" t="n">
        <f aca="false">F35-(I35-AC35)</f>
        <v>18.8793798840434</v>
      </c>
      <c r="M35" s="123" t="n">
        <v>4.9</v>
      </c>
      <c r="N35" s="124" t="n">
        <v>0</v>
      </c>
      <c r="O35" s="124" t="n">
        <v>0</v>
      </c>
      <c r="P35" s="125" t="n">
        <f aca="false">1.33*1.02</f>
        <v>1.3566</v>
      </c>
      <c r="Q35" s="125" t="n">
        <f aca="false">2.36*1.04</f>
        <v>2.4544</v>
      </c>
      <c r="R35" s="132" t="n">
        <v>0</v>
      </c>
      <c r="S35" s="127" t="n">
        <v>97</v>
      </c>
      <c r="T35" s="127" t="n">
        <v>0</v>
      </c>
      <c r="U35" s="127" t="n">
        <f aca="false">M35-N35-O35-P35-Q35-R35+S35+T35</f>
        <v>98.089</v>
      </c>
      <c r="V35" s="96"/>
      <c r="W35" s="96"/>
      <c r="X35" s="127" t="n">
        <v>0</v>
      </c>
      <c r="Y35" s="128"/>
      <c r="Z35" s="129"/>
      <c r="AA35" s="127" t="n">
        <v>25</v>
      </c>
      <c r="AB35" s="96" t="n">
        <f aca="false">AB34-AA35</f>
        <v>3416</v>
      </c>
      <c r="AC35" s="127" t="n">
        <f aca="false">N35+O35+P35+Q35+R39+U35+X35+AA35</f>
        <v>126.9</v>
      </c>
      <c r="AD35" s="127" t="n">
        <f aca="false">IF(L35&lt;0,L35*-1,0)</f>
        <v>0</v>
      </c>
      <c r="AE35" s="127" t="n">
        <f aca="false">AC35+AD35</f>
        <v>126.9</v>
      </c>
      <c r="AF35" s="98" t="n">
        <v>0</v>
      </c>
      <c r="AG35" s="99" t="n">
        <v>44</v>
      </c>
      <c r="AH35" s="134" t="n">
        <v>23</v>
      </c>
      <c r="AI35" s="101" t="n">
        <f aca="false">AI34+(U35*1.9835)</f>
        <v>5016.929079</v>
      </c>
      <c r="AJ35" s="101" t="n">
        <v>0</v>
      </c>
      <c r="AK35" s="103"/>
      <c r="AL35" s="103"/>
      <c r="AM35" s="103"/>
    </row>
    <row r="36" customFormat="false" ht="12.95" hidden="false" customHeight="true" outlineLevel="0" collapsed="false">
      <c r="A36" s="16" t="n">
        <f aca="false">A35+1</f>
        <v>25</v>
      </c>
      <c r="B36" s="105" t="n">
        <v>6876.61</v>
      </c>
      <c r="C36" s="91" t="n">
        <v>206177</v>
      </c>
      <c r="D36" s="120" t="n">
        <f aca="false">C36-C35</f>
        <v>-58</v>
      </c>
      <c r="E36" s="91" t="n">
        <f aca="false">C36-152000</f>
        <v>54177</v>
      </c>
      <c r="F36" s="121" t="n">
        <f aca="false">D36/$D$2</f>
        <v>-29.2412402319133</v>
      </c>
      <c r="G36" s="9" t="n">
        <v>85</v>
      </c>
      <c r="H36" s="11" t="n">
        <v>0.32</v>
      </c>
      <c r="I36" s="9" t="n">
        <f aca="false">G36+H36</f>
        <v>85.32</v>
      </c>
      <c r="J36" s="122" t="n">
        <f aca="false">IF(L36&gt;0,L36,0)</f>
        <v>12.3387597680867</v>
      </c>
      <c r="K36" s="9" t="n">
        <f aca="false">I36+J36</f>
        <v>97.6587597680867</v>
      </c>
      <c r="L36" s="9" t="n">
        <f aca="false">F36-(I36-AC36)</f>
        <v>12.3387597680867</v>
      </c>
      <c r="M36" s="123" t="n">
        <v>4.9</v>
      </c>
      <c r="N36" s="124" t="n">
        <v>0</v>
      </c>
      <c r="O36" s="124" t="n">
        <v>0</v>
      </c>
      <c r="P36" s="125" t="n">
        <f aca="false">1.33*1.02</f>
        <v>1.3566</v>
      </c>
      <c r="Q36" s="125" t="n">
        <f aca="false">2.1*1.04</f>
        <v>2.184</v>
      </c>
      <c r="R36" s="132" t="n">
        <v>0</v>
      </c>
      <c r="S36" s="127" t="n">
        <v>97</v>
      </c>
      <c r="T36" s="127" t="n">
        <v>0</v>
      </c>
      <c r="U36" s="127" t="n">
        <f aca="false">M36-N36-O36-P36-Q36-R36+S36+T36</f>
        <v>98.3594</v>
      </c>
      <c r="V36" s="96"/>
      <c r="W36" s="96"/>
      <c r="X36" s="127" t="n">
        <v>0</v>
      </c>
      <c r="Y36" s="128"/>
      <c r="Z36" s="129"/>
      <c r="AA36" s="127" t="n">
        <v>25</v>
      </c>
      <c r="AB36" s="96" t="n">
        <f aca="false">AB35-AA36</f>
        <v>3391</v>
      </c>
      <c r="AC36" s="127" t="n">
        <f aca="false">N36+O36+P36+Q36+R40+U36+X36+AA36</f>
        <v>126.9</v>
      </c>
      <c r="AD36" s="127" t="n">
        <f aca="false">IF(L36&lt;0,L36*-1,0)</f>
        <v>0</v>
      </c>
      <c r="AE36" s="127" t="n">
        <f aca="false">AC36+AD36</f>
        <v>126.9</v>
      </c>
      <c r="AF36" s="98" t="n">
        <v>0</v>
      </c>
      <c r="AG36" s="99" t="n">
        <v>46</v>
      </c>
      <c r="AH36" s="134" t="n">
        <v>22</v>
      </c>
      <c r="AI36" s="101" t="n">
        <f aca="false">AI35+(U36*1.9835)</f>
        <v>5212.0249489</v>
      </c>
      <c r="AJ36" s="101" t="n">
        <v>0</v>
      </c>
      <c r="AK36" s="103"/>
      <c r="AL36" s="103"/>
      <c r="AM36" s="103"/>
    </row>
    <row r="37" customFormat="false" ht="12.95" hidden="false" customHeight="true" outlineLevel="0" collapsed="false">
      <c r="A37" s="16" t="n">
        <f aca="false">A36+1</f>
        <v>26</v>
      </c>
      <c r="B37" s="105" t="n">
        <v>6876.6</v>
      </c>
      <c r="C37" s="91" t="n">
        <v>206148</v>
      </c>
      <c r="D37" s="120" t="n">
        <f aca="false">C37-C36</f>
        <v>-29</v>
      </c>
      <c r="E37" s="91" t="n">
        <f aca="false">C37-152000</f>
        <v>54148</v>
      </c>
      <c r="F37" s="121" t="n">
        <f aca="false">D37/$D$2</f>
        <v>-14.6206201159566</v>
      </c>
      <c r="G37" s="9" t="n">
        <v>76</v>
      </c>
      <c r="H37" s="11" t="n">
        <v>0.35</v>
      </c>
      <c r="I37" s="9" t="n">
        <f aca="false">G37+H37</f>
        <v>76.35</v>
      </c>
      <c r="J37" s="122" t="n">
        <f aca="false">IF(L37&gt;0,L37,0)</f>
        <v>34.7293798840434</v>
      </c>
      <c r="K37" s="9" t="n">
        <f aca="false">I37+J37</f>
        <v>111.079379884043</v>
      </c>
      <c r="L37" s="9" t="n">
        <f aca="false">F37-(I37-AC37)</f>
        <v>34.7293798840434</v>
      </c>
      <c r="M37" s="123" t="n">
        <v>4.7</v>
      </c>
      <c r="N37" s="124" t="n">
        <v>0</v>
      </c>
      <c r="O37" s="124" t="n">
        <v>0</v>
      </c>
      <c r="P37" s="125" t="n">
        <f aca="false">1.33*1.02</f>
        <v>1.3566</v>
      </c>
      <c r="Q37" s="125" t="n">
        <f aca="false">2.29*1.04</f>
        <v>2.3816</v>
      </c>
      <c r="R37" s="132" t="n">
        <v>0</v>
      </c>
      <c r="S37" s="127" t="n">
        <v>96</v>
      </c>
      <c r="T37" s="127" t="n">
        <v>0</v>
      </c>
      <c r="U37" s="127" t="n">
        <f aca="false">M37-N37-O37-P37-Q37-R37+S37+T37</f>
        <v>96.9618</v>
      </c>
      <c r="V37" s="96"/>
      <c r="W37" s="96"/>
      <c r="X37" s="127" t="n">
        <v>0</v>
      </c>
      <c r="Y37" s="128"/>
      <c r="Z37" s="129"/>
      <c r="AA37" s="127" t="n">
        <v>25</v>
      </c>
      <c r="AB37" s="96" t="n">
        <f aca="false">AB36-AA37</f>
        <v>3366</v>
      </c>
      <c r="AC37" s="127" t="n">
        <f aca="false">N37+O37+P37+Q37+R41+U37+X37+AA37</f>
        <v>125.7</v>
      </c>
      <c r="AD37" s="127" t="n">
        <f aca="false">IF(L37&lt;0,L37*-1,0)</f>
        <v>0</v>
      </c>
      <c r="AE37" s="127" t="n">
        <f aca="false">AC37+AD37</f>
        <v>125.7</v>
      </c>
      <c r="AF37" s="98" t="n">
        <v>0.04</v>
      </c>
      <c r="AG37" s="99" t="n">
        <v>39</v>
      </c>
      <c r="AH37" s="100" t="n">
        <v>21</v>
      </c>
      <c r="AI37" s="101" t="n">
        <f aca="false">AI36+(U37*1.9835)</f>
        <v>5404.3486792</v>
      </c>
      <c r="AJ37" s="101" t="n">
        <v>0</v>
      </c>
      <c r="AK37" s="103"/>
      <c r="AL37" s="103"/>
      <c r="AM37" s="103"/>
    </row>
    <row r="38" customFormat="false" ht="12.95" hidden="false" customHeight="true" outlineLevel="0" collapsed="false">
      <c r="A38" s="16" t="n">
        <f aca="false">A37+1</f>
        <v>27</v>
      </c>
      <c r="B38" s="105" t="n">
        <v>6876.55</v>
      </c>
      <c r="C38" s="91" t="n">
        <v>206004</v>
      </c>
      <c r="D38" s="120" t="n">
        <f aca="false">C38-C37</f>
        <v>-144</v>
      </c>
      <c r="E38" s="91" t="n">
        <f aca="false">C38-152000</f>
        <v>54004</v>
      </c>
      <c r="F38" s="121" t="n">
        <f aca="false">D38/$D$2</f>
        <v>-72.5989412654399</v>
      </c>
      <c r="G38" s="9" t="n">
        <v>76</v>
      </c>
      <c r="H38" s="11" t="n">
        <v>0.33</v>
      </c>
      <c r="I38" s="9" t="n">
        <f aca="false">G38+H38</f>
        <v>76.33</v>
      </c>
      <c r="J38" s="122" t="n">
        <f aca="false">IF(L38&gt;0,L38,0)</f>
        <v>0</v>
      </c>
      <c r="K38" s="9" t="n">
        <f aca="false">I38+J38</f>
        <v>76.33</v>
      </c>
      <c r="L38" s="9" t="n">
        <f aca="false">F38-(I38-AC38)</f>
        <v>-22.3289412654399</v>
      </c>
      <c r="M38" s="123" t="n">
        <v>4.6</v>
      </c>
      <c r="N38" s="124" t="n">
        <v>0</v>
      </c>
      <c r="O38" s="124" t="n">
        <v>0</v>
      </c>
      <c r="P38" s="125" t="n">
        <f aca="false">1.33*1.02</f>
        <v>1.3566</v>
      </c>
      <c r="Q38" s="125" t="n">
        <f aca="false">2.47*1.04</f>
        <v>2.5688</v>
      </c>
      <c r="R38" s="132" t="n">
        <v>0</v>
      </c>
      <c r="S38" s="127" t="n">
        <v>96</v>
      </c>
      <c r="T38" s="127" t="n">
        <v>0</v>
      </c>
      <c r="U38" s="127" t="n">
        <f aca="false">M38-N38-O38-P38-Q38-R38+S38+T38</f>
        <v>96.6746</v>
      </c>
      <c r="V38" s="96"/>
      <c r="W38" s="96"/>
      <c r="X38" s="127" t="n">
        <v>0</v>
      </c>
      <c r="Y38" s="128"/>
      <c r="Z38" s="129"/>
      <c r="AA38" s="127" t="n">
        <v>26</v>
      </c>
      <c r="AB38" s="96" t="n">
        <f aca="false">AB37-AA38</f>
        <v>3340</v>
      </c>
      <c r="AC38" s="127" t="n">
        <f aca="false">N38+O38+P38+Q38+R42+U38+X38+AA38</f>
        <v>126.6</v>
      </c>
      <c r="AD38" s="127" t="n">
        <f aca="false">IF(L38&lt;0,L38*-1,0)</f>
        <v>22.3289412654399</v>
      </c>
      <c r="AE38" s="127" t="n">
        <f aca="false">AC38+AD38</f>
        <v>148.92894126544</v>
      </c>
      <c r="AF38" s="98" t="n">
        <v>0</v>
      </c>
      <c r="AG38" s="99" t="n">
        <v>40</v>
      </c>
      <c r="AH38" s="100" t="n">
        <v>21</v>
      </c>
      <c r="AI38" s="101" t="n">
        <f aca="false">AI37+(U38*1.9835)</f>
        <v>5596.1027483</v>
      </c>
      <c r="AJ38" s="101" t="n">
        <v>0</v>
      </c>
      <c r="AK38" s="103"/>
      <c r="AL38" s="103"/>
      <c r="AM38" s="103"/>
    </row>
    <row r="39" customFormat="false" ht="12.95" hidden="false" customHeight="true" outlineLevel="0" collapsed="false">
      <c r="A39" s="16" t="n">
        <f aca="false">A38+1</f>
        <v>28</v>
      </c>
      <c r="B39" s="105" t="n">
        <v>6876.5</v>
      </c>
      <c r="C39" s="91" t="n">
        <v>205859</v>
      </c>
      <c r="D39" s="120" t="n">
        <f aca="false">C39-C38</f>
        <v>-145</v>
      </c>
      <c r="E39" s="91" t="n">
        <f aca="false">C39-152000</f>
        <v>53859</v>
      </c>
      <c r="F39" s="121" t="n">
        <f aca="false">D39/$D$2</f>
        <v>-73.1031005797832</v>
      </c>
      <c r="G39" s="9" t="n">
        <v>74</v>
      </c>
      <c r="H39" s="11" t="n">
        <v>0.36</v>
      </c>
      <c r="I39" s="9" t="n">
        <f aca="false">G39+H39</f>
        <v>74.36</v>
      </c>
      <c r="J39" s="122" t="n">
        <f aca="false">IF(L39&gt;0,L39,0)</f>
        <v>0</v>
      </c>
      <c r="K39" s="9" t="n">
        <f aca="false">I39+J39</f>
        <v>74.36</v>
      </c>
      <c r="L39" s="9" t="n">
        <f aca="false">F39-(I39-AC39)</f>
        <v>-20.7631005797832</v>
      </c>
      <c r="M39" s="123" t="n">
        <v>4.7</v>
      </c>
      <c r="N39" s="124" t="n">
        <v>0</v>
      </c>
      <c r="O39" s="124" t="n">
        <v>0</v>
      </c>
      <c r="P39" s="125" t="n">
        <f aca="false">1.33*1.02</f>
        <v>1.3566</v>
      </c>
      <c r="Q39" s="125" t="n">
        <f aca="false">2.21*1.04</f>
        <v>2.2984</v>
      </c>
      <c r="R39" s="132" t="n">
        <v>0</v>
      </c>
      <c r="S39" s="127" t="n">
        <v>96</v>
      </c>
      <c r="T39" s="127" t="n">
        <v>0</v>
      </c>
      <c r="U39" s="127" t="n">
        <f aca="false">M39-N39-O39-P39-Q39-R39+S39+T39</f>
        <v>97.045</v>
      </c>
      <c r="V39" s="96"/>
      <c r="W39" s="96"/>
      <c r="X39" s="127" t="n">
        <v>0</v>
      </c>
      <c r="Y39" s="128"/>
      <c r="Z39" s="129"/>
      <c r="AA39" s="127" t="n">
        <v>26</v>
      </c>
      <c r="AB39" s="96" t="n">
        <f aca="false">AB38-AA39</f>
        <v>3314</v>
      </c>
      <c r="AC39" s="127" t="n">
        <f aca="false">N39+O39+P39+Q39+R43+U39+X39+AA39</f>
        <v>126.7</v>
      </c>
      <c r="AD39" s="127" t="n">
        <f aca="false">IF(L39&lt;0,L39*-1,0)</f>
        <v>20.7631005797832</v>
      </c>
      <c r="AE39" s="127" t="n">
        <f aca="false">AC39+AD39</f>
        <v>147.463100579783</v>
      </c>
      <c r="AF39" s="98" t="n">
        <v>0.15</v>
      </c>
      <c r="AG39" s="99" t="n">
        <v>39</v>
      </c>
      <c r="AH39" s="100" t="n">
        <v>14</v>
      </c>
      <c r="AI39" s="101" t="n">
        <f aca="false">AI38+(U39*1.9835)</f>
        <v>5788.5915058</v>
      </c>
      <c r="AJ39" s="101" t="n">
        <v>0</v>
      </c>
      <c r="AK39" s="103"/>
      <c r="AL39" s="103"/>
      <c r="AM39" s="103"/>
    </row>
    <row r="40" customFormat="false" ht="12.95" hidden="false" customHeight="true" outlineLevel="0" collapsed="false">
      <c r="A40" s="16" t="n">
        <f aca="false">A39+1</f>
        <v>29</v>
      </c>
      <c r="B40" s="105" t="n">
        <v>6876.47</v>
      </c>
      <c r="C40" s="91" t="n">
        <v>205773</v>
      </c>
      <c r="D40" s="120" t="n">
        <f aca="false">C40-C39</f>
        <v>-86</v>
      </c>
      <c r="E40" s="91" t="n">
        <f aca="false">C40-152000</f>
        <v>53773</v>
      </c>
      <c r="F40" s="121" t="n">
        <f aca="false">D40/$D$2</f>
        <v>-43.3577010335266</v>
      </c>
      <c r="G40" s="9" t="n">
        <v>59</v>
      </c>
      <c r="H40" s="11" t="n">
        <v>0.3</v>
      </c>
      <c r="I40" s="9" t="n">
        <f aca="false">G40+H40</f>
        <v>59.3</v>
      </c>
      <c r="J40" s="122" t="n">
        <f aca="false">IF(L40&gt;0,L40,0)</f>
        <v>13.1422989664734</v>
      </c>
      <c r="K40" s="9" t="n">
        <f aca="false">I40+J40</f>
        <v>72.4422989664734</v>
      </c>
      <c r="L40" s="9" t="n">
        <f aca="false">F40-(I40-AC40)</f>
        <v>13.1422989664734</v>
      </c>
      <c r="M40" s="123" t="n">
        <v>4.8</v>
      </c>
      <c r="N40" s="124" t="n">
        <v>0</v>
      </c>
      <c r="O40" s="124" t="n">
        <v>0</v>
      </c>
      <c r="P40" s="125" t="n">
        <f aca="false">1.33*1.02</f>
        <v>1.3566</v>
      </c>
      <c r="Q40" s="125" t="n">
        <f aca="false">2.21*1.04</f>
        <v>2.2984</v>
      </c>
      <c r="R40" s="132" t="n">
        <v>0</v>
      </c>
      <c r="S40" s="127" t="n">
        <v>85</v>
      </c>
      <c r="T40" s="127" t="n">
        <v>0</v>
      </c>
      <c r="U40" s="127" t="n">
        <f aca="false">M40-N40-O40-P40-Q40-R40+S40+T40</f>
        <v>86.145</v>
      </c>
      <c r="V40" s="96"/>
      <c r="W40" s="96"/>
      <c r="X40" s="127" t="n">
        <v>0</v>
      </c>
      <c r="Y40" s="128"/>
      <c r="Z40" s="129"/>
      <c r="AA40" s="127" t="n">
        <v>26</v>
      </c>
      <c r="AB40" s="96" t="n">
        <f aca="false">AB39-AA40</f>
        <v>3288</v>
      </c>
      <c r="AC40" s="127" t="n">
        <f aca="false">N40+O40+P40+Q40+R44+U40+X40+AA40</f>
        <v>115.8</v>
      </c>
      <c r="AD40" s="127" t="n">
        <f aca="false">IF(L40&lt;0,L40*-1,0)</f>
        <v>0</v>
      </c>
      <c r="AE40" s="127" t="n">
        <f aca="false">AC40+AD40</f>
        <v>115.8</v>
      </c>
      <c r="AF40" s="98" t="n">
        <v>0</v>
      </c>
      <c r="AG40" s="133" t="n">
        <v>28</v>
      </c>
      <c r="AH40" s="100" t="n">
        <v>10</v>
      </c>
      <c r="AI40" s="101" t="n">
        <f aca="false">AI39+(U40*1.9835)</f>
        <v>5959.4601133</v>
      </c>
      <c r="AJ40" s="101" t="n">
        <v>0</v>
      </c>
      <c r="AK40" s="103"/>
      <c r="AL40" s="103"/>
      <c r="AM40" s="103"/>
    </row>
    <row r="41" customFormat="false" ht="12.95" hidden="false" customHeight="true" outlineLevel="0" collapsed="false">
      <c r="A41" s="16" t="n">
        <v>30</v>
      </c>
      <c r="B41" s="105" t="n">
        <v>6876.4</v>
      </c>
      <c r="C41" s="91" t="n">
        <v>205571</v>
      </c>
      <c r="D41" s="120" t="n">
        <f aca="false">C41-C40</f>
        <v>-202</v>
      </c>
      <c r="E41" s="91" t="n">
        <f aca="false">C41-152000</f>
        <v>53571</v>
      </c>
      <c r="F41" s="121" t="n">
        <f aca="false">D41/$D$2</f>
        <v>-101.840181497353</v>
      </c>
      <c r="G41" s="9" t="n">
        <v>35</v>
      </c>
      <c r="H41" s="11" t="n">
        <v>0.22</v>
      </c>
      <c r="I41" s="9" t="n">
        <f aca="false">G41+H41</f>
        <v>35.22</v>
      </c>
      <c r="J41" s="122" t="n">
        <f aca="false">IF(L41&gt;0,L41,0)</f>
        <v>0</v>
      </c>
      <c r="K41" s="9" t="n">
        <f aca="false">I41+J41</f>
        <v>35.22</v>
      </c>
      <c r="L41" s="9" t="n">
        <f aca="false">F41-(I41-AC41)</f>
        <v>-27.6601814973532</v>
      </c>
      <c r="M41" s="123" t="n">
        <v>4.4</v>
      </c>
      <c r="N41" s="124" t="n">
        <v>0</v>
      </c>
      <c r="O41" s="124" t="n">
        <v>0</v>
      </c>
      <c r="P41" s="125" t="n">
        <f aca="false">1.33*1.02</f>
        <v>1.3566</v>
      </c>
      <c r="Q41" s="125" t="n">
        <f aca="false">2.21*1.04</f>
        <v>2.2984</v>
      </c>
      <c r="R41" s="132" t="n">
        <v>0</v>
      </c>
      <c r="S41" s="127" t="n">
        <v>79</v>
      </c>
      <c r="T41" s="127" t="n">
        <v>0</v>
      </c>
      <c r="U41" s="127" t="n">
        <f aca="false">M41-N41-O41-P41-Q41-R41+S41+T41</f>
        <v>79.745</v>
      </c>
      <c r="V41" s="96"/>
      <c r="W41" s="96"/>
      <c r="X41" s="127" t="n">
        <v>0</v>
      </c>
      <c r="Y41" s="128"/>
      <c r="Z41" s="129"/>
      <c r="AA41" s="127" t="n">
        <v>26</v>
      </c>
      <c r="AB41" s="96" t="n">
        <f aca="false">AB40-AA41</f>
        <v>3262</v>
      </c>
      <c r="AC41" s="127" t="n">
        <f aca="false">N41+O41+P41+Q41+R45+U41+X41+AA41</f>
        <v>109.4</v>
      </c>
      <c r="AD41" s="127" t="n">
        <f aca="false">IF(L41&lt;0,L41*-1,0)</f>
        <v>27.6601814973532</v>
      </c>
      <c r="AE41" s="127" t="n">
        <f aca="false">AC41+AD41</f>
        <v>137.060181497353</v>
      </c>
      <c r="AF41" s="98" t="n">
        <v>0</v>
      </c>
      <c r="AG41" s="133" t="n">
        <v>30</v>
      </c>
      <c r="AH41" s="100" t="n">
        <v>2</v>
      </c>
      <c r="AI41" s="101" t="n">
        <f aca="false">AI40+(U41*1.9835)</f>
        <v>6117.6343208</v>
      </c>
      <c r="AJ41" s="101" t="n">
        <v>0</v>
      </c>
      <c r="AK41" s="103"/>
      <c r="AL41" s="103"/>
      <c r="AM41" s="103"/>
    </row>
    <row r="42" customFormat="false" ht="3" hidden="false" customHeight="true" outlineLevel="0" collapsed="false">
      <c r="A42" s="106"/>
      <c r="B42" s="135"/>
      <c r="C42" s="108"/>
      <c r="D42" s="106"/>
      <c r="E42" s="108"/>
      <c r="F42" s="109"/>
      <c r="G42" s="106"/>
      <c r="H42" s="110"/>
      <c r="I42" s="106"/>
      <c r="J42" s="106"/>
      <c r="K42" s="106"/>
      <c r="L42" s="106"/>
      <c r="M42" s="111"/>
      <c r="N42" s="106"/>
      <c r="O42" s="106"/>
      <c r="P42" s="112"/>
      <c r="Q42" s="112"/>
      <c r="R42" s="113"/>
      <c r="S42" s="112"/>
      <c r="T42" s="112"/>
      <c r="U42" s="112"/>
      <c r="V42" s="114"/>
      <c r="W42" s="114"/>
      <c r="X42" s="112"/>
      <c r="Y42" s="115"/>
      <c r="Z42" s="113"/>
      <c r="AA42" s="112"/>
      <c r="AB42" s="112"/>
      <c r="AC42" s="112"/>
      <c r="AD42" s="112"/>
      <c r="AE42" s="112"/>
      <c r="AF42" s="116"/>
      <c r="AG42" s="117"/>
      <c r="AH42" s="118"/>
      <c r="AI42" s="117"/>
      <c r="AJ42" s="117"/>
      <c r="AK42" s="117"/>
      <c r="AL42" s="117"/>
      <c r="AM42" s="117"/>
      <c r="AN42" s="117"/>
    </row>
    <row r="43" customFormat="false" ht="12.95" hidden="false" customHeight="true" outlineLevel="0" collapsed="false">
      <c r="A43" s="17" t="s">
        <v>75</v>
      </c>
      <c r="B43" s="90"/>
      <c r="C43" s="91"/>
      <c r="D43" s="91"/>
      <c r="E43" s="91"/>
      <c r="F43" s="92" t="n">
        <f aca="false">SUM(F12:F41)</f>
        <v>-844.466851525082</v>
      </c>
      <c r="G43" s="10" t="n">
        <f aca="false">SUM(G12:G41)</f>
        <v>3268</v>
      </c>
      <c r="H43" s="10" t="n">
        <f aca="false">SUM(H12:H41)</f>
        <v>6.33</v>
      </c>
      <c r="I43" s="10" t="n">
        <f aca="false">SUM(I12:I41)</f>
        <v>3274.33</v>
      </c>
      <c r="J43" s="10" t="n">
        <f aca="false">SUM(J12:J41)</f>
        <v>582.83372069574</v>
      </c>
      <c r="K43" s="10" t="n">
        <f aca="false">SUM(K12:K41)</f>
        <v>3857.16372069574</v>
      </c>
      <c r="L43" s="10" t="n">
        <f aca="false">SUM(L12:L41)</f>
        <v>94.2031484749181</v>
      </c>
      <c r="M43" s="93" t="n">
        <f aca="false">SUM(M12:M41)</f>
        <v>218.2</v>
      </c>
      <c r="N43" s="91" t="n">
        <f aca="false">SUM(N12:N41)</f>
        <v>0</v>
      </c>
      <c r="O43" s="91" t="n">
        <f aca="false">SUM(O12:O41)</f>
        <v>0</v>
      </c>
      <c r="P43" s="94" t="n">
        <f aca="false">SUM(P12:P41)</f>
        <v>40.698</v>
      </c>
      <c r="Q43" s="94" t="n">
        <f aca="false">SUM(Q12:Q41)</f>
        <v>72.488</v>
      </c>
      <c r="R43" s="95" t="n">
        <f aca="false">SUM(R13:R41)</f>
        <v>0</v>
      </c>
      <c r="S43" s="96" t="n">
        <f aca="false">SUM(S12:S41)</f>
        <v>3172</v>
      </c>
      <c r="T43" s="96" t="n">
        <f aca="false">SUM(T12:T41)</f>
        <v>33.8</v>
      </c>
      <c r="U43" s="96" t="n">
        <f aca="false">SUM(U12:U41)</f>
        <v>3310.814</v>
      </c>
      <c r="V43" s="96"/>
      <c r="W43" s="96"/>
      <c r="X43" s="96"/>
      <c r="Y43" s="97"/>
      <c r="Z43" s="95"/>
      <c r="AA43" s="96" t="n">
        <f aca="false">SUM(AA12:AA41)</f>
        <v>789</v>
      </c>
      <c r="AB43" s="96"/>
      <c r="AC43" s="96" t="n">
        <f aca="false">SUM(AC12:AC41)</f>
        <v>4213</v>
      </c>
      <c r="AD43" s="96" t="n">
        <f aca="false">SUM(AD12:AD41)</f>
        <v>488.630572220822</v>
      </c>
      <c r="AE43" s="96" t="n">
        <f aca="false">SUM(AE12:AE41)</f>
        <v>4701.63057222082</v>
      </c>
      <c r="AF43" s="98" t="n">
        <f aca="false">SUM(AF12:AF41)</f>
        <v>2.08</v>
      </c>
      <c r="AG43" s="99" t="n">
        <f aca="false">AVERAGE(AG12:AG41)</f>
        <v>47.5</v>
      </c>
      <c r="AH43" s="100" t="n">
        <f aca="false">AVERAGE(AH12:AH42)</f>
        <v>27.1333333333333</v>
      </c>
      <c r="AI43" s="101" t="s">
        <v>76</v>
      </c>
      <c r="AJ43" s="96" t="n">
        <f aca="false">SUM(AJ12:AJ41)</f>
        <v>165.4192</v>
      </c>
      <c r="AK43" s="103"/>
      <c r="AL43" s="103"/>
      <c r="AM43" s="103"/>
    </row>
    <row r="44" customFormat="false" ht="12.95" hidden="false" customHeight="true" outlineLevel="0" collapsed="false">
      <c r="A44" s="17" t="s">
        <v>77</v>
      </c>
      <c r="B44" s="90"/>
      <c r="C44" s="91"/>
      <c r="D44" s="91" t="n">
        <f aca="false">SUM(D12:D41)</f>
        <v>-1675</v>
      </c>
      <c r="E44" s="91"/>
      <c r="F44" s="92" t="n">
        <f aca="false">F43*$D$2</f>
        <v>-1675</v>
      </c>
      <c r="G44" s="10" t="n">
        <f aca="false">G43*$D$2</f>
        <v>6482.078</v>
      </c>
      <c r="H44" s="10" t="n">
        <f aca="false">H43*$D$2</f>
        <v>12.555555</v>
      </c>
      <c r="I44" s="10" t="n">
        <f aca="false">I43*$D$2</f>
        <v>6494.633555</v>
      </c>
      <c r="J44" s="10" t="n">
        <f aca="false">J43*$D$2</f>
        <v>1156.050685</v>
      </c>
      <c r="K44" s="10" t="n">
        <f aca="false">K43*$D$2</f>
        <v>7650.68424</v>
      </c>
      <c r="L44" s="10" t="n">
        <f aca="false">L43*$D$2</f>
        <v>186.851945</v>
      </c>
      <c r="M44" s="93" t="n">
        <f aca="false">M43*$D$2</f>
        <v>432.7997</v>
      </c>
      <c r="N44" s="91" t="n">
        <f aca="false">N43*$D$2</f>
        <v>0</v>
      </c>
      <c r="O44" s="91" t="n">
        <f aca="false">O43*$D$2</f>
        <v>0</v>
      </c>
      <c r="P44" s="94" t="n">
        <f aca="false">P43*$D$2</f>
        <v>80.724483</v>
      </c>
      <c r="Q44" s="94" t="n">
        <f aca="false">Q43*$D$2</f>
        <v>143.779948</v>
      </c>
      <c r="R44" s="95" t="n">
        <f aca="false">R43*$D$2</f>
        <v>0</v>
      </c>
      <c r="S44" s="96" t="n">
        <f aca="false">S43*$D$2</f>
        <v>6291.662</v>
      </c>
      <c r="T44" s="96" t="n">
        <f aca="false">T43*$D$2</f>
        <v>67.0423</v>
      </c>
      <c r="U44" s="96" t="n">
        <f aca="false">U43*$D$2</f>
        <v>6566.999569</v>
      </c>
      <c r="V44" s="96"/>
      <c r="W44" s="96"/>
      <c r="X44" s="96"/>
      <c r="Y44" s="97"/>
      <c r="Z44" s="95"/>
      <c r="AA44" s="96" t="n">
        <f aca="false">AA43*$D$2</f>
        <v>1564.9815</v>
      </c>
      <c r="AB44" s="96"/>
      <c r="AC44" s="96" t="n">
        <f aca="false">AC43*$D$2</f>
        <v>8356.4855</v>
      </c>
      <c r="AD44" s="96" t="n">
        <f aca="false">AD43*$D$2</f>
        <v>969.19874</v>
      </c>
      <c r="AE44" s="136" t="n">
        <f aca="false">AE43*$D$2</f>
        <v>9325.68424</v>
      </c>
      <c r="AF44" s="137"/>
      <c r="AG44" s="99" t="n">
        <f aca="false">MAX(AG12:AG41)</f>
        <v>64</v>
      </c>
      <c r="AH44" s="100" t="n">
        <f aca="false">MAX(AH12:AH42)</f>
        <v>46</v>
      </c>
      <c r="AI44" s="101" t="s">
        <v>78</v>
      </c>
      <c r="AJ44" s="96" t="n">
        <f aca="false">AJ43*$D$2</f>
        <v>328.1089832</v>
      </c>
      <c r="AK44" s="103"/>
      <c r="AL44" s="103"/>
      <c r="AM44" s="103"/>
    </row>
    <row r="45" customFormat="false" ht="3" hidden="false" customHeight="true" outlineLevel="0" collapsed="false">
      <c r="A45" s="138"/>
      <c r="B45" s="135"/>
      <c r="C45" s="108"/>
      <c r="D45" s="108"/>
      <c r="E45" s="108"/>
      <c r="F45" s="139"/>
      <c r="G45" s="108"/>
      <c r="H45" s="108"/>
      <c r="I45" s="108"/>
      <c r="J45" s="108"/>
      <c r="K45" s="108"/>
      <c r="L45" s="108"/>
      <c r="M45" s="140"/>
      <c r="N45" s="108"/>
      <c r="O45" s="108"/>
      <c r="P45" s="114"/>
      <c r="Q45" s="114"/>
      <c r="R45" s="141"/>
      <c r="S45" s="114"/>
      <c r="T45" s="114"/>
      <c r="U45" s="114"/>
      <c r="V45" s="114"/>
      <c r="W45" s="114"/>
      <c r="X45" s="114"/>
      <c r="Y45" s="142"/>
      <c r="Z45" s="141"/>
      <c r="AA45" s="114"/>
      <c r="AB45" s="112"/>
      <c r="AC45" s="114"/>
      <c r="AD45" s="114"/>
      <c r="AE45" s="143"/>
      <c r="AF45" s="114"/>
      <c r="AG45" s="114"/>
      <c r="AH45" s="143"/>
      <c r="AI45" s="114"/>
      <c r="AJ45" s="117"/>
      <c r="AK45" s="114"/>
      <c r="AL45" s="114"/>
      <c r="AM45" s="114"/>
      <c r="AN45" s="114"/>
    </row>
    <row r="46" customFormat="false" ht="12.95" hidden="false" customHeight="true" outlineLevel="0" collapsed="false">
      <c r="A46" s="17" t="s">
        <v>79</v>
      </c>
      <c r="B46" s="90"/>
      <c r="C46" s="91"/>
      <c r="D46" s="91"/>
      <c r="E46" s="91"/>
      <c r="F46" s="92"/>
      <c r="G46" s="10"/>
      <c r="H46" s="15"/>
      <c r="I46" s="10"/>
      <c r="J46" s="10"/>
      <c r="K46" s="10"/>
      <c r="L46" s="10"/>
      <c r="M46" s="93"/>
      <c r="N46" s="91"/>
      <c r="O46" s="91"/>
      <c r="P46" s="94"/>
      <c r="Q46" s="94"/>
      <c r="R46" s="95"/>
      <c r="S46" s="96"/>
      <c r="T46" s="96"/>
      <c r="U46" s="96"/>
      <c r="V46" s="96"/>
      <c r="W46" s="96"/>
      <c r="X46" s="96"/>
      <c r="Y46" s="97"/>
      <c r="Z46" s="95"/>
      <c r="AA46" s="96"/>
      <c r="AB46" s="96"/>
      <c r="AC46" s="96"/>
      <c r="AD46" s="96"/>
      <c r="AE46" s="136"/>
      <c r="AF46" s="137"/>
      <c r="AG46" s="99" t="n">
        <f aca="false">MIN(AG12:AG41)</f>
        <v>28</v>
      </c>
      <c r="AH46" s="100" t="n">
        <f aca="false">MIN(AH12:AH42)</f>
        <v>2</v>
      </c>
      <c r="AI46" s="101" t="s">
        <v>80</v>
      </c>
      <c r="AJ46" s="101"/>
      <c r="AK46" s="103"/>
      <c r="AL46" s="103"/>
      <c r="AM46" s="103"/>
    </row>
    <row r="47" customFormat="false" ht="12.95" hidden="false" customHeight="true" outlineLevel="0" collapsed="false">
      <c r="A47" s="17" t="s">
        <v>81</v>
      </c>
      <c r="B47" s="90"/>
      <c r="C47" s="91"/>
      <c r="D47" s="91"/>
      <c r="E47" s="91"/>
      <c r="F47" s="92"/>
      <c r="G47" s="10"/>
      <c r="H47" s="15"/>
      <c r="I47" s="10"/>
      <c r="J47" s="10"/>
      <c r="K47" s="10"/>
      <c r="L47" s="10"/>
      <c r="M47" s="93"/>
      <c r="N47" s="91"/>
      <c r="O47" s="91"/>
      <c r="P47" s="94"/>
      <c r="Q47" s="94"/>
      <c r="R47" s="95"/>
      <c r="S47" s="96"/>
      <c r="T47" s="96"/>
      <c r="U47" s="96"/>
      <c r="V47" s="96"/>
      <c r="W47" s="96"/>
      <c r="X47" s="96"/>
      <c r="Y47" s="97"/>
      <c r="Z47" s="95"/>
      <c r="AA47" s="96"/>
      <c r="AB47" s="96"/>
      <c r="AC47" s="96"/>
      <c r="AD47" s="96"/>
      <c r="AE47" s="96"/>
      <c r="AF47" s="98"/>
      <c r="AG47" s="99"/>
      <c r="AH47" s="100"/>
      <c r="AI47" s="101"/>
      <c r="AJ47" s="101"/>
      <c r="AK47" s="103"/>
      <c r="AL47" s="103"/>
      <c r="AM47" s="103"/>
    </row>
    <row r="48" customFormat="false" ht="3" hidden="false" customHeight="true" outlineLevel="0" collapsed="false">
      <c r="A48" s="138"/>
      <c r="B48" s="135"/>
      <c r="C48" s="108"/>
      <c r="D48" s="108"/>
      <c r="E48" s="108"/>
      <c r="F48" s="139"/>
      <c r="G48" s="108"/>
      <c r="H48" s="144"/>
      <c r="I48" s="108"/>
      <c r="J48" s="108"/>
      <c r="K48" s="108"/>
      <c r="L48" s="108"/>
      <c r="M48" s="140"/>
      <c r="N48" s="108"/>
      <c r="O48" s="108"/>
      <c r="P48" s="114"/>
      <c r="Q48" s="114"/>
      <c r="R48" s="141"/>
      <c r="S48" s="114"/>
      <c r="T48" s="114"/>
      <c r="U48" s="114"/>
      <c r="V48" s="114"/>
      <c r="W48" s="114"/>
      <c r="X48" s="114"/>
      <c r="Y48" s="142"/>
      <c r="Z48" s="141"/>
      <c r="AA48" s="114"/>
      <c r="AB48" s="114"/>
      <c r="AC48" s="114"/>
      <c r="AD48" s="114"/>
      <c r="AE48" s="114"/>
      <c r="AF48" s="116"/>
      <c r="AG48" s="114"/>
      <c r="AH48" s="143"/>
      <c r="AI48" s="114"/>
      <c r="AJ48" s="117"/>
      <c r="AK48" s="114"/>
      <c r="AL48" s="114"/>
      <c r="AM48" s="114"/>
      <c r="AN48" s="114"/>
    </row>
    <row r="49" customFormat="false" ht="12.95" hidden="false" customHeight="true" outlineLevel="0" collapsed="false">
      <c r="A49" s="17" t="s">
        <v>82</v>
      </c>
      <c r="B49" s="90"/>
      <c r="C49" s="91"/>
      <c r="D49" s="91"/>
      <c r="E49" s="91"/>
      <c r="F49" s="92" t="n">
        <f aca="false">F10+F43</f>
        <v>-844.466851525082</v>
      </c>
      <c r="G49" s="10" t="n">
        <f aca="false">G10+G43</f>
        <v>3268</v>
      </c>
      <c r="H49" s="15" t="n">
        <f aca="false">H10+H43</f>
        <v>6.33</v>
      </c>
      <c r="I49" s="10" t="n">
        <f aca="false">I10+I43</f>
        <v>3274.33</v>
      </c>
      <c r="J49" s="10" t="n">
        <f aca="false">J10+J43</f>
        <v>582.83372069574</v>
      </c>
      <c r="K49" s="10" t="n">
        <f aca="false">K10+K43</f>
        <v>3857.16372069574</v>
      </c>
      <c r="L49" s="10" t="n">
        <f aca="false">L10+L43</f>
        <v>94.2031484749181</v>
      </c>
      <c r="M49" s="93" t="n">
        <f aca="false">M10+M43</f>
        <v>218.2</v>
      </c>
      <c r="N49" s="91" t="n">
        <f aca="false">N10+N43</f>
        <v>0</v>
      </c>
      <c r="O49" s="91" t="n">
        <v>0</v>
      </c>
      <c r="P49" s="94" t="n">
        <f aca="false">P10+P43</f>
        <v>40.698</v>
      </c>
      <c r="Q49" s="94" t="n">
        <f aca="false">Q10+Q43</f>
        <v>72.488</v>
      </c>
      <c r="R49" s="95" t="n">
        <f aca="false">R10+R43</f>
        <v>0</v>
      </c>
      <c r="S49" s="96" t="n">
        <f aca="false">S10+S43</f>
        <v>3172</v>
      </c>
      <c r="T49" s="96" t="n">
        <f aca="false">T10+T43</f>
        <v>33.8</v>
      </c>
      <c r="U49" s="96" t="n">
        <f aca="false">U10+U43</f>
        <v>3310.814</v>
      </c>
      <c r="V49" s="96"/>
      <c r="W49" s="96"/>
      <c r="X49" s="96"/>
      <c r="Y49" s="97"/>
      <c r="Z49" s="95"/>
      <c r="AA49" s="96" t="n">
        <f aca="false">AA10+AA43</f>
        <v>789</v>
      </c>
      <c r="AB49" s="96" t="n">
        <f aca="false">AB41</f>
        <v>3262</v>
      </c>
      <c r="AC49" s="96" t="n">
        <f aca="false">AC10+AC43</f>
        <v>4213</v>
      </c>
      <c r="AD49" s="96" t="n">
        <f aca="false">AD10+AD43</f>
        <v>488.630572220822</v>
      </c>
      <c r="AE49" s="96" t="n">
        <f aca="false">AE10+AE43</f>
        <v>4701.63057222082</v>
      </c>
      <c r="AF49" s="98" t="n">
        <f aca="false">AF10+AF43</f>
        <v>2.08</v>
      </c>
      <c r="AG49" s="99"/>
      <c r="AH49" s="100"/>
      <c r="AI49" s="101"/>
      <c r="AJ49" s="96" t="n">
        <f aca="false">AJ10+AJ43</f>
        <v>517.4192</v>
      </c>
      <c r="AK49" s="103"/>
      <c r="AL49" s="103"/>
      <c r="AM49" s="103"/>
    </row>
    <row r="50" customFormat="false" ht="12.95" hidden="false" customHeight="true" outlineLevel="0" collapsed="false">
      <c r="A50" s="17" t="s">
        <v>83</v>
      </c>
      <c r="B50" s="90"/>
      <c r="C50" s="91"/>
      <c r="D50" s="91" t="n">
        <f aca="false">D10+D44</f>
        <v>-1675</v>
      </c>
      <c r="E50" s="91" t="n">
        <f aca="false">E41</f>
        <v>53571</v>
      </c>
      <c r="F50" s="92" t="n">
        <f aca="false">F49*$D$2</f>
        <v>-1675</v>
      </c>
      <c r="G50" s="10" t="n">
        <f aca="false">G49*$D$2</f>
        <v>6482.078</v>
      </c>
      <c r="H50" s="15" t="n">
        <f aca="false">H49*$D$2</f>
        <v>12.555555</v>
      </c>
      <c r="I50" s="10" t="n">
        <f aca="false">I49*$D$2</f>
        <v>6494.633555</v>
      </c>
      <c r="J50" s="10" t="n">
        <f aca="false">J49*$D$2</f>
        <v>1156.050685</v>
      </c>
      <c r="K50" s="10" t="n">
        <f aca="false">K49*$D$2</f>
        <v>7650.68424</v>
      </c>
      <c r="L50" s="10" t="n">
        <f aca="false">L49*$D$2</f>
        <v>186.851945</v>
      </c>
      <c r="M50" s="93" t="n">
        <f aca="false">M49*$D$2</f>
        <v>432.7997</v>
      </c>
      <c r="N50" s="91" t="n">
        <f aca="false">N49*$D$2</f>
        <v>0</v>
      </c>
      <c r="O50" s="91" t="n">
        <f aca="false">O49*$D$2</f>
        <v>0</v>
      </c>
      <c r="P50" s="94" t="n">
        <f aca="false">P49*$D$2</f>
        <v>80.724483</v>
      </c>
      <c r="Q50" s="94" t="n">
        <f aca="false">Q49*$D$2</f>
        <v>143.779948</v>
      </c>
      <c r="R50" s="95" t="n">
        <f aca="false">R49*$D$2</f>
        <v>0</v>
      </c>
      <c r="S50" s="96" t="n">
        <f aca="false">S49*$D$2</f>
        <v>6291.662</v>
      </c>
      <c r="T50" s="96" t="n">
        <f aca="false">T49*$D$2</f>
        <v>67.0423</v>
      </c>
      <c r="U50" s="96" t="n">
        <f aca="false">U49*$D$2</f>
        <v>6566.999569</v>
      </c>
      <c r="V50" s="96"/>
      <c r="W50" s="96"/>
      <c r="X50" s="96"/>
      <c r="Y50" s="97"/>
      <c r="Z50" s="95"/>
      <c r="AA50" s="96" t="n">
        <f aca="false">AA49*$D$2</f>
        <v>1564.9815</v>
      </c>
      <c r="AB50" s="96" t="n">
        <f aca="false">AB49*$D$2</f>
        <v>6470.177</v>
      </c>
      <c r="AC50" s="96" t="n">
        <f aca="false">AC49*$D$2</f>
        <v>8356.4855</v>
      </c>
      <c r="AD50" s="96" t="n">
        <f aca="false">AD49*$D$2</f>
        <v>969.19874</v>
      </c>
      <c r="AE50" s="96" t="n">
        <f aca="false">AE49*$D$2</f>
        <v>9325.68424</v>
      </c>
      <c r="AF50" s="98"/>
      <c r="AG50" s="99"/>
      <c r="AH50" s="145"/>
      <c r="AI50" s="101" t="n">
        <f aca="false">AI41</f>
        <v>6117.6343208</v>
      </c>
      <c r="AJ50" s="96" t="n">
        <f aca="false">AJ49*$D$2</f>
        <v>1026.3009832</v>
      </c>
      <c r="AK50" s="103"/>
      <c r="AL50" s="103"/>
      <c r="AM50" s="103"/>
    </row>
    <row r="51" customFormat="false" ht="3" hidden="false" customHeight="true" outlineLevel="0" collapsed="false">
      <c r="A51" s="106"/>
      <c r="B51" s="135"/>
      <c r="C51" s="108"/>
      <c r="D51" s="106"/>
      <c r="E51" s="108"/>
      <c r="F51" s="109"/>
      <c r="G51" s="106"/>
      <c r="H51" s="110"/>
      <c r="I51" s="106"/>
      <c r="J51" s="106"/>
      <c r="K51" s="106"/>
      <c r="L51" s="106"/>
      <c r="M51" s="111"/>
      <c r="N51" s="106"/>
      <c r="O51" s="106"/>
      <c r="P51" s="106"/>
      <c r="Q51" s="106"/>
      <c r="R51" s="146"/>
      <c r="S51" s="106"/>
      <c r="T51" s="106"/>
      <c r="U51" s="106"/>
      <c r="V51" s="108"/>
      <c r="W51" s="108"/>
      <c r="X51" s="106"/>
      <c r="Y51" s="111"/>
      <c r="Z51" s="146"/>
      <c r="AA51" s="106"/>
      <c r="AB51" s="108"/>
      <c r="AC51" s="106"/>
      <c r="AD51" s="106"/>
      <c r="AE51" s="106"/>
      <c r="AF51" s="106"/>
      <c r="AG51" s="106"/>
      <c r="AH51" s="106"/>
      <c r="AI51" s="106"/>
      <c r="AJ51" s="147"/>
      <c r="AK51" s="106"/>
      <c r="AL51" s="148"/>
      <c r="AM51" s="149"/>
      <c r="AN51" s="149"/>
    </row>
    <row r="52" customFormat="false" ht="14.1" hidden="false" customHeight="true" outlineLevel="0" collapsed="false">
      <c r="A52" s="150"/>
      <c r="B52" s="151"/>
      <c r="C52" s="10"/>
      <c r="D52" s="9"/>
      <c r="E52" s="10"/>
      <c r="F52" s="9"/>
      <c r="G52" s="9"/>
      <c r="H52" s="14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10"/>
      <c r="W52" s="10"/>
      <c r="X52" s="9"/>
      <c r="Y52" s="9"/>
      <c r="Z52" s="9"/>
      <c r="AA52" s="9"/>
      <c r="AB52" s="10"/>
      <c r="AC52" s="9"/>
      <c r="AD52" s="9"/>
      <c r="AE52" s="14"/>
      <c r="AF52" s="14"/>
      <c r="AG52" s="15"/>
      <c r="AH52" s="15"/>
      <c r="AI52" s="16"/>
      <c r="AJ52" s="89"/>
    </row>
    <row r="53" customFormat="false" ht="11.1" hidden="false" customHeight="true" outlineLevel="0" collapsed="false">
      <c r="A53" s="9"/>
      <c r="B53" s="152"/>
      <c r="C53" s="10"/>
      <c r="D53" s="153"/>
      <c r="E53" s="10"/>
      <c r="F53" s="9"/>
      <c r="G53" s="9"/>
      <c r="H53" s="14"/>
      <c r="I53" s="11"/>
      <c r="J53" s="9"/>
      <c r="K53" s="154"/>
      <c r="L53" s="9"/>
      <c r="M53" s="9"/>
      <c r="N53" s="9"/>
      <c r="O53" s="9"/>
      <c r="P53" s="9"/>
      <c r="Q53" s="9"/>
      <c r="R53" s="9"/>
      <c r="S53" s="9"/>
      <c r="T53" s="9"/>
      <c r="U53" s="9"/>
      <c r="V53" s="10"/>
      <c r="W53" s="10"/>
      <c r="X53" s="9"/>
      <c r="Y53" s="9"/>
      <c r="Z53" s="9"/>
      <c r="AA53" s="9"/>
      <c r="AB53" s="10"/>
      <c r="AC53" s="9"/>
      <c r="AD53" s="9"/>
      <c r="AE53" s="14"/>
      <c r="AF53" s="14"/>
      <c r="AG53" s="15"/>
      <c r="AH53" s="15"/>
      <c r="AI53" s="16"/>
      <c r="AJ53" s="89"/>
    </row>
    <row r="54" customFormat="false" ht="11.1" hidden="false" customHeight="true" outlineLevel="0" collapsed="false">
      <c r="B54" s="153"/>
      <c r="C54" s="10"/>
      <c r="D54" s="10"/>
      <c r="E54" s="10"/>
      <c r="F54" s="153"/>
      <c r="G54" s="153"/>
      <c r="H54" s="14"/>
      <c r="I54" s="153"/>
      <c r="J54" s="153"/>
      <c r="K54" s="153"/>
      <c r="L54" s="153"/>
      <c r="M54" s="122"/>
      <c r="N54" s="122"/>
      <c r="O54" s="122"/>
      <c r="P54" s="122"/>
      <c r="Q54" s="122"/>
      <c r="R54" s="122"/>
      <c r="S54" s="153"/>
      <c r="T54" s="153"/>
      <c r="U54" s="153"/>
      <c r="V54" s="10"/>
      <c r="W54" s="10"/>
      <c r="X54" s="153"/>
      <c r="Y54" s="153"/>
      <c r="Z54" s="153"/>
      <c r="AA54" s="153"/>
      <c r="AB54" s="10"/>
      <c r="AC54" s="153"/>
      <c r="AD54" s="153"/>
      <c r="AE54" s="14"/>
      <c r="AF54" s="14"/>
      <c r="AG54" s="15"/>
      <c r="AH54" s="15"/>
      <c r="AI54" s="16"/>
      <c r="AJ54" s="89"/>
    </row>
    <row r="55" customFormat="false" ht="11.1" hidden="false" customHeight="true" outlineLevel="0" collapsed="false">
      <c r="A55" s="153"/>
      <c r="B55" s="13"/>
      <c r="C55" s="10"/>
      <c r="D55" s="10"/>
      <c r="E55" s="10"/>
      <c r="F55" s="153"/>
      <c r="G55" s="153"/>
      <c r="H55" s="14"/>
      <c r="I55" s="153"/>
      <c r="J55" s="153"/>
      <c r="K55" s="153"/>
      <c r="L55" s="153"/>
      <c r="M55" s="122"/>
      <c r="N55" s="122"/>
      <c r="O55" s="122"/>
      <c r="P55" s="122"/>
      <c r="Q55" s="122"/>
      <c r="R55" s="122"/>
      <c r="S55" s="153"/>
      <c r="T55" s="153"/>
      <c r="U55" s="153"/>
      <c r="V55" s="10"/>
      <c r="W55" s="10"/>
      <c r="X55" s="153"/>
      <c r="Y55" s="153"/>
      <c r="Z55" s="153"/>
      <c r="AA55" s="153"/>
      <c r="AB55" s="10"/>
      <c r="AC55" s="153"/>
      <c r="AD55" s="153"/>
      <c r="AE55" s="14"/>
      <c r="AF55" s="14"/>
      <c r="AG55" s="15"/>
      <c r="AH55" s="15"/>
      <c r="AI55" s="16"/>
      <c r="AJ55" s="89"/>
    </row>
    <row r="56" customFormat="false" ht="11.1" hidden="false" customHeight="true" outlineLevel="0" collapsed="false">
      <c r="A56" s="153"/>
      <c r="B56" s="153"/>
      <c r="C56" s="10"/>
      <c r="D56" s="153"/>
      <c r="E56" s="10"/>
      <c r="F56" s="153"/>
      <c r="G56" s="155"/>
      <c r="H56" s="14"/>
      <c r="I56" s="153"/>
      <c r="J56" s="153"/>
      <c r="K56" s="153"/>
      <c r="L56" s="153"/>
      <c r="M56" s="122"/>
      <c r="N56" s="122"/>
      <c r="O56" s="122"/>
      <c r="P56" s="122"/>
      <c r="Q56" s="122"/>
      <c r="R56" s="153"/>
      <c r="S56" s="153"/>
      <c r="T56" s="153"/>
      <c r="U56" s="10"/>
      <c r="V56" s="153"/>
      <c r="W56" s="153"/>
      <c r="X56" s="153"/>
      <c r="Y56" s="10"/>
      <c r="Z56" s="10"/>
      <c r="AA56" s="10"/>
      <c r="AB56" s="153"/>
      <c r="AC56" s="153"/>
      <c r="AD56" s="153"/>
      <c r="AE56" s="14"/>
      <c r="AF56" s="14"/>
      <c r="AG56" s="15"/>
      <c r="AH56" s="16"/>
    </row>
  </sheetData>
  <mergeCells count="1">
    <mergeCell ref="M5:R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9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R30" activePane="bottomRight" state="frozen"/>
      <selection pane="topLeft" activeCell="A1" activeCellId="0" sqref="A1"/>
      <selection pane="topRight" activeCell="R1" activeCellId="0" sqref="R1"/>
      <selection pane="bottomLeft" activeCell="A30" activeCellId="0" sqref="A30"/>
      <selection pane="bottomRight" activeCell="AA43" activeCellId="0" sqref="AA43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158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8" min="16" style="156" width="4.32"/>
    <col collapsed="false" customWidth="true" hidden="false" outlineLevel="0" max="20" min="19" style="156" width="5.49"/>
    <col collapsed="false" customWidth="true" hidden="false" outlineLevel="0" max="21" min="21" style="157" width="6.32"/>
    <col collapsed="false" customWidth="true" hidden="false" outlineLevel="0" max="22" min="22" style="159" width="5.49"/>
    <col collapsed="false" customWidth="true" hidden="false" outlineLevel="0" max="26" min="23" style="156" width="5.49"/>
    <col collapsed="false" customWidth="true" hidden="false" outlineLevel="0" max="27" min="27" style="157" width="5.49"/>
    <col collapsed="false" customWidth="true" hidden="false" outlineLevel="0" max="28" min="28" style="156" width="5.49"/>
    <col collapsed="false" customWidth="true" hidden="false" outlineLevel="0" max="29" min="29" style="156" width="6.32"/>
    <col collapsed="false" customWidth="true" hidden="false" outlineLevel="0" max="30" min="30" style="156" width="6.99"/>
    <col collapsed="false" customWidth="true" hidden="false" outlineLevel="0" max="31" min="31" style="160" width="6.99"/>
    <col collapsed="false" customWidth="true" hidden="false" outlineLevel="0" max="32" min="32" style="158" width="5.32"/>
    <col collapsed="false" customWidth="true" hidden="false" outlineLevel="0" max="33" min="33" style="161" width="3.82"/>
    <col collapsed="false" customWidth="true" hidden="false" outlineLevel="0" max="34" min="34" style="162" width="3.82"/>
    <col collapsed="false" customWidth="true" hidden="false" outlineLevel="0" max="36" min="35" style="156" width="5.49"/>
    <col collapsed="false" customWidth="true" hidden="false" outlineLevel="0" max="37" min="37" style="156" width="6.32"/>
    <col collapsed="false" customWidth="true" hidden="false" outlineLevel="0" max="39" min="38" style="163" width="6.32"/>
    <col collapsed="false" customWidth="true" hidden="false" outlineLevel="0" max="40" min="40" style="156" width="6.49"/>
    <col collapsed="false" customWidth="false" hidden="false" outlineLevel="0" max="257" min="41" style="156" width="9.32"/>
  </cols>
  <sheetData>
    <row r="1" customFormat="false" ht="14.1" hidden="false" customHeight="true" outlineLevel="0" collapsed="false">
      <c r="A1" s="164"/>
      <c r="B1" s="164"/>
      <c r="C1" s="165"/>
      <c r="D1" s="164"/>
      <c r="E1" s="165"/>
      <c r="F1" s="164"/>
      <c r="G1" s="164"/>
      <c r="H1" s="166"/>
      <c r="I1" s="164"/>
      <c r="J1" s="164"/>
      <c r="K1" s="167" t="s">
        <v>0</v>
      </c>
      <c r="L1" s="164"/>
      <c r="M1" s="164"/>
      <c r="N1" s="164"/>
      <c r="O1" s="164"/>
      <c r="P1" s="164"/>
      <c r="Q1" s="164"/>
      <c r="R1" s="164"/>
      <c r="S1" s="164"/>
      <c r="T1" s="164"/>
      <c r="U1" s="165"/>
      <c r="V1" s="168"/>
      <c r="W1" s="164"/>
      <c r="X1" s="164"/>
      <c r="Y1" s="164"/>
      <c r="Z1" s="164"/>
      <c r="AA1" s="165"/>
      <c r="AB1" s="164"/>
      <c r="AC1" s="164"/>
      <c r="AD1" s="164"/>
      <c r="AE1" s="169"/>
      <c r="AF1" s="170"/>
      <c r="AG1" s="171"/>
      <c r="AH1" s="172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166"/>
      <c r="I2" s="164"/>
      <c r="J2" s="164"/>
      <c r="K2" s="175" t="s">
        <v>84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64"/>
      <c r="Y2" s="164"/>
      <c r="Z2" s="164"/>
      <c r="AA2" s="165"/>
      <c r="AB2" s="164"/>
      <c r="AC2" s="164"/>
      <c r="AD2" s="164"/>
      <c r="AE2" s="169"/>
      <c r="AF2" s="170"/>
      <c r="AG2" s="171"/>
      <c r="AH2" s="172"/>
    </row>
    <row r="3" customFormat="false" ht="14.1" hidden="false" customHeight="true" outlineLevel="0" collapsed="false">
      <c r="A3" s="176"/>
      <c r="B3" s="176"/>
      <c r="C3" s="177"/>
      <c r="D3" s="178"/>
      <c r="E3" s="177"/>
      <c r="F3" s="176"/>
      <c r="G3" s="176"/>
      <c r="H3" s="179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7"/>
      <c r="V3" s="180"/>
      <c r="W3" s="176"/>
      <c r="X3" s="176"/>
      <c r="Y3" s="176"/>
      <c r="Z3" s="176"/>
      <c r="AA3" s="177"/>
      <c r="AB3" s="176"/>
      <c r="AC3" s="176"/>
      <c r="AD3" s="176"/>
      <c r="AE3" s="181"/>
      <c r="AF3" s="182"/>
      <c r="AG3" s="183"/>
      <c r="AH3" s="184"/>
      <c r="AI3" s="185"/>
      <c r="AJ3" s="185"/>
      <c r="AK3" s="185"/>
      <c r="AL3" s="186"/>
    </row>
    <row r="4" s="200" customFormat="true" ht="14.1" hidden="false" customHeight="true" outlineLevel="0" collapsed="false">
      <c r="A4" s="187"/>
      <c r="B4" s="188"/>
      <c r="C4" s="189"/>
      <c r="D4" s="190" t="s">
        <v>3</v>
      </c>
      <c r="E4" s="189"/>
      <c r="F4" s="191"/>
      <c r="G4" s="187"/>
      <c r="H4" s="192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93" t="s">
        <v>4</v>
      </c>
      <c r="T4" s="187"/>
      <c r="U4" s="194"/>
      <c r="V4" s="195"/>
      <c r="W4" s="187"/>
      <c r="X4" s="187"/>
      <c r="Y4" s="187"/>
      <c r="Z4" s="187"/>
      <c r="AA4" s="194"/>
      <c r="AB4" s="187"/>
      <c r="AC4" s="187"/>
      <c r="AD4" s="187"/>
      <c r="AE4" s="196"/>
      <c r="AF4" s="197"/>
      <c r="AG4" s="198" t="s">
        <v>5</v>
      </c>
      <c r="AH4" s="199"/>
      <c r="AK4" s="201" t="s">
        <v>6</v>
      </c>
      <c r="AL4" s="202"/>
      <c r="AM4" s="203"/>
      <c r="AN4" s="204"/>
    </row>
    <row r="5" customFormat="false" ht="12.95" hidden="false" customHeight="true" outlineLevel="0" collapsed="false">
      <c r="A5" s="205" t="s">
        <v>7</v>
      </c>
      <c r="B5" s="206" t="s">
        <v>8</v>
      </c>
      <c r="C5" s="207" t="s">
        <v>8</v>
      </c>
      <c r="D5" s="205" t="s">
        <v>9</v>
      </c>
      <c r="E5" s="207" t="s">
        <v>10</v>
      </c>
      <c r="F5" s="208" t="s">
        <v>11</v>
      </c>
      <c r="G5" s="205" t="s">
        <v>12</v>
      </c>
      <c r="H5" s="209" t="s">
        <v>13</v>
      </c>
      <c r="I5" s="205" t="s">
        <v>14</v>
      </c>
      <c r="J5" s="205" t="s">
        <v>15</v>
      </c>
      <c r="K5" s="205" t="s">
        <v>16</v>
      </c>
      <c r="L5" s="205" t="s">
        <v>15</v>
      </c>
      <c r="M5" s="210" t="s">
        <v>17</v>
      </c>
      <c r="N5" s="210"/>
      <c r="O5" s="210"/>
      <c r="P5" s="210"/>
      <c r="Q5" s="210"/>
      <c r="R5" s="210"/>
      <c r="S5" s="205" t="s">
        <v>18</v>
      </c>
      <c r="T5" s="205" t="s">
        <v>19</v>
      </c>
      <c r="U5" s="205" t="s">
        <v>16</v>
      </c>
      <c r="V5" s="211" t="s">
        <v>20</v>
      </c>
      <c r="W5" s="207" t="s">
        <v>20</v>
      </c>
      <c r="X5" s="205" t="s">
        <v>21</v>
      </c>
      <c r="Y5" s="212" t="s">
        <v>85</v>
      </c>
      <c r="Z5" s="213"/>
      <c r="AA5" s="205" t="s">
        <v>23</v>
      </c>
      <c r="AB5" s="207" t="s">
        <v>24</v>
      </c>
      <c r="AC5" s="205" t="s">
        <v>14</v>
      </c>
      <c r="AD5" s="205" t="s">
        <v>15</v>
      </c>
      <c r="AE5" s="205" t="s">
        <v>16</v>
      </c>
      <c r="AF5" s="214" t="s">
        <v>25</v>
      </c>
      <c r="AG5" s="215" t="s">
        <v>26</v>
      </c>
      <c r="AH5" s="216" t="s">
        <v>27</v>
      </c>
      <c r="AI5" s="215" t="s">
        <v>86</v>
      </c>
      <c r="AJ5" s="215" t="s">
        <v>20</v>
      </c>
      <c r="AK5" s="217" t="s">
        <v>87</v>
      </c>
      <c r="AL5" s="217" t="s">
        <v>20</v>
      </c>
      <c r="AM5" s="218" t="s">
        <v>29</v>
      </c>
      <c r="AN5" s="219" t="s">
        <v>30</v>
      </c>
    </row>
    <row r="6" customFormat="false" ht="12.95" hidden="false" customHeight="true" outlineLevel="0" collapsed="false">
      <c r="A6" s="220" t="s">
        <v>88</v>
      </c>
      <c r="B6" s="206" t="s">
        <v>32</v>
      </c>
      <c r="C6" s="207" t="s">
        <v>9</v>
      </c>
      <c r="D6" s="205" t="s">
        <v>33</v>
      </c>
      <c r="E6" s="207" t="s">
        <v>34</v>
      </c>
      <c r="F6" s="208" t="s">
        <v>35</v>
      </c>
      <c r="G6" s="205" t="s">
        <v>36</v>
      </c>
      <c r="H6" s="209" t="s">
        <v>37</v>
      </c>
      <c r="I6" s="205" t="s">
        <v>38</v>
      </c>
      <c r="J6" s="205" t="s">
        <v>38</v>
      </c>
      <c r="K6" s="205" t="s">
        <v>38</v>
      </c>
      <c r="L6" s="205" t="s">
        <v>39</v>
      </c>
      <c r="M6" s="221" t="s">
        <v>40</v>
      </c>
      <c r="N6" s="205" t="s">
        <v>41</v>
      </c>
      <c r="O6" s="205" t="s">
        <v>89</v>
      </c>
      <c r="P6" s="205" t="s">
        <v>43</v>
      </c>
      <c r="Q6" s="205" t="s">
        <v>44</v>
      </c>
      <c r="R6" s="222" t="s">
        <v>45</v>
      </c>
      <c r="S6" s="205" t="s">
        <v>46</v>
      </c>
      <c r="T6" s="205" t="s">
        <v>47</v>
      </c>
      <c r="U6" s="205" t="s">
        <v>20</v>
      </c>
      <c r="V6" s="211" t="s">
        <v>90</v>
      </c>
      <c r="W6" s="207" t="s">
        <v>49</v>
      </c>
      <c r="X6" s="205" t="s">
        <v>50</v>
      </c>
      <c r="Y6" s="221"/>
      <c r="Z6" s="222"/>
      <c r="AA6" s="205" t="s">
        <v>53</v>
      </c>
      <c r="AB6" s="207" t="s">
        <v>54</v>
      </c>
      <c r="AC6" s="205" t="s">
        <v>55</v>
      </c>
      <c r="AD6" s="205" t="s">
        <v>55</v>
      </c>
      <c r="AE6" s="205" t="s">
        <v>55</v>
      </c>
      <c r="AF6" s="223"/>
      <c r="AG6" s="215" t="s">
        <v>56</v>
      </c>
      <c r="AH6" s="216" t="s">
        <v>56</v>
      </c>
      <c r="AI6" s="224" t="s">
        <v>57</v>
      </c>
      <c r="AJ6" s="224" t="s">
        <v>58</v>
      </c>
      <c r="AK6" s="217" t="s">
        <v>59</v>
      </c>
      <c r="AL6" s="217" t="s">
        <v>59</v>
      </c>
      <c r="AM6" s="218" t="s">
        <v>60</v>
      </c>
      <c r="AN6" s="225" t="s">
        <v>61</v>
      </c>
    </row>
    <row r="7" customFormat="false" ht="12.95" hidden="false" customHeight="true" outlineLevel="0" collapsed="false">
      <c r="A7" s="226"/>
      <c r="B7" s="227"/>
      <c r="C7" s="228"/>
      <c r="D7" s="226"/>
      <c r="E7" s="229" t="s">
        <v>62</v>
      </c>
      <c r="F7" s="230"/>
      <c r="G7" s="226"/>
      <c r="H7" s="231"/>
      <c r="I7" s="226"/>
      <c r="J7" s="226"/>
      <c r="K7" s="226"/>
      <c r="L7" s="226"/>
      <c r="M7" s="232"/>
      <c r="N7" s="233" t="s">
        <v>63</v>
      </c>
      <c r="O7" s="233" t="s">
        <v>64</v>
      </c>
      <c r="P7" s="233"/>
      <c r="Q7" s="233"/>
      <c r="R7" s="234" t="s">
        <v>42</v>
      </c>
      <c r="S7" s="226"/>
      <c r="T7" s="226"/>
      <c r="U7" s="226"/>
      <c r="V7" s="235"/>
      <c r="W7" s="229" t="s">
        <v>91</v>
      </c>
      <c r="X7" s="226"/>
      <c r="Y7" s="232"/>
      <c r="Z7" s="236"/>
      <c r="AA7" s="226"/>
      <c r="AB7" s="228"/>
      <c r="AC7" s="226"/>
      <c r="AD7" s="226"/>
      <c r="AE7" s="226"/>
      <c r="AF7" s="237"/>
      <c r="AG7" s="224"/>
      <c r="AH7" s="238"/>
      <c r="AI7" s="224" t="s">
        <v>66</v>
      </c>
      <c r="AJ7" s="224" t="s">
        <v>66</v>
      </c>
      <c r="AK7" s="217" t="s">
        <v>67</v>
      </c>
      <c r="AL7" s="217" t="s">
        <v>92</v>
      </c>
      <c r="AM7" s="218" t="s">
        <v>69</v>
      </c>
      <c r="AN7" s="225" t="s">
        <v>70</v>
      </c>
    </row>
    <row r="8" customFormat="false" ht="12.95" hidden="false" customHeight="true" outlineLevel="0" collapsed="false">
      <c r="A8" s="226"/>
      <c r="B8" s="227"/>
      <c r="C8" s="228"/>
      <c r="D8" s="226"/>
      <c r="E8" s="228"/>
      <c r="F8" s="230"/>
      <c r="G8" s="226"/>
      <c r="H8" s="231"/>
      <c r="I8" s="226"/>
      <c r="J8" s="226"/>
      <c r="K8" s="226"/>
      <c r="L8" s="226"/>
      <c r="M8" s="232"/>
      <c r="N8" s="239" t="n">
        <v>1.03</v>
      </c>
      <c r="O8" s="239" t="n">
        <v>1.05</v>
      </c>
      <c r="P8" s="239" t="n">
        <v>1.02</v>
      </c>
      <c r="Q8" s="239" t="n">
        <v>1.04</v>
      </c>
      <c r="R8" s="234" t="s">
        <v>52</v>
      </c>
      <c r="S8" s="226"/>
      <c r="T8" s="226"/>
      <c r="U8" s="226"/>
      <c r="V8" s="240"/>
      <c r="W8" s="229" t="s">
        <v>71</v>
      </c>
      <c r="X8" s="226"/>
      <c r="Y8" s="232"/>
      <c r="Z8" s="236"/>
      <c r="AA8" s="226"/>
      <c r="AB8" s="228"/>
      <c r="AC8" s="226"/>
      <c r="AD8" s="226"/>
      <c r="AE8" s="226"/>
      <c r="AF8" s="237"/>
      <c r="AG8" s="172"/>
      <c r="AH8" s="238"/>
      <c r="AI8" s="172"/>
      <c r="AJ8" s="172"/>
      <c r="AK8" s="217"/>
      <c r="AL8" s="217" t="s">
        <v>66</v>
      </c>
    </row>
    <row r="9" customFormat="false" ht="12.95" hidden="false" customHeight="true" outlineLevel="0" collapsed="false">
      <c r="A9" s="173" t="s">
        <v>73</v>
      </c>
      <c r="B9" s="241"/>
      <c r="C9" s="242"/>
      <c r="D9" s="242"/>
      <c r="E9" s="242"/>
      <c r="F9" s="243"/>
      <c r="G9" s="242"/>
      <c r="H9" s="244"/>
      <c r="I9" s="242"/>
      <c r="J9" s="242"/>
      <c r="K9" s="242"/>
      <c r="L9" s="242"/>
      <c r="M9" s="245"/>
      <c r="N9" s="242"/>
      <c r="O9" s="242"/>
      <c r="P9" s="242"/>
      <c r="Q9" s="242"/>
      <c r="R9" s="246"/>
      <c r="S9" s="242"/>
      <c r="T9" s="242"/>
      <c r="U9" s="242"/>
      <c r="V9" s="247"/>
      <c r="W9" s="242"/>
      <c r="X9" s="242"/>
      <c r="Y9" s="245"/>
      <c r="Z9" s="246"/>
      <c r="AA9" s="242"/>
      <c r="AB9" s="242"/>
      <c r="AC9" s="242"/>
      <c r="AD9" s="242"/>
      <c r="AE9" s="242"/>
      <c r="AF9" s="248"/>
      <c r="AG9" s="244"/>
      <c r="AH9" s="249"/>
      <c r="AI9" s="244"/>
      <c r="AJ9" s="244"/>
      <c r="AK9" s="250"/>
      <c r="AL9" s="250"/>
      <c r="AM9" s="250"/>
    </row>
    <row r="10" s="157" customFormat="true" ht="12.95" hidden="false" customHeight="true" outlineLevel="0" collapsed="false">
      <c r="A10" s="251" t="s">
        <v>74</v>
      </c>
      <c r="B10" s="252" t="n">
        <f aca="false">NOV!B41</f>
        <v>6876.4</v>
      </c>
      <c r="C10" s="242" t="n">
        <f aca="false">NOV!C41</f>
        <v>205571</v>
      </c>
      <c r="D10" s="242" t="n">
        <f aca="false">NOV!D50</f>
        <v>-1675</v>
      </c>
      <c r="E10" s="242" t="n">
        <f aca="false">NOV!E50</f>
        <v>53571</v>
      </c>
      <c r="F10" s="243" t="n">
        <f aca="false">NOV!F49</f>
        <v>-844.466851525082</v>
      </c>
      <c r="G10" s="242" t="n">
        <f aca="false">NOV!G49</f>
        <v>3268</v>
      </c>
      <c r="H10" s="244" t="n">
        <f aca="false">NOV!H49</f>
        <v>6.33</v>
      </c>
      <c r="I10" s="242" t="n">
        <f aca="false">NOV!I49</f>
        <v>3274.33</v>
      </c>
      <c r="J10" s="242" t="n">
        <f aca="false">NOV!J49</f>
        <v>582.83372069574</v>
      </c>
      <c r="K10" s="242" t="n">
        <f aca="false">NOV!K49</f>
        <v>3857.16372069574</v>
      </c>
      <c r="L10" s="242" t="n">
        <f aca="false">NOV!L49</f>
        <v>94.2031484749181</v>
      </c>
      <c r="M10" s="245" t="n">
        <f aca="false">NOV!M49</f>
        <v>218.2</v>
      </c>
      <c r="N10" s="242" t="n">
        <f aca="false">NOV!N49</f>
        <v>0</v>
      </c>
      <c r="O10" s="242" t="n">
        <f aca="false">NOV!O49</f>
        <v>0</v>
      </c>
      <c r="P10" s="242" t="n">
        <f aca="false">NOV!P49</f>
        <v>40.698</v>
      </c>
      <c r="Q10" s="242" t="n">
        <f aca="false">NOV!Q49</f>
        <v>72.488</v>
      </c>
      <c r="R10" s="253" t="n">
        <f aca="false">NOV!R49</f>
        <v>0</v>
      </c>
      <c r="S10" s="242" t="n">
        <f aca="false">NOV!S49</f>
        <v>3172</v>
      </c>
      <c r="T10" s="242" t="n">
        <f aca="false">NOV!T49</f>
        <v>33.8</v>
      </c>
      <c r="U10" s="242" t="n">
        <f aca="false">NOV!U49</f>
        <v>3310.814</v>
      </c>
      <c r="V10" s="247"/>
      <c r="W10" s="242"/>
      <c r="X10" s="242"/>
      <c r="Y10" s="245"/>
      <c r="Z10" s="246"/>
      <c r="AA10" s="242" t="n">
        <f aca="false">NOV!AA49</f>
        <v>789</v>
      </c>
      <c r="AB10" s="242" t="n">
        <f aca="false">NOV!AB49</f>
        <v>3262</v>
      </c>
      <c r="AC10" s="242" t="n">
        <f aca="false">NOV!AC49</f>
        <v>4213</v>
      </c>
      <c r="AD10" s="242" t="n">
        <f aca="false">NOV!AD49</f>
        <v>488.630572220822</v>
      </c>
      <c r="AE10" s="242" t="n">
        <f aca="false">NOV!AE49</f>
        <v>4701.63057222082</v>
      </c>
      <c r="AF10" s="248" t="n">
        <f aca="false">NOV!AF49</f>
        <v>2.08</v>
      </c>
      <c r="AG10" s="244"/>
      <c r="AH10" s="249"/>
      <c r="AI10" s="244" t="n">
        <f aca="false">NOV!AI50</f>
        <v>6117.6343208</v>
      </c>
      <c r="AJ10" s="244" t="n">
        <f aca="false">NOV!AJ49</f>
        <v>517.4192</v>
      </c>
      <c r="AK10" s="242"/>
      <c r="AL10" s="242"/>
      <c r="AM10" s="242"/>
    </row>
    <row r="11" customFormat="false" ht="3" hidden="false" customHeight="true" outlineLevel="0" collapsed="false">
      <c r="A11" s="254"/>
      <c r="B11" s="255"/>
      <c r="C11" s="256"/>
      <c r="D11" s="257"/>
      <c r="E11" s="256"/>
      <c r="F11" s="258"/>
      <c r="G11" s="257"/>
      <c r="H11" s="259"/>
      <c r="I11" s="257"/>
      <c r="J11" s="257"/>
      <c r="K11" s="257"/>
      <c r="L11" s="257"/>
      <c r="M11" s="260"/>
      <c r="N11" s="257"/>
      <c r="O11" s="257"/>
      <c r="P11" s="257"/>
      <c r="Q11" s="257"/>
      <c r="R11" s="261"/>
      <c r="S11" s="257"/>
      <c r="T11" s="257"/>
      <c r="U11" s="257"/>
      <c r="V11" s="262"/>
      <c r="W11" s="256"/>
      <c r="X11" s="257"/>
      <c r="Y11" s="260"/>
      <c r="Z11" s="261"/>
      <c r="AA11" s="257"/>
      <c r="AB11" s="256"/>
      <c r="AC11" s="257"/>
      <c r="AD11" s="257"/>
      <c r="AE11" s="257"/>
      <c r="AF11" s="263"/>
      <c r="AG11" s="264"/>
      <c r="AH11" s="265"/>
      <c r="AI11" s="264"/>
      <c r="AJ11" s="264"/>
      <c r="AK11" s="264"/>
      <c r="AL11" s="264"/>
      <c r="AM11" s="264"/>
      <c r="AN11" s="264"/>
    </row>
    <row r="12" customFormat="false" ht="12.95" hidden="false" customHeight="true" outlineLevel="0" collapsed="false">
      <c r="A12" s="172" t="n">
        <v>1</v>
      </c>
      <c r="B12" s="252" t="n">
        <v>6876.36</v>
      </c>
      <c r="C12" s="242" t="n">
        <v>205455</v>
      </c>
      <c r="D12" s="244" t="n">
        <f aca="false">C12-C10</f>
        <v>-116</v>
      </c>
      <c r="E12" s="242" t="n">
        <f aca="false">C12-152000</f>
        <v>53455</v>
      </c>
      <c r="F12" s="266" t="n">
        <f aca="false">D12/$D$2</f>
        <v>-58.4824804638266</v>
      </c>
      <c r="G12" s="267" t="n">
        <v>37</v>
      </c>
      <c r="H12" s="268" t="n">
        <v>0.14</v>
      </c>
      <c r="I12" s="267" t="n">
        <f aca="false">G12+H12</f>
        <v>37.14</v>
      </c>
      <c r="J12" s="247" t="n">
        <f aca="false">IF(L12&gt;0,L12,0)</f>
        <v>4.67751953617343</v>
      </c>
      <c r="K12" s="267" t="n">
        <f aca="false">I12+J12</f>
        <v>41.8175195361734</v>
      </c>
      <c r="L12" s="267" t="n">
        <f aca="false">F12-(I12-AC12)</f>
        <v>4.67751953617343</v>
      </c>
      <c r="M12" s="269" t="n">
        <v>4.3</v>
      </c>
      <c r="N12" s="267" t="n">
        <v>0</v>
      </c>
      <c r="O12" s="267" t="n">
        <v>0</v>
      </c>
      <c r="P12" s="125" t="n">
        <f aca="false">1.44*1.02</f>
        <v>1.4688</v>
      </c>
      <c r="Q12" s="125" t="n">
        <f aca="false">2.1*1.04</f>
        <v>2.184</v>
      </c>
      <c r="R12" s="132" t="n">
        <v>0</v>
      </c>
      <c r="S12" s="267" t="n">
        <v>71</v>
      </c>
      <c r="T12" s="267" t="n">
        <v>0</v>
      </c>
      <c r="U12" s="247" t="n">
        <f aca="false">M12-N12-O12-P12-Q12-R12+S12+T12</f>
        <v>71.6472</v>
      </c>
      <c r="V12" s="247"/>
      <c r="W12" s="242"/>
      <c r="X12" s="267"/>
      <c r="Y12" s="269"/>
      <c r="Z12" s="270"/>
      <c r="AA12" s="267" t="n">
        <v>25</v>
      </c>
      <c r="AB12" s="242" t="n">
        <f aca="false">AB10-AA12</f>
        <v>3237</v>
      </c>
      <c r="AC12" s="127" t="n">
        <f aca="false">N12+O12+P12+Q12+R12+U12+X12+AA12</f>
        <v>100.3</v>
      </c>
      <c r="AD12" s="267" t="n">
        <f aca="false">IF(L12&lt;0,L12*-1,0)</f>
        <v>0</v>
      </c>
      <c r="AE12" s="267" t="n">
        <f aca="false">AC12+AD12</f>
        <v>100.3</v>
      </c>
      <c r="AF12" s="248" t="n">
        <v>0.03</v>
      </c>
      <c r="AG12" s="244" t="n">
        <v>34</v>
      </c>
      <c r="AH12" s="249" t="n">
        <v>2</v>
      </c>
      <c r="AI12" s="244" t="n">
        <f aca="false">AI10+(U12*1.9835)</f>
        <v>6259.746542</v>
      </c>
      <c r="AJ12" s="244" t="n">
        <v>0</v>
      </c>
      <c r="AK12" s="250"/>
      <c r="AL12" s="250"/>
      <c r="AM12" s="250"/>
    </row>
    <row r="13" customFormat="false" ht="12.95" hidden="false" customHeight="true" outlineLevel="0" collapsed="false">
      <c r="A13" s="172" t="n">
        <f aca="false">A12+1</f>
        <v>2</v>
      </c>
      <c r="B13" s="252" t="n">
        <v>6876.33</v>
      </c>
      <c r="C13" s="242" t="n">
        <v>205368</v>
      </c>
      <c r="D13" s="244" t="n">
        <f aca="false">C13-C12</f>
        <v>-87</v>
      </c>
      <c r="E13" s="242" t="n">
        <f aca="false">C13-152000</f>
        <v>53368</v>
      </c>
      <c r="F13" s="266" t="n">
        <f aca="false">D13/$D$2</f>
        <v>-43.8618603478699</v>
      </c>
      <c r="G13" s="267" t="n">
        <v>39</v>
      </c>
      <c r="H13" s="268" t="n">
        <v>0.09</v>
      </c>
      <c r="I13" s="267" t="n">
        <f aca="false">G13+H13</f>
        <v>39.09</v>
      </c>
      <c r="J13" s="247" t="n">
        <f aca="false">IF(L13&gt;0,L13,0)</f>
        <v>6.34813965213007</v>
      </c>
      <c r="K13" s="267" t="n">
        <f aca="false">I13+J13</f>
        <v>45.4381396521301</v>
      </c>
      <c r="L13" s="267" t="n">
        <f aca="false">F13-(I13-AC13)</f>
        <v>6.34813965213007</v>
      </c>
      <c r="M13" s="269" t="n">
        <v>4.3</v>
      </c>
      <c r="N13" s="267" t="n">
        <v>0</v>
      </c>
      <c r="O13" s="267" t="n">
        <v>0</v>
      </c>
      <c r="P13" s="125" t="n">
        <f aca="false">1.44*1.02</f>
        <v>1.4688</v>
      </c>
      <c r="Q13" s="125" t="n">
        <f aca="false">2.4*1.04</f>
        <v>2.496</v>
      </c>
      <c r="R13" s="132" t="n">
        <v>0</v>
      </c>
      <c r="S13" s="267" t="n">
        <v>60</v>
      </c>
      <c r="T13" s="267" t="n">
        <v>0</v>
      </c>
      <c r="U13" s="247" t="n">
        <f aca="false">M13-N13-O13-P13-Q13-R13+S13+T13</f>
        <v>60.3352</v>
      </c>
      <c r="V13" s="247"/>
      <c r="W13" s="242"/>
      <c r="X13" s="267"/>
      <c r="Y13" s="269"/>
      <c r="Z13" s="270"/>
      <c r="AA13" s="267" t="n">
        <v>25</v>
      </c>
      <c r="AB13" s="242" t="n">
        <f aca="false">AB12-AA13</f>
        <v>3212</v>
      </c>
      <c r="AC13" s="127" t="n">
        <f aca="false">N13+O13+P13+Q13+R13+U13+X13+AA13</f>
        <v>89.3</v>
      </c>
      <c r="AD13" s="267" t="n">
        <f aca="false">IF(L13&lt;0,L13*-1,0)</f>
        <v>0</v>
      </c>
      <c r="AE13" s="267" t="n">
        <f aca="false">AC13+AD13</f>
        <v>89.3</v>
      </c>
      <c r="AF13" s="248" t="n">
        <v>0</v>
      </c>
      <c r="AG13" s="244" t="n">
        <v>37</v>
      </c>
      <c r="AH13" s="249" t="n">
        <v>9</v>
      </c>
      <c r="AI13" s="244" t="n">
        <f aca="false">AI12+(U13*1.9835)</f>
        <v>6379.4214112</v>
      </c>
      <c r="AJ13" s="244" t="n">
        <v>0</v>
      </c>
      <c r="AK13" s="250"/>
      <c r="AL13" s="250"/>
      <c r="AM13" s="250"/>
    </row>
    <row r="14" customFormat="false" ht="12.95" hidden="false" customHeight="true" outlineLevel="0" collapsed="false">
      <c r="A14" s="172" t="n">
        <f aca="false">A13+1</f>
        <v>3</v>
      </c>
      <c r="B14" s="252" t="n">
        <v>6876.3</v>
      </c>
      <c r="C14" s="242" t="n">
        <v>205282</v>
      </c>
      <c r="D14" s="244" t="n">
        <f aca="false">C14-C13</f>
        <v>-86</v>
      </c>
      <c r="E14" s="242" t="n">
        <f aca="false">C14-152000</f>
        <v>53282</v>
      </c>
      <c r="F14" s="266" t="n">
        <f aca="false">D14/$D$2</f>
        <v>-43.3577010335266</v>
      </c>
      <c r="G14" s="267" t="n">
        <v>42</v>
      </c>
      <c r="H14" s="268" t="n">
        <v>0.05</v>
      </c>
      <c r="I14" s="267" t="n">
        <f aca="false">G14+H14</f>
        <v>42.05</v>
      </c>
      <c r="J14" s="247" t="n">
        <f aca="false">IF(L14&gt;0,L14,0)</f>
        <v>2.89229896647342</v>
      </c>
      <c r="K14" s="267" t="n">
        <f aca="false">I14+J14</f>
        <v>44.9422989664734</v>
      </c>
      <c r="L14" s="267" t="n">
        <f aca="false">F14-(I14-AC14)</f>
        <v>2.89229896647342</v>
      </c>
      <c r="M14" s="269" t="n">
        <v>4.3</v>
      </c>
      <c r="N14" s="267" t="n">
        <v>0</v>
      </c>
      <c r="O14" s="267" t="n">
        <v>0</v>
      </c>
      <c r="P14" s="125" t="n">
        <f aca="false">1.44*1.02</f>
        <v>1.4688</v>
      </c>
      <c r="Q14" s="125" t="n">
        <f aca="false">2.36*1.04</f>
        <v>2.4544</v>
      </c>
      <c r="R14" s="132" t="n">
        <v>0</v>
      </c>
      <c r="S14" s="267" t="n">
        <v>59</v>
      </c>
      <c r="T14" s="267" t="n">
        <v>0</v>
      </c>
      <c r="U14" s="247" t="n">
        <f aca="false">M14-N14-P14-Q14-R14+S14+T14</f>
        <v>59.3768</v>
      </c>
      <c r="V14" s="247"/>
      <c r="W14" s="242"/>
      <c r="X14" s="267"/>
      <c r="Y14" s="269"/>
      <c r="Z14" s="270"/>
      <c r="AA14" s="267" t="n">
        <v>25</v>
      </c>
      <c r="AB14" s="242" t="n">
        <f aca="false">AB13-AA14</f>
        <v>3187</v>
      </c>
      <c r="AC14" s="127" t="n">
        <f aca="false">N14+O14+P14+Q14+R14+U14+X14+AA14</f>
        <v>88.3</v>
      </c>
      <c r="AD14" s="267" t="n">
        <f aca="false">IF(L14&lt;0,L14*-1,0)</f>
        <v>0</v>
      </c>
      <c r="AE14" s="267" t="n">
        <f aca="false">AC14+AD14</f>
        <v>88.3</v>
      </c>
      <c r="AF14" s="248" t="n">
        <v>0</v>
      </c>
      <c r="AG14" s="244" t="n">
        <v>38</v>
      </c>
      <c r="AH14" s="249" t="n">
        <v>10</v>
      </c>
      <c r="AI14" s="244" t="n">
        <f aca="false">AI13+(U14*1.9835)</f>
        <v>6497.195294</v>
      </c>
      <c r="AJ14" s="244" t="n">
        <v>0</v>
      </c>
      <c r="AK14" s="250"/>
      <c r="AL14" s="250"/>
      <c r="AM14" s="250"/>
    </row>
    <row r="15" customFormat="false" ht="12.95" hidden="false" customHeight="true" outlineLevel="0" collapsed="false">
      <c r="A15" s="172" t="n">
        <f aca="false">A14+1</f>
        <v>4</v>
      </c>
      <c r="B15" s="252" t="n">
        <v>6876.27</v>
      </c>
      <c r="C15" s="242" t="n">
        <v>205195</v>
      </c>
      <c r="D15" s="244" t="n">
        <f aca="false">C15-C14</f>
        <v>-87</v>
      </c>
      <c r="E15" s="242" t="n">
        <f aca="false">C15-152000</f>
        <v>53195</v>
      </c>
      <c r="F15" s="266" t="n">
        <f aca="false">D15/$D$2</f>
        <v>-43.8618603478699</v>
      </c>
      <c r="G15" s="267" t="n">
        <v>55</v>
      </c>
      <c r="H15" s="268" t="n">
        <v>0.03</v>
      </c>
      <c r="I15" s="267" t="n">
        <f aca="false">G15+H15</f>
        <v>55.03</v>
      </c>
      <c r="J15" s="247" t="n">
        <f aca="false">IF(L15&gt;0,L15,0)</f>
        <v>0</v>
      </c>
      <c r="K15" s="267" t="n">
        <f aca="false">I15+J15</f>
        <v>55.03</v>
      </c>
      <c r="L15" s="267" t="n">
        <f aca="false">F15-(I15-AC15)</f>
        <v>-10.5918603478699</v>
      </c>
      <c r="M15" s="269" t="n">
        <v>4.3</v>
      </c>
      <c r="N15" s="267" t="n">
        <v>0</v>
      </c>
      <c r="O15" s="267" t="n">
        <v>0</v>
      </c>
      <c r="P15" s="125" t="n">
        <f aca="false">1.44*1.02</f>
        <v>1.4688</v>
      </c>
      <c r="Q15" s="125" t="n">
        <f aca="false">2.08*1.04</f>
        <v>2.1632</v>
      </c>
      <c r="R15" s="132" t="n">
        <v>0</v>
      </c>
      <c r="S15" s="267" t="n">
        <v>59</v>
      </c>
      <c r="T15" s="267" t="n">
        <v>0</v>
      </c>
      <c r="U15" s="247" t="n">
        <f aca="false">M15-N15-P15-Q15-R15+S15+T15</f>
        <v>59.668</v>
      </c>
      <c r="V15" s="247"/>
      <c r="W15" s="242"/>
      <c r="X15" s="267"/>
      <c r="Y15" s="269"/>
      <c r="Z15" s="270"/>
      <c r="AA15" s="267" t="n">
        <v>25</v>
      </c>
      <c r="AB15" s="242" t="n">
        <f aca="false">AB14-AA15</f>
        <v>3162</v>
      </c>
      <c r="AC15" s="127" t="n">
        <f aca="false">N15+O15+P15+Q15+R15+U15+X15+AA15</f>
        <v>88.3</v>
      </c>
      <c r="AD15" s="267" t="n">
        <f aca="false">IF(L15&lt;0,L15*-1,0)</f>
        <v>10.5918603478699</v>
      </c>
      <c r="AE15" s="267" t="n">
        <f aca="false">AC15+AD15</f>
        <v>98.8918603478699</v>
      </c>
      <c r="AF15" s="248" t="n">
        <v>0.03</v>
      </c>
      <c r="AG15" s="244" t="n">
        <v>44</v>
      </c>
      <c r="AH15" s="249" t="n">
        <v>14</v>
      </c>
      <c r="AI15" s="244" t="n">
        <f aca="false">AI14+(U15*1.9835)</f>
        <v>6615.546772</v>
      </c>
      <c r="AJ15" s="244" t="n">
        <v>0</v>
      </c>
      <c r="AK15" s="250"/>
      <c r="AL15" s="250"/>
      <c r="AM15" s="250"/>
    </row>
    <row r="16" customFormat="false" ht="12.95" hidden="false" customHeight="true" outlineLevel="0" collapsed="false">
      <c r="A16" s="172" t="n">
        <f aca="false">A15+1</f>
        <v>5</v>
      </c>
      <c r="B16" s="252" t="n">
        <v>6876.3</v>
      </c>
      <c r="C16" s="242" t="n">
        <v>205282</v>
      </c>
      <c r="D16" s="244" t="n">
        <f aca="false">C16-C15</f>
        <v>87</v>
      </c>
      <c r="E16" s="242" t="n">
        <f aca="false">C16-152000</f>
        <v>53282</v>
      </c>
      <c r="F16" s="266" t="n">
        <f aca="false">D16/$D$2</f>
        <v>43.8618603478699</v>
      </c>
      <c r="G16" s="267" t="n">
        <v>61</v>
      </c>
      <c r="H16" s="268" t="n">
        <v>0.04</v>
      </c>
      <c r="I16" s="267" t="n">
        <f aca="false">G16+H16</f>
        <v>61.04</v>
      </c>
      <c r="J16" s="247" t="n">
        <f aca="false">IF(L16&gt;0,L16,0)</f>
        <v>70.1218603478699</v>
      </c>
      <c r="K16" s="267" t="n">
        <f aca="false">I16+J16</f>
        <v>131.16186034787</v>
      </c>
      <c r="L16" s="267" t="n">
        <f aca="false">F16-(I16-AC16)</f>
        <v>70.1218603478699</v>
      </c>
      <c r="M16" s="269" t="n">
        <v>4.3</v>
      </c>
      <c r="N16" s="267" t="n">
        <v>0</v>
      </c>
      <c r="O16" s="267" t="n">
        <v>0</v>
      </c>
      <c r="P16" s="125" t="n">
        <f aca="false">1.44*1.02</f>
        <v>1.4688</v>
      </c>
      <c r="Q16" s="125" t="n">
        <f aca="false">2.34*1.04</f>
        <v>2.4336</v>
      </c>
      <c r="R16" s="132" t="n">
        <v>0</v>
      </c>
      <c r="S16" s="267" t="n">
        <v>59</v>
      </c>
      <c r="T16" s="267" t="n">
        <v>0</v>
      </c>
      <c r="U16" s="247" t="n">
        <f aca="false">M16-N16-P16-Q16-R16+S16+T16</f>
        <v>59.3976</v>
      </c>
      <c r="V16" s="247"/>
      <c r="W16" s="242"/>
      <c r="X16" s="267"/>
      <c r="Y16" s="269"/>
      <c r="Z16" s="270"/>
      <c r="AA16" s="267" t="n">
        <v>24</v>
      </c>
      <c r="AB16" s="242" t="n">
        <f aca="false">AB15-AA16</f>
        <v>3138</v>
      </c>
      <c r="AC16" s="127" t="n">
        <f aca="false">N16+O16+P16+Q16+R16+U16+X16+AA16</f>
        <v>87.3</v>
      </c>
      <c r="AD16" s="267" t="n">
        <f aca="false">IF(L16&lt;0,L16*-1,0)</f>
        <v>0</v>
      </c>
      <c r="AE16" s="267" t="n">
        <f aca="false">AC16+AD16</f>
        <v>87.3</v>
      </c>
      <c r="AF16" s="248" t="n">
        <v>0.21</v>
      </c>
      <c r="AG16" s="244" t="n">
        <v>32</v>
      </c>
      <c r="AH16" s="249" t="n">
        <v>16</v>
      </c>
      <c r="AI16" s="244" t="n">
        <f aca="false">AI15+(U16*1.9835)</f>
        <v>6733.3619116</v>
      </c>
      <c r="AJ16" s="244" t="n">
        <v>0</v>
      </c>
      <c r="AK16" s="250"/>
      <c r="AL16" s="250"/>
      <c r="AM16" s="250"/>
    </row>
    <row r="17" customFormat="false" ht="12.95" hidden="false" customHeight="true" outlineLevel="0" collapsed="false">
      <c r="A17" s="172" t="n">
        <f aca="false">A16+1</f>
        <v>6</v>
      </c>
      <c r="B17" s="252" t="n">
        <v>6876.34</v>
      </c>
      <c r="C17" s="242" t="n">
        <v>205397</v>
      </c>
      <c r="D17" s="244" t="n">
        <f aca="false">C17-C16</f>
        <v>115</v>
      </c>
      <c r="E17" s="242" t="n">
        <f aca="false">C17-152000</f>
        <v>53397</v>
      </c>
      <c r="F17" s="266" t="n">
        <f aca="false">D17/$D$2</f>
        <v>57.9783211494832</v>
      </c>
      <c r="G17" s="267" t="n">
        <v>56</v>
      </c>
      <c r="H17" s="268" t="n">
        <v>0.1</v>
      </c>
      <c r="I17" s="267" t="n">
        <f aca="false">G17+H17</f>
        <v>56.1</v>
      </c>
      <c r="J17" s="247" t="n">
        <f aca="false">IF(L17&gt;0,L17,0)</f>
        <v>81.2783211494832</v>
      </c>
      <c r="K17" s="267" t="n">
        <f aca="false">I17+J17</f>
        <v>137.378321149483</v>
      </c>
      <c r="L17" s="267" t="n">
        <f aca="false">F17-(I17-AC17)</f>
        <v>81.2783211494832</v>
      </c>
      <c r="M17" s="269" t="n">
        <v>4.4</v>
      </c>
      <c r="N17" s="267" t="n">
        <v>0</v>
      </c>
      <c r="O17" s="267" t="n">
        <v>0</v>
      </c>
      <c r="P17" s="125" t="n">
        <f aca="false">1.44*1.02</f>
        <v>1.4688</v>
      </c>
      <c r="Q17" s="125" t="n">
        <f aca="false">2.4*1.04</f>
        <v>2.496</v>
      </c>
      <c r="R17" s="132" t="n">
        <v>0</v>
      </c>
      <c r="S17" s="267" t="n">
        <v>51</v>
      </c>
      <c r="T17" s="267" t="n">
        <v>0</v>
      </c>
      <c r="U17" s="247" t="n">
        <f aca="false">M17-N17-P17-Q17-R17+S17+T17</f>
        <v>51.4352</v>
      </c>
      <c r="V17" s="247"/>
      <c r="W17" s="242"/>
      <c r="X17" s="267"/>
      <c r="Y17" s="269"/>
      <c r="Z17" s="270"/>
      <c r="AA17" s="267" t="n">
        <v>24</v>
      </c>
      <c r="AB17" s="242" t="n">
        <f aca="false">AB16-AA17</f>
        <v>3114</v>
      </c>
      <c r="AC17" s="127" t="n">
        <f aca="false">N17+O17+P17+Q17+R17+U17+X17+AA17</f>
        <v>79.4</v>
      </c>
      <c r="AD17" s="267" t="n">
        <f aca="false">IF(L17&lt;0,L17*-1,0)</f>
        <v>0</v>
      </c>
      <c r="AE17" s="267" t="n">
        <f aca="false">AC17+AD17</f>
        <v>79.4</v>
      </c>
      <c r="AF17" s="248" t="n">
        <v>0</v>
      </c>
      <c r="AG17" s="244" t="n">
        <v>32</v>
      </c>
      <c r="AH17" s="249" t="n">
        <v>18</v>
      </c>
      <c r="AI17" s="244" t="n">
        <f aca="false">AI16+(U17*1.9835)</f>
        <v>6835.3836308</v>
      </c>
      <c r="AJ17" s="244" t="n">
        <v>0</v>
      </c>
      <c r="AK17" s="250"/>
      <c r="AL17" s="250"/>
      <c r="AM17" s="250"/>
    </row>
    <row r="18" customFormat="false" ht="12.95" hidden="false" customHeight="true" outlineLevel="0" collapsed="false">
      <c r="A18" s="172" t="n">
        <f aca="false">A17+1</f>
        <v>7</v>
      </c>
      <c r="B18" s="252" t="n">
        <v>6876.33</v>
      </c>
      <c r="C18" s="242" t="n">
        <v>205368</v>
      </c>
      <c r="D18" s="244" t="n">
        <f aca="false">C18-C17</f>
        <v>-29</v>
      </c>
      <c r="E18" s="242" t="n">
        <f aca="false">C18-152000</f>
        <v>53368</v>
      </c>
      <c r="F18" s="266" t="n">
        <f aca="false">D18/$D$2</f>
        <v>-14.6206201159566</v>
      </c>
      <c r="G18" s="267" t="n">
        <v>55</v>
      </c>
      <c r="H18" s="268" t="n">
        <v>0.18</v>
      </c>
      <c r="I18" s="267" t="n">
        <f aca="false">G18+H18</f>
        <v>55.18</v>
      </c>
      <c r="J18" s="247" t="n">
        <f aca="false">IF(L18&gt;0,L18,0)</f>
        <v>3.79937988404335</v>
      </c>
      <c r="K18" s="267" t="n">
        <f aca="false">I18+J18</f>
        <v>58.9793798840434</v>
      </c>
      <c r="L18" s="267" t="n">
        <f aca="false">F18-(I18-AC18)</f>
        <v>3.79937988404335</v>
      </c>
      <c r="M18" s="269" t="n">
        <v>4.6</v>
      </c>
      <c r="N18" s="267" t="n">
        <v>0</v>
      </c>
      <c r="O18" s="267" t="n">
        <v>0</v>
      </c>
      <c r="P18" s="125" t="n">
        <f aca="false">1.44*1.02</f>
        <v>1.4688</v>
      </c>
      <c r="Q18" s="125" t="n">
        <f aca="false">2.34*1.04</f>
        <v>2.4336</v>
      </c>
      <c r="R18" s="132" t="n">
        <v>0</v>
      </c>
      <c r="S18" s="267" t="n">
        <v>45</v>
      </c>
      <c r="T18" s="267" t="n">
        <v>0</v>
      </c>
      <c r="U18" s="247" t="n">
        <f aca="false">M18-N18-P18-Q18-R18+S18+T18</f>
        <v>45.6976</v>
      </c>
      <c r="V18" s="247"/>
      <c r="W18" s="242"/>
      <c r="X18" s="267"/>
      <c r="Y18" s="269"/>
      <c r="Z18" s="270"/>
      <c r="AA18" s="267" t="n">
        <v>24</v>
      </c>
      <c r="AB18" s="242" t="n">
        <f aca="false">AB17-AA18</f>
        <v>3090</v>
      </c>
      <c r="AC18" s="127" t="n">
        <f aca="false">N18+O18+P18+Q18+R18+U18+X18+AA18</f>
        <v>73.6</v>
      </c>
      <c r="AD18" s="267" t="n">
        <f aca="false">IF(L18&lt;0,L18*-1,0)</f>
        <v>0</v>
      </c>
      <c r="AE18" s="267" t="n">
        <f aca="false">AC18+AD18</f>
        <v>73.6</v>
      </c>
      <c r="AF18" s="248" t="n">
        <v>0</v>
      </c>
      <c r="AG18" s="244" t="n">
        <v>31</v>
      </c>
      <c r="AH18" s="249" t="n">
        <v>23</v>
      </c>
      <c r="AI18" s="244" t="n">
        <f aca="false">AI17+(U18*1.9835)</f>
        <v>6926.0248204</v>
      </c>
      <c r="AJ18" s="244" t="n">
        <v>0</v>
      </c>
      <c r="AK18" s="250"/>
      <c r="AL18" s="250"/>
      <c r="AM18" s="250"/>
    </row>
    <row r="19" customFormat="false" ht="12.95" hidden="false" customHeight="true" outlineLevel="0" collapsed="false">
      <c r="A19" s="172" t="n">
        <f aca="false">A18+1</f>
        <v>8</v>
      </c>
      <c r="B19" s="252" t="n">
        <v>6876.37</v>
      </c>
      <c r="C19" s="242" t="n">
        <v>205484</v>
      </c>
      <c r="D19" s="244" t="n">
        <f aca="false">C19-C18</f>
        <v>116</v>
      </c>
      <c r="E19" s="242" t="n">
        <f aca="false">C19-152000</f>
        <v>53484</v>
      </c>
      <c r="F19" s="266" t="n">
        <f aca="false">D19/$D$2</f>
        <v>58.4824804638266</v>
      </c>
      <c r="G19" s="267" t="n">
        <v>57</v>
      </c>
      <c r="H19" s="268" t="n">
        <v>0.41</v>
      </c>
      <c r="I19" s="267" t="n">
        <f aca="false">G19+H19</f>
        <v>57.41</v>
      </c>
      <c r="J19" s="247" t="n">
        <f aca="false">IF(L19&gt;0,L19,0)</f>
        <v>76.6724804638266</v>
      </c>
      <c r="K19" s="267" t="n">
        <f aca="false">I19+J19</f>
        <v>134.082480463827</v>
      </c>
      <c r="L19" s="267" t="n">
        <f aca="false">F19-(I19-AC19)</f>
        <v>76.6724804638266</v>
      </c>
      <c r="M19" s="269" t="n">
        <v>4.6</v>
      </c>
      <c r="N19" s="267" t="n">
        <v>0</v>
      </c>
      <c r="O19" s="267" t="n">
        <v>0</v>
      </c>
      <c r="P19" s="125" t="n">
        <f aca="false">1.44*1.02</f>
        <v>1.4688</v>
      </c>
      <c r="Q19" s="125" t="n">
        <f aca="false">2.31*1.04</f>
        <v>2.4024</v>
      </c>
      <c r="R19" s="132" t="n">
        <v>0</v>
      </c>
      <c r="S19" s="267" t="n">
        <v>47</v>
      </c>
      <c r="T19" s="267" t="n">
        <v>0</v>
      </c>
      <c r="U19" s="247" t="n">
        <f aca="false">M19-N19-P19-Q19-R19+S19+T19</f>
        <v>47.7288</v>
      </c>
      <c r="V19" s="247"/>
      <c r="W19" s="242"/>
      <c r="X19" s="267"/>
      <c r="Y19" s="269"/>
      <c r="Z19" s="270"/>
      <c r="AA19" s="267" t="n">
        <v>24</v>
      </c>
      <c r="AB19" s="242" t="n">
        <f aca="false">AB18-AA19</f>
        <v>3066</v>
      </c>
      <c r="AC19" s="127" t="n">
        <f aca="false">N19+O19+P19+Q19+R19+U19+X19+AA19</f>
        <v>75.6</v>
      </c>
      <c r="AD19" s="267" t="n">
        <f aca="false">IF(L19&lt;0,L19*-1,0)</f>
        <v>0</v>
      </c>
      <c r="AE19" s="267" t="n">
        <f aca="false">AC19+AD19</f>
        <v>75.6</v>
      </c>
      <c r="AF19" s="248" t="n">
        <v>0.04</v>
      </c>
      <c r="AG19" s="242" t="n">
        <v>35</v>
      </c>
      <c r="AH19" s="249" t="n">
        <v>25</v>
      </c>
      <c r="AI19" s="244" t="n">
        <f aca="false">AI18+(U19*1.9835)</f>
        <v>7020.6948952</v>
      </c>
      <c r="AJ19" s="244" t="n">
        <v>0</v>
      </c>
      <c r="AK19" s="250"/>
      <c r="AL19" s="250"/>
      <c r="AM19" s="250"/>
    </row>
    <row r="20" customFormat="false" ht="12.95" hidden="false" customHeight="true" outlineLevel="0" collapsed="false">
      <c r="A20" s="172" t="n">
        <f aca="false">A19+1</f>
        <v>9</v>
      </c>
      <c r="B20" s="252" t="n">
        <v>6876.41</v>
      </c>
      <c r="C20" s="242" t="n">
        <v>205599</v>
      </c>
      <c r="D20" s="244" t="n">
        <f aca="false">C20-C19</f>
        <v>115</v>
      </c>
      <c r="E20" s="242" t="n">
        <f aca="false">C20-152000</f>
        <v>53599</v>
      </c>
      <c r="F20" s="266" t="n">
        <f aca="false">D20/$D$2</f>
        <v>57.9783211494832</v>
      </c>
      <c r="G20" s="267" t="n">
        <v>51</v>
      </c>
      <c r="H20" s="268" t="n">
        <v>0.43</v>
      </c>
      <c r="I20" s="267" t="n">
        <f aca="false">G20+H20</f>
        <v>51.43</v>
      </c>
      <c r="J20" s="247" t="n">
        <f aca="false">IF(L20&gt;0,L20,0)</f>
        <v>85.1483211494832</v>
      </c>
      <c r="K20" s="267" t="n">
        <f aca="false">I20+J20</f>
        <v>136.578321149483</v>
      </c>
      <c r="L20" s="267" t="n">
        <f aca="false">F20-(I20-AC20)</f>
        <v>85.1483211494832</v>
      </c>
      <c r="M20" s="269" t="n">
        <v>4.6</v>
      </c>
      <c r="N20" s="267" t="n">
        <v>0</v>
      </c>
      <c r="O20" s="267" t="n">
        <v>0</v>
      </c>
      <c r="P20" s="125" t="n">
        <f aca="false">1.44*1.02</f>
        <v>1.4688</v>
      </c>
      <c r="Q20" s="125" t="n">
        <f aca="false">2.4*1.04</f>
        <v>2.496</v>
      </c>
      <c r="R20" s="132" t="n">
        <v>0</v>
      </c>
      <c r="S20" s="267" t="n">
        <v>51</v>
      </c>
      <c r="T20" s="267" t="n">
        <v>0</v>
      </c>
      <c r="U20" s="247" t="n">
        <f aca="false">M20-N20-P20-Q20-R20+S20+T20</f>
        <v>51.6352</v>
      </c>
      <c r="V20" s="247"/>
      <c r="W20" s="242"/>
      <c r="X20" s="267"/>
      <c r="Y20" s="269"/>
      <c r="Z20" s="270"/>
      <c r="AA20" s="267" t="n">
        <v>23</v>
      </c>
      <c r="AB20" s="242" t="n">
        <f aca="false">AB19-AA20</f>
        <v>3043</v>
      </c>
      <c r="AC20" s="127" t="n">
        <f aca="false">N20+O20+P20+Q20+R20+U20+X20+AA20</f>
        <v>78.6</v>
      </c>
      <c r="AD20" s="267" t="n">
        <f aca="false">IF(L20&lt;0,L20*-1,0)</f>
        <v>0</v>
      </c>
      <c r="AE20" s="267" t="n">
        <f aca="false">AC20+AD20</f>
        <v>78.6</v>
      </c>
      <c r="AF20" s="248" t="n">
        <v>0</v>
      </c>
      <c r="AG20" s="242" t="n">
        <v>42</v>
      </c>
      <c r="AH20" s="249" t="n">
        <v>27</v>
      </c>
      <c r="AI20" s="244" t="n">
        <f aca="false">AI19+(U20*1.9835)</f>
        <v>7123.1133144</v>
      </c>
      <c r="AJ20" s="244" t="n">
        <v>0</v>
      </c>
      <c r="AK20" s="250"/>
      <c r="AL20" s="250"/>
      <c r="AM20" s="250"/>
    </row>
    <row r="21" customFormat="false" ht="12.95" hidden="false" customHeight="true" outlineLevel="0" collapsed="false">
      <c r="A21" s="172" t="n">
        <f aca="false">A20+1</f>
        <v>10</v>
      </c>
      <c r="B21" s="252" t="n">
        <v>6876.4</v>
      </c>
      <c r="C21" s="242" t="n">
        <v>205571</v>
      </c>
      <c r="D21" s="244" t="n">
        <f aca="false">C21-C20</f>
        <v>-28</v>
      </c>
      <c r="E21" s="242" t="n">
        <f aca="false">C21-152000</f>
        <v>53571</v>
      </c>
      <c r="F21" s="266" t="n">
        <f aca="false">D21/$D$2</f>
        <v>-14.1164608016133</v>
      </c>
      <c r="G21" s="267" t="n">
        <v>53</v>
      </c>
      <c r="H21" s="268" t="n">
        <v>0.05</v>
      </c>
      <c r="I21" s="267" t="n">
        <f aca="false">G21+H21</f>
        <v>53.05</v>
      </c>
      <c r="J21" s="247" t="n">
        <f aca="false">IF(L21&gt;0,L21,0)</f>
        <v>11.4335391983867</v>
      </c>
      <c r="K21" s="267" t="n">
        <f aca="false">I21+J21</f>
        <v>64.4835391983867</v>
      </c>
      <c r="L21" s="267" t="n">
        <f aca="false">F21-(I21-AC21)</f>
        <v>11.4335391983867</v>
      </c>
      <c r="M21" s="269" t="n">
        <v>4.6</v>
      </c>
      <c r="N21" s="267" t="n">
        <v>0</v>
      </c>
      <c r="O21" s="267" t="n">
        <v>0</v>
      </c>
      <c r="P21" s="125" t="n">
        <f aca="false">1.44*1.02</f>
        <v>1.4688</v>
      </c>
      <c r="Q21" s="125" t="n">
        <f aca="false">2.03*1.04</f>
        <v>2.1112</v>
      </c>
      <c r="R21" s="132" t="n">
        <v>0</v>
      </c>
      <c r="S21" s="267" t="n">
        <v>51</v>
      </c>
      <c r="T21" s="267" t="n">
        <v>0</v>
      </c>
      <c r="U21" s="247" t="n">
        <f aca="false">M21-N21-P21-Q21-R21+S21+T21</f>
        <v>52.02</v>
      </c>
      <c r="V21" s="247"/>
      <c r="W21" s="242"/>
      <c r="X21" s="267"/>
      <c r="Y21" s="269"/>
      <c r="Z21" s="270"/>
      <c r="AA21" s="267" t="n">
        <v>23</v>
      </c>
      <c r="AB21" s="242" t="n">
        <f aca="false">AB20-AA21</f>
        <v>3020</v>
      </c>
      <c r="AC21" s="127" t="n">
        <f aca="false">N21+O21+P21+Q21+R21+U21+X21+AA21</f>
        <v>78.6</v>
      </c>
      <c r="AD21" s="267" t="n">
        <f aca="false">IF(L21&lt;0,L21*-1,0)</f>
        <v>0</v>
      </c>
      <c r="AE21" s="267" t="n">
        <f aca="false">AC21+AD21</f>
        <v>78.6</v>
      </c>
      <c r="AF21" s="248" t="n">
        <v>0</v>
      </c>
      <c r="AG21" s="242" t="n">
        <v>51</v>
      </c>
      <c r="AH21" s="249" t="n">
        <v>27</v>
      </c>
      <c r="AI21" s="244" t="n">
        <f aca="false">AI20+(U21*1.9835)</f>
        <v>7226.2949844</v>
      </c>
      <c r="AJ21" s="244" t="n">
        <v>0</v>
      </c>
      <c r="AK21" s="250"/>
      <c r="AL21" s="250"/>
      <c r="AM21" s="250"/>
    </row>
    <row r="22" customFormat="false" ht="12.95" hidden="false" customHeight="true" outlineLevel="0" collapsed="false">
      <c r="A22" s="172" t="n">
        <f aca="false">A21+1</f>
        <v>11</v>
      </c>
      <c r="B22" s="252" t="n">
        <v>6876.39</v>
      </c>
      <c r="C22" s="242" t="n">
        <v>205542</v>
      </c>
      <c r="D22" s="244" t="n">
        <f aca="false">C22-C21</f>
        <v>-29</v>
      </c>
      <c r="E22" s="242" t="n">
        <f aca="false">C22-152000</f>
        <v>53542</v>
      </c>
      <c r="F22" s="266" t="n">
        <f aca="false">D22/$D$2</f>
        <v>-14.6206201159566</v>
      </c>
      <c r="G22" s="267" t="n">
        <v>58</v>
      </c>
      <c r="H22" s="268" t="n">
        <v>0.73</v>
      </c>
      <c r="I22" s="267" t="n">
        <f aca="false">G22+H22</f>
        <v>58.73</v>
      </c>
      <c r="J22" s="247" t="n">
        <f aca="false">IF(L22&gt;0,L22,0)</f>
        <v>5.24937988404336</v>
      </c>
      <c r="K22" s="267" t="n">
        <f aca="false">I22+J22</f>
        <v>63.9793798840434</v>
      </c>
      <c r="L22" s="267" t="n">
        <f aca="false">F22-(I22-AC22)</f>
        <v>5.24937988404336</v>
      </c>
      <c r="M22" s="269" t="n">
        <v>4.6</v>
      </c>
      <c r="N22" s="267" t="n">
        <v>0</v>
      </c>
      <c r="O22" s="267" t="n">
        <v>0</v>
      </c>
      <c r="P22" s="125" t="n">
        <f aca="false">1.44*1.02</f>
        <v>1.4688</v>
      </c>
      <c r="Q22" s="125" t="n">
        <f aca="false">2.15*1.04</f>
        <v>2.236</v>
      </c>
      <c r="R22" s="132" t="n">
        <v>0</v>
      </c>
      <c r="S22" s="267" t="n">
        <v>51</v>
      </c>
      <c r="T22" s="267" t="n">
        <v>0</v>
      </c>
      <c r="U22" s="247" t="n">
        <f aca="false">M22-N22-P22-Q22-R22+S22+T22</f>
        <v>51.8952</v>
      </c>
      <c r="V22" s="247"/>
      <c r="W22" s="242"/>
      <c r="X22" s="267"/>
      <c r="Y22" s="269"/>
      <c r="Z22" s="270"/>
      <c r="AA22" s="267" t="n">
        <v>23</v>
      </c>
      <c r="AB22" s="242" t="n">
        <f aca="false">AB21-AA22</f>
        <v>2997</v>
      </c>
      <c r="AC22" s="127" t="n">
        <f aca="false">N22+O22+P22+Q22+R22+U22+X22+AA22</f>
        <v>78.6</v>
      </c>
      <c r="AD22" s="267" t="n">
        <f aca="false">IF(L22&lt;0,L22*-1,0)</f>
        <v>0</v>
      </c>
      <c r="AE22" s="267" t="n">
        <f aca="false">AC22+AD22</f>
        <v>78.6</v>
      </c>
      <c r="AF22" s="248" t="n">
        <v>0</v>
      </c>
      <c r="AG22" s="242" t="n">
        <v>52</v>
      </c>
      <c r="AH22" s="249" t="n">
        <v>26</v>
      </c>
      <c r="AI22" s="244" t="n">
        <f aca="false">AI21+(U22*1.9835)</f>
        <v>7329.2291136</v>
      </c>
      <c r="AJ22" s="244" t="n">
        <v>0</v>
      </c>
      <c r="AK22" s="250"/>
      <c r="AL22" s="250"/>
      <c r="AM22" s="250"/>
    </row>
    <row r="23" customFormat="false" ht="12.95" hidden="false" customHeight="true" outlineLevel="0" collapsed="false">
      <c r="A23" s="172" t="n">
        <f aca="false">A22+1</f>
        <v>12</v>
      </c>
      <c r="B23" s="252" t="n">
        <v>6876.38</v>
      </c>
      <c r="C23" s="242" t="n">
        <v>205513</v>
      </c>
      <c r="D23" s="244" t="n">
        <f aca="false">C23-C22</f>
        <v>-29</v>
      </c>
      <c r="E23" s="242" t="n">
        <f aca="false">C23-152000</f>
        <v>53513</v>
      </c>
      <c r="F23" s="266" t="n">
        <f aca="false">D23/$D$2</f>
        <v>-14.6206201159566</v>
      </c>
      <c r="G23" s="267" t="n">
        <v>64</v>
      </c>
      <c r="H23" s="268" t="n">
        <v>0.8</v>
      </c>
      <c r="I23" s="267" t="n">
        <f aca="false">G23+H23</f>
        <v>64.8</v>
      </c>
      <c r="J23" s="247" t="n">
        <f aca="false">IF(L23&gt;0,L23,0)</f>
        <v>0</v>
      </c>
      <c r="K23" s="267" t="n">
        <f aca="false">I23+J23</f>
        <v>64.8</v>
      </c>
      <c r="L23" s="267" t="n">
        <f aca="false">F23-(I23-AC23)</f>
        <v>-0.820620115956645</v>
      </c>
      <c r="M23" s="269" t="n">
        <v>4.6</v>
      </c>
      <c r="N23" s="267" t="n">
        <v>0</v>
      </c>
      <c r="O23" s="267" t="n">
        <v>0</v>
      </c>
      <c r="P23" s="125" t="n">
        <f aca="false">1.44*1.02</f>
        <v>1.4688</v>
      </c>
      <c r="Q23" s="125" t="n">
        <f aca="false">2.12*1.04</f>
        <v>2.2048</v>
      </c>
      <c r="R23" s="132" t="n">
        <v>0</v>
      </c>
      <c r="S23" s="267" t="n">
        <v>51</v>
      </c>
      <c r="T23" s="267" t="n">
        <v>0</v>
      </c>
      <c r="U23" s="247" t="n">
        <f aca="false">M23-N23-P23-Q23-R23+S23+T23</f>
        <v>51.9264</v>
      </c>
      <c r="V23" s="247"/>
      <c r="W23" s="242"/>
      <c r="X23" s="267"/>
      <c r="Y23" s="269"/>
      <c r="Z23" s="270"/>
      <c r="AA23" s="267" t="n">
        <v>23</v>
      </c>
      <c r="AB23" s="242" t="n">
        <f aca="false">AB22-AA23</f>
        <v>2974</v>
      </c>
      <c r="AC23" s="127" t="n">
        <f aca="false">N23+O23+P23+Q23+R23+U23+X23+AA23</f>
        <v>78.6</v>
      </c>
      <c r="AD23" s="267" t="n">
        <f aca="false">IF(L23&lt;0,L23*-1,0)</f>
        <v>0.820620115956645</v>
      </c>
      <c r="AE23" s="267" t="n">
        <f aca="false">AC23+AD23</f>
        <v>79.4206201159566</v>
      </c>
      <c r="AF23" s="248" t="n">
        <v>0</v>
      </c>
      <c r="AG23" s="242" t="n">
        <v>53</v>
      </c>
      <c r="AH23" s="249" t="n">
        <v>25</v>
      </c>
      <c r="AI23" s="244" t="n">
        <f aca="false">AI22+(U23*1.9835)</f>
        <v>7432.225128</v>
      </c>
      <c r="AJ23" s="244" t="n">
        <v>0</v>
      </c>
      <c r="AK23" s="250"/>
      <c r="AL23" s="250"/>
      <c r="AM23" s="250"/>
    </row>
    <row r="24" customFormat="false" ht="12.95" hidden="false" customHeight="true" outlineLevel="0" collapsed="false">
      <c r="A24" s="172" t="n">
        <f aca="false">A23+1</f>
        <v>13</v>
      </c>
      <c r="B24" s="252" t="n">
        <v>6876.37</v>
      </c>
      <c r="C24" s="242" t="n">
        <v>205484</v>
      </c>
      <c r="D24" s="244" t="n">
        <f aca="false">C24-C23</f>
        <v>-29</v>
      </c>
      <c r="E24" s="242" t="n">
        <f aca="false">C24-152000</f>
        <v>53484</v>
      </c>
      <c r="F24" s="266" t="n">
        <f aca="false">D24/$D$2</f>
        <v>-14.6206201159566</v>
      </c>
      <c r="G24" s="267" t="n">
        <v>64</v>
      </c>
      <c r="H24" s="268" t="n">
        <v>0.79</v>
      </c>
      <c r="I24" s="267" t="n">
        <f aca="false">G24+H24</f>
        <v>64.79</v>
      </c>
      <c r="J24" s="247" t="n">
        <f aca="false">IF(L24&gt;0,L24,0)</f>
        <v>0.189379884043346</v>
      </c>
      <c r="K24" s="267" t="n">
        <f aca="false">I24+J24</f>
        <v>64.9793798840434</v>
      </c>
      <c r="L24" s="267" t="n">
        <f aca="false">F24-(I24-AC24)</f>
        <v>0.189379884043346</v>
      </c>
      <c r="M24" s="269" t="n">
        <v>4.6</v>
      </c>
      <c r="N24" s="267" t="n">
        <v>0</v>
      </c>
      <c r="O24" s="267" t="n">
        <v>0</v>
      </c>
      <c r="P24" s="125" t="n">
        <f aca="false">1.44*1.02</f>
        <v>1.4688</v>
      </c>
      <c r="Q24" s="125" t="n">
        <f aca="false">2*1.04</f>
        <v>2.08</v>
      </c>
      <c r="R24" s="132" t="n">
        <v>0</v>
      </c>
      <c r="S24" s="267" t="n">
        <v>51</v>
      </c>
      <c r="T24" s="267" t="n">
        <v>0</v>
      </c>
      <c r="U24" s="247" t="n">
        <f aca="false">M24-N24-P24-Q24-R24+S24+T24</f>
        <v>52.0512</v>
      </c>
      <c r="V24" s="247"/>
      <c r="W24" s="242"/>
      <c r="X24" s="267"/>
      <c r="Y24" s="269"/>
      <c r="Z24" s="270"/>
      <c r="AA24" s="267" t="n">
        <v>24</v>
      </c>
      <c r="AB24" s="242" t="n">
        <f aca="false">AB23-AA24</f>
        <v>2950</v>
      </c>
      <c r="AC24" s="127" t="n">
        <f aca="false">N24+O24+P24+Q24+R24+U24+X24+AA24</f>
        <v>79.6</v>
      </c>
      <c r="AD24" s="267" t="n">
        <f aca="false">IF(L24&lt;0,L24*-1,0)</f>
        <v>0</v>
      </c>
      <c r="AE24" s="267" t="n">
        <f aca="false">AC24+AD24</f>
        <v>79.6</v>
      </c>
      <c r="AF24" s="248" t="n">
        <v>0</v>
      </c>
      <c r="AG24" s="242" t="n">
        <v>49</v>
      </c>
      <c r="AH24" s="249" t="n">
        <v>24</v>
      </c>
      <c r="AI24" s="244" t="n">
        <f aca="false">AI23+(U24*1.9835)</f>
        <v>7535.4686832</v>
      </c>
      <c r="AJ24" s="244" t="n">
        <v>0</v>
      </c>
      <c r="AK24" s="250"/>
      <c r="AL24" s="250"/>
      <c r="AM24" s="250"/>
    </row>
    <row r="25" customFormat="false" ht="12.95" hidden="false" customHeight="true" outlineLevel="0" collapsed="false">
      <c r="A25" s="172" t="n">
        <f aca="false">A24+1</f>
        <v>14</v>
      </c>
      <c r="B25" s="252" t="n">
        <v>6876.36</v>
      </c>
      <c r="C25" s="242" t="n">
        <v>205455</v>
      </c>
      <c r="D25" s="244" t="n">
        <f aca="false">C25-C24</f>
        <v>-29</v>
      </c>
      <c r="E25" s="242" t="n">
        <f aca="false">C25-152000</f>
        <v>53455</v>
      </c>
      <c r="F25" s="266" t="n">
        <f aca="false">D25/$D$2</f>
        <v>-14.6206201159566</v>
      </c>
      <c r="G25" s="267" t="n">
        <v>55</v>
      </c>
      <c r="H25" s="268" t="n">
        <v>0.77</v>
      </c>
      <c r="I25" s="267" t="n">
        <f aca="false">G25+H25</f>
        <v>55.77</v>
      </c>
      <c r="J25" s="247" t="n">
        <f aca="false">IF(L25&gt;0,L25,0)</f>
        <v>10.2093798840433</v>
      </c>
      <c r="K25" s="267" t="n">
        <f aca="false">I25+J25</f>
        <v>65.9793798840434</v>
      </c>
      <c r="L25" s="267" t="n">
        <f aca="false">F25-(I25-AC25)</f>
        <v>10.2093798840433</v>
      </c>
      <c r="M25" s="269" t="n">
        <v>4.6</v>
      </c>
      <c r="N25" s="267" t="n">
        <v>0</v>
      </c>
      <c r="O25" s="267" t="n">
        <v>0</v>
      </c>
      <c r="P25" s="125" t="n">
        <f aca="false">1.44*1.02</f>
        <v>1.4688</v>
      </c>
      <c r="Q25" s="125" t="n">
        <f aca="false">2.5*1.04</f>
        <v>2.6</v>
      </c>
      <c r="R25" s="132" t="n">
        <v>0</v>
      </c>
      <c r="S25" s="267" t="n">
        <v>51</v>
      </c>
      <c r="T25" s="267" t="n">
        <v>0</v>
      </c>
      <c r="U25" s="247" t="n">
        <f aca="false">M25-N25-P25-Q25-R25+S25+T25</f>
        <v>51.5312</v>
      </c>
      <c r="V25" s="247"/>
      <c r="W25" s="242"/>
      <c r="X25" s="267"/>
      <c r="Y25" s="269"/>
      <c r="Z25" s="270"/>
      <c r="AA25" s="267" t="n">
        <v>25</v>
      </c>
      <c r="AB25" s="242" t="n">
        <f aca="false">AB24-AA25</f>
        <v>2925</v>
      </c>
      <c r="AC25" s="127" t="n">
        <f aca="false">N25+O25+P25+Q25+R25+U25+X25+AA25</f>
        <v>80.6</v>
      </c>
      <c r="AD25" s="267" t="n">
        <f aca="false">IF(L25&lt;0,L25*-1,0)</f>
        <v>0</v>
      </c>
      <c r="AE25" s="267" t="n">
        <f aca="false">AC25+AD25</f>
        <v>80.6</v>
      </c>
      <c r="AF25" s="248" t="n">
        <v>0</v>
      </c>
      <c r="AG25" s="242" t="n">
        <v>47</v>
      </c>
      <c r="AH25" s="249" t="n">
        <v>24</v>
      </c>
      <c r="AI25" s="244" t="n">
        <f aca="false">AI24+(U25*1.9835)</f>
        <v>7637.6808184</v>
      </c>
      <c r="AJ25" s="244" t="n">
        <v>0</v>
      </c>
      <c r="AK25" s="250"/>
      <c r="AL25" s="250"/>
      <c r="AM25" s="250"/>
    </row>
    <row r="26" customFormat="false" ht="12.95" hidden="false" customHeight="true" outlineLevel="0" collapsed="false">
      <c r="A26" s="172" t="n">
        <f aca="false">A25+1</f>
        <v>15</v>
      </c>
      <c r="B26" s="252" t="n">
        <v>6876.36</v>
      </c>
      <c r="C26" s="242" t="n">
        <v>205455</v>
      </c>
      <c r="D26" s="244" t="n">
        <f aca="false">C26-C25</f>
        <v>0</v>
      </c>
      <c r="E26" s="242" t="n">
        <f aca="false">C26-152000</f>
        <v>53455</v>
      </c>
      <c r="F26" s="266" t="n">
        <f aca="false">D26/$D$2</f>
        <v>0</v>
      </c>
      <c r="G26" s="267" t="n">
        <v>55</v>
      </c>
      <c r="H26" s="268" t="n">
        <v>0.77</v>
      </c>
      <c r="I26" s="267" t="n">
        <f aca="false">G26+H26</f>
        <v>55.77</v>
      </c>
      <c r="J26" s="247" t="n">
        <f aca="false">IF(L26&gt;0,L26,0)</f>
        <v>24.13</v>
      </c>
      <c r="K26" s="267" t="n">
        <f aca="false">I26+J26</f>
        <v>79.9</v>
      </c>
      <c r="L26" s="267" t="n">
        <f aca="false">F26-(I26-AC26)</f>
        <v>24.13</v>
      </c>
      <c r="M26" s="269" t="n">
        <v>4.9</v>
      </c>
      <c r="N26" s="267" t="n">
        <v>0</v>
      </c>
      <c r="O26" s="267" t="n">
        <v>0</v>
      </c>
      <c r="P26" s="125" t="n">
        <f aca="false">1.44*1.02</f>
        <v>1.4688</v>
      </c>
      <c r="Q26" s="125" t="n">
        <f aca="false">2.05*1.04</f>
        <v>2.132</v>
      </c>
      <c r="R26" s="132" t="n">
        <v>0</v>
      </c>
      <c r="S26" s="267" t="n">
        <v>51</v>
      </c>
      <c r="T26" s="267" t="n">
        <v>0</v>
      </c>
      <c r="U26" s="247" t="n">
        <f aca="false">M26-N26-P26-Q26-R26+S26+T26</f>
        <v>52.2992</v>
      </c>
      <c r="V26" s="247"/>
      <c r="W26" s="242"/>
      <c r="X26" s="267"/>
      <c r="Y26" s="269"/>
      <c r="Z26" s="270"/>
      <c r="AA26" s="267" t="n">
        <v>24</v>
      </c>
      <c r="AB26" s="242" t="n">
        <f aca="false">AB25-AA26</f>
        <v>2901</v>
      </c>
      <c r="AC26" s="127" t="n">
        <f aca="false">N26+O26+P26+Q26+R26+U26+X26+AA26</f>
        <v>79.9</v>
      </c>
      <c r="AD26" s="267" t="n">
        <f aca="false">IF(L26&lt;0,L26*-1,0)</f>
        <v>0</v>
      </c>
      <c r="AE26" s="267" t="n">
        <f aca="false">AC26+AD26</f>
        <v>79.9</v>
      </c>
      <c r="AF26" s="248" t="n">
        <v>0</v>
      </c>
      <c r="AG26" s="242" t="n">
        <v>45</v>
      </c>
      <c r="AH26" s="249" t="n">
        <v>22</v>
      </c>
      <c r="AI26" s="244" t="n">
        <f aca="false">AI25+(U26*1.9835)</f>
        <v>7741.4162816</v>
      </c>
      <c r="AJ26" s="244" t="n">
        <v>0</v>
      </c>
      <c r="AK26" s="250"/>
      <c r="AL26" s="250"/>
      <c r="AM26" s="250"/>
    </row>
    <row r="27" customFormat="false" ht="12.95" hidden="false" customHeight="true" outlineLevel="0" collapsed="false">
      <c r="A27" s="172" t="n">
        <f aca="false">A26+1</f>
        <v>16</v>
      </c>
      <c r="B27" s="252" t="n">
        <v>6876.36</v>
      </c>
      <c r="C27" s="242" t="n">
        <v>205455</v>
      </c>
      <c r="D27" s="244" t="n">
        <f aca="false">C27-C26</f>
        <v>0</v>
      </c>
      <c r="E27" s="242" t="n">
        <f aca="false">C27-152000</f>
        <v>53455</v>
      </c>
      <c r="F27" s="266" t="n">
        <f aca="false">D27/$D$2</f>
        <v>0</v>
      </c>
      <c r="G27" s="267" t="n">
        <v>45</v>
      </c>
      <c r="H27" s="268" t="n">
        <v>0.76</v>
      </c>
      <c r="I27" s="267" t="n">
        <f aca="false">G27+H27</f>
        <v>45.76</v>
      </c>
      <c r="J27" s="247" t="n">
        <f aca="false">IF(L27&gt;0,L27,0)</f>
        <v>35.44</v>
      </c>
      <c r="K27" s="267" t="n">
        <f aca="false">I27+J27</f>
        <v>81.2</v>
      </c>
      <c r="L27" s="267" t="n">
        <f aca="false">F27-(I27-AC27)</f>
        <v>35.44</v>
      </c>
      <c r="M27" s="269" t="n">
        <v>5.2</v>
      </c>
      <c r="N27" s="267" t="n">
        <v>0</v>
      </c>
      <c r="O27" s="267" t="n">
        <v>0</v>
      </c>
      <c r="P27" s="125" t="n">
        <f aca="false">1.44*1.02</f>
        <v>1.4688</v>
      </c>
      <c r="Q27" s="125" t="n">
        <f aca="false">2.2*1.04</f>
        <v>2.288</v>
      </c>
      <c r="R27" s="132" t="n">
        <v>0</v>
      </c>
      <c r="S27" s="267" t="n">
        <v>51</v>
      </c>
      <c r="T27" s="267" t="n">
        <v>0</v>
      </c>
      <c r="U27" s="247" t="n">
        <f aca="false">M27-N27-P27-Q27-R27+S27+T27</f>
        <v>52.4432</v>
      </c>
      <c r="V27" s="247"/>
      <c r="W27" s="242"/>
      <c r="X27" s="267"/>
      <c r="Y27" s="269"/>
      <c r="Z27" s="270"/>
      <c r="AA27" s="267" t="n">
        <v>25</v>
      </c>
      <c r="AB27" s="242" t="n">
        <f aca="false">AB26-AA27</f>
        <v>2876</v>
      </c>
      <c r="AC27" s="127" t="n">
        <f aca="false">N27+O27+P27+Q27+R27+U27+X27+AA27</f>
        <v>81.2</v>
      </c>
      <c r="AD27" s="267" t="n">
        <f aca="false">IF(L27&lt;0,L27*-1,0)</f>
        <v>0</v>
      </c>
      <c r="AE27" s="267" t="n">
        <f aca="false">AC27+AD27</f>
        <v>81.2</v>
      </c>
      <c r="AF27" s="248" t="n">
        <v>0</v>
      </c>
      <c r="AG27" s="242" t="n">
        <v>42</v>
      </c>
      <c r="AH27" s="249" t="n">
        <v>24</v>
      </c>
      <c r="AI27" s="244" t="n">
        <f aca="false">AI26+(U27*1.9835)</f>
        <v>7845.4373688</v>
      </c>
      <c r="AJ27" s="244" t="n">
        <v>0</v>
      </c>
      <c r="AK27" s="250"/>
      <c r="AL27" s="250"/>
      <c r="AM27" s="250"/>
    </row>
    <row r="28" customFormat="false" ht="12.95" hidden="false" customHeight="true" outlineLevel="0" collapsed="false">
      <c r="A28" s="172" t="n">
        <f aca="false">A27+1</f>
        <v>17</v>
      </c>
      <c r="B28" s="252" t="n">
        <v>6876.35</v>
      </c>
      <c r="C28" s="242" t="n">
        <v>205426</v>
      </c>
      <c r="D28" s="244" t="n">
        <f aca="false">C28-C27</f>
        <v>-29</v>
      </c>
      <c r="E28" s="242" t="n">
        <f aca="false">C28-152000</f>
        <v>53426</v>
      </c>
      <c r="F28" s="266" t="n">
        <f aca="false">D28/$D$2</f>
        <v>-14.6206201159566</v>
      </c>
      <c r="G28" s="267" t="n">
        <v>51</v>
      </c>
      <c r="H28" s="268" t="n">
        <v>0.68</v>
      </c>
      <c r="I28" s="267" t="n">
        <f aca="false">G28+H28</f>
        <v>51.68</v>
      </c>
      <c r="J28" s="247" t="n">
        <f aca="false">IF(L28&gt;0,L28,0)</f>
        <v>14.5993798840434</v>
      </c>
      <c r="K28" s="267" t="n">
        <f aca="false">I28+J28</f>
        <v>66.2793798840434</v>
      </c>
      <c r="L28" s="267" t="n">
        <f aca="false">F28-(I28-AC28)</f>
        <v>14.5993798840434</v>
      </c>
      <c r="M28" s="269" t="n">
        <v>4.9</v>
      </c>
      <c r="N28" s="267" t="n">
        <v>0</v>
      </c>
      <c r="O28" s="267" t="n">
        <v>0</v>
      </c>
      <c r="P28" s="125" t="n">
        <f aca="false">1.44*1.02</f>
        <v>1.4688</v>
      </c>
      <c r="Q28" s="125" t="n">
        <f aca="false">2.36*1.04</f>
        <v>2.4544</v>
      </c>
      <c r="R28" s="132" t="n">
        <v>0</v>
      </c>
      <c r="S28" s="267" t="n">
        <v>51</v>
      </c>
      <c r="T28" s="267" t="n">
        <v>0</v>
      </c>
      <c r="U28" s="247" t="n">
        <f aca="false">M28-N28-P28-Q28-R28+S28+T28</f>
        <v>51.9768</v>
      </c>
      <c r="V28" s="247"/>
      <c r="W28" s="242"/>
      <c r="X28" s="267"/>
      <c r="Y28" s="269"/>
      <c r="Z28" s="270"/>
      <c r="AA28" s="267" t="n">
        <v>25</v>
      </c>
      <c r="AB28" s="242" t="n">
        <f aca="false">AB27-AA28</f>
        <v>2851</v>
      </c>
      <c r="AC28" s="127" t="n">
        <f aca="false">N28+O28+P28+Q28+R28+U28+X28+AA28</f>
        <v>80.9</v>
      </c>
      <c r="AD28" s="267" t="n">
        <f aca="false">IF(L28&lt;0,L28*-1,0)</f>
        <v>0</v>
      </c>
      <c r="AE28" s="267" t="n">
        <f aca="false">AC28+AD28</f>
        <v>80.9</v>
      </c>
      <c r="AF28" s="248" t="n">
        <v>0</v>
      </c>
      <c r="AG28" s="242" t="n">
        <v>41</v>
      </c>
      <c r="AH28" s="249" t="n">
        <v>19</v>
      </c>
      <c r="AI28" s="244" t="n">
        <f aca="false">AI27+(U28*1.9835)</f>
        <v>7948.5333516</v>
      </c>
      <c r="AJ28" s="244" t="n">
        <v>0</v>
      </c>
      <c r="AK28" s="250"/>
      <c r="AL28" s="250"/>
      <c r="AM28" s="250"/>
    </row>
    <row r="29" customFormat="false" ht="12.95" hidden="false" customHeight="true" outlineLevel="0" collapsed="false">
      <c r="A29" s="172" t="n">
        <f aca="false">A28+1</f>
        <v>18</v>
      </c>
      <c r="B29" s="252" t="n">
        <v>6876.34</v>
      </c>
      <c r="C29" s="242" t="n">
        <v>205397</v>
      </c>
      <c r="D29" s="244" t="n">
        <f aca="false">C29-C28</f>
        <v>-29</v>
      </c>
      <c r="E29" s="242" t="n">
        <f aca="false">C29-152000</f>
        <v>53397</v>
      </c>
      <c r="F29" s="266" t="n">
        <f aca="false">D29/$D$2</f>
        <v>-14.6206201159566</v>
      </c>
      <c r="G29" s="267" t="n">
        <v>45</v>
      </c>
      <c r="H29" s="268" t="n">
        <v>0.58</v>
      </c>
      <c r="I29" s="267" t="n">
        <f aca="false">G29+H29</f>
        <v>45.58</v>
      </c>
      <c r="J29" s="247" t="n">
        <f aca="false">IF(L29&gt;0,L29,0)</f>
        <v>20.6993798840434</v>
      </c>
      <c r="K29" s="267" t="n">
        <f aca="false">I29+J29</f>
        <v>66.2793798840434</v>
      </c>
      <c r="L29" s="267" t="n">
        <f aca="false">F29-(I29-AC29)</f>
        <v>20.6993798840434</v>
      </c>
      <c r="M29" s="269" t="n">
        <v>4.9</v>
      </c>
      <c r="N29" s="267" t="n">
        <v>0</v>
      </c>
      <c r="O29" s="267" t="n">
        <v>0</v>
      </c>
      <c r="P29" s="125" t="n">
        <f aca="false">1.44*1.02</f>
        <v>1.4688</v>
      </c>
      <c r="Q29" s="125" t="n">
        <f aca="false">2.27*1.04</f>
        <v>2.3608</v>
      </c>
      <c r="R29" s="132" t="n">
        <v>0</v>
      </c>
      <c r="S29" s="267" t="n">
        <v>51</v>
      </c>
      <c r="T29" s="267" t="n">
        <v>0</v>
      </c>
      <c r="U29" s="247" t="n">
        <f aca="false">M29-N29-P29-Q29-R29+S29+T29</f>
        <v>52.0704</v>
      </c>
      <c r="V29" s="247"/>
      <c r="W29" s="242"/>
      <c r="X29" s="267"/>
      <c r="Y29" s="269"/>
      <c r="Z29" s="270"/>
      <c r="AA29" s="267" t="n">
        <v>25</v>
      </c>
      <c r="AB29" s="242" t="n">
        <f aca="false">AB28-AA29</f>
        <v>2826</v>
      </c>
      <c r="AC29" s="127" t="n">
        <f aca="false">N29+O29+P29+Q29+R29+U29+X29+AA29</f>
        <v>80.9</v>
      </c>
      <c r="AD29" s="267" t="n">
        <f aca="false">IF(L29&lt;0,L29*-1,0)</f>
        <v>0</v>
      </c>
      <c r="AE29" s="267" t="n">
        <f aca="false">AC29+AD29</f>
        <v>80.9</v>
      </c>
      <c r="AF29" s="248" t="n">
        <v>0</v>
      </c>
      <c r="AG29" s="242" t="n">
        <v>46</v>
      </c>
      <c r="AH29" s="249" t="n">
        <v>24</v>
      </c>
      <c r="AI29" s="244" t="n">
        <f aca="false">AI28+(U29*1.9835)</f>
        <v>8051.81499</v>
      </c>
      <c r="AJ29" s="244" t="n">
        <v>0</v>
      </c>
      <c r="AK29" s="250"/>
      <c r="AL29" s="250"/>
      <c r="AM29" s="250"/>
    </row>
    <row r="30" customFormat="false" ht="12.95" hidden="false" customHeight="true" outlineLevel="0" collapsed="false">
      <c r="A30" s="172" t="n">
        <f aca="false">A29+1</f>
        <v>19</v>
      </c>
      <c r="B30" s="252" t="n">
        <v>6876.33</v>
      </c>
      <c r="C30" s="242" t="n">
        <v>205368</v>
      </c>
      <c r="D30" s="244" t="n">
        <f aca="false">C30-C29</f>
        <v>-29</v>
      </c>
      <c r="E30" s="242" t="n">
        <f aca="false">C30-152000</f>
        <v>53368</v>
      </c>
      <c r="F30" s="266" t="n">
        <f aca="false">D30/$D$2</f>
        <v>-14.6206201159566</v>
      </c>
      <c r="G30" s="267" t="n">
        <v>45</v>
      </c>
      <c r="H30" s="268" t="n">
        <v>0.51</v>
      </c>
      <c r="I30" s="267" t="n">
        <f aca="false">G30+H30</f>
        <v>45.51</v>
      </c>
      <c r="J30" s="247" t="n">
        <f aca="false">IF(L30&gt;0,L30,0)</f>
        <v>20.7693798840434</v>
      </c>
      <c r="K30" s="267" t="n">
        <f aca="false">I30+J30</f>
        <v>66.2793798840434</v>
      </c>
      <c r="L30" s="267" t="n">
        <f aca="false">F30-(I30-AC30)</f>
        <v>20.7693798840434</v>
      </c>
      <c r="M30" s="269" t="n">
        <v>4.9</v>
      </c>
      <c r="N30" s="267" t="n">
        <v>0</v>
      </c>
      <c r="O30" s="267" t="n">
        <v>0</v>
      </c>
      <c r="P30" s="125" t="n">
        <f aca="false">1.44*1.02</f>
        <v>1.4688</v>
      </c>
      <c r="Q30" s="125" t="n">
        <f aca="false">2.18*1.04</f>
        <v>2.2672</v>
      </c>
      <c r="R30" s="132" t="n">
        <v>0</v>
      </c>
      <c r="S30" s="267" t="n">
        <v>51</v>
      </c>
      <c r="T30" s="267" t="n">
        <v>0</v>
      </c>
      <c r="U30" s="247" t="n">
        <f aca="false">M30-N30-P30-Q30-R30+S30+T30</f>
        <v>52.164</v>
      </c>
      <c r="V30" s="247"/>
      <c r="W30" s="242"/>
      <c r="X30" s="267"/>
      <c r="Y30" s="269"/>
      <c r="Z30" s="270"/>
      <c r="AA30" s="267" t="n">
        <v>25</v>
      </c>
      <c r="AB30" s="242" t="n">
        <f aca="false">AB29-AA30</f>
        <v>2801</v>
      </c>
      <c r="AC30" s="127" t="n">
        <f aca="false">N30+O30+P30+Q30+R30+U30+X30+AA30</f>
        <v>80.9</v>
      </c>
      <c r="AD30" s="267" t="n">
        <f aca="false">IF(L30&lt;0,L30*-1,0)</f>
        <v>0</v>
      </c>
      <c r="AE30" s="267" t="n">
        <f aca="false">AC30+AD30</f>
        <v>80.9</v>
      </c>
      <c r="AF30" s="248" t="n">
        <v>0</v>
      </c>
      <c r="AG30" s="242" t="n">
        <v>48</v>
      </c>
      <c r="AH30" s="249" t="n">
        <v>22</v>
      </c>
      <c r="AI30" s="244" t="n">
        <f aca="false">AI29+(U30*1.9835)</f>
        <v>8155.282284</v>
      </c>
      <c r="AJ30" s="244" t="n">
        <v>0</v>
      </c>
      <c r="AK30" s="250"/>
      <c r="AL30" s="250"/>
      <c r="AM30" s="250"/>
    </row>
    <row r="31" customFormat="false" ht="12.95" hidden="false" customHeight="true" outlineLevel="0" collapsed="false">
      <c r="A31" s="172" t="n">
        <f aca="false">A30+1</f>
        <v>20</v>
      </c>
      <c r="B31" s="252" t="n">
        <v>6876.31</v>
      </c>
      <c r="C31" s="242" t="n">
        <v>205311</v>
      </c>
      <c r="D31" s="244" t="n">
        <f aca="false">C31-C30</f>
        <v>-57</v>
      </c>
      <c r="E31" s="242" t="n">
        <f aca="false">C31-152000</f>
        <v>53311</v>
      </c>
      <c r="F31" s="266" t="n">
        <f aca="false">D31/$D$2</f>
        <v>-28.7370809175699</v>
      </c>
      <c r="G31" s="267" t="n">
        <v>50</v>
      </c>
      <c r="H31" s="268" t="n">
        <v>0.44</v>
      </c>
      <c r="I31" s="267" t="n">
        <f aca="false">G31+H31</f>
        <v>50.44</v>
      </c>
      <c r="J31" s="247" t="n">
        <f aca="false">IF(L31&gt;0,L31,0)</f>
        <v>1.72291908243006</v>
      </c>
      <c r="K31" s="267" t="n">
        <f aca="false">I31+J31</f>
        <v>52.1629190824301</v>
      </c>
      <c r="L31" s="267" t="n">
        <f aca="false">F31-(I31-AC31)</f>
        <v>1.72291908243006</v>
      </c>
      <c r="M31" s="269" t="n">
        <v>4.9</v>
      </c>
      <c r="N31" s="267" t="n">
        <v>0</v>
      </c>
      <c r="O31" s="267" t="n">
        <v>0</v>
      </c>
      <c r="P31" s="125" t="n">
        <f aca="false">1.44*1.02</f>
        <v>1.4688</v>
      </c>
      <c r="Q31" s="125" t="n">
        <f aca="false">2.39*1.04</f>
        <v>2.4856</v>
      </c>
      <c r="R31" s="132" t="n">
        <v>0</v>
      </c>
      <c r="S31" s="267" t="n">
        <v>51</v>
      </c>
      <c r="T31" s="267" t="n">
        <v>0</v>
      </c>
      <c r="U31" s="247" t="n">
        <f aca="false">M31-N31-P31-Q31-R31+S31+T31</f>
        <v>51.9456</v>
      </c>
      <c r="V31" s="247"/>
      <c r="W31" s="242"/>
      <c r="X31" s="267"/>
      <c r="Y31" s="269"/>
      <c r="Z31" s="270"/>
      <c r="AA31" s="267" t="n">
        <v>25</v>
      </c>
      <c r="AB31" s="242" t="n">
        <f aca="false">AB30-AA31</f>
        <v>2776</v>
      </c>
      <c r="AC31" s="127" t="n">
        <f aca="false">N31+O31+P31+Q31+R31+U31+X31+AA31</f>
        <v>80.9</v>
      </c>
      <c r="AD31" s="267" t="n">
        <f aca="false">IF(L31&lt;0,L31*-1,0)</f>
        <v>0</v>
      </c>
      <c r="AE31" s="267" t="n">
        <f aca="false">AC31+AD31</f>
        <v>80.9</v>
      </c>
      <c r="AF31" s="248" t="n">
        <v>0</v>
      </c>
      <c r="AG31" s="242" t="n">
        <v>48</v>
      </c>
      <c r="AH31" s="249" t="n">
        <v>22</v>
      </c>
      <c r="AI31" s="244" t="n">
        <f aca="false">AI30+(U31*1.9835)</f>
        <v>8258.3163816</v>
      </c>
      <c r="AJ31" s="244" t="n">
        <v>0</v>
      </c>
      <c r="AK31" s="250"/>
      <c r="AL31" s="250"/>
      <c r="AM31" s="250"/>
    </row>
    <row r="32" customFormat="false" ht="12.95" hidden="false" customHeight="true" outlineLevel="0" collapsed="false">
      <c r="A32" s="172" t="n">
        <f aca="false">A31+1</f>
        <v>21</v>
      </c>
      <c r="B32" s="252" t="n">
        <v>6876.28</v>
      </c>
      <c r="C32" s="242" t="n">
        <v>205224</v>
      </c>
      <c r="D32" s="244" t="n">
        <f aca="false">C32-C31</f>
        <v>-87</v>
      </c>
      <c r="E32" s="242" t="n">
        <f aca="false">C32-152000</f>
        <v>53224</v>
      </c>
      <c r="F32" s="266" t="n">
        <f aca="false">D32/$D$2</f>
        <v>-43.8618603478699</v>
      </c>
      <c r="G32" s="267" t="n">
        <v>44</v>
      </c>
      <c r="H32" s="268" t="n">
        <v>0.43</v>
      </c>
      <c r="I32" s="267" t="n">
        <f aca="false">G32+H32</f>
        <v>44.43</v>
      </c>
      <c r="J32" s="247" t="n">
        <f aca="false">IF(L32&gt;0,L32,0)</f>
        <v>0</v>
      </c>
      <c r="K32" s="267" t="n">
        <f aca="false">I32+J32</f>
        <v>44.43</v>
      </c>
      <c r="L32" s="267" t="n">
        <f aca="false">F32-(I32-AC32)</f>
        <v>-1.49186034786993</v>
      </c>
      <c r="M32" s="269" t="n">
        <v>4.8</v>
      </c>
      <c r="N32" s="267" t="n">
        <v>0</v>
      </c>
      <c r="O32" s="267" t="n">
        <v>0</v>
      </c>
      <c r="P32" s="125" t="n">
        <f aca="false">1.44*1.02</f>
        <v>1.4688</v>
      </c>
      <c r="Q32" s="125" t="n">
        <f aca="false">2.18*1.04</f>
        <v>2.2672</v>
      </c>
      <c r="R32" s="132" t="n">
        <v>0</v>
      </c>
      <c r="S32" s="267" t="n">
        <v>57</v>
      </c>
      <c r="T32" s="267" t="n">
        <v>0</v>
      </c>
      <c r="U32" s="247" t="n">
        <f aca="false">M32-N32-P32-Q32-R32+S32+T32</f>
        <v>58.064</v>
      </c>
      <c r="V32" s="247"/>
      <c r="W32" s="242"/>
      <c r="X32" s="267"/>
      <c r="Y32" s="269"/>
      <c r="Z32" s="270"/>
      <c r="AA32" s="267" t="n">
        <v>25</v>
      </c>
      <c r="AB32" s="242" t="n">
        <f aca="false">AB31-AA32</f>
        <v>2751</v>
      </c>
      <c r="AC32" s="127" t="n">
        <f aca="false">N32+O32+P32+Q32+R32+U32+X32+AA32</f>
        <v>86.8</v>
      </c>
      <c r="AD32" s="267" t="n">
        <f aca="false">IF(L32&lt;0,L32*-1,0)</f>
        <v>1.49186034786993</v>
      </c>
      <c r="AE32" s="267" t="n">
        <f aca="false">AC32+AD32</f>
        <v>88.2918603478699</v>
      </c>
      <c r="AF32" s="248" t="n">
        <v>0</v>
      </c>
      <c r="AG32" s="242" t="n">
        <v>41</v>
      </c>
      <c r="AH32" s="249" t="n">
        <v>20</v>
      </c>
      <c r="AI32" s="244" t="n">
        <f aca="false">AI31+(U32*1.9835)</f>
        <v>8373.4863256</v>
      </c>
      <c r="AJ32" s="244" t="n">
        <v>0</v>
      </c>
      <c r="AK32" s="250"/>
      <c r="AL32" s="250"/>
      <c r="AM32" s="250"/>
    </row>
    <row r="33" customFormat="false" ht="12.95" hidden="false" customHeight="true" outlineLevel="0" collapsed="false">
      <c r="A33" s="172" t="n">
        <f aca="false">A32+1</f>
        <v>22</v>
      </c>
      <c r="B33" s="252" t="n">
        <v>6876.26</v>
      </c>
      <c r="C33" s="242" t="n">
        <v>205166</v>
      </c>
      <c r="D33" s="244" t="n">
        <f aca="false">C33-C32</f>
        <v>-58</v>
      </c>
      <c r="E33" s="242" t="n">
        <f aca="false">C33-152000</f>
        <v>53166</v>
      </c>
      <c r="F33" s="266" t="n">
        <f aca="false">D33/$D$2</f>
        <v>-29.2412402319133</v>
      </c>
      <c r="G33" s="267" t="n">
        <v>24</v>
      </c>
      <c r="H33" s="268" t="n">
        <v>0.34</v>
      </c>
      <c r="I33" s="267" t="n">
        <f aca="false">G33+H33</f>
        <v>24.34</v>
      </c>
      <c r="J33" s="247" t="n">
        <f aca="false">IF(L33&gt;0,L33,0)</f>
        <v>36.0187597680867</v>
      </c>
      <c r="K33" s="267" t="n">
        <f aca="false">I33+J33</f>
        <v>60.3587597680867</v>
      </c>
      <c r="L33" s="267" t="n">
        <f aca="false">F33-(I33-AC33)</f>
        <v>36.0187597680867</v>
      </c>
      <c r="M33" s="269" t="n">
        <v>4.6</v>
      </c>
      <c r="N33" s="267" t="n">
        <v>0</v>
      </c>
      <c r="O33" s="267" t="n">
        <v>0</v>
      </c>
      <c r="P33" s="125" t="n">
        <f aca="false">1.44*1.02</f>
        <v>1.4688</v>
      </c>
      <c r="Q33" s="125" t="n">
        <f aca="false">2.27*1.04</f>
        <v>2.3608</v>
      </c>
      <c r="R33" s="132" t="n">
        <v>0</v>
      </c>
      <c r="S33" s="267" t="n">
        <v>60</v>
      </c>
      <c r="T33" s="267" t="n">
        <v>0</v>
      </c>
      <c r="U33" s="247" t="n">
        <f aca="false">M33-N33-O33-P33-Q33-R33+S33+T33</f>
        <v>60.7704</v>
      </c>
      <c r="V33" s="247"/>
      <c r="W33" s="242"/>
      <c r="X33" s="267"/>
      <c r="Y33" s="269"/>
      <c r="Z33" s="270"/>
      <c r="AA33" s="267" t="n">
        <v>25</v>
      </c>
      <c r="AB33" s="242" t="n">
        <f aca="false">AB32-AA33</f>
        <v>2726</v>
      </c>
      <c r="AC33" s="127" t="n">
        <f aca="false">N33+O33+P33+Q33+R33+U33+X33+AA33</f>
        <v>89.6</v>
      </c>
      <c r="AD33" s="267" t="n">
        <f aca="false">IF(L33&lt;0,L33*-1,0)</f>
        <v>0</v>
      </c>
      <c r="AE33" s="267" t="n">
        <f aca="false">AC33+AD33</f>
        <v>89.6</v>
      </c>
      <c r="AF33" s="248" t="n">
        <v>0</v>
      </c>
      <c r="AG33" s="242" t="n">
        <v>32</v>
      </c>
      <c r="AH33" s="249" t="n">
        <v>14</v>
      </c>
      <c r="AI33" s="244" t="n">
        <f aca="false">AI32+(U33*1.9835)</f>
        <v>8494.024414</v>
      </c>
      <c r="AJ33" s="244" t="n">
        <v>0</v>
      </c>
      <c r="AK33" s="250"/>
      <c r="AL33" s="250"/>
      <c r="AM33" s="250"/>
    </row>
    <row r="34" customFormat="false" ht="12.95" hidden="false" customHeight="true" outlineLevel="0" collapsed="false">
      <c r="A34" s="172" t="n">
        <f aca="false">A33+1</f>
        <v>23</v>
      </c>
      <c r="B34" s="252" t="n">
        <v>6876.23</v>
      </c>
      <c r="C34" s="242" t="n">
        <v>205080</v>
      </c>
      <c r="D34" s="244" t="n">
        <f aca="false">C34-C33</f>
        <v>-86</v>
      </c>
      <c r="E34" s="242" t="n">
        <f aca="false">C34-152000</f>
        <v>53080</v>
      </c>
      <c r="F34" s="266" t="n">
        <f aca="false">D34/$D$2</f>
        <v>-43.3577010335266</v>
      </c>
      <c r="G34" s="267" t="n">
        <v>14</v>
      </c>
      <c r="H34" s="268" t="n">
        <v>0.34</v>
      </c>
      <c r="I34" s="267" t="n">
        <f aca="false">G34+H34</f>
        <v>14.34</v>
      </c>
      <c r="J34" s="247" t="n">
        <f aca="false">IF(L34&gt;0,L34,0)</f>
        <v>31.9022989664734</v>
      </c>
      <c r="K34" s="267" t="n">
        <f aca="false">I34+J34</f>
        <v>46.2422989664734</v>
      </c>
      <c r="L34" s="267" t="n">
        <f aca="false">F34-(I34-AC34)</f>
        <v>31.9022989664734</v>
      </c>
      <c r="M34" s="269" t="n">
        <v>4.6</v>
      </c>
      <c r="N34" s="267" t="n">
        <v>0</v>
      </c>
      <c r="O34" s="267" t="n">
        <v>0</v>
      </c>
      <c r="P34" s="125" t="n">
        <f aca="false">1.44*1.02</f>
        <v>1.4688</v>
      </c>
      <c r="Q34" s="125" t="n">
        <f aca="false">2.35*1.04</f>
        <v>2.444</v>
      </c>
      <c r="R34" s="132" t="n">
        <v>0</v>
      </c>
      <c r="S34" s="267" t="n">
        <v>60</v>
      </c>
      <c r="T34" s="267" t="n">
        <v>0</v>
      </c>
      <c r="U34" s="247" t="n">
        <f aca="false">M34-N34-O34-P34-Q34-R34+S34+T34</f>
        <v>60.6872</v>
      </c>
      <c r="V34" s="247"/>
      <c r="W34" s="242"/>
      <c r="X34" s="267"/>
      <c r="Y34" s="269"/>
      <c r="Z34" s="270"/>
      <c r="AA34" s="267" t="n">
        <v>25</v>
      </c>
      <c r="AB34" s="242" t="n">
        <f aca="false">AB33-AA34</f>
        <v>2701</v>
      </c>
      <c r="AC34" s="127" t="n">
        <f aca="false">N34+O34+P34+Q34+R34+U34+X34+AA34</f>
        <v>89.6</v>
      </c>
      <c r="AD34" s="267" t="n">
        <f aca="false">IF(L34&lt;0,L34*-1,0)</f>
        <v>0</v>
      </c>
      <c r="AE34" s="267" t="n">
        <f aca="false">AC34+AD34</f>
        <v>89.6</v>
      </c>
      <c r="AF34" s="248" t="n">
        <v>0</v>
      </c>
      <c r="AG34" s="242" t="n">
        <v>26</v>
      </c>
      <c r="AH34" s="271" t="n">
        <v>7</v>
      </c>
      <c r="AI34" s="244" t="n">
        <f aca="false">AI33+(U34*1.9835)</f>
        <v>8614.3974752</v>
      </c>
      <c r="AJ34" s="244" t="n">
        <v>0</v>
      </c>
      <c r="AK34" s="250"/>
      <c r="AL34" s="250"/>
      <c r="AM34" s="250"/>
    </row>
    <row r="35" customFormat="false" ht="12.95" hidden="false" customHeight="true" outlineLevel="0" collapsed="false">
      <c r="A35" s="172" t="n">
        <f aca="false">A34+1</f>
        <v>24</v>
      </c>
      <c r="B35" s="252" t="n">
        <v>6876.2</v>
      </c>
      <c r="C35" s="242" t="n">
        <v>204993</v>
      </c>
      <c r="D35" s="244" t="n">
        <f aca="false">C35-C34</f>
        <v>-87</v>
      </c>
      <c r="E35" s="242" t="n">
        <f aca="false">C35-152000</f>
        <v>52993</v>
      </c>
      <c r="F35" s="266" t="n">
        <f aca="false">D35/$D$2</f>
        <v>-43.8618603478699</v>
      </c>
      <c r="G35" s="267" t="n">
        <v>22</v>
      </c>
      <c r="H35" s="268" t="n">
        <v>0.34</v>
      </c>
      <c r="I35" s="267" t="n">
        <f aca="false">G35+H35</f>
        <v>22.34</v>
      </c>
      <c r="J35" s="247" t="n">
        <f aca="false">IF(L35&gt;0,L35,0)</f>
        <v>23.6981396521301</v>
      </c>
      <c r="K35" s="267" t="n">
        <f aca="false">I35+J35</f>
        <v>46.0381396521301</v>
      </c>
      <c r="L35" s="267" t="n">
        <f aca="false">F35-(I35-AC35)</f>
        <v>23.6981396521301</v>
      </c>
      <c r="M35" s="269" t="n">
        <v>4.9</v>
      </c>
      <c r="N35" s="267" t="n">
        <v>0</v>
      </c>
      <c r="O35" s="267" t="n">
        <v>0</v>
      </c>
      <c r="P35" s="125" t="n">
        <f aca="false">1.44*1.02</f>
        <v>1.4688</v>
      </c>
      <c r="Q35" s="125" t="n">
        <f aca="false">1.99*1.04</f>
        <v>2.0696</v>
      </c>
      <c r="R35" s="132" t="n">
        <v>0</v>
      </c>
      <c r="S35" s="267" t="n">
        <v>60</v>
      </c>
      <c r="T35" s="267" t="n">
        <v>0</v>
      </c>
      <c r="U35" s="247" t="n">
        <f aca="false">M35-N35-O35-P35-Q35-R35+S35+T35</f>
        <v>61.3616</v>
      </c>
      <c r="V35" s="247"/>
      <c r="W35" s="242"/>
      <c r="X35" s="267"/>
      <c r="Y35" s="269"/>
      <c r="Z35" s="270"/>
      <c r="AA35" s="267" t="n">
        <v>25</v>
      </c>
      <c r="AB35" s="242" t="n">
        <f aca="false">AB34-AA35</f>
        <v>2676</v>
      </c>
      <c r="AC35" s="127" t="n">
        <f aca="false">N35+O35+P35+Q35+R35+U35+X35+AA35</f>
        <v>89.9</v>
      </c>
      <c r="AD35" s="267" t="n">
        <f aca="false">IF(L35&lt;0,L35*-1,0)</f>
        <v>0</v>
      </c>
      <c r="AE35" s="267" t="n">
        <f aca="false">AC35+AD35</f>
        <v>89.9</v>
      </c>
      <c r="AF35" s="248" t="n">
        <v>0</v>
      </c>
      <c r="AG35" s="242" t="n">
        <v>33</v>
      </c>
      <c r="AH35" s="271" t="n">
        <v>6</v>
      </c>
      <c r="AI35" s="244" t="n">
        <f aca="false">AI34+(U35*1.9835)</f>
        <v>8736.1082088</v>
      </c>
      <c r="AJ35" s="244" t="n">
        <v>0</v>
      </c>
      <c r="AK35" s="250"/>
      <c r="AL35" s="250"/>
      <c r="AM35" s="250"/>
    </row>
    <row r="36" customFormat="false" ht="12.95" hidden="false" customHeight="true" outlineLevel="0" collapsed="false">
      <c r="A36" s="172" t="n">
        <f aca="false">A35+1</f>
        <v>25</v>
      </c>
      <c r="B36" s="252" t="n">
        <v>6876.17</v>
      </c>
      <c r="C36" s="242" t="n">
        <v>204906</v>
      </c>
      <c r="D36" s="244" t="n">
        <f aca="false">C36-C35</f>
        <v>-87</v>
      </c>
      <c r="E36" s="242" t="n">
        <f aca="false">C36-152000</f>
        <v>52906</v>
      </c>
      <c r="F36" s="266" t="n">
        <f aca="false">D36/$D$2</f>
        <v>-43.8618603478699</v>
      </c>
      <c r="G36" s="267" t="n">
        <v>30</v>
      </c>
      <c r="H36" s="268" t="n">
        <v>0.18</v>
      </c>
      <c r="I36" s="267" t="n">
        <f aca="false">G36+H36</f>
        <v>30.18</v>
      </c>
      <c r="J36" s="247" t="n">
        <f aca="false">IF(L36&gt;0,L36,0)</f>
        <v>15.8581396521301</v>
      </c>
      <c r="K36" s="267" t="n">
        <f aca="false">I36+J36</f>
        <v>46.0381396521301</v>
      </c>
      <c r="L36" s="267" t="n">
        <f aca="false">F36-(I36-AC36)</f>
        <v>15.8581396521301</v>
      </c>
      <c r="M36" s="269" t="n">
        <v>4.9</v>
      </c>
      <c r="N36" s="267" t="n">
        <v>0</v>
      </c>
      <c r="O36" s="267" t="n">
        <v>0</v>
      </c>
      <c r="P36" s="125" t="n">
        <f aca="false">1.44*1.02</f>
        <v>1.4688</v>
      </c>
      <c r="Q36" s="125" t="n">
        <f aca="false">2.38*1.04</f>
        <v>2.4752</v>
      </c>
      <c r="R36" s="132" t="n">
        <v>0</v>
      </c>
      <c r="S36" s="267" t="n">
        <v>60</v>
      </c>
      <c r="T36" s="267" t="n">
        <v>0</v>
      </c>
      <c r="U36" s="247" t="n">
        <f aca="false">M36-N36-O36-P36-Q36-R36+S36+T36</f>
        <v>60.956</v>
      </c>
      <c r="V36" s="247"/>
      <c r="W36" s="242"/>
      <c r="X36" s="267"/>
      <c r="Y36" s="269"/>
      <c r="Z36" s="270"/>
      <c r="AA36" s="267" t="n">
        <v>25</v>
      </c>
      <c r="AB36" s="242" t="n">
        <f aca="false">AB35-AA36</f>
        <v>2651</v>
      </c>
      <c r="AC36" s="127" t="n">
        <f aca="false">N36+O36+P36+Q36+R36+U36+X36+AA36</f>
        <v>89.9</v>
      </c>
      <c r="AD36" s="267" t="n">
        <f aca="false">IF(L36&lt;0,L36*-1,0)</f>
        <v>0</v>
      </c>
      <c r="AE36" s="267" t="n">
        <f aca="false">AC36+AD36</f>
        <v>89.9</v>
      </c>
      <c r="AF36" s="248" t="n">
        <v>0</v>
      </c>
      <c r="AG36" s="242" t="n">
        <v>43</v>
      </c>
      <c r="AH36" s="271" t="n">
        <v>6</v>
      </c>
      <c r="AI36" s="244" t="n">
        <f aca="false">AI35+(U36*1.9835)</f>
        <v>8857.0144348</v>
      </c>
      <c r="AJ36" s="244" t="n">
        <v>0</v>
      </c>
      <c r="AK36" s="250"/>
      <c r="AL36" s="250"/>
      <c r="AM36" s="250"/>
    </row>
    <row r="37" customFormat="false" ht="12.95" hidden="false" customHeight="true" outlineLevel="0" collapsed="false">
      <c r="A37" s="172" t="n">
        <f aca="false">A36+1</f>
        <v>26</v>
      </c>
      <c r="B37" s="252" t="n">
        <v>6876.13</v>
      </c>
      <c r="C37" s="242" t="n">
        <v>204791</v>
      </c>
      <c r="D37" s="244" t="n">
        <f aca="false">C37-C36</f>
        <v>-115</v>
      </c>
      <c r="E37" s="242" t="n">
        <f aca="false">C37-152000</f>
        <v>52791</v>
      </c>
      <c r="F37" s="266" t="n">
        <f aca="false">D37/$D$2</f>
        <v>-57.9783211494832</v>
      </c>
      <c r="G37" s="267" t="n">
        <v>36</v>
      </c>
      <c r="H37" s="268" t="n">
        <v>0.09</v>
      </c>
      <c r="I37" s="267" t="n">
        <f aca="false">G37+H37</f>
        <v>36.09</v>
      </c>
      <c r="J37" s="247" t="n">
        <f aca="false">IF(L37&gt;0,L37,0)</f>
        <v>0</v>
      </c>
      <c r="K37" s="267" t="n">
        <f aca="false">I37+J37</f>
        <v>36.09</v>
      </c>
      <c r="L37" s="267" t="n">
        <f aca="false">F37-(I37-AC37)</f>
        <v>-3.96832114948324</v>
      </c>
      <c r="M37" s="269" t="n">
        <v>5.1</v>
      </c>
      <c r="N37" s="267" t="n">
        <v>0</v>
      </c>
      <c r="O37" s="267" t="n">
        <v>0</v>
      </c>
      <c r="P37" s="125" t="n">
        <f aca="false">1.44*1.02</f>
        <v>1.4688</v>
      </c>
      <c r="Q37" s="125" t="n">
        <f aca="false">2.08*1.04</f>
        <v>2.1632</v>
      </c>
      <c r="R37" s="132" t="n">
        <v>0</v>
      </c>
      <c r="S37" s="267" t="n">
        <v>60</v>
      </c>
      <c r="T37" s="267" t="n">
        <v>0</v>
      </c>
      <c r="U37" s="247" t="n">
        <f aca="false">M37-N37-O37-P37-Q37-R37+S37+T37</f>
        <v>61.468</v>
      </c>
      <c r="V37" s="247"/>
      <c r="W37" s="242"/>
      <c r="X37" s="267"/>
      <c r="Y37" s="269"/>
      <c r="Z37" s="270"/>
      <c r="AA37" s="267" t="n">
        <v>25</v>
      </c>
      <c r="AB37" s="242" t="n">
        <f aca="false">AB36-AA37</f>
        <v>2626</v>
      </c>
      <c r="AC37" s="127" t="n">
        <f aca="false">N37+O37+P37+Q37+R37+U37+X37+AA37</f>
        <v>90.1</v>
      </c>
      <c r="AD37" s="267" t="n">
        <f aca="false">IF(L37&lt;0,L37*-1,0)</f>
        <v>3.96832114948324</v>
      </c>
      <c r="AE37" s="267" t="n">
        <f aca="false">AC37+AD37</f>
        <v>94.0683211494832</v>
      </c>
      <c r="AF37" s="248" t="n">
        <v>0</v>
      </c>
      <c r="AG37" s="242" t="n">
        <v>51</v>
      </c>
      <c r="AH37" s="249" t="n">
        <v>20</v>
      </c>
      <c r="AI37" s="244" t="n">
        <f aca="false">AI36+(U37*1.9835)</f>
        <v>8978.9362128</v>
      </c>
      <c r="AJ37" s="244" t="n">
        <v>0</v>
      </c>
      <c r="AK37" s="250"/>
      <c r="AL37" s="250"/>
      <c r="AM37" s="250"/>
    </row>
    <row r="38" customFormat="false" ht="12.95" hidden="false" customHeight="true" outlineLevel="0" collapsed="false">
      <c r="A38" s="172" t="n">
        <f aca="false">A37+1</f>
        <v>27</v>
      </c>
      <c r="B38" s="252" t="n">
        <v>6876.12</v>
      </c>
      <c r="C38" s="242" t="n">
        <v>204762</v>
      </c>
      <c r="D38" s="244" t="n">
        <f aca="false">C38-C37</f>
        <v>-29</v>
      </c>
      <c r="E38" s="242" t="n">
        <f aca="false">C38-152000</f>
        <v>52762</v>
      </c>
      <c r="F38" s="266" t="n">
        <f aca="false">D38/$D$2</f>
        <v>-14.6206201159566</v>
      </c>
      <c r="G38" s="267" t="n">
        <v>42</v>
      </c>
      <c r="H38" s="268" t="n">
        <v>0.05</v>
      </c>
      <c r="I38" s="267" t="n">
        <f aca="false">G38+H38</f>
        <v>42.05</v>
      </c>
      <c r="J38" s="247" t="n">
        <f aca="false">IF(L38&gt;0,L38,0)</f>
        <v>33.5293798840434</v>
      </c>
      <c r="K38" s="267" t="n">
        <f aca="false">I38+J38</f>
        <v>75.5793798840434</v>
      </c>
      <c r="L38" s="267" t="n">
        <f aca="false">F38-(I38-AC38)</f>
        <v>33.5293798840434</v>
      </c>
      <c r="M38" s="269" t="n">
        <v>5.2</v>
      </c>
      <c r="N38" s="267" t="n">
        <v>0</v>
      </c>
      <c r="O38" s="267" t="n">
        <v>0</v>
      </c>
      <c r="P38" s="125" t="n">
        <f aca="false">1.44*1.02</f>
        <v>1.4688</v>
      </c>
      <c r="Q38" s="125" t="n">
        <f aca="false">1.93*1.04</f>
        <v>2.0072</v>
      </c>
      <c r="R38" s="132" t="n">
        <v>0</v>
      </c>
      <c r="S38" s="267" t="n">
        <v>60</v>
      </c>
      <c r="T38" s="267" t="n">
        <v>0</v>
      </c>
      <c r="U38" s="247" t="n">
        <f aca="false">M38-N38-O38-P38-Q38-R38+S38+T38</f>
        <v>61.724</v>
      </c>
      <c r="V38" s="247"/>
      <c r="W38" s="242"/>
      <c r="X38" s="267"/>
      <c r="Y38" s="269"/>
      <c r="Z38" s="270"/>
      <c r="AA38" s="267" t="n">
        <v>25</v>
      </c>
      <c r="AB38" s="242" t="n">
        <f aca="false">AB37-AA38</f>
        <v>2601</v>
      </c>
      <c r="AC38" s="127" t="n">
        <f aca="false">N38+O38+P38+Q38+R38+U38+X38+AA38</f>
        <v>90.2</v>
      </c>
      <c r="AD38" s="267" t="n">
        <f aca="false">IF(L38&lt;0,L38*-1,0)</f>
        <v>0</v>
      </c>
      <c r="AE38" s="267" t="n">
        <f aca="false">AC38+AD38</f>
        <v>90.2</v>
      </c>
      <c r="AF38" s="248" t="n">
        <v>0</v>
      </c>
      <c r="AG38" s="242" t="n">
        <v>50</v>
      </c>
      <c r="AH38" s="249" t="n">
        <v>28</v>
      </c>
      <c r="AI38" s="244" t="n">
        <f aca="false">AI37+(U38*1.9835)</f>
        <v>9101.3657668</v>
      </c>
      <c r="AJ38" s="244" t="n">
        <v>0</v>
      </c>
      <c r="AK38" s="250"/>
      <c r="AL38" s="250"/>
      <c r="AM38" s="250"/>
    </row>
    <row r="39" customFormat="false" ht="12.95" hidden="false" customHeight="true" outlineLevel="0" collapsed="false">
      <c r="A39" s="172" t="n">
        <f aca="false">A38+1</f>
        <v>28</v>
      </c>
      <c r="B39" s="252" t="n">
        <v>6876.11</v>
      </c>
      <c r="C39" s="242" t="n">
        <v>204733</v>
      </c>
      <c r="D39" s="244" t="n">
        <f aca="false">C39-C38</f>
        <v>-29</v>
      </c>
      <c r="E39" s="242" t="n">
        <f aca="false">C39-152000</f>
        <v>52733</v>
      </c>
      <c r="F39" s="266" t="n">
        <f aca="false">D39/$D$2</f>
        <v>-14.6206201159566</v>
      </c>
      <c r="G39" s="267" t="n">
        <v>64</v>
      </c>
      <c r="H39" s="268" t="n">
        <v>0.1</v>
      </c>
      <c r="I39" s="267" t="n">
        <f aca="false">G39+H39</f>
        <v>64.1</v>
      </c>
      <c r="J39" s="247" t="n">
        <f aca="false">IF(L39&gt;0,L39,0)</f>
        <v>11.2793798840434</v>
      </c>
      <c r="K39" s="267" t="n">
        <f aca="false">I39+J39</f>
        <v>75.3793798840434</v>
      </c>
      <c r="L39" s="267" t="n">
        <f aca="false">F39-(I39-AC39)</f>
        <v>11.2793798840434</v>
      </c>
      <c r="M39" s="269" t="n">
        <v>5</v>
      </c>
      <c r="N39" s="267" t="n">
        <v>0</v>
      </c>
      <c r="O39" s="267" t="n">
        <v>0</v>
      </c>
      <c r="P39" s="125" t="n">
        <f aca="false">1.44*1.02</f>
        <v>1.4688</v>
      </c>
      <c r="Q39" s="125" t="n">
        <f aca="false">2.14*1.04</f>
        <v>2.2256</v>
      </c>
      <c r="R39" s="132" t="n">
        <v>0</v>
      </c>
      <c r="S39" s="267" t="n">
        <v>60</v>
      </c>
      <c r="T39" s="267" t="n">
        <v>0</v>
      </c>
      <c r="U39" s="247" t="n">
        <f aca="false">M39-N39-O39-P39-Q39-R39+S39+T39</f>
        <v>61.3056</v>
      </c>
      <c r="V39" s="247"/>
      <c r="W39" s="242"/>
      <c r="X39" s="267"/>
      <c r="Y39" s="269"/>
      <c r="Z39" s="270"/>
      <c r="AA39" s="267" t="n">
        <v>25</v>
      </c>
      <c r="AB39" s="242" t="n">
        <f aca="false">AB38-AA39</f>
        <v>2576</v>
      </c>
      <c r="AC39" s="127" t="n">
        <f aca="false">N39+O39+P39+Q39+R39+U39+X39+AA39</f>
        <v>90</v>
      </c>
      <c r="AD39" s="267" t="n">
        <f aca="false">IF(L39&lt;0,L39*-1,0)</f>
        <v>0</v>
      </c>
      <c r="AE39" s="267" t="n">
        <f aca="false">AC39+AD39</f>
        <v>90</v>
      </c>
      <c r="AF39" s="248" t="n">
        <v>0.02</v>
      </c>
      <c r="AG39" s="242" t="n">
        <v>51</v>
      </c>
      <c r="AH39" s="249" t="n">
        <v>28</v>
      </c>
      <c r="AI39" s="244" t="n">
        <f aca="false">AI38+(U39*1.9835)</f>
        <v>9222.9654244</v>
      </c>
      <c r="AJ39" s="244" t="n">
        <v>0</v>
      </c>
      <c r="AK39" s="250"/>
      <c r="AL39" s="250"/>
      <c r="AM39" s="250"/>
    </row>
    <row r="40" customFormat="false" ht="12.95" hidden="false" customHeight="true" outlineLevel="0" collapsed="false">
      <c r="A40" s="172" t="n">
        <f aca="false">A39+1</f>
        <v>29</v>
      </c>
      <c r="B40" s="252" t="n">
        <v>6876.18</v>
      </c>
      <c r="C40" s="242" t="n">
        <v>204935</v>
      </c>
      <c r="D40" s="244" t="n">
        <f aca="false">C40-C39</f>
        <v>202</v>
      </c>
      <c r="E40" s="242" t="n">
        <f aca="false">C40-152000</f>
        <v>52935</v>
      </c>
      <c r="F40" s="266" t="n">
        <f aca="false">D40/$D$2</f>
        <v>101.840181497353</v>
      </c>
      <c r="G40" s="267" t="n">
        <v>98</v>
      </c>
      <c r="H40" s="268" t="n">
        <v>0.43</v>
      </c>
      <c r="I40" s="267" t="n">
        <f aca="false">G40+H40</f>
        <v>98.43</v>
      </c>
      <c r="J40" s="247" t="n">
        <f aca="false">IF(L40&gt;0,L40,0)</f>
        <v>94.0101814973532</v>
      </c>
      <c r="K40" s="267" t="n">
        <f aca="false">I40+J40</f>
        <v>192.440181497353</v>
      </c>
      <c r="L40" s="267" t="n">
        <f aca="false">F40-(I40-AC40)</f>
        <v>94.0101814973532</v>
      </c>
      <c r="M40" s="269" t="n">
        <v>4.6</v>
      </c>
      <c r="N40" s="267" t="n">
        <v>0</v>
      </c>
      <c r="O40" s="267" t="n">
        <v>0</v>
      </c>
      <c r="P40" s="125" t="n">
        <f aca="false">1.44*1.02</f>
        <v>1.4688</v>
      </c>
      <c r="Q40" s="125" t="n">
        <f aca="false">2.39*1.04</f>
        <v>2.4856</v>
      </c>
      <c r="R40" s="132" t="n">
        <v>0</v>
      </c>
      <c r="S40" s="267" t="n">
        <v>60</v>
      </c>
      <c r="T40" s="267" t="n">
        <v>0</v>
      </c>
      <c r="U40" s="247" t="n">
        <f aca="false">M40-N40-O40-P40-Q40-R40+S40+T40</f>
        <v>60.6456</v>
      </c>
      <c r="V40" s="247"/>
      <c r="W40" s="242"/>
      <c r="X40" s="267"/>
      <c r="Y40" s="269"/>
      <c r="Z40" s="270"/>
      <c r="AA40" s="267" t="n">
        <v>26</v>
      </c>
      <c r="AB40" s="242" t="n">
        <f aca="false">AB39-AA40</f>
        <v>2550</v>
      </c>
      <c r="AC40" s="127" t="n">
        <f aca="false">N40+O40+P40+Q40+R40+U40+X40+AA40</f>
        <v>90.6</v>
      </c>
      <c r="AD40" s="267" t="n">
        <f aca="false">IF(L40&lt;0,L40*-1,0)</f>
        <v>0</v>
      </c>
      <c r="AE40" s="267" t="n">
        <f aca="false">AC40+AD40</f>
        <v>90.6</v>
      </c>
      <c r="AF40" s="248" t="n">
        <v>0.58</v>
      </c>
      <c r="AG40" s="242" t="n">
        <v>46</v>
      </c>
      <c r="AH40" s="249" t="n">
        <v>32</v>
      </c>
      <c r="AI40" s="244" t="n">
        <f aca="false">AI39+(U40*1.9835)</f>
        <v>9343.255972</v>
      </c>
      <c r="AJ40" s="244" t="n">
        <v>0</v>
      </c>
      <c r="AK40" s="250"/>
      <c r="AL40" s="250"/>
      <c r="AM40" s="250"/>
    </row>
    <row r="41" customFormat="false" ht="12.95" hidden="false" customHeight="true" outlineLevel="0" collapsed="false">
      <c r="A41" s="172" t="n">
        <v>30</v>
      </c>
      <c r="B41" s="252" t="n">
        <v>6876.21</v>
      </c>
      <c r="C41" s="242" t="n">
        <v>205022</v>
      </c>
      <c r="D41" s="244" t="n">
        <f aca="false">C41-C40</f>
        <v>87</v>
      </c>
      <c r="E41" s="242" t="n">
        <f aca="false">C41-152000</f>
        <v>53022</v>
      </c>
      <c r="F41" s="266" t="n">
        <f aca="false">D41/$D$2</f>
        <v>43.8618603478699</v>
      </c>
      <c r="G41" s="267" t="n">
        <v>76</v>
      </c>
      <c r="H41" s="268" t="n">
        <v>0.98</v>
      </c>
      <c r="I41" s="267" t="n">
        <f aca="false">G41+H41</f>
        <v>76.98</v>
      </c>
      <c r="J41" s="247" t="n">
        <f aca="false">IF(L41&gt;0,L41,0)</f>
        <v>56.4818603478699</v>
      </c>
      <c r="K41" s="267" t="n">
        <f aca="false">I41+J41</f>
        <v>133.46186034787</v>
      </c>
      <c r="L41" s="267" t="n">
        <f aca="false">F41-(I41-AC41)</f>
        <v>56.4818603478699</v>
      </c>
      <c r="M41" s="269" t="n">
        <v>4.6</v>
      </c>
      <c r="N41" s="267" t="n">
        <v>0</v>
      </c>
      <c r="O41" s="267" t="n">
        <v>0</v>
      </c>
      <c r="P41" s="125" t="n">
        <f aca="false">1.44*1.02</f>
        <v>1.4688</v>
      </c>
      <c r="Q41" s="125" t="n">
        <f aca="false">2.51*1.04</f>
        <v>2.6104</v>
      </c>
      <c r="R41" s="132" t="n">
        <v>0</v>
      </c>
      <c r="S41" s="267" t="n">
        <v>60</v>
      </c>
      <c r="T41" s="267" t="n">
        <v>0</v>
      </c>
      <c r="U41" s="247" t="n">
        <f aca="false">M41-N41-O41-P41-Q41-R41+S41+T41</f>
        <v>60.5208</v>
      </c>
      <c r="V41" s="247"/>
      <c r="W41" s="242"/>
      <c r="X41" s="267"/>
      <c r="Y41" s="269"/>
      <c r="Z41" s="270"/>
      <c r="AA41" s="267" t="n">
        <v>25</v>
      </c>
      <c r="AB41" s="242" t="n">
        <f aca="false">AB40-AA41</f>
        <v>2525</v>
      </c>
      <c r="AC41" s="127" t="n">
        <f aca="false">N41+O41+P41+Q41+R41+U41+X41+AA41</f>
        <v>89.6</v>
      </c>
      <c r="AD41" s="267" t="n">
        <f aca="false">IF(L41&lt;0,L41*-1,0)</f>
        <v>0</v>
      </c>
      <c r="AE41" s="267" t="n">
        <f aca="false">AC41+AD41</f>
        <v>89.6</v>
      </c>
      <c r="AF41" s="248" t="n">
        <v>0</v>
      </c>
      <c r="AG41" s="242" t="n">
        <v>42</v>
      </c>
      <c r="AH41" s="249" t="n">
        <v>29</v>
      </c>
      <c r="AI41" s="244" t="n">
        <f aca="false">AI40+(U41*1.9835)</f>
        <v>9463.2989788</v>
      </c>
      <c r="AJ41" s="244" t="n">
        <v>0</v>
      </c>
      <c r="AK41" s="250"/>
      <c r="AL41" s="250"/>
      <c r="AM41" s="250"/>
    </row>
    <row r="42" customFormat="false" ht="12.95" hidden="false" customHeight="true" outlineLevel="0" collapsed="false">
      <c r="A42" s="172" t="n">
        <v>31</v>
      </c>
      <c r="B42" s="252" t="n">
        <v>6876.25</v>
      </c>
      <c r="C42" s="242" t="n">
        <v>205137</v>
      </c>
      <c r="D42" s="244" t="n">
        <f aca="false">C42-C41</f>
        <v>115</v>
      </c>
      <c r="E42" s="242" t="n">
        <f aca="false">C42-152000</f>
        <v>53137</v>
      </c>
      <c r="F42" s="266" t="n">
        <f aca="false">D42/$D$2</f>
        <v>57.9783211494832</v>
      </c>
      <c r="G42" s="267" t="n">
        <v>64</v>
      </c>
      <c r="H42" s="268" t="n">
        <v>0.78</v>
      </c>
      <c r="I42" s="267" t="n">
        <f aca="false">G42+H42</f>
        <v>64.78</v>
      </c>
      <c r="J42" s="247" t="n">
        <f aca="false">IF(L42&gt;0,L42,0)</f>
        <v>82.9983211494832</v>
      </c>
      <c r="K42" s="267" t="n">
        <f aca="false">I42+J42</f>
        <v>147.778321149483</v>
      </c>
      <c r="L42" s="267" t="n">
        <f aca="false">F42-(I42-AC42)</f>
        <v>82.9983211494832</v>
      </c>
      <c r="M42" s="269" t="n">
        <v>4.8</v>
      </c>
      <c r="N42" s="267" t="n">
        <v>0</v>
      </c>
      <c r="O42" s="267" t="n">
        <v>0</v>
      </c>
      <c r="P42" s="125" t="n">
        <f aca="false">1.44*1.02</f>
        <v>1.4688</v>
      </c>
      <c r="Q42" s="125" t="n">
        <f aca="false">2.41*1.04</f>
        <v>2.5064</v>
      </c>
      <c r="R42" s="132" t="n">
        <v>0</v>
      </c>
      <c r="S42" s="267" t="n">
        <v>60</v>
      </c>
      <c r="T42" s="267" t="n">
        <v>0</v>
      </c>
      <c r="U42" s="247" t="n">
        <f aca="false">M42-N42-O42-P42-Q42-R42+S42+T42</f>
        <v>60.8248</v>
      </c>
      <c r="V42" s="247"/>
      <c r="W42" s="242"/>
      <c r="X42" s="267"/>
      <c r="Y42" s="269"/>
      <c r="Z42" s="270"/>
      <c r="AA42" s="267" t="n">
        <v>25</v>
      </c>
      <c r="AB42" s="242" t="n">
        <f aca="false">AB41-AA42</f>
        <v>2500</v>
      </c>
      <c r="AC42" s="127" t="n">
        <f aca="false">N42+O42+P42+Q42+R42+U42+X42+AA42</f>
        <v>89.8</v>
      </c>
      <c r="AD42" s="267" t="n">
        <f aca="false">IF(L42&lt;0,L42*-1,0)</f>
        <v>0</v>
      </c>
      <c r="AE42" s="267" t="n">
        <f aca="false">AC42+AD42</f>
        <v>89.8</v>
      </c>
      <c r="AF42" s="248" t="n">
        <v>0</v>
      </c>
      <c r="AG42" s="242" t="n">
        <v>45</v>
      </c>
      <c r="AH42" s="249" t="n">
        <v>32</v>
      </c>
      <c r="AI42" s="244" t="n">
        <f aca="false">AI41+(U42*1.9835)</f>
        <v>9583.9449696</v>
      </c>
      <c r="AJ42" s="244" t="n">
        <v>0</v>
      </c>
      <c r="AK42" s="250"/>
      <c r="AL42" s="250"/>
      <c r="AM42" s="250"/>
    </row>
    <row r="43" customFormat="false" ht="3" hidden="false" customHeight="true" outlineLevel="0" collapsed="false">
      <c r="A43" s="254"/>
      <c r="B43" s="272"/>
      <c r="C43" s="256"/>
      <c r="D43" s="257"/>
      <c r="E43" s="256"/>
      <c r="F43" s="258"/>
      <c r="G43" s="257"/>
      <c r="H43" s="259"/>
      <c r="I43" s="257"/>
      <c r="J43" s="257"/>
      <c r="K43" s="257"/>
      <c r="L43" s="273"/>
      <c r="M43" s="274"/>
      <c r="N43" s="273"/>
      <c r="O43" s="257"/>
      <c r="P43" s="257"/>
      <c r="Q43" s="257"/>
      <c r="R43" s="261"/>
      <c r="S43" s="257"/>
      <c r="T43" s="257"/>
      <c r="U43" s="257" t="n">
        <f aca="false">M43-N43-O43-P43-Q43-R43+S43+T43</f>
        <v>0</v>
      </c>
      <c r="V43" s="262"/>
      <c r="W43" s="256"/>
      <c r="X43" s="257"/>
      <c r="Y43" s="260"/>
      <c r="Z43" s="261"/>
      <c r="AA43" s="273"/>
      <c r="AB43" s="257"/>
      <c r="AC43" s="257" t="n">
        <f aca="false">N43+O43+P43+Q43+R43+U43+X43+AA43</f>
        <v>0</v>
      </c>
      <c r="AD43" s="257"/>
      <c r="AE43" s="257"/>
      <c r="AF43" s="263"/>
      <c r="AG43" s="264"/>
      <c r="AH43" s="265" t="s">
        <v>93</v>
      </c>
      <c r="AI43" s="264"/>
      <c r="AJ43" s="264"/>
      <c r="AK43" s="264"/>
      <c r="AL43" s="264"/>
      <c r="AM43" s="264"/>
      <c r="AN43" s="264"/>
    </row>
    <row r="44" customFormat="false" ht="12.95" hidden="false" customHeight="true" outlineLevel="0" collapsed="false">
      <c r="A44" s="173" t="s">
        <v>75</v>
      </c>
      <c r="B44" s="241"/>
      <c r="C44" s="242"/>
      <c r="D44" s="242"/>
      <c r="E44" s="242"/>
      <c r="F44" s="243" t="n">
        <f aca="false">SUM(F12:F42)</f>
        <v>-218.805142425006</v>
      </c>
      <c r="G44" s="242" t="n">
        <f aca="false">SUM(G12:G42)</f>
        <v>1552</v>
      </c>
      <c r="H44" s="242" t="n">
        <f aca="false">SUM(H12:H42)</f>
        <v>12.41</v>
      </c>
      <c r="I44" s="242" t="n">
        <f aca="false">SUM(I12:I42)</f>
        <v>1564.41</v>
      </c>
      <c r="J44" s="242" t="n">
        <f aca="false">SUM(J12:J42)</f>
        <v>861.157519536173</v>
      </c>
      <c r="K44" s="242" t="n">
        <f aca="false">SUM(K12:K42)</f>
        <v>2425.56751953617</v>
      </c>
      <c r="L44" s="242" t="n">
        <f aca="false">SUM(L12:L42)</f>
        <v>844.284857574994</v>
      </c>
      <c r="M44" s="245" t="n">
        <f aca="false">SUM(M12:M43)</f>
        <v>145.5</v>
      </c>
      <c r="N44" s="242" t="n">
        <f aca="false">SUM(N12:N42)</f>
        <v>0</v>
      </c>
      <c r="O44" s="242" t="n">
        <f aca="false">SUM(O12:O42)</f>
        <v>0</v>
      </c>
      <c r="P44" s="242" t="n">
        <f aca="false">SUM(P12:P42)</f>
        <v>45.5328</v>
      </c>
      <c r="Q44" s="242" t="n">
        <f aca="false">SUM(Q12:Q42)</f>
        <v>72.3944</v>
      </c>
      <c r="R44" s="246" t="n">
        <f aca="false">SUM(R12:R42)</f>
        <v>0</v>
      </c>
      <c r="S44" s="242" t="n">
        <f aca="false">SUM(S12:S43)</f>
        <v>1720</v>
      </c>
      <c r="T44" s="242" t="n">
        <f aca="false">SUM(T12:T42)</f>
        <v>0</v>
      </c>
      <c r="U44" s="242" t="n">
        <f aca="false">SUM(U12:U43)</f>
        <v>1747.5728</v>
      </c>
      <c r="V44" s="247"/>
      <c r="W44" s="242"/>
      <c r="X44" s="242"/>
      <c r="Y44" s="245"/>
      <c r="Z44" s="246"/>
      <c r="AA44" s="242" t="n">
        <f aca="false">SUM(AA12:AA42)</f>
        <v>762</v>
      </c>
      <c r="AB44" s="242"/>
      <c r="AC44" s="242" t="n">
        <f aca="false">SUM(AC12:AC43)</f>
        <v>2627.5</v>
      </c>
      <c r="AD44" s="242" t="n">
        <f aca="false">SUM(AD12:AD42)</f>
        <v>16.8726619611798</v>
      </c>
      <c r="AE44" s="242" t="n">
        <f aca="false">SUM(AE12:AE42)</f>
        <v>2644.37266196118</v>
      </c>
      <c r="AF44" s="248" t="n">
        <f aca="false">SUM(AF12:AF42)</f>
        <v>0.91</v>
      </c>
      <c r="AG44" s="244" t="n">
        <f aca="false">AVERAGE(AG12:AG42)</f>
        <v>42.1612903225807</v>
      </c>
      <c r="AH44" s="249" t="n">
        <f aca="false">AVERAGE(AH12:AH42)</f>
        <v>20.1612903225806</v>
      </c>
      <c r="AI44" s="244" t="s">
        <v>76</v>
      </c>
      <c r="AJ44" s="242" t="n">
        <f aca="false">SUM(AJ12:AJ42)</f>
        <v>0</v>
      </c>
      <c r="AK44" s="250"/>
      <c r="AL44" s="250"/>
      <c r="AM44" s="250"/>
    </row>
    <row r="45" customFormat="false" ht="12.95" hidden="false" customHeight="true" outlineLevel="0" collapsed="false">
      <c r="A45" s="173" t="s">
        <v>77</v>
      </c>
      <c r="B45" s="241"/>
      <c r="C45" s="242"/>
      <c r="D45" s="242" t="n">
        <f aca="false">SUM(D12:D42)</f>
        <v>-434</v>
      </c>
      <c r="E45" s="242"/>
      <c r="F45" s="243" t="n">
        <f aca="false">F44*$D$2</f>
        <v>-434</v>
      </c>
      <c r="G45" s="242" t="n">
        <f aca="false">G44*$D$2</f>
        <v>3078.392</v>
      </c>
      <c r="H45" s="242" t="n">
        <f aca="false">H44*$D$2</f>
        <v>24.615235</v>
      </c>
      <c r="I45" s="242" t="n">
        <f aca="false">I44*$D$2</f>
        <v>3103.007235</v>
      </c>
      <c r="J45" s="242" t="n">
        <f aca="false">J44*$D$2</f>
        <v>1708.10594</v>
      </c>
      <c r="K45" s="242" t="n">
        <f aca="false">K44*$D$2</f>
        <v>4811.113175</v>
      </c>
      <c r="L45" s="242" t="n">
        <f aca="false">L44*$D$2</f>
        <v>1674.639015</v>
      </c>
      <c r="M45" s="245" t="n">
        <f aca="false">M44*$D$2</f>
        <v>288.59925</v>
      </c>
      <c r="N45" s="242" t="n">
        <f aca="false">N44*$D$2</f>
        <v>0</v>
      </c>
      <c r="O45" s="242" t="n">
        <f aca="false">O44*$D$2</f>
        <v>0</v>
      </c>
      <c r="P45" s="242" t="n">
        <f aca="false">P44*$D$2</f>
        <v>90.3143088</v>
      </c>
      <c r="Q45" s="242" t="n">
        <f aca="false">Q44*$D$2</f>
        <v>143.5942924</v>
      </c>
      <c r="R45" s="246" t="n">
        <f aca="false">R44*$D$2</f>
        <v>0</v>
      </c>
      <c r="S45" s="242" t="n">
        <f aca="false">S44*$D$2</f>
        <v>3411.62</v>
      </c>
      <c r="T45" s="242" t="n">
        <f aca="false">T44*$D$2</f>
        <v>0</v>
      </c>
      <c r="U45" s="242" t="n">
        <f aca="false">U44*$D$2</f>
        <v>3466.3106488</v>
      </c>
      <c r="V45" s="247"/>
      <c r="W45" s="242"/>
      <c r="X45" s="242"/>
      <c r="Y45" s="245"/>
      <c r="Z45" s="246"/>
      <c r="AA45" s="242" t="n">
        <f aca="false">AA44*$D$2</f>
        <v>1511.427</v>
      </c>
      <c r="AB45" s="242"/>
      <c r="AC45" s="242" t="n">
        <f aca="false">AC44*$D$2</f>
        <v>5211.64625</v>
      </c>
      <c r="AD45" s="242" t="n">
        <f aca="false">AD44*$D$2</f>
        <v>33.466925</v>
      </c>
      <c r="AE45" s="242" t="n">
        <f aca="false">AE44*$D$2</f>
        <v>5245.113175</v>
      </c>
      <c r="AF45" s="248"/>
      <c r="AG45" s="244" t="n">
        <f aca="false">MAX(AG12:AG42)</f>
        <v>53</v>
      </c>
      <c r="AH45" s="249" t="n">
        <f aca="false">MAX(AH12:AH42)</f>
        <v>32</v>
      </c>
      <c r="AI45" s="244" t="s">
        <v>78</v>
      </c>
      <c r="AJ45" s="242" t="n">
        <f aca="false">AJ44*$D$2</f>
        <v>0</v>
      </c>
      <c r="AK45" s="250"/>
      <c r="AL45" s="250"/>
      <c r="AM45" s="250"/>
    </row>
    <row r="46" customFormat="false" ht="3" hidden="false" customHeight="true" outlineLevel="0" collapsed="false">
      <c r="A46" s="275"/>
      <c r="B46" s="272"/>
      <c r="C46" s="256"/>
      <c r="D46" s="256"/>
      <c r="E46" s="256"/>
      <c r="F46" s="276"/>
      <c r="G46" s="256"/>
      <c r="H46" s="256"/>
      <c r="I46" s="256"/>
      <c r="J46" s="256"/>
      <c r="K46" s="256"/>
      <c r="L46" s="256"/>
      <c r="M46" s="277"/>
      <c r="N46" s="256"/>
      <c r="O46" s="256"/>
      <c r="P46" s="256"/>
      <c r="Q46" s="256"/>
      <c r="R46" s="278"/>
      <c r="S46" s="256"/>
      <c r="T46" s="256"/>
      <c r="U46" s="256"/>
      <c r="V46" s="262"/>
      <c r="W46" s="256"/>
      <c r="X46" s="256"/>
      <c r="Y46" s="277"/>
      <c r="Z46" s="278"/>
      <c r="AA46" s="256"/>
      <c r="AB46" s="257"/>
      <c r="AC46" s="256"/>
      <c r="AD46" s="256"/>
      <c r="AE46" s="256"/>
      <c r="AF46" s="279"/>
      <c r="AG46" s="256"/>
      <c r="AH46" s="276"/>
      <c r="AI46" s="256"/>
      <c r="AJ46" s="256"/>
      <c r="AK46" s="256"/>
      <c r="AL46" s="256"/>
      <c r="AM46" s="264"/>
      <c r="AN46" s="264"/>
    </row>
    <row r="47" customFormat="false" ht="12.95" hidden="false" customHeight="true" outlineLevel="0" collapsed="false">
      <c r="A47" s="173" t="s">
        <v>79</v>
      </c>
      <c r="B47" s="241"/>
      <c r="C47" s="242"/>
      <c r="D47" s="242"/>
      <c r="E47" s="242"/>
      <c r="F47" s="243"/>
      <c r="G47" s="242"/>
      <c r="H47" s="242"/>
      <c r="I47" s="242"/>
      <c r="J47" s="242"/>
      <c r="K47" s="242"/>
      <c r="L47" s="242"/>
      <c r="M47" s="245"/>
      <c r="N47" s="242"/>
      <c r="O47" s="242"/>
      <c r="P47" s="242"/>
      <c r="Q47" s="242"/>
      <c r="R47" s="246"/>
      <c r="S47" s="242"/>
      <c r="T47" s="242"/>
      <c r="U47" s="242"/>
      <c r="V47" s="247"/>
      <c r="W47" s="242"/>
      <c r="X47" s="242"/>
      <c r="Y47" s="245"/>
      <c r="Z47" s="246"/>
      <c r="AA47" s="242"/>
      <c r="AB47" s="242"/>
      <c r="AC47" s="242"/>
      <c r="AD47" s="242"/>
      <c r="AE47" s="242"/>
      <c r="AF47" s="248"/>
      <c r="AG47" s="244" t="n">
        <f aca="false">MIN(AG12:AG42)</f>
        <v>26</v>
      </c>
      <c r="AH47" s="249" t="n">
        <f aca="false">MIN(AH12:AH42)</f>
        <v>2</v>
      </c>
      <c r="AI47" s="244" t="s">
        <v>80</v>
      </c>
      <c r="AJ47" s="244"/>
      <c r="AK47" s="250"/>
      <c r="AL47" s="250"/>
      <c r="AM47" s="250"/>
    </row>
    <row r="48" customFormat="false" ht="12.95" hidden="false" customHeight="true" outlineLevel="0" collapsed="false">
      <c r="A48" s="173" t="s">
        <v>81</v>
      </c>
      <c r="B48" s="241"/>
      <c r="C48" s="242"/>
      <c r="D48" s="242"/>
      <c r="E48" s="242"/>
      <c r="F48" s="243"/>
      <c r="G48" s="242"/>
      <c r="H48" s="242"/>
      <c r="I48" s="242"/>
      <c r="J48" s="242"/>
      <c r="K48" s="242"/>
      <c r="L48" s="242"/>
      <c r="M48" s="245"/>
      <c r="N48" s="242"/>
      <c r="O48" s="242"/>
      <c r="P48" s="242"/>
      <c r="Q48" s="242"/>
      <c r="R48" s="246"/>
      <c r="S48" s="242"/>
      <c r="T48" s="242"/>
      <c r="U48" s="242"/>
      <c r="V48" s="247"/>
      <c r="W48" s="242"/>
      <c r="X48" s="242"/>
      <c r="Y48" s="245"/>
      <c r="Z48" s="246"/>
      <c r="AA48" s="242"/>
      <c r="AB48" s="242"/>
      <c r="AC48" s="242"/>
      <c r="AD48" s="242"/>
      <c r="AE48" s="242"/>
      <c r="AF48" s="248"/>
      <c r="AG48" s="244"/>
      <c r="AH48" s="249"/>
      <c r="AI48" s="244"/>
      <c r="AJ48" s="244"/>
      <c r="AK48" s="250"/>
      <c r="AL48" s="250"/>
      <c r="AM48" s="250"/>
    </row>
    <row r="49" customFormat="false" ht="3" hidden="false" customHeight="true" outlineLevel="0" collapsed="false">
      <c r="A49" s="275"/>
      <c r="B49" s="272"/>
      <c r="C49" s="256"/>
      <c r="D49" s="256"/>
      <c r="E49" s="256"/>
      <c r="F49" s="276"/>
      <c r="G49" s="256"/>
      <c r="H49" s="264"/>
      <c r="I49" s="256"/>
      <c r="J49" s="256"/>
      <c r="K49" s="256"/>
      <c r="L49" s="256"/>
      <c r="M49" s="277"/>
      <c r="N49" s="256"/>
      <c r="O49" s="256"/>
      <c r="P49" s="256"/>
      <c r="Q49" s="256"/>
      <c r="R49" s="278"/>
      <c r="S49" s="256"/>
      <c r="T49" s="256"/>
      <c r="U49" s="256"/>
      <c r="V49" s="262"/>
      <c r="W49" s="256"/>
      <c r="X49" s="256"/>
      <c r="Y49" s="277"/>
      <c r="Z49" s="278"/>
      <c r="AA49" s="256"/>
      <c r="AB49" s="256"/>
      <c r="AC49" s="256"/>
      <c r="AD49" s="256"/>
      <c r="AE49" s="256"/>
      <c r="AF49" s="263"/>
      <c r="AG49" s="280"/>
      <c r="AH49" s="281"/>
      <c r="AI49" s="280"/>
      <c r="AJ49" s="280"/>
      <c r="AK49" s="280"/>
      <c r="AL49" s="280"/>
      <c r="AM49" s="264"/>
      <c r="AN49" s="264"/>
    </row>
    <row r="50" customFormat="false" ht="12.95" hidden="false" customHeight="true" outlineLevel="0" collapsed="false">
      <c r="A50" s="173" t="s">
        <v>82</v>
      </c>
      <c r="B50" s="241"/>
      <c r="C50" s="242"/>
      <c r="D50" s="242"/>
      <c r="E50" s="242"/>
      <c r="F50" s="243" t="n">
        <f aca="false">F10+F44</f>
        <v>-1063.27199395009</v>
      </c>
      <c r="G50" s="242" t="n">
        <f aca="false">G10+G44</f>
        <v>4820</v>
      </c>
      <c r="H50" s="244" t="n">
        <f aca="false">H10+H44</f>
        <v>18.74</v>
      </c>
      <c r="I50" s="242" t="n">
        <f aca="false">I10+I44</f>
        <v>4838.74</v>
      </c>
      <c r="J50" s="242" t="n">
        <f aca="false">J10+J44</f>
        <v>1443.99124023191</v>
      </c>
      <c r="K50" s="242" t="n">
        <f aca="false">K10+K44</f>
        <v>6282.73124023191</v>
      </c>
      <c r="L50" s="242" t="n">
        <f aca="false">L10+L44</f>
        <v>938.488006049912</v>
      </c>
      <c r="M50" s="245" t="n">
        <f aca="false">M10+M44</f>
        <v>363.7</v>
      </c>
      <c r="N50" s="242" t="n">
        <f aca="false">N10+N44</f>
        <v>0</v>
      </c>
      <c r="O50" s="242" t="n">
        <v>0</v>
      </c>
      <c r="P50" s="242" t="n">
        <f aca="false">P10+P44</f>
        <v>86.2308</v>
      </c>
      <c r="Q50" s="242" t="n">
        <f aca="false">Q10+Q44</f>
        <v>144.8824</v>
      </c>
      <c r="R50" s="246" t="n">
        <f aca="false">R10+R44</f>
        <v>0</v>
      </c>
      <c r="S50" s="242" t="n">
        <f aca="false">S10+S44</f>
        <v>4892</v>
      </c>
      <c r="T50" s="242" t="n">
        <f aca="false">T10+T44</f>
        <v>33.8</v>
      </c>
      <c r="U50" s="242" t="n">
        <f aca="false">U10+U44</f>
        <v>5058.3868</v>
      </c>
      <c r="V50" s="247"/>
      <c r="W50" s="242"/>
      <c r="X50" s="242"/>
      <c r="Y50" s="245"/>
      <c r="Z50" s="246"/>
      <c r="AA50" s="242" t="n">
        <f aca="false">AA10+AA44</f>
        <v>1551</v>
      </c>
      <c r="AB50" s="242" t="n">
        <f aca="false">AB42</f>
        <v>2500</v>
      </c>
      <c r="AC50" s="242" t="n">
        <f aca="false">AC10+AC44</f>
        <v>6840.5</v>
      </c>
      <c r="AD50" s="242" t="n">
        <f aca="false">AD10+AD44</f>
        <v>505.503234182002</v>
      </c>
      <c r="AE50" s="242" t="n">
        <f aca="false">AE10+AE44</f>
        <v>7346.003234182</v>
      </c>
      <c r="AF50" s="248" t="n">
        <f aca="false">AF10+AF44</f>
        <v>2.99</v>
      </c>
      <c r="AG50" s="244"/>
      <c r="AH50" s="249"/>
      <c r="AI50" s="244"/>
      <c r="AJ50" s="242" t="n">
        <f aca="false">AJ10+AJ44</f>
        <v>517.4192</v>
      </c>
      <c r="AK50" s="250"/>
      <c r="AL50" s="250"/>
      <c r="AM50" s="250"/>
    </row>
    <row r="51" customFormat="false" ht="12.95" hidden="false" customHeight="true" outlineLevel="0" collapsed="false">
      <c r="A51" s="173" t="s">
        <v>83</v>
      </c>
      <c r="B51" s="241"/>
      <c r="C51" s="242"/>
      <c r="D51" s="242" t="n">
        <f aca="false">D10+D45</f>
        <v>-2109</v>
      </c>
      <c r="E51" s="242" t="n">
        <f aca="false">E42</f>
        <v>53137</v>
      </c>
      <c r="F51" s="243" t="n">
        <f aca="false">F50*$D$2</f>
        <v>-2109</v>
      </c>
      <c r="G51" s="242" t="n">
        <f aca="false">G50*$D$2</f>
        <v>9560.47</v>
      </c>
      <c r="H51" s="244" t="n">
        <f aca="false">H50*$D$2</f>
        <v>37.17079</v>
      </c>
      <c r="I51" s="242" t="n">
        <f aca="false">I50*$D$2</f>
        <v>9597.64079</v>
      </c>
      <c r="J51" s="242" t="n">
        <f aca="false">J50*$D$2</f>
        <v>2864.156625</v>
      </c>
      <c r="K51" s="242" t="n">
        <f aca="false">K50*$D$2</f>
        <v>12461.797415</v>
      </c>
      <c r="L51" s="242" t="n">
        <f aca="false">L50*$D$2</f>
        <v>1861.49096</v>
      </c>
      <c r="M51" s="245" t="n">
        <f aca="false">M50*$D$2</f>
        <v>721.39895</v>
      </c>
      <c r="N51" s="242" t="n">
        <f aca="false">N50*$D$2</f>
        <v>0</v>
      </c>
      <c r="O51" s="242" t="n">
        <f aca="false">O50*$D$2</f>
        <v>0</v>
      </c>
      <c r="P51" s="242" t="n">
        <f aca="false">P50*$D$2</f>
        <v>171.0387918</v>
      </c>
      <c r="Q51" s="242" t="n">
        <f aca="false">Q50*$D$2</f>
        <v>287.3742404</v>
      </c>
      <c r="R51" s="253" t="n">
        <f aca="false">R50*$D$2</f>
        <v>0</v>
      </c>
      <c r="S51" s="242" t="n">
        <f aca="false">S50*$D$2</f>
        <v>9703.282</v>
      </c>
      <c r="T51" s="242" t="n">
        <f aca="false">T50*$D$2</f>
        <v>67.0423</v>
      </c>
      <c r="U51" s="242" t="n">
        <f aca="false">U50*$D$2</f>
        <v>10033.3102178</v>
      </c>
      <c r="V51" s="247"/>
      <c r="W51" s="242"/>
      <c r="X51" s="242"/>
      <c r="Y51" s="282"/>
      <c r="Z51" s="253"/>
      <c r="AA51" s="242" t="n">
        <f aca="false">AA50*$D$2</f>
        <v>3076.4085</v>
      </c>
      <c r="AB51" s="242" t="n">
        <f aca="false">AB50*$D$2</f>
        <v>4958.75</v>
      </c>
      <c r="AC51" s="242" t="n">
        <f aca="false">AC50*$D$2</f>
        <v>13568.13175</v>
      </c>
      <c r="AD51" s="242" t="n">
        <f aca="false">AD50*$D$2</f>
        <v>1002.665665</v>
      </c>
      <c r="AE51" s="242" t="n">
        <f aca="false">AE50*$D$2</f>
        <v>14570.797415</v>
      </c>
      <c r="AF51" s="248"/>
      <c r="AG51" s="244"/>
      <c r="AH51" s="249"/>
      <c r="AI51" s="244" t="n">
        <f aca="false">AI42</f>
        <v>9583.9449696</v>
      </c>
      <c r="AJ51" s="242" t="n">
        <f aca="false">AJ50*$D$2</f>
        <v>1026.3009832</v>
      </c>
      <c r="AK51" s="250"/>
      <c r="AL51" s="250"/>
      <c r="AM51" s="250"/>
    </row>
    <row r="52" customFormat="false" ht="3" hidden="false" customHeight="true" outlineLevel="0" collapsed="false">
      <c r="A52" s="254"/>
      <c r="B52" s="272"/>
      <c r="C52" s="256"/>
      <c r="D52" s="257"/>
      <c r="E52" s="256"/>
      <c r="F52" s="258"/>
      <c r="G52" s="257"/>
      <c r="H52" s="259"/>
      <c r="I52" s="257"/>
      <c r="J52" s="257"/>
      <c r="K52" s="257"/>
      <c r="L52" s="257"/>
      <c r="M52" s="260"/>
      <c r="N52" s="257"/>
      <c r="O52" s="257"/>
      <c r="P52" s="257"/>
      <c r="Q52" s="257"/>
      <c r="R52" s="261"/>
      <c r="S52" s="257"/>
      <c r="T52" s="257"/>
      <c r="U52" s="257"/>
      <c r="V52" s="262"/>
      <c r="W52" s="256"/>
      <c r="X52" s="257"/>
      <c r="Y52" s="260"/>
      <c r="Z52" s="261"/>
      <c r="AA52" s="257"/>
      <c r="AB52" s="256"/>
      <c r="AC52" s="257"/>
      <c r="AD52" s="257"/>
      <c r="AE52" s="257"/>
      <c r="AF52" s="272"/>
      <c r="AG52" s="257"/>
      <c r="AH52" s="258"/>
      <c r="AI52" s="257"/>
      <c r="AJ52" s="257"/>
      <c r="AK52" s="257"/>
      <c r="AL52" s="257"/>
      <c r="AM52" s="264"/>
      <c r="AN52" s="264"/>
    </row>
    <row r="53" customFormat="false" ht="11.1" hidden="false" customHeight="true" outlineLevel="0" collapsed="false">
      <c r="A53" s="164"/>
      <c r="B53" s="283"/>
      <c r="C53" s="165"/>
      <c r="D53" s="164"/>
      <c r="E53" s="165"/>
      <c r="F53" s="164"/>
      <c r="G53" s="164"/>
      <c r="H53" s="170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8"/>
      <c r="W53" s="165"/>
      <c r="X53" s="164"/>
      <c r="Y53" s="164"/>
      <c r="Z53" s="164"/>
      <c r="AA53" s="164"/>
      <c r="AB53" s="165"/>
      <c r="AC53" s="164"/>
      <c r="AD53" s="164"/>
      <c r="AE53" s="164"/>
      <c r="AF53" s="170"/>
      <c r="AG53" s="171"/>
      <c r="AH53" s="171"/>
      <c r="AI53" s="172"/>
      <c r="AJ53" s="172"/>
    </row>
    <row r="54" customFormat="false" ht="11.1" hidden="false" customHeight="true" outlineLevel="0" collapsed="false">
      <c r="A54" s="164"/>
      <c r="B54" s="284"/>
      <c r="C54" s="165"/>
      <c r="D54" s="285"/>
      <c r="E54" s="165"/>
      <c r="F54" s="164"/>
      <c r="G54" s="164"/>
      <c r="H54" s="170"/>
      <c r="I54" s="166"/>
      <c r="J54" s="164"/>
      <c r="K54" s="15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8"/>
      <c r="W54" s="165"/>
      <c r="X54" s="164"/>
      <c r="Y54" s="164"/>
      <c r="Z54" s="164"/>
      <c r="AA54" s="164"/>
      <c r="AB54" s="165"/>
      <c r="AC54" s="164"/>
      <c r="AD54" s="164"/>
      <c r="AE54" s="164"/>
      <c r="AF54" s="170"/>
      <c r="AG54" s="171"/>
      <c r="AH54" s="171"/>
      <c r="AI54" s="172"/>
      <c r="AJ54" s="172"/>
    </row>
    <row r="55" customFormat="false" ht="11.1" hidden="false" customHeight="true" outlineLevel="0" collapsed="false">
      <c r="A55" s="285"/>
      <c r="B55" s="285"/>
      <c r="C55" s="165"/>
      <c r="D55" s="165"/>
      <c r="E55" s="165"/>
      <c r="F55" s="285"/>
      <c r="G55" s="285"/>
      <c r="H55" s="170"/>
      <c r="I55" s="285"/>
      <c r="J55" s="285"/>
      <c r="K55" s="285"/>
      <c r="L55" s="285"/>
      <c r="M55" s="168"/>
      <c r="N55" s="168"/>
      <c r="O55" s="168"/>
      <c r="P55" s="168"/>
      <c r="Q55" s="168"/>
      <c r="R55" s="168"/>
      <c r="S55" s="285"/>
      <c r="T55" s="285"/>
      <c r="U55" s="285"/>
      <c r="V55" s="168"/>
      <c r="W55" s="165"/>
      <c r="X55" s="285"/>
      <c r="Y55" s="285"/>
      <c r="Z55" s="285"/>
      <c r="AA55" s="285"/>
      <c r="AB55" s="165"/>
      <c r="AC55" s="285"/>
      <c r="AD55" s="285"/>
      <c r="AE55" s="285"/>
      <c r="AF55" s="170"/>
      <c r="AG55" s="171"/>
      <c r="AH55" s="171"/>
      <c r="AI55" s="172"/>
      <c r="AJ55" s="172"/>
    </row>
    <row r="56" customFormat="false" ht="11.1" hidden="false" customHeight="true" outlineLevel="0" collapsed="false">
      <c r="A56" s="285"/>
      <c r="B56" s="169"/>
      <c r="C56" s="165"/>
      <c r="D56" s="165"/>
      <c r="E56" s="165"/>
      <c r="F56" s="285"/>
      <c r="G56" s="285"/>
      <c r="H56" s="170"/>
      <c r="I56" s="285"/>
      <c r="J56" s="285"/>
      <c r="K56" s="285"/>
      <c r="L56" s="285"/>
      <c r="M56" s="168"/>
      <c r="N56" s="168"/>
      <c r="O56" s="168"/>
      <c r="P56" s="285"/>
      <c r="Q56" s="285"/>
      <c r="R56" s="285"/>
      <c r="S56" s="285"/>
      <c r="T56" s="285"/>
      <c r="U56" s="165"/>
      <c r="V56" s="168"/>
      <c r="W56" s="285"/>
      <c r="X56" s="285"/>
      <c r="Y56" s="285"/>
      <c r="Z56" s="285"/>
      <c r="AA56" s="165"/>
      <c r="AB56" s="285"/>
      <c r="AC56" s="285"/>
      <c r="AD56" s="285"/>
      <c r="AE56" s="169"/>
      <c r="AF56" s="170"/>
      <c r="AG56" s="171"/>
      <c r="AH56" s="172"/>
    </row>
    <row r="57" customFormat="false" ht="11.1" hidden="false" customHeight="true" outlineLevel="0" collapsed="false">
      <c r="A57" s="285"/>
      <c r="B57" s="285"/>
      <c r="C57" s="165"/>
      <c r="D57" s="285"/>
      <c r="E57" s="165"/>
      <c r="F57" s="285"/>
      <c r="G57" s="286"/>
      <c r="H57" s="170"/>
      <c r="I57" s="285"/>
      <c r="J57" s="285"/>
      <c r="K57" s="285"/>
      <c r="L57" s="285"/>
      <c r="M57" s="168"/>
      <c r="N57" s="168"/>
      <c r="O57" s="168"/>
      <c r="P57" s="285"/>
      <c r="Q57" s="285"/>
      <c r="R57" s="285"/>
      <c r="S57" s="285"/>
      <c r="T57" s="285"/>
      <c r="U57" s="165"/>
      <c r="V57" s="168"/>
      <c r="W57" s="285"/>
      <c r="X57" s="285"/>
      <c r="Y57" s="285"/>
      <c r="Z57" s="285"/>
      <c r="AA57" s="165"/>
      <c r="AB57" s="285"/>
      <c r="AC57" s="285"/>
      <c r="AD57" s="285"/>
      <c r="AE57" s="169"/>
      <c r="AF57" s="170"/>
      <c r="AG57" s="171"/>
      <c r="AH57" s="172"/>
    </row>
  </sheetData>
  <mergeCells count="2">
    <mergeCell ref="K2:W2"/>
    <mergeCell ref="M5:R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9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S30" activePane="bottomRight" state="frozen"/>
      <selection pane="topLeft" activeCell="A1" activeCellId="0" sqref="A1"/>
      <selection pane="topRight" activeCell="S1" activeCellId="0" sqref="S1"/>
      <selection pane="bottomLeft" activeCell="A30" activeCellId="0" sqref="A30"/>
      <selection pane="bottomRight" activeCell="AJ5" activeCellId="0" sqref="AJ5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158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287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7" min="16" style="159" width="4.32"/>
    <col collapsed="false" customWidth="true" hidden="false" outlineLevel="0" max="18" min="18" style="156" width="4.32"/>
    <col collapsed="false" customWidth="true" hidden="false" outlineLevel="0" max="20" min="19" style="156" width="5.49"/>
    <col collapsed="false" customWidth="true" hidden="false" outlineLevel="0" max="21" min="21" style="157" width="6.32"/>
    <col collapsed="false" customWidth="true" hidden="false" outlineLevel="0" max="26" min="22" style="156" width="5.49"/>
    <col collapsed="false" customWidth="true" hidden="false" outlineLevel="0" max="27" min="27" style="157" width="5.49"/>
    <col collapsed="false" customWidth="true" hidden="false" outlineLevel="0" max="28" min="28" style="156" width="5.49"/>
    <col collapsed="false" customWidth="true" hidden="false" outlineLevel="0" max="29" min="29" style="156" width="6.32"/>
    <col collapsed="false" customWidth="true" hidden="false" outlineLevel="0" max="30" min="30" style="156" width="6.99"/>
    <col collapsed="false" customWidth="true" hidden="false" outlineLevel="0" max="31" min="31" style="160" width="6.99"/>
    <col collapsed="false" customWidth="true" hidden="false" outlineLevel="0" max="32" min="32" style="158" width="5.32"/>
    <col collapsed="false" customWidth="true" hidden="false" outlineLevel="0" max="33" min="33" style="161" width="3.82"/>
    <col collapsed="false" customWidth="true" hidden="false" outlineLevel="0" max="34" min="34" style="162" width="3.82"/>
    <col collapsed="false" customWidth="true" hidden="false" outlineLevel="0" max="35" min="35" style="156" width="5.49"/>
    <col collapsed="false" customWidth="true" hidden="false" outlineLevel="0" max="36" min="36" style="163" width="5.49"/>
    <col collapsed="false" customWidth="true" hidden="false" outlineLevel="0" max="37" min="37" style="156" width="6.32"/>
    <col collapsed="false" customWidth="true" hidden="false" outlineLevel="0" max="39" min="38" style="163" width="6.32"/>
    <col collapsed="false" customWidth="true" hidden="false" outlineLevel="0" max="40" min="40" style="156" width="6.49"/>
    <col collapsed="false" customWidth="false" hidden="false" outlineLevel="0" max="257" min="41" style="156" width="9.32"/>
  </cols>
  <sheetData>
    <row r="1" customFormat="false" ht="14.1" hidden="false" customHeight="true" outlineLevel="0" collapsed="false">
      <c r="A1" s="164"/>
      <c r="B1" s="164"/>
      <c r="C1" s="165"/>
      <c r="D1" s="164"/>
      <c r="E1" s="165"/>
      <c r="F1" s="164"/>
      <c r="G1" s="164"/>
      <c r="H1" s="170"/>
      <c r="I1" s="164"/>
      <c r="J1" s="164"/>
      <c r="K1" s="167" t="s">
        <v>0</v>
      </c>
      <c r="L1" s="164"/>
      <c r="M1" s="288"/>
      <c r="N1" s="164"/>
      <c r="O1" s="164"/>
      <c r="P1" s="164"/>
      <c r="Q1" s="164"/>
      <c r="R1" s="164"/>
      <c r="S1" s="164"/>
      <c r="T1" s="164"/>
      <c r="U1" s="165"/>
      <c r="V1" s="164"/>
      <c r="W1" s="164"/>
      <c r="X1" s="164"/>
      <c r="Y1" s="164"/>
      <c r="Z1" s="164"/>
      <c r="AA1" s="165"/>
      <c r="AB1" s="164"/>
      <c r="AC1" s="164"/>
      <c r="AD1" s="164"/>
      <c r="AE1" s="169"/>
      <c r="AF1" s="170"/>
      <c r="AG1" s="171"/>
      <c r="AH1" s="172"/>
      <c r="AI1" s="289"/>
      <c r="AJ1" s="290"/>
      <c r="AK1" s="289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170"/>
      <c r="I2" s="164"/>
      <c r="J2" s="164"/>
      <c r="K2" s="175" t="s">
        <v>94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64"/>
      <c r="Y2" s="164"/>
      <c r="Z2" s="164"/>
      <c r="AA2" s="165"/>
      <c r="AB2" s="164"/>
      <c r="AC2" s="164"/>
      <c r="AD2" s="164"/>
      <c r="AE2" s="169"/>
      <c r="AF2" s="170"/>
      <c r="AG2" s="171"/>
      <c r="AH2" s="172"/>
      <c r="AI2" s="289"/>
      <c r="AJ2" s="290"/>
      <c r="AK2" s="289"/>
    </row>
    <row r="3" customFormat="false" ht="14.1" hidden="false" customHeight="true" outlineLevel="0" collapsed="false">
      <c r="A3" s="176"/>
      <c r="B3" s="176"/>
      <c r="C3" s="177"/>
      <c r="D3" s="178"/>
      <c r="E3" s="177"/>
      <c r="F3" s="176"/>
      <c r="G3" s="176"/>
      <c r="H3" s="182"/>
      <c r="I3" s="176"/>
      <c r="J3" s="176"/>
      <c r="K3" s="176"/>
      <c r="L3" s="176"/>
      <c r="M3" s="291"/>
      <c r="N3" s="176"/>
      <c r="O3" s="176"/>
      <c r="P3" s="176"/>
      <c r="Q3" s="176"/>
      <c r="R3" s="176"/>
      <c r="S3" s="176"/>
      <c r="T3" s="176"/>
      <c r="U3" s="177"/>
      <c r="V3" s="176"/>
      <c r="W3" s="176"/>
      <c r="X3" s="176"/>
      <c r="Y3" s="176"/>
      <c r="Z3" s="176"/>
      <c r="AA3" s="177"/>
      <c r="AB3" s="176"/>
      <c r="AC3" s="176"/>
      <c r="AD3" s="176"/>
      <c r="AE3" s="181"/>
      <c r="AF3" s="182"/>
      <c r="AG3" s="183"/>
      <c r="AH3" s="184"/>
      <c r="AI3" s="292"/>
      <c r="AJ3" s="293"/>
      <c r="AK3" s="292"/>
      <c r="AL3" s="186"/>
    </row>
    <row r="4" s="200" customFormat="true" ht="14.1" hidden="false" customHeight="true" outlineLevel="0" collapsed="false">
      <c r="A4" s="187"/>
      <c r="B4" s="188"/>
      <c r="C4" s="189"/>
      <c r="D4" s="294" t="s">
        <v>3</v>
      </c>
      <c r="E4" s="189"/>
      <c r="F4" s="191"/>
      <c r="G4" s="187"/>
      <c r="H4" s="295"/>
      <c r="I4" s="187"/>
      <c r="J4" s="187"/>
      <c r="K4" s="187"/>
      <c r="L4" s="187"/>
      <c r="M4" s="296"/>
      <c r="N4" s="187"/>
      <c r="O4" s="187"/>
      <c r="P4" s="187"/>
      <c r="Q4" s="187"/>
      <c r="R4" s="187"/>
      <c r="S4" s="193" t="s">
        <v>4</v>
      </c>
      <c r="T4" s="187"/>
      <c r="U4" s="194"/>
      <c r="V4" s="187"/>
      <c r="W4" s="187"/>
      <c r="X4" s="187"/>
      <c r="Y4" s="187"/>
      <c r="Z4" s="187"/>
      <c r="AA4" s="194"/>
      <c r="AB4" s="187"/>
      <c r="AC4" s="187"/>
      <c r="AD4" s="187"/>
      <c r="AE4" s="196"/>
      <c r="AF4" s="197"/>
      <c r="AG4" s="198" t="s">
        <v>5</v>
      </c>
      <c r="AH4" s="199"/>
      <c r="AI4" s="187"/>
      <c r="AJ4" s="297"/>
      <c r="AK4" s="193" t="s">
        <v>6</v>
      </c>
      <c r="AL4" s="202"/>
      <c r="AM4" s="203"/>
      <c r="AN4" s="204"/>
    </row>
    <row r="5" customFormat="false" ht="12.95" hidden="false" customHeight="true" outlineLevel="0" collapsed="false">
      <c r="A5" s="205" t="s">
        <v>7</v>
      </c>
      <c r="B5" s="206" t="s">
        <v>8</v>
      </c>
      <c r="C5" s="207" t="s">
        <v>8</v>
      </c>
      <c r="D5" s="205" t="s">
        <v>9</v>
      </c>
      <c r="E5" s="207" t="s">
        <v>10</v>
      </c>
      <c r="F5" s="208" t="s">
        <v>11</v>
      </c>
      <c r="G5" s="205" t="s">
        <v>12</v>
      </c>
      <c r="H5" s="298" t="s">
        <v>13</v>
      </c>
      <c r="I5" s="205" t="s">
        <v>14</v>
      </c>
      <c r="J5" s="205" t="s">
        <v>15</v>
      </c>
      <c r="K5" s="205" t="s">
        <v>16</v>
      </c>
      <c r="L5" s="205" t="s">
        <v>15</v>
      </c>
      <c r="M5" s="299" t="s">
        <v>17</v>
      </c>
      <c r="N5" s="299"/>
      <c r="O5" s="299"/>
      <c r="P5" s="299"/>
      <c r="Q5" s="299"/>
      <c r="R5" s="299"/>
      <c r="S5" s="205" t="s">
        <v>18</v>
      </c>
      <c r="T5" s="205" t="s">
        <v>19</v>
      </c>
      <c r="U5" s="205" t="s">
        <v>16</v>
      </c>
      <c r="V5" s="207" t="s">
        <v>20</v>
      </c>
      <c r="W5" s="207" t="s">
        <v>20</v>
      </c>
      <c r="X5" s="205" t="s">
        <v>21</v>
      </c>
      <c r="Y5" s="212" t="s">
        <v>85</v>
      </c>
      <c r="Z5" s="213"/>
      <c r="AA5" s="205" t="s">
        <v>23</v>
      </c>
      <c r="AB5" s="207" t="s">
        <v>24</v>
      </c>
      <c r="AC5" s="205" t="s">
        <v>14</v>
      </c>
      <c r="AD5" s="205" t="s">
        <v>15</v>
      </c>
      <c r="AE5" s="205" t="s">
        <v>16</v>
      </c>
      <c r="AF5" s="214" t="s">
        <v>25</v>
      </c>
      <c r="AG5" s="215" t="s">
        <v>26</v>
      </c>
      <c r="AH5" s="216" t="s">
        <v>27</v>
      </c>
      <c r="AI5" s="215" t="s">
        <v>86</v>
      </c>
      <c r="AJ5" s="215" t="s">
        <v>20</v>
      </c>
      <c r="AK5" s="290" t="s">
        <v>20</v>
      </c>
      <c r="AL5" s="290" t="s">
        <v>20</v>
      </c>
      <c r="AM5" s="218" t="s">
        <v>29</v>
      </c>
      <c r="AN5" s="225" t="s">
        <v>30</v>
      </c>
    </row>
    <row r="6" customFormat="false" ht="12.95" hidden="false" customHeight="true" outlineLevel="0" collapsed="false">
      <c r="A6" s="220" t="s">
        <v>95</v>
      </c>
      <c r="B6" s="206" t="s">
        <v>32</v>
      </c>
      <c r="C6" s="207" t="s">
        <v>9</v>
      </c>
      <c r="D6" s="205" t="s">
        <v>33</v>
      </c>
      <c r="E6" s="207" t="s">
        <v>34</v>
      </c>
      <c r="F6" s="208" t="s">
        <v>35</v>
      </c>
      <c r="G6" s="205" t="s">
        <v>36</v>
      </c>
      <c r="H6" s="298" t="s">
        <v>37</v>
      </c>
      <c r="I6" s="205" t="s">
        <v>38</v>
      </c>
      <c r="J6" s="205" t="s">
        <v>38</v>
      </c>
      <c r="K6" s="205" t="s">
        <v>38</v>
      </c>
      <c r="L6" s="205" t="s">
        <v>39</v>
      </c>
      <c r="M6" s="300" t="s">
        <v>40</v>
      </c>
      <c r="N6" s="205" t="s">
        <v>41</v>
      </c>
      <c r="O6" s="205" t="s">
        <v>42</v>
      </c>
      <c r="P6" s="205" t="s">
        <v>43</v>
      </c>
      <c r="Q6" s="205" t="s">
        <v>44</v>
      </c>
      <c r="R6" s="222" t="s">
        <v>45</v>
      </c>
      <c r="S6" s="205" t="s">
        <v>46</v>
      </c>
      <c r="T6" s="205" t="s">
        <v>47</v>
      </c>
      <c r="U6" s="205" t="s">
        <v>20</v>
      </c>
      <c r="V6" s="207" t="s">
        <v>90</v>
      </c>
      <c r="W6" s="207" t="s">
        <v>49</v>
      </c>
      <c r="X6" s="205" t="s">
        <v>50</v>
      </c>
      <c r="Y6" s="221"/>
      <c r="Z6" s="222"/>
      <c r="AA6" s="205" t="s">
        <v>53</v>
      </c>
      <c r="AB6" s="207" t="s">
        <v>54</v>
      </c>
      <c r="AC6" s="205" t="s">
        <v>55</v>
      </c>
      <c r="AD6" s="205" t="s">
        <v>55</v>
      </c>
      <c r="AE6" s="205" t="s">
        <v>55</v>
      </c>
      <c r="AF6" s="223"/>
      <c r="AG6" s="215" t="s">
        <v>56</v>
      </c>
      <c r="AH6" s="216" t="s">
        <v>56</v>
      </c>
      <c r="AI6" s="224" t="s">
        <v>57</v>
      </c>
      <c r="AJ6" s="224" t="s">
        <v>58</v>
      </c>
      <c r="AK6" s="290" t="s">
        <v>59</v>
      </c>
      <c r="AL6" s="290" t="s">
        <v>59</v>
      </c>
      <c r="AM6" s="218" t="s">
        <v>60</v>
      </c>
      <c r="AN6" s="225" t="s">
        <v>61</v>
      </c>
    </row>
    <row r="7" customFormat="false" ht="12.95" hidden="false" customHeight="true" outlineLevel="0" collapsed="false">
      <c r="A7" s="226"/>
      <c r="B7" s="227"/>
      <c r="C7" s="228"/>
      <c r="D7" s="226"/>
      <c r="E7" s="229" t="s">
        <v>62</v>
      </c>
      <c r="F7" s="230"/>
      <c r="G7" s="226"/>
      <c r="H7" s="301"/>
      <c r="I7" s="226"/>
      <c r="J7" s="226"/>
      <c r="K7" s="226"/>
      <c r="L7" s="226"/>
      <c r="M7" s="302"/>
      <c r="N7" s="233" t="s">
        <v>63</v>
      </c>
      <c r="O7" s="233" t="s">
        <v>64</v>
      </c>
      <c r="P7" s="226"/>
      <c r="Q7" s="226"/>
      <c r="R7" s="234" t="s">
        <v>42</v>
      </c>
      <c r="S7" s="226"/>
      <c r="T7" s="226"/>
      <c r="U7" s="226"/>
      <c r="V7" s="229"/>
      <c r="W7" s="229" t="s">
        <v>91</v>
      </c>
      <c r="X7" s="226"/>
      <c r="Y7" s="232"/>
      <c r="Z7" s="236"/>
      <c r="AA7" s="226"/>
      <c r="AB7" s="228"/>
      <c r="AC7" s="226"/>
      <c r="AD7" s="226"/>
      <c r="AE7" s="226"/>
      <c r="AF7" s="237"/>
      <c r="AG7" s="224"/>
      <c r="AH7" s="238"/>
      <c r="AI7" s="224" t="s">
        <v>66</v>
      </c>
      <c r="AJ7" s="224" t="s">
        <v>66</v>
      </c>
      <c r="AK7" s="303" t="s">
        <v>67</v>
      </c>
      <c r="AL7" s="303" t="s">
        <v>92</v>
      </c>
      <c r="AM7" s="218" t="s">
        <v>69</v>
      </c>
      <c r="AN7" s="225" t="s">
        <v>70</v>
      </c>
    </row>
    <row r="8" customFormat="false" ht="12.95" hidden="false" customHeight="true" outlineLevel="0" collapsed="false">
      <c r="A8" s="226"/>
      <c r="B8" s="227"/>
      <c r="C8" s="228"/>
      <c r="D8" s="226"/>
      <c r="E8" s="228"/>
      <c r="F8" s="230"/>
      <c r="G8" s="226"/>
      <c r="H8" s="301"/>
      <c r="I8" s="226"/>
      <c r="J8" s="226"/>
      <c r="K8" s="226"/>
      <c r="L8" s="226"/>
      <c r="M8" s="302"/>
      <c r="N8" s="304" t="n">
        <v>1.03</v>
      </c>
      <c r="O8" s="304" t="n">
        <v>1.05</v>
      </c>
      <c r="P8" s="304" t="n">
        <v>1.02</v>
      </c>
      <c r="Q8" s="304" t="n">
        <v>1.04</v>
      </c>
      <c r="R8" s="234" t="s">
        <v>52</v>
      </c>
      <c r="S8" s="226"/>
      <c r="T8" s="226"/>
      <c r="U8" s="226"/>
      <c r="V8" s="228"/>
      <c r="W8" s="229" t="s">
        <v>71</v>
      </c>
      <c r="X8" s="226"/>
      <c r="Y8" s="232"/>
      <c r="Z8" s="236"/>
      <c r="AA8" s="226"/>
      <c r="AB8" s="228"/>
      <c r="AC8" s="226"/>
      <c r="AD8" s="226"/>
      <c r="AE8" s="226"/>
      <c r="AF8" s="237"/>
      <c r="AG8" s="172"/>
      <c r="AH8" s="238"/>
      <c r="AI8" s="172"/>
      <c r="AJ8" s="172"/>
      <c r="AK8" s="305"/>
      <c r="AL8" s="303" t="s">
        <v>66</v>
      </c>
      <c r="AM8" s="306"/>
    </row>
    <row r="9" customFormat="false" ht="12.95" hidden="false" customHeight="true" outlineLevel="0" collapsed="false">
      <c r="A9" s="173" t="s">
        <v>73</v>
      </c>
      <c r="B9" s="307"/>
      <c r="C9" s="165"/>
      <c r="D9" s="165"/>
      <c r="E9" s="165"/>
      <c r="F9" s="308"/>
      <c r="G9" s="165"/>
      <c r="H9" s="170"/>
      <c r="I9" s="165"/>
      <c r="J9" s="165"/>
      <c r="K9" s="165"/>
      <c r="L9" s="165"/>
      <c r="M9" s="309"/>
      <c r="N9" s="165"/>
      <c r="O9" s="165"/>
      <c r="P9" s="165"/>
      <c r="Q9" s="165"/>
      <c r="R9" s="310"/>
      <c r="S9" s="165"/>
      <c r="T9" s="165"/>
      <c r="U9" s="165"/>
      <c r="V9" s="165"/>
      <c r="W9" s="165"/>
      <c r="X9" s="165"/>
      <c r="Y9" s="245"/>
      <c r="Z9" s="246"/>
      <c r="AA9" s="165"/>
      <c r="AB9" s="165"/>
      <c r="AC9" s="165"/>
      <c r="AD9" s="165"/>
      <c r="AE9" s="165"/>
      <c r="AF9" s="237"/>
      <c r="AG9" s="171"/>
      <c r="AH9" s="311"/>
      <c r="AI9" s="172"/>
      <c r="AJ9" s="172"/>
      <c r="AK9" s="305"/>
      <c r="AL9" s="306"/>
      <c r="AM9" s="306"/>
    </row>
    <row r="10" s="157" customFormat="true" ht="12.95" hidden="false" customHeight="true" outlineLevel="0" collapsed="false">
      <c r="A10" s="251" t="s">
        <v>74</v>
      </c>
      <c r="B10" s="312" t="n">
        <f aca="false">DEC!B42</f>
        <v>6876.25</v>
      </c>
      <c r="C10" s="165" t="n">
        <f aca="false">DEC!C42</f>
        <v>205137</v>
      </c>
      <c r="D10" s="165" t="n">
        <f aca="false">DEC!D51</f>
        <v>-2109</v>
      </c>
      <c r="E10" s="165" t="n">
        <f aca="false">DEC!E51</f>
        <v>53137</v>
      </c>
      <c r="F10" s="308" t="n">
        <f aca="false">DEC!F50</f>
        <v>-1063.27199395009</v>
      </c>
      <c r="G10" s="165" t="n">
        <f aca="false">DEC!G50</f>
        <v>4820</v>
      </c>
      <c r="H10" s="313" t="n">
        <f aca="false">DEC!H50</f>
        <v>18.74</v>
      </c>
      <c r="I10" s="165" t="n">
        <f aca="false">DEC!I50</f>
        <v>4838.74</v>
      </c>
      <c r="J10" s="165" t="n">
        <f aca="false">DEC!J50</f>
        <v>1443.99124023191</v>
      </c>
      <c r="K10" s="165" t="n">
        <f aca="false">DEC!K50</f>
        <v>6282.73124023191</v>
      </c>
      <c r="L10" s="165" t="n">
        <f aca="false">DEC!L50</f>
        <v>938.488006049912</v>
      </c>
      <c r="M10" s="314" t="n">
        <f aca="false">DEC!M50</f>
        <v>363.7</v>
      </c>
      <c r="N10" s="165" t="n">
        <f aca="false">DEC!N50</f>
        <v>0</v>
      </c>
      <c r="O10" s="165" t="n">
        <f aca="false">DEC!O50</f>
        <v>0</v>
      </c>
      <c r="P10" s="165" t="n">
        <f aca="false">DEC!P50</f>
        <v>86.2308</v>
      </c>
      <c r="Q10" s="165" t="n">
        <f aca="false">DEC!Q50</f>
        <v>144.8824</v>
      </c>
      <c r="R10" s="315" t="n">
        <f aca="false">DEC!R50</f>
        <v>0</v>
      </c>
      <c r="S10" s="165" t="n">
        <f aca="false">DEC!S50</f>
        <v>4892</v>
      </c>
      <c r="T10" s="165" t="n">
        <f aca="false">DEC!T50</f>
        <v>33.8</v>
      </c>
      <c r="U10" s="165" t="n">
        <f aca="false">DEC!U50</f>
        <v>5058.3868</v>
      </c>
      <c r="V10" s="165"/>
      <c r="W10" s="165"/>
      <c r="X10" s="165"/>
      <c r="Y10" s="245"/>
      <c r="Z10" s="246"/>
      <c r="AA10" s="165" t="n">
        <f aca="false">DEC!AA50</f>
        <v>1551</v>
      </c>
      <c r="AB10" s="165" t="n">
        <f aca="false">DEC!AB50</f>
        <v>2500</v>
      </c>
      <c r="AC10" s="165" t="n">
        <f aca="false">DEC!AC50</f>
        <v>6840.5</v>
      </c>
      <c r="AD10" s="165" t="n">
        <f aca="false">DEC!AD50</f>
        <v>505.503234182002</v>
      </c>
      <c r="AE10" s="165" t="n">
        <f aca="false">DEC!AE50</f>
        <v>7346.003234182</v>
      </c>
      <c r="AF10" s="237" t="n">
        <f aca="false">DEC!AF50</f>
        <v>2.99</v>
      </c>
      <c r="AG10" s="171"/>
      <c r="AH10" s="311"/>
      <c r="AI10" s="172" t="n">
        <f aca="false">DEC!AI51</f>
        <v>9583.9449696</v>
      </c>
      <c r="AJ10" s="172"/>
      <c r="AK10" s="316"/>
      <c r="AL10" s="317"/>
      <c r="AM10" s="318"/>
    </row>
    <row r="11" customFormat="false" ht="3" hidden="false" customHeight="true" outlineLevel="0" collapsed="false">
      <c r="A11" s="254"/>
      <c r="B11" s="319"/>
      <c r="C11" s="320"/>
      <c r="D11" s="254"/>
      <c r="E11" s="320"/>
      <c r="F11" s="321"/>
      <c r="G11" s="254"/>
      <c r="H11" s="322"/>
      <c r="I11" s="254"/>
      <c r="J11" s="254"/>
      <c r="K11" s="254"/>
      <c r="L11" s="254"/>
      <c r="M11" s="323"/>
      <c r="N11" s="254"/>
      <c r="O11" s="254"/>
      <c r="P11" s="254"/>
      <c r="Q11" s="254"/>
      <c r="R11" s="324"/>
      <c r="S11" s="254"/>
      <c r="T11" s="254"/>
      <c r="U11" s="254"/>
      <c r="V11" s="320"/>
      <c r="W11" s="320"/>
      <c r="X11" s="254"/>
      <c r="Y11" s="260"/>
      <c r="Z11" s="261"/>
      <c r="AA11" s="254"/>
      <c r="AB11" s="320"/>
      <c r="AC11" s="254"/>
      <c r="AD11" s="254"/>
      <c r="AE11" s="254"/>
      <c r="AF11" s="325"/>
      <c r="AG11" s="326"/>
      <c r="AH11" s="327"/>
      <c r="AI11" s="328"/>
      <c r="AJ11" s="328"/>
      <c r="AK11" s="328"/>
      <c r="AL11" s="328"/>
      <c r="AM11" s="328"/>
      <c r="AN11" s="328"/>
    </row>
    <row r="12" customFormat="false" ht="12.95" hidden="false" customHeight="true" outlineLevel="0" collapsed="false">
      <c r="A12" s="172" t="n">
        <v>1</v>
      </c>
      <c r="B12" s="312" t="n">
        <v>6876.26</v>
      </c>
      <c r="C12" s="165" t="n">
        <v>205166</v>
      </c>
      <c r="D12" s="171" t="n">
        <f aca="false">C12-C10</f>
        <v>29</v>
      </c>
      <c r="E12" s="165" t="n">
        <f aca="false">C12-152000</f>
        <v>53166</v>
      </c>
      <c r="F12" s="329" t="n">
        <f aca="false">D12/$D$2</f>
        <v>14.6206201159566</v>
      </c>
      <c r="G12" s="164" t="n">
        <v>50</v>
      </c>
      <c r="H12" s="170" t="n">
        <v>1</v>
      </c>
      <c r="I12" s="164" t="n">
        <f aca="false">G12+H12</f>
        <v>51</v>
      </c>
      <c r="J12" s="168" t="n">
        <f aca="false">IF(L12&gt;0,L12,0)</f>
        <v>53.5206201159567</v>
      </c>
      <c r="K12" s="164" t="n">
        <f aca="false">I12+J12</f>
        <v>104.520620115957</v>
      </c>
      <c r="L12" s="164" t="n">
        <f aca="false">F12-(I12-AC12)</f>
        <v>53.5206201159567</v>
      </c>
      <c r="M12" s="309" t="n">
        <v>4.9</v>
      </c>
      <c r="N12" s="164" t="n">
        <v>0</v>
      </c>
      <c r="O12" s="164" t="n">
        <v>0</v>
      </c>
      <c r="P12" s="284" t="n">
        <f aca="false">1.55*1.02</f>
        <v>1.581</v>
      </c>
      <c r="Q12" s="284" t="n">
        <f aca="false">4.2</f>
        <v>4.2</v>
      </c>
      <c r="R12" s="330" t="n">
        <v>0.97</v>
      </c>
      <c r="S12" s="164" t="n">
        <v>60</v>
      </c>
      <c r="T12" s="164"/>
      <c r="U12" s="164" t="n">
        <f aca="false">M12-N12-O12-P12-Q12-R12+S12+T12</f>
        <v>58.149</v>
      </c>
      <c r="V12" s="165"/>
      <c r="W12" s="165"/>
      <c r="X12" s="164"/>
      <c r="Y12" s="269"/>
      <c r="Z12" s="270"/>
      <c r="AA12" s="164" t="n">
        <v>25</v>
      </c>
      <c r="AB12" s="165" t="n">
        <f aca="false">AB10-AA12</f>
        <v>2475</v>
      </c>
      <c r="AC12" s="9" t="n">
        <f aca="false">N12+O12+P12+Q12+R12+U12+X12+AA12</f>
        <v>89.9</v>
      </c>
      <c r="AD12" s="164" t="n">
        <f aca="false">IF(L12&lt;0,L12*-1,0)</f>
        <v>0</v>
      </c>
      <c r="AE12" s="164" t="n">
        <f aca="false">AC12+AD12</f>
        <v>89.9</v>
      </c>
      <c r="AF12" s="237" t="n">
        <v>0</v>
      </c>
      <c r="AG12" s="171" t="n">
        <v>43</v>
      </c>
      <c r="AH12" s="311" t="n">
        <v>26.25</v>
      </c>
      <c r="AI12" s="172" t="n">
        <f aca="false">AI10+(U12*1.9835)</f>
        <v>9699.2835111</v>
      </c>
      <c r="AJ12" s="172" t="n">
        <v>0</v>
      </c>
      <c r="AK12" s="331"/>
      <c r="AL12" s="318"/>
      <c r="AM12" s="306"/>
    </row>
    <row r="13" customFormat="false" ht="12.95" hidden="false" customHeight="true" outlineLevel="0" collapsed="false">
      <c r="A13" s="172" t="n">
        <f aca="false">A12+1</f>
        <v>2</v>
      </c>
      <c r="B13" s="312" t="n">
        <v>6876.23</v>
      </c>
      <c r="C13" s="165" t="n">
        <v>205080</v>
      </c>
      <c r="D13" s="171" t="n">
        <f aca="false">C13-C12</f>
        <v>-86</v>
      </c>
      <c r="E13" s="165" t="n">
        <f aca="false">C13-152000</f>
        <v>53080</v>
      </c>
      <c r="F13" s="329" t="n">
        <f aca="false">D13/$D$2</f>
        <v>-43.3577010335266</v>
      </c>
      <c r="G13" s="164" t="n">
        <v>50</v>
      </c>
      <c r="H13" s="170" t="n">
        <v>1.1</v>
      </c>
      <c r="I13" s="164" t="n">
        <f aca="false">G13+H13</f>
        <v>51.1</v>
      </c>
      <c r="J13" s="168" t="n">
        <f aca="false">IF(L13&gt;0,L13,0)</f>
        <v>0</v>
      </c>
      <c r="K13" s="164" t="n">
        <f aca="false">I13+J13</f>
        <v>51.1</v>
      </c>
      <c r="L13" s="164" t="n">
        <f aca="false">F13-(I13-AC13)</f>
        <v>-4.55770103352659</v>
      </c>
      <c r="M13" s="309" t="n">
        <v>4.9</v>
      </c>
      <c r="N13" s="164" t="n">
        <v>0</v>
      </c>
      <c r="O13" s="164" t="n">
        <v>0</v>
      </c>
      <c r="P13" s="284" t="n">
        <f aca="false">1.55*1.02</f>
        <v>1.581</v>
      </c>
      <c r="Q13" s="284" t="n">
        <f aca="false">2.2*1.04</f>
        <v>2.288</v>
      </c>
      <c r="R13" s="330" t="n">
        <v>0</v>
      </c>
      <c r="S13" s="164" t="n">
        <v>60</v>
      </c>
      <c r="T13" s="164"/>
      <c r="U13" s="164" t="n">
        <f aca="false">M13-N13-O13-P13-Q13-R13+S13+T13</f>
        <v>61.031</v>
      </c>
      <c r="V13" s="165"/>
      <c r="W13" s="165"/>
      <c r="X13" s="164"/>
      <c r="Y13" s="269"/>
      <c r="Z13" s="270"/>
      <c r="AA13" s="164" t="n">
        <v>25</v>
      </c>
      <c r="AB13" s="165" t="n">
        <f aca="false">AB12-AA13</f>
        <v>2450</v>
      </c>
      <c r="AC13" s="9" t="n">
        <f aca="false">N13+O13+P13+Q13+R13+U13+X13+AA13</f>
        <v>89.9</v>
      </c>
      <c r="AD13" s="164" t="n">
        <f aca="false">IF(L13&lt;0,L13*-1,0)</f>
        <v>4.55770103352659</v>
      </c>
      <c r="AE13" s="164" t="n">
        <f aca="false">AC13+AD13</f>
        <v>94.4577010335266</v>
      </c>
      <c r="AF13" s="237" t="n">
        <v>0</v>
      </c>
      <c r="AG13" s="171" t="n">
        <v>45</v>
      </c>
      <c r="AH13" s="311" t="n">
        <v>25</v>
      </c>
      <c r="AI13" s="172" t="n">
        <f aca="false">AI12+(U13*1.9835)</f>
        <v>9820.3384996</v>
      </c>
      <c r="AJ13" s="172" t="n">
        <v>0</v>
      </c>
      <c r="AK13" s="331"/>
      <c r="AL13" s="318"/>
      <c r="AM13" s="306"/>
    </row>
    <row r="14" customFormat="false" ht="12.95" hidden="false" customHeight="true" outlineLevel="0" collapsed="false">
      <c r="A14" s="172" t="n">
        <f aca="false">A13+1</f>
        <v>3</v>
      </c>
      <c r="B14" s="312" t="n">
        <v>6876.22</v>
      </c>
      <c r="C14" s="165" t="n">
        <v>205051</v>
      </c>
      <c r="D14" s="171" t="n">
        <f aca="false">C14-C13</f>
        <v>-29</v>
      </c>
      <c r="E14" s="165" t="n">
        <f aca="false">C14-152000</f>
        <v>53051</v>
      </c>
      <c r="F14" s="329" t="n">
        <f aca="false">D14/$D$2</f>
        <v>-14.6206201159566</v>
      </c>
      <c r="G14" s="164" t="n">
        <v>57</v>
      </c>
      <c r="H14" s="170" t="n">
        <v>1.2</v>
      </c>
      <c r="I14" s="164" t="n">
        <f aca="false">G14+H14</f>
        <v>58.2</v>
      </c>
      <c r="J14" s="168" t="n">
        <f aca="false">IF(L14&gt;0,L14,0)</f>
        <v>20.0793798840434</v>
      </c>
      <c r="K14" s="164" t="n">
        <f aca="false">I14+J14</f>
        <v>78.2793798840434</v>
      </c>
      <c r="L14" s="164" t="n">
        <f aca="false">F14-(I14-AC14)</f>
        <v>20.0793798840434</v>
      </c>
      <c r="M14" s="309" t="n">
        <v>4.9</v>
      </c>
      <c r="N14" s="164" t="n">
        <v>0</v>
      </c>
      <c r="O14" s="164" t="n">
        <v>0</v>
      </c>
      <c r="P14" s="284" t="n">
        <f aca="false">1.55*1.02</f>
        <v>1.581</v>
      </c>
      <c r="Q14" s="284" t="n">
        <f aca="false">2.47*1.04</f>
        <v>2.5688</v>
      </c>
      <c r="R14" s="330" t="n">
        <v>0</v>
      </c>
      <c r="S14" s="164" t="n">
        <v>63</v>
      </c>
      <c r="T14" s="164"/>
      <c r="U14" s="164" t="n">
        <f aca="false">M14-N14-O14-P14-Q14-R14+S14+T14</f>
        <v>63.7502</v>
      </c>
      <c r="V14" s="165"/>
      <c r="W14" s="165"/>
      <c r="X14" s="164"/>
      <c r="Y14" s="269"/>
      <c r="Z14" s="270"/>
      <c r="AA14" s="164" t="n">
        <v>25</v>
      </c>
      <c r="AB14" s="165" t="n">
        <f aca="false">AB13-AA14</f>
        <v>2425</v>
      </c>
      <c r="AC14" s="9" t="n">
        <f aca="false">N14+O14+P14+Q14+R14+U14+X14+AA14</f>
        <v>92.9</v>
      </c>
      <c r="AD14" s="164" t="n">
        <f aca="false">IF(L14&lt;0,L14*-1,0)</f>
        <v>0</v>
      </c>
      <c r="AE14" s="164" t="n">
        <f aca="false">AC14+AD14</f>
        <v>92.9</v>
      </c>
      <c r="AF14" s="237" t="n">
        <v>0.06</v>
      </c>
      <c r="AG14" s="171" t="n">
        <v>41</v>
      </c>
      <c r="AH14" s="311" t="n">
        <v>29</v>
      </c>
      <c r="AI14" s="172" t="n">
        <f aca="false">AI13+(U14*1.9835)</f>
        <v>9946.7870213</v>
      </c>
      <c r="AJ14" s="172" t="n">
        <v>0</v>
      </c>
      <c r="AK14" s="331"/>
      <c r="AL14" s="318"/>
      <c r="AM14" s="306"/>
    </row>
    <row r="15" customFormat="false" ht="12.95" hidden="false" customHeight="true" outlineLevel="0" collapsed="false">
      <c r="A15" s="172" t="n">
        <f aca="false">A14+1</f>
        <v>4</v>
      </c>
      <c r="B15" s="312" t="n">
        <v>6876.3</v>
      </c>
      <c r="C15" s="165" t="n">
        <v>205282</v>
      </c>
      <c r="D15" s="171" t="n">
        <f aca="false">C15-C14</f>
        <v>231</v>
      </c>
      <c r="E15" s="165" t="n">
        <f aca="false">C15-152000</f>
        <v>53282</v>
      </c>
      <c r="F15" s="329" t="n">
        <f aca="false">D15/$D$2</f>
        <v>116.46080161331</v>
      </c>
      <c r="G15" s="164" t="n">
        <v>47</v>
      </c>
      <c r="H15" s="170" t="n">
        <v>1.3</v>
      </c>
      <c r="I15" s="164" t="n">
        <f aca="false">G15+H15</f>
        <v>48.3</v>
      </c>
      <c r="J15" s="168" t="n">
        <f aca="false">IF(L15&gt;0,L15,0)</f>
        <v>172.06080161331</v>
      </c>
      <c r="K15" s="164" t="n">
        <f aca="false">I15+J15</f>
        <v>220.36080161331</v>
      </c>
      <c r="L15" s="164" t="n">
        <f aca="false">F15-(I15-AC15)</f>
        <v>172.06080161331</v>
      </c>
      <c r="M15" s="309" t="n">
        <v>4.9</v>
      </c>
      <c r="N15" s="164" t="n">
        <v>0</v>
      </c>
      <c r="O15" s="164" t="n">
        <v>0</v>
      </c>
      <c r="P15" s="284" t="n">
        <f aca="false">1.55*1.02</f>
        <v>1.581</v>
      </c>
      <c r="Q15" s="284" t="n">
        <f aca="false">2.41*1.04</f>
        <v>2.5064</v>
      </c>
      <c r="R15" s="330" t="n">
        <v>0</v>
      </c>
      <c r="S15" s="164" t="n">
        <v>74</v>
      </c>
      <c r="T15" s="164"/>
      <c r="U15" s="164" t="n">
        <f aca="false">M15-N15-O15-P15-Q15-R15+S15+T15</f>
        <v>74.8126</v>
      </c>
      <c r="V15" s="165"/>
      <c r="W15" s="165"/>
      <c r="X15" s="164"/>
      <c r="Y15" s="269"/>
      <c r="Z15" s="270"/>
      <c r="AA15" s="164" t="n">
        <v>25</v>
      </c>
      <c r="AB15" s="165" t="n">
        <f aca="false">AB14-AA15</f>
        <v>2400</v>
      </c>
      <c r="AC15" s="9" t="n">
        <f aca="false">N15+O15+P15+Q15+R15+U15+X15+AA15</f>
        <v>103.9</v>
      </c>
      <c r="AD15" s="164" t="n">
        <f aca="false">IF(L15&lt;0,L15*-1,0)</f>
        <v>0</v>
      </c>
      <c r="AE15" s="164" t="n">
        <f aca="false">AC15+AD15</f>
        <v>103.9</v>
      </c>
      <c r="AF15" s="237" t="n">
        <v>0.6</v>
      </c>
      <c r="AG15" s="171" t="n">
        <v>39</v>
      </c>
      <c r="AH15" s="311" t="n">
        <v>28</v>
      </c>
      <c r="AI15" s="172" t="n">
        <f aca="false">AI14+(U15*1.9835)</f>
        <v>10095.1778134</v>
      </c>
      <c r="AJ15" s="172" t="n">
        <v>0</v>
      </c>
      <c r="AK15" s="331"/>
      <c r="AL15" s="318"/>
      <c r="AM15" s="306"/>
    </row>
    <row r="16" customFormat="false" ht="12.95" hidden="false" customHeight="true" outlineLevel="0" collapsed="false">
      <c r="A16" s="172" t="n">
        <f aca="false">A15+1</f>
        <v>5</v>
      </c>
      <c r="B16" s="312" t="n">
        <v>6876.31</v>
      </c>
      <c r="C16" s="165" t="n">
        <v>205311</v>
      </c>
      <c r="D16" s="171" t="n">
        <f aca="false">C16-C15</f>
        <v>29</v>
      </c>
      <c r="E16" s="165" t="n">
        <f aca="false">C16-152000</f>
        <v>53311</v>
      </c>
      <c r="F16" s="329" t="n">
        <f aca="false">D16/$D$2</f>
        <v>14.6206201159566</v>
      </c>
      <c r="G16" s="164" t="n">
        <v>51</v>
      </c>
      <c r="H16" s="170" t="n">
        <v>2.5</v>
      </c>
      <c r="I16" s="164" t="n">
        <f aca="false">G16+H16</f>
        <v>53.5</v>
      </c>
      <c r="J16" s="168" t="n">
        <f aca="false">IF(L16&gt;0,L16,0)</f>
        <v>66.2206201159566</v>
      </c>
      <c r="K16" s="164" t="n">
        <f aca="false">I16+J16</f>
        <v>119.720620115957</v>
      </c>
      <c r="L16" s="164" t="n">
        <f aca="false">F16-(I16-AC16)</f>
        <v>66.2206201159566</v>
      </c>
      <c r="M16" s="309" t="n">
        <v>5.1</v>
      </c>
      <c r="N16" s="164" t="n">
        <v>0</v>
      </c>
      <c r="O16" s="164" t="n">
        <v>0</v>
      </c>
      <c r="P16" s="284" t="n">
        <f aca="false">1.55*1.02</f>
        <v>1.581</v>
      </c>
      <c r="Q16" s="284" t="n">
        <f aca="false">2.13*1.04</f>
        <v>2.2152</v>
      </c>
      <c r="R16" s="330" t="n">
        <v>0</v>
      </c>
      <c r="S16" s="164" t="n">
        <v>76</v>
      </c>
      <c r="T16" s="164"/>
      <c r="U16" s="164" t="n">
        <f aca="false">M16-N16-O16-P16-Q16-R16+S16+T16</f>
        <v>77.3038</v>
      </c>
      <c r="V16" s="165"/>
      <c r="W16" s="165"/>
      <c r="X16" s="164"/>
      <c r="Y16" s="269"/>
      <c r="Z16" s="270"/>
      <c r="AA16" s="164" t="n">
        <v>24</v>
      </c>
      <c r="AB16" s="165" t="n">
        <f aca="false">AB15-AA16</f>
        <v>2376</v>
      </c>
      <c r="AC16" s="9" t="n">
        <f aca="false">N16+O16+P16+Q16+R16+U16+X16+AA16</f>
        <v>105.1</v>
      </c>
      <c r="AD16" s="164" t="n">
        <f aca="false">IF(L16&lt;0,L16*-1,0)</f>
        <v>0</v>
      </c>
      <c r="AE16" s="164" t="n">
        <f aca="false">AC16+AD16</f>
        <v>105.1</v>
      </c>
      <c r="AF16" s="237" t="n">
        <v>0.45</v>
      </c>
      <c r="AG16" s="171" t="n">
        <v>31</v>
      </c>
      <c r="AH16" s="311" t="n">
        <v>23</v>
      </c>
      <c r="AI16" s="172" t="n">
        <f aca="false">AI15+(U16*1.9835)</f>
        <v>10248.5099007</v>
      </c>
      <c r="AJ16" s="172" t="n">
        <v>0</v>
      </c>
      <c r="AK16" s="331"/>
      <c r="AL16" s="318"/>
      <c r="AM16" s="306"/>
    </row>
    <row r="17" customFormat="false" ht="12.95" hidden="false" customHeight="true" outlineLevel="0" collapsed="false">
      <c r="A17" s="172" t="n">
        <f aca="false">A16+1</f>
        <v>6</v>
      </c>
      <c r="B17" s="312" t="n">
        <v>6876.28</v>
      </c>
      <c r="C17" s="165" t="n">
        <v>205224</v>
      </c>
      <c r="D17" s="171" t="n">
        <f aca="false">C17-C16</f>
        <v>-87</v>
      </c>
      <c r="E17" s="165" t="n">
        <f aca="false">C17-152000</f>
        <v>53224</v>
      </c>
      <c r="F17" s="329" t="n">
        <f aca="false">D17/$D$2</f>
        <v>-43.8618603478699</v>
      </c>
      <c r="G17" s="164" t="n">
        <v>42</v>
      </c>
      <c r="H17" s="170" t="n">
        <v>1.7</v>
      </c>
      <c r="I17" s="164" t="n">
        <f aca="false">G17+H17</f>
        <v>43.7</v>
      </c>
      <c r="J17" s="168" t="n">
        <f aca="false">IF(L17&gt;0,L17,0)</f>
        <v>17.6381396521301</v>
      </c>
      <c r="K17" s="164" t="n">
        <f aca="false">I17+J17</f>
        <v>61.3381396521301</v>
      </c>
      <c r="L17" s="164" t="n">
        <f aca="false">F17-(I17-AC17)</f>
        <v>17.6381396521301</v>
      </c>
      <c r="M17" s="309" t="n">
        <v>5.2</v>
      </c>
      <c r="N17" s="164" t="n">
        <v>0</v>
      </c>
      <c r="O17" s="164" t="n">
        <v>0</v>
      </c>
      <c r="P17" s="284" t="n">
        <f aca="false">1.55*1.02</f>
        <v>1.581</v>
      </c>
      <c r="Q17" s="284" t="n">
        <f aca="false">2.39*1.04</f>
        <v>2.4856</v>
      </c>
      <c r="R17" s="330" t="n">
        <v>0</v>
      </c>
      <c r="S17" s="164" t="n">
        <v>76</v>
      </c>
      <c r="T17" s="164"/>
      <c r="U17" s="164" t="n">
        <f aca="false">M17-N17-O17-P17-Q17-R17+S17+T17</f>
        <v>77.1334</v>
      </c>
      <c r="V17" s="165"/>
      <c r="W17" s="165"/>
      <c r="X17" s="164"/>
      <c r="Y17" s="269"/>
      <c r="Z17" s="270"/>
      <c r="AA17" s="164" t="n">
        <v>24</v>
      </c>
      <c r="AB17" s="165" t="n">
        <f aca="false">AB16-AA17</f>
        <v>2352</v>
      </c>
      <c r="AC17" s="9" t="n">
        <f aca="false">N17+O17+P17+Q17+R17+U17+X17+AA17</f>
        <v>105.2</v>
      </c>
      <c r="AD17" s="164" t="n">
        <f aca="false">IF(L17&lt;0,L17*-1,0)</f>
        <v>0</v>
      </c>
      <c r="AE17" s="164" t="n">
        <f aca="false">AC17+AD17</f>
        <v>105.2</v>
      </c>
      <c r="AF17" s="237" t="n">
        <v>0.06</v>
      </c>
      <c r="AG17" s="171" t="n">
        <v>28</v>
      </c>
      <c r="AH17" s="311" t="n">
        <v>12</v>
      </c>
      <c r="AI17" s="172" t="n">
        <f aca="false">AI16+(U17*1.9835)</f>
        <v>10401.5039996</v>
      </c>
      <c r="AJ17" s="172" t="n">
        <v>0</v>
      </c>
      <c r="AK17" s="305"/>
      <c r="AL17" s="318"/>
      <c r="AM17" s="306"/>
    </row>
    <row r="18" customFormat="false" ht="12.95" hidden="false" customHeight="true" outlineLevel="0" collapsed="false">
      <c r="A18" s="172" t="n">
        <f aca="false">A17+1</f>
        <v>7</v>
      </c>
      <c r="B18" s="312" t="n">
        <v>6876.26</v>
      </c>
      <c r="C18" s="165" t="n">
        <v>205166</v>
      </c>
      <c r="D18" s="171" t="n">
        <f aca="false">C18-C17</f>
        <v>-58</v>
      </c>
      <c r="E18" s="165" t="n">
        <f aca="false">C18-152000</f>
        <v>53166</v>
      </c>
      <c r="F18" s="329" t="n">
        <f aca="false">D18/$D$2</f>
        <v>-29.2412402319133</v>
      </c>
      <c r="G18" s="164" t="n">
        <v>44</v>
      </c>
      <c r="H18" s="170" t="n">
        <v>1.4</v>
      </c>
      <c r="I18" s="164" t="n">
        <f aca="false">G18+H18</f>
        <v>45.4</v>
      </c>
      <c r="J18" s="168" t="n">
        <f aca="false">IF(L18&gt;0,L18,0)</f>
        <v>30.5587597680867</v>
      </c>
      <c r="K18" s="164" t="n">
        <f aca="false">I18+J18</f>
        <v>75.9587597680867</v>
      </c>
      <c r="L18" s="164" t="n">
        <f aca="false">F18-(I18-AC18)</f>
        <v>30.5587597680867</v>
      </c>
      <c r="M18" s="309" t="n">
        <v>5.2</v>
      </c>
      <c r="N18" s="164" t="n">
        <v>0</v>
      </c>
      <c r="O18" s="164" t="n">
        <v>0</v>
      </c>
      <c r="P18" s="284" t="n">
        <f aca="false">1.55*1.02</f>
        <v>1.581</v>
      </c>
      <c r="Q18" s="284" t="n">
        <f aca="false">2.63*1.04</f>
        <v>2.7352</v>
      </c>
      <c r="R18" s="330" t="n">
        <v>0</v>
      </c>
      <c r="S18" s="164" t="n">
        <v>76</v>
      </c>
      <c r="T18" s="164"/>
      <c r="U18" s="164" t="n">
        <f aca="false">M18-N18-O18-P18-Q18-R18+S18+T18</f>
        <v>76.8838</v>
      </c>
      <c r="V18" s="165"/>
      <c r="W18" s="165"/>
      <c r="X18" s="164"/>
      <c r="Y18" s="269"/>
      <c r="Z18" s="270"/>
      <c r="AA18" s="164" t="n">
        <v>24</v>
      </c>
      <c r="AB18" s="165" t="n">
        <f aca="false">AB17-AA18</f>
        <v>2328</v>
      </c>
      <c r="AC18" s="9" t="n">
        <f aca="false">N18+O18+P18+Q18+R18+U18+X18+AA18</f>
        <v>105.2</v>
      </c>
      <c r="AD18" s="164" t="n">
        <f aca="false">IF(L18&lt;0,L18*-1,0)</f>
        <v>0</v>
      </c>
      <c r="AE18" s="164" t="n">
        <f aca="false">AC18+AD18</f>
        <v>105.2</v>
      </c>
      <c r="AF18" s="237" t="n">
        <v>0.06</v>
      </c>
      <c r="AG18" s="171" t="n">
        <v>28</v>
      </c>
      <c r="AH18" s="311" t="n">
        <v>12</v>
      </c>
      <c r="AI18" s="172" t="n">
        <f aca="false">AI17+(U18*1.9835)</f>
        <v>10554.0030169</v>
      </c>
      <c r="AJ18" s="172" t="n">
        <v>0</v>
      </c>
      <c r="AK18" s="305"/>
      <c r="AL18" s="318"/>
      <c r="AM18" s="306"/>
    </row>
    <row r="19" customFormat="false" ht="12.95" hidden="false" customHeight="true" outlineLevel="0" collapsed="false">
      <c r="A19" s="172" t="n">
        <f aca="false">A18+1</f>
        <v>8</v>
      </c>
      <c r="B19" s="312" t="n">
        <v>6876.28</v>
      </c>
      <c r="C19" s="165" t="n">
        <v>205224</v>
      </c>
      <c r="D19" s="171" t="n">
        <f aca="false">C19-C18</f>
        <v>58</v>
      </c>
      <c r="E19" s="165" t="n">
        <f aca="false">C19-152000</f>
        <v>53224</v>
      </c>
      <c r="F19" s="329" t="n">
        <f aca="false">D19/$D$2</f>
        <v>29.2412402319133</v>
      </c>
      <c r="G19" s="164" t="n">
        <v>41</v>
      </c>
      <c r="H19" s="170" t="n">
        <v>1.2</v>
      </c>
      <c r="I19" s="164" t="n">
        <f aca="false">G19+H19</f>
        <v>42.2</v>
      </c>
      <c r="J19" s="168" t="n">
        <f aca="false">IF(L19&gt;0,L19,0)</f>
        <v>92.0412402319133</v>
      </c>
      <c r="K19" s="164" t="n">
        <f aca="false">I19+J19</f>
        <v>134.241240231913</v>
      </c>
      <c r="L19" s="164" t="n">
        <f aca="false">F19-(I19-AC19)</f>
        <v>92.0412402319133</v>
      </c>
      <c r="M19" s="309" t="n">
        <v>5</v>
      </c>
      <c r="N19" s="164" t="n">
        <v>0</v>
      </c>
      <c r="O19" s="164" t="n">
        <v>0</v>
      </c>
      <c r="P19" s="284" t="n">
        <f aca="false">1.55*1.02</f>
        <v>1.581</v>
      </c>
      <c r="Q19" s="284" t="n">
        <f aca="false">1.91*1.04</f>
        <v>1.9864</v>
      </c>
      <c r="R19" s="330" t="n">
        <v>0</v>
      </c>
      <c r="S19" s="164" t="n">
        <v>76</v>
      </c>
      <c r="T19" s="164"/>
      <c r="U19" s="164" t="n">
        <f aca="false">M19-N19-O19-P19-Q19-R19+S19+T19</f>
        <v>77.4326</v>
      </c>
      <c r="V19" s="165"/>
      <c r="W19" s="165"/>
      <c r="X19" s="164"/>
      <c r="Y19" s="269"/>
      <c r="Z19" s="270"/>
      <c r="AA19" s="164" t="n">
        <v>24</v>
      </c>
      <c r="AB19" s="165" t="n">
        <f aca="false">AB18-AA19</f>
        <v>2304</v>
      </c>
      <c r="AC19" s="9" t="n">
        <f aca="false">N19+O19+P19+Q19+R19+U19+X19+AA19</f>
        <v>105</v>
      </c>
      <c r="AD19" s="164" t="n">
        <f aca="false">IF(L19&lt;0,L19*-1,0)</f>
        <v>0</v>
      </c>
      <c r="AE19" s="164" t="n">
        <f aca="false">AC19+AD19</f>
        <v>105</v>
      </c>
      <c r="AF19" s="237" t="n">
        <v>0.23</v>
      </c>
      <c r="AG19" s="171" t="n">
        <v>38</v>
      </c>
      <c r="AH19" s="311" t="n">
        <v>26</v>
      </c>
      <c r="AI19" s="172" t="n">
        <f aca="false">AI18+(U19*1.9835)</f>
        <v>10707.590579</v>
      </c>
      <c r="AJ19" s="172" t="n">
        <v>0</v>
      </c>
      <c r="AK19" s="305"/>
      <c r="AL19" s="318"/>
      <c r="AM19" s="306"/>
    </row>
    <row r="20" customFormat="false" ht="12.95" hidden="false" customHeight="true" outlineLevel="0" collapsed="false">
      <c r="A20" s="172" t="n">
        <f aca="false">A19+1</f>
        <v>9</v>
      </c>
      <c r="B20" s="312" t="n">
        <v>6876.3</v>
      </c>
      <c r="C20" s="165" t="n">
        <v>205282</v>
      </c>
      <c r="D20" s="171" t="n">
        <f aca="false">C20-C19</f>
        <v>58</v>
      </c>
      <c r="E20" s="165" t="n">
        <f aca="false">C20-152000</f>
        <v>53282</v>
      </c>
      <c r="F20" s="329" t="n">
        <f aca="false">D20/$D$2</f>
        <v>29.2412402319133</v>
      </c>
      <c r="G20" s="164" t="n">
        <v>72</v>
      </c>
      <c r="H20" s="170" t="n">
        <v>1.3</v>
      </c>
      <c r="I20" s="164" t="n">
        <f aca="false">G20+H20</f>
        <v>73.3</v>
      </c>
      <c r="J20" s="168" t="n">
        <f aca="false">IF(L20&gt;0,L20,0)</f>
        <v>61.9412402319133</v>
      </c>
      <c r="K20" s="164" t="n">
        <f aca="false">I20+J20</f>
        <v>135.241240231913</v>
      </c>
      <c r="L20" s="164" t="n">
        <f aca="false">F20-(I20-AC20)</f>
        <v>61.9412402319133</v>
      </c>
      <c r="M20" s="309" t="n">
        <v>5</v>
      </c>
      <c r="N20" s="164" t="n">
        <v>0</v>
      </c>
      <c r="O20" s="164" t="n">
        <v>0</v>
      </c>
      <c r="P20" s="284" t="n">
        <f aca="false">1.55*1.02</f>
        <v>1.581</v>
      </c>
      <c r="Q20" s="284" t="n">
        <f aca="false">2.33*1.04</f>
        <v>2.4232</v>
      </c>
      <c r="R20" s="330" t="n">
        <v>0</v>
      </c>
      <c r="S20" s="164" t="n">
        <v>76</v>
      </c>
      <c r="T20" s="164"/>
      <c r="U20" s="164" t="n">
        <f aca="false">M20-N20-O20-P20-Q20-R20+S20+T20</f>
        <v>76.9958</v>
      </c>
      <c r="V20" s="165"/>
      <c r="W20" s="165"/>
      <c r="X20" s="164"/>
      <c r="Y20" s="269"/>
      <c r="Z20" s="270"/>
      <c r="AA20" s="164" t="n">
        <v>25</v>
      </c>
      <c r="AB20" s="165" t="n">
        <f aca="false">AB19-AA20</f>
        <v>2279</v>
      </c>
      <c r="AC20" s="9" t="n">
        <f aca="false">N20+O20+P20+Q20+R20+U20+X20+AA20</f>
        <v>106</v>
      </c>
      <c r="AD20" s="164" t="n">
        <f aca="false">IF(L20&lt;0,L20*-1,0)</f>
        <v>0</v>
      </c>
      <c r="AE20" s="164" t="n">
        <f aca="false">AC20+AD20</f>
        <v>106</v>
      </c>
      <c r="AF20" s="237" t="n">
        <v>0.46</v>
      </c>
      <c r="AG20" s="285" t="n">
        <v>41</v>
      </c>
      <c r="AH20" s="311" t="n">
        <v>34</v>
      </c>
      <c r="AI20" s="172" t="n">
        <f aca="false">AI19+(U20*1.9835)</f>
        <v>10860.3117483</v>
      </c>
      <c r="AJ20" s="172" t="n">
        <v>0</v>
      </c>
      <c r="AK20" s="305"/>
      <c r="AL20" s="318"/>
      <c r="AM20" s="306"/>
    </row>
    <row r="21" customFormat="false" ht="12.95" hidden="false" customHeight="true" outlineLevel="0" collapsed="false">
      <c r="A21" s="172" t="n">
        <f aca="false">A20+1</f>
        <v>10</v>
      </c>
      <c r="B21" s="312" t="n">
        <v>6876.41</v>
      </c>
      <c r="C21" s="165" t="n">
        <v>205599</v>
      </c>
      <c r="D21" s="171" t="n">
        <f aca="false">C21-C20</f>
        <v>317</v>
      </c>
      <c r="E21" s="165" t="n">
        <f aca="false">C21-152000</f>
        <v>53599</v>
      </c>
      <c r="F21" s="329" t="n">
        <f aca="false">D21/$D$2</f>
        <v>159.818502646836</v>
      </c>
      <c r="G21" s="164" t="n">
        <v>103</v>
      </c>
      <c r="H21" s="170" t="n">
        <v>2.2</v>
      </c>
      <c r="I21" s="164" t="n">
        <f aca="false">G21+H21</f>
        <v>105.2</v>
      </c>
      <c r="J21" s="168" t="n">
        <f aca="false">IF(L21&gt;0,L21,0)</f>
        <v>162.018502646836</v>
      </c>
      <c r="K21" s="164" t="n">
        <f aca="false">I21+J21</f>
        <v>267.218502646836</v>
      </c>
      <c r="L21" s="164" t="n">
        <f aca="false">F21-(I21-AC21)</f>
        <v>162.018502646836</v>
      </c>
      <c r="M21" s="309" t="n">
        <v>5.4</v>
      </c>
      <c r="N21" s="164" t="n">
        <v>0</v>
      </c>
      <c r="O21" s="164" t="n">
        <v>0</v>
      </c>
      <c r="P21" s="284" t="n">
        <f aca="false">1.55*1.02</f>
        <v>1.581</v>
      </c>
      <c r="Q21" s="284" t="n">
        <f aca="false">2.3*1.04</f>
        <v>2.392</v>
      </c>
      <c r="R21" s="330" t="n">
        <v>0</v>
      </c>
      <c r="S21" s="164" t="n">
        <v>77</v>
      </c>
      <c r="T21" s="164"/>
      <c r="U21" s="164" t="n">
        <f aca="false">M21-N21-O21-P21-Q21-R21+S21+T21</f>
        <v>78.427</v>
      </c>
      <c r="V21" s="165"/>
      <c r="W21" s="165"/>
      <c r="X21" s="164"/>
      <c r="Y21" s="269"/>
      <c r="Z21" s="270"/>
      <c r="AA21" s="164" t="n">
        <v>25</v>
      </c>
      <c r="AB21" s="165" t="n">
        <f aca="false">AB20-AA21</f>
        <v>2254</v>
      </c>
      <c r="AC21" s="9" t="n">
        <f aca="false">N21+O21+P21+Q21+R21+U21+X21+AA21</f>
        <v>107.4</v>
      </c>
      <c r="AD21" s="164" t="n">
        <f aca="false">IF(L21&lt;0,L21*-1,0)</f>
        <v>0</v>
      </c>
      <c r="AE21" s="164" t="n">
        <f aca="false">AC21+AD21</f>
        <v>107.4</v>
      </c>
      <c r="AF21" s="237" t="n">
        <v>0.72</v>
      </c>
      <c r="AG21" s="171" t="n">
        <v>45</v>
      </c>
      <c r="AH21" s="311" t="n">
        <v>34</v>
      </c>
      <c r="AI21" s="172" t="n">
        <f aca="false">AI20+(U21*1.9835)</f>
        <v>11015.8717028</v>
      </c>
      <c r="AJ21" s="172" t="n">
        <v>0</v>
      </c>
      <c r="AK21" s="305"/>
      <c r="AL21" s="318"/>
      <c r="AM21" s="306"/>
    </row>
    <row r="22" customFormat="false" ht="12.95" hidden="false" customHeight="true" outlineLevel="0" collapsed="false">
      <c r="A22" s="172" t="n">
        <f aca="false">A21+1</f>
        <v>11</v>
      </c>
      <c r="B22" s="312" t="n">
        <v>6876.55</v>
      </c>
      <c r="C22" s="165" t="n">
        <v>206004</v>
      </c>
      <c r="D22" s="171" t="n">
        <f aca="false">C22-C21</f>
        <v>405</v>
      </c>
      <c r="E22" s="165" t="n">
        <f aca="false">C22-152000</f>
        <v>54004</v>
      </c>
      <c r="F22" s="329" t="n">
        <f aca="false">D22/$D$2</f>
        <v>204.18452230905</v>
      </c>
      <c r="G22" s="164" t="n">
        <v>74</v>
      </c>
      <c r="H22" s="170" t="n">
        <v>6.6</v>
      </c>
      <c r="I22" s="164" t="n">
        <f aca="false">G22+H22</f>
        <v>80.6</v>
      </c>
      <c r="J22" s="168" t="n">
        <f aca="false">IF(L22&gt;0,L22,0)</f>
        <v>231.88452230905</v>
      </c>
      <c r="K22" s="164" t="n">
        <f aca="false">I22+J22</f>
        <v>312.48452230905</v>
      </c>
      <c r="L22" s="164" t="n">
        <f aca="false">F22-(I22-AC22)</f>
        <v>231.88452230905</v>
      </c>
      <c r="M22" s="309" t="n">
        <v>5.3</v>
      </c>
      <c r="N22" s="164" t="n">
        <v>0</v>
      </c>
      <c r="O22" s="164" t="n">
        <v>0</v>
      </c>
      <c r="P22" s="284" t="n">
        <f aca="false">1.55*1.02</f>
        <v>1.581</v>
      </c>
      <c r="Q22" s="284" t="n">
        <f aca="false">2.41*1.04</f>
        <v>2.5064</v>
      </c>
      <c r="R22" s="330" t="n">
        <v>0</v>
      </c>
      <c r="S22" s="164" t="n">
        <v>77</v>
      </c>
      <c r="T22" s="164"/>
      <c r="U22" s="164" t="n">
        <f aca="false">M22-N22-O22-P22-Q22-R22+S22+T22</f>
        <v>78.2126</v>
      </c>
      <c r="V22" s="165"/>
      <c r="W22" s="165"/>
      <c r="X22" s="164"/>
      <c r="Y22" s="269"/>
      <c r="Z22" s="270"/>
      <c r="AA22" s="164" t="n">
        <v>26</v>
      </c>
      <c r="AB22" s="165" t="n">
        <f aca="false">AB21-AA22</f>
        <v>2228</v>
      </c>
      <c r="AC22" s="9" t="n">
        <f aca="false">N22+O22+P22+Q22+R22+U22+X22+AA22</f>
        <v>108.3</v>
      </c>
      <c r="AD22" s="164" t="n">
        <f aca="false">IF(L22&lt;0,L22*-1,0)</f>
        <v>0</v>
      </c>
      <c r="AE22" s="164" t="n">
        <f aca="false">AC22+AD22</f>
        <v>108.3</v>
      </c>
      <c r="AF22" s="237" t="n">
        <v>0.61</v>
      </c>
      <c r="AG22" s="171" t="n">
        <v>43</v>
      </c>
      <c r="AH22" s="311" t="n">
        <v>25</v>
      </c>
      <c r="AI22" s="172" t="n">
        <f aca="false">AI21+(U22*1.9835)</f>
        <v>11171.0063949</v>
      </c>
      <c r="AJ22" s="172" t="n">
        <v>0</v>
      </c>
      <c r="AK22" s="305"/>
      <c r="AL22" s="318"/>
      <c r="AM22" s="306"/>
    </row>
    <row r="23" customFormat="false" ht="12.95" hidden="false" customHeight="true" outlineLevel="0" collapsed="false">
      <c r="A23" s="172" t="n">
        <f aca="false">A22+1</f>
        <v>12</v>
      </c>
      <c r="B23" s="312" t="n">
        <v>6876.65</v>
      </c>
      <c r="C23" s="165" t="n">
        <v>206293</v>
      </c>
      <c r="D23" s="171" t="n">
        <f aca="false">C23-C22</f>
        <v>289</v>
      </c>
      <c r="E23" s="165" t="n">
        <f aca="false">C23-152000</f>
        <v>54293</v>
      </c>
      <c r="F23" s="329" t="n">
        <f aca="false">D23/$D$2</f>
        <v>145.702041845223</v>
      </c>
      <c r="G23" s="164" t="n">
        <v>47</v>
      </c>
      <c r="H23" s="170" t="n">
        <v>10</v>
      </c>
      <c r="I23" s="164" t="n">
        <f aca="false">G23+H23</f>
        <v>57</v>
      </c>
      <c r="J23" s="168" t="n">
        <f aca="false">IF(L23&gt;0,L23,0)</f>
        <v>209.702041845223</v>
      </c>
      <c r="K23" s="164" t="n">
        <f aca="false">I23+J23</f>
        <v>266.702041845223</v>
      </c>
      <c r="L23" s="164" t="n">
        <f aca="false">F23-(I23-AC23)</f>
        <v>209.702041845223</v>
      </c>
      <c r="M23" s="309" t="n">
        <v>5</v>
      </c>
      <c r="N23" s="164" t="n">
        <v>0</v>
      </c>
      <c r="O23" s="164" t="n">
        <v>0</v>
      </c>
      <c r="P23" s="284" t="n">
        <f aca="false">1.55*1.02</f>
        <v>1.581</v>
      </c>
      <c r="Q23" s="284" t="n">
        <f aca="false">2.34*1.04</f>
        <v>2.4336</v>
      </c>
      <c r="R23" s="330" t="n">
        <v>0</v>
      </c>
      <c r="S23" s="164" t="n">
        <v>91</v>
      </c>
      <c r="T23" s="164"/>
      <c r="U23" s="164" t="n">
        <f aca="false">M23-N23-O23-P23-Q23-R23+S23+T23</f>
        <v>91.9854</v>
      </c>
      <c r="V23" s="165"/>
      <c r="W23" s="165"/>
      <c r="X23" s="164"/>
      <c r="Y23" s="269"/>
      <c r="Z23" s="270"/>
      <c r="AA23" s="164" t="n">
        <v>25</v>
      </c>
      <c r="AB23" s="165" t="n">
        <f aca="false">AB22-AA23</f>
        <v>2203</v>
      </c>
      <c r="AC23" s="9" t="n">
        <f aca="false">N23+O23+P23+Q23+R23+U23+X23+AA23</f>
        <v>121</v>
      </c>
      <c r="AD23" s="164" t="n">
        <f aca="false">IF(L23&lt;0,L23*-1,0)</f>
        <v>0</v>
      </c>
      <c r="AE23" s="164" t="n">
        <f aca="false">AC23+AD23</f>
        <v>121</v>
      </c>
      <c r="AF23" s="237" t="n">
        <v>0</v>
      </c>
      <c r="AG23" s="171" t="n">
        <v>34</v>
      </c>
      <c r="AH23" s="311" t="n">
        <v>19</v>
      </c>
      <c r="AI23" s="172" t="n">
        <f aca="false">AI22+(U23*1.9835)</f>
        <v>11353.4594358</v>
      </c>
      <c r="AJ23" s="172" t="n">
        <v>0</v>
      </c>
      <c r="AK23" s="305"/>
      <c r="AL23" s="318"/>
      <c r="AM23" s="306"/>
    </row>
    <row r="24" customFormat="false" ht="12.95" hidden="false" customHeight="true" outlineLevel="0" collapsed="false">
      <c r="A24" s="172" t="n">
        <v>13</v>
      </c>
      <c r="B24" s="312" t="n">
        <v>6876.73</v>
      </c>
      <c r="C24" s="165" t="n">
        <v>206524</v>
      </c>
      <c r="D24" s="171" t="n">
        <f aca="false">C24-C23</f>
        <v>231</v>
      </c>
      <c r="E24" s="165" t="n">
        <f aca="false">C24-152000</f>
        <v>54524</v>
      </c>
      <c r="F24" s="329" t="n">
        <f aca="false">D24/$D$2</f>
        <v>116.46080161331</v>
      </c>
      <c r="G24" s="164" t="n">
        <v>52</v>
      </c>
      <c r="H24" s="170" t="n">
        <v>12</v>
      </c>
      <c r="I24" s="164" t="n">
        <f aca="false">G24+H24</f>
        <v>64</v>
      </c>
      <c r="J24" s="168" t="n">
        <f aca="false">IF(L24&gt;0,L24,0)</f>
        <v>179.76080161331</v>
      </c>
      <c r="K24" s="164" t="n">
        <f aca="false">I24+J24</f>
        <v>243.76080161331</v>
      </c>
      <c r="L24" s="164" t="n">
        <f aca="false">F24-(I24-AC24)</f>
        <v>179.76080161331</v>
      </c>
      <c r="M24" s="309" t="n">
        <v>4.3</v>
      </c>
      <c r="N24" s="164" t="n">
        <v>0</v>
      </c>
      <c r="O24" s="164" t="n">
        <v>0</v>
      </c>
      <c r="P24" s="284" t="n">
        <f aca="false">1.55*1.02</f>
        <v>1.581</v>
      </c>
      <c r="Q24" s="284" t="n">
        <f aca="false">2.22*1.04</f>
        <v>2.3088</v>
      </c>
      <c r="R24" s="330" t="n">
        <v>0</v>
      </c>
      <c r="S24" s="164" t="n">
        <v>99</v>
      </c>
      <c r="T24" s="164"/>
      <c r="U24" s="164" t="n">
        <f aca="false">M24-N24-O24-P24-Q24-R24+S24+T24</f>
        <v>99.4102</v>
      </c>
      <c r="V24" s="165"/>
      <c r="W24" s="165"/>
      <c r="X24" s="164"/>
      <c r="Y24" s="269"/>
      <c r="Z24" s="270"/>
      <c r="AA24" s="164" t="n">
        <v>24</v>
      </c>
      <c r="AB24" s="165" t="n">
        <f aca="false">AB23-AA24</f>
        <v>2179</v>
      </c>
      <c r="AC24" s="9" t="n">
        <f aca="false">N24+O24+P24+Q24+R24+U24+X24+AA24</f>
        <v>127.3</v>
      </c>
      <c r="AD24" s="164" t="n">
        <f aca="false">IF(L24&lt;0,L24*-1,0)</f>
        <v>0</v>
      </c>
      <c r="AE24" s="164" t="n">
        <f aca="false">AC24+AD24</f>
        <v>127.3</v>
      </c>
      <c r="AF24" s="237" t="n">
        <v>0</v>
      </c>
      <c r="AG24" s="171" t="n">
        <v>37</v>
      </c>
      <c r="AH24" s="311" t="n">
        <v>9</v>
      </c>
      <c r="AI24" s="172" t="n">
        <f aca="false">AI23+(U24*1.9835)</f>
        <v>11550.6395675</v>
      </c>
      <c r="AJ24" s="172" t="n">
        <v>0</v>
      </c>
      <c r="AK24" s="305"/>
      <c r="AL24" s="318"/>
      <c r="AM24" s="306"/>
    </row>
    <row r="25" customFormat="false" ht="12.95" hidden="false" customHeight="true" outlineLevel="0" collapsed="false">
      <c r="A25" s="172" t="n">
        <f aca="false">A24+1</f>
        <v>14</v>
      </c>
      <c r="B25" s="312" t="n">
        <v>6876.77</v>
      </c>
      <c r="C25" s="165" t="n">
        <v>206639</v>
      </c>
      <c r="D25" s="171" t="n">
        <f aca="false">C25-C24</f>
        <v>115</v>
      </c>
      <c r="E25" s="165" t="n">
        <f aca="false">C25-152000</f>
        <v>54639</v>
      </c>
      <c r="F25" s="329" t="n">
        <f aca="false">D25/$D$2</f>
        <v>57.9783211494832</v>
      </c>
      <c r="G25" s="164" t="n">
        <v>53</v>
      </c>
      <c r="H25" s="170" t="n">
        <v>10</v>
      </c>
      <c r="I25" s="164" t="n">
        <f aca="false">G25+H25</f>
        <v>63</v>
      </c>
      <c r="J25" s="168" t="n">
        <f aca="false">IF(L25&gt;0,L25,0)</f>
        <v>121.978321149483</v>
      </c>
      <c r="K25" s="164" t="n">
        <f aca="false">I25+J25</f>
        <v>184.978321149483</v>
      </c>
      <c r="L25" s="164" t="n">
        <f aca="false">F25-(I25-AC25)</f>
        <v>121.978321149483</v>
      </c>
      <c r="M25" s="309" t="n">
        <v>4</v>
      </c>
      <c r="N25" s="164" t="n">
        <v>0</v>
      </c>
      <c r="O25" s="164" t="n">
        <v>0</v>
      </c>
      <c r="P25" s="284" t="n">
        <f aca="false">1.55*1.02</f>
        <v>1.581</v>
      </c>
      <c r="Q25" s="284" t="n">
        <f aca="false">2.34*1.04</f>
        <v>2.4336</v>
      </c>
      <c r="R25" s="330" t="n">
        <v>0</v>
      </c>
      <c r="S25" s="164" t="n">
        <v>99</v>
      </c>
      <c r="T25" s="164"/>
      <c r="U25" s="164" t="n">
        <f aca="false">M25-N25-O25-P25-Q25-R25+S25+T25</f>
        <v>98.9854</v>
      </c>
      <c r="V25" s="165"/>
      <c r="W25" s="165"/>
      <c r="X25" s="164"/>
      <c r="Y25" s="269"/>
      <c r="Z25" s="270"/>
      <c r="AA25" s="164" t="n">
        <v>24</v>
      </c>
      <c r="AB25" s="165" t="n">
        <f aca="false">AB24-AA25</f>
        <v>2155</v>
      </c>
      <c r="AC25" s="9" t="n">
        <f aca="false">N25+O25+P25+Q25+R25+U25+X25+AA25</f>
        <v>127</v>
      </c>
      <c r="AD25" s="164" t="n">
        <f aca="false">IF(L25&lt;0,L25*-1,0)</f>
        <v>0</v>
      </c>
      <c r="AE25" s="164" t="n">
        <f aca="false">AC25+AD25</f>
        <v>127</v>
      </c>
      <c r="AF25" s="237" t="n">
        <v>0</v>
      </c>
      <c r="AG25" s="285" t="n">
        <v>43</v>
      </c>
      <c r="AH25" s="311" t="n">
        <v>18</v>
      </c>
      <c r="AI25" s="172" t="n">
        <f aca="false">AI24+(U25*1.9835)</f>
        <v>11746.9771084</v>
      </c>
      <c r="AJ25" s="172" t="n">
        <v>0</v>
      </c>
      <c r="AK25" s="305"/>
      <c r="AL25" s="318"/>
      <c r="AM25" s="306"/>
    </row>
    <row r="26" customFormat="false" ht="12.95" hidden="false" customHeight="true" outlineLevel="0" collapsed="false">
      <c r="A26" s="172" t="n">
        <f aca="false">A25+1</f>
        <v>15</v>
      </c>
      <c r="B26" s="312" t="n">
        <v>6876.76</v>
      </c>
      <c r="C26" s="165" t="n">
        <v>206610</v>
      </c>
      <c r="D26" s="171" t="n">
        <f aca="false">C26-C25</f>
        <v>-29</v>
      </c>
      <c r="E26" s="165" t="n">
        <f aca="false">C26-152000</f>
        <v>54610</v>
      </c>
      <c r="F26" s="329" t="n">
        <f aca="false">D26/$D$2</f>
        <v>-14.6206201159566</v>
      </c>
      <c r="G26" s="164" t="n">
        <v>50</v>
      </c>
      <c r="H26" s="170" t="n">
        <v>6.9</v>
      </c>
      <c r="I26" s="164" t="n">
        <f aca="false">G26+H26</f>
        <v>56.9</v>
      </c>
      <c r="J26" s="168" t="n">
        <f aca="false">IF(L26&gt;0,L26,0)</f>
        <v>55.4793798840434</v>
      </c>
      <c r="K26" s="164" t="n">
        <f aca="false">I26+J26</f>
        <v>112.379379884043</v>
      </c>
      <c r="L26" s="164" t="n">
        <f aca="false">F26-(I26-AC26)</f>
        <v>55.4793798840434</v>
      </c>
      <c r="M26" s="309" t="n">
        <v>4</v>
      </c>
      <c r="N26" s="164" t="n">
        <v>0</v>
      </c>
      <c r="O26" s="164" t="n">
        <v>0</v>
      </c>
      <c r="P26" s="284" t="n">
        <f aca="false">1.55*1.02</f>
        <v>1.581</v>
      </c>
      <c r="Q26" s="284" t="n">
        <f aca="false">1.95*1.04</f>
        <v>2.028</v>
      </c>
      <c r="R26" s="330" t="n">
        <v>0</v>
      </c>
      <c r="S26" s="164" t="n">
        <v>99</v>
      </c>
      <c r="T26" s="164"/>
      <c r="U26" s="164" t="n">
        <f aca="false">M26-N26-O26-P26-Q26-R26+S26+T26</f>
        <v>99.391</v>
      </c>
      <c r="V26" s="165"/>
      <c r="W26" s="165"/>
      <c r="X26" s="164"/>
      <c r="Y26" s="269"/>
      <c r="Z26" s="270"/>
      <c r="AA26" s="164" t="n">
        <v>24</v>
      </c>
      <c r="AB26" s="165" t="n">
        <f aca="false">AB25-AA26</f>
        <v>2131</v>
      </c>
      <c r="AC26" s="9" t="n">
        <f aca="false">N26+O26+P26+Q26+R26+U26+X26+AA26</f>
        <v>127</v>
      </c>
      <c r="AD26" s="164" t="n">
        <f aca="false">IF(L26&lt;0,L26*-1,0)</f>
        <v>0</v>
      </c>
      <c r="AE26" s="164" t="n">
        <f aca="false">AC26+AD26</f>
        <v>127</v>
      </c>
      <c r="AF26" s="237" t="n">
        <v>0</v>
      </c>
      <c r="AG26" s="285" t="n">
        <v>45</v>
      </c>
      <c r="AH26" s="311" t="n">
        <v>18</v>
      </c>
      <c r="AI26" s="172" t="n">
        <f aca="false">AI25+(U26*1.9835)</f>
        <v>11944.1191569</v>
      </c>
      <c r="AJ26" s="172" t="n">
        <v>0</v>
      </c>
      <c r="AK26" s="305"/>
      <c r="AL26" s="318"/>
      <c r="AM26" s="306"/>
    </row>
    <row r="27" customFormat="false" ht="12.95" hidden="false" customHeight="true" outlineLevel="0" collapsed="false">
      <c r="A27" s="172" t="n">
        <f aca="false">A26+1</f>
        <v>16</v>
      </c>
      <c r="B27" s="312" t="n">
        <v>6876.75</v>
      </c>
      <c r="C27" s="165" t="n">
        <v>206581</v>
      </c>
      <c r="D27" s="171" t="n">
        <f aca="false">C27-C26</f>
        <v>-29</v>
      </c>
      <c r="E27" s="165" t="n">
        <f aca="false">C27-152000</f>
        <v>54581</v>
      </c>
      <c r="F27" s="329" t="n">
        <f aca="false">D27/$D$2</f>
        <v>-14.6206201159566</v>
      </c>
      <c r="G27" s="164" t="n">
        <v>52</v>
      </c>
      <c r="H27" s="170" t="n">
        <v>6.1</v>
      </c>
      <c r="I27" s="164" t="n">
        <f aca="false">G27+H27</f>
        <v>58.1</v>
      </c>
      <c r="J27" s="168" t="n">
        <f aca="false">IF(L27&gt;0,L27,0)</f>
        <v>54.4793798840434</v>
      </c>
      <c r="K27" s="164" t="n">
        <f aca="false">I27+J27</f>
        <v>112.579379884043</v>
      </c>
      <c r="L27" s="164" t="n">
        <f aca="false">F27-(I27-AC27)</f>
        <v>54.4793798840434</v>
      </c>
      <c r="M27" s="309" t="n">
        <v>4.2</v>
      </c>
      <c r="N27" s="164" t="n">
        <v>0</v>
      </c>
      <c r="O27" s="164" t="n">
        <v>0</v>
      </c>
      <c r="P27" s="284" t="n">
        <f aca="false">1.55*1.02</f>
        <v>1.581</v>
      </c>
      <c r="Q27" s="284" t="n">
        <f aca="false">2.24*1.04</f>
        <v>2.3296</v>
      </c>
      <c r="R27" s="330" t="n">
        <v>0</v>
      </c>
      <c r="S27" s="164" t="n">
        <v>99</v>
      </c>
      <c r="T27" s="164"/>
      <c r="U27" s="164" t="n">
        <f aca="false">M27-N27-O27-P27-Q27-R27+S27+T27</f>
        <v>99.2894</v>
      </c>
      <c r="V27" s="165"/>
      <c r="W27" s="165"/>
      <c r="X27" s="164"/>
      <c r="Y27" s="269"/>
      <c r="Z27" s="270"/>
      <c r="AA27" s="164" t="n">
        <v>24</v>
      </c>
      <c r="AB27" s="165" t="n">
        <f aca="false">AB26-AA27</f>
        <v>2107</v>
      </c>
      <c r="AC27" s="9" t="n">
        <f aca="false">N27+O27+P27+Q27+R27+U27+X27+AA27</f>
        <v>127.2</v>
      </c>
      <c r="AD27" s="164" t="n">
        <f aca="false">IF(L27&lt;0,L27*-1,0)</f>
        <v>0</v>
      </c>
      <c r="AE27" s="164" t="n">
        <f aca="false">AC27+AD27</f>
        <v>127.2</v>
      </c>
      <c r="AF27" s="237" t="n">
        <v>0</v>
      </c>
      <c r="AG27" s="285" t="n">
        <v>46</v>
      </c>
      <c r="AH27" s="311" t="n">
        <v>23</v>
      </c>
      <c r="AI27" s="172" t="n">
        <f aca="false">AI26+(U27*1.9835)</f>
        <v>12141.0596818</v>
      </c>
      <c r="AJ27" s="172" t="n">
        <v>0</v>
      </c>
      <c r="AK27" s="305"/>
      <c r="AL27" s="7"/>
      <c r="AM27" s="306"/>
    </row>
    <row r="28" customFormat="false" ht="12.95" hidden="false" customHeight="true" outlineLevel="0" collapsed="false">
      <c r="A28" s="172" t="n">
        <f aca="false">A27+1</f>
        <v>17</v>
      </c>
      <c r="B28" s="312" t="n">
        <v>6876.74</v>
      </c>
      <c r="C28" s="165" t="n">
        <v>206553</v>
      </c>
      <c r="D28" s="171" t="n">
        <f aca="false">C28-C27</f>
        <v>-28</v>
      </c>
      <c r="E28" s="165" t="n">
        <f aca="false">C28-152000</f>
        <v>54553</v>
      </c>
      <c r="F28" s="329" t="n">
        <f aca="false">D28/$D$2</f>
        <v>-14.1164608016133</v>
      </c>
      <c r="G28" s="164" t="n">
        <v>52</v>
      </c>
      <c r="H28" s="170" t="n">
        <v>5.8</v>
      </c>
      <c r="I28" s="164" t="n">
        <f aca="false">G28+H28</f>
        <v>57.8</v>
      </c>
      <c r="J28" s="168" t="n">
        <f aca="false">IF(L28&gt;0,L28,0)</f>
        <v>57.2835391983867</v>
      </c>
      <c r="K28" s="164" t="n">
        <f aca="false">I28+J28</f>
        <v>115.083539198387</v>
      </c>
      <c r="L28" s="164" t="n">
        <f aca="false">F28-(I28-AC28)</f>
        <v>57.2835391983867</v>
      </c>
      <c r="M28" s="309" t="n">
        <v>5.2</v>
      </c>
      <c r="N28" s="164" t="n">
        <v>0</v>
      </c>
      <c r="O28" s="164" t="n">
        <v>0</v>
      </c>
      <c r="P28" s="284" t="n">
        <f aca="false">1.55*1.02</f>
        <v>1.581</v>
      </c>
      <c r="Q28" s="284" t="n">
        <f aca="false">2.29*1.04</f>
        <v>2.3816</v>
      </c>
      <c r="R28" s="330" t="n">
        <v>0</v>
      </c>
      <c r="S28" s="164" t="n">
        <v>99</v>
      </c>
      <c r="T28" s="164"/>
      <c r="U28" s="164" t="n">
        <f aca="false">M28-N28-O28-P28-Q28-R28+S28+T28</f>
        <v>100.2374</v>
      </c>
      <c r="V28" s="165"/>
      <c r="W28" s="165"/>
      <c r="X28" s="164"/>
      <c r="Y28" s="269"/>
      <c r="Z28" s="270"/>
      <c r="AA28" s="164" t="n">
        <v>25</v>
      </c>
      <c r="AB28" s="165" t="n">
        <f aca="false">AB27-AA28</f>
        <v>2082</v>
      </c>
      <c r="AC28" s="9" t="n">
        <f aca="false">N28+O28+P28+Q28+R28+U28+X28+AA28</f>
        <v>129.2</v>
      </c>
      <c r="AD28" s="164" t="n">
        <f aca="false">IF(L28&lt;0,L28*-1,0)</f>
        <v>0</v>
      </c>
      <c r="AE28" s="164" t="n">
        <f aca="false">AC28+AD28</f>
        <v>129.2</v>
      </c>
      <c r="AF28" s="237" t="n">
        <v>0</v>
      </c>
      <c r="AG28" s="285" t="n">
        <v>50</v>
      </c>
      <c r="AH28" s="311" t="n">
        <v>25</v>
      </c>
      <c r="AI28" s="172" t="n">
        <f aca="false">AI27+(U28*1.9835)</f>
        <v>12339.8805647</v>
      </c>
      <c r="AJ28" s="172" t="n">
        <v>0</v>
      </c>
      <c r="AK28" s="305"/>
      <c r="AL28" s="318"/>
      <c r="AM28" s="306"/>
    </row>
    <row r="29" customFormat="false" ht="12.95" hidden="false" customHeight="true" outlineLevel="0" collapsed="false">
      <c r="A29" s="172" t="n">
        <f aca="false">A28+1</f>
        <v>18</v>
      </c>
      <c r="B29" s="312" t="n">
        <v>6876.72</v>
      </c>
      <c r="C29" s="165" t="n">
        <v>206495</v>
      </c>
      <c r="D29" s="171" t="n">
        <f aca="false">C29-C28</f>
        <v>-58</v>
      </c>
      <c r="E29" s="165" t="n">
        <f aca="false">C29-152000</f>
        <v>54495</v>
      </c>
      <c r="F29" s="329" t="n">
        <f aca="false">D29/$D$2</f>
        <v>-29.2412402319133</v>
      </c>
      <c r="G29" s="164" t="n">
        <v>52</v>
      </c>
      <c r="H29" s="170" t="n">
        <v>4.6</v>
      </c>
      <c r="I29" s="164" t="n">
        <f aca="false">G29+H29</f>
        <v>56.6</v>
      </c>
      <c r="J29" s="168" t="n">
        <f aca="false">IF(L29&gt;0,L29,0)</f>
        <v>43.3587597680867</v>
      </c>
      <c r="K29" s="164" t="n">
        <f aca="false">I29+J29</f>
        <v>99.9587597680867</v>
      </c>
      <c r="L29" s="164" t="n">
        <f aca="false">F29-(I29-AC29)</f>
        <v>43.3587597680867</v>
      </c>
      <c r="M29" s="309" t="n">
        <v>5.2</v>
      </c>
      <c r="N29" s="164" t="n">
        <v>0</v>
      </c>
      <c r="O29" s="164" t="n">
        <v>0</v>
      </c>
      <c r="P29" s="284" t="n">
        <f aca="false">1.55*1.02</f>
        <v>1.581</v>
      </c>
      <c r="Q29" s="284" t="n">
        <f aca="false">2.32*1.04</f>
        <v>2.4128</v>
      </c>
      <c r="R29" s="330" t="n">
        <v>0</v>
      </c>
      <c r="S29" s="164" t="n">
        <v>99</v>
      </c>
      <c r="T29" s="164"/>
      <c r="U29" s="164" t="n">
        <f aca="false">M29-N29-O29-P29-Q29-R29+S29+T29</f>
        <v>100.2062</v>
      </c>
      <c r="V29" s="165"/>
      <c r="W29" s="165"/>
      <c r="X29" s="164"/>
      <c r="Y29" s="269"/>
      <c r="Z29" s="270"/>
      <c r="AA29" s="164" t="n">
        <v>25</v>
      </c>
      <c r="AB29" s="165" t="n">
        <f aca="false">AB28-AA29</f>
        <v>2057</v>
      </c>
      <c r="AC29" s="9" t="n">
        <f aca="false">N29+O29+P29+Q29+R29+U29+X29+AA29</f>
        <v>129.2</v>
      </c>
      <c r="AD29" s="164" t="n">
        <f aca="false">IF(L29&lt;0,L29*-1,0)</f>
        <v>0</v>
      </c>
      <c r="AE29" s="164" t="n">
        <f aca="false">AC29+AD29</f>
        <v>129.2</v>
      </c>
      <c r="AF29" s="237" t="n">
        <v>0</v>
      </c>
      <c r="AG29" s="285" t="n">
        <v>50</v>
      </c>
      <c r="AH29" s="311" t="n">
        <v>25</v>
      </c>
      <c r="AI29" s="172" t="n">
        <f aca="false">AI28+(U29*1.9835)</f>
        <v>12538.6395624</v>
      </c>
      <c r="AJ29" s="172" t="n">
        <v>0</v>
      </c>
      <c r="AK29" s="305"/>
      <c r="AL29" s="318"/>
      <c r="AM29" s="306"/>
    </row>
    <row r="30" customFormat="false" ht="12.95" hidden="false" customHeight="true" outlineLevel="0" collapsed="false">
      <c r="A30" s="172" t="n">
        <f aca="false">A29+1</f>
        <v>19</v>
      </c>
      <c r="B30" s="312" t="n">
        <v>6876.7</v>
      </c>
      <c r="C30" s="165" t="n">
        <v>206437</v>
      </c>
      <c r="D30" s="171" t="n">
        <f aca="false">C30-C29</f>
        <v>-58</v>
      </c>
      <c r="E30" s="165" t="n">
        <f aca="false">C30-152000</f>
        <v>54437</v>
      </c>
      <c r="F30" s="329" t="n">
        <f aca="false">D30/$D$2</f>
        <v>-29.2412402319133</v>
      </c>
      <c r="G30" s="164" t="n">
        <v>64</v>
      </c>
      <c r="H30" s="170" t="n">
        <v>4.5</v>
      </c>
      <c r="I30" s="164" t="n">
        <f aca="false">G30+H30</f>
        <v>68.5</v>
      </c>
      <c r="J30" s="168" t="n">
        <f aca="false">IF(L30&gt;0,L30,0)</f>
        <v>31.3587597680867</v>
      </c>
      <c r="K30" s="164" t="n">
        <f aca="false">I30+J30</f>
        <v>99.8587597680867</v>
      </c>
      <c r="L30" s="164" t="n">
        <f aca="false">F30-(I30-AC30)</f>
        <v>31.3587597680867</v>
      </c>
      <c r="M30" s="309" t="n">
        <v>5.1</v>
      </c>
      <c r="N30" s="164" t="n">
        <v>0</v>
      </c>
      <c r="O30" s="164" t="n">
        <v>0</v>
      </c>
      <c r="P30" s="284" t="n">
        <f aca="false">1.55*1.02</f>
        <v>1.581</v>
      </c>
      <c r="Q30" s="284" t="n">
        <f aca="false">2.26*1.04</f>
        <v>2.3504</v>
      </c>
      <c r="R30" s="330" t="n">
        <v>0</v>
      </c>
      <c r="S30" s="164" t="n">
        <v>99</v>
      </c>
      <c r="T30" s="164"/>
      <c r="U30" s="164" t="n">
        <f aca="false">M30-N30-O30-P30-Q30-R30+S30+T30</f>
        <v>100.1686</v>
      </c>
      <c r="V30" s="165"/>
      <c r="W30" s="165"/>
      <c r="X30" s="164"/>
      <c r="Y30" s="269"/>
      <c r="Z30" s="270"/>
      <c r="AA30" s="164" t="n">
        <v>25</v>
      </c>
      <c r="AB30" s="165" t="n">
        <f aca="false">AB29-AA30</f>
        <v>2032</v>
      </c>
      <c r="AC30" s="9" t="n">
        <f aca="false">N30+O30+P30+Q30+R30+U30+X30+AA30</f>
        <v>129.1</v>
      </c>
      <c r="AD30" s="164" t="n">
        <f aca="false">IF(L30&lt;0,L30*-1,0)</f>
        <v>0</v>
      </c>
      <c r="AE30" s="164" t="n">
        <f aca="false">AC30+AD30</f>
        <v>129.1</v>
      </c>
      <c r="AF30" s="237" t="n">
        <v>0</v>
      </c>
      <c r="AG30" s="285" t="n">
        <v>52</v>
      </c>
      <c r="AH30" s="311" t="n">
        <v>26</v>
      </c>
      <c r="AI30" s="172" t="n">
        <f aca="false">AI29+(U30*1.9835)</f>
        <v>12737.3239805</v>
      </c>
      <c r="AJ30" s="172" t="n">
        <v>0</v>
      </c>
      <c r="AK30" s="305"/>
      <c r="AL30" s="318"/>
      <c r="AM30" s="306"/>
    </row>
    <row r="31" customFormat="false" ht="12.95" hidden="false" customHeight="true" outlineLevel="0" collapsed="false">
      <c r="A31" s="172" t="n">
        <f aca="false">A30+1</f>
        <v>20</v>
      </c>
      <c r="B31" s="312" t="n">
        <v>6876.68</v>
      </c>
      <c r="C31" s="165" t="n">
        <v>206379</v>
      </c>
      <c r="D31" s="171" t="n">
        <f aca="false">C31-C30</f>
        <v>-58</v>
      </c>
      <c r="E31" s="165" t="n">
        <f aca="false">C31-152000</f>
        <v>54379</v>
      </c>
      <c r="F31" s="329" t="n">
        <f aca="false">D31/$D$2</f>
        <v>-29.2412402319133</v>
      </c>
      <c r="G31" s="164" t="n">
        <v>74</v>
      </c>
      <c r="H31" s="170" t="n">
        <v>4.5</v>
      </c>
      <c r="I31" s="164" t="n">
        <f aca="false">G31+H31</f>
        <v>78.5</v>
      </c>
      <c r="J31" s="168" t="n">
        <f aca="false">IF(L31&gt;0,L31,0)</f>
        <v>21.2587597680867</v>
      </c>
      <c r="K31" s="164" t="n">
        <f aca="false">I31+J31</f>
        <v>99.7587597680867</v>
      </c>
      <c r="L31" s="164" t="n">
        <f aca="false">F31-(I31-AC31)</f>
        <v>21.2587597680867</v>
      </c>
      <c r="M31" s="309" t="n">
        <v>5</v>
      </c>
      <c r="N31" s="164" t="n">
        <v>0</v>
      </c>
      <c r="O31" s="164" t="n">
        <v>0</v>
      </c>
      <c r="P31" s="284" t="n">
        <f aca="false">1.55*1.02</f>
        <v>1.581</v>
      </c>
      <c r="Q31" s="284" t="n">
        <f aca="false">2.8*1.04</f>
        <v>2.912</v>
      </c>
      <c r="R31" s="330" t="n">
        <v>0</v>
      </c>
      <c r="S31" s="164" t="n">
        <v>99</v>
      </c>
      <c r="T31" s="164"/>
      <c r="U31" s="164" t="n">
        <f aca="false">M31-N31-O31-P31-Q31-R31+S31+T31</f>
        <v>99.507</v>
      </c>
      <c r="V31" s="165"/>
      <c r="W31" s="165"/>
      <c r="X31" s="164"/>
      <c r="Y31" s="269"/>
      <c r="Z31" s="270"/>
      <c r="AA31" s="164" t="n">
        <v>25</v>
      </c>
      <c r="AB31" s="165" t="n">
        <f aca="false">AB30-AA31</f>
        <v>2007</v>
      </c>
      <c r="AC31" s="9" t="n">
        <f aca="false">N31+O31+P31+Q31+R31+U31+X31+AA31</f>
        <v>129</v>
      </c>
      <c r="AD31" s="164" t="n">
        <f aca="false">IF(L31&lt;0,L31*-1,0)</f>
        <v>0</v>
      </c>
      <c r="AE31" s="164" t="n">
        <f aca="false">AC31+AD31</f>
        <v>129</v>
      </c>
      <c r="AF31" s="237" t="n">
        <v>0</v>
      </c>
      <c r="AG31" s="285" t="n">
        <v>55</v>
      </c>
      <c r="AH31" s="311" t="n">
        <v>28</v>
      </c>
      <c r="AI31" s="172" t="n">
        <f aca="false">AI30+(U31*1.9835)</f>
        <v>12934.696115</v>
      </c>
      <c r="AJ31" s="172" t="n">
        <v>0</v>
      </c>
      <c r="AK31" s="305"/>
      <c r="AL31" s="318"/>
      <c r="AM31" s="306"/>
    </row>
    <row r="32" customFormat="false" ht="12.95" hidden="false" customHeight="true" outlineLevel="0" collapsed="false">
      <c r="A32" s="172" t="n">
        <f aca="false">A31+1</f>
        <v>21</v>
      </c>
      <c r="B32" s="312" t="n">
        <v>6876.66</v>
      </c>
      <c r="C32" s="165" t="n">
        <v>206321</v>
      </c>
      <c r="D32" s="171" t="n">
        <f aca="false">C32-C31</f>
        <v>-58</v>
      </c>
      <c r="E32" s="165" t="n">
        <f aca="false">C32-152000</f>
        <v>54321</v>
      </c>
      <c r="F32" s="329" t="n">
        <f aca="false">D32/$D$2</f>
        <v>-29.2412402319133</v>
      </c>
      <c r="G32" s="164" t="n">
        <v>81</v>
      </c>
      <c r="H32" s="170" t="n">
        <v>4.5</v>
      </c>
      <c r="I32" s="164" t="n">
        <f aca="false">G32+H32</f>
        <v>85.5</v>
      </c>
      <c r="J32" s="168" t="n">
        <f aca="false">IF(L32&gt;0,L32,0)</f>
        <v>14.4587597680867</v>
      </c>
      <c r="K32" s="164" t="n">
        <f aca="false">I32+J32</f>
        <v>99.9587597680867</v>
      </c>
      <c r="L32" s="164" t="n">
        <f aca="false">F32-(I32-AC32)</f>
        <v>14.4587597680867</v>
      </c>
      <c r="M32" s="309" t="n">
        <v>5.2</v>
      </c>
      <c r="N32" s="164" t="n">
        <v>0</v>
      </c>
      <c r="O32" s="164" t="n">
        <v>0</v>
      </c>
      <c r="P32" s="284" t="n">
        <f aca="false">1.55*1.02</f>
        <v>1.581</v>
      </c>
      <c r="Q32" s="284" t="n">
        <f aca="false">3.3*1.04</f>
        <v>3.432</v>
      </c>
      <c r="R32" s="330" t="n">
        <v>0</v>
      </c>
      <c r="S32" s="164" t="n">
        <v>99</v>
      </c>
      <c r="T32" s="164"/>
      <c r="U32" s="164" t="n">
        <f aca="false">M32-N32-O32-P32-Q32-R32+S32+T32</f>
        <v>99.187</v>
      </c>
      <c r="V32" s="165"/>
      <c r="W32" s="165"/>
      <c r="X32" s="164"/>
      <c r="Y32" s="269"/>
      <c r="Z32" s="270"/>
      <c r="AA32" s="164" t="n">
        <v>25</v>
      </c>
      <c r="AB32" s="165" t="n">
        <f aca="false">AB31-AA32</f>
        <v>1982</v>
      </c>
      <c r="AC32" s="9" t="n">
        <f aca="false">N32+O32+P32+Q32+R32+U32+X32+AA32</f>
        <v>129.2</v>
      </c>
      <c r="AD32" s="164" t="n">
        <f aca="false">IF(L32&lt;0,L32*-1,0)</f>
        <v>0</v>
      </c>
      <c r="AE32" s="164" t="n">
        <f aca="false">AC32+AD32</f>
        <v>129.2</v>
      </c>
      <c r="AF32" s="237" t="n">
        <v>0</v>
      </c>
      <c r="AG32" s="171" t="n">
        <v>58</v>
      </c>
      <c r="AH32" s="311" t="n">
        <v>29</v>
      </c>
      <c r="AI32" s="172" t="n">
        <f aca="false">AI31+(U32*1.9835)</f>
        <v>13131.4335295</v>
      </c>
      <c r="AJ32" s="172" t="n">
        <v>0</v>
      </c>
      <c r="AK32" s="305"/>
      <c r="AL32" s="318"/>
      <c r="AM32" s="306"/>
    </row>
    <row r="33" customFormat="false" ht="12.95" hidden="false" customHeight="true" outlineLevel="0" collapsed="false">
      <c r="A33" s="172" t="n">
        <f aca="false">A32+1</f>
        <v>22</v>
      </c>
      <c r="B33" s="312" t="n">
        <v>6876.64</v>
      </c>
      <c r="C33" s="165" t="n">
        <v>206264</v>
      </c>
      <c r="D33" s="171" t="n">
        <f aca="false">C33-C32</f>
        <v>-57</v>
      </c>
      <c r="E33" s="165" t="n">
        <f aca="false">C33-152000</f>
        <v>54264</v>
      </c>
      <c r="F33" s="329" t="n">
        <f aca="false">D33/$D$2</f>
        <v>-28.7370809175699</v>
      </c>
      <c r="G33" s="164" t="n">
        <v>81</v>
      </c>
      <c r="H33" s="170" t="n">
        <v>4.5</v>
      </c>
      <c r="I33" s="164" t="n">
        <f aca="false">G33+H33</f>
        <v>85.5</v>
      </c>
      <c r="J33" s="168" t="n">
        <f aca="false">IF(L33&gt;0,L33,0)</f>
        <v>14.96291908243</v>
      </c>
      <c r="K33" s="164" t="n">
        <f aca="false">I33+J33</f>
        <v>100.46291908243</v>
      </c>
      <c r="L33" s="164" t="n">
        <f aca="false">F33-(I33-AC33)</f>
        <v>14.96291908243</v>
      </c>
      <c r="M33" s="309" t="n">
        <v>5.2</v>
      </c>
      <c r="N33" s="164" t="n">
        <v>0</v>
      </c>
      <c r="O33" s="164" t="n">
        <v>0</v>
      </c>
      <c r="P33" s="284" t="n">
        <f aca="false">1.55*1.02</f>
        <v>1.581</v>
      </c>
      <c r="Q33" s="284" t="n">
        <f aca="false">2.61*1.04</f>
        <v>2.7144</v>
      </c>
      <c r="R33" s="330" t="n">
        <v>0</v>
      </c>
      <c r="S33" s="164" t="n">
        <v>99</v>
      </c>
      <c r="T33" s="164"/>
      <c r="U33" s="164" t="n">
        <f aca="false">M33-N33-O33-P33-Q33-R33+S33+T33</f>
        <v>99.9046</v>
      </c>
      <c r="V33" s="165"/>
      <c r="W33" s="165"/>
      <c r="X33" s="164"/>
      <c r="Y33" s="269"/>
      <c r="Z33" s="270"/>
      <c r="AA33" s="164" t="n">
        <v>25</v>
      </c>
      <c r="AB33" s="165" t="n">
        <f aca="false">AB32-AA33</f>
        <v>1957</v>
      </c>
      <c r="AC33" s="9" t="n">
        <f aca="false">N33+O33+P33+Q33+R33+U33+X33+AA33</f>
        <v>129.2</v>
      </c>
      <c r="AD33" s="164" t="n">
        <f aca="false">IF(L33&lt;0,L33*-1,0)</f>
        <v>0</v>
      </c>
      <c r="AE33" s="164" t="n">
        <f aca="false">AC33+AD33</f>
        <v>129.2</v>
      </c>
      <c r="AF33" s="237" t="n">
        <v>0</v>
      </c>
      <c r="AG33" s="171" t="n">
        <v>53</v>
      </c>
      <c r="AH33" s="311" t="n">
        <v>29</v>
      </c>
      <c r="AI33" s="172" t="n">
        <f aca="false">AI32+(U33*1.9835)</f>
        <v>13329.5943036</v>
      </c>
      <c r="AJ33" s="172" t="n">
        <v>0</v>
      </c>
      <c r="AK33" s="305"/>
      <c r="AL33" s="318"/>
      <c r="AM33" s="306"/>
    </row>
    <row r="34" customFormat="false" ht="12.95" hidden="false" customHeight="true" outlineLevel="0" collapsed="false">
      <c r="A34" s="172" t="n">
        <f aca="false">A33+1</f>
        <v>23</v>
      </c>
      <c r="B34" s="312" t="n">
        <v>6876.63</v>
      </c>
      <c r="C34" s="165" t="n">
        <v>206235</v>
      </c>
      <c r="D34" s="171" t="n">
        <f aca="false">C34-C33</f>
        <v>-29</v>
      </c>
      <c r="E34" s="165" t="n">
        <f aca="false">C34-152000</f>
        <v>54235</v>
      </c>
      <c r="F34" s="329" t="n">
        <f aca="false">D34/$D$2</f>
        <v>-14.6206201159566</v>
      </c>
      <c r="G34" s="164" t="n">
        <v>88</v>
      </c>
      <c r="H34" s="170" t="n">
        <v>4.5</v>
      </c>
      <c r="I34" s="164" t="n">
        <f aca="false">G34+H34</f>
        <v>92.5</v>
      </c>
      <c r="J34" s="168" t="n">
        <f aca="false">IF(L34&gt;0,L34,0)</f>
        <v>22.0793798840433</v>
      </c>
      <c r="K34" s="164" t="n">
        <f aca="false">I34+J34</f>
        <v>114.579379884043</v>
      </c>
      <c r="L34" s="164" t="n">
        <f aca="false">F34-(I34-AC34)</f>
        <v>22.0793798840433</v>
      </c>
      <c r="M34" s="309" t="n">
        <v>5.2</v>
      </c>
      <c r="N34" s="164" t="n">
        <v>0</v>
      </c>
      <c r="O34" s="164" t="n">
        <v>0</v>
      </c>
      <c r="P34" s="284" t="n">
        <f aca="false">1.55*1.02</f>
        <v>1.581</v>
      </c>
      <c r="Q34" s="284" t="n">
        <f aca="false">2.24*1.04</f>
        <v>2.3296</v>
      </c>
      <c r="R34" s="330" t="n">
        <v>0</v>
      </c>
      <c r="S34" s="164" t="n">
        <v>99</v>
      </c>
      <c r="T34" s="164"/>
      <c r="U34" s="164" t="n">
        <f aca="false">M34-N34-O34-P34-Q34-R34+S34+T34</f>
        <v>100.2894</v>
      </c>
      <c r="V34" s="165"/>
      <c r="W34" s="165"/>
      <c r="X34" s="164"/>
      <c r="Y34" s="269"/>
      <c r="Z34" s="270"/>
      <c r="AA34" s="164" t="n">
        <v>25</v>
      </c>
      <c r="AB34" s="165" t="n">
        <f aca="false">AB33-AA34</f>
        <v>1932</v>
      </c>
      <c r="AC34" s="9" t="n">
        <f aca="false">N34+O34+P34+Q34+R34+U34+X34+AA34</f>
        <v>129.2</v>
      </c>
      <c r="AD34" s="164" t="n">
        <f aca="false">IF(L34&lt;0,L34*-1,0)</f>
        <v>0</v>
      </c>
      <c r="AE34" s="164" t="n">
        <f aca="false">AC34+AD34</f>
        <v>129.2</v>
      </c>
      <c r="AF34" s="237" t="n">
        <v>0</v>
      </c>
      <c r="AG34" s="171" t="n">
        <v>52</v>
      </c>
      <c r="AH34" s="332" t="n">
        <v>28</v>
      </c>
      <c r="AI34" s="172" t="n">
        <f aca="false">AI33+(U34*1.9835)</f>
        <v>13528.5183285</v>
      </c>
      <c r="AJ34" s="172" t="n">
        <v>0</v>
      </c>
      <c r="AK34" s="305"/>
      <c r="AL34" s="318"/>
      <c r="AM34" s="306"/>
    </row>
    <row r="35" customFormat="false" ht="12.95" hidden="false" customHeight="true" outlineLevel="0" collapsed="false">
      <c r="A35" s="172" t="n">
        <f aca="false">A34+1</f>
        <v>24</v>
      </c>
      <c r="B35" s="312" t="n">
        <v>6876.63</v>
      </c>
      <c r="C35" s="165" t="n">
        <v>206235</v>
      </c>
      <c r="D35" s="171" t="n">
        <f aca="false">C35-C34</f>
        <v>0</v>
      </c>
      <c r="E35" s="165" t="n">
        <f aca="false">C35-152000</f>
        <v>54235</v>
      </c>
      <c r="F35" s="329" t="n">
        <f aca="false">D35/$D$2</f>
        <v>0</v>
      </c>
      <c r="G35" s="164" t="n">
        <v>94</v>
      </c>
      <c r="H35" s="170" t="n">
        <v>4.8</v>
      </c>
      <c r="I35" s="164" t="n">
        <f aca="false">G35+H35</f>
        <v>98.8</v>
      </c>
      <c r="J35" s="168" t="n">
        <f aca="false">IF(L35&gt;0,L35,0)</f>
        <v>30.2</v>
      </c>
      <c r="K35" s="164" t="n">
        <f aca="false">I35+J35</f>
        <v>129</v>
      </c>
      <c r="L35" s="164" t="n">
        <f aca="false">F35-(I35-AC35)</f>
        <v>30.2</v>
      </c>
      <c r="M35" s="309" t="n">
        <v>5</v>
      </c>
      <c r="N35" s="164" t="n">
        <v>0</v>
      </c>
      <c r="O35" s="164" t="n">
        <v>0</v>
      </c>
      <c r="P35" s="284" t="n">
        <f aca="false">1.55*1.02</f>
        <v>1.581</v>
      </c>
      <c r="Q35" s="284" t="n">
        <f aca="false">2.54*1.04</f>
        <v>2.6416</v>
      </c>
      <c r="R35" s="330" t="n">
        <v>0</v>
      </c>
      <c r="S35" s="164" t="n">
        <v>99</v>
      </c>
      <c r="T35" s="164"/>
      <c r="U35" s="164" t="n">
        <f aca="false">M35-N35-O35-P35-Q35-R35+S35+T35</f>
        <v>99.7774</v>
      </c>
      <c r="V35" s="165"/>
      <c r="W35" s="165"/>
      <c r="X35" s="164"/>
      <c r="Y35" s="269"/>
      <c r="Z35" s="270"/>
      <c r="AA35" s="164" t="n">
        <v>25</v>
      </c>
      <c r="AB35" s="165" t="n">
        <f aca="false">AB34-AA35</f>
        <v>1907</v>
      </c>
      <c r="AC35" s="9" t="n">
        <f aca="false">N35+O35+P35+Q35+R35+U35+X35+AA35</f>
        <v>129</v>
      </c>
      <c r="AD35" s="164" t="n">
        <f aca="false">IF(L35&lt;0,L35*-1,0)</f>
        <v>0</v>
      </c>
      <c r="AE35" s="164" t="n">
        <f aca="false">AC35+AD35</f>
        <v>129</v>
      </c>
      <c r="AF35" s="237" t="n">
        <v>0</v>
      </c>
      <c r="AG35" s="171" t="n">
        <v>50</v>
      </c>
      <c r="AH35" s="332" t="n">
        <v>27</v>
      </c>
      <c r="AI35" s="172" t="n">
        <f aca="false">AI34+(U35*1.9835)</f>
        <v>13726.4268014</v>
      </c>
      <c r="AJ35" s="172" t="n">
        <v>0</v>
      </c>
      <c r="AK35" s="305"/>
      <c r="AL35" s="318"/>
      <c r="AM35" s="306"/>
    </row>
    <row r="36" customFormat="false" ht="12.95" hidden="false" customHeight="true" outlineLevel="0" collapsed="false">
      <c r="A36" s="172" t="n">
        <f aca="false">A35+1</f>
        <v>25</v>
      </c>
      <c r="B36" s="312" t="n">
        <v>6876.61</v>
      </c>
      <c r="C36" s="165" t="n">
        <v>206177</v>
      </c>
      <c r="D36" s="171" t="n">
        <f aca="false">C36-C35</f>
        <v>-58</v>
      </c>
      <c r="E36" s="165" t="n">
        <f aca="false">C36-152000</f>
        <v>54177</v>
      </c>
      <c r="F36" s="329" t="n">
        <f aca="false">D36/$D$2</f>
        <v>-29.2412402319133</v>
      </c>
      <c r="G36" s="164" t="n">
        <v>94</v>
      </c>
      <c r="H36" s="170" t="n">
        <v>5.1</v>
      </c>
      <c r="I36" s="164" t="n">
        <f aca="false">G36+H36</f>
        <v>99.1</v>
      </c>
      <c r="J36" s="168" t="n">
        <f aca="false">IF(L36&gt;0,L36,0)</f>
        <v>0.558759768086699</v>
      </c>
      <c r="K36" s="164" t="n">
        <f aca="false">I36+J36</f>
        <v>99.6587597680867</v>
      </c>
      <c r="L36" s="164" t="n">
        <f aca="false">F36-(I36-AC36)</f>
        <v>0.558759768086699</v>
      </c>
      <c r="M36" s="309" t="n">
        <v>4.9</v>
      </c>
      <c r="N36" s="164" t="n">
        <v>0</v>
      </c>
      <c r="O36" s="164" t="n">
        <v>0</v>
      </c>
      <c r="P36" s="284" t="n">
        <f aca="false">1.55*1.02</f>
        <v>1.581</v>
      </c>
      <c r="Q36" s="284" t="n">
        <f aca="false">2.56*1.04</f>
        <v>2.6624</v>
      </c>
      <c r="R36" s="330" t="n">
        <v>0</v>
      </c>
      <c r="S36" s="164" t="n">
        <v>99</v>
      </c>
      <c r="T36" s="164"/>
      <c r="U36" s="164" t="n">
        <f aca="false">M36-N36-O36-P36-Q36-R36+S36+T36</f>
        <v>99.6566</v>
      </c>
      <c r="V36" s="165"/>
      <c r="W36" s="165"/>
      <c r="X36" s="164"/>
      <c r="Y36" s="269"/>
      <c r="Z36" s="270"/>
      <c r="AA36" s="164" t="n">
        <v>25</v>
      </c>
      <c r="AB36" s="165" t="n">
        <f aca="false">AB35-AA36</f>
        <v>1882</v>
      </c>
      <c r="AC36" s="9" t="n">
        <f aca="false">N36+O36+P36+Q36+R36+U36+X36+AA36</f>
        <v>128.9</v>
      </c>
      <c r="AD36" s="164" t="n">
        <f aca="false">IF(L36&lt;0,L36*-1,0)</f>
        <v>0</v>
      </c>
      <c r="AE36" s="164" t="n">
        <f aca="false">AC36+AD36</f>
        <v>128.9</v>
      </c>
      <c r="AF36" s="237" t="n">
        <v>0</v>
      </c>
      <c r="AG36" s="171" t="n">
        <v>48</v>
      </c>
      <c r="AH36" s="332" t="n">
        <v>29</v>
      </c>
      <c r="AI36" s="172" t="n">
        <f aca="false">AI35+(U36*1.9835)</f>
        <v>13924.0956675</v>
      </c>
      <c r="AJ36" s="172" t="n">
        <v>0</v>
      </c>
      <c r="AK36" s="305"/>
      <c r="AL36" s="318"/>
      <c r="AM36" s="306"/>
    </row>
    <row r="37" customFormat="false" ht="12.95" hidden="false" customHeight="true" outlineLevel="0" collapsed="false">
      <c r="A37" s="172" t="n">
        <f aca="false">A36+1</f>
        <v>26</v>
      </c>
      <c r="B37" s="312" t="n">
        <v>6876.63</v>
      </c>
      <c r="C37" s="165" t="n">
        <v>206235</v>
      </c>
      <c r="D37" s="171" t="n">
        <f aca="false">C37-C36</f>
        <v>58</v>
      </c>
      <c r="E37" s="165" t="n">
        <f aca="false">C37-152000</f>
        <v>54235</v>
      </c>
      <c r="F37" s="329" t="n">
        <f aca="false">D37/$D$2</f>
        <v>29.2412402319133</v>
      </c>
      <c r="G37" s="164" t="n">
        <v>94</v>
      </c>
      <c r="H37" s="170" t="n">
        <v>5.5</v>
      </c>
      <c r="I37" s="164" t="n">
        <f aca="false">G37+H37</f>
        <v>99.5</v>
      </c>
      <c r="J37" s="168" t="n">
        <f aca="false">IF(L37&gt;0,L37,0)</f>
        <v>58.6412402319133</v>
      </c>
      <c r="K37" s="164" t="n">
        <f aca="false">I37+J37</f>
        <v>158.141240231913</v>
      </c>
      <c r="L37" s="164" t="n">
        <f aca="false">F37-(I37-AC37)</f>
        <v>58.6412402319133</v>
      </c>
      <c r="M37" s="309" t="n">
        <v>4.9</v>
      </c>
      <c r="N37" s="164" t="n">
        <v>0</v>
      </c>
      <c r="O37" s="164" t="n">
        <v>0</v>
      </c>
      <c r="P37" s="284" t="n">
        <f aca="false">1.55*1.02</f>
        <v>1.581</v>
      </c>
      <c r="Q37" s="284" t="n">
        <f aca="false">2.37*1.04</f>
        <v>2.4648</v>
      </c>
      <c r="R37" s="330" t="n">
        <v>0</v>
      </c>
      <c r="S37" s="164" t="n">
        <v>99</v>
      </c>
      <c r="T37" s="164"/>
      <c r="U37" s="164" t="n">
        <f aca="false">M37-N37-O37-P37-Q37-R37+S37+T37</f>
        <v>99.8542</v>
      </c>
      <c r="V37" s="165"/>
      <c r="W37" s="165"/>
      <c r="X37" s="164"/>
      <c r="Y37" s="269"/>
      <c r="Z37" s="270"/>
      <c r="AA37" s="164" t="n">
        <v>25</v>
      </c>
      <c r="AB37" s="165" t="n">
        <f aca="false">AB36-AA37</f>
        <v>1857</v>
      </c>
      <c r="AC37" s="9" t="n">
        <f aca="false">N37+O37+P37+Q37+R37+U37+X37+AA37</f>
        <v>128.9</v>
      </c>
      <c r="AD37" s="164" t="n">
        <f aca="false">IF(L37&lt;0,L37*-1,0)</f>
        <v>0</v>
      </c>
      <c r="AE37" s="164" t="n">
        <f aca="false">AC37+AD37</f>
        <v>128.9</v>
      </c>
      <c r="AF37" s="237" t="n">
        <v>0.18</v>
      </c>
      <c r="AG37" s="171" t="n">
        <v>48</v>
      </c>
      <c r="AH37" s="311" t="n">
        <v>30</v>
      </c>
      <c r="AI37" s="172" t="n">
        <f aca="false">AI36+(U37*1.9835)</f>
        <v>14122.1564732</v>
      </c>
      <c r="AJ37" s="172" t="n">
        <v>0</v>
      </c>
      <c r="AK37" s="305"/>
      <c r="AL37" s="318"/>
      <c r="AM37" s="306"/>
    </row>
    <row r="38" customFormat="false" ht="12.95" hidden="false" customHeight="true" outlineLevel="0" collapsed="false">
      <c r="A38" s="172" t="n">
        <f aca="false">A37+1</f>
        <v>27</v>
      </c>
      <c r="B38" s="312" t="n">
        <v>6876.74</v>
      </c>
      <c r="C38" s="165" t="n">
        <v>206553</v>
      </c>
      <c r="D38" s="171" t="n">
        <f aca="false">C38-C37</f>
        <v>318</v>
      </c>
      <c r="E38" s="165" t="n">
        <f aca="false">C38-152000</f>
        <v>54553</v>
      </c>
      <c r="F38" s="329" t="n">
        <f aca="false">D38/$D$2</f>
        <v>160.32266196118</v>
      </c>
      <c r="G38" s="164" t="n">
        <v>84</v>
      </c>
      <c r="H38" s="170" t="n">
        <v>5.8</v>
      </c>
      <c r="I38" s="164" t="n">
        <f aca="false">G38+H38</f>
        <v>89.8</v>
      </c>
      <c r="J38" s="168" t="n">
        <f aca="false">IF(L38&gt;0,L38,0)</f>
        <v>144.22266196118</v>
      </c>
      <c r="K38" s="164" t="n">
        <f aca="false">I38+J38</f>
        <v>234.02266196118</v>
      </c>
      <c r="L38" s="164" t="n">
        <f aca="false">F38-(I38-AC38)</f>
        <v>144.22266196118</v>
      </c>
      <c r="M38" s="309" t="n">
        <v>4.7</v>
      </c>
      <c r="N38" s="164" t="n">
        <v>0</v>
      </c>
      <c r="O38" s="164" t="n">
        <v>0</v>
      </c>
      <c r="P38" s="284" t="n">
        <f aca="false">1.55*1.02</f>
        <v>1.581</v>
      </c>
      <c r="Q38" s="284" t="n">
        <f aca="false">2.69*1.04</f>
        <v>2.7976</v>
      </c>
      <c r="R38" s="330" t="n">
        <v>0</v>
      </c>
      <c r="S38" s="164" t="n">
        <v>44</v>
      </c>
      <c r="T38" s="164"/>
      <c r="U38" s="164" t="n">
        <f aca="false">M38-N38-O38-P38-Q38-R38+S38+T38</f>
        <v>44.3214</v>
      </c>
      <c r="V38" s="165"/>
      <c r="W38" s="165"/>
      <c r="X38" s="164"/>
      <c r="Y38" s="269"/>
      <c r="Z38" s="270"/>
      <c r="AA38" s="164" t="n">
        <v>25</v>
      </c>
      <c r="AB38" s="165" t="n">
        <f aca="false">AB37-AA38</f>
        <v>1832</v>
      </c>
      <c r="AC38" s="9" t="n">
        <f aca="false">N38+O38+P38+Q38+R38+U38+X38+AA38</f>
        <v>73.7</v>
      </c>
      <c r="AD38" s="164" t="n">
        <f aca="false">IF(L38&lt;0,L38*-1,0)</f>
        <v>0</v>
      </c>
      <c r="AE38" s="164" t="n">
        <f aca="false">AC38+AD38</f>
        <v>73.7</v>
      </c>
      <c r="AF38" s="237" t="n">
        <v>0.19</v>
      </c>
      <c r="AG38" s="171" t="n">
        <v>43</v>
      </c>
      <c r="AH38" s="311" t="n">
        <v>31</v>
      </c>
      <c r="AI38" s="172" t="n">
        <f aca="false">AI37+(U38*1.9835)</f>
        <v>14210.0679701</v>
      </c>
      <c r="AJ38" s="172" t="n">
        <v>0</v>
      </c>
      <c r="AK38" s="305"/>
      <c r="AL38" s="318"/>
      <c r="AM38" s="306"/>
    </row>
    <row r="39" customFormat="false" ht="12.95" hidden="false" customHeight="true" outlineLevel="0" collapsed="false">
      <c r="A39" s="172" t="n">
        <f aca="false">A38+1</f>
        <v>28</v>
      </c>
      <c r="B39" s="312" t="n">
        <v>6876.83</v>
      </c>
      <c r="C39" s="165" t="n">
        <v>206803</v>
      </c>
      <c r="D39" s="171" t="n">
        <f aca="false">C39-C38</f>
        <v>250</v>
      </c>
      <c r="E39" s="165" t="n">
        <f aca="false">C39-152000</f>
        <v>54803</v>
      </c>
      <c r="F39" s="329" t="n">
        <f aca="false">D39/$D$2</f>
        <v>126.039828585833</v>
      </c>
      <c r="G39" s="164" t="n">
        <v>74</v>
      </c>
      <c r="H39" s="170" t="n">
        <v>6.5</v>
      </c>
      <c r="I39" s="164" t="n">
        <f aca="false">G39+H39</f>
        <v>80.5</v>
      </c>
      <c r="J39" s="168" t="n">
        <f aca="false">IF(L39&gt;0,L39,0)</f>
        <v>75.9398285858331</v>
      </c>
      <c r="K39" s="164" t="n">
        <f aca="false">I39+J39</f>
        <v>156.439828585833</v>
      </c>
      <c r="L39" s="164" t="n">
        <f aca="false">F39-(I39-AC39)</f>
        <v>75.9398285858331</v>
      </c>
      <c r="M39" s="309" t="n">
        <v>4.4</v>
      </c>
      <c r="N39" s="164" t="n">
        <v>0</v>
      </c>
      <c r="O39" s="164" t="n">
        <v>0</v>
      </c>
      <c r="P39" s="284" t="n">
        <f aca="false">1.55*1.02</f>
        <v>1.581</v>
      </c>
      <c r="Q39" s="284" t="n">
        <f aca="false">2.4*1.04</f>
        <v>2.496</v>
      </c>
      <c r="R39" s="330" t="n">
        <v>0</v>
      </c>
      <c r="S39" s="164" t="n">
        <v>0</v>
      </c>
      <c r="T39" s="164"/>
      <c r="U39" s="164" t="n">
        <f aca="false">M39-N39-O39-P39-Q39-R39+S39+T39</f>
        <v>0.323</v>
      </c>
      <c r="V39" s="165"/>
      <c r="W39" s="165"/>
      <c r="X39" s="164"/>
      <c r="Y39" s="269"/>
      <c r="Z39" s="270"/>
      <c r="AA39" s="164" t="n">
        <v>26</v>
      </c>
      <c r="AB39" s="165" t="n">
        <f aca="false">AB38-AA39</f>
        <v>1806</v>
      </c>
      <c r="AC39" s="9" t="n">
        <f aca="false">N39+O39+P39+Q39+R39+U39+X39+AA39</f>
        <v>30.4</v>
      </c>
      <c r="AD39" s="164" t="n">
        <f aca="false">IF(L39&lt;0,L39*-1,0)</f>
        <v>0</v>
      </c>
      <c r="AE39" s="164" t="n">
        <f aca="false">AC39+AD39</f>
        <v>30.4</v>
      </c>
      <c r="AF39" s="237" t="n">
        <v>0.02</v>
      </c>
      <c r="AG39" s="171" t="n">
        <v>38</v>
      </c>
      <c r="AH39" s="311" t="n">
        <v>28</v>
      </c>
      <c r="AI39" s="172" t="n">
        <f aca="false">AI38+(U39*1.9835)</f>
        <v>14210.7086406</v>
      </c>
      <c r="AJ39" s="172" t="n">
        <v>0</v>
      </c>
      <c r="AK39" s="305"/>
      <c r="AL39" s="318"/>
      <c r="AM39" s="306"/>
    </row>
    <row r="40" customFormat="false" ht="12.95" hidden="false" customHeight="true" outlineLevel="0" collapsed="false">
      <c r="A40" s="172" t="n">
        <f aca="false">A39+1</f>
        <v>29</v>
      </c>
      <c r="B40" s="312" t="n">
        <v>6876.9</v>
      </c>
      <c r="C40" s="165" t="n">
        <v>207015</v>
      </c>
      <c r="D40" s="171" t="n">
        <f aca="false">C40-C39</f>
        <v>212</v>
      </c>
      <c r="E40" s="165" t="n">
        <f aca="false">C40-152000</f>
        <v>55015</v>
      </c>
      <c r="F40" s="329" t="n">
        <f aca="false">D40/$D$2</f>
        <v>106.881774640787</v>
      </c>
      <c r="G40" s="164" t="n">
        <v>73</v>
      </c>
      <c r="H40" s="170" t="n">
        <v>5.5</v>
      </c>
      <c r="I40" s="164" t="n">
        <f aca="false">G40+H40</f>
        <v>78.5</v>
      </c>
      <c r="J40" s="168" t="n">
        <f aca="false">IF(L40&gt;0,L40,0)</f>
        <v>58.6817746407865</v>
      </c>
      <c r="K40" s="164" t="n">
        <f aca="false">I40+J40</f>
        <v>137.181774640787</v>
      </c>
      <c r="L40" s="164" t="n">
        <f aca="false">F40-(I40-AC40)</f>
        <v>58.6817746407865</v>
      </c>
      <c r="M40" s="309" t="n">
        <v>4.3</v>
      </c>
      <c r="N40" s="164" t="n">
        <v>0</v>
      </c>
      <c r="O40" s="164" t="n">
        <v>0</v>
      </c>
      <c r="P40" s="284" t="n">
        <f aca="false">1.55*1.02</f>
        <v>1.581</v>
      </c>
      <c r="Q40" s="284" t="n">
        <f aca="false">3.66*1.04</f>
        <v>3.8064</v>
      </c>
      <c r="R40" s="330" t="n">
        <v>0</v>
      </c>
      <c r="S40" s="164" t="n">
        <v>0</v>
      </c>
      <c r="T40" s="164"/>
      <c r="U40" s="164" t="n">
        <f aca="false">M40-N40-O40-P40-Q40-R40+S40+T40</f>
        <v>-1.0874</v>
      </c>
      <c r="V40" s="165"/>
      <c r="W40" s="165"/>
      <c r="X40" s="164"/>
      <c r="Y40" s="269"/>
      <c r="Z40" s="270"/>
      <c r="AA40" s="164" t="n">
        <v>26</v>
      </c>
      <c r="AB40" s="165" t="n">
        <f aca="false">AB39-AA40</f>
        <v>1780</v>
      </c>
      <c r="AC40" s="9" t="n">
        <f aca="false">N40+O40+P40+Q40+R40+U40+X40+AA40</f>
        <v>30.3</v>
      </c>
      <c r="AD40" s="164" t="n">
        <f aca="false">IF(L40&lt;0,L40*-1,0)</f>
        <v>0</v>
      </c>
      <c r="AE40" s="164" t="n">
        <f aca="false">AC40+AD40</f>
        <v>30.3</v>
      </c>
      <c r="AF40" s="237" t="n">
        <v>0</v>
      </c>
      <c r="AG40" s="285" t="n">
        <v>46</v>
      </c>
      <c r="AH40" s="311" t="n">
        <v>27</v>
      </c>
      <c r="AI40" s="172" t="n">
        <f aca="false">AI39+(U40*1.9835)</f>
        <v>14208.5517827</v>
      </c>
      <c r="AJ40" s="172" t="n">
        <v>0</v>
      </c>
      <c r="AK40" s="305"/>
      <c r="AL40" s="318"/>
      <c r="AM40" s="306"/>
    </row>
    <row r="41" customFormat="false" ht="12.95" hidden="false" customHeight="true" outlineLevel="0" collapsed="false">
      <c r="A41" s="172" t="n">
        <v>30</v>
      </c>
      <c r="B41" s="312" t="n">
        <v>6876.98</v>
      </c>
      <c r="C41" s="165" t="n">
        <v>207246</v>
      </c>
      <c r="D41" s="171" t="n">
        <f aca="false">C41-C40</f>
        <v>231</v>
      </c>
      <c r="E41" s="165" t="n">
        <f aca="false">C41-152000</f>
        <v>55246</v>
      </c>
      <c r="F41" s="329" t="n">
        <f aca="false">D41/$D$2</f>
        <v>116.46080161331</v>
      </c>
      <c r="G41" s="164" t="n">
        <v>66</v>
      </c>
      <c r="H41" s="170" t="n">
        <v>5.3</v>
      </c>
      <c r="I41" s="164" t="n">
        <f aca="false">G41+H41</f>
        <v>71.3</v>
      </c>
      <c r="J41" s="168" t="n">
        <f aca="false">IF(L41&gt;0,L41,0)</f>
        <v>75.4608016133098</v>
      </c>
      <c r="K41" s="164" t="n">
        <f aca="false">I41+J41</f>
        <v>146.76080161331</v>
      </c>
      <c r="L41" s="164" t="n">
        <f aca="false">F41-(I41-AC41)</f>
        <v>75.4608016133098</v>
      </c>
      <c r="M41" s="309" t="n">
        <v>4.3</v>
      </c>
      <c r="N41" s="164" t="n">
        <v>0</v>
      </c>
      <c r="O41" s="164" t="n">
        <v>0</v>
      </c>
      <c r="P41" s="284" t="n">
        <f aca="false">1.55*1.02</f>
        <v>1.581</v>
      </c>
      <c r="Q41" s="284" t="n">
        <f aca="false">2.88*1.04</f>
        <v>2.9952</v>
      </c>
      <c r="R41" s="330" t="n">
        <v>0</v>
      </c>
      <c r="S41" s="164" t="n">
        <v>0</v>
      </c>
      <c r="T41" s="164"/>
      <c r="U41" s="164" t="n">
        <f aca="false">M41-N41-O41-P41-Q41-R41+S41+T41</f>
        <v>-0.276200000000001</v>
      </c>
      <c r="V41" s="165"/>
      <c r="W41" s="165"/>
      <c r="X41" s="164"/>
      <c r="Y41" s="269"/>
      <c r="Z41" s="270"/>
      <c r="AA41" s="164" t="n">
        <v>26</v>
      </c>
      <c r="AB41" s="165" t="n">
        <f aca="false">AB40-AA41</f>
        <v>1754</v>
      </c>
      <c r="AC41" s="9" t="n">
        <f aca="false">N41+O41+P41+Q41+R41+U41+X41+AA41</f>
        <v>30.3</v>
      </c>
      <c r="AD41" s="164" t="n">
        <f aca="false">IF(L41&lt;0,L41*-1,0)</f>
        <v>0</v>
      </c>
      <c r="AE41" s="164" t="n">
        <f aca="false">AC41+AD41</f>
        <v>30.3</v>
      </c>
      <c r="AF41" s="237" t="n">
        <v>0</v>
      </c>
      <c r="AG41" s="285" t="n">
        <v>41</v>
      </c>
      <c r="AH41" s="311" t="n">
        <v>25</v>
      </c>
      <c r="AI41" s="172" t="n">
        <f aca="false">AI40+(U41*1.9835)</f>
        <v>14208.00394</v>
      </c>
      <c r="AJ41" s="172" t="n">
        <v>0</v>
      </c>
      <c r="AK41" s="305"/>
      <c r="AL41" s="318"/>
      <c r="AM41" s="306"/>
    </row>
    <row r="42" customFormat="false" ht="12.95" hidden="false" customHeight="true" outlineLevel="0" collapsed="false">
      <c r="A42" s="172" t="n">
        <v>31</v>
      </c>
      <c r="B42" s="312" t="n">
        <v>6877.06</v>
      </c>
      <c r="C42" s="165" t="n">
        <v>207479</v>
      </c>
      <c r="D42" s="171" t="n">
        <f aca="false">C42-C41</f>
        <v>233</v>
      </c>
      <c r="E42" s="165" t="n">
        <f aca="false">C42-152000</f>
        <v>55479</v>
      </c>
      <c r="F42" s="329" t="n">
        <f aca="false">D42/$D$2</f>
        <v>117.469120241996</v>
      </c>
      <c r="G42" s="164" t="n">
        <v>65</v>
      </c>
      <c r="H42" s="170" t="n">
        <v>4.7</v>
      </c>
      <c r="I42" s="164" t="n">
        <f aca="false">G42+H42</f>
        <v>69.7</v>
      </c>
      <c r="J42" s="168" t="n">
        <f aca="false">IF(L42&gt;0,L42,0)</f>
        <v>77.0691202419965</v>
      </c>
      <c r="K42" s="164" t="n">
        <f aca="false">I42+J42</f>
        <v>146.769120241996</v>
      </c>
      <c r="L42" s="164" t="n">
        <f aca="false">F42-(I42-AC42)</f>
        <v>77.0691202419965</v>
      </c>
      <c r="M42" s="309" t="n">
        <v>4.3</v>
      </c>
      <c r="N42" s="164" t="n">
        <v>0</v>
      </c>
      <c r="O42" s="164" t="n">
        <v>0</v>
      </c>
      <c r="P42" s="284" t="n">
        <f aca="false">1.55*1.02</f>
        <v>1.581</v>
      </c>
      <c r="Q42" s="284" t="n">
        <f aca="false">2.6*1.04</f>
        <v>2.704</v>
      </c>
      <c r="R42" s="330" t="n">
        <v>0</v>
      </c>
      <c r="S42" s="164" t="n">
        <v>0</v>
      </c>
      <c r="T42" s="164"/>
      <c r="U42" s="164" t="n">
        <f aca="false">M42-N42-O42-P42-Q42-R42+S42+T42</f>
        <v>0.0149999999999992</v>
      </c>
      <c r="V42" s="165"/>
      <c r="W42" s="165"/>
      <c r="X42" s="164"/>
      <c r="Y42" s="269"/>
      <c r="Z42" s="270"/>
      <c r="AA42" s="164" t="n">
        <v>25</v>
      </c>
      <c r="AB42" s="165" t="n">
        <f aca="false">AB41-AA42</f>
        <v>1729</v>
      </c>
      <c r="AC42" s="9" t="n">
        <f aca="false">N42+O42+P42+Q42+R42+U42+X42+AA42</f>
        <v>29.3</v>
      </c>
      <c r="AD42" s="164" t="n">
        <f aca="false">IF(L42&lt;0,L42*-1,0)</f>
        <v>0</v>
      </c>
      <c r="AE42" s="164" t="n">
        <f aca="false">AC42+AD42</f>
        <v>29.3</v>
      </c>
      <c r="AF42" s="237" t="n">
        <v>0.04</v>
      </c>
      <c r="AG42" s="285" t="n">
        <v>41</v>
      </c>
      <c r="AH42" s="311" t="n">
        <v>25</v>
      </c>
      <c r="AI42" s="172" t="n">
        <f aca="false">AI41+(U42*1.9835)</f>
        <v>14208.0336925</v>
      </c>
      <c r="AJ42" s="172" t="n">
        <v>0</v>
      </c>
      <c r="AK42" s="305"/>
      <c r="AL42" s="317"/>
      <c r="AM42" s="306"/>
    </row>
    <row r="43" customFormat="false" ht="3" hidden="false" customHeight="true" outlineLevel="0" collapsed="false">
      <c r="A43" s="254"/>
      <c r="B43" s="320"/>
      <c r="C43" s="320"/>
      <c r="D43" s="254"/>
      <c r="E43" s="320"/>
      <c r="F43" s="321"/>
      <c r="G43" s="320"/>
      <c r="H43" s="322"/>
      <c r="I43" s="254"/>
      <c r="J43" s="254"/>
      <c r="K43" s="254"/>
      <c r="L43" s="254"/>
      <c r="M43" s="320"/>
      <c r="N43" s="320"/>
      <c r="O43" s="254"/>
      <c r="P43" s="254"/>
      <c r="Q43" s="254"/>
      <c r="R43" s="324"/>
      <c r="S43" s="254"/>
      <c r="T43" s="254"/>
      <c r="U43" s="254"/>
      <c r="V43" s="320"/>
      <c r="W43" s="320"/>
      <c r="X43" s="254"/>
      <c r="Y43" s="260"/>
      <c r="Z43" s="261"/>
      <c r="AA43" s="261"/>
      <c r="AB43" s="254"/>
      <c r="AC43" s="254"/>
      <c r="AD43" s="254"/>
      <c r="AE43" s="254"/>
      <c r="AF43" s="325"/>
      <c r="AG43" s="326"/>
      <c r="AH43" s="327"/>
      <c r="AI43" s="328"/>
      <c r="AJ43" s="328"/>
      <c r="AK43" s="328"/>
      <c r="AL43" s="328"/>
      <c r="AM43" s="328"/>
      <c r="AN43" s="328"/>
    </row>
    <row r="44" customFormat="false" ht="12.95" hidden="false" customHeight="true" outlineLevel="0" collapsed="false">
      <c r="A44" s="173" t="s">
        <v>75</v>
      </c>
      <c r="B44" s="307"/>
      <c r="C44" s="165"/>
      <c r="D44" s="165"/>
      <c r="E44" s="165"/>
      <c r="F44" s="308" t="n">
        <f aca="false">SUM(F12:F42)</f>
        <v>1180.74111419208</v>
      </c>
      <c r="G44" s="165" t="n">
        <f aca="false">SUM(G12:G42)</f>
        <v>2021</v>
      </c>
      <c r="H44" s="313" t="n">
        <f aca="false">SUM(H12:H42)</f>
        <v>142.6</v>
      </c>
      <c r="I44" s="165" t="n">
        <f aca="false">SUM(I12:I42)</f>
        <v>2163.6</v>
      </c>
      <c r="J44" s="165" t="n">
        <f aca="false">SUM(J12:J42)</f>
        <v>2254.89881522561</v>
      </c>
      <c r="K44" s="165" t="n">
        <f aca="false">SUM(K12:K42)</f>
        <v>4418.49881522561</v>
      </c>
      <c r="L44" s="165" t="n">
        <f aca="false">SUM(L12:L42)</f>
        <v>2250.34111419208</v>
      </c>
      <c r="M44" s="314" t="n">
        <f aca="false">SUM(M12:M42)</f>
        <v>150.2</v>
      </c>
      <c r="N44" s="165" t="n">
        <f aca="false">SUM(N12:N42)</f>
        <v>0</v>
      </c>
      <c r="O44" s="165" t="n">
        <f aca="false">SUM(O12:O42)</f>
        <v>0</v>
      </c>
      <c r="P44" s="165" t="n">
        <f aca="false">SUM(P12:P42)</f>
        <v>49.011</v>
      </c>
      <c r="Q44" s="165" t="n">
        <f aca="false">SUM(Q12:Q42)</f>
        <v>80.9416</v>
      </c>
      <c r="R44" s="310" t="n">
        <f aca="false">SUM(R12:R42)</f>
        <v>0.97</v>
      </c>
      <c r="S44" s="165" t="n">
        <f aca="false">SUM(S12:S42)</f>
        <v>2312</v>
      </c>
      <c r="T44" s="165" t="n">
        <f aca="false">SUM(T12:T42)</f>
        <v>0</v>
      </c>
      <c r="U44" s="165" t="n">
        <f aca="false">SUM(U12:U42)</f>
        <v>2331.2774</v>
      </c>
      <c r="V44" s="165"/>
      <c r="W44" s="165"/>
      <c r="X44" s="165"/>
      <c r="Y44" s="245"/>
      <c r="Z44" s="246"/>
      <c r="AA44" s="165" t="n">
        <f aca="false">SUM(AA12:AA42)</f>
        <v>771</v>
      </c>
      <c r="AB44" s="165"/>
      <c r="AC44" s="165" t="n">
        <f aca="false">SUM(AC12:AC42)</f>
        <v>3233.2</v>
      </c>
      <c r="AD44" s="165" t="n">
        <f aca="false">SUM(AD12:AD42)</f>
        <v>4.55770103352659</v>
      </c>
      <c r="AE44" s="165" t="n">
        <f aca="false">SUM(AE12:AE42)</f>
        <v>3237.75770103353</v>
      </c>
      <c r="AF44" s="237" t="n">
        <f aca="false">SUM(AF12:AF42)</f>
        <v>3.68</v>
      </c>
      <c r="AG44" s="171" t="n">
        <f aca="false">AVERAGE(AG12:AG42)</f>
        <v>43.6129032258065</v>
      </c>
      <c r="AH44" s="311" t="n">
        <f aca="false">AVERAGE(AH12:AH42)</f>
        <v>24.9435483870968</v>
      </c>
      <c r="AI44" s="172" t="s">
        <v>96</v>
      </c>
      <c r="AJ44" s="228" t="n">
        <f aca="false">SUM(AJ12:AJ42)</f>
        <v>0</v>
      </c>
      <c r="AK44" s="305"/>
      <c r="AL44" s="317"/>
      <c r="AM44" s="306"/>
    </row>
    <row r="45" customFormat="false" ht="12.95" hidden="false" customHeight="true" outlineLevel="0" collapsed="false">
      <c r="A45" s="173" t="s">
        <v>77</v>
      </c>
      <c r="B45" s="307"/>
      <c r="C45" s="165"/>
      <c r="D45" s="165" t="n">
        <f aca="false">SUM(D12:D42)</f>
        <v>2342</v>
      </c>
      <c r="E45" s="165"/>
      <c r="F45" s="308" t="n">
        <f aca="false">F44*$D$2</f>
        <v>2342</v>
      </c>
      <c r="G45" s="165" t="n">
        <f aca="false">G44*$D$2</f>
        <v>4008.6535</v>
      </c>
      <c r="H45" s="313" t="n">
        <f aca="false">H44*$D$2</f>
        <v>282.8471</v>
      </c>
      <c r="I45" s="165" t="n">
        <f aca="false">I44*$D$2</f>
        <v>4291.5006</v>
      </c>
      <c r="J45" s="165" t="n">
        <f aca="false">J44*$D$2</f>
        <v>4472.5918</v>
      </c>
      <c r="K45" s="165" t="n">
        <f aca="false">K44*$D$2</f>
        <v>8764.0924</v>
      </c>
      <c r="L45" s="165" t="n">
        <f aca="false">L44*$D$2</f>
        <v>4463.5516</v>
      </c>
      <c r="M45" s="314" t="n">
        <f aca="false">M44*$D$2</f>
        <v>297.9217</v>
      </c>
      <c r="N45" s="165" t="n">
        <f aca="false">N44*$D$2</f>
        <v>0</v>
      </c>
      <c r="O45" s="165" t="n">
        <f aca="false">O44*$D$2</f>
        <v>0</v>
      </c>
      <c r="P45" s="165" t="n">
        <f aca="false">P44*$D$2</f>
        <v>97.2133185</v>
      </c>
      <c r="Q45" s="165" t="n">
        <f aca="false">Q44*$D$2</f>
        <v>160.5476636</v>
      </c>
      <c r="R45" s="310" t="n">
        <f aca="false">R44*$D$2</f>
        <v>1.923995</v>
      </c>
      <c r="S45" s="165" t="n">
        <f aca="false">S44*$D$2</f>
        <v>4585.852</v>
      </c>
      <c r="T45" s="165" t="n">
        <f aca="false">T44*$D$2</f>
        <v>0</v>
      </c>
      <c r="U45" s="165" t="n">
        <f aca="false">U44*$D$2</f>
        <v>4624.0887229</v>
      </c>
      <c r="V45" s="165"/>
      <c r="W45" s="165"/>
      <c r="X45" s="165"/>
      <c r="Y45" s="245"/>
      <c r="Z45" s="246"/>
      <c r="AA45" s="165" t="n">
        <f aca="false">AA44*$D$2</f>
        <v>1529.2785</v>
      </c>
      <c r="AB45" s="165"/>
      <c r="AC45" s="165" t="n">
        <f aca="false">AC44*$D$2</f>
        <v>6413.0522</v>
      </c>
      <c r="AD45" s="165" t="n">
        <f aca="false">AD44*$D$2</f>
        <v>9.04019999999999</v>
      </c>
      <c r="AE45" s="165" t="n">
        <f aca="false">AE44*$D$2</f>
        <v>6422.0924</v>
      </c>
      <c r="AF45" s="237"/>
      <c r="AG45" s="171" t="n">
        <f aca="false">MAX(AG12:AG42)</f>
        <v>58</v>
      </c>
      <c r="AH45" s="311" t="n">
        <f aca="false">MAX(AH12:AH42)</f>
        <v>34</v>
      </c>
      <c r="AI45" s="172" t="s">
        <v>78</v>
      </c>
      <c r="AJ45" s="228" t="n">
        <f aca="false">AJ44*$D$2</f>
        <v>0</v>
      </c>
      <c r="AK45" s="305"/>
      <c r="AL45" s="317"/>
      <c r="AM45" s="306"/>
    </row>
    <row r="46" customFormat="false" ht="3" hidden="false" customHeight="true" outlineLevel="0" collapsed="false">
      <c r="A46" s="275"/>
      <c r="B46" s="333"/>
      <c r="C46" s="320"/>
      <c r="D46" s="320"/>
      <c r="E46" s="320"/>
      <c r="F46" s="334"/>
      <c r="G46" s="320"/>
      <c r="H46" s="335"/>
      <c r="I46" s="320"/>
      <c r="J46" s="320"/>
      <c r="K46" s="320"/>
      <c r="L46" s="320"/>
      <c r="M46" s="336"/>
      <c r="N46" s="320"/>
      <c r="O46" s="320"/>
      <c r="P46" s="320"/>
      <c r="Q46" s="320"/>
      <c r="R46" s="337"/>
      <c r="S46" s="320"/>
      <c r="T46" s="320"/>
      <c r="U46" s="320"/>
      <c r="V46" s="320"/>
      <c r="W46" s="320"/>
      <c r="X46" s="320"/>
      <c r="Y46" s="277"/>
      <c r="Z46" s="278"/>
      <c r="AA46" s="320"/>
      <c r="AB46" s="254"/>
      <c r="AC46" s="320"/>
      <c r="AD46" s="320"/>
      <c r="AE46" s="320"/>
      <c r="AF46" s="338"/>
      <c r="AG46" s="320"/>
      <c r="AH46" s="334"/>
      <c r="AI46" s="320"/>
      <c r="AJ46" s="339"/>
      <c r="AK46" s="320"/>
      <c r="AL46" s="339"/>
      <c r="AM46" s="328"/>
      <c r="AN46" s="328"/>
    </row>
    <row r="47" customFormat="false" ht="12.95" hidden="false" customHeight="true" outlineLevel="0" collapsed="false">
      <c r="A47" s="173" t="s">
        <v>79</v>
      </c>
      <c r="B47" s="307"/>
      <c r="C47" s="165"/>
      <c r="D47" s="165"/>
      <c r="E47" s="165"/>
      <c r="F47" s="308"/>
      <c r="G47" s="165"/>
      <c r="H47" s="313"/>
      <c r="I47" s="165"/>
      <c r="J47" s="165"/>
      <c r="K47" s="165"/>
      <c r="L47" s="165"/>
      <c r="M47" s="314"/>
      <c r="N47" s="165"/>
      <c r="O47" s="165"/>
      <c r="P47" s="165"/>
      <c r="Q47" s="165"/>
      <c r="R47" s="310"/>
      <c r="S47" s="165"/>
      <c r="T47" s="165"/>
      <c r="U47" s="165"/>
      <c r="V47" s="165"/>
      <c r="W47" s="165"/>
      <c r="X47" s="165"/>
      <c r="Y47" s="245"/>
      <c r="Z47" s="246"/>
      <c r="AA47" s="165"/>
      <c r="AB47" s="165"/>
      <c r="AC47" s="165"/>
      <c r="AD47" s="165"/>
      <c r="AE47" s="165"/>
      <c r="AF47" s="237"/>
      <c r="AG47" s="171" t="n">
        <f aca="false">MIN(AG12:AG42)</f>
        <v>28</v>
      </c>
      <c r="AH47" s="311" t="n">
        <f aca="false">MIN(AH12:AH42)</f>
        <v>9</v>
      </c>
      <c r="AI47" s="172" t="s">
        <v>80</v>
      </c>
      <c r="AJ47" s="172"/>
      <c r="AK47" s="305"/>
      <c r="AL47" s="317"/>
      <c r="AM47" s="306"/>
    </row>
    <row r="48" customFormat="false" ht="12.95" hidden="false" customHeight="true" outlineLevel="0" collapsed="false">
      <c r="A48" s="173" t="s">
        <v>81</v>
      </c>
      <c r="B48" s="307"/>
      <c r="C48" s="165"/>
      <c r="D48" s="165"/>
      <c r="E48" s="165"/>
      <c r="F48" s="308"/>
      <c r="G48" s="165"/>
      <c r="H48" s="313"/>
      <c r="I48" s="165"/>
      <c r="J48" s="165"/>
      <c r="K48" s="165"/>
      <c r="L48" s="165"/>
      <c r="M48" s="314"/>
      <c r="N48" s="165"/>
      <c r="O48" s="165"/>
      <c r="P48" s="165"/>
      <c r="Q48" s="165"/>
      <c r="R48" s="310"/>
      <c r="S48" s="165"/>
      <c r="T48" s="165"/>
      <c r="U48" s="165"/>
      <c r="V48" s="165"/>
      <c r="W48" s="165"/>
      <c r="X48" s="165"/>
      <c r="Y48" s="245"/>
      <c r="Z48" s="246"/>
      <c r="AA48" s="165"/>
      <c r="AB48" s="165"/>
      <c r="AC48" s="165"/>
      <c r="AD48" s="165"/>
      <c r="AE48" s="165"/>
      <c r="AF48" s="237"/>
      <c r="AG48" s="171"/>
      <c r="AH48" s="311"/>
      <c r="AI48" s="172"/>
      <c r="AJ48" s="172"/>
      <c r="AK48" s="305"/>
      <c r="AL48" s="317"/>
      <c r="AM48" s="306"/>
    </row>
    <row r="49" customFormat="false" ht="3" hidden="false" customHeight="true" outlineLevel="0" collapsed="false">
      <c r="A49" s="275"/>
      <c r="B49" s="333"/>
      <c r="C49" s="320"/>
      <c r="D49" s="320"/>
      <c r="E49" s="320"/>
      <c r="F49" s="334"/>
      <c r="G49" s="320"/>
      <c r="H49" s="335"/>
      <c r="I49" s="320"/>
      <c r="J49" s="320"/>
      <c r="K49" s="320"/>
      <c r="L49" s="320"/>
      <c r="M49" s="336"/>
      <c r="N49" s="320"/>
      <c r="O49" s="320"/>
      <c r="P49" s="320"/>
      <c r="Q49" s="320"/>
      <c r="R49" s="337"/>
      <c r="S49" s="320"/>
      <c r="T49" s="320"/>
      <c r="U49" s="320"/>
      <c r="V49" s="320"/>
      <c r="W49" s="320"/>
      <c r="X49" s="320"/>
      <c r="Y49" s="277"/>
      <c r="Z49" s="278"/>
      <c r="AA49" s="320"/>
      <c r="AB49" s="320"/>
      <c r="AC49" s="320"/>
      <c r="AD49" s="320"/>
      <c r="AE49" s="320"/>
      <c r="AF49" s="325"/>
      <c r="AG49" s="322"/>
      <c r="AH49" s="340"/>
      <c r="AI49" s="322"/>
      <c r="AJ49" s="341"/>
      <c r="AK49" s="322"/>
      <c r="AL49" s="341"/>
      <c r="AM49" s="328"/>
      <c r="AN49" s="328"/>
    </row>
    <row r="50" customFormat="false" ht="12.95" hidden="false" customHeight="true" outlineLevel="0" collapsed="false">
      <c r="A50" s="173" t="s">
        <v>82</v>
      </c>
      <c r="B50" s="307"/>
      <c r="C50" s="165"/>
      <c r="D50" s="165"/>
      <c r="E50" s="165"/>
      <c r="F50" s="308" t="n">
        <f aca="false">F10+F44</f>
        <v>117.469120241997</v>
      </c>
      <c r="G50" s="165" t="n">
        <f aca="false">G10+G44</f>
        <v>6841</v>
      </c>
      <c r="H50" s="313" t="n">
        <f aca="false">H10+H44</f>
        <v>161.34</v>
      </c>
      <c r="I50" s="165" t="n">
        <f aca="false">I10+I44</f>
        <v>7002.34</v>
      </c>
      <c r="J50" s="165" t="n">
        <f aca="false">J10+J44</f>
        <v>3698.89005545752</v>
      </c>
      <c r="K50" s="165" t="n">
        <f aca="false">K10+K44</f>
        <v>10701.2300554575</v>
      </c>
      <c r="L50" s="165" t="n">
        <f aca="false">L10+L44</f>
        <v>3188.829120242</v>
      </c>
      <c r="M50" s="314" t="n">
        <f aca="false">M10+M44</f>
        <v>513.9</v>
      </c>
      <c r="N50" s="165" t="n">
        <f aca="false">N10+N44</f>
        <v>0</v>
      </c>
      <c r="O50" s="165" t="n">
        <f aca="false">O10+O44</f>
        <v>0</v>
      </c>
      <c r="P50" s="165" t="n">
        <f aca="false">P10+P44</f>
        <v>135.2418</v>
      </c>
      <c r="Q50" s="165" t="n">
        <f aca="false">Q10+Q44</f>
        <v>225.824</v>
      </c>
      <c r="R50" s="310" t="n">
        <f aca="false">R10+R44</f>
        <v>0.97</v>
      </c>
      <c r="S50" s="165" t="n">
        <f aca="false">S10+S44</f>
        <v>7204</v>
      </c>
      <c r="T50" s="165" t="n">
        <f aca="false">T10+T44</f>
        <v>33.8</v>
      </c>
      <c r="U50" s="165" t="n">
        <f aca="false">U10+U44</f>
        <v>7389.6642</v>
      </c>
      <c r="V50" s="165"/>
      <c r="W50" s="165"/>
      <c r="X50" s="165"/>
      <c r="Y50" s="245"/>
      <c r="Z50" s="246"/>
      <c r="AA50" s="165" t="n">
        <f aca="false">AA10+AA44</f>
        <v>2322</v>
      </c>
      <c r="AB50" s="165" t="n">
        <f aca="false">AB42</f>
        <v>1729</v>
      </c>
      <c r="AC50" s="165" t="n">
        <f aca="false">AC10+AC44</f>
        <v>10073.7</v>
      </c>
      <c r="AD50" s="165" t="n">
        <f aca="false">AD10+AD44</f>
        <v>510.060935215528</v>
      </c>
      <c r="AE50" s="165" t="n">
        <f aca="false">AE10+AE44</f>
        <v>10583.7609352155</v>
      </c>
      <c r="AF50" s="237" t="n">
        <f aca="false">AF10+AF44</f>
        <v>6.67</v>
      </c>
      <c r="AG50" s="171"/>
      <c r="AH50" s="311"/>
      <c r="AI50" s="172"/>
      <c r="AJ50" s="228" t="n">
        <f aca="false">AJ10+AJ44</f>
        <v>0</v>
      </c>
      <c r="AK50" s="305"/>
      <c r="AL50" s="317"/>
      <c r="AM50" s="306"/>
    </row>
    <row r="51" customFormat="false" ht="12.95" hidden="false" customHeight="true" outlineLevel="0" collapsed="false">
      <c r="A51" s="173" t="s">
        <v>83</v>
      </c>
      <c r="B51" s="307"/>
      <c r="C51" s="165"/>
      <c r="D51" s="165" t="n">
        <f aca="false">D10+D45</f>
        <v>233</v>
      </c>
      <c r="E51" s="165" t="n">
        <f aca="false">E42</f>
        <v>55479</v>
      </c>
      <c r="F51" s="308" t="n">
        <f aca="false">F50*$D$2</f>
        <v>233</v>
      </c>
      <c r="G51" s="165" t="n">
        <f aca="false">G50*$D$2</f>
        <v>13569.1235</v>
      </c>
      <c r="H51" s="313" t="n">
        <f aca="false">H50*$D$2</f>
        <v>320.01789</v>
      </c>
      <c r="I51" s="165" t="n">
        <f aca="false">I50*$D$2</f>
        <v>13889.14139</v>
      </c>
      <c r="J51" s="165" t="n">
        <f aca="false">J50*$D$2</f>
        <v>7336.748425</v>
      </c>
      <c r="K51" s="165" t="n">
        <f aca="false">K50*$D$2</f>
        <v>21225.889815</v>
      </c>
      <c r="L51" s="165" t="n">
        <f aca="false">L50*$D$2</f>
        <v>6325.04256</v>
      </c>
      <c r="M51" s="314" t="n">
        <f aca="false">M50*$D$2</f>
        <v>1019.32065</v>
      </c>
      <c r="N51" s="165" t="n">
        <f aca="false">N50*$D$2</f>
        <v>0</v>
      </c>
      <c r="O51" s="165" t="n">
        <f aca="false">O50*$D$2</f>
        <v>0</v>
      </c>
      <c r="P51" s="165" t="n">
        <f aca="false">P50*$D$2</f>
        <v>268.2521103</v>
      </c>
      <c r="Q51" s="165" t="n">
        <f aca="false">Q50*$D$2</f>
        <v>447.921904</v>
      </c>
      <c r="R51" s="310" t="n">
        <f aca="false">R50*$D$2</f>
        <v>1.923995</v>
      </c>
      <c r="S51" s="165" t="n">
        <f aca="false">S50*$D$2</f>
        <v>14289.134</v>
      </c>
      <c r="T51" s="165" t="n">
        <f aca="false">T50*$D$2</f>
        <v>67.0423</v>
      </c>
      <c r="U51" s="165" t="n">
        <f aca="false">U50*$D$2</f>
        <v>14657.3989407</v>
      </c>
      <c r="V51" s="165"/>
      <c r="W51" s="165"/>
      <c r="X51" s="165"/>
      <c r="Y51" s="282"/>
      <c r="Z51" s="253"/>
      <c r="AA51" s="165" t="n">
        <f aca="false">AA50*$D$2</f>
        <v>4605.687</v>
      </c>
      <c r="AB51" s="165" t="n">
        <f aca="false">AB50*$D$2</f>
        <v>3429.4715</v>
      </c>
      <c r="AC51" s="165" t="n">
        <f aca="false">AC50*$D$2</f>
        <v>19981.18395</v>
      </c>
      <c r="AD51" s="165" t="n">
        <f aca="false">AD50*$D$2</f>
        <v>1011.705865</v>
      </c>
      <c r="AE51" s="165" t="n">
        <f aca="false">AE50*$D$2</f>
        <v>20992.889815</v>
      </c>
      <c r="AF51" s="237"/>
      <c r="AG51" s="171"/>
      <c r="AH51" s="311"/>
      <c r="AI51" s="172" t="n">
        <f aca="false">AI42</f>
        <v>14208.0336925</v>
      </c>
      <c r="AJ51" s="228" t="n">
        <f aca="false">AJ50*$D$2</f>
        <v>0</v>
      </c>
      <c r="AK51" s="305"/>
      <c r="AL51" s="317"/>
      <c r="AM51" s="306"/>
    </row>
    <row r="52" customFormat="false" ht="3" hidden="false" customHeight="true" outlineLevel="0" collapsed="false">
      <c r="A52" s="254"/>
      <c r="B52" s="333"/>
      <c r="C52" s="320"/>
      <c r="D52" s="254"/>
      <c r="E52" s="320"/>
      <c r="F52" s="321"/>
      <c r="G52" s="254"/>
      <c r="H52" s="322"/>
      <c r="I52" s="254"/>
      <c r="J52" s="254"/>
      <c r="K52" s="254"/>
      <c r="L52" s="254"/>
      <c r="M52" s="323"/>
      <c r="N52" s="254"/>
      <c r="O52" s="254"/>
      <c r="P52" s="254"/>
      <c r="Q52" s="254"/>
      <c r="R52" s="324"/>
      <c r="S52" s="254"/>
      <c r="T52" s="254"/>
      <c r="U52" s="254"/>
      <c r="V52" s="320"/>
      <c r="W52" s="320"/>
      <c r="X52" s="254"/>
      <c r="Y52" s="260"/>
      <c r="Z52" s="261"/>
      <c r="AA52" s="254"/>
      <c r="AB52" s="320"/>
      <c r="AC52" s="254"/>
      <c r="AD52" s="254"/>
      <c r="AE52" s="254"/>
      <c r="AF52" s="333"/>
      <c r="AG52" s="254"/>
      <c r="AH52" s="321"/>
      <c r="AI52" s="254"/>
      <c r="AJ52" s="342"/>
      <c r="AK52" s="254"/>
      <c r="AL52" s="342"/>
      <c r="AM52" s="328"/>
      <c r="AN52" s="328"/>
    </row>
    <row r="53" customFormat="false" ht="11.1" hidden="false" customHeight="true" outlineLevel="0" collapsed="false">
      <c r="A53" s="164"/>
      <c r="B53" s="283"/>
      <c r="C53" s="165"/>
      <c r="D53" s="164"/>
      <c r="E53" s="165"/>
      <c r="F53" s="164"/>
      <c r="G53" s="164"/>
      <c r="H53" s="170"/>
      <c r="I53" s="164"/>
      <c r="J53" s="164"/>
      <c r="K53" s="164"/>
      <c r="L53" s="164"/>
      <c r="M53" s="288"/>
      <c r="N53" s="164"/>
      <c r="O53" s="164"/>
      <c r="P53" s="164"/>
      <c r="Q53" s="164"/>
      <c r="R53" s="164"/>
      <c r="S53" s="164"/>
      <c r="T53" s="164"/>
      <c r="U53" s="164"/>
      <c r="V53" s="165"/>
      <c r="W53" s="165"/>
      <c r="X53" s="164"/>
      <c r="Y53" s="164"/>
      <c r="Z53" s="164"/>
      <c r="AA53" s="164"/>
      <c r="AB53" s="165"/>
      <c r="AC53" s="164"/>
      <c r="AD53" s="164"/>
      <c r="AE53" s="164"/>
      <c r="AF53" s="170"/>
      <c r="AG53" s="171"/>
      <c r="AH53" s="171"/>
      <c r="AI53" s="172"/>
      <c r="AJ53" s="172"/>
      <c r="AK53" s="289"/>
      <c r="AL53" s="290"/>
    </row>
    <row r="54" customFormat="false" ht="11.1" hidden="false" customHeight="true" outlineLevel="0" collapsed="false">
      <c r="A54" s="164"/>
      <c r="B54" s="284"/>
      <c r="C54" s="165"/>
      <c r="D54" s="285"/>
      <c r="E54" s="165"/>
      <c r="F54" s="164"/>
      <c r="G54" s="164"/>
      <c r="H54" s="170"/>
      <c r="I54" s="166"/>
      <c r="J54" s="164"/>
      <c r="K54" s="154"/>
      <c r="L54" s="164"/>
      <c r="M54" s="288"/>
      <c r="N54" s="164"/>
      <c r="O54" s="164"/>
      <c r="P54" s="164"/>
      <c r="Q54" s="164"/>
      <c r="R54" s="164"/>
      <c r="S54" s="164"/>
      <c r="T54" s="164"/>
      <c r="U54" s="164"/>
      <c r="V54" s="165"/>
      <c r="W54" s="165"/>
      <c r="X54" s="164"/>
      <c r="Y54" s="164"/>
      <c r="Z54" s="164"/>
      <c r="AA54" s="164"/>
      <c r="AB54" s="165"/>
      <c r="AC54" s="164"/>
      <c r="AD54" s="164"/>
      <c r="AE54" s="164"/>
      <c r="AF54" s="170"/>
      <c r="AG54" s="171"/>
      <c r="AH54" s="171"/>
      <c r="AI54" s="172"/>
      <c r="AJ54" s="172"/>
      <c r="AK54" s="289"/>
      <c r="AL54" s="290"/>
    </row>
    <row r="55" customFormat="false" ht="11.1" hidden="false" customHeight="true" outlineLevel="0" collapsed="false">
      <c r="A55" s="285"/>
      <c r="B55" s="285"/>
      <c r="C55" s="165"/>
      <c r="D55" s="165"/>
      <c r="E55" s="165"/>
      <c r="F55" s="285"/>
      <c r="G55" s="285"/>
      <c r="H55" s="170"/>
      <c r="I55" s="285"/>
      <c r="J55" s="285"/>
      <c r="K55" s="285"/>
      <c r="L55" s="285"/>
      <c r="M55" s="288"/>
      <c r="N55" s="168"/>
      <c r="O55" s="168"/>
      <c r="P55" s="168"/>
      <c r="Q55" s="168"/>
      <c r="R55" s="168"/>
      <c r="S55" s="285"/>
      <c r="T55" s="285"/>
      <c r="U55" s="285"/>
      <c r="V55" s="165"/>
      <c r="W55" s="165"/>
      <c r="X55" s="285"/>
      <c r="Y55" s="285"/>
      <c r="Z55" s="285"/>
      <c r="AA55" s="285"/>
      <c r="AB55" s="165"/>
      <c r="AC55" s="285"/>
      <c r="AD55" s="285"/>
      <c r="AE55" s="285"/>
      <c r="AF55" s="170"/>
      <c r="AG55" s="171"/>
      <c r="AH55" s="171"/>
      <c r="AI55" s="172"/>
      <c r="AJ55" s="172"/>
      <c r="AK55" s="343"/>
      <c r="AL55" s="344"/>
    </row>
    <row r="56" customFormat="false" ht="11.1" hidden="false" customHeight="true" outlineLevel="0" collapsed="false">
      <c r="A56" s="285"/>
      <c r="B56" s="169"/>
      <c r="C56" s="165"/>
      <c r="D56" s="165"/>
      <c r="E56" s="165"/>
      <c r="F56" s="285"/>
      <c r="G56" s="285"/>
      <c r="H56" s="170"/>
      <c r="I56" s="285"/>
      <c r="J56" s="285"/>
      <c r="K56" s="285"/>
      <c r="L56" s="285"/>
      <c r="M56" s="288"/>
      <c r="N56" s="168"/>
      <c r="O56" s="168"/>
      <c r="P56" s="168"/>
      <c r="Q56" s="168"/>
      <c r="R56" s="285"/>
      <c r="S56" s="285"/>
      <c r="T56" s="285"/>
      <c r="U56" s="165"/>
      <c r="V56" s="285"/>
      <c r="W56" s="285"/>
      <c r="X56" s="285"/>
      <c r="Y56" s="285"/>
      <c r="Z56" s="285"/>
      <c r="AA56" s="165"/>
      <c r="AB56" s="285"/>
      <c r="AC56" s="285"/>
      <c r="AD56" s="285"/>
      <c r="AE56" s="169"/>
      <c r="AF56" s="170"/>
      <c r="AG56" s="171"/>
      <c r="AH56" s="172"/>
      <c r="AI56" s="343"/>
      <c r="AJ56" s="344"/>
      <c r="AK56" s="343"/>
    </row>
    <row r="57" customFormat="false" ht="11.1" hidden="false" customHeight="true" outlineLevel="0" collapsed="false">
      <c r="A57" s="285"/>
      <c r="B57" s="285"/>
      <c r="C57" s="165"/>
      <c r="D57" s="285"/>
      <c r="E57" s="165"/>
      <c r="F57" s="285"/>
      <c r="G57" s="286"/>
      <c r="H57" s="170"/>
      <c r="I57" s="285"/>
      <c r="J57" s="285"/>
      <c r="K57" s="285"/>
      <c r="L57" s="285"/>
      <c r="M57" s="288"/>
      <c r="N57" s="168"/>
      <c r="O57" s="168"/>
      <c r="P57" s="168"/>
      <c r="Q57" s="168"/>
      <c r="R57" s="285"/>
      <c r="S57" s="285"/>
      <c r="T57" s="285"/>
      <c r="U57" s="165"/>
      <c r="V57" s="285"/>
      <c r="W57" s="285"/>
      <c r="X57" s="285"/>
      <c r="Y57" s="285"/>
      <c r="Z57" s="285"/>
      <c r="AA57" s="165"/>
      <c r="AB57" s="285"/>
      <c r="AC57" s="285"/>
      <c r="AD57" s="285"/>
      <c r="AE57" s="169"/>
      <c r="AF57" s="170"/>
      <c r="AG57" s="171"/>
      <c r="AH57" s="172"/>
      <c r="AI57" s="343"/>
      <c r="AJ57" s="344"/>
      <c r="AK57" s="343"/>
    </row>
    <row r="58" customFormat="false" ht="11.1" hidden="false" customHeight="true" outlineLevel="0" collapsed="false">
      <c r="A58" s="0"/>
      <c r="B58" s="0"/>
      <c r="C58" s="1"/>
      <c r="D58" s="0"/>
      <c r="E58" s="1"/>
      <c r="F58" s="0"/>
      <c r="G58" s="0"/>
      <c r="H58" s="2"/>
      <c r="I58" s="0"/>
      <c r="J58" s="0"/>
      <c r="K58" s="0"/>
      <c r="L58" s="0"/>
      <c r="M58" s="3"/>
      <c r="N58" s="3"/>
      <c r="O58" s="3"/>
      <c r="P58" s="3"/>
      <c r="Q58" s="3"/>
      <c r="R58" s="0"/>
      <c r="S58" s="0"/>
      <c r="T58" s="0"/>
      <c r="U58" s="1"/>
      <c r="V58" s="0"/>
      <c r="W58" s="0"/>
      <c r="X58" s="0"/>
      <c r="Y58" s="0"/>
      <c r="Z58" s="0"/>
      <c r="AA58" s="1"/>
      <c r="AB58" s="0"/>
      <c r="AC58" s="0"/>
      <c r="AD58" s="0"/>
      <c r="AE58" s="2"/>
      <c r="AF58" s="2"/>
      <c r="AG58" s="4"/>
      <c r="AH58" s="5"/>
      <c r="AI58" s="0"/>
      <c r="AJ58" s="345"/>
      <c r="AK58" s="0"/>
      <c r="AL58" s="7"/>
      <c r="AM58" s="0"/>
    </row>
    <row r="59" customFormat="false" ht="11.1" hidden="false" customHeight="true" outlineLevel="0" collapsed="false">
      <c r="A59" s="0"/>
      <c r="B59" s="0"/>
      <c r="C59" s="1"/>
      <c r="D59" s="0"/>
      <c r="E59" s="1"/>
      <c r="F59" s="0"/>
      <c r="G59" s="0"/>
      <c r="H59" s="2"/>
      <c r="I59" s="0"/>
      <c r="J59" s="0"/>
      <c r="K59" s="0"/>
      <c r="L59" s="0"/>
      <c r="M59" s="3"/>
      <c r="N59" s="3"/>
      <c r="O59" s="3"/>
      <c r="P59" s="3"/>
      <c r="Q59" s="3"/>
      <c r="R59" s="0"/>
      <c r="S59" s="0"/>
      <c r="T59" s="0"/>
      <c r="U59" s="1"/>
      <c r="V59" s="0"/>
      <c r="W59" s="0"/>
      <c r="X59" s="0"/>
      <c r="Y59" s="0"/>
      <c r="Z59" s="0"/>
      <c r="AA59" s="1"/>
      <c r="AB59" s="0"/>
      <c r="AC59" s="0"/>
      <c r="AD59" s="0"/>
      <c r="AE59" s="2"/>
      <c r="AF59" s="2"/>
      <c r="AG59" s="4"/>
      <c r="AH59" s="5"/>
      <c r="AI59" s="0"/>
      <c r="AJ59" s="345"/>
      <c r="AK59" s="0"/>
      <c r="AL59" s="7"/>
      <c r="AM59" s="0"/>
    </row>
  </sheetData>
  <mergeCells count="2">
    <mergeCell ref="K2:W2"/>
    <mergeCell ref="M5:R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9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S27" activePane="bottomRight" state="frozen"/>
      <selection pane="topLeft" activeCell="A1" activeCellId="0" sqref="A1"/>
      <selection pane="topRight" activeCell="S1" activeCellId="0" sqref="S1"/>
      <selection pane="bottomLeft" activeCell="A27" activeCellId="0" sqref="A27"/>
      <selection pane="bottomRight" activeCell="AA40" activeCellId="0" sqref="AA40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287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7" min="16" style="159" width="4.32"/>
    <col collapsed="false" customWidth="true" hidden="false" outlineLevel="0" max="18" min="18" style="160" width="4.32"/>
    <col collapsed="false" customWidth="true" hidden="false" outlineLevel="0" max="20" min="19" style="156" width="5.49"/>
    <col collapsed="false" customWidth="true" hidden="false" outlineLevel="0" max="21" min="21" style="157" width="6.32"/>
    <col collapsed="false" customWidth="true" hidden="false" outlineLevel="0" max="26" min="22" style="156" width="5.49"/>
    <col collapsed="false" customWidth="true" hidden="false" outlineLevel="0" max="27" min="27" style="157" width="5.49"/>
    <col collapsed="false" customWidth="true" hidden="false" outlineLevel="0" max="28" min="28" style="156" width="5.49"/>
    <col collapsed="false" customWidth="true" hidden="false" outlineLevel="0" max="29" min="29" style="156" width="6.32"/>
    <col collapsed="false" customWidth="true" hidden="false" outlineLevel="0" max="30" min="30" style="156" width="6.99"/>
    <col collapsed="false" customWidth="true" hidden="false" outlineLevel="0" max="31" min="31" style="160" width="6.99"/>
    <col collapsed="false" customWidth="true" hidden="false" outlineLevel="0" max="32" min="32" style="158" width="5.32"/>
    <col collapsed="false" customWidth="true" hidden="false" outlineLevel="0" max="33" min="33" style="161" width="3.82"/>
    <col collapsed="false" customWidth="true" hidden="false" outlineLevel="0" max="34" min="34" style="162" width="3.82"/>
    <col collapsed="false" customWidth="true" hidden="false" outlineLevel="0" max="36" min="35" style="161" width="5.49"/>
    <col collapsed="false" customWidth="true" hidden="false" outlineLevel="0" max="37" min="37" style="156" width="6.32"/>
    <col collapsed="false" customWidth="true" hidden="false" outlineLevel="0" max="38" min="38" style="163" width="6.32"/>
    <col collapsed="false" customWidth="true" hidden="false" outlineLevel="0" max="39" min="39" style="225" width="6.32"/>
    <col collapsed="false" customWidth="true" hidden="false" outlineLevel="0" max="40" min="40" style="156" width="6.49"/>
    <col collapsed="false" customWidth="false" hidden="false" outlineLevel="0" max="257" min="41" style="156" width="9.32"/>
  </cols>
  <sheetData>
    <row r="1" customFormat="false" ht="14.1" hidden="false" customHeight="true" outlineLevel="0" collapsed="false">
      <c r="A1" s="164" t="s">
        <v>93</v>
      </c>
      <c r="B1" s="164"/>
      <c r="C1" s="165"/>
      <c r="D1" s="164"/>
      <c r="E1" s="165"/>
      <c r="F1" s="164"/>
      <c r="G1" s="164"/>
      <c r="H1" s="288"/>
      <c r="I1" s="164"/>
      <c r="J1" s="164"/>
      <c r="K1" s="167" t="s">
        <v>0</v>
      </c>
      <c r="L1" s="164"/>
      <c r="M1" s="164"/>
      <c r="N1" s="164"/>
      <c r="O1" s="164"/>
      <c r="P1" s="164"/>
      <c r="Q1" s="164"/>
      <c r="R1" s="169"/>
      <c r="S1" s="164"/>
      <c r="T1" s="164"/>
      <c r="U1" s="165"/>
      <c r="V1" s="164"/>
      <c r="W1" s="164"/>
      <c r="X1" s="164"/>
      <c r="Y1" s="164"/>
      <c r="Z1" s="164"/>
      <c r="AA1" s="165"/>
      <c r="AB1" s="164"/>
      <c r="AC1" s="164"/>
      <c r="AD1" s="164"/>
      <c r="AE1" s="169"/>
      <c r="AF1" s="170"/>
      <c r="AG1" s="171"/>
      <c r="AH1" s="172"/>
      <c r="AI1" s="346"/>
      <c r="AJ1" s="346"/>
      <c r="AK1" s="289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288"/>
      <c r="I2" s="164"/>
      <c r="J2" s="164"/>
      <c r="K2" s="175" t="s">
        <v>97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64"/>
      <c r="Y2" s="164"/>
      <c r="Z2" s="164"/>
      <c r="AA2" s="165"/>
      <c r="AB2" s="164"/>
      <c r="AC2" s="164"/>
      <c r="AD2" s="164"/>
      <c r="AE2" s="169"/>
      <c r="AF2" s="170"/>
      <c r="AG2" s="171"/>
      <c r="AH2" s="172"/>
      <c r="AI2" s="346"/>
      <c r="AJ2" s="346"/>
      <c r="AK2" s="289"/>
    </row>
    <row r="3" customFormat="false" ht="14.1" hidden="false" customHeight="true" outlineLevel="0" collapsed="false">
      <c r="A3" s="176"/>
      <c r="B3" s="176"/>
      <c r="C3" s="177"/>
      <c r="D3" s="178"/>
      <c r="E3" s="177"/>
      <c r="F3" s="176"/>
      <c r="G3" s="176"/>
      <c r="H3" s="291"/>
      <c r="I3" s="176"/>
      <c r="J3" s="176"/>
      <c r="K3" s="176"/>
      <c r="L3" s="176"/>
      <c r="M3" s="176"/>
      <c r="N3" s="176"/>
      <c r="O3" s="176"/>
      <c r="P3" s="176"/>
      <c r="Q3" s="176"/>
      <c r="R3" s="181"/>
      <c r="S3" s="176"/>
      <c r="T3" s="176"/>
      <c r="U3" s="177"/>
      <c r="V3" s="176"/>
      <c r="W3" s="176"/>
      <c r="X3" s="176"/>
      <c r="Y3" s="176"/>
      <c r="Z3" s="176"/>
      <c r="AA3" s="177"/>
      <c r="AB3" s="176"/>
      <c r="AC3" s="176"/>
      <c r="AD3" s="176"/>
      <c r="AE3" s="181"/>
      <c r="AF3" s="182"/>
      <c r="AG3" s="183"/>
      <c r="AH3" s="184"/>
      <c r="AI3" s="347"/>
      <c r="AJ3" s="347"/>
      <c r="AK3" s="292"/>
      <c r="AL3" s="186"/>
    </row>
    <row r="4" s="200" customFormat="true" ht="14.1" hidden="false" customHeight="true" outlineLevel="0" collapsed="false">
      <c r="A4" s="187"/>
      <c r="B4" s="188"/>
      <c r="C4" s="189"/>
      <c r="D4" s="294" t="s">
        <v>3</v>
      </c>
      <c r="E4" s="189"/>
      <c r="F4" s="191"/>
      <c r="G4" s="187"/>
      <c r="H4" s="296"/>
      <c r="I4" s="187"/>
      <c r="J4" s="187"/>
      <c r="K4" s="187"/>
      <c r="L4" s="187"/>
      <c r="M4" s="187"/>
      <c r="N4" s="187"/>
      <c r="O4" s="187"/>
      <c r="P4" s="187"/>
      <c r="Q4" s="187"/>
      <c r="R4" s="196"/>
      <c r="S4" s="193" t="s">
        <v>4</v>
      </c>
      <c r="T4" s="187"/>
      <c r="U4" s="194"/>
      <c r="V4" s="187"/>
      <c r="W4" s="187"/>
      <c r="X4" s="187"/>
      <c r="Y4" s="187"/>
      <c r="Z4" s="187"/>
      <c r="AA4" s="194"/>
      <c r="AB4" s="187"/>
      <c r="AC4" s="187"/>
      <c r="AD4" s="187"/>
      <c r="AE4" s="196"/>
      <c r="AF4" s="197"/>
      <c r="AG4" s="198" t="s">
        <v>5</v>
      </c>
      <c r="AH4" s="199"/>
      <c r="AI4" s="348"/>
      <c r="AJ4" s="348"/>
      <c r="AK4" s="193" t="s">
        <v>6</v>
      </c>
      <c r="AL4" s="202"/>
      <c r="AM4" s="203"/>
      <c r="AN4" s="204"/>
    </row>
    <row r="5" customFormat="false" ht="12.95" hidden="false" customHeight="true" outlineLevel="0" collapsed="false">
      <c r="A5" s="205" t="s">
        <v>7</v>
      </c>
      <c r="B5" s="206" t="s">
        <v>8</v>
      </c>
      <c r="C5" s="207" t="s">
        <v>8</v>
      </c>
      <c r="D5" s="205" t="s">
        <v>9</v>
      </c>
      <c r="E5" s="207" t="s">
        <v>10</v>
      </c>
      <c r="F5" s="208" t="s">
        <v>11</v>
      </c>
      <c r="G5" s="205" t="s">
        <v>12</v>
      </c>
      <c r="H5" s="349" t="s">
        <v>13</v>
      </c>
      <c r="I5" s="205" t="s">
        <v>14</v>
      </c>
      <c r="J5" s="205" t="s">
        <v>15</v>
      </c>
      <c r="K5" s="205" t="s">
        <v>16</v>
      </c>
      <c r="L5" s="205" t="s">
        <v>15</v>
      </c>
      <c r="M5" s="210" t="s">
        <v>17</v>
      </c>
      <c r="N5" s="210"/>
      <c r="O5" s="210"/>
      <c r="P5" s="210"/>
      <c r="Q5" s="210"/>
      <c r="R5" s="210"/>
      <c r="S5" s="233" t="s">
        <v>18</v>
      </c>
      <c r="T5" s="233" t="s">
        <v>19</v>
      </c>
      <c r="U5" s="233" t="s">
        <v>16</v>
      </c>
      <c r="V5" s="229" t="s">
        <v>20</v>
      </c>
      <c r="W5" s="229" t="s">
        <v>20</v>
      </c>
      <c r="X5" s="233" t="s">
        <v>21</v>
      </c>
      <c r="Y5" s="212" t="s">
        <v>85</v>
      </c>
      <c r="Z5" s="213"/>
      <c r="AA5" s="233" t="s">
        <v>23</v>
      </c>
      <c r="AB5" s="229" t="s">
        <v>24</v>
      </c>
      <c r="AC5" s="233" t="s">
        <v>14</v>
      </c>
      <c r="AD5" s="233" t="s">
        <v>15</v>
      </c>
      <c r="AE5" s="233" t="s">
        <v>16</v>
      </c>
      <c r="AF5" s="350" t="s">
        <v>25</v>
      </c>
      <c r="AG5" s="224" t="s">
        <v>26</v>
      </c>
      <c r="AH5" s="351" t="s">
        <v>27</v>
      </c>
      <c r="AI5" s="224" t="s">
        <v>86</v>
      </c>
      <c r="AJ5" s="224" t="s">
        <v>20</v>
      </c>
      <c r="AK5" s="233" t="s">
        <v>20</v>
      </c>
      <c r="AL5" s="233" t="s">
        <v>20</v>
      </c>
      <c r="AM5" s="218" t="s">
        <v>29</v>
      </c>
      <c r="AN5" s="225" t="s">
        <v>30</v>
      </c>
    </row>
    <row r="6" customFormat="false" ht="12.95" hidden="false" customHeight="true" outlineLevel="0" collapsed="false">
      <c r="A6" s="220" t="s">
        <v>98</v>
      </c>
      <c r="B6" s="206" t="s">
        <v>32</v>
      </c>
      <c r="C6" s="207" t="s">
        <v>9</v>
      </c>
      <c r="D6" s="205" t="s">
        <v>33</v>
      </c>
      <c r="E6" s="207" t="s">
        <v>34</v>
      </c>
      <c r="F6" s="208" t="s">
        <v>35</v>
      </c>
      <c r="G6" s="205" t="s">
        <v>36</v>
      </c>
      <c r="H6" s="349" t="s">
        <v>37</v>
      </c>
      <c r="I6" s="205" t="s">
        <v>38</v>
      </c>
      <c r="J6" s="205" t="s">
        <v>38</v>
      </c>
      <c r="K6" s="205" t="s">
        <v>38</v>
      </c>
      <c r="L6" s="205" t="s">
        <v>39</v>
      </c>
      <c r="M6" s="221" t="s">
        <v>40</v>
      </c>
      <c r="N6" s="205" t="s">
        <v>41</v>
      </c>
      <c r="O6" s="205" t="s">
        <v>42</v>
      </c>
      <c r="P6" s="205" t="s">
        <v>43</v>
      </c>
      <c r="Q6" s="205" t="s">
        <v>44</v>
      </c>
      <c r="R6" s="352" t="s">
        <v>45</v>
      </c>
      <c r="S6" s="233" t="s">
        <v>46</v>
      </c>
      <c r="T6" s="233" t="s">
        <v>47</v>
      </c>
      <c r="U6" s="233" t="s">
        <v>20</v>
      </c>
      <c r="V6" s="229" t="s">
        <v>57</v>
      </c>
      <c r="W6" s="229" t="s">
        <v>49</v>
      </c>
      <c r="X6" s="233" t="s">
        <v>50</v>
      </c>
      <c r="Y6" s="221"/>
      <c r="Z6" s="222"/>
      <c r="AA6" s="233" t="s">
        <v>53</v>
      </c>
      <c r="AB6" s="229" t="s">
        <v>54</v>
      </c>
      <c r="AC6" s="233" t="s">
        <v>55</v>
      </c>
      <c r="AD6" s="233" t="s">
        <v>55</v>
      </c>
      <c r="AE6" s="233" t="s">
        <v>55</v>
      </c>
      <c r="AF6" s="353"/>
      <c r="AG6" s="224" t="s">
        <v>56</v>
      </c>
      <c r="AH6" s="351" t="s">
        <v>56</v>
      </c>
      <c r="AI6" s="224" t="s">
        <v>57</v>
      </c>
      <c r="AJ6" s="224" t="s">
        <v>58</v>
      </c>
      <c r="AK6" s="233" t="s">
        <v>59</v>
      </c>
      <c r="AL6" s="233" t="s">
        <v>59</v>
      </c>
      <c r="AM6" s="218" t="s">
        <v>60</v>
      </c>
      <c r="AN6" s="225" t="s">
        <v>61</v>
      </c>
    </row>
    <row r="7" customFormat="false" ht="12.95" hidden="false" customHeight="true" outlineLevel="0" collapsed="false">
      <c r="A7" s="226"/>
      <c r="B7" s="227"/>
      <c r="C7" s="228"/>
      <c r="D7" s="226"/>
      <c r="E7" s="229" t="s">
        <v>62</v>
      </c>
      <c r="F7" s="230"/>
      <c r="G7" s="226"/>
      <c r="H7" s="354"/>
      <c r="I7" s="226"/>
      <c r="J7" s="226"/>
      <c r="K7" s="226"/>
      <c r="L7" s="226"/>
      <c r="M7" s="232"/>
      <c r="N7" s="233" t="s">
        <v>63</v>
      </c>
      <c r="O7" s="233" t="s">
        <v>64</v>
      </c>
      <c r="P7" s="233"/>
      <c r="Q7" s="233"/>
      <c r="R7" s="355" t="s">
        <v>42</v>
      </c>
      <c r="S7" s="297"/>
      <c r="T7" s="297"/>
      <c r="U7" s="297"/>
      <c r="V7" s="229"/>
      <c r="W7" s="229" t="s">
        <v>65</v>
      </c>
      <c r="X7" s="297"/>
      <c r="Y7" s="232"/>
      <c r="Z7" s="236"/>
      <c r="AA7" s="297"/>
      <c r="AB7" s="356"/>
      <c r="AC7" s="297"/>
      <c r="AD7" s="297"/>
      <c r="AE7" s="297"/>
      <c r="AF7" s="357"/>
      <c r="AG7" s="224"/>
      <c r="AH7" s="358"/>
      <c r="AI7" s="359"/>
      <c r="AJ7" s="359"/>
      <c r="AK7" s="233" t="s">
        <v>67</v>
      </c>
      <c r="AL7" s="233" t="s">
        <v>92</v>
      </c>
      <c r="AM7" s="218" t="s">
        <v>69</v>
      </c>
      <c r="AN7" s="225" t="s">
        <v>70</v>
      </c>
    </row>
    <row r="8" customFormat="false" ht="12.95" hidden="false" customHeight="true" outlineLevel="0" collapsed="false">
      <c r="A8" s="226"/>
      <c r="B8" s="227"/>
      <c r="C8" s="228"/>
      <c r="D8" s="226"/>
      <c r="E8" s="228"/>
      <c r="F8" s="230"/>
      <c r="G8" s="226"/>
      <c r="H8" s="354"/>
      <c r="I8" s="226"/>
      <c r="J8" s="226"/>
      <c r="K8" s="226"/>
      <c r="L8" s="226"/>
      <c r="M8" s="232"/>
      <c r="N8" s="304" t="n">
        <v>1.03</v>
      </c>
      <c r="O8" s="304" t="n">
        <v>1.05</v>
      </c>
      <c r="P8" s="304" t="n">
        <v>1.02</v>
      </c>
      <c r="Q8" s="304" t="n">
        <v>1.04</v>
      </c>
      <c r="R8" s="355" t="s">
        <v>52</v>
      </c>
      <c r="S8" s="297"/>
      <c r="T8" s="297"/>
      <c r="U8" s="297"/>
      <c r="V8" s="356"/>
      <c r="W8" s="229" t="s">
        <v>71</v>
      </c>
      <c r="X8" s="297"/>
      <c r="Y8" s="232"/>
      <c r="Z8" s="236"/>
      <c r="AA8" s="297"/>
      <c r="AB8" s="356"/>
      <c r="AC8" s="297"/>
      <c r="AD8" s="297"/>
      <c r="AE8" s="297"/>
      <c r="AF8" s="357"/>
      <c r="AG8" s="359"/>
      <c r="AH8" s="358"/>
      <c r="AI8" s="359"/>
      <c r="AJ8" s="359"/>
      <c r="AK8" s="187"/>
      <c r="AL8" s="233" t="s">
        <v>72</v>
      </c>
      <c r="AM8" s="218"/>
    </row>
    <row r="9" customFormat="false" ht="12.95" hidden="false" customHeight="true" outlineLevel="0" collapsed="false">
      <c r="A9" s="173" t="s">
        <v>73</v>
      </c>
      <c r="B9" s="241"/>
      <c r="C9" s="242"/>
      <c r="D9" s="242"/>
      <c r="E9" s="242"/>
      <c r="F9" s="243"/>
      <c r="G9" s="242"/>
      <c r="H9" s="360"/>
      <c r="I9" s="242"/>
      <c r="J9" s="242"/>
      <c r="K9" s="242"/>
      <c r="L9" s="242"/>
      <c r="M9" s="245"/>
      <c r="N9" s="242"/>
      <c r="O9" s="242"/>
      <c r="P9" s="242"/>
      <c r="Q9" s="242"/>
      <c r="R9" s="361"/>
      <c r="S9" s="242"/>
      <c r="T9" s="242"/>
      <c r="U9" s="242"/>
      <c r="V9" s="242"/>
      <c r="W9" s="242"/>
      <c r="X9" s="242"/>
      <c r="Y9" s="245"/>
      <c r="Z9" s="246"/>
      <c r="AA9" s="242"/>
      <c r="AB9" s="242"/>
      <c r="AC9" s="242"/>
      <c r="AD9" s="242"/>
      <c r="AE9" s="242"/>
      <c r="AF9" s="248"/>
      <c r="AG9" s="244"/>
      <c r="AH9" s="249"/>
      <c r="AI9" s="244"/>
      <c r="AJ9" s="244"/>
      <c r="AK9" s="267"/>
      <c r="AL9" s="250"/>
      <c r="AM9" s="362"/>
    </row>
    <row r="10" s="157" customFormat="true" ht="12.95" hidden="false" customHeight="true" outlineLevel="0" collapsed="false">
      <c r="A10" s="251" t="s">
        <v>74</v>
      </c>
      <c r="B10" s="252" t="n">
        <f aca="false">JAN!B42</f>
        <v>6877.06</v>
      </c>
      <c r="C10" s="242" t="n">
        <f aca="false">JAN!C42</f>
        <v>207479</v>
      </c>
      <c r="D10" s="242" t="n">
        <f aca="false">JAN!D51</f>
        <v>233</v>
      </c>
      <c r="E10" s="242" t="n">
        <f aca="false">JAN!E51</f>
        <v>55479</v>
      </c>
      <c r="F10" s="243" t="n">
        <f aca="false">JAN!F50</f>
        <v>117.469120241997</v>
      </c>
      <c r="G10" s="242" t="n">
        <f aca="false">JAN!G50</f>
        <v>6841</v>
      </c>
      <c r="H10" s="363" t="n">
        <f aca="false">JAN!H50</f>
        <v>161.34</v>
      </c>
      <c r="I10" s="242" t="n">
        <f aca="false">JAN!I50</f>
        <v>7002.34</v>
      </c>
      <c r="J10" s="242" t="n">
        <f aca="false">JAN!J50</f>
        <v>3698.89005545752</v>
      </c>
      <c r="K10" s="242" t="n">
        <f aca="false">JAN!K50</f>
        <v>10701.2300554575</v>
      </c>
      <c r="L10" s="242" t="n">
        <f aca="false">JAN!L50</f>
        <v>3188.829120242</v>
      </c>
      <c r="M10" s="245" t="n">
        <f aca="false">JAN!M50</f>
        <v>513.9</v>
      </c>
      <c r="N10" s="242" t="n">
        <f aca="false">JAN!N50</f>
        <v>0</v>
      </c>
      <c r="O10" s="242" t="n">
        <f aca="false">JAN!O50</f>
        <v>0</v>
      </c>
      <c r="P10" s="242" t="n">
        <f aca="false">JAN!P50</f>
        <v>135.2418</v>
      </c>
      <c r="Q10" s="242" t="n">
        <f aca="false">JAN!Q50</f>
        <v>225.824</v>
      </c>
      <c r="R10" s="361" t="n">
        <f aca="false">JAN!R50</f>
        <v>0.97</v>
      </c>
      <c r="S10" s="242" t="n">
        <f aca="false">JAN!S50</f>
        <v>7204</v>
      </c>
      <c r="T10" s="242" t="n">
        <f aca="false">JAN!T50</f>
        <v>33.8</v>
      </c>
      <c r="U10" s="242" t="n">
        <f aca="false">JAN!U50</f>
        <v>7389.6642</v>
      </c>
      <c r="V10" s="242"/>
      <c r="W10" s="242"/>
      <c r="X10" s="242"/>
      <c r="Y10" s="245"/>
      <c r="Z10" s="246"/>
      <c r="AA10" s="242" t="n">
        <f aca="false">JAN!AA50</f>
        <v>2322</v>
      </c>
      <c r="AB10" s="242" t="n">
        <f aca="false">JAN!AB50</f>
        <v>1729</v>
      </c>
      <c r="AC10" s="242" t="n">
        <f aca="false">JAN!AC50</f>
        <v>10073.7</v>
      </c>
      <c r="AD10" s="242" t="n">
        <f aca="false">JAN!AD50</f>
        <v>510.060935215528</v>
      </c>
      <c r="AE10" s="242" t="n">
        <f aca="false">JAN!AE50</f>
        <v>10583.7609352155</v>
      </c>
      <c r="AF10" s="248" t="n">
        <f aca="false">JAN!AF50</f>
        <v>6.67</v>
      </c>
      <c r="AG10" s="244"/>
      <c r="AH10" s="249"/>
      <c r="AI10" s="244" t="n">
        <f aca="false">JAN!AI51</f>
        <v>14208.0336925</v>
      </c>
      <c r="AJ10" s="244" t="n">
        <f aca="false">JAN!AJ51</f>
        <v>0</v>
      </c>
      <c r="AK10" s="242"/>
      <c r="AL10" s="267"/>
      <c r="AM10" s="364"/>
    </row>
    <row r="11" customFormat="false" ht="3" hidden="false" customHeight="true" outlineLevel="0" collapsed="false">
      <c r="A11" s="254"/>
      <c r="B11" s="255"/>
      <c r="C11" s="256"/>
      <c r="D11" s="257"/>
      <c r="E11" s="256"/>
      <c r="F11" s="258"/>
      <c r="G11" s="257"/>
      <c r="H11" s="365"/>
      <c r="I11" s="257"/>
      <c r="J11" s="257"/>
      <c r="K11" s="257"/>
      <c r="L11" s="257"/>
      <c r="M11" s="260"/>
      <c r="N11" s="257"/>
      <c r="O11" s="257"/>
      <c r="P11" s="257"/>
      <c r="Q11" s="257"/>
      <c r="R11" s="366"/>
      <c r="S11" s="257"/>
      <c r="T11" s="257"/>
      <c r="U11" s="257"/>
      <c r="V11" s="256"/>
      <c r="W11" s="256"/>
      <c r="X11" s="257"/>
      <c r="Y11" s="260"/>
      <c r="Z11" s="261"/>
      <c r="AA11" s="257"/>
      <c r="AB11" s="256"/>
      <c r="AC11" s="257"/>
      <c r="AD11" s="257"/>
      <c r="AE11" s="257"/>
      <c r="AF11" s="263"/>
      <c r="AG11" s="264"/>
      <c r="AH11" s="265"/>
      <c r="AI11" s="264"/>
      <c r="AJ11" s="264"/>
      <c r="AK11" s="264"/>
      <c r="AL11" s="264"/>
      <c r="AM11" s="264"/>
      <c r="AN11" s="264"/>
    </row>
    <row r="12" customFormat="false" ht="12.95" hidden="false" customHeight="true" outlineLevel="0" collapsed="false">
      <c r="A12" s="172" t="n">
        <v>1</v>
      </c>
      <c r="B12" s="252" t="n">
        <v>6877.16</v>
      </c>
      <c r="C12" s="242" t="n">
        <v>207771</v>
      </c>
      <c r="D12" s="244" t="n">
        <f aca="false">C12-C10</f>
        <v>292</v>
      </c>
      <c r="E12" s="242" t="n">
        <f aca="false">C12-152000</f>
        <v>55771</v>
      </c>
      <c r="F12" s="266" t="n">
        <f aca="false">D12/$D$2</f>
        <v>147.214519788253</v>
      </c>
      <c r="G12" s="267" t="n">
        <v>56</v>
      </c>
      <c r="H12" s="360" t="n">
        <v>4.4</v>
      </c>
      <c r="I12" s="267" t="n">
        <f aca="false">G12+H12</f>
        <v>60.4</v>
      </c>
      <c r="J12" s="247" t="n">
        <f aca="false">IF(L12&gt;0,L12,0)</f>
        <v>115.914519788253</v>
      </c>
      <c r="K12" s="267" t="n">
        <f aca="false">I12+J12</f>
        <v>176.314519788253</v>
      </c>
      <c r="L12" s="267" t="n">
        <f aca="false">F12-(I12-AC12)</f>
        <v>115.914519788253</v>
      </c>
      <c r="M12" s="269" t="n">
        <v>4.1</v>
      </c>
      <c r="N12" s="267" t="n">
        <v>0</v>
      </c>
      <c r="O12" s="267" t="n">
        <v>0</v>
      </c>
      <c r="P12" s="367" t="n">
        <f aca="false">1.29*1.02</f>
        <v>1.3158</v>
      </c>
      <c r="Q12" s="367" t="n">
        <f aca="false">2.45*1.04</f>
        <v>2.548</v>
      </c>
      <c r="R12" s="368" t="n">
        <v>0</v>
      </c>
      <c r="S12" s="267" t="n">
        <v>0</v>
      </c>
      <c r="T12" s="267"/>
      <c r="U12" s="267" t="n">
        <f aca="false">M12-N12-O12-P12-Q12-R12+S12+T12</f>
        <v>0.236199999999999</v>
      </c>
      <c r="V12" s="242"/>
      <c r="W12" s="242"/>
      <c r="X12" s="267"/>
      <c r="Y12" s="269"/>
      <c r="Z12" s="270"/>
      <c r="AA12" s="267" t="n">
        <v>25</v>
      </c>
      <c r="AB12" s="242" t="n">
        <f aca="false">AB10-AA12</f>
        <v>1704</v>
      </c>
      <c r="AC12" s="127" t="n">
        <f aca="false">N12+O12+P12+Q12+R12+U12+X12+AA12</f>
        <v>29.1</v>
      </c>
      <c r="AD12" s="267" t="n">
        <f aca="false">IF(L12&lt;0,L12*-1,0)</f>
        <v>0</v>
      </c>
      <c r="AE12" s="267" t="n">
        <f aca="false">AC12+AD12</f>
        <v>29.1</v>
      </c>
      <c r="AF12" s="248" t="n">
        <v>0.16</v>
      </c>
      <c r="AG12" s="244" t="n">
        <v>38</v>
      </c>
      <c r="AH12" s="249" t="n">
        <v>19</v>
      </c>
      <c r="AI12" s="244" t="n">
        <f aca="false">AI10+(U12*1.9835)</f>
        <v>14208.5021952</v>
      </c>
      <c r="AJ12" s="244" t="n">
        <v>0</v>
      </c>
      <c r="AK12" s="250"/>
      <c r="AL12" s="242"/>
      <c r="AM12" s="362"/>
    </row>
    <row r="13" customFormat="false" ht="12.95" hidden="false" customHeight="true" outlineLevel="0" collapsed="false">
      <c r="A13" s="172" t="n">
        <f aca="false">A12+1</f>
        <v>2</v>
      </c>
      <c r="B13" s="252" t="n">
        <v>6877.2</v>
      </c>
      <c r="C13" s="242" t="n">
        <v>207888</v>
      </c>
      <c r="D13" s="244" t="n">
        <f aca="false">C13-C12</f>
        <v>117</v>
      </c>
      <c r="E13" s="242" t="n">
        <f aca="false">C13-152000</f>
        <v>55888</v>
      </c>
      <c r="F13" s="266" t="n">
        <f aca="false">D13/$D$2</f>
        <v>58.9866397781699</v>
      </c>
      <c r="G13" s="267" t="n">
        <v>51</v>
      </c>
      <c r="H13" s="360" t="n">
        <v>4.4</v>
      </c>
      <c r="I13" s="267" t="n">
        <f aca="false">G13+H13</f>
        <v>55.4</v>
      </c>
      <c r="J13" s="247" t="n">
        <f aca="false">IF(L13&gt;0,L13,0)</f>
        <v>32.5866397781699</v>
      </c>
      <c r="K13" s="267" t="n">
        <f aca="false">I13+J13</f>
        <v>87.9866397781699</v>
      </c>
      <c r="L13" s="267" t="n">
        <f aca="false">F13-(I13-AC13)</f>
        <v>32.5866397781699</v>
      </c>
      <c r="M13" s="269" t="n">
        <v>4</v>
      </c>
      <c r="N13" s="267" t="n">
        <v>0</v>
      </c>
      <c r="O13" s="267" t="n">
        <v>0</v>
      </c>
      <c r="P13" s="367" t="n">
        <f aca="false">1.29*1.02</f>
        <v>1.3158</v>
      </c>
      <c r="Q13" s="367" t="n">
        <f aca="false">2.66*1.04</f>
        <v>2.7664</v>
      </c>
      <c r="R13" s="368" t="n">
        <v>0</v>
      </c>
      <c r="S13" s="267" t="n">
        <v>0</v>
      </c>
      <c r="T13" s="267"/>
      <c r="U13" s="267" t="n">
        <f aca="false">M13-N13-O13-P13-Q13-R13+S13+T13</f>
        <v>-0.0822000000000007</v>
      </c>
      <c r="V13" s="242"/>
      <c r="W13" s="242"/>
      <c r="X13" s="267"/>
      <c r="Y13" s="269"/>
      <c r="Z13" s="270"/>
      <c r="AA13" s="267" t="n">
        <v>25</v>
      </c>
      <c r="AB13" s="242" t="n">
        <f aca="false">AB12-AA13</f>
        <v>1679</v>
      </c>
      <c r="AC13" s="127" t="n">
        <f aca="false">N13+O13+P13+Q13+R13+U13+X13+AA13</f>
        <v>29</v>
      </c>
      <c r="AD13" s="267" t="n">
        <f aca="false">IF(L13&lt;0,L13*-1,0)</f>
        <v>0</v>
      </c>
      <c r="AE13" s="267" t="n">
        <f aca="false">AC13+AD13</f>
        <v>29</v>
      </c>
      <c r="AF13" s="248" t="n">
        <v>0</v>
      </c>
      <c r="AG13" s="244" t="n">
        <v>42</v>
      </c>
      <c r="AH13" s="249" t="n">
        <v>15</v>
      </c>
      <c r="AI13" s="244" t="n">
        <f aca="false">AI12+(U13*1.9835)</f>
        <v>14208.3391515</v>
      </c>
      <c r="AJ13" s="244" t="n">
        <v>0</v>
      </c>
      <c r="AK13" s="250"/>
      <c r="AL13" s="242"/>
      <c r="AM13" s="362"/>
    </row>
    <row r="14" customFormat="false" ht="12.95" hidden="false" customHeight="true" outlineLevel="0" collapsed="false">
      <c r="A14" s="172" t="n">
        <f aca="false">A13+1</f>
        <v>3</v>
      </c>
      <c r="B14" s="252" t="n">
        <v>6877.23</v>
      </c>
      <c r="C14" s="242" t="n">
        <v>207975</v>
      </c>
      <c r="D14" s="244" t="n">
        <f aca="false">C14-C13</f>
        <v>87</v>
      </c>
      <c r="E14" s="242" t="n">
        <f aca="false">C14-152000</f>
        <v>55975</v>
      </c>
      <c r="F14" s="266" t="n">
        <f aca="false">D14/$D$2</f>
        <v>43.8618603478699</v>
      </c>
      <c r="G14" s="267" t="n">
        <v>52</v>
      </c>
      <c r="H14" s="360" t="n">
        <v>4.4</v>
      </c>
      <c r="I14" s="267" t="n">
        <f aca="false">G14+H14</f>
        <v>56.4</v>
      </c>
      <c r="J14" s="247" t="n">
        <f aca="false">IF(L14&gt;0,L14,0)</f>
        <v>16.4618603478699</v>
      </c>
      <c r="K14" s="267" t="n">
        <f aca="false">I14+J14</f>
        <v>72.8618603478699</v>
      </c>
      <c r="L14" s="267" t="n">
        <f aca="false">F14-(I14-AC14)</f>
        <v>16.4618603478699</v>
      </c>
      <c r="M14" s="269" t="n">
        <v>4</v>
      </c>
      <c r="N14" s="267" t="n">
        <v>0</v>
      </c>
      <c r="O14" s="267" t="n">
        <v>0</v>
      </c>
      <c r="P14" s="367" t="n">
        <f aca="false">1.29*1.02</f>
        <v>1.3158</v>
      </c>
      <c r="Q14" s="367" t="n">
        <f aca="false">2.39*1.04</f>
        <v>2.4856</v>
      </c>
      <c r="R14" s="368" t="n">
        <v>0</v>
      </c>
      <c r="S14" s="267" t="n">
        <v>0</v>
      </c>
      <c r="T14" s="267"/>
      <c r="U14" s="267" t="n">
        <f aca="false">M14-N14-O14-P14-Q14-R14+S14+T14</f>
        <v>0.198599999999999</v>
      </c>
      <c r="V14" s="242"/>
      <c r="W14" s="242"/>
      <c r="X14" s="267"/>
      <c r="Y14" s="269"/>
      <c r="Z14" s="270"/>
      <c r="AA14" s="267" t="n">
        <v>25</v>
      </c>
      <c r="AB14" s="242" t="n">
        <f aca="false">AB13-AA14</f>
        <v>1654</v>
      </c>
      <c r="AC14" s="127" t="n">
        <f aca="false">N14+O14+P14+Q14+R14+U14+X14+AA14</f>
        <v>29</v>
      </c>
      <c r="AD14" s="267" t="n">
        <f aca="false">IF(L14&lt;0,L14*-1,0)</f>
        <v>0</v>
      </c>
      <c r="AE14" s="267" t="n">
        <f aca="false">AC14+AD14</f>
        <v>29</v>
      </c>
      <c r="AF14" s="248" t="n">
        <v>0</v>
      </c>
      <c r="AG14" s="244" t="n">
        <v>46</v>
      </c>
      <c r="AH14" s="249" t="n">
        <v>18</v>
      </c>
      <c r="AI14" s="244" t="n">
        <f aca="false">AI13+(U14*1.9835)</f>
        <v>14208.7330746</v>
      </c>
      <c r="AJ14" s="244" t="n">
        <v>0</v>
      </c>
      <c r="AK14" s="250"/>
      <c r="AL14" s="242"/>
      <c r="AM14" s="362"/>
    </row>
    <row r="15" customFormat="false" ht="12.95" hidden="false" customHeight="true" outlineLevel="0" collapsed="false">
      <c r="A15" s="172" t="n">
        <f aca="false">A14+1</f>
        <v>4</v>
      </c>
      <c r="B15" s="252" t="n">
        <v>6877.25</v>
      </c>
      <c r="C15" s="242" t="n">
        <v>208034</v>
      </c>
      <c r="D15" s="244" t="n">
        <f aca="false">C15-C14</f>
        <v>59</v>
      </c>
      <c r="E15" s="242" t="n">
        <f aca="false">C15-152000</f>
        <v>56034</v>
      </c>
      <c r="F15" s="266" t="n">
        <f aca="false">D15/$D$2</f>
        <v>29.7453995462566</v>
      </c>
      <c r="G15" s="267" t="n">
        <v>61</v>
      </c>
      <c r="H15" s="360" t="n">
        <v>4.2</v>
      </c>
      <c r="I15" s="267" t="n">
        <f aca="false">G15+H15</f>
        <v>65.2</v>
      </c>
      <c r="J15" s="247" t="n">
        <f aca="false">IF(L15&gt;0,L15,0)</f>
        <v>0</v>
      </c>
      <c r="K15" s="267" t="n">
        <f aca="false">I15+J15</f>
        <v>65.2</v>
      </c>
      <c r="L15" s="267" t="n">
        <f aca="false">F15-(I15-AC15)</f>
        <v>-6.45460045374339</v>
      </c>
      <c r="M15" s="269" t="n">
        <v>4</v>
      </c>
      <c r="N15" s="267" t="n">
        <v>0</v>
      </c>
      <c r="O15" s="267" t="n">
        <v>0</v>
      </c>
      <c r="P15" s="367" t="n">
        <f aca="false">1.29*1.02</f>
        <v>1.3158</v>
      </c>
      <c r="Q15" s="367" t="n">
        <f aca="false">2.52*1.04</f>
        <v>2.6208</v>
      </c>
      <c r="R15" s="368" t="n">
        <v>0</v>
      </c>
      <c r="S15" s="267" t="n">
        <v>0</v>
      </c>
      <c r="T15" s="267"/>
      <c r="U15" s="267" t="n">
        <f aca="false">M15-N15-O15-P15-Q15-R15+S15+T15</f>
        <v>0.0633999999999997</v>
      </c>
      <c r="V15" s="242"/>
      <c r="W15" s="242"/>
      <c r="X15" s="267"/>
      <c r="Y15" s="269"/>
      <c r="Z15" s="270"/>
      <c r="AA15" s="267" t="n">
        <v>25</v>
      </c>
      <c r="AB15" s="242" t="n">
        <f aca="false">AB14-AA15</f>
        <v>1629</v>
      </c>
      <c r="AC15" s="127" t="n">
        <f aca="false">N15+O15+P15+Q15+R15+U15+X15+AA15</f>
        <v>29</v>
      </c>
      <c r="AD15" s="267" t="n">
        <f aca="false">IF(L15&lt;0,L15*-1,0)</f>
        <v>6.45460045374339</v>
      </c>
      <c r="AE15" s="267" t="n">
        <f aca="false">AC15+AD15</f>
        <v>35.4546004537434</v>
      </c>
      <c r="AF15" s="248" t="n">
        <v>0</v>
      </c>
      <c r="AG15" s="244" t="n">
        <v>48</v>
      </c>
      <c r="AH15" s="249" t="n">
        <v>21</v>
      </c>
      <c r="AI15" s="244" t="n">
        <f aca="false">AI14+(U15*1.9835)</f>
        <v>14208.8588285</v>
      </c>
      <c r="AJ15" s="244" t="n">
        <v>0</v>
      </c>
      <c r="AK15" s="250"/>
      <c r="AL15" s="242"/>
      <c r="AM15" s="362"/>
    </row>
    <row r="16" customFormat="false" ht="12.95" hidden="false" customHeight="true" outlineLevel="0" collapsed="false">
      <c r="A16" s="172" t="n">
        <f aca="false">A15+1</f>
        <v>5</v>
      </c>
      <c r="B16" s="252" t="n">
        <v>6877.28</v>
      </c>
      <c r="C16" s="242" t="n">
        <v>208121</v>
      </c>
      <c r="D16" s="244" t="n">
        <f aca="false">C16-C15</f>
        <v>87</v>
      </c>
      <c r="E16" s="242" t="n">
        <f aca="false">C16-152000</f>
        <v>56121</v>
      </c>
      <c r="F16" s="266" t="n">
        <f aca="false">D16/$D$2</f>
        <v>43.8618603478699</v>
      </c>
      <c r="G16" s="267" t="n">
        <v>68</v>
      </c>
      <c r="H16" s="360" t="n">
        <v>3.6</v>
      </c>
      <c r="I16" s="267" t="n">
        <f aca="false">G16+H16</f>
        <v>71.6</v>
      </c>
      <c r="J16" s="247" t="n">
        <f aca="false">IF(L16&gt;0,L16,0)</f>
        <v>1.26186034786993</v>
      </c>
      <c r="K16" s="267" t="n">
        <f aca="false">I16+J16</f>
        <v>72.8618603478699</v>
      </c>
      <c r="L16" s="267" t="n">
        <f aca="false">F16-(I16-AC16)</f>
        <v>1.26186034786993</v>
      </c>
      <c r="M16" s="269" t="n">
        <v>4</v>
      </c>
      <c r="N16" s="267" t="n">
        <v>0</v>
      </c>
      <c r="O16" s="267" t="n">
        <v>0</v>
      </c>
      <c r="P16" s="367" t="n">
        <f aca="false">1.29*1.02</f>
        <v>1.3158</v>
      </c>
      <c r="Q16" s="367" t="n">
        <f aca="false">2.55*1.04</f>
        <v>2.652</v>
      </c>
      <c r="R16" s="368" t="n">
        <v>0</v>
      </c>
      <c r="S16" s="267" t="n">
        <v>0</v>
      </c>
      <c r="T16" s="267"/>
      <c r="U16" s="267" t="n">
        <f aca="false">M16-N16-O16-P16-Q16-R16+S16+T16</f>
        <v>0.0322</v>
      </c>
      <c r="V16" s="242"/>
      <c r="W16" s="242"/>
      <c r="X16" s="267"/>
      <c r="Y16" s="269"/>
      <c r="Z16" s="270"/>
      <c r="AA16" s="267" t="n">
        <v>25</v>
      </c>
      <c r="AB16" s="242" t="n">
        <f aca="false">AB15-AA16</f>
        <v>1604</v>
      </c>
      <c r="AC16" s="127" t="n">
        <f aca="false">N16+O16+P16+Q16+R16+U16+X16+AA16</f>
        <v>29</v>
      </c>
      <c r="AD16" s="267" t="n">
        <f aca="false">IF(L16&lt;0,L16*-1,0)</f>
        <v>0</v>
      </c>
      <c r="AE16" s="267" t="n">
        <f aca="false">AC16+AD16</f>
        <v>29</v>
      </c>
      <c r="AF16" s="248" t="n">
        <v>0</v>
      </c>
      <c r="AG16" s="244" t="n">
        <v>47</v>
      </c>
      <c r="AH16" s="249" t="n">
        <v>24</v>
      </c>
      <c r="AI16" s="244" t="n">
        <f aca="false">AI15+(U16*1.9835)</f>
        <v>14208.9226972</v>
      </c>
      <c r="AJ16" s="244" t="n">
        <v>0</v>
      </c>
      <c r="AK16" s="250"/>
      <c r="AL16" s="242"/>
      <c r="AM16" s="362"/>
    </row>
    <row r="17" customFormat="false" ht="12.95" hidden="false" customHeight="true" outlineLevel="0" collapsed="false">
      <c r="A17" s="172" t="n">
        <f aca="false">A16+1</f>
        <v>6</v>
      </c>
      <c r="B17" s="252" t="n">
        <v>6877.31</v>
      </c>
      <c r="C17" s="242" t="n">
        <v>208209</v>
      </c>
      <c r="D17" s="244" t="n">
        <f aca="false">C17-C16</f>
        <v>88</v>
      </c>
      <c r="E17" s="242" t="n">
        <f aca="false">C17-152000</f>
        <v>56209</v>
      </c>
      <c r="F17" s="266" t="n">
        <f aca="false">D17/$D$2</f>
        <v>44.3660196622133</v>
      </c>
      <c r="G17" s="267" t="n">
        <v>98</v>
      </c>
      <c r="H17" s="360" t="n">
        <v>3.6</v>
      </c>
      <c r="I17" s="267" t="n">
        <f aca="false">G17+H17</f>
        <v>101.6</v>
      </c>
      <c r="J17" s="247" t="n">
        <f aca="false">IF(L17&gt;0,L17,0)</f>
        <v>0</v>
      </c>
      <c r="K17" s="267" t="n">
        <f aca="false">I17+J17</f>
        <v>101.6</v>
      </c>
      <c r="L17" s="267" t="n">
        <f aca="false">F17-(I17-AC17)</f>
        <v>-28.2339803377867</v>
      </c>
      <c r="M17" s="269" t="n">
        <v>4</v>
      </c>
      <c r="N17" s="267" t="n">
        <v>0</v>
      </c>
      <c r="O17" s="267" t="n">
        <v>0</v>
      </c>
      <c r="P17" s="367" t="n">
        <f aca="false">1.29*1.02</f>
        <v>1.3158</v>
      </c>
      <c r="Q17" s="367" t="n">
        <f aca="false">2.41*1.04</f>
        <v>2.5064</v>
      </c>
      <c r="R17" s="368" t="n">
        <v>0</v>
      </c>
      <c r="S17" s="267" t="n">
        <v>0</v>
      </c>
      <c r="T17" s="267"/>
      <c r="U17" s="267" t="n">
        <f aca="false">M17-N17-O17-P17-Q17-R17+S17+T17</f>
        <v>0.1778</v>
      </c>
      <c r="V17" s="242"/>
      <c r="W17" s="242"/>
      <c r="X17" s="267"/>
      <c r="Y17" s="269"/>
      <c r="Z17" s="270"/>
      <c r="AA17" s="267" t="n">
        <v>25</v>
      </c>
      <c r="AB17" s="242" t="n">
        <f aca="false">AB16-AA17</f>
        <v>1579</v>
      </c>
      <c r="AC17" s="127" t="n">
        <f aca="false">N17+O17+P17+Q17+R17+U17+X17+AA17</f>
        <v>29</v>
      </c>
      <c r="AD17" s="267" t="n">
        <f aca="false">IF(L17&lt;0,L17*-1,0)</f>
        <v>28.2339803377867</v>
      </c>
      <c r="AE17" s="267" t="n">
        <f aca="false">AC17+AD17</f>
        <v>57.2339803377867</v>
      </c>
      <c r="AF17" s="248" t="n">
        <v>0</v>
      </c>
      <c r="AG17" s="244" t="n">
        <v>45</v>
      </c>
      <c r="AH17" s="249" t="n">
        <v>24</v>
      </c>
      <c r="AI17" s="244" t="n">
        <f aca="false">AI16+(U17*1.9835)</f>
        <v>14209.2753635</v>
      </c>
      <c r="AJ17" s="244" t="n">
        <v>0</v>
      </c>
      <c r="AK17" s="267"/>
      <c r="AL17" s="242"/>
      <c r="AM17" s="362"/>
    </row>
    <row r="18" customFormat="false" ht="12.95" hidden="false" customHeight="true" outlineLevel="0" collapsed="false">
      <c r="A18" s="172" t="n">
        <f aca="false">A17+1</f>
        <v>7</v>
      </c>
      <c r="B18" s="252" t="n">
        <v>6877.43</v>
      </c>
      <c r="C18" s="242" t="n">
        <v>208560</v>
      </c>
      <c r="D18" s="244" t="n">
        <f aca="false">C18-C17</f>
        <v>351</v>
      </c>
      <c r="E18" s="242" t="n">
        <f aca="false">C18-152000</f>
        <v>56560</v>
      </c>
      <c r="F18" s="266" t="n">
        <f aca="false">D18/$D$2</f>
        <v>176.95991933451</v>
      </c>
      <c r="G18" s="267" t="n">
        <v>106</v>
      </c>
      <c r="H18" s="360" t="n">
        <v>3.8</v>
      </c>
      <c r="I18" s="267" t="n">
        <f aca="false">G18+H18</f>
        <v>109.8</v>
      </c>
      <c r="J18" s="247" t="n">
        <f aca="false">IF(L18&gt;0,L18,0)</f>
        <v>96.1599193345097</v>
      </c>
      <c r="K18" s="267" t="n">
        <f aca="false">I18+J18</f>
        <v>205.95991933451</v>
      </c>
      <c r="L18" s="267" t="n">
        <f aca="false">F18-(I18-AC18)</f>
        <v>96.1599193345097</v>
      </c>
      <c r="M18" s="269" t="n">
        <v>4</v>
      </c>
      <c r="N18" s="267" t="n">
        <v>0</v>
      </c>
      <c r="O18" s="267" t="n">
        <v>0</v>
      </c>
      <c r="P18" s="367" t="n">
        <f aca="false">1.29*1.02</f>
        <v>1.3158</v>
      </c>
      <c r="Q18" s="367" t="n">
        <f aca="false">2.33*1.04</f>
        <v>2.4232</v>
      </c>
      <c r="R18" s="368" t="n">
        <v>0</v>
      </c>
      <c r="S18" s="267" t="n">
        <v>0</v>
      </c>
      <c r="T18" s="267"/>
      <c r="U18" s="267" t="n">
        <f aca="false">M18-N18-O18-P18-Q18-R18+S18+T18</f>
        <v>0.261</v>
      </c>
      <c r="V18" s="242"/>
      <c r="W18" s="242"/>
      <c r="X18" s="267"/>
      <c r="Y18" s="269"/>
      <c r="Z18" s="270"/>
      <c r="AA18" s="267" t="n">
        <v>25</v>
      </c>
      <c r="AB18" s="242" t="n">
        <f aca="false">AB17-AA18</f>
        <v>1554</v>
      </c>
      <c r="AC18" s="127" t="n">
        <f aca="false">N18+O18+P18+Q18+R18+U18+X18+AA18</f>
        <v>29</v>
      </c>
      <c r="AD18" s="267" t="n">
        <f aca="false">IF(L18&lt;0,L18*-1,0)</f>
        <v>0</v>
      </c>
      <c r="AE18" s="267" t="n">
        <f aca="false">AC18+AD18</f>
        <v>29</v>
      </c>
      <c r="AF18" s="248" t="n">
        <v>0.81</v>
      </c>
      <c r="AG18" s="244" t="n">
        <v>37</v>
      </c>
      <c r="AH18" s="249" t="n">
        <v>28</v>
      </c>
      <c r="AI18" s="244" t="n">
        <f aca="false">AI17+(U18*1.9835)</f>
        <v>14209.793057</v>
      </c>
      <c r="AJ18" s="244" t="n">
        <v>0</v>
      </c>
      <c r="AK18" s="267"/>
      <c r="AL18" s="242"/>
      <c r="AM18" s="362"/>
    </row>
    <row r="19" customFormat="false" ht="12.95" hidden="false" customHeight="true" outlineLevel="0" collapsed="false">
      <c r="A19" s="172" t="n">
        <f aca="false">A18+1</f>
        <v>8</v>
      </c>
      <c r="B19" s="252" t="n">
        <v>6877.53</v>
      </c>
      <c r="C19" s="242" t="n">
        <v>208793</v>
      </c>
      <c r="D19" s="244" t="n">
        <f aca="false">C19-C18</f>
        <v>233</v>
      </c>
      <c r="E19" s="242" t="n">
        <f aca="false">C19-152000</f>
        <v>56793</v>
      </c>
      <c r="F19" s="266" t="n">
        <f aca="false">D19/$D$2</f>
        <v>117.469120241996</v>
      </c>
      <c r="G19" s="267" t="n">
        <v>93</v>
      </c>
      <c r="H19" s="360" t="n">
        <v>4.2</v>
      </c>
      <c r="I19" s="267" t="n">
        <f aca="false">G19+H19</f>
        <v>97.2</v>
      </c>
      <c r="J19" s="247" t="n">
        <f aca="false">IF(L19&gt;0,L19,0)</f>
        <v>49.2691202419965</v>
      </c>
      <c r="K19" s="267" t="n">
        <f aca="false">I19+J19</f>
        <v>146.469120241996</v>
      </c>
      <c r="L19" s="267" t="n">
        <f aca="false">F19-(I19-AC19)</f>
        <v>49.2691202419965</v>
      </c>
      <c r="M19" s="269" t="n">
        <v>4</v>
      </c>
      <c r="N19" s="267" t="n">
        <v>0</v>
      </c>
      <c r="O19" s="267" t="n">
        <v>0</v>
      </c>
      <c r="P19" s="367" t="n">
        <f aca="false">1.29*1.02</f>
        <v>1.3158</v>
      </c>
      <c r="Q19" s="367" t="n">
        <f aca="false">2.2*1.04</f>
        <v>2.288</v>
      </c>
      <c r="R19" s="368" t="n">
        <v>0</v>
      </c>
      <c r="S19" s="267" t="n">
        <v>0</v>
      </c>
      <c r="T19" s="267"/>
      <c r="U19" s="267" t="n">
        <f aca="false">M19-N19-O19-P19-Q19-R19+S19+T19</f>
        <v>0.396199999999999</v>
      </c>
      <c r="V19" s="242"/>
      <c r="W19" s="242"/>
      <c r="X19" s="267"/>
      <c r="Y19" s="269"/>
      <c r="Z19" s="270"/>
      <c r="AA19" s="267" t="n">
        <v>25</v>
      </c>
      <c r="AB19" s="242" t="n">
        <f aca="false">AB18-AA19</f>
        <v>1529</v>
      </c>
      <c r="AC19" s="127" t="n">
        <f aca="false">N19+O19+P19+Q19+R19+U19+X19+AA19</f>
        <v>29</v>
      </c>
      <c r="AD19" s="267" t="n">
        <f aca="false">IF(L19&lt;0,L19*-1,0)</f>
        <v>0</v>
      </c>
      <c r="AE19" s="267" t="n">
        <f aca="false">AC19+AD19</f>
        <v>29</v>
      </c>
      <c r="AF19" s="248" t="n">
        <v>0</v>
      </c>
      <c r="AG19" s="244" t="n">
        <v>36</v>
      </c>
      <c r="AH19" s="249" t="n">
        <v>11</v>
      </c>
      <c r="AI19" s="244" t="n">
        <f aca="false">AI18+(U19*1.9835)</f>
        <v>14210.5789197</v>
      </c>
      <c r="AJ19" s="244" t="n">
        <v>0</v>
      </c>
      <c r="AK19" s="267"/>
      <c r="AL19" s="242"/>
      <c r="AM19" s="362"/>
    </row>
    <row r="20" customFormat="false" ht="12.95" hidden="false" customHeight="true" outlineLevel="0" collapsed="false">
      <c r="A20" s="172" t="n">
        <f aca="false">A19+1</f>
        <v>9</v>
      </c>
      <c r="B20" s="252" t="n">
        <v>6877.56</v>
      </c>
      <c r="C20" s="242" t="n">
        <v>208939</v>
      </c>
      <c r="D20" s="244" t="n">
        <f aca="false">C20-C19</f>
        <v>146</v>
      </c>
      <c r="E20" s="242" t="n">
        <f aca="false">C20-152000</f>
        <v>56939</v>
      </c>
      <c r="F20" s="266" t="n">
        <f aca="false">D20/$D$2</f>
        <v>73.6072598941265</v>
      </c>
      <c r="G20" s="267" t="n">
        <v>72</v>
      </c>
      <c r="H20" s="360" t="n">
        <v>5.1</v>
      </c>
      <c r="I20" s="267" t="n">
        <f aca="false">G20+H20</f>
        <v>77.1</v>
      </c>
      <c r="J20" s="247" t="n">
        <f aca="false">IF(L20&gt;0,L20,0)</f>
        <v>25.5072598941265</v>
      </c>
      <c r="K20" s="267" t="n">
        <f aca="false">I20+J20</f>
        <v>102.607259894127</v>
      </c>
      <c r="L20" s="267" t="n">
        <f aca="false">F20-(I20-AC20)</f>
        <v>25.5072598941265</v>
      </c>
      <c r="M20" s="269" t="n">
        <v>4</v>
      </c>
      <c r="N20" s="267" t="n">
        <v>0</v>
      </c>
      <c r="O20" s="267" t="n">
        <v>0</v>
      </c>
      <c r="P20" s="367" t="n">
        <f aca="false">1.29*1.02</f>
        <v>1.3158</v>
      </c>
      <c r="Q20" s="367" t="n">
        <f aca="false">2.44*1.04</f>
        <v>2.5376</v>
      </c>
      <c r="R20" s="368" t="n">
        <v>0</v>
      </c>
      <c r="S20" s="267" t="n">
        <v>0</v>
      </c>
      <c r="T20" s="267"/>
      <c r="U20" s="267" t="n">
        <f aca="false">M20-N20-O20-P20-Q20-R20+S20+T20</f>
        <v>0.1466</v>
      </c>
      <c r="V20" s="242"/>
      <c r="W20" s="242"/>
      <c r="X20" s="267"/>
      <c r="Y20" s="269"/>
      <c r="Z20" s="270"/>
      <c r="AA20" s="267" t="n">
        <v>25</v>
      </c>
      <c r="AB20" s="242" t="n">
        <f aca="false">AB19-AA20</f>
        <v>1504</v>
      </c>
      <c r="AC20" s="127" t="n">
        <f aca="false">N20+O20+P20+Q20+R20+U20+X20+AA20</f>
        <v>29</v>
      </c>
      <c r="AD20" s="267" t="n">
        <f aca="false">IF(L20&lt;0,L20*-1,0)</f>
        <v>0</v>
      </c>
      <c r="AE20" s="267" t="n">
        <f aca="false">AC20+AD20</f>
        <v>29</v>
      </c>
      <c r="AF20" s="248" t="n">
        <v>0</v>
      </c>
      <c r="AG20" s="250" t="n">
        <v>42</v>
      </c>
      <c r="AH20" s="249" t="n">
        <v>8</v>
      </c>
      <c r="AI20" s="244" t="n">
        <f aca="false">AI19+(U20*1.9835)</f>
        <v>14210.8697008</v>
      </c>
      <c r="AJ20" s="244" t="n">
        <v>0</v>
      </c>
      <c r="AK20" s="267"/>
      <c r="AL20" s="242"/>
      <c r="AM20" s="362"/>
    </row>
    <row r="21" customFormat="false" ht="12.95" hidden="false" customHeight="true" outlineLevel="0" collapsed="false">
      <c r="A21" s="172" t="n">
        <f aca="false">A20+1</f>
        <v>10</v>
      </c>
      <c r="B21" s="252" t="n">
        <v>6877.6</v>
      </c>
      <c r="C21" s="242" t="n">
        <v>209056</v>
      </c>
      <c r="D21" s="244" t="n">
        <f aca="false">C21-C20</f>
        <v>117</v>
      </c>
      <c r="E21" s="242" t="n">
        <f aca="false">C21-152000</f>
        <v>57056</v>
      </c>
      <c r="F21" s="266" t="n">
        <f aca="false">D21/$D$2</f>
        <v>58.9866397781699</v>
      </c>
      <c r="G21" s="267" t="n">
        <v>56</v>
      </c>
      <c r="H21" s="360" t="n">
        <v>5</v>
      </c>
      <c r="I21" s="267" t="n">
        <f aca="false">G21+H21</f>
        <v>61</v>
      </c>
      <c r="J21" s="247" t="n">
        <f aca="false">IF(L21&gt;0,L21,0)</f>
        <v>26.9866397781699</v>
      </c>
      <c r="K21" s="267" t="n">
        <f aca="false">I21+J21</f>
        <v>87.9866397781699</v>
      </c>
      <c r="L21" s="267" t="n">
        <f aca="false">F21-(I21-AC21)</f>
        <v>26.9866397781699</v>
      </c>
      <c r="M21" s="269" t="n">
        <v>4</v>
      </c>
      <c r="N21" s="267" t="n">
        <v>0</v>
      </c>
      <c r="O21" s="267" t="n">
        <v>0</v>
      </c>
      <c r="P21" s="367" t="n">
        <f aca="false">1.29*1.02</f>
        <v>1.3158</v>
      </c>
      <c r="Q21" s="367" t="n">
        <f aca="false">2.23*1.04</f>
        <v>2.3192</v>
      </c>
      <c r="R21" s="368" t="n">
        <v>0</v>
      </c>
      <c r="S21" s="267" t="n">
        <v>0</v>
      </c>
      <c r="T21" s="267"/>
      <c r="U21" s="267" t="n">
        <f aca="false">M21-N21-O21-P21-Q21-R21+S21+T21</f>
        <v>0.365</v>
      </c>
      <c r="V21" s="242"/>
      <c r="W21" s="242"/>
      <c r="X21" s="267"/>
      <c r="Y21" s="269"/>
      <c r="Z21" s="270"/>
      <c r="AA21" s="267" t="n">
        <v>25</v>
      </c>
      <c r="AB21" s="242" t="n">
        <f aca="false">AB20-AA21</f>
        <v>1479</v>
      </c>
      <c r="AC21" s="127" t="n">
        <f aca="false">N21+O21+P21+Q21+R21+U21+X21+AA21</f>
        <v>29</v>
      </c>
      <c r="AD21" s="267" t="n">
        <f aca="false">IF(L21&lt;0,L21*-1,0)</f>
        <v>0</v>
      </c>
      <c r="AE21" s="267" t="n">
        <f aca="false">AC21+AD21</f>
        <v>29</v>
      </c>
      <c r="AF21" s="248" t="n">
        <v>0</v>
      </c>
      <c r="AG21" s="244" t="n">
        <v>51</v>
      </c>
      <c r="AH21" s="249" t="n">
        <v>18</v>
      </c>
      <c r="AI21" s="244" t="n">
        <f aca="false">AI20+(U21*1.9835)</f>
        <v>14211.5936783</v>
      </c>
      <c r="AJ21" s="244" t="n">
        <v>0</v>
      </c>
      <c r="AK21" s="267"/>
      <c r="AL21" s="242"/>
      <c r="AM21" s="362"/>
    </row>
    <row r="22" customFormat="false" ht="12.95" hidden="false" customHeight="true" outlineLevel="0" collapsed="false">
      <c r="A22" s="172" t="n">
        <f aca="false">A21+1</f>
        <v>11</v>
      </c>
      <c r="B22" s="252" t="n">
        <v>6877.66</v>
      </c>
      <c r="C22" s="242" t="n">
        <v>209232</v>
      </c>
      <c r="D22" s="244" t="n">
        <f aca="false">C22-C21</f>
        <v>176</v>
      </c>
      <c r="E22" s="242" t="n">
        <f aca="false">C22-152000</f>
        <v>57232</v>
      </c>
      <c r="F22" s="266" t="n">
        <f aca="false">D22/$D$2</f>
        <v>88.7320393244265</v>
      </c>
      <c r="G22" s="267" t="n">
        <v>94</v>
      </c>
      <c r="H22" s="360" t="n">
        <v>3.2</v>
      </c>
      <c r="I22" s="267" t="n">
        <f aca="false">G22+H22</f>
        <v>97.2</v>
      </c>
      <c r="J22" s="247" t="n">
        <f aca="false">IF(L22&gt;0,L22,0)</f>
        <v>20.6320393244265</v>
      </c>
      <c r="K22" s="267" t="n">
        <f aca="false">I22+J22</f>
        <v>117.832039324427</v>
      </c>
      <c r="L22" s="267" t="n">
        <f aca="false">F22-(I22-AC22)</f>
        <v>20.6320393244265</v>
      </c>
      <c r="M22" s="269" t="n">
        <v>4.1</v>
      </c>
      <c r="N22" s="267" t="n">
        <v>0</v>
      </c>
      <c r="O22" s="267" t="n">
        <v>0</v>
      </c>
      <c r="P22" s="367" t="n">
        <f aca="false">1.29*1.02</f>
        <v>1.3158</v>
      </c>
      <c r="Q22" s="367" t="n">
        <f aca="false">2.25*1.04</f>
        <v>2.34</v>
      </c>
      <c r="R22" s="368" t="n">
        <v>0</v>
      </c>
      <c r="S22" s="267" t="n">
        <v>0</v>
      </c>
      <c r="T22" s="267"/>
      <c r="U22" s="267" t="n">
        <f aca="false">M22-N22-O22-P22-Q22-R22+S22+T22</f>
        <v>0.4442</v>
      </c>
      <c r="V22" s="242"/>
      <c r="W22" s="242"/>
      <c r="X22" s="267"/>
      <c r="Y22" s="269"/>
      <c r="Z22" s="270"/>
      <c r="AA22" s="267" t="n">
        <v>25</v>
      </c>
      <c r="AB22" s="242" t="n">
        <f aca="false">AB21-AA22</f>
        <v>1454</v>
      </c>
      <c r="AC22" s="127" t="n">
        <f aca="false">N22+O22+P22+Q22+R22+U22+X22+AA22</f>
        <v>29.1</v>
      </c>
      <c r="AD22" s="267" t="n">
        <f aca="false">IF(L22&lt;0,L22*-1,0)</f>
        <v>0</v>
      </c>
      <c r="AE22" s="267" t="n">
        <f aca="false">AC22+AD22</f>
        <v>29.1</v>
      </c>
      <c r="AF22" s="248" t="n">
        <v>0.3</v>
      </c>
      <c r="AG22" s="244" t="n">
        <v>43</v>
      </c>
      <c r="AH22" s="249" t="n">
        <v>32</v>
      </c>
      <c r="AI22" s="244" t="n">
        <f aca="false">AI21+(U22*1.9835)</f>
        <v>14212.474749</v>
      </c>
      <c r="AJ22" s="244" t="n">
        <v>0</v>
      </c>
      <c r="AK22" s="267"/>
      <c r="AL22" s="242"/>
      <c r="AM22" s="362"/>
    </row>
    <row r="23" customFormat="false" ht="12.95" hidden="false" customHeight="true" outlineLevel="0" collapsed="false">
      <c r="A23" s="172" t="n">
        <f aca="false">A22+1</f>
        <v>12</v>
      </c>
      <c r="B23" s="252" t="n">
        <v>6877.85</v>
      </c>
      <c r="C23" s="242" t="n">
        <v>209787</v>
      </c>
      <c r="D23" s="244" t="n">
        <f aca="false">C23-C22</f>
        <v>555</v>
      </c>
      <c r="E23" s="242" t="n">
        <f aca="false">C23-152000</f>
        <v>57787</v>
      </c>
      <c r="F23" s="266" t="n">
        <f aca="false">D23/$D$2</f>
        <v>279.80841946055</v>
      </c>
      <c r="G23" s="267" t="n">
        <v>126</v>
      </c>
      <c r="H23" s="360" t="n">
        <v>8.3</v>
      </c>
      <c r="I23" s="267" t="n">
        <f aca="false">G23+H23</f>
        <v>134.3</v>
      </c>
      <c r="J23" s="247" t="n">
        <f aca="false">IF(L23&gt;0,L23,0)</f>
        <v>175.60841946055</v>
      </c>
      <c r="K23" s="267" t="n">
        <f aca="false">I23+J23</f>
        <v>309.90841946055</v>
      </c>
      <c r="L23" s="267" t="n">
        <f aca="false">F23-(I23-AC23)</f>
        <v>175.60841946055</v>
      </c>
      <c r="M23" s="269" t="n">
        <v>4.1</v>
      </c>
      <c r="N23" s="267" t="n">
        <v>0</v>
      </c>
      <c r="O23" s="267" t="n">
        <v>0</v>
      </c>
      <c r="P23" s="367" t="n">
        <f aca="false">1.29*1.02</f>
        <v>1.3158</v>
      </c>
      <c r="Q23" s="367" t="n">
        <f aca="false">2.37*1.04</f>
        <v>2.4648</v>
      </c>
      <c r="R23" s="368" t="n">
        <v>0</v>
      </c>
      <c r="S23" s="267" t="n">
        <v>0</v>
      </c>
      <c r="T23" s="267"/>
      <c r="U23" s="267" t="n">
        <f aca="false">M23-N23-O23-P23-Q23-R23+S23+T23</f>
        <v>0.319399999999999</v>
      </c>
      <c r="V23" s="242"/>
      <c r="W23" s="242"/>
      <c r="X23" s="267"/>
      <c r="Y23" s="269"/>
      <c r="Z23" s="270"/>
      <c r="AA23" s="267" t="n">
        <v>26</v>
      </c>
      <c r="AB23" s="242" t="n">
        <f aca="false">AB22-AA23</f>
        <v>1428</v>
      </c>
      <c r="AC23" s="127" t="n">
        <f aca="false">N23+O23+P23+Q23+R23+U23+X23+AA23</f>
        <v>30.1</v>
      </c>
      <c r="AD23" s="267" t="n">
        <f aca="false">IF(L23&lt;0,L23*-1,0)</f>
        <v>0</v>
      </c>
      <c r="AE23" s="267" t="n">
        <f aca="false">AC23+AD23</f>
        <v>30.1</v>
      </c>
      <c r="AF23" s="248" t="n">
        <v>0.39</v>
      </c>
      <c r="AG23" s="244" t="n">
        <v>40</v>
      </c>
      <c r="AH23" s="249" t="n">
        <v>33</v>
      </c>
      <c r="AI23" s="244" t="n">
        <f aca="false">AI22+(U23*1.9835)</f>
        <v>14213.1082789</v>
      </c>
      <c r="AJ23" s="244" t="n">
        <v>0</v>
      </c>
      <c r="AK23" s="267"/>
      <c r="AL23" s="242"/>
      <c r="AM23" s="362"/>
    </row>
    <row r="24" customFormat="false" ht="12.95" hidden="false" customHeight="true" outlineLevel="0" collapsed="false">
      <c r="A24" s="172" t="n">
        <f aca="false">A23+1</f>
        <v>13</v>
      </c>
      <c r="B24" s="252" t="n">
        <v>6878.03</v>
      </c>
      <c r="C24" s="242" t="n">
        <v>210313</v>
      </c>
      <c r="D24" s="244" t="n">
        <f aca="false">C24-C23</f>
        <v>526</v>
      </c>
      <c r="E24" s="242" t="n">
        <f aca="false">C24-152000</f>
        <v>58313</v>
      </c>
      <c r="F24" s="266" t="n">
        <f aca="false">D24/$D$2</f>
        <v>265.187799344593</v>
      </c>
      <c r="G24" s="267" t="n">
        <v>109</v>
      </c>
      <c r="H24" s="360" t="n">
        <v>34</v>
      </c>
      <c r="I24" s="267" t="n">
        <f aca="false">G24+H24</f>
        <v>143</v>
      </c>
      <c r="J24" s="247" t="n">
        <f aca="false">IF(L24&gt;0,L24,0)</f>
        <v>151.187799344593</v>
      </c>
      <c r="K24" s="267" t="n">
        <f aca="false">I24+J24</f>
        <v>294.187799344593</v>
      </c>
      <c r="L24" s="267" t="n">
        <f aca="false">F24-(I24-AC24)</f>
        <v>151.187799344593</v>
      </c>
      <c r="M24" s="269" t="n">
        <v>4</v>
      </c>
      <c r="N24" s="267" t="n">
        <v>0</v>
      </c>
      <c r="O24" s="267" t="n">
        <v>0</v>
      </c>
      <c r="P24" s="367" t="n">
        <f aca="false">1.29*1.02</f>
        <v>1.3158</v>
      </c>
      <c r="Q24" s="367" t="n">
        <f aca="false">2.13*1.04</f>
        <v>2.2152</v>
      </c>
      <c r="R24" s="368" t="n">
        <v>0</v>
      </c>
      <c r="S24" s="267" t="n">
        <v>0</v>
      </c>
      <c r="T24" s="267"/>
      <c r="U24" s="267" t="n">
        <f aca="false">M24-N24-O24-P24-Q24-R24+S24+T24</f>
        <v>0.469</v>
      </c>
      <c r="V24" s="242"/>
      <c r="W24" s="242"/>
      <c r="X24" s="267"/>
      <c r="Y24" s="269"/>
      <c r="Z24" s="270"/>
      <c r="AA24" s="267" t="n">
        <v>25</v>
      </c>
      <c r="AB24" s="242" t="n">
        <f aca="false">AB23-AA24</f>
        <v>1403</v>
      </c>
      <c r="AC24" s="127" t="n">
        <f aca="false">N24+O24+P24+Q24+R24+U24+X24+AA24</f>
        <v>29</v>
      </c>
      <c r="AD24" s="267" t="n">
        <f aca="false">IF(L24&lt;0,L24*-1,0)</f>
        <v>0</v>
      </c>
      <c r="AE24" s="267" t="n">
        <f aca="false">AC24+AD24</f>
        <v>29</v>
      </c>
      <c r="AF24" s="248" t="n">
        <v>0</v>
      </c>
      <c r="AG24" s="244" t="n">
        <v>48</v>
      </c>
      <c r="AH24" s="249" t="n">
        <v>29</v>
      </c>
      <c r="AI24" s="244" t="n">
        <f aca="false">AI23+(U24*1.9835)</f>
        <v>14214.0385404</v>
      </c>
      <c r="AJ24" s="244" t="n">
        <v>0</v>
      </c>
      <c r="AK24" s="267"/>
      <c r="AL24" s="242"/>
      <c r="AM24" s="362"/>
    </row>
    <row r="25" customFormat="false" ht="12.95" hidden="false" customHeight="true" outlineLevel="0" collapsed="false">
      <c r="A25" s="172" t="n">
        <f aca="false">A24+1</f>
        <v>14</v>
      </c>
      <c r="B25" s="252" t="n">
        <v>6878.18</v>
      </c>
      <c r="C25" s="242" t="n">
        <v>210757</v>
      </c>
      <c r="D25" s="244" t="n">
        <f aca="false">C25-C24</f>
        <v>444</v>
      </c>
      <c r="E25" s="242" t="n">
        <f aca="false">C25-152000</f>
        <v>58757</v>
      </c>
      <c r="F25" s="266" t="n">
        <f aca="false">D25/$D$2</f>
        <v>223.84673556844</v>
      </c>
      <c r="G25" s="267" t="n">
        <v>102</v>
      </c>
      <c r="H25" s="360" t="n">
        <v>35</v>
      </c>
      <c r="I25" s="267" t="n">
        <f aca="false">G25+H25</f>
        <v>137</v>
      </c>
      <c r="J25" s="247" t="n">
        <f aca="false">IF(L25&gt;0,L25,0)</f>
        <v>115.84673556844</v>
      </c>
      <c r="K25" s="267" t="n">
        <f aca="false">I25+J25</f>
        <v>252.84673556844</v>
      </c>
      <c r="L25" s="267" t="n">
        <f aca="false">F25-(I25-AC25)</f>
        <v>115.84673556844</v>
      </c>
      <c r="M25" s="269" t="n">
        <v>4</v>
      </c>
      <c r="N25" s="267" t="n">
        <v>0</v>
      </c>
      <c r="O25" s="267" t="n">
        <v>0</v>
      </c>
      <c r="P25" s="367" t="n">
        <f aca="false">1.29*1.02</f>
        <v>1.3158</v>
      </c>
      <c r="Q25" s="367" t="n">
        <f aca="false">2.52*1.04</f>
        <v>2.6208</v>
      </c>
      <c r="R25" s="368" t="n">
        <v>0</v>
      </c>
      <c r="S25" s="267" t="n">
        <v>0</v>
      </c>
      <c r="T25" s="267"/>
      <c r="U25" s="267" t="n">
        <f aca="false">M25-N25-O25-P25-Q25-R25+S25+T25</f>
        <v>0.0633999999999997</v>
      </c>
      <c r="V25" s="242"/>
      <c r="W25" s="242"/>
      <c r="X25" s="267"/>
      <c r="Y25" s="269"/>
      <c r="Z25" s="270"/>
      <c r="AA25" s="267" t="n">
        <v>25</v>
      </c>
      <c r="AB25" s="242" t="n">
        <f aca="false">AB24-AA25</f>
        <v>1378</v>
      </c>
      <c r="AC25" s="127" t="n">
        <f aca="false">N25+O25+P25+Q25+R25+U25+X25+AA25</f>
        <v>29</v>
      </c>
      <c r="AD25" s="267" t="n">
        <f aca="false">IF(L25&lt;0,L25*-1,0)</f>
        <v>0</v>
      </c>
      <c r="AE25" s="267" t="n">
        <f aca="false">AC25+AD25</f>
        <v>29</v>
      </c>
      <c r="AF25" s="248" t="n">
        <v>0</v>
      </c>
      <c r="AG25" s="250" t="n">
        <v>45</v>
      </c>
      <c r="AH25" s="249" t="n">
        <v>31</v>
      </c>
      <c r="AI25" s="244" t="n">
        <f aca="false">AI24+(U25*1.9835)</f>
        <v>14214.1642943</v>
      </c>
      <c r="AJ25" s="244" t="n">
        <v>0</v>
      </c>
      <c r="AK25" s="267"/>
      <c r="AL25" s="242"/>
      <c r="AM25" s="362"/>
    </row>
    <row r="26" customFormat="false" ht="12.95" hidden="false" customHeight="true" outlineLevel="0" collapsed="false">
      <c r="A26" s="172" t="n">
        <f aca="false">A25+1</f>
        <v>15</v>
      </c>
      <c r="B26" s="252" t="n">
        <v>6878.29</v>
      </c>
      <c r="C26" s="242" t="n">
        <v>211081</v>
      </c>
      <c r="D26" s="244" t="n">
        <f aca="false">C26-C25</f>
        <v>324</v>
      </c>
      <c r="E26" s="242" t="n">
        <f aca="false">C26-152000</f>
        <v>59081</v>
      </c>
      <c r="F26" s="266" t="n">
        <f aca="false">D26/$D$2</f>
        <v>163.34761784724</v>
      </c>
      <c r="G26" s="267" t="n">
        <v>105</v>
      </c>
      <c r="H26" s="360" t="n">
        <v>30</v>
      </c>
      <c r="I26" s="267" t="n">
        <f aca="false">G26+H26</f>
        <v>135</v>
      </c>
      <c r="J26" s="247" t="n">
        <f aca="false">IF(L26&gt;0,L26,0)</f>
        <v>57.3476178472397</v>
      </c>
      <c r="K26" s="267" t="n">
        <f aca="false">I26+J26</f>
        <v>192.34761784724</v>
      </c>
      <c r="L26" s="267" t="n">
        <f aca="false">F26-(I26-AC26)</f>
        <v>57.3476178472397</v>
      </c>
      <c r="M26" s="269" t="n">
        <v>4</v>
      </c>
      <c r="N26" s="267" t="n">
        <v>0</v>
      </c>
      <c r="O26" s="267" t="n">
        <v>0</v>
      </c>
      <c r="P26" s="367" t="n">
        <f aca="false">1.29*1.02</f>
        <v>1.3158</v>
      </c>
      <c r="Q26" s="367" t="n">
        <f aca="false">2.33*1.04</f>
        <v>2.4232</v>
      </c>
      <c r="R26" s="368" t="n">
        <v>0</v>
      </c>
      <c r="S26" s="267" t="n">
        <v>0</v>
      </c>
      <c r="T26" s="267"/>
      <c r="U26" s="267" t="n">
        <f aca="false">M26-N26-O26-P26-Q26-R26+S26+T26</f>
        <v>0.261</v>
      </c>
      <c r="V26" s="242"/>
      <c r="W26" s="242"/>
      <c r="X26" s="267"/>
      <c r="Y26" s="269"/>
      <c r="Z26" s="270"/>
      <c r="AA26" s="267" t="n">
        <v>25</v>
      </c>
      <c r="AB26" s="242" t="n">
        <f aca="false">AB25-AA26</f>
        <v>1353</v>
      </c>
      <c r="AC26" s="127" t="n">
        <f aca="false">N26+O26+P26+Q26+R26+U26+X26+AA26</f>
        <v>29</v>
      </c>
      <c r="AD26" s="267" t="n">
        <f aca="false">IF(L26&lt;0,L26*-1,0)</f>
        <v>0</v>
      </c>
      <c r="AE26" s="267" t="n">
        <f aca="false">AC26+AD26</f>
        <v>29</v>
      </c>
      <c r="AF26" s="248" t="n">
        <v>0</v>
      </c>
      <c r="AG26" s="250" t="n">
        <v>46</v>
      </c>
      <c r="AH26" s="249" t="n">
        <v>33</v>
      </c>
      <c r="AI26" s="244" t="n">
        <f aca="false">AI25+(U26*1.9835)</f>
        <v>14214.6819878</v>
      </c>
      <c r="AJ26" s="244" t="n">
        <v>0</v>
      </c>
      <c r="AK26" s="267"/>
      <c r="AL26" s="242"/>
      <c r="AM26" s="362"/>
    </row>
    <row r="27" customFormat="false" ht="12.95" hidden="false" customHeight="true" outlineLevel="0" collapsed="false">
      <c r="A27" s="172" t="n">
        <f aca="false">A26+1</f>
        <v>16</v>
      </c>
      <c r="B27" s="252" t="n">
        <v>6878.48</v>
      </c>
      <c r="C27" s="242" t="n">
        <v>211643</v>
      </c>
      <c r="D27" s="244" t="n">
        <f aca="false">C27-C26</f>
        <v>562</v>
      </c>
      <c r="E27" s="242" t="n">
        <f aca="false">C27-152000</f>
        <v>59643</v>
      </c>
      <c r="F27" s="266" t="n">
        <f aca="false">D27/$D$2</f>
        <v>283.337534660953</v>
      </c>
      <c r="G27" s="267" t="n">
        <v>121</v>
      </c>
      <c r="H27" s="360" t="n">
        <v>23</v>
      </c>
      <c r="I27" s="267" t="n">
        <f aca="false">G27+H27</f>
        <v>144</v>
      </c>
      <c r="J27" s="247" t="n">
        <f aca="false">IF(L27&gt;0,L27,0)</f>
        <v>168.337534660953</v>
      </c>
      <c r="K27" s="267" t="n">
        <f aca="false">I27+J27</f>
        <v>312.337534660953</v>
      </c>
      <c r="L27" s="267" t="n">
        <f aca="false">F27-(I27-AC27)</f>
        <v>168.337534660953</v>
      </c>
      <c r="M27" s="269" t="n">
        <v>4</v>
      </c>
      <c r="N27" s="267" t="n">
        <v>0</v>
      </c>
      <c r="O27" s="267" t="n">
        <v>0</v>
      </c>
      <c r="P27" s="367" t="n">
        <f aca="false">1.29*1.02</f>
        <v>1.3158</v>
      </c>
      <c r="Q27" s="367" t="n">
        <f aca="false">3.3*1.04</f>
        <v>3.432</v>
      </c>
      <c r="R27" s="368" t="n">
        <v>0</v>
      </c>
      <c r="S27" s="267" t="n">
        <v>0</v>
      </c>
      <c r="T27" s="267"/>
      <c r="U27" s="267" t="n">
        <f aca="false">M27-N27-O27-P27-Q27-R27+S27+T27</f>
        <v>-0.7478</v>
      </c>
      <c r="V27" s="242"/>
      <c r="W27" s="242"/>
      <c r="X27" s="267"/>
      <c r="Y27" s="269"/>
      <c r="Z27" s="270"/>
      <c r="AA27" s="267" t="n">
        <v>25</v>
      </c>
      <c r="AB27" s="242" t="n">
        <f aca="false">AB26-AA27</f>
        <v>1328</v>
      </c>
      <c r="AC27" s="127" t="n">
        <f aca="false">N27+O27+P27+Q27+R27+U27+X27+AA27</f>
        <v>29</v>
      </c>
      <c r="AD27" s="267" t="n">
        <f aca="false">IF(L27&lt;0,L27*-1,0)</f>
        <v>0</v>
      </c>
      <c r="AE27" s="267" t="n">
        <f aca="false">AC27+AD27</f>
        <v>29</v>
      </c>
      <c r="AF27" s="248" t="n">
        <v>0.37</v>
      </c>
      <c r="AG27" s="250" t="n">
        <v>43</v>
      </c>
      <c r="AH27" s="249" t="n">
        <v>31</v>
      </c>
      <c r="AI27" s="244" t="n">
        <f aca="false">AI26+(U27*1.9835)</f>
        <v>14213.1987265</v>
      </c>
      <c r="AJ27" s="244" t="n">
        <v>0</v>
      </c>
      <c r="AK27" s="267"/>
      <c r="AL27" s="242"/>
      <c r="AM27" s="362"/>
    </row>
    <row r="28" customFormat="false" ht="12.95" hidden="false" customHeight="true" outlineLevel="0" collapsed="false">
      <c r="A28" s="172" t="n">
        <f aca="false">A27+1</f>
        <v>17</v>
      </c>
      <c r="B28" s="252" t="n">
        <v>6878.65</v>
      </c>
      <c r="C28" s="242" t="n">
        <v>212145</v>
      </c>
      <c r="D28" s="244" t="n">
        <f aca="false">C28-C27</f>
        <v>502</v>
      </c>
      <c r="E28" s="242" t="n">
        <f aca="false">C28-152000</f>
        <v>60145</v>
      </c>
      <c r="F28" s="266" t="n">
        <f aca="false">D28/$D$2</f>
        <v>253.087975800353</v>
      </c>
      <c r="G28" s="267" t="n">
        <v>112</v>
      </c>
      <c r="H28" s="360" t="n">
        <v>36</v>
      </c>
      <c r="I28" s="267" t="n">
        <f aca="false">G28+H28</f>
        <v>148</v>
      </c>
      <c r="J28" s="247" t="n">
        <f aca="false">IF(L28&gt;0,L28,0)</f>
        <v>134.087975800353</v>
      </c>
      <c r="K28" s="267" t="n">
        <f aca="false">I28+J28</f>
        <v>282.087975800353</v>
      </c>
      <c r="L28" s="267" t="n">
        <f aca="false">F28-(I28-AC28)</f>
        <v>134.087975800353</v>
      </c>
      <c r="M28" s="269" t="n">
        <v>4</v>
      </c>
      <c r="N28" s="267" t="n">
        <v>0</v>
      </c>
      <c r="O28" s="267" t="n">
        <v>0</v>
      </c>
      <c r="P28" s="367" t="n">
        <f aca="false">1.29*1.02</f>
        <v>1.3158</v>
      </c>
      <c r="Q28" s="367" t="n">
        <f aca="false">2.71*1.04</f>
        <v>2.8184</v>
      </c>
      <c r="R28" s="368" t="n">
        <v>0</v>
      </c>
      <c r="S28" s="267" t="n">
        <v>0</v>
      </c>
      <c r="T28" s="267"/>
      <c r="U28" s="267" t="n">
        <f aca="false">M28-N28-O28-P28-Q28-R28+S28+T28</f>
        <v>-0.1342</v>
      </c>
      <c r="V28" s="242"/>
      <c r="W28" s="242"/>
      <c r="X28" s="267"/>
      <c r="Y28" s="269"/>
      <c r="Z28" s="270"/>
      <c r="AA28" s="267" t="n">
        <v>25</v>
      </c>
      <c r="AB28" s="242" t="n">
        <f aca="false">AB27-AA28</f>
        <v>1303</v>
      </c>
      <c r="AC28" s="127" t="n">
        <f aca="false">N28+O28+P28+Q28+R28+U28+X28+AA28</f>
        <v>29</v>
      </c>
      <c r="AD28" s="267" t="n">
        <f aca="false">IF(L28&lt;0,L28*-1,0)</f>
        <v>0</v>
      </c>
      <c r="AE28" s="267" t="n">
        <f aca="false">AC28+AD28</f>
        <v>29</v>
      </c>
      <c r="AF28" s="248" t="n">
        <v>0</v>
      </c>
      <c r="AG28" s="250" t="n">
        <v>48</v>
      </c>
      <c r="AH28" s="249" t="n">
        <v>28</v>
      </c>
      <c r="AI28" s="244" t="n">
        <f aca="false">AI27+(U28*1.9835)</f>
        <v>14212.9325408</v>
      </c>
      <c r="AJ28" s="244" t="n">
        <v>0</v>
      </c>
      <c r="AK28" s="267"/>
      <c r="AL28" s="242"/>
      <c r="AM28" s="362"/>
    </row>
    <row r="29" customFormat="false" ht="12.95" hidden="false" customHeight="true" outlineLevel="0" collapsed="false">
      <c r="A29" s="172" t="n">
        <f aca="false">A28+1</f>
        <v>18</v>
      </c>
      <c r="B29" s="252" t="n">
        <v>6878.82</v>
      </c>
      <c r="C29" s="242" t="n">
        <v>212647</v>
      </c>
      <c r="D29" s="244" t="n">
        <f aca="false">C29-C28</f>
        <v>502</v>
      </c>
      <c r="E29" s="242" t="n">
        <f aca="false">C29-152000</f>
        <v>60647</v>
      </c>
      <c r="F29" s="266" t="n">
        <f aca="false">D29/$D$2</f>
        <v>253.087975800353</v>
      </c>
      <c r="G29" s="267" t="n">
        <v>115</v>
      </c>
      <c r="H29" s="360" t="n">
        <v>32</v>
      </c>
      <c r="I29" s="267" t="n">
        <f aca="false">G29+H29</f>
        <v>147</v>
      </c>
      <c r="J29" s="247" t="n">
        <f aca="false">IF(L29&gt;0,L29,0)</f>
        <v>135.087975800353</v>
      </c>
      <c r="K29" s="267" t="n">
        <f aca="false">I29+J29</f>
        <v>282.087975800353</v>
      </c>
      <c r="L29" s="267" t="n">
        <f aca="false">F29-(I29-AC29)</f>
        <v>135.087975800353</v>
      </c>
      <c r="M29" s="269" t="n">
        <v>4</v>
      </c>
      <c r="N29" s="267" t="n">
        <v>0</v>
      </c>
      <c r="O29" s="267" t="n">
        <v>0</v>
      </c>
      <c r="P29" s="367" t="n">
        <f aca="false">1.29*1.02</f>
        <v>1.3158</v>
      </c>
      <c r="Q29" s="367" t="n">
        <f aca="false">2.27*1.04</f>
        <v>2.3608</v>
      </c>
      <c r="R29" s="368" t="n">
        <v>0</v>
      </c>
      <c r="S29" s="267" t="n">
        <v>0</v>
      </c>
      <c r="T29" s="267"/>
      <c r="U29" s="267" t="n">
        <f aca="false">M29-N29-O29-P29-Q29-R29+S29+T29</f>
        <v>0.323399999999999</v>
      </c>
      <c r="V29" s="242"/>
      <c r="W29" s="242"/>
      <c r="X29" s="267"/>
      <c r="Y29" s="269"/>
      <c r="Z29" s="270"/>
      <c r="AA29" s="267" t="n">
        <v>25</v>
      </c>
      <c r="AB29" s="242" t="n">
        <f aca="false">AB28-AA29</f>
        <v>1278</v>
      </c>
      <c r="AC29" s="127" t="n">
        <f aca="false">N29+O29+P29+Q29+R29+U29+X29+AA29</f>
        <v>29</v>
      </c>
      <c r="AD29" s="267" t="n">
        <f aca="false">IF(L29&lt;0,L29*-1,0)</f>
        <v>0</v>
      </c>
      <c r="AE29" s="267" t="n">
        <f aca="false">AC29+AD29</f>
        <v>29</v>
      </c>
      <c r="AF29" s="369" t="n">
        <v>0.24</v>
      </c>
      <c r="AG29" s="250" t="n">
        <v>38</v>
      </c>
      <c r="AH29" s="249" t="n">
        <v>30</v>
      </c>
      <c r="AI29" s="244" t="n">
        <f aca="false">AI28+(U29*1.9835)</f>
        <v>14213.5740047</v>
      </c>
      <c r="AJ29" s="244" t="n">
        <v>0</v>
      </c>
      <c r="AK29" s="267"/>
      <c r="AL29" s="242"/>
      <c r="AM29" s="362"/>
    </row>
    <row r="30" customFormat="false" ht="12.95" hidden="false" customHeight="true" outlineLevel="0" collapsed="false">
      <c r="A30" s="172" t="n">
        <f aca="false">A29+1</f>
        <v>19</v>
      </c>
      <c r="B30" s="252" t="n">
        <v>6879</v>
      </c>
      <c r="C30" s="370" t="n">
        <v>213179</v>
      </c>
      <c r="D30" s="244" t="n">
        <f aca="false">C30-C29</f>
        <v>532</v>
      </c>
      <c r="E30" s="242" t="n">
        <f aca="false">C30-152000</f>
        <v>61179</v>
      </c>
      <c r="F30" s="266" t="n">
        <f aca="false">D30/$D$2</f>
        <v>268.212755230653</v>
      </c>
      <c r="G30" s="267" t="n">
        <v>133</v>
      </c>
      <c r="H30" s="360" t="n">
        <v>27</v>
      </c>
      <c r="I30" s="267" t="n">
        <f aca="false">G30+H30</f>
        <v>160</v>
      </c>
      <c r="J30" s="247" t="n">
        <f aca="false">IF(L30&gt;0,L30,0)</f>
        <v>137.212755230653</v>
      </c>
      <c r="K30" s="267" t="n">
        <f aca="false">I30+J30</f>
        <v>297.212755230653</v>
      </c>
      <c r="L30" s="267" t="n">
        <f aca="false">F30-(I30-AC30)</f>
        <v>137.212755230653</v>
      </c>
      <c r="M30" s="269" t="n">
        <v>4</v>
      </c>
      <c r="N30" s="267" t="n">
        <v>0</v>
      </c>
      <c r="O30" s="267" t="n">
        <v>0</v>
      </c>
      <c r="P30" s="367" t="n">
        <f aca="false">1.29*1.02</f>
        <v>1.3158</v>
      </c>
      <c r="Q30" s="367" t="n">
        <f aca="false">2.43*1.04</f>
        <v>2.5272</v>
      </c>
      <c r="R30" s="368" t="n">
        <v>0</v>
      </c>
      <c r="S30" s="267" t="n">
        <v>0</v>
      </c>
      <c r="T30" s="267"/>
      <c r="U30" s="267" t="n">
        <f aca="false">M30-N30-O30-P30-Q30-R30+S30+T30</f>
        <v>0.157</v>
      </c>
      <c r="V30" s="242"/>
      <c r="W30" s="242"/>
      <c r="X30" s="267"/>
      <c r="Y30" s="269"/>
      <c r="Z30" s="270"/>
      <c r="AA30" s="267" t="n">
        <v>25</v>
      </c>
      <c r="AB30" s="242" t="n">
        <f aca="false">AB29-AA30</f>
        <v>1253</v>
      </c>
      <c r="AC30" s="127" t="n">
        <f aca="false">N30+O30+P30+Q30+R30+U30+X30+AA30</f>
        <v>29</v>
      </c>
      <c r="AD30" s="267" t="n">
        <f aca="false">IF(L30&lt;0,L30*-1,0)</f>
        <v>0</v>
      </c>
      <c r="AE30" s="267" t="n">
        <f aca="false">AC30+AD30</f>
        <v>29</v>
      </c>
      <c r="AF30" s="248" t="n">
        <v>0.25</v>
      </c>
      <c r="AG30" s="250" t="n">
        <v>40</v>
      </c>
      <c r="AH30" s="249" t="n">
        <v>37</v>
      </c>
      <c r="AI30" s="244" t="n">
        <f aca="false">AI29+(U30*1.9835)</f>
        <v>14213.8854142</v>
      </c>
      <c r="AJ30" s="244" t="n">
        <v>0</v>
      </c>
      <c r="AK30" s="267"/>
      <c r="AL30" s="242"/>
      <c r="AM30" s="362"/>
    </row>
    <row r="31" customFormat="false" ht="12.95" hidden="false" customHeight="true" outlineLevel="0" collapsed="false">
      <c r="A31" s="172" t="n">
        <f aca="false">A30+1</f>
        <v>20</v>
      </c>
      <c r="B31" s="252" t="n">
        <v>6879.18</v>
      </c>
      <c r="C31" s="242" t="n">
        <v>213716</v>
      </c>
      <c r="D31" s="244" t="n">
        <f aca="false">C31-C30</f>
        <v>537</v>
      </c>
      <c r="E31" s="242" t="n">
        <f aca="false">C31-152000</f>
        <v>61716</v>
      </c>
      <c r="F31" s="266" t="n">
        <f aca="false">D31/$D$2</f>
        <v>270.73355180237</v>
      </c>
      <c r="G31" s="267" t="n">
        <v>132</v>
      </c>
      <c r="H31" s="360" t="n">
        <v>28</v>
      </c>
      <c r="I31" s="267" t="n">
        <f aca="false">G31+H31</f>
        <v>160</v>
      </c>
      <c r="J31" s="247" t="n">
        <f aca="false">IF(L31&gt;0,L31,0)</f>
        <v>139.73355180237</v>
      </c>
      <c r="K31" s="267" t="n">
        <f aca="false">I31+J31</f>
        <v>299.73355180237</v>
      </c>
      <c r="L31" s="267" t="n">
        <f aca="false">F31-(I31-AC31)</f>
        <v>139.73355180237</v>
      </c>
      <c r="M31" s="269" t="n">
        <v>4</v>
      </c>
      <c r="N31" s="267" t="n">
        <v>0</v>
      </c>
      <c r="O31" s="267" t="n">
        <v>0</v>
      </c>
      <c r="P31" s="367" t="n">
        <f aca="false">1.29*1.02</f>
        <v>1.3158</v>
      </c>
      <c r="Q31" s="367" t="n">
        <f aca="false">2.24*1.04</f>
        <v>2.3296</v>
      </c>
      <c r="R31" s="368" t="n">
        <v>0</v>
      </c>
      <c r="S31" s="267" t="n">
        <v>0</v>
      </c>
      <c r="T31" s="267"/>
      <c r="U31" s="267" t="n">
        <f aca="false">M31-N31-O31-P31-Q31-R31+S31+T31</f>
        <v>0.3546</v>
      </c>
      <c r="V31" s="242"/>
      <c r="W31" s="242"/>
      <c r="X31" s="267"/>
      <c r="Y31" s="269"/>
      <c r="Z31" s="270"/>
      <c r="AA31" s="267" t="n">
        <v>25</v>
      </c>
      <c r="AB31" s="242" t="n">
        <f aca="false">AB30-AA31</f>
        <v>1228</v>
      </c>
      <c r="AC31" s="127" t="n">
        <f aca="false">N31+O31+P31+Q31+R31+U31+X31+AA31</f>
        <v>29</v>
      </c>
      <c r="AD31" s="267" t="n">
        <f aca="false">IF(L31&lt;0,L31*-1,0)</f>
        <v>0</v>
      </c>
      <c r="AE31" s="267" t="n">
        <f aca="false">AC31+AD31</f>
        <v>29</v>
      </c>
      <c r="AF31" s="248" t="n">
        <v>0.24</v>
      </c>
      <c r="AG31" s="250" t="n">
        <v>45</v>
      </c>
      <c r="AH31" s="249" t="n">
        <v>30</v>
      </c>
      <c r="AI31" s="244" t="n">
        <f aca="false">AI30+(U31*1.9835)</f>
        <v>14214.5887633</v>
      </c>
      <c r="AJ31" s="244" t="n">
        <v>0</v>
      </c>
      <c r="AK31" s="267"/>
      <c r="AL31" s="242"/>
      <c r="AM31" s="362"/>
    </row>
    <row r="32" customFormat="false" ht="12.95" hidden="false" customHeight="true" outlineLevel="0" collapsed="false">
      <c r="A32" s="172" t="n">
        <f aca="false">A31+1</f>
        <v>21</v>
      </c>
      <c r="B32" s="252" t="n">
        <v>6879.26</v>
      </c>
      <c r="C32" s="242" t="n">
        <v>213955</v>
      </c>
      <c r="D32" s="244" t="n">
        <f aca="false">C32-C31</f>
        <v>239</v>
      </c>
      <c r="E32" s="242" t="n">
        <f aca="false">C32-152000</f>
        <v>61955</v>
      </c>
      <c r="F32" s="266" t="n">
        <f aca="false">D32/$D$2</f>
        <v>120.494076128056</v>
      </c>
      <c r="G32" s="267" t="n">
        <v>121</v>
      </c>
      <c r="H32" s="360" t="n">
        <v>29</v>
      </c>
      <c r="I32" s="267" t="n">
        <f aca="false">G32+H32</f>
        <v>150</v>
      </c>
      <c r="J32" s="247" t="n">
        <f aca="false">IF(L32&gt;0,L32,0)</f>
        <v>0</v>
      </c>
      <c r="K32" s="267" t="n">
        <f aca="false">I32+J32</f>
        <v>150</v>
      </c>
      <c r="L32" s="267" t="n">
        <f aca="false">F32-(I32-AC32)</f>
        <v>-0.505923871943537</v>
      </c>
      <c r="M32" s="269" t="n">
        <v>4</v>
      </c>
      <c r="N32" s="267" t="n">
        <v>0</v>
      </c>
      <c r="O32" s="267" t="n">
        <v>0</v>
      </c>
      <c r="P32" s="367" t="n">
        <f aca="false">1.29*1.02</f>
        <v>1.3158</v>
      </c>
      <c r="Q32" s="367" t="n">
        <f aca="false">2.42*1.04</f>
        <v>2.5168</v>
      </c>
      <c r="R32" s="368" t="n">
        <v>0</v>
      </c>
      <c r="S32" s="267" t="n">
        <v>0</v>
      </c>
      <c r="T32" s="267"/>
      <c r="U32" s="267" t="n">
        <f aca="false">M32-N32-O32-P32-Q32-R32+S32+T32</f>
        <v>0.1674</v>
      </c>
      <c r="V32" s="242"/>
      <c r="W32" s="242"/>
      <c r="X32" s="267"/>
      <c r="Y32" s="269"/>
      <c r="Z32" s="270"/>
      <c r="AA32" s="267" t="n">
        <v>25</v>
      </c>
      <c r="AB32" s="242" t="n">
        <f aca="false">AB31-AA32</f>
        <v>1203</v>
      </c>
      <c r="AC32" s="127" t="n">
        <f aca="false">N32+O32+P32+Q32+R32+U32+X32+AA32</f>
        <v>29</v>
      </c>
      <c r="AD32" s="267" t="n">
        <f aca="false">IF(L32&lt;0,L32*-1,0)</f>
        <v>0.505923871943537</v>
      </c>
      <c r="AE32" s="267" t="n">
        <f aca="false">AC32+AD32</f>
        <v>29.5059238719435</v>
      </c>
      <c r="AF32" s="248" t="n">
        <v>0</v>
      </c>
      <c r="AG32" s="244" t="n">
        <v>47</v>
      </c>
      <c r="AH32" s="249" t="n">
        <v>27</v>
      </c>
      <c r="AI32" s="244" t="n">
        <f aca="false">AI31+(U32*1.9835)</f>
        <v>14214.9208012</v>
      </c>
      <c r="AJ32" s="244" t="n">
        <v>0</v>
      </c>
      <c r="AK32" s="267"/>
      <c r="AL32" s="242"/>
      <c r="AM32" s="362"/>
    </row>
    <row r="33" customFormat="false" ht="12.95" hidden="false" customHeight="true" outlineLevel="0" collapsed="false">
      <c r="A33" s="172" t="n">
        <f aca="false">A32+1</f>
        <v>22</v>
      </c>
      <c r="B33" s="252" t="n">
        <v>6879.38</v>
      </c>
      <c r="C33" s="242" t="n">
        <v>214313</v>
      </c>
      <c r="D33" s="244" t="n">
        <f aca="false">C33-C32</f>
        <v>358</v>
      </c>
      <c r="E33" s="242" t="n">
        <f aca="false">C33-152000</f>
        <v>62313</v>
      </c>
      <c r="F33" s="266" t="n">
        <f aca="false">D33/$D$2</f>
        <v>180.489034534913</v>
      </c>
      <c r="G33" s="267" t="n">
        <v>119</v>
      </c>
      <c r="H33" s="360" t="n">
        <v>19</v>
      </c>
      <c r="I33" s="267" t="n">
        <f aca="false">G33+H33</f>
        <v>138</v>
      </c>
      <c r="J33" s="247" t="n">
        <f aca="false">IF(L33&gt;0,L33,0)</f>
        <v>71.489034534913</v>
      </c>
      <c r="K33" s="267" t="n">
        <f aca="false">I33+J33</f>
        <v>209.489034534913</v>
      </c>
      <c r="L33" s="267" t="n">
        <f aca="false">F33-(I33-AC33)</f>
        <v>71.489034534913</v>
      </c>
      <c r="M33" s="269" t="n">
        <v>4</v>
      </c>
      <c r="N33" s="267" t="n">
        <v>0</v>
      </c>
      <c r="O33" s="267" t="n">
        <v>0</v>
      </c>
      <c r="P33" s="367" t="n">
        <f aca="false">1.29*1.02</f>
        <v>1.3158</v>
      </c>
      <c r="Q33" s="367" t="n">
        <f aca="false">2.2*1.04</f>
        <v>2.288</v>
      </c>
      <c r="R33" s="368" t="n">
        <v>0</v>
      </c>
      <c r="S33" s="267" t="n">
        <v>0</v>
      </c>
      <c r="T33" s="267"/>
      <c r="U33" s="267" t="n">
        <f aca="false">M33-N33-O33-P33-Q33-R33+S33+T33</f>
        <v>0.396199999999999</v>
      </c>
      <c r="V33" s="242"/>
      <c r="W33" s="242"/>
      <c r="X33" s="267"/>
      <c r="Y33" s="269"/>
      <c r="Z33" s="270"/>
      <c r="AA33" s="267" t="n">
        <v>25</v>
      </c>
      <c r="AB33" s="242" t="n">
        <f aca="false">AB32-AA33</f>
        <v>1178</v>
      </c>
      <c r="AC33" s="127" t="n">
        <f aca="false">N33+O33+P33+Q33+R33+U33+X33+AA33</f>
        <v>29</v>
      </c>
      <c r="AD33" s="267" t="n">
        <f aca="false">IF(L33&lt;0,L33*-1,0)</f>
        <v>0</v>
      </c>
      <c r="AE33" s="267" t="n">
        <f aca="false">AC33+AD33</f>
        <v>29</v>
      </c>
      <c r="AF33" s="248" t="n">
        <v>0.23</v>
      </c>
      <c r="AG33" s="244" t="n">
        <v>50</v>
      </c>
      <c r="AH33" s="249" t="n">
        <v>32</v>
      </c>
      <c r="AI33" s="244" t="n">
        <f aca="false">AI32+(U33*1.9835)</f>
        <v>14215.7066639</v>
      </c>
      <c r="AJ33" s="244" t="n">
        <v>0</v>
      </c>
      <c r="AK33" s="267"/>
      <c r="AL33" s="242"/>
      <c r="AM33" s="362"/>
    </row>
    <row r="34" customFormat="false" ht="12.95" hidden="false" customHeight="true" outlineLevel="0" collapsed="false">
      <c r="A34" s="172" t="n">
        <f aca="false">A33+1</f>
        <v>23</v>
      </c>
      <c r="B34" s="252" t="n">
        <v>6879.53</v>
      </c>
      <c r="C34" s="242" t="n">
        <v>214761</v>
      </c>
      <c r="D34" s="244" t="n">
        <f aca="false">C34-C33</f>
        <v>448</v>
      </c>
      <c r="E34" s="242" t="n">
        <f aca="false">C34-152000</f>
        <v>62761</v>
      </c>
      <c r="F34" s="266" t="n">
        <f aca="false">D34/$D$2</f>
        <v>225.863372825813</v>
      </c>
      <c r="G34" s="267" t="n">
        <v>122</v>
      </c>
      <c r="H34" s="360" t="n">
        <v>20</v>
      </c>
      <c r="I34" s="267" t="n">
        <f aca="false">G34+H34</f>
        <v>142</v>
      </c>
      <c r="J34" s="247" t="n">
        <f aca="false">IF(L34&gt;0,L34,0)</f>
        <v>112.863372825813</v>
      </c>
      <c r="K34" s="267" t="n">
        <f aca="false">I34+J34</f>
        <v>254.863372825813</v>
      </c>
      <c r="L34" s="267" t="n">
        <f aca="false">F34-(I34-AC34)</f>
        <v>112.863372825813</v>
      </c>
      <c r="M34" s="269" t="n">
        <v>4</v>
      </c>
      <c r="N34" s="267" t="n">
        <v>0</v>
      </c>
      <c r="O34" s="267" t="n">
        <v>0</v>
      </c>
      <c r="P34" s="367" t="n">
        <f aca="false">1.29*1.02</f>
        <v>1.3158</v>
      </c>
      <c r="Q34" s="367" t="n">
        <f aca="false">2.3*1.04</f>
        <v>2.392</v>
      </c>
      <c r="R34" s="368" t="n">
        <v>0</v>
      </c>
      <c r="S34" s="267" t="n">
        <v>0</v>
      </c>
      <c r="T34" s="267"/>
      <c r="U34" s="267" t="n">
        <f aca="false">M34-N34-O34-P34-Q34-R34+S34+T34</f>
        <v>0.2922</v>
      </c>
      <c r="V34" s="242"/>
      <c r="W34" s="242"/>
      <c r="X34" s="267"/>
      <c r="Y34" s="269"/>
      <c r="Z34" s="270"/>
      <c r="AA34" s="267" t="n">
        <v>25</v>
      </c>
      <c r="AB34" s="242" t="n">
        <f aca="false">AB33-AA34</f>
        <v>1153</v>
      </c>
      <c r="AC34" s="127" t="n">
        <f aca="false">N34+O34+P34+Q34+R34+U34+X34+AA34</f>
        <v>29</v>
      </c>
      <c r="AD34" s="267" t="n">
        <f aca="false">IF(L34&lt;0,L34*-1,0)</f>
        <v>0</v>
      </c>
      <c r="AE34" s="267" t="n">
        <f aca="false">AC34+AD34</f>
        <v>29</v>
      </c>
      <c r="AF34" s="248" t="n">
        <v>0.08</v>
      </c>
      <c r="AG34" s="244" t="n">
        <v>46</v>
      </c>
      <c r="AH34" s="271" t="n">
        <v>30</v>
      </c>
      <c r="AI34" s="244" t="n">
        <f aca="false">AI33+(U34*1.9835)</f>
        <v>14216.2862426</v>
      </c>
      <c r="AJ34" s="244" t="n">
        <v>0</v>
      </c>
      <c r="AK34" s="267"/>
      <c r="AL34" s="242"/>
      <c r="AM34" s="362"/>
    </row>
    <row r="35" customFormat="false" ht="12.95" hidden="false" customHeight="true" outlineLevel="0" collapsed="false">
      <c r="A35" s="172" t="n">
        <f aca="false">A34+1</f>
        <v>24</v>
      </c>
      <c r="B35" s="252" t="n">
        <v>6879.66</v>
      </c>
      <c r="C35" s="242" t="n">
        <v>215149</v>
      </c>
      <c r="D35" s="244" t="n">
        <f aca="false">C35-C34</f>
        <v>388</v>
      </c>
      <c r="E35" s="242" t="n">
        <f aca="false">C35-152000</f>
        <v>63149</v>
      </c>
      <c r="F35" s="266" t="n">
        <f aca="false">D35/$D$2</f>
        <v>195.613813965213</v>
      </c>
      <c r="G35" s="267" t="n">
        <v>106</v>
      </c>
      <c r="H35" s="360" t="n">
        <v>22</v>
      </c>
      <c r="I35" s="267" t="n">
        <f aca="false">G35+H35</f>
        <v>128</v>
      </c>
      <c r="J35" s="247" t="n">
        <f aca="false">IF(L35&gt;0,L35,0)</f>
        <v>95.613813965213</v>
      </c>
      <c r="K35" s="267" t="n">
        <f aca="false">I35+J35</f>
        <v>223.613813965213</v>
      </c>
      <c r="L35" s="267" t="n">
        <f aca="false">F35-(I35-AC35)</f>
        <v>95.613813965213</v>
      </c>
      <c r="M35" s="269" t="n">
        <v>4</v>
      </c>
      <c r="N35" s="267" t="n">
        <v>0</v>
      </c>
      <c r="O35" s="267" t="n">
        <v>0</v>
      </c>
      <c r="P35" s="367" t="n">
        <f aca="false">1.29*1.02</f>
        <v>1.3158</v>
      </c>
      <c r="Q35" s="367" t="n">
        <f aca="false">2.2*1.04</f>
        <v>2.288</v>
      </c>
      <c r="R35" s="368" t="n">
        <v>0</v>
      </c>
      <c r="S35" s="267" t="n">
        <v>0</v>
      </c>
      <c r="T35" s="267"/>
      <c r="U35" s="267" t="n">
        <f aca="false">M35-N35-O35-P35-Q35-R35+S35+T35</f>
        <v>0.396199999999999</v>
      </c>
      <c r="V35" s="242"/>
      <c r="W35" s="242"/>
      <c r="X35" s="267"/>
      <c r="Y35" s="269"/>
      <c r="Z35" s="270"/>
      <c r="AA35" s="267" t="n">
        <v>24</v>
      </c>
      <c r="AB35" s="242" t="n">
        <f aca="false">AB34-AA35</f>
        <v>1129</v>
      </c>
      <c r="AC35" s="127" t="n">
        <f aca="false">N35+O35+P35+Q35+R35+U35+X35+AA35</f>
        <v>28</v>
      </c>
      <c r="AD35" s="267" t="n">
        <f aca="false">IF(L35&lt;0,L35*-1,0)</f>
        <v>0</v>
      </c>
      <c r="AE35" s="267" t="n">
        <f aca="false">AC35+AD35</f>
        <v>28</v>
      </c>
      <c r="AF35" s="248" t="n">
        <v>0.2</v>
      </c>
      <c r="AG35" s="244" t="n">
        <v>47</v>
      </c>
      <c r="AH35" s="271" t="n">
        <v>27</v>
      </c>
      <c r="AI35" s="244" t="n">
        <f aca="false">AI34+(U35*1.9835)</f>
        <v>14217.0721053</v>
      </c>
      <c r="AJ35" s="244" t="n">
        <v>0</v>
      </c>
      <c r="AK35" s="267"/>
      <c r="AL35" s="242"/>
      <c r="AM35" s="362"/>
    </row>
    <row r="36" customFormat="false" ht="12.95" hidden="false" customHeight="true" outlineLevel="0" collapsed="false">
      <c r="A36" s="172" t="n">
        <f aca="false">A35+1</f>
        <v>25</v>
      </c>
      <c r="B36" s="252" t="n">
        <v>6879.78</v>
      </c>
      <c r="C36" s="242" t="n">
        <v>215508</v>
      </c>
      <c r="D36" s="244" t="n">
        <f aca="false">C36-C35</f>
        <v>359</v>
      </c>
      <c r="E36" s="242" t="n">
        <f aca="false">C36-152000</f>
        <v>63508</v>
      </c>
      <c r="F36" s="266" t="n">
        <f aca="false">D36/$D$2</f>
        <v>180.993193849256</v>
      </c>
      <c r="G36" s="267" t="n">
        <v>107</v>
      </c>
      <c r="H36" s="360" t="n">
        <v>17</v>
      </c>
      <c r="I36" s="267" t="n">
        <f aca="false">G36+H36</f>
        <v>124</v>
      </c>
      <c r="J36" s="247" t="n">
        <f aca="false">IF(L36&gt;0,L36,0)</f>
        <v>84.9931938492564</v>
      </c>
      <c r="K36" s="267" t="n">
        <f aca="false">I36+J36</f>
        <v>208.993193849256</v>
      </c>
      <c r="L36" s="267" t="n">
        <f aca="false">F36-(I36-AC36)</f>
        <v>84.9931938492564</v>
      </c>
      <c r="M36" s="269" t="n">
        <v>4</v>
      </c>
      <c r="N36" s="267" t="n">
        <v>0</v>
      </c>
      <c r="O36" s="267" t="n">
        <v>0</v>
      </c>
      <c r="P36" s="367" t="n">
        <f aca="false">1.29*1.02</f>
        <v>1.3158</v>
      </c>
      <c r="Q36" s="367" t="n">
        <f aca="false">2.24*1.04</f>
        <v>2.3296</v>
      </c>
      <c r="R36" s="368" t="n">
        <v>0</v>
      </c>
      <c r="S36" s="267" t="n">
        <v>0</v>
      </c>
      <c r="T36" s="267"/>
      <c r="U36" s="267" t="n">
        <f aca="false">M36-N36-O36-P36-Q36-R36+S36+T36</f>
        <v>0.3546</v>
      </c>
      <c r="V36" s="242"/>
      <c r="W36" s="242"/>
      <c r="X36" s="267"/>
      <c r="Y36" s="269"/>
      <c r="Z36" s="270"/>
      <c r="AA36" s="267" t="n">
        <v>24</v>
      </c>
      <c r="AB36" s="242" t="n">
        <f aca="false">AB35-AA36</f>
        <v>1105</v>
      </c>
      <c r="AC36" s="127" t="n">
        <f aca="false">N36+O36+P36+Q36+R36+U36+X36+AA36</f>
        <v>28</v>
      </c>
      <c r="AD36" s="267" t="n">
        <f aca="false">IF(L36&lt;0,L36*-1,0)</f>
        <v>0</v>
      </c>
      <c r="AE36" s="267" t="n">
        <f aca="false">AC36+AD36</f>
        <v>28</v>
      </c>
      <c r="AF36" s="248" t="n">
        <v>0</v>
      </c>
      <c r="AG36" s="244" t="n">
        <v>38</v>
      </c>
      <c r="AH36" s="271" t="n">
        <v>27</v>
      </c>
      <c r="AI36" s="244" t="n">
        <f aca="false">AI35+(U36*1.9835)</f>
        <v>14217.7754544</v>
      </c>
      <c r="AJ36" s="244" t="n">
        <v>0</v>
      </c>
      <c r="AK36" s="267"/>
      <c r="AL36" s="242"/>
      <c r="AM36" s="362"/>
    </row>
    <row r="37" customFormat="false" ht="12.95" hidden="false" customHeight="true" outlineLevel="0" collapsed="false">
      <c r="A37" s="172" t="n">
        <f aca="false">A36+1</f>
        <v>26</v>
      </c>
      <c r="B37" s="252" t="n">
        <v>6879.88</v>
      </c>
      <c r="C37" s="242" t="n">
        <v>215806</v>
      </c>
      <c r="D37" s="244" t="n">
        <f aca="false">C37-C36</f>
        <v>298</v>
      </c>
      <c r="E37" s="242" t="n">
        <f aca="false">C37-152000</f>
        <v>63806</v>
      </c>
      <c r="F37" s="266" t="n">
        <f aca="false">D37/$D$2</f>
        <v>150.239475674313</v>
      </c>
      <c r="G37" s="267" t="n">
        <v>103</v>
      </c>
      <c r="H37" s="360" t="n">
        <v>19</v>
      </c>
      <c r="I37" s="267" t="n">
        <f aca="false">G37+H37</f>
        <v>122</v>
      </c>
      <c r="J37" s="247" t="n">
        <f aca="false">IF(L37&gt;0,L37,0)</f>
        <v>56.2394756743131</v>
      </c>
      <c r="K37" s="267" t="n">
        <f aca="false">I37+J37</f>
        <v>178.239475674313</v>
      </c>
      <c r="L37" s="267" t="n">
        <f aca="false">F37-(I37-AC37)</f>
        <v>56.2394756743131</v>
      </c>
      <c r="M37" s="269" t="n">
        <v>4</v>
      </c>
      <c r="N37" s="267" t="n">
        <v>0</v>
      </c>
      <c r="O37" s="267" t="n">
        <v>0</v>
      </c>
      <c r="P37" s="367" t="n">
        <f aca="false">1.29*1.02</f>
        <v>1.3158</v>
      </c>
      <c r="Q37" s="367" t="n">
        <f aca="false">2.17*1.04</f>
        <v>2.2568</v>
      </c>
      <c r="R37" s="368" t="n">
        <v>0</v>
      </c>
      <c r="S37" s="267" t="n">
        <v>0</v>
      </c>
      <c r="T37" s="267"/>
      <c r="U37" s="267" t="n">
        <f aca="false">M37-N37-O37-P37-Q37-R37+S37+T37</f>
        <v>0.4274</v>
      </c>
      <c r="V37" s="242"/>
      <c r="W37" s="242"/>
      <c r="X37" s="267"/>
      <c r="Y37" s="269"/>
      <c r="Z37" s="270"/>
      <c r="AA37" s="267" t="n">
        <v>24</v>
      </c>
      <c r="AB37" s="242" t="n">
        <f aca="false">AB36-AA37</f>
        <v>1081</v>
      </c>
      <c r="AC37" s="127" t="n">
        <f aca="false">N37+O37+P37+Q37+R37+U37+X37+AA37</f>
        <v>28</v>
      </c>
      <c r="AD37" s="267" t="n">
        <f aca="false">IF(L37&lt;0,L37*-1,0)</f>
        <v>0</v>
      </c>
      <c r="AE37" s="267" t="n">
        <f aca="false">AC37+AD37</f>
        <v>28</v>
      </c>
      <c r="AF37" s="248" t="n">
        <v>0</v>
      </c>
      <c r="AG37" s="244" t="n">
        <v>41</v>
      </c>
      <c r="AH37" s="249" t="n">
        <v>23</v>
      </c>
      <c r="AI37" s="244" t="n">
        <f aca="false">AI36+(U37*1.9835)</f>
        <v>14218.6232023</v>
      </c>
      <c r="AJ37" s="244" t="n">
        <v>0</v>
      </c>
      <c r="AK37" s="267"/>
      <c r="AL37" s="242"/>
      <c r="AM37" s="362"/>
    </row>
    <row r="38" customFormat="false" ht="12.95" hidden="false" customHeight="true" outlineLevel="0" collapsed="false">
      <c r="A38" s="172" t="n">
        <f aca="false">A37+1</f>
        <v>27</v>
      </c>
      <c r="B38" s="252" t="n">
        <v>6879.97</v>
      </c>
      <c r="C38" s="242" t="n">
        <v>216075</v>
      </c>
      <c r="D38" s="244" t="n">
        <f aca="false">C38-C37</f>
        <v>269</v>
      </c>
      <c r="E38" s="242" t="n">
        <f aca="false">C38-152000</f>
        <v>64075</v>
      </c>
      <c r="F38" s="266" t="n">
        <f aca="false">D38/$D$2</f>
        <v>135.618855558356</v>
      </c>
      <c r="G38" s="267" t="n">
        <v>96</v>
      </c>
      <c r="H38" s="360" t="n">
        <v>19</v>
      </c>
      <c r="I38" s="267" t="n">
        <f aca="false">G38+H38</f>
        <v>115</v>
      </c>
      <c r="J38" s="247" t="n">
        <f aca="false">IF(L38&gt;0,L38,0)</f>
        <v>48.8188555583564</v>
      </c>
      <c r="K38" s="267" t="n">
        <f aca="false">I38+J38</f>
        <v>163.818855558356</v>
      </c>
      <c r="L38" s="267" t="n">
        <f aca="false">F38-(I38-AC38)</f>
        <v>48.8188555583564</v>
      </c>
      <c r="M38" s="269" t="n">
        <v>4.2</v>
      </c>
      <c r="N38" s="267" t="n">
        <v>0</v>
      </c>
      <c r="O38" s="267" t="n">
        <v>0</v>
      </c>
      <c r="P38" s="367" t="n">
        <f aca="false">1.29*1.02</f>
        <v>1.3158</v>
      </c>
      <c r="Q38" s="367" t="n">
        <f aca="false">2.28*1.04</f>
        <v>2.3712</v>
      </c>
      <c r="R38" s="368" t="n">
        <v>0</v>
      </c>
      <c r="S38" s="267" t="n">
        <v>0</v>
      </c>
      <c r="T38" s="267"/>
      <c r="U38" s="267" t="n">
        <f aca="false">M38-N38-O38-P38-Q38-R38+S38+T38</f>
        <v>0.513</v>
      </c>
      <c r="V38" s="242"/>
      <c r="W38" s="242"/>
      <c r="X38" s="267"/>
      <c r="Y38" s="269"/>
      <c r="Z38" s="270"/>
      <c r="AA38" s="267" t="n">
        <v>24</v>
      </c>
      <c r="AB38" s="242" t="n">
        <f aca="false">AB37-AA38</f>
        <v>1057</v>
      </c>
      <c r="AC38" s="127" t="n">
        <f aca="false">N38+O38+P38+Q38+R38+U38+X38+AA38</f>
        <v>28.2</v>
      </c>
      <c r="AD38" s="267" t="n">
        <f aca="false">IF(L38&lt;0,L38*-1,0)</f>
        <v>0</v>
      </c>
      <c r="AE38" s="267" t="n">
        <f aca="false">AC38+AD38</f>
        <v>28.2</v>
      </c>
      <c r="AF38" s="248" t="n">
        <v>0</v>
      </c>
      <c r="AG38" s="244" t="n">
        <v>46</v>
      </c>
      <c r="AH38" s="249" t="n">
        <v>21</v>
      </c>
      <c r="AI38" s="244" t="n">
        <f aca="false">AI37+(U38*1.9835)</f>
        <v>14219.6407378</v>
      </c>
      <c r="AJ38" s="244" t="n">
        <v>0</v>
      </c>
      <c r="AK38" s="267"/>
      <c r="AL38" s="242"/>
      <c r="AM38" s="362"/>
    </row>
    <row r="39" customFormat="false" ht="12.95" hidden="false" customHeight="true" outlineLevel="0" collapsed="false">
      <c r="A39" s="172" t="n">
        <v>28</v>
      </c>
      <c r="B39" s="252" t="n">
        <v>6880.05</v>
      </c>
      <c r="C39" s="242" t="n">
        <v>216316</v>
      </c>
      <c r="D39" s="244" t="n">
        <f aca="false">C39-C38</f>
        <v>241</v>
      </c>
      <c r="E39" s="242" t="n">
        <f aca="false">C39-152000</f>
        <v>64316</v>
      </c>
      <c r="F39" s="266" t="n">
        <f aca="false">D39/$D$2</f>
        <v>121.502394756743</v>
      </c>
      <c r="G39" s="267" t="n">
        <v>98</v>
      </c>
      <c r="H39" s="360" t="n">
        <v>20</v>
      </c>
      <c r="I39" s="267" t="n">
        <f aca="false">G39+H39</f>
        <v>118</v>
      </c>
      <c r="J39" s="247" t="n">
        <f aca="false">IF(L39&gt;0,L39,0)</f>
        <v>31.8023947567431</v>
      </c>
      <c r="K39" s="267" t="n">
        <f aca="false">I39+J39</f>
        <v>149.802394756743</v>
      </c>
      <c r="L39" s="267" t="n">
        <f aca="false">F39-(I39-AC39)</f>
        <v>31.8023947567431</v>
      </c>
      <c r="M39" s="269" t="n">
        <v>4.3</v>
      </c>
      <c r="N39" s="267" t="n">
        <v>0</v>
      </c>
      <c r="O39" s="267" t="n">
        <v>0</v>
      </c>
      <c r="P39" s="367" t="n">
        <f aca="false">1.29*1.02</f>
        <v>1.3158</v>
      </c>
      <c r="Q39" s="367" t="n">
        <f aca="false">2.32*1.04</f>
        <v>2.4128</v>
      </c>
      <c r="R39" s="368" t="n">
        <v>0</v>
      </c>
      <c r="S39" s="267" t="n">
        <v>0</v>
      </c>
      <c r="T39" s="267"/>
      <c r="U39" s="267" t="n">
        <f aca="false">M39-N39-O39-P39-Q39-R39+S39+T39</f>
        <v>0.5714</v>
      </c>
      <c r="V39" s="242"/>
      <c r="W39" s="242"/>
      <c r="X39" s="267"/>
      <c r="Y39" s="269"/>
      <c r="Z39" s="270"/>
      <c r="AA39" s="267" t="n">
        <v>24</v>
      </c>
      <c r="AB39" s="242" t="n">
        <f aca="false">AB38-AA39</f>
        <v>1033</v>
      </c>
      <c r="AC39" s="127" t="n">
        <f aca="false">N39+O39+P39+Q39+R39+U39+X39+AA39</f>
        <v>28.3</v>
      </c>
      <c r="AD39" s="267" t="n">
        <f aca="false">IF(L39&lt;0,L39*-1,0)</f>
        <v>0</v>
      </c>
      <c r="AE39" s="267" t="n">
        <f aca="false">AC39+AD39</f>
        <v>28.3</v>
      </c>
      <c r="AF39" s="248" t="n">
        <v>0</v>
      </c>
      <c r="AG39" s="244" t="n">
        <v>48</v>
      </c>
      <c r="AH39" s="249" t="n">
        <v>23</v>
      </c>
      <c r="AI39" s="244" t="n">
        <f aca="false">AI38+(U39*1.9835)</f>
        <v>14220.7741097</v>
      </c>
      <c r="AJ39" s="244" t="n">
        <v>0</v>
      </c>
      <c r="AK39" s="267"/>
      <c r="AL39" s="242"/>
      <c r="AM39" s="362"/>
    </row>
    <row r="40" customFormat="false" ht="3" hidden="false" customHeight="true" outlineLevel="0" collapsed="false">
      <c r="A40" s="254"/>
      <c r="B40" s="272"/>
      <c r="C40" s="256"/>
      <c r="D40" s="257"/>
      <c r="E40" s="256"/>
      <c r="F40" s="258"/>
      <c r="G40" s="257"/>
      <c r="H40" s="365"/>
      <c r="I40" s="257"/>
      <c r="J40" s="257"/>
      <c r="K40" s="257"/>
      <c r="L40" s="257"/>
      <c r="M40" s="260"/>
      <c r="N40" s="257"/>
      <c r="O40" s="257"/>
      <c r="P40" s="257"/>
      <c r="Q40" s="257"/>
      <c r="R40" s="366"/>
      <c r="S40" s="257"/>
      <c r="T40" s="257"/>
      <c r="U40" s="257"/>
      <c r="V40" s="256"/>
      <c r="W40" s="256"/>
      <c r="X40" s="257"/>
      <c r="Y40" s="260"/>
      <c r="Z40" s="261"/>
      <c r="AA40" s="257"/>
      <c r="AB40" s="257"/>
      <c r="AC40" s="257"/>
      <c r="AD40" s="257"/>
      <c r="AE40" s="257"/>
      <c r="AF40" s="263"/>
      <c r="AG40" s="264"/>
      <c r="AH40" s="265"/>
      <c r="AI40" s="264"/>
      <c r="AJ40" s="264"/>
      <c r="AK40" s="264"/>
      <c r="AL40" s="264"/>
      <c r="AM40" s="264"/>
      <c r="AN40" s="264"/>
    </row>
    <row r="41" customFormat="false" ht="12.95" hidden="false" customHeight="true" outlineLevel="0" collapsed="false">
      <c r="A41" s="173" t="s">
        <v>75</v>
      </c>
      <c r="B41" s="371"/>
      <c r="C41" s="244"/>
      <c r="D41" s="244"/>
      <c r="E41" s="244"/>
      <c r="F41" s="249" t="n">
        <f aca="false">SUM(F12:F39)</f>
        <v>4455.25586085203</v>
      </c>
      <c r="G41" s="244" t="n">
        <f aca="false">SUM(G12:G39)</f>
        <v>2734</v>
      </c>
      <c r="H41" s="244" t="n">
        <f aca="false">SUM(H12:H39)</f>
        <v>464.2</v>
      </c>
      <c r="I41" s="244" t="n">
        <f aca="false">SUM(I12:I39)</f>
        <v>3198.2</v>
      </c>
      <c r="J41" s="244" t="n">
        <f aca="false">SUM(J12:J39)</f>
        <v>2101.0503655155</v>
      </c>
      <c r="K41" s="244" t="n">
        <f aca="false">SUM(K12:K39)</f>
        <v>5299.2503655155</v>
      </c>
      <c r="L41" s="244" t="n">
        <f aca="false">SUM(L12:L39)</f>
        <v>2065.85586085203</v>
      </c>
      <c r="M41" s="372" t="n">
        <f aca="false">SUM(M12:M39)</f>
        <v>112.8</v>
      </c>
      <c r="N41" s="244" t="n">
        <f aca="false">SUM(N12:N39)</f>
        <v>0</v>
      </c>
      <c r="O41" s="244" t="n">
        <f aca="false">SUM(O12:O39)</f>
        <v>0</v>
      </c>
      <c r="P41" s="244" t="n">
        <f aca="false">SUM(P12:P39)</f>
        <v>36.8424</v>
      </c>
      <c r="Q41" s="244" t="n">
        <f aca="false">SUM(Q12:Q39)</f>
        <v>69.5344</v>
      </c>
      <c r="R41" s="373" t="n">
        <f aca="false">SUM(R12:R39)</f>
        <v>0</v>
      </c>
      <c r="S41" s="244" t="n">
        <f aca="false">SUM(S12:S39)</f>
        <v>0</v>
      </c>
      <c r="T41" s="244" t="n">
        <f aca="false">SUM(T12:T39)</f>
        <v>0</v>
      </c>
      <c r="U41" s="244" t="n">
        <f aca="false">SUM(U12:U39)</f>
        <v>6.42319999999999</v>
      </c>
      <c r="V41" s="244"/>
      <c r="W41" s="244"/>
      <c r="X41" s="244"/>
      <c r="Y41" s="269"/>
      <c r="Z41" s="270"/>
      <c r="AA41" s="244" t="n">
        <f aca="false">SUM(AA12:AA39)</f>
        <v>696</v>
      </c>
      <c r="AB41" s="244"/>
      <c r="AC41" s="244" t="n">
        <f aca="false">SUM(AC12:AC39)</f>
        <v>808.8</v>
      </c>
      <c r="AD41" s="244" t="n">
        <f aca="false">SUM(AD12:AD39)</f>
        <v>35.1945046634737</v>
      </c>
      <c r="AE41" s="244" t="n">
        <f aca="false">SUM(AE12:AE39)</f>
        <v>843.994504663474</v>
      </c>
      <c r="AF41" s="248" t="n">
        <f aca="false">SUM(AF12:AF39)</f>
        <v>3.27</v>
      </c>
      <c r="AG41" s="244" t="n">
        <f aca="false">AVERAGE(AG12:AG39)</f>
        <v>43.9642857142857</v>
      </c>
      <c r="AH41" s="249" t="n">
        <f aca="false">AVERAGE(AH12:AH39)</f>
        <v>25.3571428571429</v>
      </c>
      <c r="AI41" s="244" t="s">
        <v>96</v>
      </c>
      <c r="AJ41" s="244" t="n">
        <f aca="false">SUM(AJ12:AJ39)</f>
        <v>0</v>
      </c>
      <c r="AK41" s="267"/>
      <c r="AL41" s="267"/>
      <c r="AM41" s="362"/>
    </row>
    <row r="42" customFormat="false" ht="12.95" hidden="false" customHeight="true" outlineLevel="0" collapsed="false">
      <c r="A42" s="173" t="s">
        <v>77</v>
      </c>
      <c r="B42" s="371"/>
      <c r="C42" s="244"/>
      <c r="D42" s="244" t="n">
        <f aca="false">SUM(D12:D39)</f>
        <v>8837</v>
      </c>
      <c r="E42" s="244"/>
      <c r="F42" s="249" t="n">
        <f aca="false">F41*$D$2</f>
        <v>8837</v>
      </c>
      <c r="G42" s="244" t="n">
        <f aca="false">G41*$D$2</f>
        <v>5422.889</v>
      </c>
      <c r="H42" s="244" t="n">
        <f aca="false">H41*$D$2</f>
        <v>920.7407</v>
      </c>
      <c r="I42" s="244" t="n">
        <f aca="false">I41*$D$2</f>
        <v>6343.6297</v>
      </c>
      <c r="J42" s="244" t="n">
        <f aca="false">J41*$D$2</f>
        <v>4167.4334</v>
      </c>
      <c r="K42" s="244" t="n">
        <f aca="false">K41*$D$2</f>
        <v>10511.0631</v>
      </c>
      <c r="L42" s="244" t="n">
        <f aca="false">L41*$D$2</f>
        <v>4097.6251</v>
      </c>
      <c r="M42" s="374" t="n">
        <f aca="false">M41*$D$2</f>
        <v>223.7388</v>
      </c>
      <c r="N42" s="244" t="n">
        <f aca="false">N41*$D$2</f>
        <v>0</v>
      </c>
      <c r="O42" s="244" t="n">
        <f aca="false">O41*$D$2</f>
        <v>0</v>
      </c>
      <c r="P42" s="244" t="n">
        <f aca="false">P41*$D$2</f>
        <v>73.0769004</v>
      </c>
      <c r="Q42" s="244" t="n">
        <f aca="false">Q41*$D$2</f>
        <v>137.9214824</v>
      </c>
      <c r="R42" s="375" t="n">
        <f aca="false">R41*$D$2</f>
        <v>0</v>
      </c>
      <c r="S42" s="244" t="n">
        <f aca="false">S41*$D$2</f>
        <v>0</v>
      </c>
      <c r="T42" s="244" t="n">
        <f aca="false">T41*$D$2</f>
        <v>0</v>
      </c>
      <c r="U42" s="244" t="n">
        <f aca="false">U41*$D$2</f>
        <v>12.7404172</v>
      </c>
      <c r="V42" s="244"/>
      <c r="W42" s="244"/>
      <c r="X42" s="244"/>
      <c r="Y42" s="269"/>
      <c r="Z42" s="270"/>
      <c r="AA42" s="244" t="n">
        <f aca="false">AA41*$D$2</f>
        <v>1380.516</v>
      </c>
      <c r="AB42" s="244"/>
      <c r="AC42" s="244" t="n">
        <f aca="false">AC41*$D$2</f>
        <v>1604.2548</v>
      </c>
      <c r="AD42" s="244" t="n">
        <f aca="false">AD41*$D$2</f>
        <v>69.8083</v>
      </c>
      <c r="AE42" s="244" t="n">
        <f aca="false">AE41*$D$2</f>
        <v>1674.0631</v>
      </c>
      <c r="AF42" s="248"/>
      <c r="AG42" s="244" t="n">
        <f aca="false">MAX(AG12:AG39)</f>
        <v>51</v>
      </c>
      <c r="AH42" s="249" t="n">
        <f aca="false">MAX(AH12:AH39)</f>
        <v>37</v>
      </c>
      <c r="AI42" s="244" t="s">
        <v>78</v>
      </c>
      <c r="AJ42" s="244" t="n">
        <f aca="false">AJ41*$D$2</f>
        <v>0</v>
      </c>
      <c r="AK42" s="267"/>
      <c r="AL42" s="267"/>
      <c r="AM42" s="362"/>
    </row>
    <row r="43" customFormat="false" ht="3" hidden="false" customHeight="true" outlineLevel="0" collapsed="false">
      <c r="A43" s="275"/>
      <c r="B43" s="272"/>
      <c r="C43" s="256"/>
      <c r="D43" s="256"/>
      <c r="E43" s="256"/>
      <c r="F43" s="276"/>
      <c r="G43" s="256"/>
      <c r="H43" s="264"/>
      <c r="I43" s="256"/>
      <c r="J43" s="256"/>
      <c r="K43" s="256"/>
      <c r="L43" s="256"/>
      <c r="M43" s="277"/>
      <c r="N43" s="256"/>
      <c r="O43" s="256"/>
      <c r="P43" s="256"/>
      <c r="Q43" s="256"/>
      <c r="R43" s="376"/>
      <c r="S43" s="256"/>
      <c r="T43" s="256"/>
      <c r="U43" s="256"/>
      <c r="V43" s="256"/>
      <c r="W43" s="256"/>
      <c r="X43" s="256"/>
      <c r="Y43" s="277"/>
      <c r="Z43" s="278"/>
      <c r="AA43" s="256"/>
      <c r="AB43" s="257"/>
      <c r="AC43" s="256"/>
      <c r="AD43" s="256"/>
      <c r="AE43" s="256"/>
      <c r="AF43" s="279"/>
      <c r="AG43" s="256"/>
      <c r="AH43" s="276"/>
      <c r="AI43" s="264"/>
      <c r="AJ43" s="264"/>
      <c r="AK43" s="256"/>
      <c r="AL43" s="256"/>
      <c r="AM43" s="264"/>
      <c r="AN43" s="264"/>
    </row>
    <row r="44" customFormat="false" ht="12.95" hidden="false" customHeight="true" outlineLevel="0" collapsed="false">
      <c r="A44" s="173" t="s">
        <v>79</v>
      </c>
      <c r="B44" s="371"/>
      <c r="C44" s="244"/>
      <c r="D44" s="244"/>
      <c r="E44" s="244"/>
      <c r="F44" s="249"/>
      <c r="G44" s="244"/>
      <c r="H44" s="244"/>
      <c r="I44" s="244"/>
      <c r="J44" s="244"/>
      <c r="K44" s="244"/>
      <c r="L44" s="244"/>
      <c r="M44" s="374"/>
      <c r="N44" s="244"/>
      <c r="O44" s="244"/>
      <c r="P44" s="244"/>
      <c r="Q44" s="244"/>
      <c r="R44" s="375"/>
      <c r="S44" s="244"/>
      <c r="T44" s="244"/>
      <c r="U44" s="244"/>
      <c r="V44" s="244"/>
      <c r="W44" s="244"/>
      <c r="X44" s="244"/>
      <c r="Y44" s="269"/>
      <c r="Z44" s="270"/>
      <c r="AA44" s="244"/>
      <c r="AB44" s="244"/>
      <c r="AC44" s="244"/>
      <c r="AD44" s="244"/>
      <c r="AE44" s="244"/>
      <c r="AF44" s="371"/>
      <c r="AG44" s="244" t="n">
        <f aca="false">MIN(AG12:AG39)</f>
        <v>36</v>
      </c>
      <c r="AH44" s="249" t="n">
        <f aca="false">MIN(AH12:AH39)</f>
        <v>8</v>
      </c>
      <c r="AI44" s="244" t="s">
        <v>80</v>
      </c>
      <c r="AJ44" s="244"/>
      <c r="AK44" s="244"/>
      <c r="AL44" s="244"/>
      <c r="AM44" s="377"/>
    </row>
    <row r="45" customFormat="false" ht="12.95" hidden="false" customHeight="true" outlineLevel="0" collapsed="false">
      <c r="A45" s="173" t="s">
        <v>81</v>
      </c>
      <c r="B45" s="371"/>
      <c r="C45" s="244"/>
      <c r="D45" s="244"/>
      <c r="E45" s="244"/>
      <c r="F45" s="249"/>
      <c r="G45" s="244"/>
      <c r="H45" s="244"/>
      <c r="I45" s="244"/>
      <c r="J45" s="244"/>
      <c r="K45" s="244"/>
      <c r="L45" s="244"/>
      <c r="M45" s="374"/>
      <c r="N45" s="244"/>
      <c r="O45" s="244"/>
      <c r="P45" s="244"/>
      <c r="Q45" s="244"/>
      <c r="R45" s="375"/>
      <c r="S45" s="244"/>
      <c r="T45" s="244"/>
      <c r="U45" s="244"/>
      <c r="V45" s="244"/>
      <c r="W45" s="244"/>
      <c r="X45" s="244"/>
      <c r="Y45" s="269"/>
      <c r="Z45" s="270"/>
      <c r="AA45" s="244"/>
      <c r="AB45" s="244"/>
      <c r="AC45" s="244"/>
      <c r="AD45" s="244"/>
      <c r="AE45" s="244"/>
      <c r="AF45" s="371"/>
      <c r="AG45" s="244"/>
      <c r="AH45" s="249"/>
      <c r="AI45" s="244"/>
      <c r="AJ45" s="244"/>
      <c r="AK45" s="244"/>
      <c r="AL45" s="244"/>
      <c r="AM45" s="377"/>
    </row>
    <row r="46" customFormat="false" ht="3" hidden="false" customHeight="true" outlineLevel="0" collapsed="false">
      <c r="A46" s="275"/>
      <c r="B46" s="378"/>
      <c r="C46" s="264"/>
      <c r="D46" s="264"/>
      <c r="E46" s="264"/>
      <c r="F46" s="265"/>
      <c r="G46" s="264"/>
      <c r="H46" s="264"/>
      <c r="I46" s="264"/>
      <c r="J46" s="264"/>
      <c r="K46" s="264"/>
      <c r="L46" s="264"/>
      <c r="M46" s="379"/>
      <c r="N46" s="264"/>
      <c r="O46" s="264"/>
      <c r="P46" s="264"/>
      <c r="Q46" s="264"/>
      <c r="R46" s="376"/>
      <c r="S46" s="264"/>
      <c r="T46" s="264"/>
      <c r="U46" s="264"/>
      <c r="V46" s="264"/>
      <c r="W46" s="264"/>
      <c r="X46" s="264"/>
      <c r="Y46" s="379"/>
      <c r="Z46" s="376"/>
      <c r="AA46" s="264"/>
      <c r="AB46" s="264"/>
      <c r="AC46" s="264"/>
      <c r="AD46" s="264"/>
      <c r="AE46" s="264"/>
      <c r="AF46" s="378"/>
      <c r="AG46" s="264"/>
      <c r="AH46" s="265"/>
      <c r="AI46" s="264"/>
      <c r="AJ46" s="264"/>
      <c r="AK46" s="264"/>
      <c r="AL46" s="264"/>
      <c r="AM46" s="264"/>
      <c r="AN46" s="264"/>
    </row>
    <row r="47" customFormat="false" ht="12.95" hidden="false" customHeight="true" outlineLevel="0" collapsed="false">
      <c r="A47" s="173" t="s">
        <v>82</v>
      </c>
      <c r="B47" s="371"/>
      <c r="C47" s="244"/>
      <c r="D47" s="244"/>
      <c r="E47" s="244"/>
      <c r="F47" s="249" t="n">
        <f aca="false">F10+F41</f>
        <v>4572.72498109403</v>
      </c>
      <c r="G47" s="244" t="n">
        <f aca="false">G10+G41</f>
        <v>9575</v>
      </c>
      <c r="H47" s="244" t="n">
        <f aca="false">H10+H41</f>
        <v>625.54</v>
      </c>
      <c r="I47" s="244" t="n">
        <f aca="false">I10+I41</f>
        <v>10200.54</v>
      </c>
      <c r="J47" s="244" t="n">
        <f aca="false">J10+J41</f>
        <v>5799.94042097303</v>
      </c>
      <c r="K47" s="244" t="n">
        <f aca="false">K10+K41</f>
        <v>16000.480420973</v>
      </c>
      <c r="L47" s="244" t="n">
        <f aca="false">L10+L41</f>
        <v>5254.68498109403</v>
      </c>
      <c r="M47" s="374" t="n">
        <f aca="false">M10+M41</f>
        <v>626.7</v>
      </c>
      <c r="N47" s="244" t="n">
        <f aca="false">N10+N41</f>
        <v>0</v>
      </c>
      <c r="O47" s="244" t="n">
        <f aca="false">O10+O41</f>
        <v>0</v>
      </c>
      <c r="P47" s="244" t="n">
        <f aca="false">P10+P41</f>
        <v>172.0842</v>
      </c>
      <c r="Q47" s="244" t="n">
        <f aca="false">Q10+Q41</f>
        <v>295.3584</v>
      </c>
      <c r="R47" s="375" t="n">
        <f aca="false">R10+R41</f>
        <v>0.97</v>
      </c>
      <c r="S47" s="244" t="n">
        <f aca="false">S10+S41</f>
        <v>7204</v>
      </c>
      <c r="T47" s="244" t="n">
        <f aca="false">T10+T41</f>
        <v>33.8</v>
      </c>
      <c r="U47" s="244" t="n">
        <f aca="false">U10+U41</f>
        <v>7396.0874</v>
      </c>
      <c r="V47" s="244"/>
      <c r="W47" s="244"/>
      <c r="X47" s="244"/>
      <c r="Y47" s="269"/>
      <c r="Z47" s="270"/>
      <c r="AA47" s="244" t="n">
        <f aca="false">AA10+AA41</f>
        <v>3018</v>
      </c>
      <c r="AB47" s="244" t="n">
        <f aca="false">AB39</f>
        <v>1033</v>
      </c>
      <c r="AC47" s="244" t="n">
        <f aca="false">AC10+AC41</f>
        <v>10882.5</v>
      </c>
      <c r="AD47" s="244" t="n">
        <f aca="false">AD10+AD41</f>
        <v>545.255439879002</v>
      </c>
      <c r="AE47" s="244" t="n">
        <f aca="false">AE10+AE41</f>
        <v>11427.755439879</v>
      </c>
      <c r="AF47" s="380" t="n">
        <f aca="false">AF10+AF41</f>
        <v>9.94</v>
      </c>
      <c r="AG47" s="244"/>
      <c r="AH47" s="249"/>
      <c r="AI47" s="244"/>
      <c r="AJ47" s="244" t="n">
        <f aca="false">AJ10+AJ41</f>
        <v>0</v>
      </c>
      <c r="AK47" s="244"/>
      <c r="AL47" s="244"/>
      <c r="AM47" s="377"/>
    </row>
    <row r="48" customFormat="false" ht="12.95" hidden="false" customHeight="true" outlineLevel="0" collapsed="false">
      <c r="A48" s="173" t="s">
        <v>83</v>
      </c>
      <c r="B48" s="371"/>
      <c r="C48" s="244"/>
      <c r="D48" s="244" t="n">
        <f aca="false">D10+D42</f>
        <v>9070</v>
      </c>
      <c r="E48" s="244" t="n">
        <f aca="false">E39</f>
        <v>64316</v>
      </c>
      <c r="F48" s="249" t="n">
        <f aca="false">F47*$D$2</f>
        <v>9070</v>
      </c>
      <c r="G48" s="244" t="n">
        <f aca="false">G47*$D$2</f>
        <v>18992.0125</v>
      </c>
      <c r="H48" s="244" t="n">
        <f aca="false">H47*$D$2</f>
        <v>1240.75859</v>
      </c>
      <c r="I48" s="244" t="n">
        <f aca="false">I47*$D$2</f>
        <v>20232.77109</v>
      </c>
      <c r="J48" s="244" t="n">
        <f aca="false">J47*$D$2</f>
        <v>11504.181825</v>
      </c>
      <c r="K48" s="244" t="n">
        <f aca="false">K47*$D$2</f>
        <v>31736.952915</v>
      </c>
      <c r="L48" s="244" t="n">
        <f aca="false">L47*$D$2</f>
        <v>10422.66766</v>
      </c>
      <c r="M48" s="374" t="n">
        <f aca="false">M47*$D$2</f>
        <v>1243.05945</v>
      </c>
      <c r="N48" s="244" t="n">
        <f aca="false">N47*$D$2</f>
        <v>0</v>
      </c>
      <c r="O48" s="244" t="n">
        <f aca="false">O47*$D$2</f>
        <v>0</v>
      </c>
      <c r="P48" s="244" t="n">
        <f aca="false">P47*$D$2</f>
        <v>341.3290107</v>
      </c>
      <c r="Q48" s="244" t="n">
        <f aca="false">Q47*$D$2</f>
        <v>585.8433864</v>
      </c>
      <c r="R48" s="375" t="n">
        <f aca="false">R47*$D$2</f>
        <v>1.923995</v>
      </c>
      <c r="S48" s="244" t="n">
        <f aca="false">S47*$D$2</f>
        <v>14289.134</v>
      </c>
      <c r="T48" s="244" t="n">
        <f aca="false">T47*$D$2</f>
        <v>67.0423</v>
      </c>
      <c r="U48" s="244" t="n">
        <f aca="false">U47*$D$2</f>
        <v>14670.1393579</v>
      </c>
      <c r="V48" s="244"/>
      <c r="W48" s="244"/>
      <c r="X48" s="244"/>
      <c r="Y48" s="269"/>
      <c r="Z48" s="270"/>
      <c r="AA48" s="244" t="n">
        <f aca="false">AA47*$D$2</f>
        <v>5986.203</v>
      </c>
      <c r="AB48" s="244" t="n">
        <f aca="false">AB47*$D$2</f>
        <v>2048.9555</v>
      </c>
      <c r="AC48" s="244" t="n">
        <f aca="false">AC47*$D$2</f>
        <v>21585.43875</v>
      </c>
      <c r="AD48" s="244" t="n">
        <f aca="false">AD47*$D$2</f>
        <v>1081.514165</v>
      </c>
      <c r="AE48" s="244" t="n">
        <f aca="false">AE47*$D$2</f>
        <v>22666.952915</v>
      </c>
      <c r="AF48" s="371"/>
      <c r="AG48" s="244"/>
      <c r="AH48" s="249"/>
      <c r="AI48" s="244" t="n">
        <f aca="false">AI39</f>
        <v>14220.7741097</v>
      </c>
      <c r="AJ48" s="244" t="n">
        <f aca="false">AJ47*$D$2</f>
        <v>0</v>
      </c>
      <c r="AK48" s="244"/>
      <c r="AL48" s="244"/>
      <c r="AM48" s="377"/>
    </row>
    <row r="49" customFormat="false" ht="3" hidden="false" customHeight="true" outlineLevel="0" collapsed="false">
      <c r="A49" s="254"/>
      <c r="B49" s="272"/>
      <c r="C49" s="256"/>
      <c r="D49" s="257"/>
      <c r="E49" s="256"/>
      <c r="F49" s="258"/>
      <c r="G49" s="257"/>
      <c r="H49" s="365"/>
      <c r="I49" s="257"/>
      <c r="J49" s="257"/>
      <c r="K49" s="257"/>
      <c r="L49" s="257"/>
      <c r="M49" s="260"/>
      <c r="N49" s="257"/>
      <c r="O49" s="257"/>
      <c r="P49" s="257"/>
      <c r="Q49" s="257"/>
      <c r="R49" s="366"/>
      <c r="S49" s="257"/>
      <c r="T49" s="257"/>
      <c r="U49" s="257"/>
      <c r="V49" s="256"/>
      <c r="W49" s="256"/>
      <c r="X49" s="257"/>
      <c r="Y49" s="260"/>
      <c r="Z49" s="261"/>
      <c r="AA49" s="257"/>
      <c r="AB49" s="256"/>
      <c r="AC49" s="257"/>
      <c r="AD49" s="257"/>
      <c r="AE49" s="257"/>
      <c r="AF49" s="272"/>
      <c r="AG49" s="257"/>
      <c r="AH49" s="258"/>
      <c r="AI49" s="264"/>
      <c r="AJ49" s="264"/>
      <c r="AK49" s="257"/>
      <c r="AL49" s="257"/>
      <c r="AM49" s="264"/>
      <c r="AN49" s="264"/>
    </row>
    <row r="50" customFormat="false" ht="11.1" hidden="false" customHeight="true" outlineLevel="0" collapsed="false">
      <c r="A50" s="164"/>
      <c r="B50" s="283"/>
      <c r="C50" s="165"/>
      <c r="D50" s="164"/>
      <c r="E50" s="165"/>
      <c r="F50" s="164"/>
      <c r="G50" s="164"/>
      <c r="H50" s="288"/>
      <c r="I50" s="164"/>
      <c r="J50" s="164"/>
      <c r="K50" s="164"/>
      <c r="L50" s="164"/>
      <c r="M50" s="164"/>
      <c r="N50" s="164"/>
      <c r="O50" s="164"/>
      <c r="P50" s="164"/>
      <c r="Q50" s="164"/>
      <c r="R50" s="169"/>
      <c r="S50" s="164"/>
      <c r="T50" s="164"/>
      <c r="U50" s="164"/>
      <c r="V50" s="165"/>
      <c r="W50" s="165"/>
      <c r="X50" s="164"/>
      <c r="Y50" s="164"/>
      <c r="Z50" s="164"/>
      <c r="AA50" s="164"/>
      <c r="AB50" s="165"/>
      <c r="AC50" s="164"/>
      <c r="AD50" s="164"/>
      <c r="AE50" s="164"/>
      <c r="AF50" s="170"/>
      <c r="AG50" s="171"/>
      <c r="AH50" s="172"/>
      <c r="AK50" s="289"/>
      <c r="AL50" s="290"/>
    </row>
    <row r="51" customFormat="false" ht="11.1" hidden="false" customHeight="true" outlineLevel="0" collapsed="false">
      <c r="A51" s="164"/>
      <c r="B51" s="284"/>
      <c r="C51" s="165"/>
      <c r="D51" s="285"/>
      <c r="E51" s="165"/>
      <c r="F51" s="164"/>
      <c r="G51" s="164"/>
      <c r="H51" s="381"/>
      <c r="I51" s="165"/>
      <c r="J51" s="164"/>
      <c r="K51" s="154"/>
      <c r="L51" s="164"/>
      <c r="M51" s="164"/>
      <c r="N51" s="164"/>
      <c r="O51" s="164"/>
      <c r="P51" s="164"/>
      <c r="Q51" s="164"/>
      <c r="R51" s="169"/>
      <c r="S51" s="164"/>
      <c r="T51" s="164"/>
      <c r="U51" s="164"/>
      <c r="V51" s="165"/>
      <c r="W51" s="165"/>
      <c r="X51" s="164"/>
      <c r="Y51" s="164"/>
      <c r="Z51" s="164"/>
      <c r="AA51" s="164"/>
      <c r="AB51" s="165"/>
      <c r="AC51" s="164"/>
      <c r="AD51" s="164"/>
      <c r="AE51" s="164"/>
      <c r="AF51" s="170"/>
      <c r="AG51" s="171"/>
      <c r="AH51" s="171"/>
      <c r="AI51" s="172"/>
      <c r="AJ51" s="172"/>
      <c r="AK51" s="289"/>
      <c r="AL51" s="290"/>
    </row>
    <row r="52" customFormat="false" ht="11.1" hidden="false" customHeight="true" outlineLevel="0" collapsed="false">
      <c r="A52" s="285"/>
      <c r="B52" s="285"/>
      <c r="C52" s="165"/>
      <c r="D52" s="165"/>
      <c r="E52" s="165"/>
      <c r="F52" s="285"/>
      <c r="G52" s="285"/>
      <c r="H52" s="288"/>
      <c r="I52" s="165"/>
      <c r="J52" s="285"/>
      <c r="K52" s="285"/>
      <c r="L52" s="285"/>
      <c r="M52" s="168"/>
      <c r="N52" s="168"/>
      <c r="O52" s="168"/>
      <c r="P52" s="168"/>
      <c r="Q52" s="168"/>
      <c r="R52" s="169"/>
      <c r="S52" s="285"/>
      <c r="T52" s="285"/>
      <c r="U52" s="285"/>
      <c r="V52" s="165"/>
      <c r="W52" s="165"/>
      <c r="X52" s="285"/>
      <c r="Y52" s="285"/>
      <c r="Z52" s="285"/>
      <c r="AA52" s="285"/>
      <c r="AB52" s="165"/>
      <c r="AC52" s="285"/>
      <c r="AD52" s="285"/>
      <c r="AE52" s="285"/>
      <c r="AF52" s="170"/>
      <c r="AG52" s="171"/>
      <c r="AH52" s="171"/>
      <c r="AI52" s="172"/>
      <c r="AJ52" s="172"/>
      <c r="AK52" s="343"/>
      <c r="AL52" s="344"/>
    </row>
    <row r="53" customFormat="false" ht="11.1" hidden="false" customHeight="true" outlineLevel="0" collapsed="false">
      <c r="A53" s="285"/>
      <c r="B53" s="169"/>
      <c r="C53" s="165"/>
      <c r="D53" s="165"/>
      <c r="E53" s="165"/>
      <c r="F53" s="285"/>
      <c r="G53" s="285"/>
      <c r="H53" s="288"/>
      <c r="I53" s="165"/>
      <c r="J53" s="285"/>
      <c r="K53" s="285"/>
      <c r="L53" s="285"/>
      <c r="M53" s="168"/>
      <c r="N53" s="168"/>
      <c r="O53" s="168"/>
      <c r="P53" s="168"/>
      <c r="Q53" s="168"/>
      <c r="R53" s="169"/>
      <c r="S53" s="285"/>
      <c r="T53" s="285"/>
      <c r="U53" s="285"/>
      <c r="V53" s="165"/>
      <c r="W53" s="165"/>
      <c r="X53" s="285"/>
      <c r="Y53" s="285"/>
      <c r="Z53" s="285"/>
      <c r="AA53" s="285"/>
      <c r="AB53" s="165"/>
      <c r="AC53" s="285"/>
      <c r="AD53" s="285"/>
      <c r="AE53" s="285"/>
      <c r="AF53" s="170"/>
      <c r="AG53" s="171"/>
      <c r="AH53" s="171"/>
      <c r="AI53" s="172"/>
      <c r="AJ53" s="172"/>
      <c r="AK53" s="343"/>
      <c r="AL53" s="344"/>
    </row>
    <row r="54" customFormat="false" ht="11.1" hidden="false" customHeight="true" outlineLevel="0" collapsed="false">
      <c r="A54" s="285"/>
      <c r="B54" s="285"/>
      <c r="C54" s="165"/>
      <c r="D54" s="285"/>
      <c r="E54" s="165"/>
      <c r="F54" s="285"/>
      <c r="G54" s="286"/>
      <c r="H54" s="288"/>
      <c r="I54" s="285"/>
      <c r="J54" s="285"/>
      <c r="K54" s="285"/>
      <c r="L54" s="285"/>
      <c r="M54" s="168"/>
      <c r="N54" s="168"/>
      <c r="O54" s="168"/>
      <c r="P54" s="168"/>
      <c r="Q54" s="168"/>
      <c r="R54" s="169"/>
      <c r="S54" s="285"/>
      <c r="T54" s="285"/>
      <c r="U54" s="285"/>
      <c r="V54" s="165"/>
      <c r="W54" s="165"/>
      <c r="X54" s="285"/>
      <c r="Y54" s="285"/>
      <c r="Z54" s="285"/>
      <c r="AA54" s="285"/>
      <c r="AB54" s="165"/>
      <c r="AC54" s="285"/>
      <c r="AD54" s="285"/>
      <c r="AE54" s="285"/>
      <c r="AF54" s="170"/>
      <c r="AG54" s="171"/>
      <c r="AH54" s="171"/>
      <c r="AI54" s="172"/>
      <c r="AJ54" s="172"/>
      <c r="AK54" s="343"/>
      <c r="AL54" s="344"/>
    </row>
    <row r="55" customFormat="false" ht="11.1" hidden="false" customHeight="true" outlineLevel="0" collapsed="false">
      <c r="U55" s="156"/>
      <c r="V55" s="157"/>
      <c r="W55" s="157"/>
      <c r="AA55" s="156"/>
      <c r="AB55" s="157"/>
      <c r="AE55" s="156"/>
      <c r="AH55" s="161"/>
      <c r="AI55" s="162"/>
      <c r="AJ55" s="162"/>
    </row>
  </sheetData>
  <mergeCells count="2">
    <mergeCell ref="K2:W2"/>
    <mergeCell ref="M5:R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9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G5" activeCellId="0" sqref="G5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158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7" min="16" style="159" width="4.32"/>
    <col collapsed="false" customWidth="true" hidden="false" outlineLevel="0" max="18" min="18" style="156" width="4.32"/>
    <col collapsed="false" customWidth="true" hidden="false" outlineLevel="0" max="20" min="19" style="156" width="5.49"/>
    <col collapsed="false" customWidth="true" hidden="false" outlineLevel="0" max="21" min="21" style="157" width="6.32"/>
    <col collapsed="false" customWidth="true" hidden="false" outlineLevel="0" max="26" min="22" style="156" width="5.49"/>
    <col collapsed="false" customWidth="true" hidden="false" outlineLevel="0" max="27" min="27" style="157" width="5.49"/>
    <col collapsed="false" customWidth="true" hidden="false" outlineLevel="0" max="28" min="28" style="156" width="5.49"/>
    <col collapsed="false" customWidth="true" hidden="false" outlineLevel="0" max="29" min="29" style="156" width="6.32"/>
    <col collapsed="false" customWidth="true" hidden="false" outlineLevel="0" max="30" min="30" style="156" width="6.99"/>
    <col collapsed="false" customWidth="true" hidden="false" outlineLevel="0" max="31" min="31" style="160" width="6.99"/>
    <col collapsed="false" customWidth="true" hidden="false" outlineLevel="0" max="32" min="32" style="158" width="5.32"/>
    <col collapsed="false" customWidth="true" hidden="false" outlineLevel="0" max="33" min="33" style="161" width="3.82"/>
    <col collapsed="false" customWidth="true" hidden="false" outlineLevel="0" max="34" min="34" style="162" width="3.82"/>
    <col collapsed="false" customWidth="true" hidden="false" outlineLevel="0" max="36" min="35" style="161" width="5.49"/>
    <col collapsed="false" customWidth="true" hidden="false" outlineLevel="0" max="39" min="37" style="156" width="6.32"/>
    <col collapsed="false" customWidth="true" hidden="false" outlineLevel="0" max="40" min="40" style="163" width="6.49"/>
    <col collapsed="false" customWidth="false" hidden="false" outlineLevel="0" max="257" min="41" style="156" width="9.32"/>
  </cols>
  <sheetData>
    <row r="1" customFormat="false" ht="14.1" hidden="false" customHeight="true" outlineLevel="0" collapsed="false">
      <c r="A1" s="164"/>
      <c r="B1" s="164"/>
      <c r="C1" s="165"/>
      <c r="D1" s="164"/>
      <c r="E1" s="165"/>
      <c r="F1" s="164"/>
      <c r="G1" s="164"/>
      <c r="H1" s="170"/>
      <c r="I1" s="164"/>
      <c r="J1" s="164"/>
      <c r="K1" s="167" t="s">
        <v>0</v>
      </c>
      <c r="L1" s="164"/>
      <c r="M1" s="164"/>
      <c r="N1" s="164"/>
      <c r="O1" s="164"/>
      <c r="P1" s="164"/>
      <c r="Q1" s="164"/>
      <c r="R1" s="164"/>
      <c r="S1" s="164"/>
      <c r="T1" s="164"/>
      <c r="U1" s="165"/>
      <c r="V1" s="164"/>
      <c r="W1" s="164"/>
      <c r="X1" s="164"/>
      <c r="Y1" s="164"/>
      <c r="Z1" s="164"/>
      <c r="AA1" s="165"/>
      <c r="AB1" s="164"/>
      <c r="AC1" s="164"/>
      <c r="AD1" s="164"/>
      <c r="AE1" s="169"/>
      <c r="AF1" s="170"/>
      <c r="AG1" s="171"/>
      <c r="AH1" s="172"/>
      <c r="AI1" s="346"/>
      <c r="AJ1" s="346"/>
      <c r="AK1" s="289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170"/>
      <c r="I2" s="164"/>
      <c r="J2" s="164"/>
      <c r="K2" s="175" t="s">
        <v>99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64"/>
      <c r="Y2" s="164"/>
      <c r="Z2" s="164"/>
      <c r="AA2" s="165"/>
      <c r="AB2" s="164"/>
      <c r="AC2" s="164"/>
      <c r="AD2" s="164"/>
      <c r="AE2" s="169"/>
      <c r="AF2" s="170"/>
      <c r="AG2" s="171"/>
      <c r="AH2" s="172"/>
      <c r="AI2" s="346"/>
      <c r="AJ2" s="346"/>
      <c r="AK2" s="289"/>
    </row>
    <row r="3" customFormat="false" ht="14.1" hidden="false" customHeight="true" outlineLevel="0" collapsed="false">
      <c r="A3" s="176"/>
      <c r="B3" s="176"/>
      <c r="C3" s="177"/>
      <c r="D3" s="178"/>
      <c r="E3" s="177"/>
      <c r="F3" s="176"/>
      <c r="G3" s="176"/>
      <c r="H3" s="182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7"/>
      <c r="V3" s="176"/>
      <c r="W3" s="176"/>
      <c r="X3" s="176"/>
      <c r="Y3" s="176"/>
      <c r="Z3" s="176"/>
      <c r="AA3" s="177"/>
      <c r="AB3" s="176"/>
      <c r="AC3" s="176"/>
      <c r="AD3" s="176"/>
      <c r="AE3" s="181"/>
      <c r="AF3" s="182"/>
      <c r="AG3" s="183"/>
      <c r="AH3" s="184"/>
      <c r="AI3" s="347"/>
      <c r="AJ3" s="347"/>
      <c r="AK3" s="292"/>
      <c r="AL3" s="185"/>
    </row>
    <row r="4" s="200" customFormat="true" ht="14.1" hidden="false" customHeight="true" outlineLevel="0" collapsed="false">
      <c r="A4" s="187"/>
      <c r="B4" s="188"/>
      <c r="C4" s="189"/>
      <c r="D4" s="294" t="s">
        <v>3</v>
      </c>
      <c r="E4" s="189"/>
      <c r="F4" s="191"/>
      <c r="G4" s="187"/>
      <c r="H4" s="295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93" t="s">
        <v>4</v>
      </c>
      <c r="T4" s="187"/>
      <c r="U4" s="194"/>
      <c r="V4" s="187"/>
      <c r="W4" s="187"/>
      <c r="X4" s="187"/>
      <c r="Y4" s="187"/>
      <c r="Z4" s="187"/>
      <c r="AA4" s="194"/>
      <c r="AB4" s="187"/>
      <c r="AC4" s="187"/>
      <c r="AD4" s="187"/>
      <c r="AE4" s="196"/>
      <c r="AF4" s="197"/>
      <c r="AG4" s="198" t="s">
        <v>5</v>
      </c>
      <c r="AH4" s="199"/>
      <c r="AI4" s="348"/>
      <c r="AJ4" s="348"/>
      <c r="AK4" s="193" t="s">
        <v>6</v>
      </c>
      <c r="AM4" s="204"/>
      <c r="AN4" s="203"/>
    </row>
    <row r="5" customFormat="false" ht="12.95" hidden="false" customHeight="true" outlineLevel="0" collapsed="false">
      <c r="A5" s="205" t="s">
        <v>7</v>
      </c>
      <c r="B5" s="206" t="s">
        <v>8</v>
      </c>
      <c r="C5" s="207" t="s">
        <v>8</v>
      </c>
      <c r="D5" s="205" t="s">
        <v>9</v>
      </c>
      <c r="E5" s="207" t="s">
        <v>10</v>
      </c>
      <c r="F5" s="208" t="s">
        <v>11</v>
      </c>
      <c r="G5" s="382" t="s">
        <v>12</v>
      </c>
      <c r="H5" s="383" t="s">
        <v>13</v>
      </c>
      <c r="I5" s="382" t="s">
        <v>14</v>
      </c>
      <c r="J5" s="382" t="s">
        <v>15</v>
      </c>
      <c r="K5" s="382" t="s">
        <v>16</v>
      </c>
      <c r="L5" s="205" t="s">
        <v>15</v>
      </c>
      <c r="M5" s="210" t="s">
        <v>17</v>
      </c>
      <c r="N5" s="210"/>
      <c r="O5" s="210"/>
      <c r="P5" s="210"/>
      <c r="Q5" s="210"/>
      <c r="R5" s="210"/>
      <c r="S5" s="233" t="s">
        <v>18</v>
      </c>
      <c r="T5" s="233" t="s">
        <v>19</v>
      </c>
      <c r="U5" s="233" t="s">
        <v>16</v>
      </c>
      <c r="V5" s="229" t="s">
        <v>20</v>
      </c>
      <c r="W5" s="229" t="s">
        <v>20</v>
      </c>
      <c r="X5" s="233" t="s">
        <v>21</v>
      </c>
      <c r="Y5" s="212" t="s">
        <v>85</v>
      </c>
      <c r="Z5" s="213"/>
      <c r="AA5" s="233" t="s">
        <v>23</v>
      </c>
      <c r="AB5" s="229" t="s">
        <v>24</v>
      </c>
      <c r="AC5" s="233" t="s">
        <v>14</v>
      </c>
      <c r="AD5" s="233" t="s">
        <v>15</v>
      </c>
      <c r="AE5" s="233" t="s">
        <v>16</v>
      </c>
      <c r="AF5" s="350" t="s">
        <v>25</v>
      </c>
      <c r="AG5" s="224" t="s">
        <v>26</v>
      </c>
      <c r="AH5" s="351" t="s">
        <v>27</v>
      </c>
      <c r="AI5" s="224" t="s">
        <v>86</v>
      </c>
      <c r="AJ5" s="224" t="s">
        <v>20</v>
      </c>
      <c r="AK5" s="233" t="s">
        <v>20</v>
      </c>
      <c r="AL5" s="233" t="s">
        <v>20</v>
      </c>
      <c r="AM5" s="218" t="s">
        <v>29</v>
      </c>
      <c r="AN5" s="217" t="s">
        <v>30</v>
      </c>
    </row>
    <row r="6" customFormat="false" ht="12.95" hidden="false" customHeight="true" outlineLevel="0" collapsed="false">
      <c r="A6" s="220" t="s">
        <v>100</v>
      </c>
      <c r="B6" s="206" t="s">
        <v>32</v>
      </c>
      <c r="C6" s="207" t="s">
        <v>9</v>
      </c>
      <c r="D6" s="205" t="s">
        <v>33</v>
      </c>
      <c r="E6" s="207" t="s">
        <v>34</v>
      </c>
      <c r="F6" s="208" t="s">
        <v>35</v>
      </c>
      <c r="G6" s="382" t="s">
        <v>36</v>
      </c>
      <c r="H6" s="383" t="s">
        <v>37</v>
      </c>
      <c r="I6" s="382" t="s">
        <v>38</v>
      </c>
      <c r="J6" s="382" t="s">
        <v>38</v>
      </c>
      <c r="K6" s="382" t="s">
        <v>38</v>
      </c>
      <c r="L6" s="205" t="s">
        <v>39</v>
      </c>
      <c r="M6" s="221" t="s">
        <v>40</v>
      </c>
      <c r="N6" s="205" t="s">
        <v>41</v>
      </c>
      <c r="O6" s="205" t="s">
        <v>42</v>
      </c>
      <c r="P6" s="205" t="s">
        <v>43</v>
      </c>
      <c r="Q6" s="205" t="s">
        <v>44</v>
      </c>
      <c r="R6" s="222" t="s">
        <v>101</v>
      </c>
      <c r="S6" s="233" t="s">
        <v>46</v>
      </c>
      <c r="T6" s="233" t="s">
        <v>47</v>
      </c>
      <c r="U6" s="233" t="s">
        <v>20</v>
      </c>
      <c r="V6" s="229" t="s">
        <v>57</v>
      </c>
      <c r="W6" s="229" t="s">
        <v>49</v>
      </c>
      <c r="X6" s="233" t="s">
        <v>50</v>
      </c>
      <c r="Y6" s="221"/>
      <c r="Z6" s="222"/>
      <c r="AA6" s="233" t="s">
        <v>53</v>
      </c>
      <c r="AB6" s="229" t="s">
        <v>54</v>
      </c>
      <c r="AC6" s="233" t="s">
        <v>55</v>
      </c>
      <c r="AD6" s="233" t="s">
        <v>55</v>
      </c>
      <c r="AE6" s="233" t="s">
        <v>55</v>
      </c>
      <c r="AF6" s="353"/>
      <c r="AG6" s="224" t="s">
        <v>56</v>
      </c>
      <c r="AH6" s="351" t="s">
        <v>56</v>
      </c>
      <c r="AI6" s="224" t="s">
        <v>57</v>
      </c>
      <c r="AJ6" s="224" t="s">
        <v>58</v>
      </c>
      <c r="AK6" s="233" t="s">
        <v>59</v>
      </c>
      <c r="AL6" s="233" t="s">
        <v>59</v>
      </c>
      <c r="AM6" s="218" t="s">
        <v>60</v>
      </c>
      <c r="AN6" s="217" t="s">
        <v>61</v>
      </c>
    </row>
    <row r="7" customFormat="false" ht="12.95" hidden="false" customHeight="true" outlineLevel="0" collapsed="false">
      <c r="A7" s="226"/>
      <c r="B7" s="227"/>
      <c r="C7" s="228"/>
      <c r="D7" s="226"/>
      <c r="E7" s="229" t="s">
        <v>62</v>
      </c>
      <c r="F7" s="230"/>
      <c r="G7" s="226"/>
      <c r="H7" s="301"/>
      <c r="I7" s="226"/>
      <c r="J7" s="226"/>
      <c r="K7" s="226"/>
      <c r="L7" s="226"/>
      <c r="M7" s="232"/>
      <c r="N7" s="233" t="s">
        <v>63</v>
      </c>
      <c r="O7" s="233" t="s">
        <v>64</v>
      </c>
      <c r="P7" s="226"/>
      <c r="Q7" s="226"/>
      <c r="R7" s="234" t="s">
        <v>42</v>
      </c>
      <c r="S7" s="297"/>
      <c r="T7" s="297"/>
      <c r="U7" s="297"/>
      <c r="V7" s="229"/>
      <c r="W7" s="229" t="s">
        <v>91</v>
      </c>
      <c r="X7" s="297"/>
      <c r="Y7" s="232"/>
      <c r="Z7" s="236"/>
      <c r="AA7" s="297"/>
      <c r="AB7" s="356"/>
      <c r="AC7" s="297"/>
      <c r="AD7" s="297"/>
      <c r="AE7" s="297"/>
      <c r="AF7" s="357"/>
      <c r="AG7" s="224"/>
      <c r="AH7" s="358"/>
      <c r="AI7" s="224" t="s">
        <v>66</v>
      </c>
      <c r="AJ7" s="224" t="s">
        <v>35</v>
      </c>
      <c r="AK7" s="233" t="s">
        <v>67</v>
      </c>
      <c r="AL7" s="233" t="s">
        <v>92</v>
      </c>
      <c r="AM7" s="218" t="s">
        <v>69</v>
      </c>
      <c r="AN7" s="217" t="s">
        <v>70</v>
      </c>
    </row>
    <row r="8" customFormat="false" ht="12.95" hidden="false" customHeight="true" outlineLevel="0" collapsed="false">
      <c r="A8" s="226"/>
      <c r="B8" s="227"/>
      <c r="C8" s="228"/>
      <c r="D8" s="226"/>
      <c r="E8" s="228"/>
      <c r="F8" s="230"/>
      <c r="G8" s="226"/>
      <c r="H8" s="301"/>
      <c r="I8" s="226"/>
      <c r="J8" s="226"/>
      <c r="K8" s="226"/>
      <c r="L8" s="226"/>
      <c r="M8" s="232"/>
      <c r="N8" s="304" t="n">
        <v>1.03</v>
      </c>
      <c r="O8" s="304" t="n">
        <v>1.05</v>
      </c>
      <c r="P8" s="304" t="n">
        <v>1.02</v>
      </c>
      <c r="Q8" s="304" t="n">
        <v>1.04</v>
      </c>
      <c r="R8" s="234" t="s">
        <v>52</v>
      </c>
      <c r="S8" s="297"/>
      <c r="T8" s="297"/>
      <c r="U8" s="297"/>
      <c r="V8" s="356"/>
      <c r="W8" s="229" t="s">
        <v>71</v>
      </c>
      <c r="X8" s="297"/>
      <c r="Y8" s="232"/>
      <c r="Z8" s="236"/>
      <c r="AA8" s="297"/>
      <c r="AB8" s="356"/>
      <c r="AC8" s="297"/>
      <c r="AD8" s="297"/>
      <c r="AE8" s="297"/>
      <c r="AF8" s="357"/>
      <c r="AG8" s="359"/>
      <c r="AH8" s="358"/>
      <c r="AI8" s="359"/>
      <c r="AJ8" s="359"/>
      <c r="AK8" s="187"/>
      <c r="AL8" s="173" t="s">
        <v>66</v>
      </c>
      <c r="AM8" s="200"/>
    </row>
    <row r="9" customFormat="false" ht="12.95" hidden="false" customHeight="true" outlineLevel="0" collapsed="false">
      <c r="A9" s="173" t="s">
        <v>73</v>
      </c>
      <c r="B9" s="241"/>
      <c r="C9" s="242"/>
      <c r="D9" s="242"/>
      <c r="E9" s="242"/>
      <c r="F9" s="243"/>
      <c r="G9" s="242"/>
      <c r="H9" s="384"/>
      <c r="I9" s="242"/>
      <c r="J9" s="242"/>
      <c r="K9" s="242"/>
      <c r="L9" s="242"/>
      <c r="M9" s="245"/>
      <c r="N9" s="242"/>
      <c r="O9" s="242"/>
      <c r="P9" s="242"/>
      <c r="Q9" s="242"/>
      <c r="R9" s="246"/>
      <c r="S9" s="242"/>
      <c r="T9" s="242"/>
      <c r="U9" s="242"/>
      <c r="V9" s="242"/>
      <c r="W9" s="242"/>
      <c r="X9" s="242"/>
      <c r="Y9" s="245"/>
      <c r="Z9" s="246"/>
      <c r="AA9" s="242"/>
      <c r="AB9" s="242"/>
      <c r="AC9" s="242"/>
      <c r="AD9" s="242"/>
      <c r="AE9" s="242"/>
      <c r="AF9" s="248"/>
      <c r="AG9" s="244"/>
      <c r="AH9" s="249"/>
      <c r="AI9" s="244"/>
      <c r="AJ9" s="244"/>
      <c r="AK9" s="267"/>
      <c r="AL9" s="250"/>
      <c r="AM9" s="250"/>
    </row>
    <row r="10" s="157" customFormat="true" ht="12.95" hidden="false" customHeight="true" outlineLevel="0" collapsed="false">
      <c r="A10" s="251" t="s">
        <v>74</v>
      </c>
      <c r="B10" s="252" t="n">
        <f aca="false">FEB!B39</f>
        <v>6880.05</v>
      </c>
      <c r="C10" s="242" t="n">
        <f aca="false">FEB!C39</f>
        <v>216316</v>
      </c>
      <c r="D10" s="242" t="n">
        <f aca="false">FEB!D48</f>
        <v>9070</v>
      </c>
      <c r="E10" s="242" t="n">
        <f aca="false">FEB!E48</f>
        <v>64316</v>
      </c>
      <c r="F10" s="243" t="n">
        <f aca="false">FEB!F47</f>
        <v>4572.72498109403</v>
      </c>
      <c r="G10" s="242" t="n">
        <f aca="false">FEB!G47</f>
        <v>9575</v>
      </c>
      <c r="H10" s="363" t="n">
        <f aca="false">FEB!H47</f>
        <v>625.54</v>
      </c>
      <c r="I10" s="242" t="n">
        <f aca="false">FEB!I47</f>
        <v>10200.54</v>
      </c>
      <c r="J10" s="242" t="n">
        <f aca="false">FEB!J47</f>
        <v>5799.94042097303</v>
      </c>
      <c r="K10" s="242" t="n">
        <f aca="false">FEB!K47</f>
        <v>16000.480420973</v>
      </c>
      <c r="L10" s="242" t="n">
        <f aca="false">FEB!L47</f>
        <v>5254.68498109403</v>
      </c>
      <c r="M10" s="245" t="n">
        <f aca="false">FEB!M47</f>
        <v>626.7</v>
      </c>
      <c r="N10" s="242" t="n">
        <f aca="false">FEB!N47</f>
        <v>0</v>
      </c>
      <c r="O10" s="242" t="n">
        <f aca="false">FEB!O47</f>
        <v>0</v>
      </c>
      <c r="P10" s="242" t="n">
        <f aca="false">FEB!P47</f>
        <v>172.0842</v>
      </c>
      <c r="Q10" s="242" t="n">
        <f aca="false">FEB!Q47</f>
        <v>295.3584</v>
      </c>
      <c r="R10" s="246" t="n">
        <f aca="false">FEB!R47</f>
        <v>0.97</v>
      </c>
      <c r="S10" s="242" t="n">
        <f aca="false">FEB!S47</f>
        <v>7204</v>
      </c>
      <c r="T10" s="242" t="n">
        <f aca="false">FEB!T47</f>
        <v>33.8</v>
      </c>
      <c r="U10" s="242" t="n">
        <f aca="false">FEB!U47</f>
        <v>7396.0874</v>
      </c>
      <c r="V10" s="242"/>
      <c r="W10" s="242"/>
      <c r="X10" s="242"/>
      <c r="Y10" s="245"/>
      <c r="Z10" s="246"/>
      <c r="AA10" s="242" t="n">
        <f aca="false">FEB!AA47</f>
        <v>3018</v>
      </c>
      <c r="AB10" s="242" t="n">
        <f aca="false">FEB!AB47</f>
        <v>1033</v>
      </c>
      <c r="AC10" s="242" t="n">
        <f aca="false">FEB!AC47</f>
        <v>10882.5</v>
      </c>
      <c r="AD10" s="242" t="n">
        <f aca="false">FEB!AD47</f>
        <v>545.255439879002</v>
      </c>
      <c r="AE10" s="242" t="n">
        <f aca="false">FEB!AE47</f>
        <v>11427.755439879</v>
      </c>
      <c r="AF10" s="248" t="n">
        <f aca="false">FEB!AF47</f>
        <v>9.94</v>
      </c>
      <c r="AG10" s="244"/>
      <c r="AH10" s="249"/>
      <c r="AI10" s="244" t="n">
        <f aca="false">FEB!AI48</f>
        <v>14220.7741097</v>
      </c>
      <c r="AJ10" s="244" t="n">
        <f aca="false">FEB!AJ48</f>
        <v>0</v>
      </c>
      <c r="AK10" s="242"/>
      <c r="AL10" s="267"/>
      <c r="AM10" s="242"/>
      <c r="AN10" s="385"/>
    </row>
    <row r="11" customFormat="false" ht="3" hidden="false" customHeight="true" outlineLevel="0" collapsed="false">
      <c r="A11" s="386"/>
      <c r="B11" s="255"/>
      <c r="C11" s="256"/>
      <c r="D11" s="257"/>
      <c r="E11" s="256"/>
      <c r="F11" s="258"/>
      <c r="G11" s="257"/>
      <c r="H11" s="280"/>
      <c r="I11" s="257"/>
      <c r="J11" s="257"/>
      <c r="K11" s="257"/>
      <c r="L11" s="257"/>
      <c r="M11" s="260"/>
      <c r="N11" s="257"/>
      <c r="O11" s="257"/>
      <c r="P11" s="257"/>
      <c r="Q11" s="257"/>
      <c r="R11" s="261"/>
      <c r="S11" s="257"/>
      <c r="T11" s="257"/>
      <c r="U11" s="257"/>
      <c r="V11" s="256"/>
      <c r="W11" s="256"/>
      <c r="X11" s="257"/>
      <c r="Y11" s="260"/>
      <c r="Z11" s="261"/>
      <c r="AA11" s="257"/>
      <c r="AB11" s="256"/>
      <c r="AC11" s="257"/>
      <c r="AD11" s="257"/>
      <c r="AE11" s="257"/>
      <c r="AF11" s="263"/>
      <c r="AG11" s="264"/>
      <c r="AH11" s="265"/>
      <c r="AI11" s="264"/>
      <c r="AJ11" s="264"/>
      <c r="AK11" s="264"/>
      <c r="AL11" s="264"/>
      <c r="AM11" s="264"/>
      <c r="AN11" s="387"/>
    </row>
    <row r="12" customFormat="false" ht="12.95" hidden="false" customHeight="true" outlineLevel="0" collapsed="false">
      <c r="A12" s="359" t="n">
        <v>1</v>
      </c>
      <c r="B12" s="252" t="n">
        <v>6880.14</v>
      </c>
      <c r="C12" s="242" t="n">
        <v>216588</v>
      </c>
      <c r="D12" s="244" t="n">
        <f aca="false">C12-C10</f>
        <v>272</v>
      </c>
      <c r="E12" s="242" t="n">
        <f aca="false">C12-152000</f>
        <v>64588</v>
      </c>
      <c r="F12" s="266" t="n">
        <f aca="false">D12/$D$2</f>
        <v>137.131333501386</v>
      </c>
      <c r="G12" s="267" t="n">
        <v>108</v>
      </c>
      <c r="H12" s="388" t="n">
        <v>18</v>
      </c>
      <c r="I12" s="267" t="n">
        <f aca="false">G12+H12</f>
        <v>126</v>
      </c>
      <c r="J12" s="247" t="n">
        <f aca="false">IF(L12&gt;0,L12,0)</f>
        <v>39.4313335013864</v>
      </c>
      <c r="K12" s="267" t="n">
        <f aca="false">I12+J12</f>
        <v>165.431333501386</v>
      </c>
      <c r="L12" s="267" t="n">
        <f aca="false">F12-(I12-AC12)</f>
        <v>39.4313335013864</v>
      </c>
      <c r="M12" s="269" t="n">
        <v>4.3</v>
      </c>
      <c r="N12" s="267" t="n">
        <v>0</v>
      </c>
      <c r="O12" s="267" t="n">
        <v>0</v>
      </c>
      <c r="P12" s="389" t="n">
        <f aca="false">1.31*1.02</f>
        <v>1.3362</v>
      </c>
      <c r="Q12" s="389" t="n">
        <f aca="false">2.15*1.04</f>
        <v>2.236</v>
      </c>
      <c r="R12" s="132" t="n">
        <v>0</v>
      </c>
      <c r="S12" s="267" t="n">
        <v>0</v>
      </c>
      <c r="T12" s="267"/>
      <c r="U12" s="267" t="n">
        <f aca="false">M12-N12-O12-P12-Q12-R12+S12+T12</f>
        <v>0.7278</v>
      </c>
      <c r="V12" s="242"/>
      <c r="W12" s="242"/>
      <c r="X12" s="267"/>
      <c r="Y12" s="269"/>
      <c r="Z12" s="270"/>
      <c r="AA12" s="390" t="n">
        <v>24</v>
      </c>
      <c r="AB12" s="391" t="n">
        <f aca="false">AB10-AA12</f>
        <v>1009</v>
      </c>
      <c r="AC12" s="127" t="n">
        <f aca="false">N12+O12+P12+Q12+R12+U12+X12+AA12</f>
        <v>28.3</v>
      </c>
      <c r="AD12" s="267" t="n">
        <f aca="false">IF(L12&lt;0,L12*-1,0)</f>
        <v>0</v>
      </c>
      <c r="AE12" s="267" t="n">
        <f aca="false">AC12+AD12</f>
        <v>28.3</v>
      </c>
      <c r="AF12" s="248" t="n">
        <v>0</v>
      </c>
      <c r="AG12" s="244" t="n">
        <v>49</v>
      </c>
      <c r="AH12" s="249" t="n">
        <v>27</v>
      </c>
      <c r="AI12" s="244" t="n">
        <f aca="false">AI10+(U12*1.9835)</f>
        <v>14222.217701</v>
      </c>
      <c r="AJ12" s="244"/>
      <c r="AK12" s="250"/>
      <c r="AL12" s="242"/>
      <c r="AM12" s="250"/>
    </row>
    <row r="13" customFormat="false" ht="12.95" hidden="false" customHeight="true" outlineLevel="0" collapsed="false">
      <c r="A13" s="359" t="n">
        <f aca="false">A12+1</f>
        <v>2</v>
      </c>
      <c r="B13" s="252" t="n">
        <v>6880.23</v>
      </c>
      <c r="C13" s="242" t="n">
        <v>216860</v>
      </c>
      <c r="D13" s="244" t="n">
        <f aca="false">C13-C12</f>
        <v>272</v>
      </c>
      <c r="E13" s="242" t="n">
        <f aca="false">C13-152000</f>
        <v>64860</v>
      </c>
      <c r="F13" s="266" t="n">
        <f aca="false">D13/$D$2</f>
        <v>137.131333501386</v>
      </c>
      <c r="G13" s="267" t="n">
        <v>100</v>
      </c>
      <c r="H13" s="388" t="n">
        <v>18</v>
      </c>
      <c r="I13" s="267" t="n">
        <f aca="false">G13+H13</f>
        <v>118</v>
      </c>
      <c r="J13" s="247" t="n">
        <f aca="false">IF(L13&gt;0,L13,0)</f>
        <v>47.4313335013864</v>
      </c>
      <c r="K13" s="267" t="n">
        <f aca="false">I13+J13</f>
        <v>165.431333501386</v>
      </c>
      <c r="L13" s="267" t="n">
        <f aca="false">F13-(I13-AC13)</f>
        <v>47.4313335013864</v>
      </c>
      <c r="M13" s="269" t="n">
        <v>4.3</v>
      </c>
      <c r="N13" s="267" t="n">
        <v>0</v>
      </c>
      <c r="O13" s="267" t="n">
        <v>0</v>
      </c>
      <c r="P13" s="389" t="n">
        <f aca="false">1.31*1.02</f>
        <v>1.3362</v>
      </c>
      <c r="Q13" s="389" t="n">
        <f aca="false">2.2*1.04</f>
        <v>2.288</v>
      </c>
      <c r="R13" s="132" t="n">
        <v>0</v>
      </c>
      <c r="S13" s="267" t="n">
        <v>0</v>
      </c>
      <c r="T13" s="267"/>
      <c r="U13" s="267" t="n">
        <f aca="false">M13-N13-O13-P13-Q13-R13+S13+T13</f>
        <v>0.6758</v>
      </c>
      <c r="V13" s="242"/>
      <c r="W13" s="242"/>
      <c r="X13" s="267"/>
      <c r="Y13" s="269"/>
      <c r="Z13" s="270"/>
      <c r="AA13" s="390" t="n">
        <v>24</v>
      </c>
      <c r="AB13" s="391" t="n">
        <f aca="false">AB12-AA13</f>
        <v>985</v>
      </c>
      <c r="AC13" s="127" t="n">
        <f aca="false">N13+O13+P13+Q13+R13+U13+X13+AA13</f>
        <v>28.3</v>
      </c>
      <c r="AD13" s="267" t="n">
        <f aca="false">IF(L13&lt;0,L13*-1,0)</f>
        <v>0</v>
      </c>
      <c r="AE13" s="267" t="n">
        <f aca="false">AC13+AD13</f>
        <v>28.3</v>
      </c>
      <c r="AF13" s="248" t="n">
        <v>0</v>
      </c>
      <c r="AG13" s="244" t="n">
        <v>51</v>
      </c>
      <c r="AH13" s="249" t="n">
        <v>22</v>
      </c>
      <c r="AI13" s="244" t="n">
        <f aca="false">AI12+(U13*1.9835)</f>
        <v>14223.5581503</v>
      </c>
      <c r="AJ13" s="244"/>
      <c r="AK13" s="250"/>
      <c r="AL13" s="242"/>
      <c r="AM13" s="250"/>
    </row>
    <row r="14" customFormat="false" ht="12.95" hidden="false" customHeight="true" outlineLevel="0" collapsed="false">
      <c r="A14" s="359" t="n">
        <f aca="false">A13+1</f>
        <v>3</v>
      </c>
      <c r="B14" s="252" t="n">
        <v>6880.31</v>
      </c>
      <c r="C14" s="242" t="n">
        <v>217102</v>
      </c>
      <c r="D14" s="244" t="n">
        <f aca="false">C14-C13</f>
        <v>242</v>
      </c>
      <c r="E14" s="242" t="n">
        <f aca="false">C14-152000</f>
        <v>65102</v>
      </c>
      <c r="F14" s="266" t="n">
        <f aca="false">D14/$D$2</f>
        <v>122.006554071086</v>
      </c>
      <c r="G14" s="267" t="n">
        <v>108</v>
      </c>
      <c r="H14" s="388" t="n">
        <v>16</v>
      </c>
      <c r="I14" s="267" t="n">
        <f aca="false">G14+H14</f>
        <v>124</v>
      </c>
      <c r="J14" s="247" t="n">
        <f aca="false">IF(L14&gt;0,L14,0)</f>
        <v>26.3065540710865</v>
      </c>
      <c r="K14" s="267" t="n">
        <f aca="false">I14+J14</f>
        <v>150.306554071086</v>
      </c>
      <c r="L14" s="267" t="n">
        <f aca="false">F14-(I14-AC14)</f>
        <v>26.3065540710865</v>
      </c>
      <c r="M14" s="269" t="n">
        <v>4.3</v>
      </c>
      <c r="N14" s="267" t="n">
        <v>0</v>
      </c>
      <c r="O14" s="267" t="n">
        <v>0</v>
      </c>
      <c r="P14" s="389" t="n">
        <f aca="false">1.31*1.02</f>
        <v>1.3362</v>
      </c>
      <c r="Q14" s="389" t="n">
        <f aca="false">3.88*1.04</f>
        <v>4.0352</v>
      </c>
      <c r="R14" s="132" t="n">
        <v>0</v>
      </c>
      <c r="S14" s="267" t="n">
        <v>0</v>
      </c>
      <c r="T14" s="267"/>
      <c r="U14" s="267" t="n">
        <f aca="false">M14-N14-O14-P14-Q14-R14+S14+T14</f>
        <v>-1.0714</v>
      </c>
      <c r="V14" s="242"/>
      <c r="W14" s="242"/>
      <c r="X14" s="267"/>
      <c r="Y14" s="269"/>
      <c r="Z14" s="270"/>
      <c r="AA14" s="390" t="n">
        <v>24</v>
      </c>
      <c r="AB14" s="391" t="n">
        <f aca="false">AB13-AA14</f>
        <v>961</v>
      </c>
      <c r="AC14" s="127" t="n">
        <f aca="false">N14+O14+P14+Q14+R14+U14+X14+AA14</f>
        <v>28.3</v>
      </c>
      <c r="AD14" s="267" t="n">
        <f aca="false">IF(L14&lt;0,L14*-1,0)</f>
        <v>0</v>
      </c>
      <c r="AE14" s="267" t="n">
        <f aca="false">AC14+AD14</f>
        <v>28.3</v>
      </c>
      <c r="AF14" s="248" t="n">
        <v>0</v>
      </c>
      <c r="AG14" s="244" t="n">
        <v>47</v>
      </c>
      <c r="AH14" s="249" t="n">
        <v>28</v>
      </c>
      <c r="AI14" s="244" t="n">
        <f aca="false">AI13+(U14*1.9835)</f>
        <v>14221.4330284</v>
      </c>
      <c r="AJ14" s="244"/>
      <c r="AK14" s="250"/>
      <c r="AL14" s="242"/>
      <c r="AM14" s="250"/>
    </row>
    <row r="15" customFormat="false" ht="12.95" hidden="false" customHeight="true" outlineLevel="0" collapsed="false">
      <c r="A15" s="359" t="n">
        <f aca="false">A14+1</f>
        <v>4</v>
      </c>
      <c r="B15" s="252" t="n">
        <v>6880.41</v>
      </c>
      <c r="C15" s="242" t="n">
        <v>217404</v>
      </c>
      <c r="D15" s="244" t="n">
        <f aca="false">C15-C14</f>
        <v>302</v>
      </c>
      <c r="E15" s="242" t="n">
        <f aca="false">C15-152000</f>
        <v>65404</v>
      </c>
      <c r="F15" s="266" t="n">
        <f aca="false">D15/$D$2</f>
        <v>152.256112931686</v>
      </c>
      <c r="G15" s="267" t="n">
        <v>100</v>
      </c>
      <c r="H15" s="388" t="n">
        <v>18</v>
      </c>
      <c r="I15" s="267" t="n">
        <f aca="false">G15+H15</f>
        <v>118</v>
      </c>
      <c r="J15" s="247" t="n">
        <f aca="false">IF(L15&gt;0,L15,0)</f>
        <v>62.5561129316864</v>
      </c>
      <c r="K15" s="267" t="n">
        <f aca="false">I15+J15</f>
        <v>180.556112931686</v>
      </c>
      <c r="L15" s="267" t="n">
        <f aca="false">F15-(I15-AC15)</f>
        <v>62.5561129316864</v>
      </c>
      <c r="M15" s="269" t="n">
        <v>4.3</v>
      </c>
      <c r="N15" s="267" t="n">
        <v>0</v>
      </c>
      <c r="O15" s="267" t="n">
        <v>0</v>
      </c>
      <c r="P15" s="389" t="n">
        <f aca="false">1.31*1.02</f>
        <v>1.3362</v>
      </c>
      <c r="Q15" s="389" t="n">
        <f aca="false">2.1*1.04</f>
        <v>2.184</v>
      </c>
      <c r="R15" s="132" t="n">
        <v>0</v>
      </c>
      <c r="S15" s="267" t="n">
        <v>0</v>
      </c>
      <c r="T15" s="267"/>
      <c r="U15" s="267" t="n">
        <f aca="false">M15-N15-O15-P15-Q15-R15+S15+T15</f>
        <v>0.7798</v>
      </c>
      <c r="V15" s="242"/>
      <c r="W15" s="242"/>
      <c r="X15" s="267"/>
      <c r="Y15" s="269"/>
      <c r="Z15" s="270"/>
      <c r="AA15" s="390" t="n">
        <v>24</v>
      </c>
      <c r="AB15" s="391" t="n">
        <f aca="false">AB14-AA15</f>
        <v>937</v>
      </c>
      <c r="AC15" s="127" t="n">
        <f aca="false">N15+O15+P15+Q15+R15+U15+X15+AA15</f>
        <v>28.3</v>
      </c>
      <c r="AD15" s="267" t="n">
        <f aca="false">IF(L15&lt;0,L15*-1,0)</f>
        <v>0</v>
      </c>
      <c r="AE15" s="267" t="n">
        <f aca="false">AC15+AD15</f>
        <v>28.3</v>
      </c>
      <c r="AF15" s="248" t="n">
        <v>0</v>
      </c>
      <c r="AG15" s="244" t="n">
        <v>50</v>
      </c>
      <c r="AH15" s="249" t="n">
        <v>25</v>
      </c>
      <c r="AI15" s="244" t="n">
        <f aca="false">AI14+(U15*1.9835)</f>
        <v>14222.9797617</v>
      </c>
      <c r="AJ15" s="244"/>
      <c r="AK15" s="250"/>
      <c r="AL15" s="242"/>
      <c r="AM15" s="250"/>
    </row>
    <row r="16" customFormat="false" ht="12.95" hidden="false" customHeight="true" outlineLevel="0" collapsed="false">
      <c r="A16" s="359" t="n">
        <f aca="false">A15+1</f>
        <v>5</v>
      </c>
      <c r="B16" s="252" t="n">
        <v>6880.51</v>
      </c>
      <c r="C16" s="242" t="n">
        <v>217707</v>
      </c>
      <c r="D16" s="244" t="n">
        <f aca="false">C16-C15</f>
        <v>303</v>
      </c>
      <c r="E16" s="242" t="n">
        <f aca="false">C16-152000</f>
        <v>65707</v>
      </c>
      <c r="F16" s="266" t="n">
        <f aca="false">D16/$D$2</f>
        <v>152.76027224603</v>
      </c>
      <c r="G16" s="267" t="n">
        <v>117</v>
      </c>
      <c r="H16" s="388" t="n">
        <v>23</v>
      </c>
      <c r="I16" s="267" t="n">
        <f aca="false">G16+H16</f>
        <v>140</v>
      </c>
      <c r="J16" s="247" t="n">
        <f aca="false">IF(L16&gt;0,L16,0)</f>
        <v>41.0602722460297</v>
      </c>
      <c r="K16" s="267" t="n">
        <f aca="false">I16+J16</f>
        <v>181.06027224603</v>
      </c>
      <c r="L16" s="267" t="n">
        <f aca="false">F16-(I16-AC16)</f>
        <v>41.0602722460297</v>
      </c>
      <c r="M16" s="269" t="n">
        <v>4.3</v>
      </c>
      <c r="N16" s="267" t="n">
        <v>0</v>
      </c>
      <c r="O16" s="267" t="n">
        <v>0</v>
      </c>
      <c r="P16" s="389" t="n">
        <f aca="false">1.31*1.02</f>
        <v>1.3362</v>
      </c>
      <c r="Q16" s="389" t="n">
        <f aca="false">2.16*1.04</f>
        <v>2.2464</v>
      </c>
      <c r="R16" s="132" t="n">
        <v>0</v>
      </c>
      <c r="S16" s="267" t="n">
        <v>0</v>
      </c>
      <c r="T16" s="267"/>
      <c r="U16" s="267" t="n">
        <f aca="false">M16-N16-O16-P16-Q16-R16+S16+T16</f>
        <v>0.7174</v>
      </c>
      <c r="V16" s="242"/>
      <c r="W16" s="242"/>
      <c r="X16" s="267"/>
      <c r="Y16" s="269"/>
      <c r="Z16" s="270"/>
      <c r="AA16" s="390" t="n">
        <v>24</v>
      </c>
      <c r="AB16" s="391" t="n">
        <f aca="false">AB15-AA16</f>
        <v>913</v>
      </c>
      <c r="AC16" s="127" t="n">
        <f aca="false">N16+O16+P16+Q16+R16+U16+X16+AA16</f>
        <v>28.3</v>
      </c>
      <c r="AD16" s="267" t="n">
        <f aca="false">IF(L16&lt;0,L16*-1,0)</f>
        <v>0</v>
      </c>
      <c r="AE16" s="267" t="n">
        <f aca="false">AC16+AD16</f>
        <v>28.3</v>
      </c>
      <c r="AF16" s="248" t="n">
        <v>0</v>
      </c>
      <c r="AG16" s="244" t="n">
        <v>47</v>
      </c>
      <c r="AH16" s="249" t="n">
        <v>31</v>
      </c>
      <c r="AI16" s="244" t="n">
        <f aca="false">AI15+(U16*1.9835)</f>
        <v>14224.4027246</v>
      </c>
      <c r="AJ16" s="244"/>
      <c r="AK16" s="250"/>
      <c r="AL16" s="242"/>
      <c r="AM16" s="250"/>
    </row>
    <row r="17" customFormat="false" ht="12.95" hidden="false" customHeight="true" outlineLevel="0" collapsed="false">
      <c r="A17" s="359" t="n">
        <f aca="false">A16+1</f>
        <v>6</v>
      </c>
      <c r="B17" s="252" t="n">
        <v>6880.64</v>
      </c>
      <c r="C17" s="242" t="n">
        <v>218100</v>
      </c>
      <c r="D17" s="244" t="n">
        <f aca="false">C17-C16</f>
        <v>393</v>
      </c>
      <c r="E17" s="242" t="n">
        <f aca="false">C17-152000</f>
        <v>66100</v>
      </c>
      <c r="F17" s="266" t="n">
        <f aca="false">D17/$D$2</f>
        <v>198.13461053693</v>
      </c>
      <c r="G17" s="267" t="n">
        <v>120</v>
      </c>
      <c r="H17" s="388" t="n">
        <v>29</v>
      </c>
      <c r="I17" s="267" t="n">
        <f aca="false">G17+H17</f>
        <v>149</v>
      </c>
      <c r="J17" s="247" t="n">
        <f aca="false">IF(L17&gt;0,L17,0)</f>
        <v>77.4346105369297</v>
      </c>
      <c r="K17" s="267" t="n">
        <f aca="false">I17+J17</f>
        <v>226.43461053693</v>
      </c>
      <c r="L17" s="267" t="n">
        <f aca="false">F17-(I17-AC17)</f>
        <v>77.4346105369297</v>
      </c>
      <c r="M17" s="269" t="n">
        <v>4.3</v>
      </c>
      <c r="N17" s="267" t="n">
        <v>0</v>
      </c>
      <c r="O17" s="267" t="n">
        <v>0</v>
      </c>
      <c r="P17" s="389" t="n">
        <f aca="false">1.31*1.02</f>
        <v>1.3362</v>
      </c>
      <c r="Q17" s="389" t="n">
        <f aca="false">2.79*1.04</f>
        <v>2.9016</v>
      </c>
      <c r="R17" s="132" t="n">
        <v>0</v>
      </c>
      <c r="S17" s="267" t="n">
        <v>0</v>
      </c>
      <c r="T17" s="267"/>
      <c r="U17" s="267" t="n">
        <f aca="false">M17-N17-O17-P17-Q17-R17+S17+T17</f>
        <v>0.0621999999999998</v>
      </c>
      <c r="V17" s="242"/>
      <c r="W17" s="242"/>
      <c r="X17" s="267"/>
      <c r="Y17" s="269"/>
      <c r="Z17" s="270"/>
      <c r="AA17" s="390" t="n">
        <v>24</v>
      </c>
      <c r="AB17" s="391" t="n">
        <f aca="false">AB16-AA17</f>
        <v>889</v>
      </c>
      <c r="AC17" s="127" t="n">
        <f aca="false">N17+O17+P17+Q17+R17+U17+X17+AA17</f>
        <v>28.3</v>
      </c>
      <c r="AD17" s="267" t="n">
        <f aca="false">IF(L17&lt;0,L17*-1,0)</f>
        <v>0</v>
      </c>
      <c r="AE17" s="267" t="n">
        <f aca="false">AC17+AD17</f>
        <v>28.3</v>
      </c>
      <c r="AF17" s="248" t="n">
        <v>0</v>
      </c>
      <c r="AG17" s="244" t="n">
        <v>56</v>
      </c>
      <c r="AH17" s="249" t="n">
        <v>29</v>
      </c>
      <c r="AI17" s="244" t="n">
        <f aca="false">AI16+(U17*1.9835)</f>
        <v>14224.5260983</v>
      </c>
      <c r="AJ17" s="244"/>
      <c r="AK17" s="267"/>
      <c r="AL17" s="242"/>
      <c r="AM17" s="250"/>
    </row>
    <row r="18" customFormat="false" ht="12.95" hidden="false" customHeight="true" outlineLevel="0" collapsed="false">
      <c r="A18" s="359" t="n">
        <f aca="false">A17+1</f>
        <v>7</v>
      </c>
      <c r="B18" s="252" t="n">
        <v>6880.79</v>
      </c>
      <c r="C18" s="242" t="n">
        <v>218553</v>
      </c>
      <c r="D18" s="244" t="n">
        <f aca="false">C18-C17</f>
        <v>453</v>
      </c>
      <c r="E18" s="242" t="n">
        <f aca="false">C18-152000</f>
        <v>66553</v>
      </c>
      <c r="F18" s="266" t="n">
        <f aca="false">D18/$D$2</f>
        <v>228.38416939753</v>
      </c>
      <c r="G18" s="267" t="n">
        <v>136</v>
      </c>
      <c r="H18" s="388" t="n">
        <v>41</v>
      </c>
      <c r="I18" s="267" t="n">
        <f aca="false">G18+H18</f>
        <v>177</v>
      </c>
      <c r="J18" s="247" t="n">
        <f aca="false">IF(L18&gt;0,L18,0)</f>
        <v>81.1841693975296</v>
      </c>
      <c r="K18" s="267" t="n">
        <f aca="false">I18+J18</f>
        <v>258.18416939753</v>
      </c>
      <c r="L18" s="267" t="n">
        <f aca="false">F18-(I18-AC18)</f>
        <v>81.1841693975296</v>
      </c>
      <c r="M18" s="269" t="n">
        <v>5.8</v>
      </c>
      <c r="N18" s="267" t="n">
        <v>0</v>
      </c>
      <c r="O18" s="267" t="n">
        <v>0</v>
      </c>
      <c r="P18" s="389" t="n">
        <f aca="false">1.31*1.02</f>
        <v>1.3362</v>
      </c>
      <c r="Q18" s="389" t="n">
        <f aca="false">2.22*1.04</f>
        <v>2.3088</v>
      </c>
      <c r="R18" s="132" t="n">
        <v>0</v>
      </c>
      <c r="S18" s="267" t="n">
        <v>0</v>
      </c>
      <c r="T18" s="267"/>
      <c r="U18" s="267" t="n">
        <f aca="false">M18-N18-O18-P18-Q18-R18+S18+T18</f>
        <v>2.155</v>
      </c>
      <c r="V18" s="242"/>
      <c r="W18" s="242"/>
      <c r="X18" s="267"/>
      <c r="Y18" s="269"/>
      <c r="Z18" s="270"/>
      <c r="AA18" s="390" t="n">
        <v>24</v>
      </c>
      <c r="AB18" s="391" t="n">
        <f aca="false">AB17-AA18</f>
        <v>865</v>
      </c>
      <c r="AC18" s="127" t="n">
        <f aca="false">N18+O18+P18+Q18+R18+U18+X18+AA18</f>
        <v>29.8</v>
      </c>
      <c r="AD18" s="267" t="n">
        <f aca="false">IF(L18&lt;0,L18*-1,0)</f>
        <v>0</v>
      </c>
      <c r="AE18" s="267" t="n">
        <f aca="false">AC18+AD18</f>
        <v>29.8</v>
      </c>
      <c r="AF18" s="248" t="n">
        <v>0</v>
      </c>
      <c r="AG18" s="244" t="n">
        <v>56</v>
      </c>
      <c r="AH18" s="249" t="n">
        <v>25</v>
      </c>
      <c r="AI18" s="244" t="n">
        <f aca="false">AI17+(U18*1.9835)</f>
        <v>14228.8005408</v>
      </c>
      <c r="AJ18" s="244"/>
      <c r="AK18" s="267"/>
      <c r="AL18" s="242"/>
      <c r="AM18" s="250"/>
    </row>
    <row r="19" customFormat="false" ht="12.95" hidden="false" customHeight="true" outlineLevel="0" collapsed="false">
      <c r="A19" s="359" t="n">
        <f aca="false">A18+1</f>
        <v>8</v>
      </c>
      <c r="B19" s="252" t="n">
        <v>6881.01</v>
      </c>
      <c r="C19" s="242" t="n">
        <v>219219</v>
      </c>
      <c r="D19" s="244" t="n">
        <f aca="false">C19-C18</f>
        <v>666</v>
      </c>
      <c r="E19" s="242" t="n">
        <f aca="false">C19-152000</f>
        <v>67219</v>
      </c>
      <c r="F19" s="266" t="n">
        <f aca="false">D19/$D$2</f>
        <v>335.770103352659</v>
      </c>
      <c r="G19" s="267" t="n">
        <v>161</v>
      </c>
      <c r="H19" s="388" t="n">
        <v>52</v>
      </c>
      <c r="I19" s="267" t="n">
        <f aca="false">G19+H19</f>
        <v>213</v>
      </c>
      <c r="J19" s="247" t="n">
        <f aca="false">IF(L19&gt;0,L19,0)</f>
        <v>155.970103352659</v>
      </c>
      <c r="K19" s="267" t="n">
        <f aca="false">I19+J19</f>
        <v>368.970103352659</v>
      </c>
      <c r="L19" s="267" t="n">
        <f aca="false">F19-(I19-AC19)</f>
        <v>155.970103352659</v>
      </c>
      <c r="M19" s="269" t="n">
        <v>5.2</v>
      </c>
      <c r="N19" s="267" t="n">
        <v>0</v>
      </c>
      <c r="O19" s="267" t="n">
        <v>0</v>
      </c>
      <c r="P19" s="389" t="n">
        <f aca="false">1.31*1.02</f>
        <v>1.3362</v>
      </c>
      <c r="Q19" s="389" t="n">
        <f aca="false">2.18*1.04</f>
        <v>2.2672</v>
      </c>
      <c r="R19" s="132" t="n">
        <v>0</v>
      </c>
      <c r="S19" s="267" t="n">
        <v>0</v>
      </c>
      <c r="T19" s="267"/>
      <c r="U19" s="267" t="n">
        <f aca="false">M19-N19-O19-P19-Q19-R19+S19+T19</f>
        <v>1.5966</v>
      </c>
      <c r="V19" s="242"/>
      <c r="W19" s="242"/>
      <c r="X19" s="267"/>
      <c r="Y19" s="269"/>
      <c r="Z19" s="270"/>
      <c r="AA19" s="390" t="n">
        <v>28</v>
      </c>
      <c r="AB19" s="391" t="n">
        <f aca="false">AB18-AA19</f>
        <v>837</v>
      </c>
      <c r="AC19" s="127" t="n">
        <f aca="false">N19+O19+P19+Q19+R19+U19+X19+AA19</f>
        <v>33.2</v>
      </c>
      <c r="AD19" s="267" t="n">
        <f aca="false">IF(L19&lt;0,L19*-1,0)</f>
        <v>0</v>
      </c>
      <c r="AE19" s="267" t="n">
        <f aca="false">AC19+AD19</f>
        <v>33.2</v>
      </c>
      <c r="AF19" s="248" t="n">
        <v>0</v>
      </c>
      <c r="AG19" s="244" t="n">
        <v>55</v>
      </c>
      <c r="AH19" s="249" t="n">
        <v>28</v>
      </c>
      <c r="AI19" s="244" t="n">
        <f aca="false">AI18+(U19*1.9835)</f>
        <v>14231.9673969</v>
      </c>
      <c r="AJ19" s="244"/>
      <c r="AK19" s="267"/>
      <c r="AL19" s="242"/>
      <c r="AM19" s="250"/>
    </row>
    <row r="20" customFormat="false" ht="12.95" hidden="false" customHeight="true" outlineLevel="0" collapsed="false">
      <c r="A20" s="359" t="n">
        <f aca="false">A19+1</f>
        <v>9</v>
      </c>
      <c r="B20" s="252" t="n">
        <v>6881.24</v>
      </c>
      <c r="C20" s="242" t="n">
        <v>219924</v>
      </c>
      <c r="D20" s="244" t="n">
        <f aca="false">C20-C19</f>
        <v>705</v>
      </c>
      <c r="E20" s="242" t="n">
        <f aca="false">C20-152000</f>
        <v>67924</v>
      </c>
      <c r="F20" s="266" t="n">
        <f aca="false">D20/$D$2</f>
        <v>355.432316612049</v>
      </c>
      <c r="G20" s="267" t="n">
        <v>193</v>
      </c>
      <c r="H20" s="388" t="n">
        <v>69</v>
      </c>
      <c r="I20" s="267" t="n">
        <f aca="false">G20+H20</f>
        <v>262</v>
      </c>
      <c r="J20" s="247" t="n">
        <f aca="false">IF(L20&gt;0,L20,0)</f>
        <v>134.632316612049</v>
      </c>
      <c r="K20" s="267" t="n">
        <f aca="false">I20+J20</f>
        <v>396.632316612049</v>
      </c>
      <c r="L20" s="267" t="n">
        <f aca="false">F20-(I20-AC20)</f>
        <v>134.632316612049</v>
      </c>
      <c r="M20" s="269" t="n">
        <v>5.2</v>
      </c>
      <c r="N20" s="267" t="n">
        <v>0</v>
      </c>
      <c r="O20" s="267" t="n">
        <v>0</v>
      </c>
      <c r="P20" s="389" t="n">
        <f aca="false">1.31*1.02</f>
        <v>1.3362</v>
      </c>
      <c r="Q20" s="389" t="n">
        <f aca="false">2.27*1.04</f>
        <v>2.3608</v>
      </c>
      <c r="R20" s="132" t="n">
        <v>0</v>
      </c>
      <c r="S20" s="267" t="n">
        <v>0</v>
      </c>
      <c r="T20" s="267"/>
      <c r="U20" s="267" t="n">
        <f aca="false">M20-N20-O20-P20-Q20-R20+S20+T20</f>
        <v>1.503</v>
      </c>
      <c r="V20" s="242"/>
      <c r="W20" s="242"/>
      <c r="X20" s="267"/>
      <c r="Y20" s="269"/>
      <c r="Z20" s="270"/>
      <c r="AA20" s="390" t="n">
        <v>36</v>
      </c>
      <c r="AB20" s="391" t="n">
        <f aca="false">AB19-AA20</f>
        <v>801</v>
      </c>
      <c r="AC20" s="127" t="n">
        <f aca="false">N20+O20+P20+Q20+R20+U20+X20+AA20</f>
        <v>41.2</v>
      </c>
      <c r="AD20" s="267" t="n">
        <f aca="false">IF(L20&lt;0,L20*-1,0)</f>
        <v>0</v>
      </c>
      <c r="AE20" s="267" t="n">
        <f aca="false">AC20+AD20</f>
        <v>41.2</v>
      </c>
      <c r="AF20" s="248" t="n">
        <v>0</v>
      </c>
      <c r="AG20" s="250" t="n">
        <v>61</v>
      </c>
      <c r="AH20" s="249" t="n">
        <v>28</v>
      </c>
      <c r="AI20" s="244" t="n">
        <f aca="false">AI19+(U20*1.9835)</f>
        <v>14234.9485974</v>
      </c>
      <c r="AJ20" s="244"/>
      <c r="AK20" s="267"/>
      <c r="AL20" s="242"/>
      <c r="AM20" s="250"/>
    </row>
    <row r="21" customFormat="false" ht="12.95" hidden="false" customHeight="true" outlineLevel="0" collapsed="false">
      <c r="A21" s="359" t="n">
        <f aca="false">A20+1</f>
        <v>10</v>
      </c>
      <c r="B21" s="252" t="n">
        <v>6881.61</v>
      </c>
      <c r="C21" s="242" t="n">
        <v>221058</v>
      </c>
      <c r="D21" s="244" t="n">
        <f aca="false">C21-C20</f>
        <v>1134</v>
      </c>
      <c r="E21" s="242" t="n">
        <f aca="false">C21-152000</f>
        <v>69058</v>
      </c>
      <c r="F21" s="266" t="n">
        <f aca="false">D21/$D$2</f>
        <v>571.716662465339</v>
      </c>
      <c r="G21" s="267" t="n">
        <v>259</v>
      </c>
      <c r="H21" s="392" t="n">
        <v>100</v>
      </c>
      <c r="I21" s="267" t="n">
        <f aca="false">G21+H21</f>
        <v>359</v>
      </c>
      <c r="J21" s="247" t="n">
        <f aca="false">IF(L21&gt;0,L21,0)</f>
        <v>253.916662465339</v>
      </c>
      <c r="K21" s="267" t="n">
        <f aca="false">I21+J21</f>
        <v>612.916662465339</v>
      </c>
      <c r="L21" s="267" t="n">
        <f aca="false">F21-(I21-AC21)</f>
        <v>253.916662465339</v>
      </c>
      <c r="M21" s="269" t="n">
        <v>5.2</v>
      </c>
      <c r="N21" s="267" t="n">
        <v>0</v>
      </c>
      <c r="O21" s="267" t="n">
        <v>0</v>
      </c>
      <c r="P21" s="389" t="n">
        <f aca="false">1.31*1.02</f>
        <v>1.3362</v>
      </c>
      <c r="Q21" s="389" t="n">
        <f aca="false">1.95*1.04</f>
        <v>2.028</v>
      </c>
      <c r="R21" s="132" t="n">
        <v>0</v>
      </c>
      <c r="S21" s="267" t="n">
        <v>0</v>
      </c>
      <c r="T21" s="267"/>
      <c r="U21" s="267" t="n">
        <f aca="false">M21-N21-O21-P21-Q21-R21+S21+T21</f>
        <v>1.8358</v>
      </c>
      <c r="V21" s="242"/>
      <c r="W21" s="242"/>
      <c r="X21" s="267"/>
      <c r="Y21" s="269"/>
      <c r="Z21" s="270"/>
      <c r="AA21" s="390" t="n">
        <v>36</v>
      </c>
      <c r="AB21" s="391" t="n">
        <f aca="false">AB20-AA21</f>
        <v>765</v>
      </c>
      <c r="AC21" s="127" t="n">
        <f aca="false">N21+O21+P21+Q21+R21+U21+X21+AA21</f>
        <v>41.2</v>
      </c>
      <c r="AD21" s="267" t="n">
        <f aca="false">IF(L21&lt;0,L21*-1,0)</f>
        <v>0</v>
      </c>
      <c r="AE21" s="267" t="n">
        <f aca="false">AC21+AD21</f>
        <v>41.2</v>
      </c>
      <c r="AF21" s="248" t="n">
        <v>0</v>
      </c>
      <c r="AG21" s="244" t="n">
        <v>60</v>
      </c>
      <c r="AH21" s="249" t="n">
        <v>30</v>
      </c>
      <c r="AI21" s="244" t="n">
        <f aca="false">AI20+(U21*1.9835)</f>
        <v>14238.5899067</v>
      </c>
      <c r="AJ21" s="244"/>
      <c r="AK21" s="267"/>
      <c r="AL21" s="242"/>
      <c r="AM21" s="250"/>
    </row>
    <row r="22" customFormat="false" ht="12.95" hidden="false" customHeight="true" outlineLevel="0" collapsed="false">
      <c r="A22" s="359" t="n">
        <f aca="false">A21+1</f>
        <v>11</v>
      </c>
      <c r="B22" s="252" t="n">
        <v>6882.02</v>
      </c>
      <c r="C22" s="242" t="n">
        <v>222315</v>
      </c>
      <c r="D22" s="244" t="n">
        <f aca="false">C22-C21</f>
        <v>1257</v>
      </c>
      <c r="E22" s="242" t="n">
        <f aca="false">C22-152000</f>
        <v>70315</v>
      </c>
      <c r="F22" s="266" t="n">
        <f aca="false">D22/$D$2</f>
        <v>633.728258129569</v>
      </c>
      <c r="G22" s="267" t="n">
        <v>321</v>
      </c>
      <c r="H22" s="392" t="n">
        <v>119</v>
      </c>
      <c r="I22" s="267" t="n">
        <f aca="false">G22+H22</f>
        <v>440</v>
      </c>
      <c r="J22" s="247" t="n">
        <f aca="false">IF(L22&gt;0,L22,0)</f>
        <v>234.928258129569</v>
      </c>
      <c r="K22" s="267" t="n">
        <f aca="false">I22+J22</f>
        <v>674.928258129569</v>
      </c>
      <c r="L22" s="267" t="n">
        <f aca="false">F22-(I22-AC22)</f>
        <v>234.928258129569</v>
      </c>
      <c r="M22" s="269" t="n">
        <v>5.2</v>
      </c>
      <c r="N22" s="267" t="n">
        <v>0</v>
      </c>
      <c r="O22" s="267" t="n">
        <v>0</v>
      </c>
      <c r="P22" s="389" t="n">
        <f aca="false">1.31*1.02</f>
        <v>1.3362</v>
      </c>
      <c r="Q22" s="389" t="n">
        <f aca="false">1.89*1.04</f>
        <v>1.9656</v>
      </c>
      <c r="R22" s="132" t="n">
        <v>0</v>
      </c>
      <c r="S22" s="267" t="n">
        <v>0</v>
      </c>
      <c r="T22" s="267"/>
      <c r="U22" s="267" t="n">
        <f aca="false">M22-N22-O22-P22-Q22-R22+S22+T22</f>
        <v>1.8982</v>
      </c>
      <c r="V22" s="242"/>
      <c r="W22" s="242"/>
      <c r="X22" s="267"/>
      <c r="Y22" s="269"/>
      <c r="Z22" s="270"/>
      <c r="AA22" s="390" t="n">
        <v>36</v>
      </c>
      <c r="AB22" s="391" t="n">
        <f aca="false">AB21-AA22</f>
        <v>729</v>
      </c>
      <c r="AC22" s="127" t="n">
        <f aca="false">N22+O22+P22+Q22+R22+U22+X22+AA22</f>
        <v>41.2</v>
      </c>
      <c r="AD22" s="267" t="n">
        <f aca="false">IF(L22&lt;0,L22*-1,0)</f>
        <v>0</v>
      </c>
      <c r="AE22" s="267" t="n">
        <f aca="false">AC22+AD22</f>
        <v>41.2</v>
      </c>
      <c r="AF22" s="248" t="n">
        <v>0</v>
      </c>
      <c r="AG22" s="244" t="n">
        <v>61</v>
      </c>
      <c r="AH22" s="249" t="n">
        <v>33</v>
      </c>
      <c r="AI22" s="244" t="n">
        <f aca="false">AI21+(U22*1.9835)</f>
        <v>14242.3549864</v>
      </c>
      <c r="AJ22" s="244"/>
      <c r="AK22" s="267"/>
      <c r="AL22" s="242"/>
      <c r="AM22" s="250"/>
    </row>
    <row r="23" customFormat="false" ht="12.95" hidden="false" customHeight="true" outlineLevel="0" collapsed="false">
      <c r="A23" s="359" t="n">
        <f aca="false">A22+1</f>
        <v>12</v>
      </c>
      <c r="B23" s="252" t="n">
        <v>6882.51</v>
      </c>
      <c r="C23" s="242" t="n">
        <v>223837</v>
      </c>
      <c r="D23" s="244" t="n">
        <f aca="false">C23-C22</f>
        <v>1522</v>
      </c>
      <c r="E23" s="242" t="n">
        <f aca="false">C23-152000</f>
        <v>71837</v>
      </c>
      <c r="F23" s="266" t="n">
        <f aca="false">D23/$D$2</f>
        <v>767.330476430552</v>
      </c>
      <c r="G23" s="267" t="n">
        <v>378</v>
      </c>
      <c r="H23" s="392" t="n">
        <v>138</v>
      </c>
      <c r="I23" s="267" t="n">
        <f aca="false">G23+H23</f>
        <v>516</v>
      </c>
      <c r="J23" s="247" t="n">
        <f aca="false">IF(L23&gt;0,L23,0)</f>
        <v>292.530476430552</v>
      </c>
      <c r="K23" s="267" t="n">
        <f aca="false">I23+J23</f>
        <v>808.530476430552</v>
      </c>
      <c r="L23" s="267" t="n">
        <f aca="false">F23-(I23-AC23)</f>
        <v>292.530476430552</v>
      </c>
      <c r="M23" s="269" t="n">
        <v>5.2</v>
      </c>
      <c r="N23" s="267" t="n">
        <v>0</v>
      </c>
      <c r="O23" s="267" t="n">
        <v>0</v>
      </c>
      <c r="P23" s="389" t="n">
        <f aca="false">1.31*1.02</f>
        <v>1.3362</v>
      </c>
      <c r="Q23" s="389" t="n">
        <f aca="false">2.07*1.04</f>
        <v>2.1528</v>
      </c>
      <c r="R23" s="132" t="n">
        <v>0</v>
      </c>
      <c r="S23" s="267" t="n">
        <v>0</v>
      </c>
      <c r="T23" s="267"/>
      <c r="U23" s="267" t="n">
        <f aca="false">M23-N23-O23-P23-Q23-R23+S23+T23</f>
        <v>1.711</v>
      </c>
      <c r="V23" s="242"/>
      <c r="W23" s="242"/>
      <c r="X23" s="267"/>
      <c r="Y23" s="269"/>
      <c r="Z23" s="270"/>
      <c r="AA23" s="390" t="n">
        <v>36</v>
      </c>
      <c r="AB23" s="391" t="n">
        <f aca="false">AB22-AA23</f>
        <v>693</v>
      </c>
      <c r="AC23" s="127" t="n">
        <f aca="false">N23+O23+P23+Q23+R23+U23+X23+AA23</f>
        <v>41.2</v>
      </c>
      <c r="AD23" s="267" t="n">
        <f aca="false">IF(L23&lt;0,L23*-1,0)</f>
        <v>0</v>
      </c>
      <c r="AE23" s="267" t="n">
        <f aca="false">AC23+AD23</f>
        <v>41.2</v>
      </c>
      <c r="AF23" s="248" t="n">
        <v>0</v>
      </c>
      <c r="AG23" s="244" t="n">
        <v>62</v>
      </c>
      <c r="AH23" s="249" t="n">
        <v>30</v>
      </c>
      <c r="AI23" s="244" t="n">
        <f aca="false">AI22+(U23*1.9835)</f>
        <v>14245.7487549</v>
      </c>
      <c r="AJ23" s="244"/>
      <c r="AK23" s="267"/>
      <c r="AL23" s="242"/>
      <c r="AM23" s="250"/>
    </row>
    <row r="24" customFormat="false" ht="12.95" hidden="false" customHeight="true" outlineLevel="0" collapsed="false">
      <c r="A24" s="359" t="n">
        <f aca="false">A23+1</f>
        <v>13</v>
      </c>
      <c r="B24" s="252" t="n">
        <v>6883.1</v>
      </c>
      <c r="C24" s="242" t="n">
        <v>225674</v>
      </c>
      <c r="D24" s="244" t="n">
        <f aca="false">C24-C23</f>
        <v>1837</v>
      </c>
      <c r="E24" s="242" t="n">
        <f aca="false">C24-152000</f>
        <v>73674</v>
      </c>
      <c r="F24" s="266" t="n">
        <f aca="false">D24/$D$2</f>
        <v>926.140660448702</v>
      </c>
      <c r="G24" s="267" t="n">
        <v>445</v>
      </c>
      <c r="H24" s="392" t="n">
        <v>158</v>
      </c>
      <c r="I24" s="267" t="n">
        <f aca="false">G24+H24</f>
        <v>603</v>
      </c>
      <c r="J24" s="247" t="n">
        <f aca="false">IF(L24&gt;0,L24,0)</f>
        <v>364.340660448702</v>
      </c>
      <c r="K24" s="267" t="n">
        <f aca="false">I24+J24</f>
        <v>967.340660448702</v>
      </c>
      <c r="L24" s="267" t="n">
        <f aca="false">F24-(I24-AC24)</f>
        <v>364.340660448702</v>
      </c>
      <c r="M24" s="269" t="n">
        <v>5.2</v>
      </c>
      <c r="N24" s="267" t="n">
        <v>0</v>
      </c>
      <c r="O24" s="267" t="n">
        <v>0</v>
      </c>
      <c r="P24" s="389" t="n">
        <f aca="false">1.31*1.02</f>
        <v>1.3362</v>
      </c>
      <c r="Q24" s="389" t="n">
        <f aca="false">1.98*1.04</f>
        <v>2.0592</v>
      </c>
      <c r="R24" s="132" t="n">
        <v>0</v>
      </c>
      <c r="S24" s="267" t="n">
        <v>0</v>
      </c>
      <c r="T24" s="267"/>
      <c r="U24" s="267" t="n">
        <f aca="false">M24-N24-O24-P24-Q24-R24+S24+T24</f>
        <v>1.8046</v>
      </c>
      <c r="V24" s="242"/>
      <c r="W24" s="242"/>
      <c r="X24" s="267"/>
      <c r="Y24" s="269"/>
      <c r="Z24" s="270"/>
      <c r="AA24" s="390" t="n">
        <v>36</v>
      </c>
      <c r="AB24" s="391" t="n">
        <f aca="false">AB23-AA24</f>
        <v>657</v>
      </c>
      <c r="AC24" s="127" t="n">
        <f aca="false">N24+O24+P24+Q24+R24+U24+X24+AA24</f>
        <v>41.2</v>
      </c>
      <c r="AD24" s="267" t="n">
        <f aca="false">IF(L24&lt;0,L24*-1,0)</f>
        <v>0</v>
      </c>
      <c r="AE24" s="267" t="n">
        <f aca="false">AC24+AD24</f>
        <v>41.2</v>
      </c>
      <c r="AF24" s="248" t="n">
        <v>0</v>
      </c>
      <c r="AG24" s="244" t="n">
        <v>51</v>
      </c>
      <c r="AH24" s="249" t="n">
        <v>31</v>
      </c>
      <c r="AI24" s="244" t="n">
        <f aca="false">AI23+(U24*1.9835)</f>
        <v>14249.328179</v>
      </c>
      <c r="AJ24" s="244"/>
      <c r="AK24" s="267"/>
      <c r="AL24" s="242"/>
      <c r="AM24" s="250"/>
    </row>
    <row r="25" customFormat="false" ht="12.95" hidden="false" customHeight="true" outlineLevel="0" collapsed="false">
      <c r="A25" s="359" t="n">
        <f aca="false">A24+1</f>
        <v>14</v>
      </c>
      <c r="B25" s="252" t="n">
        <v>6883.67</v>
      </c>
      <c r="C25" s="242" t="n">
        <v>227467</v>
      </c>
      <c r="D25" s="244" t="n">
        <f aca="false">C25-C24</f>
        <v>1793</v>
      </c>
      <c r="E25" s="242" t="n">
        <f aca="false">C25-152000</f>
        <v>75467</v>
      </c>
      <c r="F25" s="266" t="n">
        <f aca="false">D25/$D$2</f>
        <v>903.957650617595</v>
      </c>
      <c r="G25" s="267" t="n">
        <v>416</v>
      </c>
      <c r="H25" s="360" t="n">
        <v>128</v>
      </c>
      <c r="I25" s="267" t="n">
        <f aca="false">G25+H25</f>
        <v>544</v>
      </c>
      <c r="J25" s="247" t="n">
        <f aca="false">IF(L25&gt;0,L25,0)</f>
        <v>401.157650617595</v>
      </c>
      <c r="K25" s="267" t="n">
        <f aca="false">I25+J25</f>
        <v>945.157650617595</v>
      </c>
      <c r="L25" s="267" t="n">
        <f aca="false">F25-(I25-AC25)</f>
        <v>401.157650617595</v>
      </c>
      <c r="M25" s="269" t="n">
        <v>5.2</v>
      </c>
      <c r="N25" s="267" t="n">
        <v>0</v>
      </c>
      <c r="O25" s="267" t="n">
        <v>0</v>
      </c>
      <c r="P25" s="389" t="n">
        <f aca="false">1.31*1.02</f>
        <v>1.3362</v>
      </c>
      <c r="Q25" s="389" t="n">
        <f aca="false">2.75*1.04</f>
        <v>2.86</v>
      </c>
      <c r="R25" s="132" t="n">
        <v>0</v>
      </c>
      <c r="S25" s="267" t="n">
        <v>0</v>
      </c>
      <c r="T25" s="267"/>
      <c r="U25" s="267" t="n">
        <f aca="false">M25-N25-O25-P25-Q25-R25+S25+T25</f>
        <v>1.0038</v>
      </c>
      <c r="V25" s="242"/>
      <c r="W25" s="242"/>
      <c r="X25" s="267"/>
      <c r="Y25" s="269"/>
      <c r="Z25" s="270"/>
      <c r="AA25" s="390" t="n">
        <v>36</v>
      </c>
      <c r="AB25" s="391" t="n">
        <f aca="false">AB24-AA25</f>
        <v>621</v>
      </c>
      <c r="AC25" s="127" t="n">
        <f aca="false">N25+O25+P25+Q25+R25+U25+X25+AA25</f>
        <v>41.2</v>
      </c>
      <c r="AD25" s="267" t="n">
        <f aca="false">IF(L25&lt;0,L25*-1,0)</f>
        <v>0</v>
      </c>
      <c r="AE25" s="267" t="n">
        <f aca="false">AC25+AD25</f>
        <v>41.2</v>
      </c>
      <c r="AF25" s="248" t="n">
        <v>0</v>
      </c>
      <c r="AG25" s="250" t="n">
        <v>41</v>
      </c>
      <c r="AH25" s="249" t="n">
        <v>23</v>
      </c>
      <c r="AI25" s="244" t="n">
        <f aca="false">AI24+(U25*1.9835)</f>
        <v>14251.3192163</v>
      </c>
      <c r="AJ25" s="244"/>
      <c r="AK25" s="267"/>
      <c r="AL25" s="242"/>
      <c r="AM25" s="250"/>
    </row>
    <row r="26" customFormat="false" ht="12.95" hidden="false" customHeight="true" outlineLevel="0" collapsed="false">
      <c r="A26" s="359" t="n">
        <f aca="false">A25+1</f>
        <v>15</v>
      </c>
      <c r="B26" s="252" t="n">
        <v>6883.99</v>
      </c>
      <c r="C26" s="242" t="n">
        <v>228473</v>
      </c>
      <c r="D26" s="244" t="n">
        <f aca="false">C26-C25</f>
        <v>1006</v>
      </c>
      <c r="E26" s="242" t="n">
        <f aca="false">C26-152000</f>
        <v>76473</v>
      </c>
      <c r="F26" s="266" t="n">
        <f aca="false">D26/$D$2</f>
        <v>507.184270229392</v>
      </c>
      <c r="G26" s="267" t="n">
        <v>328</v>
      </c>
      <c r="H26" s="360" t="n">
        <v>96</v>
      </c>
      <c r="I26" s="267" t="n">
        <f aca="false">G26+H26</f>
        <v>424</v>
      </c>
      <c r="J26" s="247" t="n">
        <f aca="false">IF(L26&gt;0,L26,0)</f>
        <v>124.384270229393</v>
      </c>
      <c r="K26" s="267" t="n">
        <f aca="false">I26+J26</f>
        <v>548.384270229393</v>
      </c>
      <c r="L26" s="267" t="n">
        <f aca="false">F26-(I26-AC26)</f>
        <v>124.384270229393</v>
      </c>
      <c r="M26" s="269" t="n">
        <v>5.2</v>
      </c>
      <c r="N26" s="267" t="n">
        <v>0</v>
      </c>
      <c r="O26" s="267" t="n">
        <v>0</v>
      </c>
      <c r="P26" s="389" t="n">
        <f aca="false">1.31*1.02</f>
        <v>1.3362</v>
      </c>
      <c r="Q26" s="389" t="n">
        <f aca="false">2.65*1.04</f>
        <v>2.756</v>
      </c>
      <c r="R26" s="132" t="n">
        <v>0</v>
      </c>
      <c r="S26" s="267" t="n">
        <v>0</v>
      </c>
      <c r="T26" s="267"/>
      <c r="U26" s="267" t="n">
        <f aca="false">M26-N26-O26-P26-Q26-R26+S26+T26</f>
        <v>1.1078</v>
      </c>
      <c r="V26" s="242"/>
      <c r="W26" s="242"/>
      <c r="X26" s="267"/>
      <c r="Y26" s="269"/>
      <c r="Z26" s="270"/>
      <c r="AA26" s="390" t="n">
        <v>36</v>
      </c>
      <c r="AB26" s="391" t="n">
        <f aca="false">AB25-AA26</f>
        <v>585</v>
      </c>
      <c r="AC26" s="127" t="n">
        <f aca="false">N26+O26+P26+Q26+R26+U26+X26+AA26</f>
        <v>41.2</v>
      </c>
      <c r="AD26" s="267" t="n">
        <f aca="false">IF(L26&lt;0,L26*-1,0)</f>
        <v>0</v>
      </c>
      <c r="AE26" s="267" t="n">
        <f aca="false">AC26+AD26</f>
        <v>41.2</v>
      </c>
      <c r="AF26" s="248" t="n">
        <v>0</v>
      </c>
      <c r="AG26" s="250" t="n">
        <v>42</v>
      </c>
      <c r="AH26" s="249" t="n">
        <v>20</v>
      </c>
      <c r="AI26" s="244" t="n">
        <f aca="false">AI25+(U26*1.9835)</f>
        <v>14253.5165376</v>
      </c>
      <c r="AJ26" s="244"/>
      <c r="AK26" s="267"/>
      <c r="AL26" s="242"/>
      <c r="AM26" s="250"/>
    </row>
    <row r="27" customFormat="false" ht="12.95" hidden="false" customHeight="true" outlineLevel="0" collapsed="false">
      <c r="A27" s="359" t="n">
        <f aca="false">A26+1</f>
        <v>16</v>
      </c>
      <c r="B27" s="252" t="n">
        <v>6884.25</v>
      </c>
      <c r="C27" s="242" t="n">
        <v>229301</v>
      </c>
      <c r="D27" s="244" t="n">
        <f aca="false">C27-C26</f>
        <v>828</v>
      </c>
      <c r="E27" s="242" t="n">
        <f aca="false">C27-152000</f>
        <v>77301</v>
      </c>
      <c r="F27" s="266" t="n">
        <f aca="false">D27/$D$2</f>
        <v>417.443912276279</v>
      </c>
      <c r="G27" s="267" t="n">
        <v>279</v>
      </c>
      <c r="H27" s="360" t="n">
        <v>70</v>
      </c>
      <c r="I27" s="267" t="n">
        <f aca="false">G27+H27</f>
        <v>349</v>
      </c>
      <c r="J27" s="247" t="n">
        <f aca="false">IF(L27&gt;0,L27,0)</f>
        <v>109.643912276279</v>
      </c>
      <c r="K27" s="267" t="n">
        <f aca="false">I27+J27</f>
        <v>458.643912276279</v>
      </c>
      <c r="L27" s="267" t="n">
        <f aca="false">F27-(I27-AC27)</f>
        <v>109.643912276279</v>
      </c>
      <c r="M27" s="269" t="n">
        <v>5.2</v>
      </c>
      <c r="N27" s="267" t="n">
        <v>0</v>
      </c>
      <c r="O27" s="267" t="n">
        <v>0</v>
      </c>
      <c r="P27" s="389" t="n">
        <f aca="false">1.31*1.02</f>
        <v>1.3362</v>
      </c>
      <c r="Q27" s="389" t="n">
        <f aca="false">2.06*1.04</f>
        <v>2.1424</v>
      </c>
      <c r="R27" s="132" t="n">
        <v>0</v>
      </c>
      <c r="S27" s="267" t="n">
        <v>0</v>
      </c>
      <c r="T27" s="267"/>
      <c r="U27" s="267" t="n">
        <f aca="false">M27-N27-O27-P27-Q27-R27+S27+T27</f>
        <v>1.7214</v>
      </c>
      <c r="V27" s="242"/>
      <c r="W27" s="242"/>
      <c r="X27" s="267"/>
      <c r="Y27" s="269"/>
      <c r="Z27" s="270"/>
      <c r="AA27" s="390" t="n">
        <v>36</v>
      </c>
      <c r="AB27" s="391" t="n">
        <f aca="false">AB26-AA27</f>
        <v>549</v>
      </c>
      <c r="AC27" s="127" t="n">
        <f aca="false">N27+O27+P27+Q27+R27+U27+X27+AA27</f>
        <v>41.2</v>
      </c>
      <c r="AD27" s="267" t="n">
        <f aca="false">IF(L27&lt;0,L27*-1,0)</f>
        <v>0</v>
      </c>
      <c r="AE27" s="267" t="n">
        <f aca="false">AC27+AD27</f>
        <v>41.2</v>
      </c>
      <c r="AF27" s="248" t="n">
        <v>0</v>
      </c>
      <c r="AG27" s="250" t="n">
        <v>46</v>
      </c>
      <c r="AH27" s="249" t="n">
        <v>15</v>
      </c>
      <c r="AI27" s="244" t="n">
        <f aca="false">AI26+(U27*1.9835)</f>
        <v>14256.9309345</v>
      </c>
      <c r="AJ27" s="244"/>
      <c r="AK27" s="267"/>
      <c r="AL27" s="103"/>
      <c r="AM27" s="250"/>
    </row>
    <row r="28" customFormat="false" ht="12.95" hidden="false" customHeight="true" outlineLevel="0" collapsed="false">
      <c r="A28" s="359" t="n">
        <v>17</v>
      </c>
      <c r="B28" s="252" t="n">
        <v>6884.5</v>
      </c>
      <c r="C28" s="242" t="n">
        <v>230097</v>
      </c>
      <c r="D28" s="244" t="n">
        <f aca="false">C28-C27</f>
        <v>796</v>
      </c>
      <c r="E28" s="242" t="n">
        <f aca="false">C28-152000</f>
        <v>78097</v>
      </c>
      <c r="F28" s="266" t="n">
        <f aca="false">D28/$D$2</f>
        <v>401.310814217293</v>
      </c>
      <c r="G28" s="267" t="n">
        <v>264</v>
      </c>
      <c r="H28" s="360" t="n">
        <v>52</v>
      </c>
      <c r="I28" s="267" t="n">
        <f aca="false">G28+H28</f>
        <v>316</v>
      </c>
      <c r="J28" s="247" t="n">
        <f aca="false">IF(L28&gt;0,L28,0)</f>
        <v>126.510814217293</v>
      </c>
      <c r="K28" s="267" t="n">
        <f aca="false">I28+J28</f>
        <v>442.510814217293</v>
      </c>
      <c r="L28" s="267" t="n">
        <f aca="false">F28-(I28-AC28)</f>
        <v>126.510814217293</v>
      </c>
      <c r="M28" s="269" t="n">
        <v>5.2</v>
      </c>
      <c r="N28" s="267" t="n">
        <v>0</v>
      </c>
      <c r="O28" s="267" t="n">
        <v>0</v>
      </c>
      <c r="P28" s="389" t="n">
        <f aca="false">1.31*1.02</f>
        <v>1.3362</v>
      </c>
      <c r="Q28" s="389" t="n">
        <f aca="false">2.18*1.04</f>
        <v>2.2672</v>
      </c>
      <c r="R28" s="132" t="n">
        <v>0</v>
      </c>
      <c r="S28" s="267" t="n">
        <v>0</v>
      </c>
      <c r="T28" s="267"/>
      <c r="U28" s="267" t="n">
        <f aca="false">M28-N28-O28-P28-Q28-R28+S28+T28</f>
        <v>1.5966</v>
      </c>
      <c r="V28" s="242"/>
      <c r="W28" s="242"/>
      <c r="X28" s="267"/>
      <c r="Y28" s="269"/>
      <c r="Z28" s="270"/>
      <c r="AA28" s="390" t="n">
        <v>36</v>
      </c>
      <c r="AB28" s="391" t="n">
        <f aca="false">AB27-AA28</f>
        <v>513</v>
      </c>
      <c r="AC28" s="127" t="n">
        <f aca="false">N28+O28+P28+Q28+R28+U28+X28+AA28</f>
        <v>41.2</v>
      </c>
      <c r="AD28" s="267" t="n">
        <f aca="false">IF(L28&lt;0,L28*-1,0)</f>
        <v>0</v>
      </c>
      <c r="AE28" s="267" t="n">
        <f aca="false">AC28+AD28</f>
        <v>41.2</v>
      </c>
      <c r="AF28" s="248" t="n">
        <v>0</v>
      </c>
      <c r="AG28" s="250" t="n">
        <v>51</v>
      </c>
      <c r="AH28" s="249" t="n">
        <v>18</v>
      </c>
      <c r="AI28" s="244" t="n">
        <f aca="false">AI27+(U28*1.9835)</f>
        <v>14260.0977906</v>
      </c>
      <c r="AJ28" s="244"/>
      <c r="AK28" s="267"/>
      <c r="AL28" s="242"/>
      <c r="AM28" s="250"/>
    </row>
    <row r="29" customFormat="false" ht="12.95" hidden="false" customHeight="true" outlineLevel="0" collapsed="false">
      <c r="A29" s="359" t="n">
        <f aca="false">A28+1</f>
        <v>18</v>
      </c>
      <c r="B29" s="252" t="n">
        <v>6884.75</v>
      </c>
      <c r="C29" s="242" t="n">
        <v>230893</v>
      </c>
      <c r="D29" s="244" t="n">
        <f aca="false">C29-C28</f>
        <v>796</v>
      </c>
      <c r="E29" s="242" t="n">
        <f aca="false">C29-152000</f>
        <v>78893</v>
      </c>
      <c r="F29" s="266" t="n">
        <f aca="false">D29/$D$2</f>
        <v>401.310814217293</v>
      </c>
      <c r="G29" s="267" t="n">
        <v>244</v>
      </c>
      <c r="H29" s="360" t="n">
        <v>43</v>
      </c>
      <c r="I29" s="267" t="n">
        <f aca="false">G29+H29</f>
        <v>287</v>
      </c>
      <c r="J29" s="247" t="n">
        <f aca="false">IF(L29&gt;0,L29,0)</f>
        <v>155.510814217293</v>
      </c>
      <c r="K29" s="267" t="n">
        <f aca="false">I29+J29</f>
        <v>442.510814217293</v>
      </c>
      <c r="L29" s="267" t="n">
        <f aca="false">F29-(I29-AC29)</f>
        <v>155.510814217293</v>
      </c>
      <c r="M29" s="269" t="n">
        <v>5.2</v>
      </c>
      <c r="N29" s="267" t="n">
        <v>0</v>
      </c>
      <c r="O29" s="267" t="n">
        <v>0</v>
      </c>
      <c r="P29" s="389" t="n">
        <f aca="false">1.31*1.02</f>
        <v>1.3362</v>
      </c>
      <c r="Q29" s="389" t="n">
        <f aca="false">2.13*1.04</f>
        <v>2.2152</v>
      </c>
      <c r="R29" s="132" t="n">
        <v>0</v>
      </c>
      <c r="S29" s="267" t="n">
        <v>0</v>
      </c>
      <c r="T29" s="267"/>
      <c r="U29" s="267" t="n">
        <f aca="false">M29-N29-O29-P29-Q29-R29+S29+T29</f>
        <v>1.6486</v>
      </c>
      <c r="V29" s="242"/>
      <c r="W29" s="242"/>
      <c r="X29" s="267"/>
      <c r="Y29" s="269"/>
      <c r="Z29" s="270"/>
      <c r="AA29" s="390" t="n">
        <v>36</v>
      </c>
      <c r="AB29" s="391" t="n">
        <f aca="false">AB28-AA29</f>
        <v>477</v>
      </c>
      <c r="AC29" s="127" t="n">
        <f aca="false">N29+O29+P29+Q29+R29+U29+X29+AA29</f>
        <v>41.2</v>
      </c>
      <c r="AD29" s="267" t="n">
        <f aca="false">IF(L29&lt;0,L29*-1,0)</f>
        <v>0</v>
      </c>
      <c r="AE29" s="267" t="n">
        <f aca="false">AC29+AD29</f>
        <v>41.2</v>
      </c>
      <c r="AF29" s="248" t="n">
        <v>0</v>
      </c>
      <c r="AG29" s="250" t="n">
        <v>50</v>
      </c>
      <c r="AH29" s="249" t="n">
        <v>27</v>
      </c>
      <c r="AI29" s="244" t="n">
        <f aca="false">AI28+(U29*1.9835)</f>
        <v>14263.3677887</v>
      </c>
      <c r="AJ29" s="244"/>
      <c r="AK29" s="267"/>
      <c r="AL29" s="242"/>
      <c r="AM29" s="250"/>
    </row>
    <row r="30" customFormat="false" ht="12.95" hidden="false" customHeight="true" outlineLevel="0" collapsed="false">
      <c r="A30" s="359" t="n">
        <f aca="false">A29+1</f>
        <v>19</v>
      </c>
      <c r="B30" s="252" t="n">
        <v>6884.99</v>
      </c>
      <c r="C30" s="370" t="n">
        <v>231658</v>
      </c>
      <c r="D30" s="244" t="n">
        <f aca="false">C30-C29</f>
        <v>765</v>
      </c>
      <c r="E30" s="242" t="n">
        <f aca="false">C30-152000</f>
        <v>79658</v>
      </c>
      <c r="F30" s="266" t="n">
        <f aca="false">D30/$D$2</f>
        <v>385.681875472649</v>
      </c>
      <c r="G30" s="267" t="n">
        <v>220</v>
      </c>
      <c r="H30" s="360" t="n">
        <v>39</v>
      </c>
      <c r="I30" s="267" t="n">
        <f aca="false">G30+H30</f>
        <v>259</v>
      </c>
      <c r="J30" s="247" t="n">
        <f aca="false">IF(L30&gt;0,L30,0)</f>
        <v>167.881875472649</v>
      </c>
      <c r="K30" s="267" t="n">
        <f aca="false">I30+J30</f>
        <v>426.881875472649</v>
      </c>
      <c r="L30" s="267" t="n">
        <f aca="false">F30-(I30-AC30)</f>
        <v>167.881875472649</v>
      </c>
      <c r="M30" s="269" t="n">
        <v>5.2</v>
      </c>
      <c r="N30" s="267" t="n">
        <v>0</v>
      </c>
      <c r="O30" s="267" t="n">
        <v>0</v>
      </c>
      <c r="P30" s="389" t="n">
        <f aca="false">1.31*1.02</f>
        <v>1.3362</v>
      </c>
      <c r="Q30" s="389" t="n">
        <f aca="false">2.05*1.04</f>
        <v>2.132</v>
      </c>
      <c r="R30" s="132" t="n">
        <v>0</v>
      </c>
      <c r="S30" s="267" t="n">
        <v>0</v>
      </c>
      <c r="T30" s="267"/>
      <c r="U30" s="267" t="n">
        <f aca="false">M30-N30-O30-P30-Q30-R30+S30+T30</f>
        <v>1.7318</v>
      </c>
      <c r="V30" s="242"/>
      <c r="W30" s="242"/>
      <c r="X30" s="267"/>
      <c r="Y30" s="269"/>
      <c r="Z30" s="270"/>
      <c r="AA30" s="390" t="n">
        <v>36</v>
      </c>
      <c r="AB30" s="391" t="n">
        <f aca="false">AB29-AA30</f>
        <v>441</v>
      </c>
      <c r="AC30" s="127" t="n">
        <f aca="false">N30+O30+P30+Q30+R30+U30+X30+AA30</f>
        <v>41.2</v>
      </c>
      <c r="AD30" s="267" t="n">
        <f aca="false">IF(L30&lt;0,L30*-1,0)</f>
        <v>0</v>
      </c>
      <c r="AE30" s="267" t="n">
        <f aca="false">AC30+AD30</f>
        <v>41.2</v>
      </c>
      <c r="AF30" s="248" t="n">
        <v>0.2</v>
      </c>
      <c r="AG30" s="250" t="n">
        <v>43</v>
      </c>
      <c r="AH30" s="249" t="n">
        <v>27</v>
      </c>
      <c r="AI30" s="244" t="n">
        <f aca="false">AI29+(U30*1.9835)</f>
        <v>14266.802814</v>
      </c>
      <c r="AJ30" s="244"/>
      <c r="AK30" s="267"/>
      <c r="AL30" s="242"/>
      <c r="AM30" s="250"/>
    </row>
    <row r="31" customFormat="false" ht="12.95" hidden="false" customHeight="true" outlineLevel="0" collapsed="false">
      <c r="A31" s="359" t="n">
        <f aca="false">A30+1</f>
        <v>20</v>
      </c>
      <c r="B31" s="252" t="n">
        <v>6885.22</v>
      </c>
      <c r="C31" s="242" t="n">
        <v>232399</v>
      </c>
      <c r="D31" s="244" t="n">
        <f aca="false">C31-C30</f>
        <v>741</v>
      </c>
      <c r="E31" s="242" t="n">
        <f aca="false">C31-152000</f>
        <v>80399</v>
      </c>
      <c r="F31" s="266" t="n">
        <f aca="false">D31/$D$2</f>
        <v>373.582051928409</v>
      </c>
      <c r="G31" s="267" t="n">
        <v>226</v>
      </c>
      <c r="H31" s="360" t="n">
        <v>36</v>
      </c>
      <c r="I31" s="267" t="n">
        <f aca="false">G31+H31</f>
        <v>262</v>
      </c>
      <c r="J31" s="247" t="n">
        <f aca="false">IF(L31&gt;0,L31,0)</f>
        <v>152.782051928409</v>
      </c>
      <c r="K31" s="267" t="n">
        <f aca="false">I31+J31</f>
        <v>414.782051928409</v>
      </c>
      <c r="L31" s="267" t="n">
        <f aca="false">F31-(I31-AC31)</f>
        <v>152.782051928409</v>
      </c>
      <c r="M31" s="269" t="n">
        <v>5.2</v>
      </c>
      <c r="N31" s="267" t="n">
        <v>0</v>
      </c>
      <c r="O31" s="267" t="n">
        <v>0</v>
      </c>
      <c r="P31" s="389" t="n">
        <f aca="false">1.31*1.02</f>
        <v>1.3362</v>
      </c>
      <c r="Q31" s="389" t="n">
        <f aca="false">2.24*1.04</f>
        <v>2.3296</v>
      </c>
      <c r="R31" s="132" t="n">
        <v>0</v>
      </c>
      <c r="S31" s="267" t="n">
        <v>0</v>
      </c>
      <c r="T31" s="267"/>
      <c r="U31" s="267" t="n">
        <f aca="false">M31-N31-O31-P31-Q31-R31+S31+T31</f>
        <v>1.5342</v>
      </c>
      <c r="V31" s="242"/>
      <c r="W31" s="242"/>
      <c r="X31" s="267"/>
      <c r="Y31" s="269"/>
      <c r="Z31" s="270"/>
      <c r="AA31" s="390" t="n">
        <v>36</v>
      </c>
      <c r="AB31" s="391" t="n">
        <f aca="false">AB30-AA31</f>
        <v>405</v>
      </c>
      <c r="AC31" s="127" t="n">
        <f aca="false">N31+O31+P31+Q31+R31+U31+X31+AA31</f>
        <v>41.2</v>
      </c>
      <c r="AD31" s="267" t="n">
        <f aca="false">IF(L31&lt;0,L31*-1,0)</f>
        <v>0</v>
      </c>
      <c r="AE31" s="267" t="n">
        <f aca="false">AC31+AD31</f>
        <v>41.2</v>
      </c>
      <c r="AF31" s="248" t="n">
        <v>0.4</v>
      </c>
      <c r="AG31" s="250" t="n">
        <v>41</v>
      </c>
      <c r="AH31" s="249" t="n">
        <v>26</v>
      </c>
      <c r="AI31" s="244" t="n">
        <f aca="false">AI30+(U31*1.9835)</f>
        <v>14269.8458997</v>
      </c>
      <c r="AJ31" s="244"/>
      <c r="AK31" s="267"/>
      <c r="AL31" s="242"/>
      <c r="AM31" s="250"/>
    </row>
    <row r="32" customFormat="false" ht="12.95" hidden="false" customHeight="true" outlineLevel="0" collapsed="false">
      <c r="A32" s="359" t="n">
        <f aca="false">A31+1</f>
        <v>21</v>
      </c>
      <c r="B32" s="252" t="n">
        <v>6885.37</v>
      </c>
      <c r="C32" s="242" t="n">
        <v>232882</v>
      </c>
      <c r="D32" s="244" t="n">
        <f aca="false">C32-C31</f>
        <v>483</v>
      </c>
      <c r="E32" s="242" t="n">
        <f aca="false">C32-152000</f>
        <v>80882</v>
      </c>
      <c r="F32" s="266" t="n">
        <f aca="false">D32/$D$2</f>
        <v>243.50894882783</v>
      </c>
      <c r="G32" s="393" t="n">
        <v>199</v>
      </c>
      <c r="H32" s="360" t="n">
        <v>42</v>
      </c>
      <c r="I32" s="267" t="n">
        <f aca="false">G32+H32</f>
        <v>241</v>
      </c>
      <c r="J32" s="247" t="n">
        <f aca="false">IF(L32&gt;0,L32,0)</f>
        <v>43.7089488278296</v>
      </c>
      <c r="K32" s="267" t="n">
        <f aca="false">I32+J32</f>
        <v>284.70894882783</v>
      </c>
      <c r="L32" s="267" t="n">
        <f aca="false">F32-(I32-AC32)</f>
        <v>43.7089488278296</v>
      </c>
      <c r="M32" s="269" t="n">
        <v>5.2</v>
      </c>
      <c r="N32" s="267" t="n">
        <v>0</v>
      </c>
      <c r="O32" s="267" t="n">
        <v>0</v>
      </c>
      <c r="P32" s="389" t="n">
        <f aca="false">1.31*1.02</f>
        <v>1.3362</v>
      </c>
      <c r="Q32" s="389" t="n">
        <f aca="false">2.22*1.04</f>
        <v>2.3088</v>
      </c>
      <c r="R32" s="132" t="n">
        <v>0</v>
      </c>
      <c r="S32" s="267" t="n">
        <v>0</v>
      </c>
      <c r="T32" s="267"/>
      <c r="U32" s="267" t="n">
        <f aca="false">M32-N32-O32-P32-Q32-R32+S32+T32</f>
        <v>1.555</v>
      </c>
      <c r="V32" s="242"/>
      <c r="W32" s="242"/>
      <c r="X32" s="267"/>
      <c r="Y32" s="269"/>
      <c r="Z32" s="270"/>
      <c r="AA32" s="390" t="n">
        <v>36</v>
      </c>
      <c r="AB32" s="391" t="n">
        <f aca="false">AB31-AA32</f>
        <v>369</v>
      </c>
      <c r="AC32" s="127" t="n">
        <f aca="false">N32+O32+P32+Q32+R32+U32+X32+AA32</f>
        <v>41.2</v>
      </c>
      <c r="AD32" s="267" t="n">
        <f aca="false">IF(L32&lt;0,L32*-1,0)</f>
        <v>0</v>
      </c>
      <c r="AE32" s="267" t="n">
        <f aca="false">AC32+AD32</f>
        <v>41.2</v>
      </c>
      <c r="AF32" s="248" t="n">
        <v>0</v>
      </c>
      <c r="AG32" s="244" t="n">
        <v>43</v>
      </c>
      <c r="AH32" s="249" t="n">
        <v>21</v>
      </c>
      <c r="AI32" s="244" t="n">
        <f aca="false">AI31+(U32*1.9835)</f>
        <v>14272.9302422</v>
      </c>
      <c r="AJ32" s="244"/>
      <c r="AK32" s="267"/>
      <c r="AL32" s="242"/>
      <c r="AM32" s="250"/>
    </row>
    <row r="33" customFormat="false" ht="12.95" hidden="false" customHeight="true" outlineLevel="0" collapsed="false">
      <c r="A33" s="359" t="n">
        <f aca="false">A32+1</f>
        <v>22</v>
      </c>
      <c r="B33" s="252" t="n">
        <v>6885.52</v>
      </c>
      <c r="C33" s="242" t="n">
        <v>233365</v>
      </c>
      <c r="D33" s="244" t="n">
        <f aca="false">C33-C32</f>
        <v>483</v>
      </c>
      <c r="E33" s="242" t="n">
        <f aca="false">C33-152000</f>
        <v>81365</v>
      </c>
      <c r="F33" s="266" t="n">
        <f aca="false">D33/$D$2</f>
        <v>243.50894882783</v>
      </c>
      <c r="G33" s="267" t="n">
        <v>184</v>
      </c>
      <c r="H33" s="360" t="n">
        <v>33</v>
      </c>
      <c r="I33" s="267" t="n">
        <f aca="false">G33+H33</f>
        <v>217</v>
      </c>
      <c r="J33" s="247" t="n">
        <f aca="false">IF(L33&gt;0,L33,0)</f>
        <v>83.6089488278296</v>
      </c>
      <c r="K33" s="267" t="n">
        <f aca="false">I33+J33</f>
        <v>300.60894882783</v>
      </c>
      <c r="L33" s="267" t="n">
        <f aca="false">F33-(I33-AC33)</f>
        <v>83.6089488278296</v>
      </c>
      <c r="M33" s="269" t="n">
        <v>6.1</v>
      </c>
      <c r="N33" s="267" t="n">
        <v>0</v>
      </c>
      <c r="O33" s="267" t="n">
        <v>0</v>
      </c>
      <c r="P33" s="389" t="n">
        <f aca="false">1.31*1.02</f>
        <v>1.3362</v>
      </c>
      <c r="Q33" s="389" t="n">
        <f aca="false">2.12*1.04</f>
        <v>2.2048</v>
      </c>
      <c r="R33" s="132" t="n">
        <v>0</v>
      </c>
      <c r="S33" s="267" t="n">
        <v>15</v>
      </c>
      <c r="T33" s="267"/>
      <c r="U33" s="267" t="n">
        <f aca="false">M33-N33-O33-P33-Q33-R33+S33+T33</f>
        <v>17.559</v>
      </c>
      <c r="V33" s="242"/>
      <c r="W33" s="242"/>
      <c r="X33" s="267"/>
      <c r="Y33" s="269"/>
      <c r="Z33" s="270"/>
      <c r="AA33" s="390" t="n">
        <v>36</v>
      </c>
      <c r="AB33" s="391" t="n">
        <f aca="false">AB32-AA33</f>
        <v>333</v>
      </c>
      <c r="AC33" s="127" t="n">
        <f aca="false">N33+O33+P33+Q33+R33+U33+X33+AA33</f>
        <v>57.1</v>
      </c>
      <c r="AD33" s="267" t="n">
        <f aca="false">IF(L33&lt;0,L33*-1,0)</f>
        <v>0</v>
      </c>
      <c r="AE33" s="267" t="n">
        <f aca="false">AC33+AD33</f>
        <v>57.1</v>
      </c>
      <c r="AF33" s="248" t="n">
        <v>0</v>
      </c>
      <c r="AG33" s="244" t="n">
        <v>50</v>
      </c>
      <c r="AH33" s="249" t="n">
        <v>24</v>
      </c>
      <c r="AI33" s="244" t="n">
        <f aca="false">AI32+(U33*1.9835)</f>
        <v>14307.7585187</v>
      </c>
      <c r="AJ33" s="244"/>
      <c r="AK33" s="267"/>
      <c r="AL33" s="242"/>
      <c r="AM33" s="250"/>
    </row>
    <row r="34" customFormat="false" ht="12.95" hidden="false" customHeight="true" outlineLevel="0" collapsed="false">
      <c r="A34" s="359" t="n">
        <f aca="false">A33+1</f>
        <v>23</v>
      </c>
      <c r="B34" s="252" t="n">
        <v>6885.78</v>
      </c>
      <c r="C34" s="242" t="n">
        <v>234203</v>
      </c>
      <c r="D34" s="244" t="n">
        <f aca="false">C34-C33</f>
        <v>838</v>
      </c>
      <c r="E34" s="242" t="n">
        <f aca="false">C34-152000</f>
        <v>82203</v>
      </c>
      <c r="F34" s="266" t="n">
        <f aca="false">D34/$D$2</f>
        <v>422.485505419713</v>
      </c>
      <c r="G34" s="267" t="n">
        <v>228</v>
      </c>
      <c r="H34" s="360" t="n">
        <v>46</v>
      </c>
      <c r="I34" s="267" t="n">
        <f aca="false">G34+H34</f>
        <v>274</v>
      </c>
      <c r="J34" s="247" t="n">
        <f aca="false">IF(L34&gt;0,L34,0)</f>
        <v>217.385505419713</v>
      </c>
      <c r="K34" s="267" t="n">
        <f aca="false">I34+J34</f>
        <v>491.385505419713</v>
      </c>
      <c r="L34" s="267" t="n">
        <f aca="false">F34-(I34-AC34)</f>
        <v>217.385505419713</v>
      </c>
      <c r="M34" s="269" t="n">
        <v>8.9</v>
      </c>
      <c r="N34" s="267" t="n">
        <v>0</v>
      </c>
      <c r="O34" s="267" t="n">
        <v>0</v>
      </c>
      <c r="P34" s="389" t="n">
        <f aca="false">1.31*1.02</f>
        <v>1.3362</v>
      </c>
      <c r="Q34" s="389" t="n">
        <f aca="false">2.17*1.04</f>
        <v>2.2568</v>
      </c>
      <c r="R34" s="132" t="n">
        <v>0</v>
      </c>
      <c r="S34" s="267" t="n">
        <v>24</v>
      </c>
      <c r="T34" s="267"/>
      <c r="U34" s="267" t="n">
        <f aca="false">M34-N34-O34-P34-Q34-R34+S34+T34</f>
        <v>29.307</v>
      </c>
      <c r="V34" s="242"/>
      <c r="W34" s="242"/>
      <c r="X34" s="267"/>
      <c r="Y34" s="269"/>
      <c r="Z34" s="270"/>
      <c r="AA34" s="390" t="n">
        <v>36</v>
      </c>
      <c r="AB34" s="391" t="n">
        <f aca="false">AB33-AA34</f>
        <v>297</v>
      </c>
      <c r="AC34" s="127" t="n">
        <f aca="false">N34+O34+P34+Q34+R34+U34+X34+AA34</f>
        <v>68.9</v>
      </c>
      <c r="AD34" s="267" t="n">
        <f aca="false">IF(L34&lt;0,L34*-1,0)</f>
        <v>0</v>
      </c>
      <c r="AE34" s="267" t="n">
        <f aca="false">AC34+AD34</f>
        <v>68.9</v>
      </c>
      <c r="AF34" s="248" t="n">
        <v>0.25</v>
      </c>
      <c r="AG34" s="244" t="n">
        <v>48</v>
      </c>
      <c r="AH34" s="271" t="n">
        <v>25</v>
      </c>
      <c r="AI34" s="244" t="n">
        <f aca="false">AI33+(U34*1.9835)</f>
        <v>14365.8889532</v>
      </c>
      <c r="AJ34" s="244"/>
      <c r="AK34" s="267"/>
      <c r="AL34" s="242"/>
      <c r="AM34" s="250"/>
    </row>
    <row r="35" customFormat="false" ht="12.95" hidden="false" customHeight="true" outlineLevel="0" collapsed="false">
      <c r="A35" s="359" t="n">
        <f aca="false">A34+1</f>
        <v>24</v>
      </c>
      <c r="B35" s="252" t="n">
        <v>6886</v>
      </c>
      <c r="C35" s="242" t="n">
        <v>234912</v>
      </c>
      <c r="D35" s="244" t="n">
        <f aca="false">C35-C34</f>
        <v>709</v>
      </c>
      <c r="E35" s="242" t="n">
        <f aca="false">C35-152000</f>
        <v>82912</v>
      </c>
      <c r="F35" s="266" t="n">
        <f aca="false">D35/$D$2</f>
        <v>357.448953869423</v>
      </c>
      <c r="G35" s="267" t="n">
        <v>208</v>
      </c>
      <c r="H35" s="360" t="n">
        <v>46</v>
      </c>
      <c r="I35" s="267" t="n">
        <f aca="false">G35+H35</f>
        <v>254</v>
      </c>
      <c r="J35" s="247" t="n">
        <f aca="false">IF(L35&gt;0,L35,0)</f>
        <v>171.848953869423</v>
      </c>
      <c r="K35" s="267" t="n">
        <f aca="false">I35+J35</f>
        <v>425.848953869423</v>
      </c>
      <c r="L35" s="267" t="n">
        <f aca="false">F35-(I35-AC35)</f>
        <v>171.848953869423</v>
      </c>
      <c r="M35" s="269" t="n">
        <v>7.4</v>
      </c>
      <c r="N35" s="267" t="n">
        <v>0</v>
      </c>
      <c r="O35" s="267" t="n">
        <v>0</v>
      </c>
      <c r="P35" s="389" t="n">
        <f aca="false">1.31*1.02</f>
        <v>1.3362</v>
      </c>
      <c r="Q35" s="389" t="n">
        <f aca="false">2.24*1.04</f>
        <v>2.3296</v>
      </c>
      <c r="R35" s="132" t="n">
        <v>0</v>
      </c>
      <c r="S35" s="267" t="n">
        <v>25</v>
      </c>
      <c r="T35" s="267"/>
      <c r="U35" s="267" t="n">
        <f aca="false">M35-N35-O35-P35-Q35-R35+S35+T35</f>
        <v>28.7342</v>
      </c>
      <c r="V35" s="242"/>
      <c r="W35" s="242"/>
      <c r="X35" s="267"/>
      <c r="Y35" s="269"/>
      <c r="Z35" s="270"/>
      <c r="AA35" s="390" t="n">
        <v>36</v>
      </c>
      <c r="AB35" s="391" t="n">
        <f aca="false">AB34-AA35</f>
        <v>261</v>
      </c>
      <c r="AC35" s="127" t="n">
        <f aca="false">N35+O35+P35+Q35+R35+U35+X35+AA35</f>
        <v>68.4</v>
      </c>
      <c r="AD35" s="267" t="n">
        <f aca="false">IF(L35&lt;0,L35*-1,0)</f>
        <v>0</v>
      </c>
      <c r="AE35" s="267" t="n">
        <f aca="false">AC35+AD35</f>
        <v>68.4</v>
      </c>
      <c r="AF35" s="248" t="n">
        <v>0</v>
      </c>
      <c r="AG35" s="244" t="n">
        <v>46</v>
      </c>
      <c r="AH35" s="271" t="n">
        <v>31</v>
      </c>
      <c r="AI35" s="244" t="n">
        <f aca="false">AI34+(S35*1.9835)</f>
        <v>14415.4764532</v>
      </c>
      <c r="AJ35" s="244"/>
      <c r="AK35" s="267"/>
      <c r="AL35" s="242"/>
      <c r="AM35" s="250"/>
    </row>
    <row r="36" customFormat="false" ht="12.95" hidden="false" customHeight="true" outlineLevel="0" collapsed="false">
      <c r="A36" s="359" t="n">
        <f aca="false">A35+1</f>
        <v>25</v>
      </c>
      <c r="B36" s="252" t="n">
        <v>6886.23</v>
      </c>
      <c r="C36" s="242" t="n">
        <v>235662</v>
      </c>
      <c r="D36" s="244" t="n">
        <f aca="false">C36-C35</f>
        <v>750</v>
      </c>
      <c r="E36" s="242" t="n">
        <f aca="false">C36-152000</f>
        <v>83662</v>
      </c>
      <c r="F36" s="266" t="n">
        <f aca="false">D36/$D$2</f>
        <v>378.119485757499</v>
      </c>
      <c r="G36" s="267" t="n">
        <v>203</v>
      </c>
      <c r="H36" s="360" t="n">
        <v>40</v>
      </c>
      <c r="I36" s="267" t="n">
        <f aca="false">G36+H36</f>
        <v>243</v>
      </c>
      <c r="J36" s="247" t="n">
        <f aca="false">IF(L36&gt;0,L36,0)</f>
        <v>202.519485757499</v>
      </c>
      <c r="K36" s="267" t="n">
        <f aca="false">I36+J36</f>
        <v>445.519485757499</v>
      </c>
      <c r="L36" s="267" t="n">
        <f aca="false">F36-(I36-AC36)</f>
        <v>202.519485757499</v>
      </c>
      <c r="M36" s="269" t="n">
        <v>6.4</v>
      </c>
      <c r="N36" s="267" t="n">
        <v>0</v>
      </c>
      <c r="O36" s="267" t="n">
        <v>0</v>
      </c>
      <c r="P36" s="389" t="n">
        <f aca="false">1.31*1.02</f>
        <v>1.3362</v>
      </c>
      <c r="Q36" s="389" t="n">
        <f aca="false">2.32*1.04</f>
        <v>2.4128</v>
      </c>
      <c r="R36" s="132" t="n">
        <v>0</v>
      </c>
      <c r="S36" s="267" t="n">
        <v>25</v>
      </c>
      <c r="T36" s="267"/>
      <c r="U36" s="267" t="n">
        <f aca="false">M36-N36-O36-P36-Q36-R36+S36+T36</f>
        <v>27.651</v>
      </c>
      <c r="V36" s="242"/>
      <c r="W36" s="242"/>
      <c r="X36" s="267"/>
      <c r="Y36" s="269"/>
      <c r="Z36" s="270"/>
      <c r="AA36" s="390" t="n">
        <v>36</v>
      </c>
      <c r="AB36" s="391" t="n">
        <f aca="false">AB35-AA36</f>
        <v>225</v>
      </c>
      <c r="AC36" s="127" t="n">
        <f aca="false">N36+O36+P36+Q36+R36+U36+X36+AA36</f>
        <v>67.4</v>
      </c>
      <c r="AD36" s="267" t="n">
        <f aca="false">IF(L36&lt;0,L36*-1,0)</f>
        <v>0</v>
      </c>
      <c r="AE36" s="267" t="n">
        <f aca="false">AC36+AD36</f>
        <v>67.4</v>
      </c>
      <c r="AF36" s="248" t="n">
        <v>0.25</v>
      </c>
      <c r="AG36" s="244" t="n">
        <v>38</v>
      </c>
      <c r="AH36" s="271" t="n">
        <v>27</v>
      </c>
      <c r="AI36" s="244" t="n">
        <f aca="false">AI35+(S36*1.9835)</f>
        <v>14465.0639532</v>
      </c>
      <c r="AJ36" s="244"/>
      <c r="AK36" s="267"/>
      <c r="AL36" s="242"/>
      <c r="AM36" s="250"/>
    </row>
    <row r="37" customFormat="false" ht="12.95" hidden="false" customHeight="true" outlineLevel="0" collapsed="false">
      <c r="A37" s="359" t="n">
        <f aca="false">A36+1</f>
        <v>26</v>
      </c>
      <c r="B37" s="252" t="n">
        <v>6886.43</v>
      </c>
      <c r="C37" s="242" t="n">
        <v>236314</v>
      </c>
      <c r="D37" s="244" t="n">
        <f aca="false">C37-C36</f>
        <v>652</v>
      </c>
      <c r="E37" s="242" t="n">
        <f aca="false">C37-152000</f>
        <v>84314</v>
      </c>
      <c r="F37" s="266" t="n">
        <f aca="false">D37/$D$2</f>
        <v>328.711872951853</v>
      </c>
      <c r="G37" s="267" t="n">
        <v>190</v>
      </c>
      <c r="H37" s="360" t="n">
        <v>37</v>
      </c>
      <c r="I37" s="267" t="n">
        <f aca="false">G37+H37</f>
        <v>227</v>
      </c>
      <c r="J37" s="247" t="n">
        <f aca="false">IF(L37&gt;0,L37,0)</f>
        <v>169.011872951853</v>
      </c>
      <c r="K37" s="267" t="n">
        <f aca="false">I37+J37</f>
        <v>396.011872951853</v>
      </c>
      <c r="L37" s="267" t="n">
        <f aca="false">F37-(I37-AC37)</f>
        <v>169.011872951853</v>
      </c>
      <c r="M37" s="269" t="n">
        <v>6.3</v>
      </c>
      <c r="N37" s="267" t="n">
        <v>0</v>
      </c>
      <c r="O37" s="267" t="n">
        <v>0</v>
      </c>
      <c r="P37" s="389" t="n">
        <f aca="false">1.31*1.02</f>
        <v>1.3362</v>
      </c>
      <c r="Q37" s="389" t="n">
        <f aca="false">2.37*1.04</f>
        <v>2.4648</v>
      </c>
      <c r="R37" s="132" t="n">
        <v>0</v>
      </c>
      <c r="S37" s="267" t="n">
        <v>25</v>
      </c>
      <c r="T37" s="267"/>
      <c r="U37" s="267" t="n">
        <f aca="false">M37-N37-O37-P37-Q37-R37+S37+T37</f>
        <v>27.499</v>
      </c>
      <c r="V37" s="242"/>
      <c r="W37" s="242"/>
      <c r="X37" s="267"/>
      <c r="Y37" s="269"/>
      <c r="Z37" s="270"/>
      <c r="AA37" s="390" t="n">
        <v>36</v>
      </c>
      <c r="AB37" s="391" t="n">
        <f aca="false">AB36-AA37</f>
        <v>189</v>
      </c>
      <c r="AC37" s="127" t="n">
        <f aca="false">N37+O37+P37+Q37+R37+U37+X37+AA37</f>
        <v>67.3</v>
      </c>
      <c r="AD37" s="267" t="n">
        <f aca="false">IF(L37&lt;0,L37*-1,0)</f>
        <v>0</v>
      </c>
      <c r="AE37" s="267" t="n">
        <f aca="false">AC37+AD37</f>
        <v>67.3</v>
      </c>
      <c r="AF37" s="248" t="n">
        <v>0</v>
      </c>
      <c r="AG37" s="244" t="n">
        <v>45</v>
      </c>
      <c r="AH37" s="249" t="n">
        <v>23</v>
      </c>
      <c r="AI37" s="244" t="n">
        <f aca="false">AI36+(S37*1.9835)</f>
        <v>14514.6514532</v>
      </c>
      <c r="AJ37" s="244"/>
      <c r="AK37" s="267"/>
      <c r="AL37" s="242"/>
      <c r="AM37" s="250"/>
    </row>
    <row r="38" customFormat="false" ht="12.95" hidden="false" customHeight="true" outlineLevel="0" collapsed="false">
      <c r="A38" s="359" t="n">
        <f aca="false">A37+1</f>
        <v>27</v>
      </c>
      <c r="B38" s="252" t="n">
        <v>6886.58</v>
      </c>
      <c r="C38" s="242" t="n">
        <v>236803</v>
      </c>
      <c r="D38" s="244" t="n">
        <f aca="false">C38-C37</f>
        <v>489</v>
      </c>
      <c r="E38" s="242" t="n">
        <f aca="false">C38-152000</f>
        <v>84803</v>
      </c>
      <c r="F38" s="266" t="n">
        <f aca="false">D38/$D$2</f>
        <v>246.53390471389</v>
      </c>
      <c r="G38" s="267" t="n">
        <v>194</v>
      </c>
      <c r="H38" s="360" t="n">
        <v>43</v>
      </c>
      <c r="I38" s="267" t="n">
        <f aca="false">G38+H38</f>
        <v>237</v>
      </c>
      <c r="J38" s="247" t="n">
        <f aca="false">IF(L38&gt;0,L38,0)</f>
        <v>77.0339047138896</v>
      </c>
      <c r="K38" s="267" t="n">
        <f aca="false">I38+J38</f>
        <v>314.03390471389</v>
      </c>
      <c r="L38" s="267" t="n">
        <f aca="false">F38-(I38-AC38)</f>
        <v>77.0339047138896</v>
      </c>
      <c r="M38" s="269" t="n">
        <v>6.5</v>
      </c>
      <c r="N38" s="267" t="n">
        <v>0</v>
      </c>
      <c r="O38" s="267" t="n">
        <v>0</v>
      </c>
      <c r="P38" s="389" t="n">
        <f aca="false">1.31*1.02</f>
        <v>1.3362</v>
      </c>
      <c r="Q38" s="389" t="n">
        <f aca="false">2.24*1.04</f>
        <v>2.3296</v>
      </c>
      <c r="R38" s="132" t="n">
        <v>0</v>
      </c>
      <c r="S38" s="267" t="n">
        <v>25</v>
      </c>
      <c r="T38" s="267"/>
      <c r="U38" s="267" t="n">
        <f aca="false">M38-N38-O38-P38-Q38-R38+S38+T38</f>
        <v>27.8342</v>
      </c>
      <c r="V38" s="242"/>
      <c r="W38" s="242"/>
      <c r="X38" s="267"/>
      <c r="Y38" s="269"/>
      <c r="Z38" s="270"/>
      <c r="AA38" s="390" t="n">
        <v>36</v>
      </c>
      <c r="AB38" s="391" t="n">
        <f aca="false">AB37-AA38</f>
        <v>153</v>
      </c>
      <c r="AC38" s="127" t="n">
        <f aca="false">N38+O38+P38+Q38+R38+U38+X38+AA38</f>
        <v>67.5</v>
      </c>
      <c r="AD38" s="267" t="n">
        <f aca="false">IF(L38&lt;0,L38*-1,0)</f>
        <v>0</v>
      </c>
      <c r="AE38" s="267" t="n">
        <f aca="false">AC38+AD38</f>
        <v>67.5</v>
      </c>
      <c r="AF38" s="248" t="n">
        <v>0</v>
      </c>
      <c r="AG38" s="244" t="n">
        <v>54</v>
      </c>
      <c r="AH38" s="249" t="n">
        <v>23</v>
      </c>
      <c r="AI38" s="244" t="n">
        <f aca="false">AI37+(S38*1.9835)</f>
        <v>14564.2389532</v>
      </c>
      <c r="AJ38" s="244"/>
      <c r="AK38" s="267"/>
      <c r="AL38" s="242"/>
      <c r="AM38" s="250"/>
    </row>
    <row r="39" customFormat="false" ht="12.95" hidden="false" customHeight="true" outlineLevel="0" collapsed="false">
      <c r="A39" s="359" t="n">
        <f aca="false">A38+1</f>
        <v>28</v>
      </c>
      <c r="B39" s="252" t="n">
        <v>6886.78</v>
      </c>
      <c r="C39" s="242" t="n">
        <v>237455</v>
      </c>
      <c r="D39" s="244" t="n">
        <f aca="false">C39-C38</f>
        <v>652</v>
      </c>
      <c r="E39" s="242" t="n">
        <f aca="false">C39-152000</f>
        <v>85455</v>
      </c>
      <c r="F39" s="266" t="n">
        <f aca="false">D39/$D$2</f>
        <v>328.711872951853</v>
      </c>
      <c r="G39" s="267" t="n">
        <v>243</v>
      </c>
      <c r="H39" s="360" t="n">
        <v>58</v>
      </c>
      <c r="I39" s="267" t="n">
        <f aca="false">G39+H39</f>
        <v>301</v>
      </c>
      <c r="J39" s="247" t="n">
        <f aca="false">IF(L39&gt;0,L39,0)</f>
        <v>110.311872951853</v>
      </c>
      <c r="K39" s="267" t="n">
        <f aca="false">I39+J39</f>
        <v>411.311872951853</v>
      </c>
      <c r="L39" s="267" t="n">
        <f aca="false">F39-(I39-AC39)</f>
        <v>110.311872951853</v>
      </c>
      <c r="M39" s="269" t="n">
        <v>6.6</v>
      </c>
      <c r="N39" s="267" t="n">
        <v>0</v>
      </c>
      <c r="O39" s="267" t="n">
        <v>0</v>
      </c>
      <c r="P39" s="389" t="n">
        <f aca="false">1.31*1.02</f>
        <v>1.3362</v>
      </c>
      <c r="Q39" s="389" t="n">
        <f aca="false">2.42*1.04</f>
        <v>2.5168</v>
      </c>
      <c r="R39" s="132" t="n">
        <v>0</v>
      </c>
      <c r="S39" s="267" t="n">
        <v>40</v>
      </c>
      <c r="T39" s="267"/>
      <c r="U39" s="267" t="n">
        <f aca="false">M39-N39-O39-P39-Q39-R39+S39+T39</f>
        <v>42.747</v>
      </c>
      <c r="V39" s="242"/>
      <c r="W39" s="242"/>
      <c r="X39" s="267"/>
      <c r="Y39" s="269"/>
      <c r="Z39" s="270"/>
      <c r="AA39" s="390" t="n">
        <v>36</v>
      </c>
      <c r="AB39" s="391" t="n">
        <f aca="false">AB38-AA39</f>
        <v>117</v>
      </c>
      <c r="AC39" s="127" t="n">
        <f aca="false">N39+O39+P39+Q39+R39+U39+X39+AA39</f>
        <v>82.6</v>
      </c>
      <c r="AD39" s="267" t="n">
        <f aca="false">IF(L39&lt;0,L39*-1,0)</f>
        <v>0</v>
      </c>
      <c r="AE39" s="267" t="n">
        <f aca="false">AC39+AD39</f>
        <v>82.6</v>
      </c>
      <c r="AF39" s="248" t="n">
        <v>0</v>
      </c>
      <c r="AG39" s="244" t="n">
        <v>57</v>
      </c>
      <c r="AH39" s="249" t="n">
        <v>35</v>
      </c>
      <c r="AI39" s="244" t="n">
        <f aca="false">AI38+(S39*1.9835)</f>
        <v>14643.5789532</v>
      </c>
      <c r="AJ39" s="244"/>
      <c r="AK39" s="267"/>
      <c r="AL39" s="242"/>
      <c r="AM39" s="250"/>
    </row>
    <row r="40" customFormat="false" ht="12.95" hidden="false" customHeight="true" outlineLevel="0" collapsed="false">
      <c r="A40" s="359" t="n">
        <f aca="false">A39+1</f>
        <v>29</v>
      </c>
      <c r="B40" s="252" t="n">
        <v>6887.1</v>
      </c>
      <c r="C40" s="242" t="n">
        <v>238502</v>
      </c>
      <c r="D40" s="244" t="n">
        <f aca="false">C40-C39</f>
        <v>1047</v>
      </c>
      <c r="E40" s="242" t="n">
        <f aca="false">C40-152000</f>
        <v>86502</v>
      </c>
      <c r="F40" s="266" t="n">
        <f aca="false">D40/$D$2</f>
        <v>527.854802117469</v>
      </c>
      <c r="G40" s="267" t="n">
        <v>254</v>
      </c>
      <c r="H40" s="360" t="n">
        <v>61</v>
      </c>
      <c r="I40" s="267" t="n">
        <f aca="false">G40+H40</f>
        <v>315</v>
      </c>
      <c r="J40" s="247" t="n">
        <f aca="false">IF(L40&gt;0,L40,0)</f>
        <v>305.854802117469</v>
      </c>
      <c r="K40" s="267" t="n">
        <f aca="false">I40+J40</f>
        <v>620.854802117469</v>
      </c>
      <c r="L40" s="267" t="n">
        <f aca="false">F40-(I40-AC40)</f>
        <v>305.854802117469</v>
      </c>
      <c r="M40" s="269" t="n">
        <v>6</v>
      </c>
      <c r="N40" s="267" t="n">
        <v>0</v>
      </c>
      <c r="O40" s="267" t="n">
        <v>0</v>
      </c>
      <c r="P40" s="389" t="n">
        <f aca="false">1.31*1.02</f>
        <v>1.3362</v>
      </c>
      <c r="Q40" s="389" t="n">
        <f aca="false">2.31*1.04</f>
        <v>2.4024</v>
      </c>
      <c r="R40" s="132" t="n">
        <v>0</v>
      </c>
      <c r="S40" s="267" t="n">
        <v>51</v>
      </c>
      <c r="T40" s="267"/>
      <c r="U40" s="267" t="n">
        <f aca="false">M40-N40-O40-P40-Q40-R40+S40+T40</f>
        <v>53.2614</v>
      </c>
      <c r="V40" s="242"/>
      <c r="W40" s="242"/>
      <c r="X40" s="267"/>
      <c r="Y40" s="269"/>
      <c r="Z40" s="270"/>
      <c r="AA40" s="390" t="n">
        <v>36</v>
      </c>
      <c r="AB40" s="391" t="n">
        <f aca="false">AB39-AA40</f>
        <v>81</v>
      </c>
      <c r="AC40" s="127" t="n">
        <f aca="false">N40+O40+P40+Q40+R40+U40+X40+AA40</f>
        <v>93</v>
      </c>
      <c r="AD40" s="267" t="n">
        <f aca="false">IF(L40&lt;0,L40*-1,0)</f>
        <v>0</v>
      </c>
      <c r="AE40" s="267" t="n">
        <f aca="false">AC40+AD40</f>
        <v>93</v>
      </c>
      <c r="AF40" s="248" t="n">
        <v>0.09</v>
      </c>
      <c r="AG40" s="250" t="n">
        <v>44</v>
      </c>
      <c r="AH40" s="249" t="n">
        <v>28</v>
      </c>
      <c r="AI40" s="244" t="n">
        <f aca="false">AI39+(S40*1.9835)</f>
        <v>14744.7374532</v>
      </c>
      <c r="AJ40" s="244"/>
      <c r="AK40" s="267"/>
      <c r="AL40" s="242"/>
      <c r="AM40" s="250"/>
    </row>
    <row r="41" customFormat="false" ht="12.95" hidden="false" customHeight="true" outlineLevel="0" collapsed="false">
      <c r="A41" s="359" t="n">
        <v>30</v>
      </c>
      <c r="B41" s="252" t="n">
        <v>6887.3</v>
      </c>
      <c r="C41" s="242" t="n">
        <v>239162</v>
      </c>
      <c r="D41" s="244" t="n">
        <f aca="false">C41-C40</f>
        <v>660</v>
      </c>
      <c r="E41" s="242" t="n">
        <f aca="false">C41-152000</f>
        <v>87162</v>
      </c>
      <c r="F41" s="266" t="n">
        <f aca="false">D41/$D$2</f>
        <v>332.745147466599</v>
      </c>
      <c r="G41" s="267" t="n">
        <v>244</v>
      </c>
      <c r="H41" s="360" t="n">
        <v>52</v>
      </c>
      <c r="I41" s="267" t="n">
        <f aca="false">G41+H41</f>
        <v>296</v>
      </c>
      <c r="J41" s="247" t="n">
        <f aca="false">IF(L41&gt;0,L41,0)</f>
        <v>113.145147466599</v>
      </c>
      <c r="K41" s="267" t="n">
        <f aca="false">I41+J41</f>
        <v>409.1451474666</v>
      </c>
      <c r="L41" s="267" t="n">
        <f aca="false">F41-(I41-AC41)</f>
        <v>113.145147466599</v>
      </c>
      <c r="M41" s="269" t="n">
        <v>5.4</v>
      </c>
      <c r="N41" s="267" t="n">
        <v>0</v>
      </c>
      <c r="O41" s="267" t="n">
        <v>0</v>
      </c>
      <c r="P41" s="389" t="n">
        <f aca="false">1.31*1.02</f>
        <v>1.3362</v>
      </c>
      <c r="Q41" s="389" t="n">
        <f aca="false">2.32*1.04</f>
        <v>2.4128</v>
      </c>
      <c r="R41" s="132" t="n">
        <v>0</v>
      </c>
      <c r="S41" s="267" t="n">
        <v>35</v>
      </c>
      <c r="T41" s="267"/>
      <c r="U41" s="267" t="n">
        <f aca="false">M41-N41-O41-P41-Q41-R41+S41+T41</f>
        <v>36.651</v>
      </c>
      <c r="V41" s="242"/>
      <c r="W41" s="242"/>
      <c r="X41" s="267"/>
      <c r="Y41" s="269"/>
      <c r="Z41" s="270"/>
      <c r="AA41" s="390" t="n">
        <v>36</v>
      </c>
      <c r="AB41" s="391" t="n">
        <f aca="false">AB40-AA41</f>
        <v>45</v>
      </c>
      <c r="AC41" s="127" t="n">
        <f aca="false">N41+O41+P41+Q41+R41+U41+X41+AA41</f>
        <v>76.4</v>
      </c>
      <c r="AD41" s="267" t="n">
        <f aca="false">IF(L41&lt;0,L41*-1,0)</f>
        <v>0</v>
      </c>
      <c r="AE41" s="267" t="n">
        <f aca="false">AC41+AD41</f>
        <v>76.4</v>
      </c>
      <c r="AF41" s="248" t="n">
        <v>0.16</v>
      </c>
      <c r="AG41" s="250" t="n">
        <v>38</v>
      </c>
      <c r="AH41" s="249" t="n">
        <v>28</v>
      </c>
      <c r="AI41" s="244" t="n">
        <f aca="false">AI40+(S41*1.9835)</f>
        <v>14814.1599532</v>
      </c>
      <c r="AJ41" s="244"/>
      <c r="AK41" s="267"/>
      <c r="AL41" s="242"/>
      <c r="AM41" s="250"/>
    </row>
    <row r="42" customFormat="false" ht="12.95" hidden="false" customHeight="true" outlineLevel="0" collapsed="false">
      <c r="A42" s="359" t="n">
        <v>31</v>
      </c>
      <c r="B42" s="252" t="n">
        <v>6887.5</v>
      </c>
      <c r="C42" s="242" t="n">
        <v>239821</v>
      </c>
      <c r="D42" s="244" t="n">
        <f aca="false">C42-C41</f>
        <v>659</v>
      </c>
      <c r="E42" s="242" t="n">
        <f aca="false">C42-152000</f>
        <v>87821</v>
      </c>
      <c r="F42" s="266" t="n">
        <f aca="false">D42/$D$2</f>
        <v>332.240988152256</v>
      </c>
      <c r="G42" s="267" t="n">
        <v>213</v>
      </c>
      <c r="H42" s="360" t="n">
        <v>43</v>
      </c>
      <c r="I42" s="267" t="n">
        <f aca="false">G42+H42</f>
        <v>256</v>
      </c>
      <c r="J42" s="247" t="n">
        <f aca="false">IF(L42&gt;0,L42,0)</f>
        <v>117.540988152256</v>
      </c>
      <c r="K42" s="267" t="n">
        <f aca="false">I42+J42</f>
        <v>373.540988152256</v>
      </c>
      <c r="L42" s="267" t="n">
        <f aca="false">F42-(I42-AC42)</f>
        <v>117.540988152256</v>
      </c>
      <c r="M42" s="269" t="n">
        <v>5.3</v>
      </c>
      <c r="N42" s="267" t="n">
        <v>0</v>
      </c>
      <c r="O42" s="267" t="n">
        <v>0</v>
      </c>
      <c r="P42" s="389" t="n">
        <f aca="false">1.31*1.02</f>
        <v>1.3362</v>
      </c>
      <c r="Q42" s="389" t="n">
        <f aca="false">2.34*1.04</f>
        <v>2.4336</v>
      </c>
      <c r="R42" s="132" t="n">
        <v>0</v>
      </c>
      <c r="S42" s="267" t="n">
        <v>0</v>
      </c>
      <c r="T42" s="267"/>
      <c r="U42" s="267" t="n">
        <f aca="false">M42-N42-O42-P42-Q42-R42+S42+T42</f>
        <v>1.5302</v>
      </c>
      <c r="V42" s="242"/>
      <c r="W42" s="242"/>
      <c r="X42" s="267"/>
      <c r="Y42" s="269"/>
      <c r="Z42" s="270"/>
      <c r="AA42" s="390" t="n">
        <v>36</v>
      </c>
      <c r="AB42" s="391" t="n">
        <f aca="false">AB41-AA42</f>
        <v>9</v>
      </c>
      <c r="AC42" s="127" t="n">
        <f aca="false">N42+O42+P42+Q42+R42+U42+X42+AA42</f>
        <v>41.3</v>
      </c>
      <c r="AD42" s="267" t="n">
        <f aca="false">IF(L42&lt;0,L42*-1,0)</f>
        <v>0</v>
      </c>
      <c r="AE42" s="267" t="n">
        <f aca="false">AC42+AD42</f>
        <v>41.3</v>
      </c>
      <c r="AF42" s="248" t="n">
        <v>0</v>
      </c>
      <c r="AG42" s="250" t="n">
        <v>46</v>
      </c>
      <c r="AH42" s="249" t="n">
        <v>21</v>
      </c>
      <c r="AI42" s="244" t="n">
        <f aca="false">AI41+(S42*1.9835)</f>
        <v>14814.1599532</v>
      </c>
      <c r="AJ42" s="244"/>
      <c r="AK42" s="267"/>
      <c r="AL42" s="267"/>
      <c r="AM42" s="250"/>
    </row>
    <row r="43" customFormat="false" ht="3" hidden="false" customHeight="true" outlineLevel="0" collapsed="false">
      <c r="A43" s="386"/>
      <c r="B43" s="272"/>
      <c r="C43" s="256"/>
      <c r="D43" s="257"/>
      <c r="E43" s="256"/>
      <c r="F43" s="258"/>
      <c r="G43" s="257"/>
      <c r="H43" s="280"/>
      <c r="I43" s="257"/>
      <c r="J43" s="257"/>
      <c r="K43" s="257"/>
      <c r="L43" s="257"/>
      <c r="M43" s="260"/>
      <c r="N43" s="257"/>
      <c r="O43" s="257"/>
      <c r="P43" s="257"/>
      <c r="Q43" s="257"/>
      <c r="R43" s="261"/>
      <c r="S43" s="257"/>
      <c r="T43" s="257"/>
      <c r="U43" s="257"/>
      <c r="V43" s="256"/>
      <c r="W43" s="256"/>
      <c r="X43" s="257"/>
      <c r="Y43" s="260"/>
      <c r="Z43" s="261"/>
      <c r="AA43" s="257"/>
      <c r="AB43" s="257"/>
      <c r="AC43" s="257"/>
      <c r="AD43" s="257"/>
      <c r="AE43" s="257"/>
      <c r="AF43" s="263"/>
      <c r="AG43" s="264"/>
      <c r="AH43" s="265"/>
      <c r="AI43" s="264"/>
      <c r="AJ43" s="264"/>
      <c r="AK43" s="264"/>
      <c r="AL43" s="264"/>
      <c r="AM43" s="264"/>
      <c r="AN43" s="387"/>
    </row>
    <row r="44" customFormat="false" ht="12.95" hidden="false" customHeight="true" outlineLevel="0" collapsed="false">
      <c r="A44" s="173" t="s">
        <v>75</v>
      </c>
      <c r="B44" s="241"/>
      <c r="C44" s="242"/>
      <c r="D44" s="242"/>
      <c r="E44" s="242"/>
      <c r="F44" s="243" t="n">
        <f aca="false">SUM(F12:F42)</f>
        <v>11850.26468364</v>
      </c>
      <c r="G44" s="242" t="n">
        <f aca="false">SUM(G12:G42)</f>
        <v>6883</v>
      </c>
      <c r="H44" s="363" t="n">
        <f aca="false">SUM(H12:H42)</f>
        <v>1764</v>
      </c>
      <c r="I44" s="242" t="n">
        <f aca="false">SUM(I12:I42)</f>
        <v>8647</v>
      </c>
      <c r="J44" s="242" t="n">
        <f aca="false">SUM(J12:J42)</f>
        <v>4661.56468364003</v>
      </c>
      <c r="K44" s="242" t="n">
        <f aca="false">SUM(K12:K42)</f>
        <v>13308.56468364</v>
      </c>
      <c r="L44" s="242" t="n">
        <f aca="false">SUM(L12:L42)</f>
        <v>4661.56468364003</v>
      </c>
      <c r="M44" s="245" t="n">
        <f aca="false">SUM(M12:M42)</f>
        <v>169.3</v>
      </c>
      <c r="N44" s="242" t="n">
        <f aca="false">SUM(N12:N42)</f>
        <v>0</v>
      </c>
      <c r="O44" s="242" t="n">
        <f aca="false">SUM(O12:O42)</f>
        <v>0</v>
      </c>
      <c r="P44" s="242" t="n">
        <f aca="false">SUM(P12:P42)</f>
        <v>41.4222</v>
      </c>
      <c r="Q44" s="242" t="n">
        <f aca="false">SUM(Q12:Q42)</f>
        <v>73.8088</v>
      </c>
      <c r="R44" s="246" t="n">
        <f aca="false">SUM(R12:R42)</f>
        <v>0</v>
      </c>
      <c r="S44" s="242" t="n">
        <f aca="false">SUM(S12:S42)</f>
        <v>265</v>
      </c>
      <c r="T44" s="242" t="n">
        <f aca="false">SUM(T12:T42)</f>
        <v>0</v>
      </c>
      <c r="U44" s="242" t="n">
        <f aca="false">SUM(U12:U42)</f>
        <v>319.069</v>
      </c>
      <c r="V44" s="242"/>
      <c r="W44" s="242"/>
      <c r="X44" s="242"/>
      <c r="Y44" s="245"/>
      <c r="Z44" s="246"/>
      <c r="AA44" s="242" t="n">
        <f aca="false">SUM(AA12:AA42)</f>
        <v>1024</v>
      </c>
      <c r="AB44" s="242"/>
      <c r="AC44" s="242" t="n">
        <f aca="false">SUM(AC12:AC42)</f>
        <v>1458.3</v>
      </c>
      <c r="AD44" s="242" t="n">
        <f aca="false">SUM(AD12:AD42)</f>
        <v>0</v>
      </c>
      <c r="AE44" s="242" t="n">
        <f aca="false">SUM(AE12:AE42)</f>
        <v>1458.3</v>
      </c>
      <c r="AF44" s="248" t="n">
        <f aca="false">SUM(AF12:AF42)</f>
        <v>1.35</v>
      </c>
      <c r="AG44" s="244" t="n">
        <f aca="false">AVERAGE(AG12:AG42)</f>
        <v>49.3225806451613</v>
      </c>
      <c r="AH44" s="249" t="n">
        <f aca="false">AVERAGE(AH12:AH42)</f>
        <v>26.0967741935484</v>
      </c>
      <c r="AI44" s="244" t="s">
        <v>96</v>
      </c>
      <c r="AJ44" s="242" t="n">
        <f aca="false">SUM(AJ12:AJ42)</f>
        <v>0</v>
      </c>
      <c r="AK44" s="267"/>
      <c r="AL44" s="267"/>
      <c r="AM44" s="250"/>
      <c r="AN44" s="356" t="s">
        <v>93</v>
      </c>
    </row>
    <row r="45" customFormat="false" ht="12.95" hidden="false" customHeight="true" outlineLevel="0" collapsed="false">
      <c r="A45" s="173" t="s">
        <v>77</v>
      </c>
      <c r="B45" s="241"/>
      <c r="C45" s="242"/>
      <c r="D45" s="242" t="n">
        <f aca="false">SUM(D12:D42)</f>
        <v>23505</v>
      </c>
      <c r="E45" s="242"/>
      <c r="F45" s="243" t="n">
        <f aca="false">F44*$D$2</f>
        <v>23505</v>
      </c>
      <c r="G45" s="242" t="n">
        <f aca="false">G44*$D$2</f>
        <v>13652.4305</v>
      </c>
      <c r="H45" s="363" t="n">
        <f aca="false">H44*$D$2</f>
        <v>3498.894</v>
      </c>
      <c r="I45" s="242" t="n">
        <f aca="false">I44*$D$2</f>
        <v>17151.3245</v>
      </c>
      <c r="J45" s="242" t="n">
        <f aca="false">J44*$D$2</f>
        <v>9246.21355</v>
      </c>
      <c r="K45" s="242" t="n">
        <f aca="false">K44*$D$2</f>
        <v>26397.53805</v>
      </c>
      <c r="L45" s="242" t="n">
        <f aca="false">L44*$D$2</f>
        <v>9246.21355</v>
      </c>
      <c r="M45" s="245" t="n">
        <f aca="false">M44*$D$2</f>
        <v>335.80655</v>
      </c>
      <c r="N45" s="242" t="n">
        <f aca="false">N44*$D$2</f>
        <v>0</v>
      </c>
      <c r="O45" s="242" t="n">
        <f aca="false">O44*$D$2</f>
        <v>0</v>
      </c>
      <c r="P45" s="242" t="n">
        <f aca="false">P44*$D$2</f>
        <v>82.1609337</v>
      </c>
      <c r="Q45" s="242" t="n">
        <f aca="false">Q44*$D$2</f>
        <v>146.3997548</v>
      </c>
      <c r="R45" s="246" t="n">
        <f aca="false">R44*$D$2</f>
        <v>0</v>
      </c>
      <c r="S45" s="242" t="n">
        <f aca="false">S44*$D$2</f>
        <v>525.6275</v>
      </c>
      <c r="T45" s="242" t="n">
        <f aca="false">T44*$D$2</f>
        <v>0</v>
      </c>
      <c r="U45" s="242" t="n">
        <f aca="false">U44*$D$2</f>
        <v>632.8733615</v>
      </c>
      <c r="V45" s="242"/>
      <c r="W45" s="242"/>
      <c r="X45" s="242"/>
      <c r="Y45" s="245"/>
      <c r="Z45" s="246"/>
      <c r="AA45" s="242" t="n">
        <f aca="false">AA44*$D$2</f>
        <v>2031.104</v>
      </c>
      <c r="AB45" s="242"/>
      <c r="AC45" s="242" t="n">
        <f aca="false">AC44*$D$2</f>
        <v>2892.53805</v>
      </c>
      <c r="AD45" s="242" t="n">
        <f aca="false">AD44*$D$2</f>
        <v>0</v>
      </c>
      <c r="AE45" s="242" t="n">
        <f aca="false">AE44*$D$2</f>
        <v>2892.53805</v>
      </c>
      <c r="AF45" s="248"/>
      <c r="AG45" s="244" t="n">
        <f aca="false">MAX(AG12:AG42)</f>
        <v>62</v>
      </c>
      <c r="AH45" s="249" t="n">
        <f aca="false">MAX(AH12:AH42)</f>
        <v>35</v>
      </c>
      <c r="AI45" s="244" t="s">
        <v>78</v>
      </c>
      <c r="AJ45" s="242" t="n">
        <f aca="false">AJ44*$D$2</f>
        <v>0</v>
      </c>
      <c r="AK45" s="267"/>
      <c r="AL45" s="267"/>
      <c r="AM45" s="250"/>
      <c r="AN45" s="356"/>
    </row>
    <row r="46" customFormat="false" ht="3" hidden="false" customHeight="true" outlineLevel="0" collapsed="false">
      <c r="A46" s="275"/>
      <c r="B46" s="272"/>
      <c r="C46" s="256"/>
      <c r="D46" s="256"/>
      <c r="E46" s="256"/>
      <c r="F46" s="276"/>
      <c r="G46" s="256"/>
      <c r="H46" s="394"/>
      <c r="I46" s="256"/>
      <c r="J46" s="256"/>
      <c r="K46" s="256"/>
      <c r="L46" s="256"/>
      <c r="M46" s="277"/>
      <c r="N46" s="256"/>
      <c r="O46" s="256"/>
      <c r="P46" s="256"/>
      <c r="Q46" s="256"/>
      <c r="R46" s="278"/>
      <c r="S46" s="256"/>
      <c r="T46" s="256"/>
      <c r="U46" s="256"/>
      <c r="V46" s="256"/>
      <c r="W46" s="256"/>
      <c r="X46" s="256"/>
      <c r="Y46" s="277"/>
      <c r="Z46" s="278"/>
      <c r="AA46" s="256"/>
      <c r="AB46" s="257"/>
      <c r="AC46" s="256"/>
      <c r="AD46" s="256"/>
      <c r="AE46" s="256"/>
      <c r="AF46" s="279"/>
      <c r="AG46" s="256"/>
      <c r="AH46" s="276"/>
      <c r="AI46" s="264"/>
      <c r="AJ46" s="264"/>
      <c r="AK46" s="256"/>
      <c r="AL46" s="256"/>
      <c r="AM46" s="256"/>
      <c r="AN46" s="395"/>
    </row>
    <row r="47" customFormat="false" ht="12.95" hidden="false" customHeight="true" outlineLevel="0" collapsed="false">
      <c r="A47" s="173" t="s">
        <v>79</v>
      </c>
      <c r="B47" s="241"/>
      <c r="C47" s="242"/>
      <c r="D47" s="242"/>
      <c r="E47" s="242"/>
      <c r="F47" s="243"/>
      <c r="G47" s="242"/>
      <c r="H47" s="363"/>
      <c r="I47" s="242"/>
      <c r="J47" s="242"/>
      <c r="K47" s="242"/>
      <c r="L47" s="242"/>
      <c r="M47" s="245"/>
      <c r="N47" s="242"/>
      <c r="O47" s="242" t="n">
        <f aca="false">O44</f>
        <v>0</v>
      </c>
      <c r="P47" s="242"/>
      <c r="Q47" s="242"/>
      <c r="R47" s="246"/>
      <c r="S47" s="242"/>
      <c r="T47" s="242"/>
      <c r="U47" s="242"/>
      <c r="V47" s="242"/>
      <c r="W47" s="242"/>
      <c r="X47" s="242"/>
      <c r="Y47" s="245"/>
      <c r="Z47" s="246"/>
      <c r="AA47" s="242"/>
      <c r="AB47" s="242"/>
      <c r="AC47" s="242"/>
      <c r="AD47" s="242"/>
      <c r="AE47" s="242"/>
      <c r="AF47" s="248"/>
      <c r="AG47" s="244" t="n">
        <f aca="false">MIN(AG12:AG42)</f>
        <v>38</v>
      </c>
      <c r="AH47" s="249" t="n">
        <f aca="false">MIN(AH12:AH42)</f>
        <v>15</v>
      </c>
      <c r="AI47" s="244" t="s">
        <v>80</v>
      </c>
      <c r="AJ47" s="244"/>
      <c r="AK47" s="267"/>
      <c r="AL47" s="267"/>
      <c r="AM47" s="250"/>
      <c r="AN47" s="356"/>
    </row>
    <row r="48" customFormat="false" ht="12.95" hidden="false" customHeight="true" outlineLevel="0" collapsed="false">
      <c r="A48" s="173" t="s">
        <v>81</v>
      </c>
      <c r="B48" s="241"/>
      <c r="C48" s="242"/>
      <c r="D48" s="242"/>
      <c r="E48" s="242"/>
      <c r="F48" s="243"/>
      <c r="G48" s="242"/>
      <c r="H48" s="363"/>
      <c r="I48" s="242"/>
      <c r="J48" s="242"/>
      <c r="K48" s="242"/>
      <c r="L48" s="242"/>
      <c r="M48" s="245"/>
      <c r="N48" s="242"/>
      <c r="O48" s="242" t="n">
        <f aca="false">O47*D2</f>
        <v>0</v>
      </c>
      <c r="P48" s="242"/>
      <c r="Q48" s="242"/>
      <c r="R48" s="246"/>
      <c r="S48" s="242"/>
      <c r="T48" s="242"/>
      <c r="U48" s="242" t="n">
        <f aca="false">U47*D2</f>
        <v>0</v>
      </c>
      <c r="V48" s="242"/>
      <c r="W48" s="242"/>
      <c r="X48" s="242"/>
      <c r="Y48" s="245"/>
      <c r="Z48" s="246"/>
      <c r="AA48" s="242"/>
      <c r="AB48" s="242"/>
      <c r="AC48" s="242"/>
      <c r="AD48" s="242"/>
      <c r="AE48" s="242"/>
      <c r="AF48" s="248"/>
      <c r="AG48" s="244"/>
      <c r="AH48" s="249"/>
      <c r="AI48" s="244"/>
      <c r="AJ48" s="244"/>
      <c r="AK48" s="267"/>
      <c r="AL48" s="267"/>
      <c r="AM48" s="250"/>
      <c r="AN48" s="356"/>
    </row>
    <row r="49" customFormat="false" ht="3" hidden="false" customHeight="true" outlineLevel="0" collapsed="false">
      <c r="A49" s="275"/>
      <c r="B49" s="272"/>
      <c r="C49" s="256"/>
      <c r="D49" s="256"/>
      <c r="E49" s="256"/>
      <c r="F49" s="276"/>
      <c r="G49" s="256"/>
      <c r="H49" s="394"/>
      <c r="I49" s="256"/>
      <c r="J49" s="256"/>
      <c r="K49" s="256"/>
      <c r="L49" s="256"/>
      <c r="M49" s="277"/>
      <c r="N49" s="256"/>
      <c r="O49" s="256"/>
      <c r="P49" s="256"/>
      <c r="Q49" s="256"/>
      <c r="R49" s="278"/>
      <c r="S49" s="256"/>
      <c r="T49" s="256"/>
      <c r="U49" s="256"/>
      <c r="V49" s="256"/>
      <c r="W49" s="256"/>
      <c r="X49" s="256"/>
      <c r="Y49" s="277"/>
      <c r="Z49" s="278"/>
      <c r="AA49" s="256"/>
      <c r="AB49" s="256"/>
      <c r="AC49" s="256"/>
      <c r="AD49" s="256"/>
      <c r="AE49" s="256"/>
      <c r="AF49" s="263"/>
      <c r="AG49" s="280"/>
      <c r="AH49" s="281"/>
      <c r="AI49" s="264"/>
      <c r="AJ49" s="264"/>
      <c r="AK49" s="280"/>
      <c r="AL49" s="280"/>
      <c r="AM49" s="280"/>
      <c r="AN49" s="395"/>
    </row>
    <row r="50" customFormat="false" ht="12.95" hidden="false" customHeight="true" outlineLevel="0" collapsed="false">
      <c r="A50" s="173" t="s">
        <v>82</v>
      </c>
      <c r="B50" s="241"/>
      <c r="C50" s="242"/>
      <c r="D50" s="242"/>
      <c r="E50" s="242"/>
      <c r="F50" s="243" t="n">
        <f aca="false">F10+F44</f>
        <v>16422.9896647341</v>
      </c>
      <c r="G50" s="242" t="n">
        <f aca="false">G10+G44</f>
        <v>16458</v>
      </c>
      <c r="H50" s="363" t="n">
        <f aca="false">H10+H44</f>
        <v>2389.54</v>
      </c>
      <c r="I50" s="242" t="n">
        <f aca="false">I10+I44</f>
        <v>18847.54</v>
      </c>
      <c r="J50" s="242" t="n">
        <f aca="false">J10+J44</f>
        <v>10461.5051046131</v>
      </c>
      <c r="K50" s="242" t="n">
        <f aca="false">K10+K44</f>
        <v>29309.0451046131</v>
      </c>
      <c r="L50" s="242" t="n">
        <f aca="false">L10+L44</f>
        <v>9916.24966473406</v>
      </c>
      <c r="M50" s="245" t="n">
        <f aca="false">M10+M44</f>
        <v>796</v>
      </c>
      <c r="N50" s="242" t="n">
        <f aca="false">N10+N44</f>
        <v>0</v>
      </c>
      <c r="O50" s="242" t="n">
        <f aca="false">O10+O44</f>
        <v>0</v>
      </c>
      <c r="P50" s="242" t="n">
        <f aca="false">P10+P44</f>
        <v>213.5064</v>
      </c>
      <c r="Q50" s="242" t="n">
        <f aca="false">Q10+Q44</f>
        <v>369.1672</v>
      </c>
      <c r="R50" s="246" t="n">
        <f aca="false">R10+R44</f>
        <v>0.97</v>
      </c>
      <c r="S50" s="242" t="n">
        <f aca="false">S10+S44</f>
        <v>7469</v>
      </c>
      <c r="T50" s="242" t="n">
        <f aca="false">T10+T44</f>
        <v>33.8</v>
      </c>
      <c r="U50" s="242" t="n">
        <f aca="false">U10+U44</f>
        <v>7715.1564</v>
      </c>
      <c r="V50" s="242"/>
      <c r="W50" s="242"/>
      <c r="X50" s="242"/>
      <c r="Y50" s="245"/>
      <c r="Z50" s="246"/>
      <c r="AA50" s="242" t="n">
        <f aca="false">AA10+AA44</f>
        <v>4042</v>
      </c>
      <c r="AB50" s="242" t="n">
        <f aca="false">AB42</f>
        <v>9</v>
      </c>
      <c r="AC50" s="242" t="n">
        <f aca="false">AC10+AC44</f>
        <v>12340.8</v>
      </c>
      <c r="AD50" s="242" t="n">
        <f aca="false">AD10+AD44</f>
        <v>545.255439879002</v>
      </c>
      <c r="AE50" s="242" t="n">
        <f aca="false">AE10+AE44</f>
        <v>12886.055439879</v>
      </c>
      <c r="AF50" s="248" t="n">
        <f aca="false">AF10+AF44</f>
        <v>11.29</v>
      </c>
      <c r="AG50" s="244"/>
      <c r="AH50" s="249"/>
      <c r="AI50" s="244"/>
      <c r="AJ50" s="242" t="n">
        <f aca="false">AJ10+AJ44</f>
        <v>0</v>
      </c>
      <c r="AK50" s="267"/>
      <c r="AL50" s="267"/>
      <c r="AM50" s="250"/>
      <c r="AN50" s="356"/>
    </row>
    <row r="51" customFormat="false" ht="12.95" hidden="false" customHeight="true" outlineLevel="0" collapsed="false">
      <c r="A51" s="173" t="s">
        <v>83</v>
      </c>
      <c r="B51" s="241"/>
      <c r="C51" s="242"/>
      <c r="D51" s="242" t="n">
        <f aca="false">D10+D45</f>
        <v>32575</v>
      </c>
      <c r="E51" s="242" t="n">
        <f aca="false">E42</f>
        <v>87821</v>
      </c>
      <c r="F51" s="243" t="n">
        <f aca="false">F50*$D$2</f>
        <v>32575</v>
      </c>
      <c r="G51" s="242" t="n">
        <f aca="false">G50*$D$2</f>
        <v>32644.443</v>
      </c>
      <c r="H51" s="363" t="n">
        <f aca="false">H50*$D$2</f>
        <v>4739.65259</v>
      </c>
      <c r="I51" s="242" t="n">
        <f aca="false">I50*$D$2</f>
        <v>37384.09559</v>
      </c>
      <c r="J51" s="242" t="n">
        <f aca="false">J50*$D$2</f>
        <v>20750.395375</v>
      </c>
      <c r="K51" s="242" t="n">
        <f aca="false">K50*$D$2</f>
        <v>58134.490965</v>
      </c>
      <c r="L51" s="242" t="n">
        <f aca="false">L50*$D$2</f>
        <v>19668.88121</v>
      </c>
      <c r="M51" s="245" t="n">
        <f aca="false">M50*$D$2</f>
        <v>1578.866</v>
      </c>
      <c r="N51" s="242" t="n">
        <f aca="false">N50*$D$2</f>
        <v>0</v>
      </c>
      <c r="O51" s="242" t="n">
        <f aca="false">O50*$D$2</f>
        <v>0</v>
      </c>
      <c r="P51" s="242" t="n">
        <f aca="false">P50*$D$2</f>
        <v>423.4899444</v>
      </c>
      <c r="Q51" s="242" t="n">
        <f aca="false">Q50*$D$2</f>
        <v>732.2431412</v>
      </c>
      <c r="R51" s="246" t="n">
        <f aca="false">R50*$D$2</f>
        <v>1.923995</v>
      </c>
      <c r="S51" s="242" t="n">
        <f aca="false">S50*$D$2</f>
        <v>14814.7615</v>
      </c>
      <c r="T51" s="242" t="n">
        <f aca="false">T50*$D$2</f>
        <v>67.0423</v>
      </c>
      <c r="U51" s="242" t="n">
        <f aca="false">U50*$D$2</f>
        <v>15303.0127194</v>
      </c>
      <c r="V51" s="242"/>
      <c r="W51" s="242"/>
      <c r="X51" s="242"/>
      <c r="Y51" s="282"/>
      <c r="Z51" s="253"/>
      <c r="AA51" s="242" t="n">
        <f aca="false">AA50*$D$2</f>
        <v>8017.307</v>
      </c>
      <c r="AB51" s="242" t="n">
        <f aca="false">AB50*$D$2</f>
        <v>17.8515</v>
      </c>
      <c r="AC51" s="242" t="n">
        <f aca="false">AC50*$D$2</f>
        <v>24477.9768</v>
      </c>
      <c r="AD51" s="242" t="n">
        <f aca="false">AD50*$D$2</f>
        <v>1081.514165</v>
      </c>
      <c r="AE51" s="242" t="n">
        <f aca="false">AE50*$D$2</f>
        <v>25559.490965</v>
      </c>
      <c r="AF51" s="248"/>
      <c r="AG51" s="244"/>
      <c r="AH51" s="249"/>
      <c r="AI51" s="244" t="n">
        <f aca="false">AI42</f>
        <v>14814.1599532</v>
      </c>
      <c r="AJ51" s="242" t="n">
        <f aca="false">AJ50*$D$2</f>
        <v>0</v>
      </c>
      <c r="AK51" s="267"/>
      <c r="AL51" s="267"/>
      <c r="AM51" s="250"/>
      <c r="AN51" s="356"/>
    </row>
    <row r="52" customFormat="false" ht="3" hidden="false" customHeight="true" outlineLevel="0" collapsed="false">
      <c r="A52" s="386"/>
      <c r="B52" s="272"/>
      <c r="C52" s="256"/>
      <c r="D52" s="257"/>
      <c r="E52" s="256"/>
      <c r="F52" s="258"/>
      <c r="G52" s="257"/>
      <c r="H52" s="280"/>
      <c r="I52" s="257"/>
      <c r="J52" s="257"/>
      <c r="K52" s="257"/>
      <c r="L52" s="257"/>
      <c r="M52" s="260"/>
      <c r="N52" s="257"/>
      <c r="O52" s="257"/>
      <c r="P52" s="257"/>
      <c r="Q52" s="257"/>
      <c r="R52" s="261"/>
      <c r="S52" s="257"/>
      <c r="T52" s="257"/>
      <c r="U52" s="257"/>
      <c r="V52" s="256"/>
      <c r="W52" s="256"/>
      <c r="X52" s="257"/>
      <c r="Y52" s="260"/>
      <c r="Z52" s="261"/>
      <c r="AA52" s="257"/>
      <c r="AB52" s="256"/>
      <c r="AC52" s="257"/>
      <c r="AD52" s="257"/>
      <c r="AE52" s="257"/>
      <c r="AF52" s="272"/>
      <c r="AG52" s="257"/>
      <c r="AH52" s="258"/>
      <c r="AI52" s="264"/>
      <c r="AJ52" s="264"/>
      <c r="AK52" s="257"/>
      <c r="AL52" s="257"/>
      <c r="AM52" s="257"/>
      <c r="AN52" s="396"/>
    </row>
    <row r="53" customFormat="false" ht="11.1" hidden="false" customHeight="true" outlineLevel="0" collapsed="false">
      <c r="A53" s="164"/>
      <c r="B53" s="283"/>
      <c r="C53" s="165"/>
      <c r="D53" s="164"/>
      <c r="E53" s="165"/>
      <c r="F53" s="164"/>
      <c r="G53" s="164"/>
      <c r="H53" s="170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5"/>
      <c r="W53" s="165"/>
      <c r="X53" s="164"/>
      <c r="Y53" s="164"/>
      <c r="Z53" s="164"/>
      <c r="AA53" s="164"/>
      <c r="AB53" s="165"/>
      <c r="AC53" s="164"/>
      <c r="AD53" s="164"/>
      <c r="AE53" s="164"/>
      <c r="AF53" s="170"/>
      <c r="AG53" s="171"/>
      <c r="AH53" s="171"/>
      <c r="AI53" s="172"/>
      <c r="AJ53" s="172"/>
      <c r="AK53" s="289"/>
      <c r="AL53" s="289"/>
    </row>
    <row r="54" customFormat="false" ht="11.1" hidden="false" customHeight="true" outlineLevel="0" collapsed="false">
      <c r="A54" s="164"/>
      <c r="B54" s="284"/>
      <c r="C54" s="165"/>
      <c r="D54" s="285"/>
      <c r="E54" s="165"/>
      <c r="F54" s="164"/>
      <c r="G54" s="164"/>
      <c r="H54" s="170"/>
      <c r="I54" s="166"/>
      <c r="J54" s="164"/>
      <c r="K54" s="15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5"/>
      <c r="W54" s="165"/>
      <c r="X54" s="164"/>
      <c r="Y54" s="164"/>
      <c r="Z54" s="164"/>
      <c r="AA54" s="164"/>
      <c r="AB54" s="165"/>
      <c r="AC54" s="164"/>
      <c r="AD54" s="164"/>
      <c r="AE54" s="164"/>
      <c r="AF54" s="170"/>
      <c r="AG54" s="171"/>
      <c r="AH54" s="171"/>
      <c r="AI54" s="172"/>
      <c r="AJ54" s="172"/>
      <c r="AK54" s="289"/>
      <c r="AL54" s="289"/>
    </row>
    <row r="55" customFormat="false" ht="11.1" hidden="false" customHeight="true" outlineLevel="0" collapsed="false">
      <c r="A55" s="285"/>
      <c r="B55" s="285"/>
      <c r="C55" s="165"/>
      <c r="D55" s="165"/>
      <c r="E55" s="165"/>
      <c r="F55" s="285"/>
      <c r="G55" s="285"/>
      <c r="H55" s="170"/>
      <c r="I55" s="285"/>
      <c r="J55" s="285"/>
      <c r="K55" s="285"/>
      <c r="L55" s="285"/>
      <c r="M55" s="168"/>
      <c r="N55" s="168"/>
      <c r="O55" s="168"/>
      <c r="P55" s="168"/>
      <c r="Q55" s="168"/>
      <c r="R55" s="168"/>
      <c r="S55" s="285"/>
      <c r="T55" s="285"/>
      <c r="U55" s="285"/>
      <c r="V55" s="165"/>
      <c r="W55" s="165"/>
      <c r="X55" s="285"/>
      <c r="Y55" s="285"/>
      <c r="Z55" s="285"/>
      <c r="AA55" s="285"/>
      <c r="AB55" s="165"/>
      <c r="AC55" s="285"/>
      <c r="AD55" s="285"/>
      <c r="AE55" s="285"/>
      <c r="AF55" s="170"/>
      <c r="AG55" s="171"/>
      <c r="AH55" s="171"/>
      <c r="AI55" s="172"/>
      <c r="AJ55" s="172"/>
      <c r="AK55" s="343"/>
      <c r="AL55" s="343"/>
    </row>
    <row r="56" customFormat="false" ht="11.1" hidden="false" customHeight="true" outlineLevel="0" collapsed="false">
      <c r="A56" s="285"/>
      <c r="B56" s="169"/>
      <c r="C56" s="165"/>
      <c r="D56" s="165"/>
      <c r="E56" s="165"/>
      <c r="F56" s="285"/>
      <c r="G56" s="285"/>
      <c r="H56" s="170"/>
      <c r="I56" s="285"/>
      <c r="J56" s="285"/>
      <c r="K56" s="285"/>
      <c r="L56" s="285"/>
      <c r="M56" s="168"/>
      <c r="N56" s="168"/>
      <c r="O56" s="168"/>
      <c r="P56" s="168"/>
      <c r="Q56" s="168"/>
      <c r="R56" s="285"/>
      <c r="S56" s="285"/>
      <c r="T56" s="285"/>
      <c r="U56" s="165"/>
      <c r="V56" s="285"/>
      <c r="W56" s="285"/>
      <c r="X56" s="285"/>
      <c r="Y56" s="285"/>
      <c r="Z56" s="285"/>
      <c r="AA56" s="165"/>
      <c r="AB56" s="285"/>
      <c r="AC56" s="285"/>
      <c r="AD56" s="285"/>
      <c r="AE56" s="169"/>
      <c r="AF56" s="170"/>
      <c r="AG56" s="171"/>
      <c r="AH56" s="172"/>
      <c r="AI56" s="346"/>
      <c r="AJ56" s="346"/>
      <c r="AK56" s="343"/>
    </row>
    <row r="57" customFormat="false" ht="11.1" hidden="false" customHeight="true" outlineLevel="0" collapsed="false">
      <c r="A57" s="285"/>
      <c r="B57" s="285"/>
      <c r="C57" s="165"/>
      <c r="D57" s="285"/>
      <c r="E57" s="165"/>
      <c r="F57" s="285"/>
      <c r="G57" s="286"/>
      <c r="H57" s="170"/>
      <c r="I57" s="285"/>
      <c r="J57" s="285"/>
      <c r="K57" s="285"/>
      <c r="L57" s="285"/>
      <c r="M57" s="168"/>
      <c r="N57" s="168"/>
      <c r="O57" s="168"/>
      <c r="P57" s="168"/>
      <c r="Q57" s="168"/>
      <c r="R57" s="285"/>
      <c r="S57" s="285"/>
      <c r="T57" s="285"/>
      <c r="U57" s="165"/>
      <c r="V57" s="285"/>
      <c r="W57" s="285"/>
      <c r="X57" s="285"/>
      <c r="Y57" s="285"/>
      <c r="Z57" s="285"/>
      <c r="AA57" s="165"/>
      <c r="AB57" s="285"/>
      <c r="AC57" s="285"/>
      <c r="AD57" s="285"/>
      <c r="AE57" s="169"/>
      <c r="AF57" s="170"/>
      <c r="AG57" s="171"/>
      <c r="AH57" s="172"/>
      <c r="AI57" s="346"/>
      <c r="AJ57" s="346"/>
      <c r="AK57" s="343"/>
    </row>
  </sheetData>
  <mergeCells count="2">
    <mergeCell ref="K2:W2"/>
    <mergeCell ref="M5:R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9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25" activePane="bottomRight" state="frozen"/>
      <selection pane="topLeft" activeCell="A1" activeCellId="0" sqref="A1"/>
      <selection pane="topRight" activeCell="B1" activeCellId="0" sqref="B1"/>
      <selection pane="bottomLeft" activeCell="A25" activeCellId="0" sqref="A25"/>
      <selection pane="bottomRight" activeCell="AA28" activeCellId="0" sqref="AA28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4.66"/>
    <col collapsed="false" customWidth="true" hidden="false" outlineLevel="0" max="2" min="2" style="0" width="6.99"/>
    <col collapsed="false" customWidth="true" hidden="false" outlineLevel="0" max="3" min="3" style="1" width="6.32"/>
    <col collapsed="false" customWidth="true" hidden="false" outlineLevel="0" max="4" min="4" style="0" width="6.99"/>
    <col collapsed="false" customWidth="true" hidden="false" outlineLevel="0" max="5" min="5" style="1" width="6.99"/>
    <col collapsed="false" customWidth="true" hidden="false" outlineLevel="0" max="6" min="6" style="0" width="7.32"/>
    <col collapsed="false" customWidth="true" hidden="false" outlineLevel="0" max="7" min="7" style="0" width="6.82"/>
    <col collapsed="false" customWidth="true" hidden="false" outlineLevel="0" max="8" min="8" style="397" width="5.66"/>
    <col collapsed="false" customWidth="true" hidden="false" outlineLevel="0" max="11" min="9" style="0" width="6.32"/>
    <col collapsed="false" customWidth="true" hidden="false" outlineLevel="0" max="12" min="12" style="0" width="7.16"/>
    <col collapsed="false" customWidth="true" hidden="false" outlineLevel="0" max="13" min="13" style="3" width="5.49"/>
    <col collapsed="false" customWidth="true" hidden="false" outlineLevel="0" max="14" min="14" style="3" width="4.49"/>
    <col collapsed="false" customWidth="true" hidden="false" outlineLevel="0" max="15" min="15" style="3" width="5.49"/>
    <col collapsed="false" customWidth="true" hidden="false" outlineLevel="0" max="17" min="16" style="3" width="4.32"/>
    <col collapsed="false" customWidth="true" hidden="false" outlineLevel="0" max="18" min="18" style="0" width="4.32"/>
    <col collapsed="false" customWidth="true" hidden="false" outlineLevel="0" max="20" min="19" style="0" width="5.49"/>
    <col collapsed="false" customWidth="true" hidden="false" outlineLevel="0" max="21" min="21" style="1" width="6.32"/>
    <col collapsed="false" customWidth="true" hidden="false" outlineLevel="0" max="22" min="22" style="4" width="5.49"/>
    <col collapsed="false" customWidth="true" hidden="false" outlineLevel="0" max="23" min="23" style="3" width="5.49"/>
    <col collapsed="false" customWidth="true" hidden="false" outlineLevel="0" max="26" min="24" style="0" width="5.49"/>
    <col collapsed="false" customWidth="true" hidden="false" outlineLevel="0" max="27" min="27" style="1" width="6.16"/>
    <col collapsed="false" customWidth="true" hidden="false" outlineLevel="0" max="28" min="28" style="0" width="5.49"/>
    <col collapsed="false" customWidth="true" hidden="false" outlineLevel="0" max="29" min="29" style="0" width="6.32"/>
    <col collapsed="false" customWidth="true" hidden="false" outlineLevel="0" max="30" min="30" style="0" width="6.99"/>
    <col collapsed="false" customWidth="true" hidden="false" outlineLevel="0" max="31" min="31" style="398" width="6.99"/>
    <col collapsed="false" customWidth="true" hidden="false" outlineLevel="0" max="32" min="32" style="399" width="5.32"/>
    <col collapsed="false" customWidth="true" hidden="false" outlineLevel="0" max="33" min="33" style="400" width="3.82"/>
    <col collapsed="false" customWidth="true" hidden="false" outlineLevel="0" max="34" min="34" style="401" width="3.82"/>
    <col collapsed="false" customWidth="true" hidden="false" outlineLevel="0" max="36" min="35" style="5" width="5.49"/>
    <col collapsed="false" customWidth="true" hidden="false" outlineLevel="0" max="37" min="37" style="4" width="6.32"/>
    <col collapsed="false" customWidth="true" hidden="false" outlineLevel="0" max="38" min="38" style="345" width="6.32"/>
    <col collapsed="false" customWidth="true" hidden="false" outlineLevel="0" max="39" min="39" style="0" width="6.32"/>
    <col collapsed="false" customWidth="true" hidden="false" outlineLevel="0" max="40" min="40" style="0" width="6.49"/>
  </cols>
  <sheetData>
    <row r="1" customFormat="false" ht="14.1" hidden="false" customHeight="true" outlineLevel="0" collapsed="false">
      <c r="A1" s="9"/>
      <c r="B1" s="9"/>
      <c r="C1" s="10"/>
      <c r="D1" s="9"/>
      <c r="E1" s="10"/>
      <c r="F1" s="124"/>
      <c r="G1" s="9"/>
      <c r="H1" s="11"/>
      <c r="I1" s="9"/>
      <c r="J1" s="9"/>
      <c r="K1" s="12" t="s">
        <v>102</v>
      </c>
      <c r="L1" s="9"/>
      <c r="M1" s="9"/>
      <c r="N1" s="9"/>
      <c r="O1" s="9"/>
      <c r="P1" s="9"/>
      <c r="Q1" s="9"/>
      <c r="R1" s="9"/>
      <c r="S1" s="9"/>
      <c r="T1" s="9"/>
      <c r="U1" s="10"/>
      <c r="V1" s="15"/>
      <c r="W1" s="122"/>
      <c r="X1" s="9"/>
      <c r="Y1" s="9"/>
      <c r="Z1" s="9"/>
      <c r="AA1" s="10"/>
      <c r="AB1" s="9"/>
      <c r="AC1" s="9"/>
      <c r="AD1" s="9"/>
      <c r="AE1" s="402"/>
      <c r="AF1" s="403"/>
      <c r="AG1" s="120"/>
      <c r="AH1" s="88"/>
      <c r="AI1" s="16"/>
      <c r="AJ1" s="16"/>
      <c r="AK1" s="404"/>
    </row>
    <row r="2" customFormat="false" ht="14.1" hidden="false" customHeight="true" outlineLevel="0" collapsed="false">
      <c r="A2" s="17" t="s">
        <v>1</v>
      </c>
      <c r="B2" s="9"/>
      <c r="C2" s="10"/>
      <c r="D2" s="18" t="n">
        <v>1.9835</v>
      </c>
      <c r="E2" s="10"/>
      <c r="F2" s="124"/>
      <c r="G2" s="9"/>
      <c r="H2" s="11"/>
      <c r="I2" s="9"/>
      <c r="J2" s="9"/>
      <c r="K2" s="405" t="s">
        <v>103</v>
      </c>
      <c r="L2" s="406"/>
      <c r="M2" s="70"/>
      <c r="N2" s="70"/>
      <c r="O2" s="70"/>
      <c r="P2" s="70"/>
      <c r="Q2" s="70"/>
      <c r="R2" s="70"/>
      <c r="S2" s="70"/>
      <c r="T2" s="70"/>
      <c r="U2" s="86"/>
      <c r="V2" s="16"/>
      <c r="W2" s="407"/>
      <c r="X2" s="70"/>
      <c r="Y2" s="70"/>
      <c r="Z2" s="70"/>
      <c r="AA2" s="86"/>
      <c r="AB2" s="9"/>
      <c r="AC2" s="9"/>
      <c r="AD2" s="9"/>
      <c r="AE2" s="402"/>
      <c r="AF2" s="403"/>
      <c r="AG2" s="120"/>
      <c r="AH2" s="88"/>
      <c r="AI2" s="16"/>
      <c r="AJ2" s="16"/>
      <c r="AK2" s="404"/>
    </row>
    <row r="3" customFormat="false" ht="14.1" hidden="false" customHeight="true" outlineLevel="0" collapsed="false">
      <c r="A3" s="9"/>
      <c r="B3" s="9"/>
      <c r="C3" s="10"/>
      <c r="D3" s="18"/>
      <c r="E3" s="10"/>
      <c r="F3" s="124"/>
      <c r="G3" s="9"/>
      <c r="H3" s="408"/>
      <c r="I3" s="9"/>
      <c r="J3" s="9"/>
      <c r="K3" s="409"/>
      <c r="L3" s="406"/>
      <c r="M3" s="70"/>
      <c r="N3" s="70"/>
      <c r="O3" s="70"/>
      <c r="P3" s="70"/>
      <c r="Q3" s="70"/>
      <c r="R3" s="70"/>
      <c r="S3" s="70"/>
      <c r="T3" s="70"/>
      <c r="U3" s="410"/>
      <c r="V3" s="16"/>
      <c r="W3" s="407"/>
      <c r="X3" s="70"/>
      <c r="Y3" s="70"/>
      <c r="Z3" s="70"/>
      <c r="AA3" s="86"/>
      <c r="AB3" s="9"/>
      <c r="AC3" s="9"/>
      <c r="AD3" s="9"/>
      <c r="AE3" s="402"/>
      <c r="AF3" s="403"/>
      <c r="AG3" s="120"/>
      <c r="AH3" s="88"/>
      <c r="AI3" s="16"/>
      <c r="AJ3" s="16"/>
      <c r="AK3" s="404"/>
    </row>
    <row r="4" s="8" customFormat="true" ht="14.1" hidden="false" customHeight="true" outlineLevel="0" collapsed="false">
      <c r="A4" s="35"/>
      <c r="B4" s="32"/>
      <c r="C4" s="33"/>
      <c r="D4" s="411" t="s">
        <v>3</v>
      </c>
      <c r="E4" s="33"/>
      <c r="F4" s="35"/>
      <c r="G4" s="412"/>
      <c r="H4" s="413"/>
      <c r="I4" s="412"/>
      <c r="J4" s="412"/>
      <c r="K4" s="412"/>
      <c r="L4" s="412"/>
      <c r="M4" s="412"/>
      <c r="N4" s="412"/>
      <c r="O4" s="412"/>
      <c r="P4" s="412"/>
      <c r="Q4" s="412"/>
      <c r="R4" s="412"/>
      <c r="S4" s="412"/>
      <c r="T4" s="412"/>
      <c r="U4" s="414" t="s">
        <v>4</v>
      </c>
      <c r="V4" s="415"/>
      <c r="W4" s="416"/>
      <c r="X4" s="412"/>
      <c r="Y4" s="412"/>
      <c r="Z4" s="412"/>
      <c r="AA4" s="33"/>
      <c r="AB4" s="412"/>
      <c r="AC4" s="412"/>
      <c r="AD4" s="412"/>
      <c r="AE4" s="417"/>
      <c r="AF4" s="40"/>
      <c r="AG4" s="41" t="s">
        <v>5</v>
      </c>
      <c r="AH4" s="42"/>
      <c r="AI4" s="418"/>
      <c r="AJ4" s="418"/>
      <c r="AK4" s="198" t="s">
        <v>6</v>
      </c>
      <c r="AL4" s="419"/>
      <c r="AM4" s="44"/>
      <c r="AN4" s="44"/>
    </row>
    <row r="5" customFormat="false" ht="12.95" hidden="false" customHeight="true" outlineLevel="0" collapsed="false">
      <c r="A5" s="420" t="s">
        <v>7</v>
      </c>
      <c r="B5" s="421" t="s">
        <v>8</v>
      </c>
      <c r="C5" s="74" t="s">
        <v>8</v>
      </c>
      <c r="D5" s="78" t="s">
        <v>9</v>
      </c>
      <c r="E5" s="74" t="s">
        <v>10</v>
      </c>
      <c r="F5" s="422" t="s">
        <v>11</v>
      </c>
      <c r="G5" s="423" t="s">
        <v>12</v>
      </c>
      <c r="H5" s="424" t="s">
        <v>13</v>
      </c>
      <c r="I5" s="423" t="s">
        <v>14</v>
      </c>
      <c r="J5" s="423" t="s">
        <v>15</v>
      </c>
      <c r="K5" s="423" t="s">
        <v>16</v>
      </c>
      <c r="L5" s="420" t="s">
        <v>15</v>
      </c>
      <c r="M5" s="51" t="s">
        <v>17</v>
      </c>
      <c r="N5" s="51"/>
      <c r="O5" s="51"/>
      <c r="P5" s="51"/>
      <c r="Q5" s="51"/>
      <c r="R5" s="51"/>
      <c r="S5" s="420" t="s">
        <v>18</v>
      </c>
      <c r="T5" s="420" t="s">
        <v>19</v>
      </c>
      <c r="U5" s="420" t="s">
        <v>16</v>
      </c>
      <c r="V5" s="67" t="s">
        <v>20</v>
      </c>
      <c r="W5" s="425" t="s">
        <v>20</v>
      </c>
      <c r="X5" s="420" t="s">
        <v>21</v>
      </c>
      <c r="Y5" s="53" t="s">
        <v>22</v>
      </c>
      <c r="Z5" s="54"/>
      <c r="AA5" s="420" t="s">
        <v>23</v>
      </c>
      <c r="AB5" s="79" t="s">
        <v>24</v>
      </c>
      <c r="AC5" s="420" t="s">
        <v>14</v>
      </c>
      <c r="AD5" s="420" t="s">
        <v>15</v>
      </c>
      <c r="AE5" s="78" t="s">
        <v>16</v>
      </c>
      <c r="AF5" s="426" t="s">
        <v>25</v>
      </c>
      <c r="AG5" s="83" t="s">
        <v>26</v>
      </c>
      <c r="AH5" s="427" t="s">
        <v>27</v>
      </c>
      <c r="AI5" s="67" t="s">
        <v>86</v>
      </c>
      <c r="AJ5" s="67" t="s">
        <v>20</v>
      </c>
      <c r="AK5" s="67" t="s">
        <v>87</v>
      </c>
      <c r="AL5" s="68" t="s">
        <v>87</v>
      </c>
      <c r="AM5" s="61" t="s">
        <v>29</v>
      </c>
      <c r="AN5" s="428" t="s">
        <v>30</v>
      </c>
    </row>
    <row r="6" customFormat="false" ht="12.95" hidden="false" customHeight="true" outlineLevel="0" collapsed="false">
      <c r="A6" s="429" t="s">
        <v>104</v>
      </c>
      <c r="B6" s="421" t="s">
        <v>32</v>
      </c>
      <c r="C6" s="74" t="s">
        <v>9</v>
      </c>
      <c r="D6" s="78" t="s">
        <v>33</v>
      </c>
      <c r="E6" s="74" t="s">
        <v>34</v>
      </c>
      <c r="F6" s="422" t="s">
        <v>35</v>
      </c>
      <c r="G6" s="423" t="s">
        <v>36</v>
      </c>
      <c r="H6" s="424" t="s">
        <v>37</v>
      </c>
      <c r="I6" s="423" t="s">
        <v>38</v>
      </c>
      <c r="J6" s="423" t="s">
        <v>38</v>
      </c>
      <c r="K6" s="423" t="s">
        <v>38</v>
      </c>
      <c r="L6" s="420" t="s">
        <v>39</v>
      </c>
      <c r="M6" s="430" t="s">
        <v>40</v>
      </c>
      <c r="N6" s="78" t="s">
        <v>41</v>
      </c>
      <c r="O6" s="78" t="s">
        <v>42</v>
      </c>
      <c r="P6" s="78" t="s">
        <v>43</v>
      </c>
      <c r="Q6" s="78" t="s">
        <v>44</v>
      </c>
      <c r="R6" s="64" t="s">
        <v>45</v>
      </c>
      <c r="S6" s="420" t="s">
        <v>46</v>
      </c>
      <c r="T6" s="420" t="s">
        <v>47</v>
      </c>
      <c r="U6" s="420" t="s">
        <v>20</v>
      </c>
      <c r="V6" s="67" t="s">
        <v>57</v>
      </c>
      <c r="W6" s="425" t="s">
        <v>49</v>
      </c>
      <c r="X6" s="420" t="s">
        <v>50</v>
      </c>
      <c r="Y6" s="63" t="s">
        <v>51</v>
      </c>
      <c r="Z6" s="65" t="s">
        <v>52</v>
      </c>
      <c r="AA6" s="420" t="s">
        <v>53</v>
      </c>
      <c r="AB6" s="79" t="s">
        <v>54</v>
      </c>
      <c r="AC6" s="420" t="s">
        <v>55</v>
      </c>
      <c r="AD6" s="420" t="s">
        <v>55</v>
      </c>
      <c r="AE6" s="78" t="s">
        <v>55</v>
      </c>
      <c r="AF6" s="431"/>
      <c r="AG6" s="83" t="s">
        <v>56</v>
      </c>
      <c r="AH6" s="427" t="s">
        <v>56</v>
      </c>
      <c r="AI6" s="67" t="s">
        <v>57</v>
      </c>
      <c r="AJ6" s="67" t="s">
        <v>58</v>
      </c>
      <c r="AK6" s="67" t="s">
        <v>59</v>
      </c>
      <c r="AL6" s="68" t="s">
        <v>59</v>
      </c>
      <c r="AM6" s="61" t="s">
        <v>60</v>
      </c>
      <c r="AN6" s="428" t="s">
        <v>61</v>
      </c>
    </row>
    <row r="7" customFormat="false" ht="12.95" hidden="false" customHeight="true" outlineLevel="0" collapsed="false">
      <c r="A7" s="420"/>
      <c r="B7" s="421"/>
      <c r="C7" s="74"/>
      <c r="D7" s="78"/>
      <c r="E7" s="74" t="s">
        <v>62</v>
      </c>
      <c r="F7" s="422"/>
      <c r="G7" s="420"/>
      <c r="H7" s="432"/>
      <c r="I7" s="420"/>
      <c r="J7" s="420"/>
      <c r="K7" s="420"/>
      <c r="L7" s="420"/>
      <c r="M7" s="430"/>
      <c r="N7" s="78" t="s">
        <v>63</v>
      </c>
      <c r="O7" s="78" t="s">
        <v>64</v>
      </c>
      <c r="P7" s="78"/>
      <c r="Q7" s="78"/>
      <c r="R7" s="64" t="s">
        <v>42</v>
      </c>
      <c r="S7" s="420"/>
      <c r="T7" s="420"/>
      <c r="U7" s="420"/>
      <c r="V7" s="67"/>
      <c r="W7" s="425" t="s">
        <v>91</v>
      </c>
      <c r="X7" s="420"/>
      <c r="Y7" s="77"/>
      <c r="Z7" s="80"/>
      <c r="AA7" s="420"/>
      <c r="AB7" s="79"/>
      <c r="AC7" s="420"/>
      <c r="AD7" s="420"/>
      <c r="AE7" s="78"/>
      <c r="AF7" s="431"/>
      <c r="AG7" s="83"/>
      <c r="AH7" s="427"/>
      <c r="AI7" s="67" t="s">
        <v>62</v>
      </c>
      <c r="AJ7" s="67" t="s">
        <v>35</v>
      </c>
      <c r="AK7" s="67" t="s">
        <v>105</v>
      </c>
      <c r="AL7" s="68" t="s">
        <v>92</v>
      </c>
      <c r="AM7" s="61" t="s">
        <v>69</v>
      </c>
      <c r="AN7" s="428" t="s">
        <v>70</v>
      </c>
    </row>
    <row r="8" customFormat="false" ht="12.95" hidden="false" customHeight="true" outlineLevel="0" collapsed="false">
      <c r="A8" s="420"/>
      <c r="B8" s="421"/>
      <c r="C8" s="74"/>
      <c r="D8" s="78"/>
      <c r="E8" s="74"/>
      <c r="F8" s="422"/>
      <c r="G8" s="420"/>
      <c r="H8" s="432"/>
      <c r="I8" s="420"/>
      <c r="J8" s="420"/>
      <c r="K8" s="420"/>
      <c r="L8" s="420"/>
      <c r="M8" s="430"/>
      <c r="N8" s="433" t="n">
        <v>1.03</v>
      </c>
      <c r="O8" s="433" t="n">
        <v>1.05</v>
      </c>
      <c r="P8" s="434" t="n">
        <v>1.02</v>
      </c>
      <c r="Q8" s="433" t="n">
        <v>1.04</v>
      </c>
      <c r="R8" s="64" t="s">
        <v>52</v>
      </c>
      <c r="S8" s="420"/>
      <c r="T8" s="420"/>
      <c r="U8" s="420"/>
      <c r="V8" s="67"/>
      <c r="W8" s="67" t="s">
        <v>71</v>
      </c>
      <c r="X8" s="79"/>
      <c r="Y8" s="77" t="n">
        <v>1.7</v>
      </c>
      <c r="Z8" s="80" t="n">
        <v>1.3</v>
      </c>
      <c r="AA8" s="420"/>
      <c r="AB8" s="96" t="n">
        <v>30638</v>
      </c>
      <c r="AC8" s="420"/>
      <c r="AD8" s="420"/>
      <c r="AE8" s="78"/>
      <c r="AF8" s="431"/>
      <c r="AG8" s="83"/>
      <c r="AH8" s="427"/>
      <c r="AI8" s="67"/>
      <c r="AJ8" s="67"/>
      <c r="AK8" s="67"/>
      <c r="AL8" s="68" t="s">
        <v>66</v>
      </c>
      <c r="AM8" s="435"/>
    </row>
    <row r="9" customFormat="false" ht="12.95" hidden="false" customHeight="true" outlineLevel="0" collapsed="false">
      <c r="A9" s="17" t="s">
        <v>73</v>
      </c>
      <c r="B9" s="436"/>
      <c r="C9" s="94"/>
      <c r="D9" s="94"/>
      <c r="E9" s="94"/>
      <c r="F9" s="136"/>
      <c r="G9" s="96"/>
      <c r="H9" s="101"/>
      <c r="I9" s="96"/>
      <c r="J9" s="96"/>
      <c r="K9" s="96"/>
      <c r="L9" s="96"/>
      <c r="M9" s="97"/>
      <c r="N9" s="94"/>
      <c r="O9" s="94" t="n">
        <f aca="false">MAR!O47</f>
        <v>0</v>
      </c>
      <c r="P9" s="94"/>
      <c r="Q9" s="94"/>
      <c r="R9" s="95"/>
      <c r="S9" s="96"/>
      <c r="T9" s="96"/>
      <c r="U9" s="96" t="n">
        <f aca="false">MAR!U47</f>
        <v>0</v>
      </c>
      <c r="V9" s="101"/>
      <c r="W9" s="437"/>
      <c r="X9" s="96"/>
      <c r="Y9" s="97"/>
      <c r="Z9" s="95"/>
      <c r="AA9" s="96"/>
      <c r="AB9" s="96"/>
      <c r="AC9" s="96"/>
      <c r="AD9" s="96"/>
      <c r="AE9" s="94"/>
      <c r="AF9" s="98"/>
      <c r="AG9" s="99"/>
      <c r="AH9" s="100"/>
      <c r="AI9" s="101"/>
      <c r="AJ9" s="101"/>
      <c r="AK9" s="101"/>
      <c r="AL9" s="102"/>
      <c r="AM9" s="103"/>
    </row>
    <row r="10" s="1" customFormat="true" ht="12.95" hidden="false" customHeight="true" outlineLevel="0" collapsed="false">
      <c r="A10" s="104" t="s">
        <v>74</v>
      </c>
      <c r="B10" s="438" t="n">
        <f aca="false">MAR!B42</f>
        <v>6887.5</v>
      </c>
      <c r="C10" s="94" t="n">
        <f aca="false">MAR!C42</f>
        <v>239821</v>
      </c>
      <c r="D10" s="94" t="n">
        <f aca="false">MAR!D51</f>
        <v>32575</v>
      </c>
      <c r="E10" s="94" t="n">
        <f aca="false">MAR!E51</f>
        <v>87821</v>
      </c>
      <c r="F10" s="136" t="n">
        <f aca="false">MAR!F50</f>
        <v>16422.9896647341</v>
      </c>
      <c r="G10" s="96" t="n">
        <f aca="false">MAR!G50</f>
        <v>16458</v>
      </c>
      <c r="H10" s="101" t="n">
        <f aca="false">MAR!H50</f>
        <v>2389.54</v>
      </c>
      <c r="I10" s="96" t="n">
        <f aca="false">MAR!I50</f>
        <v>18847.54</v>
      </c>
      <c r="J10" s="96" t="n">
        <f aca="false">MAR!J50</f>
        <v>10461.5051046131</v>
      </c>
      <c r="K10" s="96" t="n">
        <f aca="false">MAR!K50</f>
        <v>29309.0451046131</v>
      </c>
      <c r="L10" s="96" t="n">
        <f aca="false">MAR!L50</f>
        <v>9916.24966473406</v>
      </c>
      <c r="M10" s="97" t="n">
        <f aca="false">MAR!M50</f>
        <v>796</v>
      </c>
      <c r="N10" s="94" t="n">
        <f aca="false">MAR!N50</f>
        <v>0</v>
      </c>
      <c r="O10" s="94" t="n">
        <f aca="false">MAR!O50</f>
        <v>0</v>
      </c>
      <c r="P10" s="94" t="n">
        <f aca="false">MAR!P50</f>
        <v>213.5064</v>
      </c>
      <c r="Q10" s="94" t="n">
        <f aca="false">MAR!Q50</f>
        <v>369.1672</v>
      </c>
      <c r="R10" s="95" t="n">
        <f aca="false">MAR!R50</f>
        <v>0.97</v>
      </c>
      <c r="S10" s="96" t="n">
        <f aca="false">MAR!S50</f>
        <v>7469</v>
      </c>
      <c r="T10" s="96" t="n">
        <f aca="false">MAR!T50</f>
        <v>33.8</v>
      </c>
      <c r="U10" s="96" t="n">
        <f aca="false">MAR!U50</f>
        <v>7715.1564</v>
      </c>
      <c r="V10" s="101"/>
      <c r="W10" s="437"/>
      <c r="X10" s="96" t="n">
        <f aca="false">MAR!X50</f>
        <v>0</v>
      </c>
      <c r="Y10" s="97"/>
      <c r="Z10" s="95"/>
      <c r="AA10" s="96" t="n">
        <f aca="false">MAR!AA50</f>
        <v>4042</v>
      </c>
      <c r="AB10" s="96" t="n">
        <f aca="false">AB8/D2</f>
        <v>15446.433072851</v>
      </c>
      <c r="AC10" s="96" t="n">
        <f aca="false">MAR!AC50</f>
        <v>12340.8</v>
      </c>
      <c r="AD10" s="96" t="n">
        <f aca="false">MAR!AD50</f>
        <v>545.255439879002</v>
      </c>
      <c r="AE10" s="94" t="n">
        <f aca="false">MAR!AE50</f>
        <v>12886.055439879</v>
      </c>
      <c r="AF10" s="98" t="n">
        <f aca="false">MAR!AF50</f>
        <v>11.29</v>
      </c>
      <c r="AG10" s="99"/>
      <c r="AH10" s="100"/>
      <c r="AI10" s="101" t="n">
        <f aca="false">MAR!AI51</f>
        <v>14814.1599532</v>
      </c>
      <c r="AJ10" s="101" t="n">
        <f aca="false">MAR!AJ50</f>
        <v>0</v>
      </c>
      <c r="AK10" s="101"/>
      <c r="AL10" s="102"/>
      <c r="AM10" s="96"/>
    </row>
    <row r="11" customFormat="false" ht="3" hidden="false" customHeight="true" outlineLevel="0" collapsed="false">
      <c r="A11" s="106"/>
      <c r="B11" s="439"/>
      <c r="C11" s="114"/>
      <c r="D11" s="112"/>
      <c r="E11" s="114"/>
      <c r="F11" s="440"/>
      <c r="G11" s="112"/>
      <c r="H11" s="441"/>
      <c r="I11" s="112"/>
      <c r="J11" s="112"/>
      <c r="K11" s="112"/>
      <c r="L11" s="112"/>
      <c r="M11" s="115"/>
      <c r="N11" s="112"/>
      <c r="O11" s="112"/>
      <c r="P11" s="112"/>
      <c r="Q11" s="112"/>
      <c r="R11" s="113"/>
      <c r="S11" s="112"/>
      <c r="T11" s="112"/>
      <c r="U11" s="112"/>
      <c r="V11" s="117"/>
      <c r="W11" s="442"/>
      <c r="X11" s="112"/>
      <c r="Y11" s="115"/>
      <c r="Z11" s="113"/>
      <c r="AA11" s="112"/>
      <c r="AB11" s="114"/>
      <c r="AC11" s="112"/>
      <c r="AD11" s="112"/>
      <c r="AE11" s="112"/>
      <c r="AF11" s="116"/>
      <c r="AG11" s="117"/>
      <c r="AH11" s="118"/>
      <c r="AI11" s="117"/>
      <c r="AJ11" s="117"/>
      <c r="AK11" s="117"/>
      <c r="AL11" s="119"/>
      <c r="AM11" s="119"/>
      <c r="AN11" s="119"/>
    </row>
    <row r="12" customFormat="false" ht="12.95" hidden="false" customHeight="true" outlineLevel="0" collapsed="false">
      <c r="A12" s="16" t="n">
        <v>1</v>
      </c>
      <c r="B12" s="438" t="n">
        <v>6887.7</v>
      </c>
      <c r="C12" s="94" t="n">
        <v>240480</v>
      </c>
      <c r="D12" s="99" t="n">
        <f aca="false">C12-C10</f>
        <v>659</v>
      </c>
      <c r="E12" s="94" t="n">
        <f aca="false">C12-152000</f>
        <v>88480</v>
      </c>
      <c r="F12" s="443" t="n">
        <f aca="false">D12/$D$2</f>
        <v>332.240988152256</v>
      </c>
      <c r="G12" s="127" t="n">
        <v>206</v>
      </c>
      <c r="H12" s="444" t="n">
        <v>44</v>
      </c>
      <c r="I12" s="127" t="n">
        <f aca="false">G12+H12</f>
        <v>250</v>
      </c>
      <c r="J12" s="445" t="n">
        <f aca="false">IF(L12&gt;0,L12,0)</f>
        <v>129.640988152256</v>
      </c>
      <c r="K12" s="127" t="n">
        <f aca="false">I12+J12</f>
        <v>379.640988152256</v>
      </c>
      <c r="L12" s="127" t="n">
        <f aca="false">F12-(I12-AC12)</f>
        <v>129.640988152256</v>
      </c>
      <c r="M12" s="128" t="n">
        <v>5.4</v>
      </c>
      <c r="N12" s="446" t="n">
        <v>0</v>
      </c>
      <c r="O12" s="446" t="n">
        <v>0</v>
      </c>
      <c r="P12" s="125" t="n">
        <f aca="false">1.43*1.02</f>
        <v>1.4586</v>
      </c>
      <c r="Q12" s="125" t="n">
        <f aca="false">2.37*1.04</f>
        <v>2.4648</v>
      </c>
      <c r="R12" s="132" t="n">
        <v>0</v>
      </c>
      <c r="S12" s="127" t="n">
        <v>0</v>
      </c>
      <c r="T12" s="127" t="n">
        <v>0</v>
      </c>
      <c r="U12" s="267" t="n">
        <f aca="false">M12-N12-O12-P12-Q12-R12+S12+T12</f>
        <v>1.4766</v>
      </c>
      <c r="V12" s="242" t="n">
        <f aca="false">V9+AK12-(AL12/1.9835)</f>
        <v>244.517618896926</v>
      </c>
      <c r="W12" s="437"/>
      <c r="X12" s="127" t="n">
        <v>0</v>
      </c>
      <c r="Y12" s="128" t="n">
        <v>1.7</v>
      </c>
      <c r="Z12" s="129" t="n">
        <v>1.3</v>
      </c>
      <c r="AA12" s="447" t="n">
        <v>42</v>
      </c>
      <c r="AB12" s="448" t="n">
        <f aca="false">AB10-AA12</f>
        <v>15404.433072851</v>
      </c>
      <c r="AC12" s="127" t="n">
        <f aca="false">N12+O12+P12+Q12+R12+U12+X12+AA12</f>
        <v>47.4</v>
      </c>
      <c r="AD12" s="127" t="n">
        <f aca="false">IF(L12&lt;0,L12*-1,0)</f>
        <v>0</v>
      </c>
      <c r="AE12" s="446" t="n">
        <f aca="false">AC12+AD12</f>
        <v>47.4</v>
      </c>
      <c r="AF12" s="98" t="n">
        <v>0</v>
      </c>
      <c r="AG12" s="99" t="n">
        <v>57</v>
      </c>
      <c r="AH12" s="100" t="n">
        <v>15</v>
      </c>
      <c r="AI12" s="244" t="n">
        <f aca="false">AI10</f>
        <v>14814.1599532</v>
      </c>
      <c r="AJ12" s="101"/>
      <c r="AK12" s="101" t="n">
        <f aca="false">I12-P12-Q12-U12</f>
        <v>244.6</v>
      </c>
      <c r="AL12" s="102" t="n">
        <f aca="false">29.8*(AK12*1.9835)/E12</f>
        <v>0.163402917947559</v>
      </c>
      <c r="AM12" s="103"/>
      <c r="AN12" s="9"/>
    </row>
    <row r="13" customFormat="false" ht="12.95" hidden="false" customHeight="true" outlineLevel="0" collapsed="false">
      <c r="A13" s="16" t="n">
        <f aca="false">A12+1</f>
        <v>2</v>
      </c>
      <c r="B13" s="438" t="n">
        <v>6888.05</v>
      </c>
      <c r="C13" s="94" t="n">
        <v>241636</v>
      </c>
      <c r="D13" s="99" t="n">
        <f aca="false">C13-C12</f>
        <v>1156</v>
      </c>
      <c r="E13" s="94" t="n">
        <f aca="false">C13-152000</f>
        <v>89636</v>
      </c>
      <c r="F13" s="443" t="n">
        <f aca="false">D13/$D$2</f>
        <v>582.808167380892</v>
      </c>
      <c r="G13" s="127" t="n">
        <v>261</v>
      </c>
      <c r="H13" s="444" t="n">
        <v>61</v>
      </c>
      <c r="I13" s="127" t="n">
        <f aca="false">G13+H13</f>
        <v>322</v>
      </c>
      <c r="J13" s="445" t="n">
        <f aca="false">IF(L13&gt;0,L13,0)</f>
        <v>312.308167380892</v>
      </c>
      <c r="K13" s="127" t="n">
        <f aca="false">I13+J13</f>
        <v>634.308167380892</v>
      </c>
      <c r="L13" s="127" t="n">
        <f aca="false">F13-(I13-AC13)</f>
        <v>312.308167380892</v>
      </c>
      <c r="M13" s="128" t="n">
        <v>5.5</v>
      </c>
      <c r="N13" s="446" t="n">
        <v>0</v>
      </c>
      <c r="O13" s="446" t="n">
        <v>0</v>
      </c>
      <c r="P13" s="125" t="n">
        <f aca="false">1.43*1.02</f>
        <v>1.4586</v>
      </c>
      <c r="Q13" s="125" t="n">
        <f aca="false">2.18*1.04</f>
        <v>2.2672</v>
      </c>
      <c r="R13" s="132" t="n">
        <v>0</v>
      </c>
      <c r="S13" s="127" t="n">
        <v>0</v>
      </c>
      <c r="T13" s="127" t="n">
        <v>0</v>
      </c>
      <c r="U13" s="267" t="n">
        <f aca="false">M13-N13-O13-P13-Q13-R13+S13+T13</f>
        <v>1.7742</v>
      </c>
      <c r="V13" s="242" t="n">
        <f aca="false">V12+AK13-(AL13/1.9835)</f>
        <v>560.831105386248</v>
      </c>
      <c r="W13" s="437"/>
      <c r="X13" s="127" t="n">
        <v>0</v>
      </c>
      <c r="Y13" s="128" t="n">
        <v>1.7</v>
      </c>
      <c r="Z13" s="129" t="n">
        <v>1.3</v>
      </c>
      <c r="AA13" s="447" t="n">
        <v>46</v>
      </c>
      <c r="AB13" s="448" t="n">
        <f aca="false">AB12-AA13</f>
        <v>15358.433072851</v>
      </c>
      <c r="AC13" s="127" t="n">
        <f aca="false">N13+O13+P13+Q13+R13+U13+X13+AA13</f>
        <v>51.5</v>
      </c>
      <c r="AD13" s="127" t="n">
        <f aca="false">IF(L13&lt;0,L13*-1,0)</f>
        <v>0</v>
      </c>
      <c r="AE13" s="446" t="n">
        <f aca="false">AC13+AD13</f>
        <v>51.5</v>
      </c>
      <c r="AF13" s="98" t="n">
        <v>0</v>
      </c>
      <c r="AG13" s="99" t="n">
        <v>64</v>
      </c>
      <c r="AH13" s="100" t="n">
        <v>19</v>
      </c>
      <c r="AI13" s="244" t="n">
        <f aca="false">AI12</f>
        <v>14814.1599532</v>
      </c>
      <c r="AJ13" s="101"/>
      <c r="AK13" s="101" t="n">
        <f aca="false">I13-P13-Q13-U13</f>
        <v>316.5</v>
      </c>
      <c r="AL13" s="102" t="n">
        <f aca="false">29.8*(V12*1.9835+AK13*1.9835)/E13</f>
        <v>0.369949548429706</v>
      </c>
      <c r="AM13" s="103"/>
      <c r="AN13" s="9"/>
    </row>
    <row r="14" customFormat="false" ht="12.95" hidden="false" customHeight="true" outlineLevel="0" collapsed="false">
      <c r="A14" s="16" t="n">
        <f aca="false">A13+1</f>
        <v>3</v>
      </c>
      <c r="B14" s="438" t="n">
        <v>6888.6</v>
      </c>
      <c r="C14" s="94" t="n">
        <v>243468</v>
      </c>
      <c r="D14" s="99" t="n">
        <f aca="false">C14-C13</f>
        <v>1832</v>
      </c>
      <c r="E14" s="94" t="n">
        <f aca="false">C14-152000</f>
        <v>91468</v>
      </c>
      <c r="F14" s="443" t="n">
        <f aca="false">D14/$D$2</f>
        <v>923.619863876985</v>
      </c>
      <c r="G14" s="127" t="n">
        <v>379</v>
      </c>
      <c r="H14" s="444" t="n">
        <v>114</v>
      </c>
      <c r="I14" s="127" t="n">
        <f aca="false">G14+H14</f>
        <v>493</v>
      </c>
      <c r="J14" s="445" t="n">
        <f aca="false">IF(L14&gt;0,L14,0)</f>
        <v>481.919863876985</v>
      </c>
      <c r="K14" s="127" t="n">
        <f aca="false">I14+J14</f>
        <v>974.919863876985</v>
      </c>
      <c r="L14" s="127" t="n">
        <f aca="false">F14-(I14-AC14)</f>
        <v>481.919863876985</v>
      </c>
      <c r="M14" s="128" t="n">
        <v>5.3</v>
      </c>
      <c r="N14" s="446" t="n">
        <v>0</v>
      </c>
      <c r="O14" s="446" t="n">
        <v>0</v>
      </c>
      <c r="P14" s="125" t="n">
        <f aca="false">1.43*1.02</f>
        <v>1.4586</v>
      </c>
      <c r="Q14" s="125" t="n">
        <f aca="false">2.34*1.04</f>
        <v>2.4336</v>
      </c>
      <c r="R14" s="132" t="n">
        <v>0</v>
      </c>
      <c r="S14" s="127" t="n">
        <v>0</v>
      </c>
      <c r="T14" s="127" t="n">
        <v>0</v>
      </c>
      <c r="U14" s="267" t="n">
        <f aca="false">M14-N14-O14-P14-Q14-R14+S14+T14</f>
        <v>1.4078</v>
      </c>
      <c r="V14" s="242" t="n">
        <f aca="false">V13+AK14-(AL14/1.9835)</f>
        <v>1048.18949709766</v>
      </c>
      <c r="W14" s="437"/>
      <c r="X14" s="127" t="n">
        <v>0</v>
      </c>
      <c r="Y14" s="128" t="n">
        <v>1.7</v>
      </c>
      <c r="Z14" s="129" t="n">
        <v>1.3</v>
      </c>
      <c r="AA14" s="447" t="n">
        <v>46</v>
      </c>
      <c r="AB14" s="448" t="n">
        <f aca="false">AB13-AA14</f>
        <v>15312.433072851</v>
      </c>
      <c r="AC14" s="127" t="n">
        <f aca="false">N14+O14+P14+Q14+R14+U14+X14+AA14</f>
        <v>51.3</v>
      </c>
      <c r="AD14" s="127" t="n">
        <f aca="false">IF(L14&lt;0,L14*-1,0)</f>
        <v>0</v>
      </c>
      <c r="AE14" s="446" t="n">
        <f aca="false">AC14+AD14</f>
        <v>51.3</v>
      </c>
      <c r="AF14" s="98" t="n">
        <v>0</v>
      </c>
      <c r="AG14" s="99" t="n">
        <v>68</v>
      </c>
      <c r="AH14" s="100" t="n">
        <v>34</v>
      </c>
      <c r="AI14" s="244" t="n">
        <f aca="false">AI12</f>
        <v>14814.1599532</v>
      </c>
      <c r="AJ14" s="101"/>
      <c r="AK14" s="101" t="n">
        <f aca="false">I14-P14-Q14-U14</f>
        <v>487.7</v>
      </c>
      <c r="AL14" s="102" t="n">
        <f aca="false">29.8*(V13*1.9835+AK14*1.9835)/E14</f>
        <v>0.677580040413062</v>
      </c>
      <c r="AM14" s="103"/>
      <c r="AN14" s="9"/>
    </row>
    <row r="15" customFormat="false" ht="12.95" hidden="false" customHeight="true" outlineLevel="0" collapsed="false">
      <c r="A15" s="16" t="n">
        <f aca="false">A14+1</f>
        <v>4</v>
      </c>
      <c r="B15" s="438" t="n">
        <v>6889.26</v>
      </c>
      <c r="C15" s="94" t="n">
        <v>245677</v>
      </c>
      <c r="D15" s="99" t="n">
        <f aca="false">C15-C14</f>
        <v>2209</v>
      </c>
      <c r="E15" s="94" t="n">
        <f aca="false">C15-152000</f>
        <v>93677</v>
      </c>
      <c r="F15" s="443" t="n">
        <f aca="false">D15/$D$2</f>
        <v>1113.68792538442</v>
      </c>
      <c r="G15" s="127" t="n">
        <v>535</v>
      </c>
      <c r="H15" s="444" t="n">
        <v>185</v>
      </c>
      <c r="I15" s="127" t="n">
        <f aca="false">G15+H15</f>
        <v>720</v>
      </c>
      <c r="J15" s="445" t="n">
        <f aca="false">IF(L15&gt;0,L15,0)</f>
        <v>465.687925384422</v>
      </c>
      <c r="K15" s="127" t="n">
        <f aca="false">I15+J15</f>
        <v>1185.68792538442</v>
      </c>
      <c r="L15" s="127" t="n">
        <f aca="false">F15-(I15-AC15)</f>
        <v>465.687925384422</v>
      </c>
      <c r="M15" s="128" t="n">
        <v>26</v>
      </c>
      <c r="N15" s="446" t="n">
        <v>0</v>
      </c>
      <c r="O15" s="446" t="n">
        <v>0</v>
      </c>
      <c r="P15" s="125" t="n">
        <f aca="false">1.43*1.02</f>
        <v>1.4586</v>
      </c>
      <c r="Q15" s="125" t="n">
        <f aca="false">2.5*1.04</f>
        <v>2.6</v>
      </c>
      <c r="R15" s="132" t="n">
        <v>0</v>
      </c>
      <c r="S15" s="127" t="n">
        <v>0</v>
      </c>
      <c r="T15" s="127" t="n">
        <v>0</v>
      </c>
      <c r="U15" s="267" t="n">
        <f aca="false">M15-N15-O15-P15-Q15-R15+S15+T15</f>
        <v>21.9414</v>
      </c>
      <c r="V15" s="242" t="n">
        <f aca="false">V14+AK15-(AL15/1.9835)</f>
        <v>1741.63528158037</v>
      </c>
      <c r="W15" s="437"/>
      <c r="X15" s="127" t="n">
        <v>0</v>
      </c>
      <c r="Y15" s="128" t="n">
        <v>1.7</v>
      </c>
      <c r="Z15" s="129" t="n">
        <v>1.3</v>
      </c>
      <c r="AA15" s="447" t="n">
        <v>46</v>
      </c>
      <c r="AB15" s="448" t="n">
        <f aca="false">AB14-AA15</f>
        <v>15266.433072851</v>
      </c>
      <c r="AC15" s="127" t="n">
        <f aca="false">N15+O15+P15+Q15+R15+U15+X15+AA15</f>
        <v>72</v>
      </c>
      <c r="AD15" s="127" t="n">
        <f aca="false">IF(L15&lt;0,L15*-1,0)</f>
        <v>0</v>
      </c>
      <c r="AE15" s="446" t="n">
        <f aca="false">AC15+AD15</f>
        <v>72</v>
      </c>
      <c r="AF15" s="98" t="n">
        <v>0.06</v>
      </c>
      <c r="AG15" s="99" t="n">
        <v>57</v>
      </c>
      <c r="AH15" s="100" t="n">
        <v>42</v>
      </c>
      <c r="AI15" s="244" t="n">
        <f aca="false">AI13</f>
        <v>14814.1599532</v>
      </c>
      <c r="AJ15" s="101"/>
      <c r="AK15" s="101" t="n">
        <f aca="false">I15-P15-Q15-U15</f>
        <v>694</v>
      </c>
      <c r="AL15" s="102" t="n">
        <f aca="false">29.8*(V14*1.9835+AK15*1.9835)/E15</f>
        <v>1.09928647855181</v>
      </c>
      <c r="AM15" s="103"/>
      <c r="AN15" s="9"/>
    </row>
    <row r="16" customFormat="false" ht="12.95" hidden="false" customHeight="true" outlineLevel="0" collapsed="false">
      <c r="A16" s="16" t="n">
        <f aca="false">A15+1</f>
        <v>5</v>
      </c>
      <c r="B16" s="438" t="n">
        <v>6889.91</v>
      </c>
      <c r="C16" s="94" t="n">
        <v>247865</v>
      </c>
      <c r="D16" s="99" t="n">
        <f aca="false">C16-C15</f>
        <v>2188</v>
      </c>
      <c r="E16" s="94" t="n">
        <f aca="false">C16-152000</f>
        <v>95865</v>
      </c>
      <c r="F16" s="443" t="n">
        <f aca="false">D16/$D$2</f>
        <v>1103.10057978321</v>
      </c>
      <c r="G16" s="127" t="n">
        <v>537</v>
      </c>
      <c r="H16" s="444" t="n">
        <v>163</v>
      </c>
      <c r="I16" s="127" t="n">
        <f aca="false">G16+H16</f>
        <v>700</v>
      </c>
      <c r="J16" s="445" t="n">
        <f aca="false">IF(L16&gt;0,L16,0)</f>
        <v>493.100579783212</v>
      </c>
      <c r="K16" s="127" t="n">
        <f aca="false">I16+J16</f>
        <v>1193.10057978321</v>
      </c>
      <c r="L16" s="127" t="n">
        <f aca="false">F16-(I16-AC16)</f>
        <v>493.100579783212</v>
      </c>
      <c r="M16" s="128" t="n">
        <v>44</v>
      </c>
      <c r="N16" s="446" t="n">
        <v>0</v>
      </c>
      <c r="O16" s="446" t="n">
        <f aca="false">(0.89+10)*1.05</f>
        <v>11.4345</v>
      </c>
      <c r="P16" s="125" t="n">
        <f aca="false">1.43*1.02</f>
        <v>1.4586</v>
      </c>
      <c r="Q16" s="125" t="n">
        <f aca="false">2.29*1.04</f>
        <v>2.3816</v>
      </c>
      <c r="R16" s="132" t="n">
        <v>0</v>
      </c>
      <c r="S16" s="127" t="n">
        <v>0</v>
      </c>
      <c r="T16" s="127" t="n">
        <v>0</v>
      </c>
      <c r="U16" s="267" t="n">
        <f aca="false">M16-N16-O16-P16-Q16-R16+S16+T16</f>
        <v>28.7253</v>
      </c>
      <c r="V16" s="242" t="n">
        <f aca="false">V15+AK16-(AL16/1.9835)</f>
        <v>2408.32091307266</v>
      </c>
      <c r="W16" s="437"/>
      <c r="X16" s="127" t="n">
        <v>0</v>
      </c>
      <c r="Y16" s="128" t="n">
        <v>1.7</v>
      </c>
      <c r="Z16" s="129" t="n">
        <v>1.3</v>
      </c>
      <c r="AA16" s="447" t="n">
        <v>46</v>
      </c>
      <c r="AB16" s="448" t="n">
        <f aca="false">AB15-AA16</f>
        <v>15220.433072851</v>
      </c>
      <c r="AC16" s="127" t="n">
        <f aca="false">N16+O16+P16+Q16+R16+U16+X16+AA16</f>
        <v>90</v>
      </c>
      <c r="AD16" s="127" t="n">
        <f aca="false">IF(L16&lt;0,L16*-1,0)</f>
        <v>0</v>
      </c>
      <c r="AE16" s="446" t="n">
        <f aca="false">AC16+AD16</f>
        <v>90</v>
      </c>
      <c r="AF16" s="98" t="n">
        <v>0</v>
      </c>
      <c r="AG16" s="99" t="n">
        <v>50</v>
      </c>
      <c r="AH16" s="100" t="n">
        <v>28</v>
      </c>
      <c r="AI16" s="244" t="n">
        <f aca="false">AI14</f>
        <v>14814.1599532</v>
      </c>
      <c r="AJ16" s="101"/>
      <c r="AK16" s="101" t="n">
        <f aca="false">I16-P16-Q16-U16</f>
        <v>667.4345</v>
      </c>
      <c r="AL16" s="102" t="n">
        <f aca="false">29.8*(V15*1.9835+AK16*1.9835)/E16</f>
        <v>1.48538068503194</v>
      </c>
      <c r="AM16" s="103"/>
      <c r="AN16" s="9"/>
    </row>
    <row r="17" customFormat="false" ht="12.95" hidden="false" customHeight="true" outlineLevel="0" collapsed="false">
      <c r="A17" s="16" t="n">
        <f aca="false">A16+1</f>
        <v>6</v>
      </c>
      <c r="B17" s="438" t="n">
        <v>6890.68</v>
      </c>
      <c r="C17" s="94" t="n">
        <v>250481</v>
      </c>
      <c r="D17" s="99" t="n">
        <f aca="false">C17-C16</f>
        <v>2616</v>
      </c>
      <c r="E17" s="94" t="n">
        <f aca="false">C17-152000</f>
        <v>98481</v>
      </c>
      <c r="F17" s="443" t="n">
        <f aca="false">D17/$D$2</f>
        <v>1318.88076632216</v>
      </c>
      <c r="G17" s="127" t="n">
        <v>581</v>
      </c>
      <c r="H17" s="444" t="n">
        <v>187</v>
      </c>
      <c r="I17" s="127" t="n">
        <f aca="false">G17+H17</f>
        <v>768</v>
      </c>
      <c r="J17" s="445" t="n">
        <f aca="false">IF(L17&gt;0,L17,0)</f>
        <v>642.880766322158</v>
      </c>
      <c r="K17" s="127" t="n">
        <f aca="false">I17+J17</f>
        <v>1410.88076632216</v>
      </c>
      <c r="L17" s="127" t="n">
        <f aca="false">F17-(I17-AC17)</f>
        <v>642.880766322158</v>
      </c>
      <c r="M17" s="128" t="n">
        <v>44</v>
      </c>
      <c r="N17" s="446" t="n">
        <v>0</v>
      </c>
      <c r="O17" s="446" t="n">
        <f aca="false">13*1.05</f>
        <v>13.65</v>
      </c>
      <c r="P17" s="125" t="n">
        <f aca="false">1.43*1.02</f>
        <v>1.4586</v>
      </c>
      <c r="Q17" s="125" t="n">
        <f aca="false">2.38*1.04</f>
        <v>2.4752</v>
      </c>
      <c r="R17" s="132" t="n">
        <v>0</v>
      </c>
      <c r="S17" s="127" t="n">
        <v>0</v>
      </c>
      <c r="T17" s="127" t="n">
        <v>0</v>
      </c>
      <c r="U17" s="267" t="n">
        <f aca="false">M17-N17-O17-P17-Q17-R17+S17+T17</f>
        <v>26.4162</v>
      </c>
      <c r="V17" s="242" t="n">
        <f aca="false">V16+AK17-(AL17/1.9835)</f>
        <v>3145.01895347427</v>
      </c>
      <c r="W17" s="437"/>
      <c r="X17" s="127" t="n">
        <v>0</v>
      </c>
      <c r="Y17" s="128" t="n">
        <v>1.7</v>
      </c>
      <c r="Z17" s="129" t="n">
        <v>1.3</v>
      </c>
      <c r="AA17" s="447" t="n">
        <v>48</v>
      </c>
      <c r="AB17" s="448" t="n">
        <f aca="false">AB16-AA17</f>
        <v>15172.433072851</v>
      </c>
      <c r="AC17" s="127" t="n">
        <f aca="false">N17+O17+P17+Q17+R17+U17+X17+AA17</f>
        <v>92</v>
      </c>
      <c r="AD17" s="127" t="n">
        <f aca="false">IF(L17&lt;0,L17*-1,0)</f>
        <v>0</v>
      </c>
      <c r="AE17" s="446" t="n">
        <f aca="false">AC17+AD17</f>
        <v>92</v>
      </c>
      <c r="AF17" s="98" t="n">
        <v>0</v>
      </c>
      <c r="AG17" s="99" t="n">
        <v>68</v>
      </c>
      <c r="AH17" s="100" t="n">
        <v>21</v>
      </c>
      <c r="AI17" s="244" t="n">
        <f aca="false">AI15</f>
        <v>14814.1599532</v>
      </c>
      <c r="AJ17" s="101"/>
      <c r="AK17" s="101" t="n">
        <f aca="false">I17-P17-Q17-U17</f>
        <v>737.65</v>
      </c>
      <c r="AL17" s="102" t="n">
        <f aca="false">29.8*(V16*1.9835+AK17*1.9835)/E17</f>
        <v>1.88821186341703</v>
      </c>
      <c r="AM17" s="103"/>
      <c r="AN17" s="9"/>
    </row>
    <row r="18" customFormat="false" ht="12.95" hidden="false" customHeight="true" outlineLevel="0" collapsed="false">
      <c r="A18" s="16" t="n">
        <f aca="false">A17+1</f>
        <v>7</v>
      </c>
      <c r="B18" s="438" t="n">
        <v>6891.91</v>
      </c>
      <c r="C18" s="94" t="n">
        <v>254694</v>
      </c>
      <c r="D18" s="99" t="n">
        <f aca="false">C18-C17</f>
        <v>4213</v>
      </c>
      <c r="E18" s="94" t="n">
        <f aca="false">C18-152000</f>
        <v>102694</v>
      </c>
      <c r="F18" s="443" t="n">
        <f aca="false">D18/$D$2</f>
        <v>2124.02319132846</v>
      </c>
      <c r="G18" s="127" t="n">
        <v>831</v>
      </c>
      <c r="H18" s="444" t="n">
        <v>272</v>
      </c>
      <c r="I18" s="127" t="n">
        <f aca="false">G18+H18</f>
        <v>1103</v>
      </c>
      <c r="J18" s="445" t="n">
        <f aca="false">IF(L18&gt;0,L18,0)</f>
        <v>1078.32319132846</v>
      </c>
      <c r="K18" s="127" t="n">
        <f aca="false">I18+J18</f>
        <v>2181.32319132846</v>
      </c>
      <c r="L18" s="127" t="n">
        <f aca="false">F18-(I18-AC18)</f>
        <v>1078.32319132846</v>
      </c>
      <c r="M18" s="128" t="n">
        <v>6.3</v>
      </c>
      <c r="N18" s="446" t="n">
        <v>0</v>
      </c>
      <c r="O18" s="446" t="n">
        <v>0</v>
      </c>
      <c r="P18" s="125" t="n">
        <f aca="false">1.43*1.02</f>
        <v>1.4586</v>
      </c>
      <c r="Q18" s="125" t="n">
        <f aca="false">2.33*1.04</f>
        <v>2.4232</v>
      </c>
      <c r="R18" s="132" t="n">
        <v>0</v>
      </c>
      <c r="S18" s="127" t="n">
        <v>0</v>
      </c>
      <c r="T18" s="127" t="n">
        <v>0</v>
      </c>
      <c r="U18" s="267" t="n">
        <f aca="false">M18-N18-O18-P18-Q18-R18+S18+T18</f>
        <v>2.4182</v>
      </c>
      <c r="V18" s="242" t="n">
        <f aca="false">V17+AK18-(AL18/1.9835)</f>
        <v>3936.45813070708</v>
      </c>
      <c r="W18" s="437"/>
      <c r="X18" s="127" t="n">
        <v>0</v>
      </c>
      <c r="Y18" s="128" t="n">
        <v>1.7</v>
      </c>
      <c r="Z18" s="129" t="n">
        <v>1.3</v>
      </c>
      <c r="AA18" s="447" t="n">
        <v>51</v>
      </c>
      <c r="AB18" s="448" t="n">
        <f aca="false">AB17-AA18</f>
        <v>15121.433072851</v>
      </c>
      <c r="AC18" s="127" t="n">
        <f aca="false">N18+O18+P18+Q18+R18+U18+X18+AA18</f>
        <v>57.3</v>
      </c>
      <c r="AD18" s="127" t="n">
        <f aca="false">IF(L18&lt;0,L18*-1,0)</f>
        <v>0</v>
      </c>
      <c r="AE18" s="446" t="n">
        <f aca="false">AC18+AD18</f>
        <v>57.3</v>
      </c>
      <c r="AF18" s="98" t="n">
        <v>0</v>
      </c>
      <c r="AG18" s="99" t="n">
        <v>69</v>
      </c>
      <c r="AH18" s="100" t="n">
        <v>35</v>
      </c>
      <c r="AI18" s="244" t="n">
        <f aca="false">AI16</f>
        <v>14814.1599532</v>
      </c>
      <c r="AJ18" s="101"/>
      <c r="AK18" s="101" t="n">
        <f aca="false">795-U18</f>
        <v>792.5818</v>
      </c>
      <c r="AL18" s="102" t="n">
        <f aca="false">29.8*(V17*1.9835+AK18*1.9835)/E18</f>
        <v>2.26639225871602</v>
      </c>
      <c r="AM18" s="103"/>
      <c r="AN18" s="9"/>
    </row>
    <row r="19" customFormat="false" ht="12.95" hidden="false" customHeight="true" outlineLevel="0" collapsed="false">
      <c r="A19" s="16" t="n">
        <f aca="false">A18+1</f>
        <v>8</v>
      </c>
      <c r="B19" s="438" t="n">
        <v>6893.54</v>
      </c>
      <c r="C19" s="94" t="n">
        <v>260358</v>
      </c>
      <c r="D19" s="99" t="n">
        <f aca="false">C19-C18</f>
        <v>5664</v>
      </c>
      <c r="E19" s="94" t="n">
        <f aca="false">C19-152000</f>
        <v>108358</v>
      </c>
      <c r="F19" s="443" t="n">
        <f aca="false">D19/$D$2</f>
        <v>2855.55835644063</v>
      </c>
      <c r="G19" s="127" t="n">
        <v>1120</v>
      </c>
      <c r="H19" s="444" t="n">
        <v>361</v>
      </c>
      <c r="I19" s="127" t="n">
        <f aca="false">G19+H19</f>
        <v>1481</v>
      </c>
      <c r="J19" s="445" t="n">
        <f aca="false">IF(L19&gt;0,L19,0)</f>
        <v>1431.85835644064</v>
      </c>
      <c r="K19" s="127" t="n">
        <f aca="false">I19+J19</f>
        <v>2912.85835644064</v>
      </c>
      <c r="L19" s="127" t="n">
        <f aca="false">F19-(I19-AC19)</f>
        <v>1431.85835644064</v>
      </c>
      <c r="M19" s="128" t="n">
        <v>6.3</v>
      </c>
      <c r="N19" s="446" t="n">
        <v>0</v>
      </c>
      <c r="O19" s="446" t="n">
        <v>0</v>
      </c>
      <c r="P19" s="125" t="n">
        <f aca="false">1.43*1.02</f>
        <v>1.4586</v>
      </c>
      <c r="Q19" s="125" t="n">
        <f aca="false">2.31*1.04</f>
        <v>2.4024</v>
      </c>
      <c r="R19" s="132" t="n">
        <v>0</v>
      </c>
      <c r="S19" s="127" t="n">
        <v>0</v>
      </c>
      <c r="T19" s="127" t="n">
        <v>0</v>
      </c>
      <c r="U19" s="267" t="n">
        <f aca="false">M19-N19-O19-P19-Q19-R19+S19+T19</f>
        <v>2.439</v>
      </c>
      <c r="V19" s="242" t="n">
        <f aca="false">V18+AK19-(AL19/1.9835)</f>
        <v>4727.71858280019</v>
      </c>
      <c r="W19" s="437"/>
      <c r="X19" s="127" t="n">
        <v>0</v>
      </c>
      <c r="Y19" s="128" t="n">
        <v>1.7</v>
      </c>
      <c r="Z19" s="129" t="n">
        <v>1.3</v>
      </c>
      <c r="AA19" s="447" t="n">
        <v>51</v>
      </c>
      <c r="AB19" s="448" t="n">
        <f aca="false">AB18-AA19</f>
        <v>15070.433072851</v>
      </c>
      <c r="AC19" s="127" t="n">
        <f aca="false">N19+O19+P19+Q19+R19+U19+X19+AA19</f>
        <v>57.3</v>
      </c>
      <c r="AD19" s="127" t="n">
        <f aca="false">IF(L19&lt;0,L19*-1,0)</f>
        <v>0</v>
      </c>
      <c r="AE19" s="446" t="n">
        <f aca="false">AC19+AD19</f>
        <v>57.3</v>
      </c>
      <c r="AF19" s="98" t="n">
        <v>0</v>
      </c>
      <c r="AG19" s="99" t="n">
        <v>58</v>
      </c>
      <c r="AH19" s="100" t="n">
        <v>31</v>
      </c>
      <c r="AI19" s="244" t="n">
        <f aca="false">AI17</f>
        <v>14814.1599532</v>
      </c>
      <c r="AJ19" s="101"/>
      <c r="AK19" s="101" t="n">
        <f aca="false">795-U19</f>
        <v>792.561</v>
      </c>
      <c r="AL19" s="102" t="n">
        <f aca="false">29.8*(V18*1.9835+AK19*1.9835)/E19</f>
        <v>2.57963677332152</v>
      </c>
      <c r="AM19" s="103"/>
      <c r="AN19" s="9"/>
    </row>
    <row r="20" customFormat="false" ht="12.95" hidden="false" customHeight="true" outlineLevel="0" collapsed="false">
      <c r="A20" s="16" t="n">
        <f aca="false">A19+1</f>
        <v>9</v>
      </c>
      <c r="B20" s="438" t="n">
        <v>6894.85</v>
      </c>
      <c r="C20" s="94" t="n">
        <v>264966</v>
      </c>
      <c r="D20" s="99" t="n">
        <f aca="false">C20-C19</f>
        <v>4608</v>
      </c>
      <c r="E20" s="94" t="n">
        <f aca="false">C20-152000</f>
        <v>112966</v>
      </c>
      <c r="F20" s="443" t="n">
        <f aca="false">D20/$D$2</f>
        <v>2323.16612049408</v>
      </c>
      <c r="G20" s="127" t="n">
        <v>1020</v>
      </c>
      <c r="H20" s="444" t="n">
        <v>313</v>
      </c>
      <c r="I20" s="127" t="n">
        <f aca="false">G20+H20</f>
        <v>1333</v>
      </c>
      <c r="J20" s="445" t="n">
        <f aca="false">IF(L20&gt;0,L20,0)</f>
        <v>1047.46612049408</v>
      </c>
      <c r="K20" s="127" t="n">
        <f aca="false">I20+J20</f>
        <v>2380.46612049408</v>
      </c>
      <c r="L20" s="127" t="n">
        <f aca="false">F20-(I20-AC20)</f>
        <v>1047.46612049408</v>
      </c>
      <c r="M20" s="128" t="n">
        <v>6.3</v>
      </c>
      <c r="N20" s="446" t="n">
        <v>0</v>
      </c>
      <c r="O20" s="446" t="n">
        <f aca="false">1.2*1.05</f>
        <v>1.26</v>
      </c>
      <c r="P20" s="125" t="n">
        <f aca="false">1.43*1.02</f>
        <v>1.4586</v>
      </c>
      <c r="Q20" s="125" t="n">
        <f aca="false">2.42*1.04</f>
        <v>2.5168</v>
      </c>
      <c r="R20" s="132" t="n">
        <v>0</v>
      </c>
      <c r="S20" s="127" t="n">
        <v>0</v>
      </c>
      <c r="T20" s="127" t="n">
        <v>0</v>
      </c>
      <c r="U20" s="267" t="n">
        <f aca="false">M20-N20-O20-P20-Q20-R20+S20+T20</f>
        <v>1.0646</v>
      </c>
      <c r="V20" s="242" t="n">
        <f aca="false">V19+AK20-(AL20/1.9835)</f>
        <v>5520.19739153656</v>
      </c>
      <c r="W20" s="437"/>
      <c r="X20" s="127" t="n">
        <v>0</v>
      </c>
      <c r="Y20" s="128" t="n">
        <v>1.7</v>
      </c>
      <c r="Z20" s="129" t="n">
        <v>1.3</v>
      </c>
      <c r="AA20" s="447" t="n">
        <v>51</v>
      </c>
      <c r="AB20" s="448" t="n">
        <f aca="false">AB19-AA20</f>
        <v>15019.433072851</v>
      </c>
      <c r="AC20" s="127" t="n">
        <f aca="false">N20+O20+P20+Q20+R20+U20+X20+AA20</f>
        <v>57.3</v>
      </c>
      <c r="AD20" s="127" t="n">
        <f aca="false">IF(L20&lt;0,L20*-1,0)</f>
        <v>0</v>
      </c>
      <c r="AE20" s="446" t="n">
        <f aca="false">AC20+AD20</f>
        <v>57.3</v>
      </c>
      <c r="AF20" s="98" t="n">
        <v>0</v>
      </c>
      <c r="AG20" s="133" t="n">
        <v>50</v>
      </c>
      <c r="AH20" s="100" t="n">
        <v>26</v>
      </c>
      <c r="AI20" s="244" t="n">
        <f aca="false">AI18</f>
        <v>14814.1599532</v>
      </c>
      <c r="AJ20" s="101"/>
      <c r="AK20" s="101" t="n">
        <f aca="false">795-U20</f>
        <v>793.9354</v>
      </c>
      <c r="AL20" s="102" t="n">
        <f aca="false">29.8*(V19*1.9835+AK20*1.9835)/E20</f>
        <v>2.88914877141395</v>
      </c>
      <c r="AM20" s="103"/>
      <c r="AN20" s="9"/>
    </row>
    <row r="21" customFormat="false" ht="12.95" hidden="false" customHeight="true" outlineLevel="0" collapsed="false">
      <c r="A21" s="16" t="n">
        <f aca="false">A20+1</f>
        <v>10</v>
      </c>
      <c r="B21" s="438" t="n">
        <v>6895.64</v>
      </c>
      <c r="C21" s="94" t="n">
        <v>267773</v>
      </c>
      <c r="D21" s="99" t="n">
        <f aca="false">C21-C20</f>
        <v>2807</v>
      </c>
      <c r="E21" s="94" t="n">
        <f aca="false">C21-152000</f>
        <v>115773</v>
      </c>
      <c r="F21" s="443" t="n">
        <f aca="false">D21/$D$2</f>
        <v>1415.17519536173</v>
      </c>
      <c r="G21" s="127" t="n">
        <v>761</v>
      </c>
      <c r="H21" s="444" t="n">
        <v>163</v>
      </c>
      <c r="I21" s="127" t="n">
        <f aca="false">G21+H21</f>
        <v>924</v>
      </c>
      <c r="J21" s="445" t="n">
        <f aca="false">IF(L21&gt;0,L21,0)</f>
        <v>549.575195361734</v>
      </c>
      <c r="K21" s="127" t="n">
        <f aca="false">I21+J21</f>
        <v>1473.57519536173</v>
      </c>
      <c r="L21" s="127" t="n">
        <f aca="false">F21-(I21-AC21)</f>
        <v>549.575195361734</v>
      </c>
      <c r="M21" s="128" t="n">
        <v>6.4</v>
      </c>
      <c r="N21" s="446" t="n">
        <v>0</v>
      </c>
      <c r="O21" s="446" t="n">
        <f aca="false">2.2*1.05</f>
        <v>2.31</v>
      </c>
      <c r="P21" s="125" t="n">
        <f aca="false">1.43*1.02</f>
        <v>1.4586</v>
      </c>
      <c r="Q21" s="125" t="n">
        <f aca="false">2.31*1.04</f>
        <v>2.4024</v>
      </c>
      <c r="R21" s="132" t="n">
        <v>0</v>
      </c>
      <c r="S21" s="127" t="n">
        <v>0</v>
      </c>
      <c r="T21" s="127" t="n">
        <v>0</v>
      </c>
      <c r="U21" s="267" t="n">
        <f aca="false">M21-N21-O21-P21-Q21-R21+S21+T21</f>
        <v>0.229</v>
      </c>
      <c r="V21" s="242" t="n">
        <f aca="false">V20+AK21-(AL21/1.9835)</f>
        <v>6313.3429170471</v>
      </c>
      <c r="W21" s="437"/>
      <c r="X21" s="127" t="n">
        <v>0</v>
      </c>
      <c r="Y21" s="128" t="n">
        <v>1.7</v>
      </c>
      <c r="Z21" s="129" t="n">
        <v>1.3</v>
      </c>
      <c r="AA21" s="447" t="n">
        <v>52</v>
      </c>
      <c r="AB21" s="448" t="n">
        <f aca="false">AB20-AA21</f>
        <v>14967.433072851</v>
      </c>
      <c r="AC21" s="127" t="n">
        <f aca="false">N21+O21+P21+Q21+R21+U21+X21+AA21</f>
        <v>58.4</v>
      </c>
      <c r="AD21" s="127" t="n">
        <f aca="false">IF(L21&lt;0,L21*-1,0)</f>
        <v>0</v>
      </c>
      <c r="AE21" s="446" t="n">
        <f aca="false">AC21+AD21</f>
        <v>58.4</v>
      </c>
      <c r="AF21" s="98" t="n">
        <v>0</v>
      </c>
      <c r="AG21" s="99" t="n">
        <v>48</v>
      </c>
      <c r="AH21" s="100" t="n">
        <v>24</v>
      </c>
      <c r="AI21" s="244" t="n">
        <f aca="false">AI19</f>
        <v>14814.1599532</v>
      </c>
      <c r="AJ21" s="101"/>
      <c r="AK21" s="101" t="n">
        <f aca="false">795-U21</f>
        <v>794.771</v>
      </c>
      <c r="AL21" s="102" t="n">
        <f aca="false">29.8*(V20*1.9835+AK21*1.9835)/E21</f>
        <v>3.22412864983597</v>
      </c>
      <c r="AM21" s="103"/>
      <c r="AN21" s="9"/>
    </row>
    <row r="22" customFormat="false" ht="12.95" hidden="false" customHeight="true" outlineLevel="0" collapsed="false">
      <c r="A22" s="16" t="n">
        <f aca="false">A21+1</f>
        <v>11</v>
      </c>
      <c r="B22" s="438" t="n">
        <v>6896.29</v>
      </c>
      <c r="C22" s="94" t="n">
        <v>270095</v>
      </c>
      <c r="D22" s="99" t="n">
        <f aca="false">C22-C21</f>
        <v>2322</v>
      </c>
      <c r="E22" s="94" t="n">
        <f aca="false">C22-152000</f>
        <v>118095</v>
      </c>
      <c r="F22" s="443" t="n">
        <f aca="false">D22/$D$2</f>
        <v>1170.65792790522</v>
      </c>
      <c r="G22" s="127" t="n">
        <v>653</v>
      </c>
      <c r="H22" s="444" t="n">
        <v>120</v>
      </c>
      <c r="I22" s="127" t="n">
        <f aca="false">G22+H22</f>
        <v>773</v>
      </c>
      <c r="J22" s="445" t="n">
        <f aca="false">IF(L22&gt;0,L22,0)</f>
        <v>491.657927905218</v>
      </c>
      <c r="K22" s="127" t="n">
        <f aca="false">I22+J22</f>
        <v>1264.65792790522</v>
      </c>
      <c r="L22" s="127" t="n">
        <f aca="false">F22-(I22-AC22)</f>
        <v>491.657927905218</v>
      </c>
      <c r="M22" s="128" t="n">
        <v>42</v>
      </c>
      <c r="N22" s="446" t="n">
        <v>0</v>
      </c>
      <c r="O22" s="446" t="n">
        <f aca="false">(6.4+11)*1.05</f>
        <v>18.27</v>
      </c>
      <c r="P22" s="125" t="n">
        <f aca="false">1.43*1.02</f>
        <v>1.4586</v>
      </c>
      <c r="Q22" s="125" t="n">
        <f aca="false">2.27*1.04</f>
        <v>2.3608</v>
      </c>
      <c r="R22" s="132" t="n">
        <v>0</v>
      </c>
      <c r="S22" s="127" t="n">
        <v>0</v>
      </c>
      <c r="T22" s="127" t="n">
        <v>0</v>
      </c>
      <c r="U22" s="267" t="n">
        <f aca="false">M22-N22-O22-P22-Q22-R22+S22+T22</f>
        <v>19.9106</v>
      </c>
      <c r="V22" s="242" t="n">
        <f aca="false">V21+AK22-(AL22/1.9835)</f>
        <v>7060.83074282357</v>
      </c>
      <c r="W22" s="437"/>
      <c r="X22" s="127" t="n">
        <v>0</v>
      </c>
      <c r="Y22" s="128" t="n">
        <v>1.7</v>
      </c>
      <c r="Z22" s="129" t="n">
        <v>1.3</v>
      </c>
      <c r="AA22" s="447" t="n">
        <v>52</v>
      </c>
      <c r="AB22" s="448" t="n">
        <f aca="false">AB21-AA22</f>
        <v>14915.433072851</v>
      </c>
      <c r="AC22" s="127" t="n">
        <f aca="false">N22+O22+P22+Q22+R22+U22+X22+AA22</f>
        <v>94</v>
      </c>
      <c r="AD22" s="127" t="n">
        <f aca="false">IF(L22&lt;0,L22*-1,0)</f>
        <v>0</v>
      </c>
      <c r="AE22" s="446" t="n">
        <f aca="false">AC22+AD22</f>
        <v>94</v>
      </c>
      <c r="AF22" s="98" t="n">
        <v>0</v>
      </c>
      <c r="AG22" s="99" t="n">
        <v>52</v>
      </c>
      <c r="AH22" s="100" t="n">
        <v>27</v>
      </c>
      <c r="AI22" s="244" t="n">
        <f aca="false">AI20</f>
        <v>14814.1599532</v>
      </c>
      <c r="AJ22" s="101"/>
      <c r="AK22" s="101" t="n">
        <f aca="false">I22-P22-Q22-U22</f>
        <v>749.27</v>
      </c>
      <c r="AL22" s="102" t="n">
        <f aca="false">29.8*(V21*1.9835+AK22*1.9835)/E22</f>
        <v>3.53494257237559</v>
      </c>
      <c r="AM22" s="103"/>
      <c r="AN22" s="9"/>
    </row>
    <row r="23" customFormat="false" ht="12.95" hidden="false" customHeight="true" outlineLevel="0" collapsed="false">
      <c r="A23" s="16" t="n">
        <f aca="false">A22+1</f>
        <v>12</v>
      </c>
      <c r="B23" s="438" t="n">
        <v>6897.05</v>
      </c>
      <c r="C23" s="94" t="n">
        <v>272824</v>
      </c>
      <c r="D23" s="99" t="n">
        <f aca="false">C23-C22</f>
        <v>2729</v>
      </c>
      <c r="E23" s="94" t="n">
        <f aca="false">C23-152000</f>
        <v>120824</v>
      </c>
      <c r="F23" s="443" t="n">
        <f aca="false">D23/$D$2</f>
        <v>1375.85076884295</v>
      </c>
      <c r="G23" s="127" t="n">
        <v>712</v>
      </c>
      <c r="H23" s="444" t="n">
        <v>150</v>
      </c>
      <c r="I23" s="127" t="n">
        <f aca="false">G23+H23</f>
        <v>862</v>
      </c>
      <c r="J23" s="445" t="n">
        <f aca="false">IF(L23&gt;0,L23,0)</f>
        <v>660.850768842954</v>
      </c>
      <c r="K23" s="127" t="n">
        <f aca="false">I23+J23</f>
        <v>1522.85076884295</v>
      </c>
      <c r="L23" s="127" t="n">
        <f aca="false">F23-(I23-AC23)</f>
        <v>660.850768842954</v>
      </c>
      <c r="M23" s="128" t="n">
        <v>95</v>
      </c>
      <c r="N23" s="446" t="n">
        <v>0</v>
      </c>
      <c r="O23" s="446" t="n">
        <f aca="false">(24+24)*1.05</f>
        <v>50.4</v>
      </c>
      <c r="P23" s="125" t="n">
        <f aca="false">1.43*1.02</f>
        <v>1.4586</v>
      </c>
      <c r="Q23" s="125" t="n">
        <f aca="false">2.43*1.04</f>
        <v>2.5272</v>
      </c>
      <c r="R23" s="132" t="n">
        <v>0</v>
      </c>
      <c r="S23" s="127" t="n">
        <v>0</v>
      </c>
      <c r="T23" s="127" t="n">
        <v>0</v>
      </c>
      <c r="U23" s="267" t="n">
        <f aca="false">M23-N23-O23-P23-Q23-R23+S23+T23</f>
        <v>40.6142</v>
      </c>
      <c r="V23" s="242" t="n">
        <f aca="false">V22+AK23-(AL23/1.9835)</f>
        <v>7813.28899984389</v>
      </c>
      <c r="W23" s="437"/>
      <c r="X23" s="127" t="n">
        <v>0</v>
      </c>
      <c r="Y23" s="128" t="n">
        <v>1.7</v>
      </c>
      <c r="Z23" s="129" t="n">
        <v>1.3</v>
      </c>
      <c r="AA23" s="447" t="n">
        <v>52</v>
      </c>
      <c r="AB23" s="448" t="n">
        <f aca="false">AB22-AA23</f>
        <v>14863.433072851</v>
      </c>
      <c r="AC23" s="127" t="n">
        <f aca="false">N23+O23+P23+Q23+R23+U23+X23+AA23</f>
        <v>147</v>
      </c>
      <c r="AD23" s="127" t="n">
        <f aca="false">IF(L23&lt;0,L23*-1,0)</f>
        <v>0</v>
      </c>
      <c r="AE23" s="446" t="n">
        <f aca="false">AC23+AD23</f>
        <v>147</v>
      </c>
      <c r="AF23" s="98" t="n">
        <v>0</v>
      </c>
      <c r="AG23" s="99" t="n">
        <v>62</v>
      </c>
      <c r="AH23" s="100" t="n">
        <v>28</v>
      </c>
      <c r="AI23" s="244" t="n">
        <f aca="false">AI21</f>
        <v>14814.1599532</v>
      </c>
      <c r="AJ23" s="101"/>
      <c r="AK23" s="101" t="n">
        <f aca="false">795-U23</f>
        <v>754.3858</v>
      </c>
      <c r="AL23" s="102" t="n">
        <f aca="false">29.8*(V22*1.9835+AK23*1.9835)/E23</f>
        <v>3.82328150018356</v>
      </c>
      <c r="AM23" s="103"/>
      <c r="AN23" s="9"/>
    </row>
    <row r="24" customFormat="false" ht="12.95" hidden="false" customHeight="true" outlineLevel="0" collapsed="false">
      <c r="A24" s="16" t="n">
        <f aca="false">A23+1</f>
        <v>13</v>
      </c>
      <c r="B24" s="438" t="n">
        <v>6898.13</v>
      </c>
      <c r="C24" s="94" t="n">
        <v>276735</v>
      </c>
      <c r="D24" s="99" t="n">
        <f aca="false">C24-C23</f>
        <v>3911</v>
      </c>
      <c r="E24" s="94" t="n">
        <f aca="false">C24-152000</f>
        <v>124735</v>
      </c>
      <c r="F24" s="443" t="n">
        <f aca="false">D24/$D$2</f>
        <v>1971.76707839677</v>
      </c>
      <c r="G24" s="127" t="n">
        <v>948</v>
      </c>
      <c r="H24" s="444" t="n">
        <v>236</v>
      </c>
      <c r="I24" s="127" t="n">
        <f aca="false">G24+H24</f>
        <v>1184</v>
      </c>
      <c r="J24" s="445" t="n">
        <f aca="false">IF(L24&gt;0,L24,0)</f>
        <v>942.767078396773</v>
      </c>
      <c r="K24" s="127" t="n">
        <f aca="false">I24+J24</f>
        <v>2126.76707839677</v>
      </c>
      <c r="L24" s="127" t="n">
        <f aca="false">F24-(I24-AC24)</f>
        <v>942.767078396773</v>
      </c>
      <c r="M24" s="128" t="n">
        <v>100</v>
      </c>
      <c r="N24" s="446" t="n">
        <v>0</v>
      </c>
      <c r="O24" s="446" t="n">
        <f aca="false">(32+32)*1.05</f>
        <v>67.2</v>
      </c>
      <c r="P24" s="125" t="n">
        <f aca="false">1.43*1.02</f>
        <v>1.4586</v>
      </c>
      <c r="Q24" s="125" t="n">
        <f aca="false">2.3*1.04</f>
        <v>2.392</v>
      </c>
      <c r="R24" s="132" t="n">
        <v>0</v>
      </c>
      <c r="S24" s="127" t="n">
        <v>0</v>
      </c>
      <c r="T24" s="127" t="n">
        <v>0</v>
      </c>
      <c r="U24" s="267" t="n">
        <f aca="false">M24-N24-O24-P24-Q24-R24+S24+T24</f>
        <v>28.9494</v>
      </c>
      <c r="V24" s="242" t="n">
        <f aca="false">V23+AK24-(AL24/1.9835)</f>
        <v>8577.28994000443</v>
      </c>
      <c r="W24" s="437"/>
      <c r="X24" s="127" t="n">
        <v>0</v>
      </c>
      <c r="Y24" s="128" t="n">
        <v>1.7</v>
      </c>
      <c r="Z24" s="129" t="n">
        <v>1.3</v>
      </c>
      <c r="AA24" s="447" t="n">
        <v>55</v>
      </c>
      <c r="AB24" s="448" t="n">
        <f aca="false">AB23-AA24</f>
        <v>14808.433072851</v>
      </c>
      <c r="AC24" s="127" t="n">
        <f aca="false">N24+O24+P24+Q24+R24+U24+X24+AA24</f>
        <v>155</v>
      </c>
      <c r="AD24" s="127" t="n">
        <f aca="false">IF(L24&lt;0,L24*-1,0)</f>
        <v>0</v>
      </c>
      <c r="AE24" s="446" t="n">
        <f aca="false">AC24+AD24</f>
        <v>155</v>
      </c>
      <c r="AF24" s="98" t="n">
        <v>0</v>
      </c>
      <c r="AG24" s="99" t="n">
        <v>69</v>
      </c>
      <c r="AH24" s="100" t="n">
        <v>34</v>
      </c>
      <c r="AI24" s="244" t="n">
        <f aca="false">AI22</f>
        <v>14814.1599532</v>
      </c>
      <c r="AJ24" s="101"/>
      <c r="AK24" s="101" t="n">
        <f aca="false">795-U24</f>
        <v>766.0506</v>
      </c>
      <c r="AL24" s="102" t="n">
        <f aca="false">29.8*(V23*1.9835+AK24*1.9835)/E24</f>
        <v>4.06550029157376</v>
      </c>
      <c r="AM24" s="103"/>
      <c r="AN24" s="9"/>
    </row>
    <row r="25" customFormat="false" ht="12.95" hidden="false" customHeight="true" outlineLevel="0" collapsed="false">
      <c r="A25" s="16" t="n">
        <f aca="false">A24+1</f>
        <v>14</v>
      </c>
      <c r="B25" s="438" t="n">
        <v>6899.68</v>
      </c>
      <c r="C25" s="94" t="n">
        <v>282404</v>
      </c>
      <c r="D25" s="99" t="n">
        <f aca="false">C25-C24</f>
        <v>5669</v>
      </c>
      <c r="E25" s="94" t="n">
        <f aca="false">C25-152000</f>
        <v>130404</v>
      </c>
      <c r="F25" s="443" t="n">
        <f aca="false">D25/$D$2</f>
        <v>2858.07915301235</v>
      </c>
      <c r="G25" s="127" t="n">
        <v>1310</v>
      </c>
      <c r="H25" s="444" t="n">
        <v>370</v>
      </c>
      <c r="I25" s="127" t="n">
        <f aca="false">G25+H25</f>
        <v>1680</v>
      </c>
      <c r="J25" s="445" t="n">
        <f aca="false">IF(L25&gt;0,L25,0)</f>
        <v>1335.07915301235</v>
      </c>
      <c r="K25" s="127" t="n">
        <f aca="false">I25+J25</f>
        <v>3015.07915301235</v>
      </c>
      <c r="L25" s="127" t="n">
        <f aca="false">F25-(I25-AC25)</f>
        <v>1335.07915301235</v>
      </c>
      <c r="M25" s="128" t="n">
        <v>105</v>
      </c>
      <c r="N25" s="446" t="n">
        <v>0</v>
      </c>
      <c r="O25" s="446" t="n">
        <f aca="false">(37+37)*1.05</f>
        <v>77.7</v>
      </c>
      <c r="P25" s="125" t="n">
        <f aca="false">1.43*1.02</f>
        <v>1.4586</v>
      </c>
      <c r="Q25" s="125" t="n">
        <f aca="false">2.64*1.04</f>
        <v>2.7456</v>
      </c>
      <c r="R25" s="132" t="n">
        <v>0</v>
      </c>
      <c r="S25" s="127" t="n">
        <v>0</v>
      </c>
      <c r="T25" s="127" t="n">
        <v>0</v>
      </c>
      <c r="U25" s="267" t="n">
        <f aca="false">M25-N25-O25-P25-Q25-R25+S25+T25</f>
        <v>23.0958</v>
      </c>
      <c r="V25" s="242" t="n">
        <f aca="false">V24+AK25-(AL25/1.9835)</f>
        <v>9347.05765657315</v>
      </c>
      <c r="W25" s="437"/>
      <c r="X25" s="127" t="n">
        <v>0</v>
      </c>
      <c r="Y25" s="128" t="n">
        <v>1.7</v>
      </c>
      <c r="Z25" s="129" t="n">
        <v>1.3</v>
      </c>
      <c r="AA25" s="447" t="n">
        <v>52</v>
      </c>
      <c r="AB25" s="448" t="n">
        <f aca="false">AB24-AA25</f>
        <v>14756.433072851</v>
      </c>
      <c r="AC25" s="127" t="n">
        <f aca="false">N25+O25+P25+Q25+R25+U25+X25+AA25</f>
        <v>157</v>
      </c>
      <c r="AD25" s="127" t="n">
        <f aca="false">IF(L25&lt;0,L25*-1,0)</f>
        <v>0</v>
      </c>
      <c r="AE25" s="446" t="n">
        <f aca="false">AC25+AD25</f>
        <v>157</v>
      </c>
      <c r="AF25" s="98" t="n">
        <v>0</v>
      </c>
      <c r="AG25" s="133" t="n">
        <v>67</v>
      </c>
      <c r="AH25" s="100" t="n">
        <v>35</v>
      </c>
      <c r="AI25" s="244" t="n">
        <f aca="false">AI23</f>
        <v>14814.1599532</v>
      </c>
      <c r="AJ25" s="101"/>
      <c r="AK25" s="101" t="n">
        <f aca="false">795-U25</f>
        <v>771.9042</v>
      </c>
      <c r="AL25" s="102" t="n">
        <f aca="false">29.8*(V24*1.9835+AK25*1.9835)/E25</f>
        <v>4.2377148859362</v>
      </c>
      <c r="AM25" s="103"/>
      <c r="AN25" s="9"/>
    </row>
    <row r="26" customFormat="false" ht="12.95" hidden="false" customHeight="true" outlineLevel="0" collapsed="false">
      <c r="A26" s="16" t="n">
        <f aca="false">A25+1</f>
        <v>15</v>
      </c>
      <c r="B26" s="438" t="n">
        <v>6901.33</v>
      </c>
      <c r="C26" s="94" t="n">
        <v>288514</v>
      </c>
      <c r="D26" s="99" t="n">
        <f aca="false">C26-C25</f>
        <v>6110</v>
      </c>
      <c r="E26" s="94" t="n">
        <f aca="false">C26-152000</f>
        <v>136514</v>
      </c>
      <c r="F26" s="443" t="n">
        <f aca="false">D26/$D$2</f>
        <v>3080.41341063776</v>
      </c>
      <c r="G26" s="127" t="n">
        <v>1590</v>
      </c>
      <c r="H26" s="444" t="n">
        <v>424</v>
      </c>
      <c r="I26" s="127" t="n">
        <f aca="false">G26+H26</f>
        <v>2014</v>
      </c>
      <c r="J26" s="445" t="n">
        <f aca="false">IF(L26&gt;0,L26,0)</f>
        <v>1219.41341063776</v>
      </c>
      <c r="K26" s="127" t="n">
        <f aca="false">I26+J26</f>
        <v>3233.41341063776</v>
      </c>
      <c r="L26" s="127" t="n">
        <f aca="false">F26-(I26-AC26)</f>
        <v>1219.41341063776</v>
      </c>
      <c r="M26" s="128" t="n">
        <v>101</v>
      </c>
      <c r="N26" s="446" t="n">
        <v>0</v>
      </c>
      <c r="O26" s="446" t="n">
        <f aca="false">(36+35)*1.05</f>
        <v>74.55</v>
      </c>
      <c r="P26" s="125" t="n">
        <f aca="false">1.43*1.02</f>
        <v>1.4586</v>
      </c>
      <c r="Q26" s="125" t="n">
        <v>4.2</v>
      </c>
      <c r="R26" s="132" t="n">
        <v>1.11</v>
      </c>
      <c r="S26" s="127" t="n">
        <v>0</v>
      </c>
      <c r="T26" s="127" t="n">
        <v>0</v>
      </c>
      <c r="U26" s="267" t="n">
        <f aca="false">M26-N26-O26-P26-Q26-R26+S26+T26</f>
        <v>19.6814</v>
      </c>
      <c r="V26" s="242" t="n">
        <f aca="false">V25+AK26-(AL26/1.9835)</f>
        <v>10120.1666164451</v>
      </c>
      <c r="W26" s="437"/>
      <c r="X26" s="127" t="n">
        <v>0</v>
      </c>
      <c r="Y26" s="128" t="n">
        <v>1.7</v>
      </c>
      <c r="Z26" s="129" t="n">
        <v>1.3</v>
      </c>
      <c r="AA26" s="447" t="n">
        <v>52</v>
      </c>
      <c r="AB26" s="448" t="n">
        <f aca="false">AB25-AA26</f>
        <v>14704.433072851</v>
      </c>
      <c r="AC26" s="127" t="n">
        <f aca="false">N26+O26+P26+Q26+R26+U26+X26+AA26</f>
        <v>153</v>
      </c>
      <c r="AD26" s="127" t="n">
        <f aca="false">IF(L26&lt;0,L26*-1,0)</f>
        <v>0</v>
      </c>
      <c r="AE26" s="446" t="n">
        <f aca="false">AC26+AD26</f>
        <v>153</v>
      </c>
      <c r="AF26" s="98" t="n">
        <v>0</v>
      </c>
      <c r="AG26" s="133" t="n">
        <v>70</v>
      </c>
      <c r="AH26" s="100" t="n">
        <v>38</v>
      </c>
      <c r="AI26" s="244" t="n">
        <f aca="false">AI24</f>
        <v>14814.1599532</v>
      </c>
      <c r="AJ26" s="101"/>
      <c r="AK26" s="101" t="n">
        <f aca="false">795-U26</f>
        <v>775.3186</v>
      </c>
      <c r="AL26" s="102" t="n">
        <f aca="false">29.8*(V25*1.9835+AK26*1.9835)/E26</f>
        <v>4.38282119406364</v>
      </c>
      <c r="AM26" s="103"/>
      <c r="AN26" s="9"/>
    </row>
    <row r="27" customFormat="false" ht="12.95" hidden="false" customHeight="true" outlineLevel="0" collapsed="false">
      <c r="A27" s="16" t="n">
        <f aca="false">A26+1</f>
        <v>16</v>
      </c>
      <c r="B27" s="438" t="n">
        <v>6902.99</v>
      </c>
      <c r="C27" s="94" t="n">
        <v>294740</v>
      </c>
      <c r="D27" s="99" t="n">
        <f aca="false">C27-C26</f>
        <v>6226</v>
      </c>
      <c r="E27" s="94" t="n">
        <f aca="false">C27-152000</f>
        <v>142740</v>
      </c>
      <c r="F27" s="443" t="n">
        <f aca="false">D27/$D$2</f>
        <v>3138.89589110159</v>
      </c>
      <c r="G27" s="127" t="n">
        <v>1710</v>
      </c>
      <c r="H27" s="444" t="n">
        <v>399</v>
      </c>
      <c r="I27" s="127" t="n">
        <f aca="false">G27+H27</f>
        <v>2109</v>
      </c>
      <c r="J27" s="445" t="n">
        <f aca="false">IF(L27&gt;0,L27,0)</f>
        <v>1199.89589110159</v>
      </c>
      <c r="K27" s="127" t="n">
        <f aca="false">I27+J27</f>
        <v>3308.89589110159</v>
      </c>
      <c r="L27" s="127" t="n">
        <f aca="false">F27-(I27-AC27)</f>
        <v>1199.89589110159</v>
      </c>
      <c r="M27" s="128" t="n">
        <v>118</v>
      </c>
      <c r="N27" s="446" t="n">
        <v>0</v>
      </c>
      <c r="O27" s="446" t="n">
        <f aca="false">(36+37)*1.05</f>
        <v>76.65</v>
      </c>
      <c r="P27" s="125" t="n">
        <f aca="false">1.43*1.02</f>
        <v>1.4586</v>
      </c>
      <c r="Q27" s="125" t="n">
        <v>4.2</v>
      </c>
      <c r="R27" s="132" t="n">
        <v>0.07</v>
      </c>
      <c r="S27" s="127" t="n">
        <v>0</v>
      </c>
      <c r="T27" s="127" t="n">
        <v>0</v>
      </c>
      <c r="U27" s="267" t="n">
        <f aca="false">M27-N27-O27-P27-Q27-R27+S27+T27</f>
        <v>35.6214</v>
      </c>
      <c r="V27" s="242" t="n">
        <f aca="false">V26+AK27-(AL27/1.9835)</f>
        <v>10877.2738808177</v>
      </c>
      <c r="W27" s="437"/>
      <c r="X27" s="127" t="n">
        <v>0</v>
      </c>
      <c r="Y27" s="128" t="n">
        <v>1.7</v>
      </c>
      <c r="Z27" s="129" t="n">
        <v>1.3</v>
      </c>
      <c r="AA27" s="447" t="n">
        <v>52</v>
      </c>
      <c r="AB27" s="448" t="n">
        <f aca="false">AB26-AA27</f>
        <v>14652.433072851</v>
      </c>
      <c r="AC27" s="127" t="n">
        <f aca="false">N27+O27+P27+Q27+R27+U27+X27+AA27</f>
        <v>170</v>
      </c>
      <c r="AD27" s="127" t="n">
        <f aca="false">IF(L27&lt;0,L27*-1,0)</f>
        <v>0</v>
      </c>
      <c r="AE27" s="446" t="n">
        <f aca="false">AC27+AD27</f>
        <v>170</v>
      </c>
      <c r="AF27" s="98" t="n">
        <v>0</v>
      </c>
      <c r="AG27" s="133" t="n">
        <v>71</v>
      </c>
      <c r="AH27" s="100" t="n">
        <v>36</v>
      </c>
      <c r="AI27" s="244" t="n">
        <f aca="false">AI25</f>
        <v>14814.1599532</v>
      </c>
      <c r="AJ27" s="101"/>
      <c r="AK27" s="101" t="n">
        <f aca="false">795-U27</f>
        <v>759.3786</v>
      </c>
      <c r="AL27" s="102" t="n">
        <f aca="false">29.8*(V26*1.9835+AK27*1.9835)/E27</f>
        <v>4.50519421687824</v>
      </c>
      <c r="AM27" s="103"/>
      <c r="AN27" s="9"/>
    </row>
    <row r="28" customFormat="false" ht="12.95" hidden="false" customHeight="true" outlineLevel="0" collapsed="false">
      <c r="A28" s="16" t="n">
        <f aca="false">A27+1</f>
        <v>17</v>
      </c>
      <c r="B28" s="438" t="n">
        <v>6904.74</v>
      </c>
      <c r="C28" s="94" t="n">
        <v>301401</v>
      </c>
      <c r="D28" s="99" t="n">
        <f aca="false">C28-C27</f>
        <v>6661</v>
      </c>
      <c r="E28" s="94" t="n">
        <f aca="false">C28-152000</f>
        <v>149401</v>
      </c>
      <c r="F28" s="443" t="n">
        <f aca="false">D28/$D$2</f>
        <v>3358.20519284094</v>
      </c>
      <c r="G28" s="127" t="n">
        <v>2020</v>
      </c>
      <c r="H28" s="444" t="n">
        <v>423</v>
      </c>
      <c r="I28" s="127" t="n">
        <f aca="false">G28+H28</f>
        <v>2443</v>
      </c>
      <c r="J28" s="445" t="n">
        <f aca="false">IF(L28&gt;0,L28,0)</f>
        <v>1102.20519284094</v>
      </c>
      <c r="K28" s="127" t="n">
        <f aca="false">I28+J28</f>
        <v>3545.20519284094</v>
      </c>
      <c r="L28" s="127" t="n">
        <f aca="false">F28-(I28-AC28)</f>
        <v>1102.20519284094</v>
      </c>
      <c r="M28" s="128" t="n">
        <v>135</v>
      </c>
      <c r="N28" s="446" t="n">
        <v>0</v>
      </c>
      <c r="O28" s="446" t="n">
        <f aca="false">(40+42)*1.05</f>
        <v>86.1</v>
      </c>
      <c r="P28" s="125" t="n">
        <f aca="false">1.43*1.02</f>
        <v>1.4586</v>
      </c>
      <c r="Q28" s="125" t="n">
        <f aca="false">3.94*1.04</f>
        <v>4.0976</v>
      </c>
      <c r="R28" s="132" t="n">
        <v>0</v>
      </c>
      <c r="S28" s="127" t="n">
        <v>0</v>
      </c>
      <c r="T28" s="127" t="n">
        <v>0</v>
      </c>
      <c r="U28" s="267" t="n">
        <f aca="false">M28-N28-O28-P28-Q28-R28+S28+T28</f>
        <v>43.3438</v>
      </c>
      <c r="V28" s="242" t="n">
        <f aca="false">V27+AK28-(AL28/1.9835)</f>
        <v>11626.6105373313</v>
      </c>
      <c r="W28" s="437"/>
      <c r="X28" s="127" t="n">
        <v>0</v>
      </c>
      <c r="Y28" s="128" t="n">
        <v>1.7</v>
      </c>
      <c r="Z28" s="129" t="n">
        <v>1.3</v>
      </c>
      <c r="AA28" s="447" t="n">
        <v>52</v>
      </c>
      <c r="AB28" s="448" t="n">
        <f aca="false">AB27-AA28</f>
        <v>14600.433072851</v>
      </c>
      <c r="AC28" s="127" t="n">
        <f aca="false">N28+O28+P28+Q28+R28+U28+X28+AA28</f>
        <v>187</v>
      </c>
      <c r="AD28" s="127" t="n">
        <f aca="false">IF(L28&lt;0,L28*-1,0)</f>
        <v>0</v>
      </c>
      <c r="AE28" s="446" t="n">
        <f aca="false">AC28+AD28</f>
        <v>187</v>
      </c>
      <c r="AF28" s="98" t="n">
        <v>0</v>
      </c>
      <c r="AG28" s="133" t="n">
        <v>67</v>
      </c>
      <c r="AH28" s="100" t="n">
        <v>38</v>
      </c>
      <c r="AI28" s="244" t="n">
        <f aca="false">AI26</f>
        <v>14814.1599532</v>
      </c>
      <c r="AJ28" s="101"/>
      <c r="AK28" s="101" t="n">
        <f aca="false">795-U28</f>
        <v>751.6562</v>
      </c>
      <c r="AL28" s="102" t="n">
        <f aca="false">29.8*(V27*1.9835+AK28*1.9835)/E28</f>
        <v>4.60081450523087</v>
      </c>
      <c r="AM28" s="103"/>
      <c r="AN28" s="9"/>
    </row>
    <row r="29" customFormat="false" ht="12.95" hidden="false" customHeight="true" outlineLevel="0" collapsed="false">
      <c r="A29" s="16" t="n">
        <f aca="false">A28+1</f>
        <v>18</v>
      </c>
      <c r="B29" s="438" t="n">
        <v>6906.45</v>
      </c>
      <c r="C29" s="94" t="n">
        <v>308000</v>
      </c>
      <c r="D29" s="99" t="n">
        <f aca="false">C29-C28</f>
        <v>6599</v>
      </c>
      <c r="E29" s="94" t="n">
        <f aca="false">C29-152000</f>
        <v>156000</v>
      </c>
      <c r="F29" s="443" t="n">
        <f aca="false">D29/$D$2</f>
        <v>3326.94731535165</v>
      </c>
      <c r="G29" s="127" t="n">
        <v>2250</v>
      </c>
      <c r="H29" s="444" t="n">
        <v>444</v>
      </c>
      <c r="I29" s="127" t="n">
        <f aca="false">G29+H29</f>
        <v>2694</v>
      </c>
      <c r="J29" s="445" t="n">
        <f aca="false">IF(L29&gt;0,L29,0)</f>
        <v>1009.34731535165</v>
      </c>
      <c r="K29" s="127" t="n">
        <f aca="false">I29+J29</f>
        <v>3703.34731535165</v>
      </c>
      <c r="L29" s="127" t="n">
        <f aca="false">F29-(I29-AC29)</f>
        <v>1009.34731535165</v>
      </c>
      <c r="M29" s="128" t="n">
        <v>155</v>
      </c>
      <c r="N29" s="446" t="n">
        <v>0</v>
      </c>
      <c r="O29" s="446" t="n">
        <f aca="false">(40+43)*1.05</f>
        <v>87.15</v>
      </c>
      <c r="P29" s="125" t="n">
        <f aca="false">1.43*1.02</f>
        <v>1.4586</v>
      </c>
      <c r="Q29" s="125" t="n">
        <f aca="false">3.96*1.04</f>
        <v>4.1184</v>
      </c>
      <c r="R29" s="132" t="n">
        <v>0</v>
      </c>
      <c r="S29" s="127" t="n">
        <v>0</v>
      </c>
      <c r="T29" s="127" t="n">
        <v>9.4</v>
      </c>
      <c r="U29" s="267" t="n">
        <f aca="false">M29-N29-O29-P29-Q29-R29+S29+T29</f>
        <v>71.673</v>
      </c>
      <c r="V29" s="242" t="n">
        <f aca="false">V28+AK29-(AL29/1.9835)</f>
        <v>11412.4300540364</v>
      </c>
      <c r="W29" s="437"/>
      <c r="X29" s="127" t="n">
        <v>0</v>
      </c>
      <c r="Y29" s="128" t="n">
        <v>1.7</v>
      </c>
      <c r="Z29" s="129" t="n">
        <v>1.3</v>
      </c>
      <c r="AA29" s="449" t="n">
        <v>212</v>
      </c>
      <c r="AB29" s="448" t="n">
        <f aca="false">AB28</f>
        <v>14600.433072851</v>
      </c>
      <c r="AC29" s="127" t="n">
        <f aca="false">N29+O29+P29+Q29+R29+U29+X29+AA29</f>
        <v>376.4</v>
      </c>
      <c r="AD29" s="127" t="n">
        <f aca="false">IF(L29&lt;0,L29*-1,0)</f>
        <v>0</v>
      </c>
      <c r="AE29" s="446" t="n">
        <f aca="false">AC29+AD29</f>
        <v>376.4</v>
      </c>
      <c r="AF29" s="98" t="n">
        <v>0</v>
      </c>
      <c r="AG29" s="133" t="n">
        <v>67</v>
      </c>
      <c r="AH29" s="100" t="n">
        <v>37</v>
      </c>
      <c r="AI29" s="244" t="n">
        <f aca="false">AI27</f>
        <v>14814.1599532</v>
      </c>
      <c r="AJ29" s="101"/>
      <c r="AK29" s="101" t="n">
        <f aca="false">-AA29</f>
        <v>-212</v>
      </c>
      <c r="AL29" s="102" t="n">
        <f aca="false">29.8*(V28*1.9835+AK29*1.9835)/E29</f>
        <v>4.3249886155368</v>
      </c>
      <c r="AM29" s="103"/>
      <c r="AN29" s="9"/>
    </row>
    <row r="30" customFormat="false" ht="12.95" hidden="false" customHeight="true" outlineLevel="0" collapsed="false">
      <c r="A30" s="16" t="n">
        <f aca="false">A29+1</f>
        <v>19</v>
      </c>
      <c r="B30" s="438" t="n">
        <v>6907.91</v>
      </c>
      <c r="C30" s="94" t="n">
        <v>313742</v>
      </c>
      <c r="D30" s="99" t="n">
        <f aca="false">C30-C29</f>
        <v>5742</v>
      </c>
      <c r="E30" s="94" t="n">
        <f aca="false">C30-152000</f>
        <v>161742</v>
      </c>
      <c r="F30" s="443" t="n">
        <f aca="false">D30/$D$2</f>
        <v>2894.88278295941</v>
      </c>
      <c r="G30" s="127" t="n">
        <v>2120</v>
      </c>
      <c r="H30" s="444" t="n">
        <v>373</v>
      </c>
      <c r="I30" s="127" t="n">
        <f aca="false">G30+H30</f>
        <v>2493</v>
      </c>
      <c r="J30" s="445" t="n">
        <f aca="false">IF(L30&gt;0,L30,0)</f>
        <v>1044.88278295942</v>
      </c>
      <c r="K30" s="127" t="n">
        <f aca="false">I30+J30</f>
        <v>3537.88278295942</v>
      </c>
      <c r="L30" s="127" t="n">
        <f aca="false">F30-(I30-AC30)</f>
        <v>1044.88278295942</v>
      </c>
      <c r="M30" s="128" t="n">
        <v>171</v>
      </c>
      <c r="N30" s="446" t="n">
        <v>0</v>
      </c>
      <c r="O30" s="446" t="n">
        <f aca="false">(42+45)*1.05</f>
        <v>91.35</v>
      </c>
      <c r="P30" s="125" t="n">
        <f aca="false">1.43*1.02</f>
        <v>1.4586</v>
      </c>
      <c r="Q30" s="125" t="n">
        <f aca="false">4*1.04</f>
        <v>4.16</v>
      </c>
      <c r="R30" s="132" t="n">
        <v>0</v>
      </c>
      <c r="S30" s="127" t="n">
        <v>0</v>
      </c>
      <c r="T30" s="127" t="n">
        <v>16</v>
      </c>
      <c r="U30" s="267" t="n">
        <f aca="false">M30-N30-O30-P30-Q30-R30+S30+T30</f>
        <v>90.0314</v>
      </c>
      <c r="V30" s="242" t="n">
        <f aca="false">V29+AK30-(AL30/1.9835)</f>
        <v>10954.4113970666</v>
      </c>
      <c r="W30" s="437"/>
      <c r="X30" s="127" t="n">
        <v>0</v>
      </c>
      <c r="Y30" s="128" t="n">
        <v>1.7</v>
      </c>
      <c r="Z30" s="129" t="n">
        <v>1.3</v>
      </c>
      <c r="AA30" s="449" t="n">
        <v>456</v>
      </c>
      <c r="AB30" s="448" t="n">
        <f aca="false">AB29</f>
        <v>14600.433072851</v>
      </c>
      <c r="AC30" s="127" t="n">
        <f aca="false">N30+O30+P30+Q30+R30+U30+X30+AA30</f>
        <v>643</v>
      </c>
      <c r="AD30" s="127" t="n">
        <f aca="false">IF(L30&lt;0,L30*-1,0)</f>
        <v>0</v>
      </c>
      <c r="AE30" s="446" t="n">
        <f aca="false">AC30+AD30</f>
        <v>643</v>
      </c>
      <c r="AF30" s="98" t="n">
        <v>0</v>
      </c>
      <c r="AG30" s="133" t="n">
        <v>67</v>
      </c>
      <c r="AH30" s="100" t="n">
        <v>38</v>
      </c>
      <c r="AI30" s="244" t="n">
        <f aca="false">AI28</f>
        <v>14814.1599532</v>
      </c>
      <c r="AJ30" s="101"/>
      <c r="AK30" s="101" t="n">
        <f aca="false">-AA30</f>
        <v>-456</v>
      </c>
      <c r="AL30" s="102" t="n">
        <f aca="false">29.8*(V29*1.9835+AK30*1.9835)/E30</f>
        <v>4.00400609960924</v>
      </c>
      <c r="AM30" s="103"/>
      <c r="AN30" s="9"/>
    </row>
    <row r="31" customFormat="false" ht="12.95" hidden="false" customHeight="true" outlineLevel="0" collapsed="false">
      <c r="A31" s="16" t="n">
        <f aca="false">A30+1</f>
        <v>20</v>
      </c>
      <c r="B31" s="438" t="n">
        <v>6909.13</v>
      </c>
      <c r="C31" s="94" t="n">
        <v>318523</v>
      </c>
      <c r="D31" s="99" t="n">
        <f aca="false">C31-C30</f>
        <v>4781</v>
      </c>
      <c r="E31" s="94" t="n">
        <f aca="false">C31-152000</f>
        <v>166523</v>
      </c>
      <c r="F31" s="443" t="n">
        <f aca="false">D31/$D$2</f>
        <v>2410.38568187547</v>
      </c>
      <c r="G31" s="127" t="n">
        <v>2010</v>
      </c>
      <c r="H31" s="444" t="n">
        <v>348</v>
      </c>
      <c r="I31" s="127" t="n">
        <f aca="false">G31+H31</f>
        <v>2358</v>
      </c>
      <c r="J31" s="445" t="n">
        <f aca="false">IF(L31&gt;0,L31,0)</f>
        <v>712.385681875473</v>
      </c>
      <c r="K31" s="127" t="n">
        <f aca="false">I31+J31</f>
        <v>3070.38568187547</v>
      </c>
      <c r="L31" s="127" t="n">
        <f aca="false">F31-(I31-AC31)</f>
        <v>712.385681875473</v>
      </c>
      <c r="M31" s="128" t="n">
        <v>165</v>
      </c>
      <c r="N31" s="446" t="n">
        <v>0</v>
      </c>
      <c r="O31" s="446" t="n">
        <f aca="false">(46+49)*1.05</f>
        <v>99.75</v>
      </c>
      <c r="P31" s="125" t="n">
        <f aca="false">1.43*1.02</f>
        <v>1.4586</v>
      </c>
      <c r="Q31" s="125" t="n">
        <f aca="false">3.81*1.04</f>
        <v>3.9624</v>
      </c>
      <c r="R31" s="132" t="n">
        <v>0</v>
      </c>
      <c r="S31" s="127" t="n">
        <v>0</v>
      </c>
      <c r="T31" s="127" t="n">
        <v>18</v>
      </c>
      <c r="U31" s="267" t="n">
        <f aca="false">M31-N31-O31-P31-Q31-R31+S31+T31</f>
        <v>77.829</v>
      </c>
      <c r="V31" s="242" t="n">
        <f aca="false">V30+AK31-(AL31/1.9835)</f>
        <v>10494.5330195474</v>
      </c>
      <c r="W31" s="437"/>
      <c r="X31" s="127" t="n">
        <v>19</v>
      </c>
      <c r="Y31" s="128" t="n">
        <v>1.7</v>
      </c>
      <c r="Z31" s="129" t="n">
        <v>1.3</v>
      </c>
      <c r="AA31" s="449" t="n">
        <v>458</v>
      </c>
      <c r="AB31" s="448" t="n">
        <f aca="false">AB30</f>
        <v>14600.433072851</v>
      </c>
      <c r="AC31" s="127" t="n">
        <f aca="false">N31+O31+P31+Q31+R31+U31+X31+AA31</f>
        <v>660</v>
      </c>
      <c r="AD31" s="127" t="n">
        <f aca="false">IF(L31&lt;0,L31*-1,0)</f>
        <v>0</v>
      </c>
      <c r="AE31" s="446" t="n">
        <f aca="false">AC31+AD31</f>
        <v>660</v>
      </c>
      <c r="AF31" s="98" t="n">
        <v>0</v>
      </c>
      <c r="AG31" s="133" t="n">
        <v>53</v>
      </c>
      <c r="AH31" s="100" t="n">
        <v>32</v>
      </c>
      <c r="AI31" s="244" t="n">
        <f aca="false">AI29</f>
        <v>14814.1599532</v>
      </c>
      <c r="AJ31" s="101"/>
      <c r="AK31" s="101" t="n">
        <f aca="false">-AA31</f>
        <v>-458</v>
      </c>
      <c r="AL31" s="102" t="n">
        <f aca="false">29.8*(V30*1.9835+AK31*1.9835)/E31</f>
        <v>3.72576180936705</v>
      </c>
      <c r="AM31" s="103"/>
      <c r="AN31" s="9"/>
    </row>
    <row r="32" customFormat="false" ht="12.95" hidden="false" customHeight="true" outlineLevel="0" collapsed="false">
      <c r="A32" s="16" t="n">
        <f aca="false">A31+1</f>
        <v>21</v>
      </c>
      <c r="B32" s="438" t="n">
        <v>6909.98</v>
      </c>
      <c r="C32" s="94" t="n">
        <v>321907</v>
      </c>
      <c r="D32" s="99" t="n">
        <f aca="false">C32-C31</f>
        <v>3384</v>
      </c>
      <c r="E32" s="94" t="n">
        <f aca="false">C32-152000</f>
        <v>169907</v>
      </c>
      <c r="F32" s="443" t="n">
        <f aca="false">D32/$D$2</f>
        <v>1706.07511973784</v>
      </c>
      <c r="G32" s="127" t="n">
        <v>1640</v>
      </c>
      <c r="H32" s="444" t="n">
        <v>228</v>
      </c>
      <c r="I32" s="127" t="n">
        <f aca="false">G32+H32</f>
        <v>1868</v>
      </c>
      <c r="J32" s="445" t="n">
        <f aca="false">IF(L32&gt;0,L32,0)</f>
        <v>512.075119737837</v>
      </c>
      <c r="K32" s="127" t="n">
        <f aca="false">I32+J32</f>
        <v>2380.07511973784</v>
      </c>
      <c r="L32" s="127" t="n">
        <f aca="false">F32-(I32-AC32)</f>
        <v>512.075119737837</v>
      </c>
      <c r="M32" s="128" t="n">
        <v>182</v>
      </c>
      <c r="N32" s="446" t="n">
        <v>0</v>
      </c>
      <c r="O32" s="446" t="n">
        <f aca="false">(46+47)*1.05</f>
        <v>97.65</v>
      </c>
      <c r="P32" s="125" t="n">
        <f aca="false">1.43*1.02</f>
        <v>1.4586</v>
      </c>
      <c r="Q32" s="125" t="n">
        <v>4.2</v>
      </c>
      <c r="R32" s="132" t="n">
        <v>0.28</v>
      </c>
      <c r="S32" s="127" t="n">
        <v>0</v>
      </c>
      <c r="T32" s="127" t="n">
        <v>21</v>
      </c>
      <c r="U32" s="267" t="n">
        <f aca="false">M32-N32-O32-P32-Q32-R32+S32+T32</f>
        <v>99.4114</v>
      </c>
      <c r="V32" s="242" t="n">
        <f aca="false">V31+AK32-(AL32/1.9835)</f>
        <v>10032.7730621355</v>
      </c>
      <c r="W32" s="437"/>
      <c r="X32" s="127" t="n">
        <v>11</v>
      </c>
      <c r="Y32" s="128" t="n">
        <v>1.7</v>
      </c>
      <c r="Z32" s="129" t="n">
        <v>1.3</v>
      </c>
      <c r="AA32" s="449" t="n">
        <v>460</v>
      </c>
      <c r="AB32" s="448" t="n">
        <f aca="false">AB31</f>
        <v>14600.433072851</v>
      </c>
      <c r="AC32" s="127" t="n">
        <f aca="false">N32+O32+P32+Q32+R32+U32+X32+AA32</f>
        <v>674</v>
      </c>
      <c r="AD32" s="127" t="n">
        <f aca="false">IF(L32&lt;0,L32*-1,0)</f>
        <v>0</v>
      </c>
      <c r="AE32" s="446" t="n">
        <f aca="false">AC32+AD32</f>
        <v>674</v>
      </c>
      <c r="AF32" s="98" t="n">
        <v>0</v>
      </c>
      <c r="AG32" s="99" t="n">
        <v>57</v>
      </c>
      <c r="AH32" s="100" t="n">
        <v>30</v>
      </c>
      <c r="AI32" s="244" t="n">
        <f aca="false">AI30</f>
        <v>14814.1599532</v>
      </c>
      <c r="AJ32" s="101"/>
      <c r="AK32" s="101" t="n">
        <f aca="false">-AA32</f>
        <v>-460</v>
      </c>
      <c r="AL32" s="102" t="n">
        <f aca="false">29.8*(V31*1.9835+AK32*1.9835)/E32</f>
        <v>3.49087552648985</v>
      </c>
      <c r="AM32" s="103"/>
      <c r="AN32" s="9"/>
    </row>
    <row r="33" customFormat="false" ht="12.95" hidden="false" customHeight="true" outlineLevel="0" collapsed="false">
      <c r="A33" s="16" t="n">
        <f aca="false">A32+1</f>
        <v>22</v>
      </c>
      <c r="B33" s="438" t="n">
        <v>6910.75</v>
      </c>
      <c r="C33" s="94" t="n">
        <v>324996</v>
      </c>
      <c r="D33" s="99" t="n">
        <f aca="false">C33-C32</f>
        <v>3089</v>
      </c>
      <c r="E33" s="94" t="n">
        <f aca="false">C33-152000</f>
        <v>172996</v>
      </c>
      <c r="F33" s="443" t="n">
        <f aca="false">D33/$D$2</f>
        <v>1557.34812200655</v>
      </c>
      <c r="G33" s="127" t="n">
        <v>1650</v>
      </c>
      <c r="H33" s="444" t="n">
        <v>217</v>
      </c>
      <c r="I33" s="127" t="n">
        <f aca="false">G33+H33</f>
        <v>1867</v>
      </c>
      <c r="J33" s="445" t="n">
        <f aca="false">IF(L33&gt;0,L33,0)</f>
        <v>505.298122006554</v>
      </c>
      <c r="K33" s="127" t="n">
        <f aca="false">I33+J33</f>
        <v>2372.29812200655</v>
      </c>
      <c r="L33" s="127" t="n">
        <f aca="false">F33-(I33-AC33)</f>
        <v>505.298122006554</v>
      </c>
      <c r="M33" s="128" t="n">
        <v>183</v>
      </c>
      <c r="N33" s="446" t="n">
        <v>0</v>
      </c>
      <c r="O33" s="446" t="n">
        <f aca="false">(44+45)*1.05</f>
        <v>93.45</v>
      </c>
      <c r="P33" s="125" t="n">
        <f aca="false">1.43*1.02</f>
        <v>1.4586</v>
      </c>
      <c r="Q33" s="125" t="n">
        <v>4.2</v>
      </c>
      <c r="R33" s="132" t="n">
        <v>0.24</v>
      </c>
      <c r="S33" s="127" t="n">
        <v>19.95</v>
      </c>
      <c r="T33" s="127" t="n">
        <v>21</v>
      </c>
      <c r="U33" s="267" t="n">
        <f aca="false">M33-N33-O33-P33-Q33-R33+S33+T33</f>
        <v>124.6014</v>
      </c>
      <c r="V33" s="242" t="n">
        <f aca="false">V32+AK33-(AL33/1.9835)</f>
        <v>9452.14457108797</v>
      </c>
      <c r="W33" s="437"/>
      <c r="X33" s="127" t="n">
        <v>12</v>
      </c>
      <c r="Y33" s="128" t="n">
        <v>1.7</v>
      </c>
      <c r="Z33" s="129" t="n">
        <v>1.3</v>
      </c>
      <c r="AA33" s="449" t="n">
        <v>579</v>
      </c>
      <c r="AB33" s="448" t="n">
        <f aca="false">AB32</f>
        <v>14600.433072851</v>
      </c>
      <c r="AC33" s="127" t="n">
        <f aca="false">N33+O33+P33+Q33+R33+U33+X33+AA33</f>
        <v>814.95</v>
      </c>
      <c r="AD33" s="127" t="n">
        <f aca="false">IF(L33&lt;0,L33*-1,0)</f>
        <v>0</v>
      </c>
      <c r="AE33" s="446" t="n">
        <f aca="false">AC33+AD33</f>
        <v>814.95</v>
      </c>
      <c r="AF33" s="98" t="n">
        <v>0</v>
      </c>
      <c r="AG33" s="99" t="n">
        <v>63</v>
      </c>
      <c r="AH33" s="100" t="n">
        <v>31</v>
      </c>
      <c r="AI33" s="244" t="n">
        <f aca="false">AI31</f>
        <v>14814.1599532</v>
      </c>
      <c r="AJ33" s="101"/>
      <c r="AK33" s="101" t="n">
        <f aca="false">-AA33</f>
        <v>-579</v>
      </c>
      <c r="AL33" s="102" t="n">
        <f aca="false">29.8*(V32*1.9835+AK33*1.9835)/E33</f>
        <v>3.23011199269706</v>
      </c>
      <c r="AM33" s="103"/>
      <c r="AN33" s="9"/>
    </row>
    <row r="34" customFormat="false" ht="12.95" hidden="false" customHeight="true" outlineLevel="0" collapsed="false">
      <c r="A34" s="16" t="n">
        <f aca="false">A33+1</f>
        <v>23</v>
      </c>
      <c r="B34" s="438" t="n">
        <v>6911.46</v>
      </c>
      <c r="C34" s="94" t="n">
        <v>327860</v>
      </c>
      <c r="D34" s="99" t="n">
        <f aca="false">C34-C33</f>
        <v>2864</v>
      </c>
      <c r="E34" s="94" t="n">
        <f aca="false">C34-152000</f>
        <v>175860</v>
      </c>
      <c r="F34" s="443" t="n">
        <f aca="false">D34/$D$2</f>
        <v>1443.9122762793</v>
      </c>
      <c r="G34" s="127" t="n">
        <v>1700</v>
      </c>
      <c r="H34" s="444" t="n">
        <v>218</v>
      </c>
      <c r="I34" s="127" t="n">
        <f aca="false">G34+H34</f>
        <v>1918</v>
      </c>
      <c r="J34" s="445" t="n">
        <f aca="false">IF(L34&gt;0,L34,0)</f>
        <v>478.912276279304</v>
      </c>
      <c r="K34" s="127" t="n">
        <f aca="false">I34+J34</f>
        <v>2396.9122762793</v>
      </c>
      <c r="L34" s="127" t="n">
        <f aca="false">F34-(I34-AC34)</f>
        <v>478.912276279304</v>
      </c>
      <c r="M34" s="128" t="n">
        <v>178</v>
      </c>
      <c r="N34" s="446" t="n">
        <v>0</v>
      </c>
      <c r="O34" s="446" t="n">
        <f aca="false">(43+42)*1.05</f>
        <v>89.25</v>
      </c>
      <c r="P34" s="125" t="n">
        <f aca="false">1.43*1.02</f>
        <v>1.4586</v>
      </c>
      <c r="Q34" s="125" t="n">
        <f aca="false">4.02*1.04</f>
        <v>4.1808</v>
      </c>
      <c r="R34" s="132" t="n">
        <v>0</v>
      </c>
      <c r="S34" s="127" t="n">
        <v>52</v>
      </c>
      <c r="T34" s="127" t="n">
        <v>22</v>
      </c>
      <c r="U34" s="267" t="n">
        <f aca="false">M34-N34-O34-P34-Q34-R34+S34+T34</f>
        <v>157.1106</v>
      </c>
      <c r="V34" s="242" t="n">
        <f aca="false">V33+AK34-(AL34/1.9835)</f>
        <v>8778.65674947863</v>
      </c>
      <c r="W34" s="437"/>
      <c r="X34" s="127" t="n">
        <v>29</v>
      </c>
      <c r="Y34" s="128" t="n">
        <v>1.7</v>
      </c>
      <c r="Z34" s="129" t="n">
        <v>1.3</v>
      </c>
      <c r="AA34" s="449" t="n">
        <v>672</v>
      </c>
      <c r="AB34" s="448" t="n">
        <f aca="false">AB33</f>
        <v>14600.433072851</v>
      </c>
      <c r="AC34" s="127" t="n">
        <f aca="false">N34+O34+P34+Q34+R34+U34+X34+AA34</f>
        <v>953</v>
      </c>
      <c r="AD34" s="127" t="n">
        <f aca="false">IF(L34&lt;0,L34*-1,0)</f>
        <v>0</v>
      </c>
      <c r="AE34" s="446" t="n">
        <f aca="false">AC34+AD34</f>
        <v>953</v>
      </c>
      <c r="AF34" s="98" t="n">
        <v>0.01</v>
      </c>
      <c r="AG34" s="99" t="n">
        <v>68</v>
      </c>
      <c r="AH34" s="134" t="n">
        <v>38</v>
      </c>
      <c r="AI34" s="244" t="n">
        <f aca="false">AI32</f>
        <v>14814.1599532</v>
      </c>
      <c r="AJ34" s="101"/>
      <c r="AK34" s="101" t="n">
        <f aca="false">-AA34</f>
        <v>-672</v>
      </c>
      <c r="AL34" s="102" t="n">
        <f aca="false">29.8*(V33*1.9835+AK34*1.9835)/E34</f>
        <v>2.95109416212464</v>
      </c>
      <c r="AM34" s="103"/>
      <c r="AN34" s="9"/>
    </row>
    <row r="35" customFormat="false" ht="12.95" hidden="false" customHeight="true" outlineLevel="0" collapsed="false">
      <c r="A35" s="16" t="n">
        <f aca="false">A34+1</f>
        <v>24</v>
      </c>
      <c r="B35" s="438" t="n">
        <v>6913</v>
      </c>
      <c r="C35" s="94" t="n">
        <v>334121</v>
      </c>
      <c r="D35" s="99" t="n">
        <f aca="false">C35-C34</f>
        <v>6261</v>
      </c>
      <c r="E35" s="94" t="n">
        <f aca="false">C35-152000</f>
        <v>182121</v>
      </c>
      <c r="F35" s="443" t="n">
        <f aca="false">D35/$D$2</f>
        <v>3156.5414671036</v>
      </c>
      <c r="G35" s="127" t="n">
        <v>2440</v>
      </c>
      <c r="H35" s="444" t="n">
        <v>458</v>
      </c>
      <c r="I35" s="127" t="n">
        <f aca="false">G35+H35</f>
        <v>2898</v>
      </c>
      <c r="J35" s="445" t="n">
        <f aca="false">IF(L35&gt;0,L35,0)</f>
        <v>1180.5414671036</v>
      </c>
      <c r="K35" s="127" t="n">
        <f aca="false">I35+J35</f>
        <v>4078.5414671036</v>
      </c>
      <c r="L35" s="127" t="n">
        <f aca="false">F35-(I35-AC35)</f>
        <v>1180.5414671036</v>
      </c>
      <c r="M35" s="128" t="n">
        <v>163</v>
      </c>
      <c r="N35" s="446" t="n">
        <v>0</v>
      </c>
      <c r="O35" s="446" t="n">
        <f aca="false">(40+40)*1.05</f>
        <v>84</v>
      </c>
      <c r="P35" s="125" t="n">
        <f aca="false">1.43*1.02</f>
        <v>1.4586</v>
      </c>
      <c r="Q35" s="125" t="n">
        <f aca="false">4*1.04</f>
        <v>4.16</v>
      </c>
      <c r="R35" s="132" t="n">
        <v>0</v>
      </c>
      <c r="S35" s="127" t="n">
        <v>52</v>
      </c>
      <c r="T35" s="127" t="n">
        <v>24</v>
      </c>
      <c r="U35" s="267" t="n">
        <f aca="false">M35-N35-O35-P35-Q35-R35+S35+T35</f>
        <v>149.3814</v>
      </c>
      <c r="V35" s="242" t="n">
        <f aca="false">V34+AK35-(AL35/1.9835)</f>
        <v>8105.33027767618</v>
      </c>
      <c r="W35" s="437"/>
      <c r="X35" s="127" t="n">
        <v>11</v>
      </c>
      <c r="Y35" s="128" t="n">
        <v>1.7</v>
      </c>
      <c r="Z35" s="129" t="n">
        <v>1.3</v>
      </c>
      <c r="AA35" s="449" t="n">
        <v>672</v>
      </c>
      <c r="AB35" s="448" t="n">
        <f aca="false">AB34</f>
        <v>14600.433072851</v>
      </c>
      <c r="AC35" s="127" t="n">
        <f aca="false">N35+O35+P35+Q35+R35+U35+X35+AA35</f>
        <v>922</v>
      </c>
      <c r="AD35" s="127" t="n">
        <f aca="false">IF(L35&lt;0,L35*-1,0)</f>
        <v>0</v>
      </c>
      <c r="AE35" s="446" t="n">
        <f aca="false">AC35+AD35</f>
        <v>922</v>
      </c>
      <c r="AF35" s="98" t="n">
        <v>0.98</v>
      </c>
      <c r="AG35" s="99" t="n">
        <v>51</v>
      </c>
      <c r="AH35" s="134" t="n">
        <v>33</v>
      </c>
      <c r="AI35" s="244" t="n">
        <f aca="false">AI33</f>
        <v>14814.1599532</v>
      </c>
      <c r="AJ35" s="101"/>
      <c r="AK35" s="101" t="n">
        <f aca="false">-AA35</f>
        <v>-672</v>
      </c>
      <c r="AL35" s="102" t="n">
        <f aca="false">29.8*(V34*1.9835+AK35*1.9835)/E35</f>
        <v>2.63105682016466</v>
      </c>
      <c r="AM35" s="103"/>
      <c r="AN35" s="9"/>
    </row>
    <row r="36" customFormat="false" ht="12.95" hidden="false" customHeight="true" outlineLevel="0" collapsed="false">
      <c r="A36" s="16" t="n">
        <f aca="false">A35+1</f>
        <v>25</v>
      </c>
      <c r="B36" s="438" t="n">
        <v>6914.18</v>
      </c>
      <c r="C36" s="94" t="n">
        <v>338976</v>
      </c>
      <c r="D36" s="99" t="n">
        <f aca="false">C36-C35</f>
        <v>4855</v>
      </c>
      <c r="E36" s="94" t="n">
        <f aca="false">C36-152000</f>
        <v>186976</v>
      </c>
      <c r="F36" s="443" t="n">
        <f aca="false">D36/$D$2</f>
        <v>2447.69347113688</v>
      </c>
      <c r="G36" s="127" t="n">
        <v>1980</v>
      </c>
      <c r="H36" s="444" t="n">
        <v>354</v>
      </c>
      <c r="I36" s="127" t="n">
        <f aca="false">G36+H36</f>
        <v>2334</v>
      </c>
      <c r="J36" s="445" t="n">
        <f aca="false">IF(L36&gt;0,L36,0)</f>
        <v>990.693471136879</v>
      </c>
      <c r="K36" s="127" t="n">
        <f aca="false">I36+J36</f>
        <v>3324.69347113688</v>
      </c>
      <c r="L36" s="127" t="n">
        <f aca="false">F36-(I36-AC36)</f>
        <v>990.693471136879</v>
      </c>
      <c r="M36" s="128" t="n">
        <v>134</v>
      </c>
      <c r="N36" s="446" t="n">
        <v>0</v>
      </c>
      <c r="O36" s="446" t="n">
        <f aca="false">(39+40)*1.05</f>
        <v>82.95</v>
      </c>
      <c r="P36" s="125" t="n">
        <f aca="false">1.43*1.02</f>
        <v>1.4586</v>
      </c>
      <c r="Q36" s="125" t="n">
        <f aca="false">3.89*1.04</f>
        <v>4.0456</v>
      </c>
      <c r="R36" s="132" t="n">
        <v>0</v>
      </c>
      <c r="S36" s="127" t="n">
        <v>46</v>
      </c>
      <c r="T36" s="127" t="n">
        <v>25</v>
      </c>
      <c r="U36" s="267" t="n">
        <f aca="false">M36-N36-O36-P36-Q36-R36+S36+T36</f>
        <v>116.5458</v>
      </c>
      <c r="V36" s="242" t="n">
        <f aca="false">V35+AK36-(AL36/1.9835)</f>
        <v>7432.1455628343</v>
      </c>
      <c r="W36" s="437"/>
      <c r="X36" s="127" t="n">
        <v>0</v>
      </c>
      <c r="Y36" s="128" t="n">
        <v>1.7</v>
      </c>
      <c r="Z36" s="129" t="n">
        <v>1.3</v>
      </c>
      <c r="AA36" s="449" t="n">
        <v>672</v>
      </c>
      <c r="AB36" s="448" t="n">
        <f aca="false">AB35</f>
        <v>14600.433072851</v>
      </c>
      <c r="AC36" s="127" t="n">
        <f aca="false">N36+O36+P36+Q36+R36+U36+X36+AA36</f>
        <v>877</v>
      </c>
      <c r="AD36" s="127" t="n">
        <f aca="false">IF(L36&lt;0,L36*-1,0)</f>
        <v>0</v>
      </c>
      <c r="AE36" s="446" t="n">
        <f aca="false">AC36+AD36</f>
        <v>877</v>
      </c>
      <c r="AF36" s="98" t="n">
        <v>0.06</v>
      </c>
      <c r="AG36" s="99" t="n">
        <v>53</v>
      </c>
      <c r="AH36" s="134" t="n">
        <v>34</v>
      </c>
      <c r="AI36" s="244" t="n">
        <f aca="false">AI34</f>
        <v>14814.1599532</v>
      </c>
      <c r="AJ36" s="101"/>
      <c r="AK36" s="101" t="n">
        <f aca="false">-AA36</f>
        <v>-672</v>
      </c>
      <c r="AL36" s="102" t="n">
        <f aca="false">29.8*(V35*1.9835+AK36*1.9835)/E36</f>
        <v>2.34988188886256</v>
      </c>
      <c r="AM36" s="103"/>
      <c r="AN36" s="9"/>
    </row>
    <row r="37" customFormat="false" ht="12.95" hidden="false" customHeight="true" outlineLevel="0" collapsed="false">
      <c r="A37" s="16" t="n">
        <f aca="false">A36+1</f>
        <v>26</v>
      </c>
      <c r="B37" s="438" t="n">
        <v>6914.99</v>
      </c>
      <c r="C37" s="94" t="n">
        <v>342331</v>
      </c>
      <c r="D37" s="99" t="n">
        <f aca="false">C37-C36</f>
        <v>3355</v>
      </c>
      <c r="E37" s="94" t="n">
        <f aca="false">C37-152000</f>
        <v>190331</v>
      </c>
      <c r="F37" s="443" t="n">
        <f aca="false">D37/$D$2</f>
        <v>1691.45449962188</v>
      </c>
      <c r="G37" s="127" t="n">
        <v>1650</v>
      </c>
      <c r="H37" s="444" t="n">
        <v>264</v>
      </c>
      <c r="I37" s="127" t="n">
        <f aca="false">G37+H37</f>
        <v>1914</v>
      </c>
      <c r="J37" s="445" t="n">
        <f aca="false">IF(L37&gt;0,L37,0)</f>
        <v>662.454499621881</v>
      </c>
      <c r="K37" s="127" t="n">
        <f aca="false">I37+J37</f>
        <v>2576.45449962188</v>
      </c>
      <c r="L37" s="127" t="n">
        <f aca="false">F37-(I37-AC37)</f>
        <v>662.454499621881</v>
      </c>
      <c r="M37" s="128" t="n">
        <v>81</v>
      </c>
      <c r="N37" s="446" t="n">
        <v>0</v>
      </c>
      <c r="O37" s="446" t="n">
        <f aca="false">(13+15)*1.05</f>
        <v>29.4</v>
      </c>
      <c r="P37" s="125" t="n">
        <f aca="false">1.43*1.02</f>
        <v>1.4586</v>
      </c>
      <c r="Q37" s="125" t="n">
        <f aca="false">3.94*1.04</f>
        <v>4.0976</v>
      </c>
      <c r="R37" s="132" t="n">
        <v>0</v>
      </c>
      <c r="S37" s="127" t="n">
        <v>46</v>
      </c>
      <c r="T37" s="127" t="n">
        <v>23</v>
      </c>
      <c r="U37" s="267" t="n">
        <f aca="false">M37-N37-O37-P37-Q37-R37+S37+T37</f>
        <v>115.0438</v>
      </c>
      <c r="V37" s="242" t="n">
        <f aca="false">V36+AK37-(AL37/1.9835)</f>
        <v>6707.09527287747</v>
      </c>
      <c r="W37" s="437"/>
      <c r="X37" s="127" t="n">
        <v>11</v>
      </c>
      <c r="Y37" s="128" t="n">
        <v>1.7</v>
      </c>
      <c r="Z37" s="129" t="n">
        <v>1.3</v>
      </c>
      <c r="AA37" s="449" t="n">
        <v>724</v>
      </c>
      <c r="AB37" s="448" t="n">
        <f aca="false">AB36</f>
        <v>14600.433072851</v>
      </c>
      <c r="AC37" s="127" t="n">
        <f aca="false">N37+O37+P37+Q37+R37+U37+X37+AA37</f>
        <v>885</v>
      </c>
      <c r="AD37" s="127" t="n">
        <f aca="false">IF(L37&lt;0,L37*-1,0)</f>
        <v>0</v>
      </c>
      <c r="AE37" s="446" t="n">
        <f aca="false">AC37+AD37</f>
        <v>885</v>
      </c>
      <c r="AF37" s="98" t="n">
        <v>0</v>
      </c>
      <c r="AG37" s="99" t="n">
        <v>60</v>
      </c>
      <c r="AH37" s="100" t="n">
        <v>35</v>
      </c>
      <c r="AI37" s="244" t="n">
        <f aca="false">AI35</f>
        <v>14814.1599532</v>
      </c>
      <c r="AJ37" s="101"/>
      <c r="AK37" s="101" t="n">
        <f aca="false">-AA37</f>
        <v>-724</v>
      </c>
      <c r="AL37" s="102" t="n">
        <f aca="false">29.8*(V36*1.9835+AK37*1.9835)/E37</f>
        <v>2.08325012936242</v>
      </c>
      <c r="AM37" s="103"/>
      <c r="AN37" s="3"/>
    </row>
    <row r="38" customFormat="false" ht="12.95" hidden="false" customHeight="true" outlineLevel="0" collapsed="false">
      <c r="A38" s="16" t="n">
        <f aca="false">A37+1</f>
        <v>27</v>
      </c>
      <c r="B38" s="438" t="n">
        <v>6915.64</v>
      </c>
      <c r="C38" s="94" t="n">
        <v>345044</v>
      </c>
      <c r="D38" s="99" t="n">
        <f aca="false">C38-C37</f>
        <v>2713</v>
      </c>
      <c r="E38" s="94" t="n">
        <f aca="false">C38-152000</f>
        <v>193044</v>
      </c>
      <c r="F38" s="443" t="n">
        <f aca="false">D38/$D$2</f>
        <v>1367.78421981346</v>
      </c>
      <c r="G38" s="127" t="n">
        <v>1560</v>
      </c>
      <c r="H38" s="444" t="n">
        <v>207</v>
      </c>
      <c r="I38" s="127" t="n">
        <f aca="false">G38+H38</f>
        <v>1767</v>
      </c>
      <c r="J38" s="445" t="n">
        <f aca="false">IF(L38&gt;0,L38,0)</f>
        <v>511.784219813461</v>
      </c>
      <c r="K38" s="127" t="n">
        <f aca="false">I38+J38</f>
        <v>2278.78421981346</v>
      </c>
      <c r="L38" s="127" t="n">
        <f aca="false">F38-(I38-AC38)</f>
        <v>511.784219813461</v>
      </c>
      <c r="M38" s="128" t="n">
        <v>54</v>
      </c>
      <c r="N38" s="446" t="n">
        <v>0</v>
      </c>
      <c r="O38" s="446" t="n">
        <f aca="false">3.9*1.05</f>
        <v>4.095</v>
      </c>
      <c r="P38" s="125" t="n">
        <f aca="false">1.43*1.02</f>
        <v>1.4586</v>
      </c>
      <c r="Q38" s="125" t="n">
        <f aca="false">2.66*1.04</f>
        <v>2.7664</v>
      </c>
      <c r="R38" s="132" t="n">
        <v>0</v>
      </c>
      <c r="S38" s="127" t="n">
        <v>46</v>
      </c>
      <c r="T38" s="127" t="n">
        <v>23</v>
      </c>
      <c r="U38" s="267" t="n">
        <f aca="false">M38-N38-O38-P38-Q38-R38+S38+T38</f>
        <v>114.68</v>
      </c>
      <c r="V38" s="242" t="n">
        <f aca="false">V37+AK38-(AL38/1.9835)</f>
        <v>5918.18154834249</v>
      </c>
      <c r="W38" s="437"/>
      <c r="X38" s="127" t="n">
        <v>0</v>
      </c>
      <c r="Y38" s="128" t="n">
        <v>1.7</v>
      </c>
      <c r="Z38" s="129" t="n">
        <v>1.3</v>
      </c>
      <c r="AA38" s="449" t="n">
        <v>788</v>
      </c>
      <c r="AB38" s="448" t="n">
        <f aca="false">AB37</f>
        <v>14600.433072851</v>
      </c>
      <c r="AC38" s="127" t="n">
        <f aca="false">N38+O38+P38+Q38+R38+U38+X38+AA38</f>
        <v>911</v>
      </c>
      <c r="AD38" s="127" t="n">
        <f aca="false">IF(L38&lt;0,L38*-1,0)</f>
        <v>0</v>
      </c>
      <c r="AE38" s="446" t="n">
        <f aca="false">AC38+AD38</f>
        <v>911</v>
      </c>
      <c r="AF38" s="98" t="n">
        <v>0.21</v>
      </c>
      <c r="AG38" s="99" t="n">
        <v>55</v>
      </c>
      <c r="AH38" s="100" t="n">
        <v>36</v>
      </c>
      <c r="AI38" s="244" t="n">
        <f aca="false">AI36</f>
        <v>14814.1599532</v>
      </c>
      <c r="AJ38" s="101"/>
      <c r="AK38" s="101" t="n">
        <f aca="false">-AA38</f>
        <v>-788</v>
      </c>
      <c r="AL38" s="102" t="n">
        <f aca="false">29.8*(V37*1.9835+AK38*1.9835)/E38</f>
        <v>1.81237261514382</v>
      </c>
      <c r="AM38" s="103"/>
      <c r="AN38" s="9"/>
    </row>
    <row r="39" customFormat="false" ht="12.95" hidden="false" customHeight="true" outlineLevel="0" collapsed="false">
      <c r="A39" s="16" t="n">
        <f aca="false">A38+1</f>
        <v>28</v>
      </c>
      <c r="B39" s="438" t="n">
        <v>6916.21</v>
      </c>
      <c r="C39" s="94" t="n">
        <v>347430</v>
      </c>
      <c r="D39" s="99" t="n">
        <f aca="false">C39-C38</f>
        <v>2386</v>
      </c>
      <c r="E39" s="94" t="n">
        <f aca="false">C39-152000</f>
        <v>195430</v>
      </c>
      <c r="F39" s="443" t="n">
        <f aca="false">D39/$D$2</f>
        <v>1202.92412402319</v>
      </c>
      <c r="G39" s="127" t="n">
        <v>1420</v>
      </c>
      <c r="H39" s="444" t="n">
        <v>157</v>
      </c>
      <c r="I39" s="127" t="n">
        <f aca="false">G39+H39</f>
        <v>1577</v>
      </c>
      <c r="J39" s="445" t="n">
        <f aca="false">IF(L39&gt;0,L39,0)</f>
        <v>544.624124023191</v>
      </c>
      <c r="K39" s="127" t="n">
        <f aca="false">I39+J39</f>
        <v>2121.62412402319</v>
      </c>
      <c r="L39" s="127" t="n">
        <f aca="false">F39-(I39-AC39)</f>
        <v>544.624124023191</v>
      </c>
      <c r="M39" s="128" t="n">
        <v>53</v>
      </c>
      <c r="N39" s="446" t="n">
        <v>0</v>
      </c>
      <c r="O39" s="446" t="n">
        <f aca="false">6.1*1.05</f>
        <v>6.405</v>
      </c>
      <c r="P39" s="125" t="n">
        <f aca="false">1.43*1.02</f>
        <v>1.4586</v>
      </c>
      <c r="Q39" s="125" t="n">
        <f aca="false">2.62*1.04</f>
        <v>2.7248</v>
      </c>
      <c r="R39" s="132" t="n">
        <v>0</v>
      </c>
      <c r="S39" s="127" t="n">
        <v>46</v>
      </c>
      <c r="T39" s="127" t="n">
        <v>23</v>
      </c>
      <c r="U39" s="267" t="n">
        <f aca="false">M39-N39-O39-P39-Q39-R39+S39+T39</f>
        <v>111.4116</v>
      </c>
      <c r="V39" s="242" t="n">
        <f aca="false">V38+AK39-(AL39/1.9835)</f>
        <v>5129.39927637738</v>
      </c>
      <c r="W39" s="437"/>
      <c r="X39" s="127" t="n">
        <v>8.7</v>
      </c>
      <c r="Y39" s="128" t="n">
        <v>1.7</v>
      </c>
      <c r="Z39" s="129" t="n">
        <v>1.3</v>
      </c>
      <c r="AA39" s="449" t="n">
        <v>788</v>
      </c>
      <c r="AB39" s="448" t="n">
        <f aca="false">AB38</f>
        <v>14600.433072851</v>
      </c>
      <c r="AC39" s="127" t="n">
        <f aca="false">N39+O39+P39+Q39+R39+U39+X39+AA39</f>
        <v>918.7</v>
      </c>
      <c r="AD39" s="127" t="n">
        <f aca="false">IF(L39&lt;0,L39*-1,0)</f>
        <v>0</v>
      </c>
      <c r="AE39" s="446" t="n">
        <f aca="false">AC39+AD39</f>
        <v>918.7</v>
      </c>
      <c r="AF39" s="98" t="n">
        <v>0.22</v>
      </c>
      <c r="AG39" s="99" t="n">
        <v>52</v>
      </c>
      <c r="AH39" s="100" t="n">
        <v>33</v>
      </c>
      <c r="AI39" s="244" t="n">
        <f aca="false">AI37</f>
        <v>14814.1599532</v>
      </c>
      <c r="AJ39" s="101"/>
      <c r="AK39" s="101" t="n">
        <f aca="false">-AA39</f>
        <v>-788</v>
      </c>
      <c r="AL39" s="102" t="n">
        <f aca="false">29.8*(V38*1.9835+AK39*1.9835)/E39</f>
        <v>1.55163644278715</v>
      </c>
      <c r="AM39" s="103"/>
      <c r="AN39" s="9"/>
    </row>
    <row r="40" customFormat="false" ht="12.95" hidden="false" customHeight="true" outlineLevel="0" collapsed="false">
      <c r="A40" s="16" t="n">
        <f aca="false">A39+1</f>
        <v>29</v>
      </c>
      <c r="B40" s="438" t="n">
        <v>6916.71</v>
      </c>
      <c r="C40" s="94" t="n">
        <v>349534</v>
      </c>
      <c r="D40" s="99" t="n">
        <f aca="false">C40-C39</f>
        <v>2104</v>
      </c>
      <c r="E40" s="94" t="n">
        <f aca="false">C40-152000</f>
        <v>197534</v>
      </c>
      <c r="F40" s="443" t="n">
        <f aca="false">D40/$D$2</f>
        <v>1060.75119737837</v>
      </c>
      <c r="G40" s="127" t="n">
        <v>1330</v>
      </c>
      <c r="H40" s="444" t="n">
        <v>150</v>
      </c>
      <c r="I40" s="127" t="n">
        <f aca="false">G40+H40</f>
        <v>1480</v>
      </c>
      <c r="J40" s="445" t="n">
        <f aca="false">IF(L40&gt;0,L40,0)</f>
        <v>589.751197378372</v>
      </c>
      <c r="K40" s="127" t="n">
        <f aca="false">I40+J40</f>
        <v>2069.75119737837</v>
      </c>
      <c r="L40" s="127" t="n">
        <f aca="false">F40-(I40-AC40)</f>
        <v>589.751197378372</v>
      </c>
      <c r="M40" s="128" t="n">
        <v>56</v>
      </c>
      <c r="N40" s="446" t="n">
        <v>0</v>
      </c>
      <c r="O40" s="446" t="n">
        <f aca="false">(0.94+6.1)*1.05</f>
        <v>7.392</v>
      </c>
      <c r="P40" s="125" t="n">
        <f aca="false">1.43*1.02</f>
        <v>1.4586</v>
      </c>
      <c r="Q40" s="125" t="n">
        <f aca="false">2.59*1.04</f>
        <v>2.6936</v>
      </c>
      <c r="R40" s="132" t="n">
        <v>0</v>
      </c>
      <c r="S40" s="127" t="n">
        <v>42</v>
      </c>
      <c r="T40" s="127" t="n">
        <v>22</v>
      </c>
      <c r="U40" s="267" t="n">
        <f aca="false">M40-N40-O40-P40-Q40-R40+S40+T40</f>
        <v>108.4558</v>
      </c>
      <c r="V40" s="242" t="n">
        <f aca="false">V39+AK40-(AL40/1.9835)</f>
        <v>4249.75806069585</v>
      </c>
      <c r="W40" s="437"/>
      <c r="X40" s="127" t="n">
        <v>10</v>
      </c>
      <c r="Y40" s="128" t="n">
        <v>1.7</v>
      </c>
      <c r="Z40" s="129" t="n">
        <v>1.3</v>
      </c>
      <c r="AA40" s="449" t="n">
        <v>879</v>
      </c>
      <c r="AB40" s="448" t="n">
        <f aca="false">AB39</f>
        <v>14600.433072851</v>
      </c>
      <c r="AC40" s="127" t="n">
        <f aca="false">N40+O40+P40+Q40+R40+U40+X40+AA40</f>
        <v>1009</v>
      </c>
      <c r="AD40" s="127" t="n">
        <f aca="false">IF(L40&lt;0,L40*-1,0)</f>
        <v>0</v>
      </c>
      <c r="AE40" s="446" t="n">
        <f aca="false">AC40+AD40</f>
        <v>1009</v>
      </c>
      <c r="AF40" s="98" t="n">
        <v>0.05</v>
      </c>
      <c r="AG40" s="133" t="n">
        <v>52</v>
      </c>
      <c r="AH40" s="100" t="n">
        <v>34</v>
      </c>
      <c r="AI40" s="244" t="n">
        <f aca="false">AI38</f>
        <v>14814.1599532</v>
      </c>
      <c r="AJ40" s="101"/>
      <c r="AK40" s="101" t="n">
        <f aca="false">-AA40</f>
        <v>-879</v>
      </c>
      <c r="AL40" s="102" t="n">
        <f aca="false">29.8*(V39*1.9835+AK40*1.9835)/E40</f>
        <v>1.27185130432177</v>
      </c>
      <c r="AM40" s="103"/>
      <c r="AN40" s="9"/>
    </row>
    <row r="41" customFormat="false" ht="12.95" hidden="false" customHeight="true" outlineLevel="0" collapsed="false">
      <c r="A41" s="16" t="n">
        <v>30</v>
      </c>
      <c r="B41" s="438" t="n">
        <v>6916.99</v>
      </c>
      <c r="C41" s="94" t="n">
        <v>350712</v>
      </c>
      <c r="D41" s="99" t="n">
        <f aca="false">C41-C40</f>
        <v>1178</v>
      </c>
      <c r="E41" s="94" t="n">
        <f aca="false">C41-152000</f>
        <v>198712</v>
      </c>
      <c r="F41" s="443" t="n">
        <f aca="false">D41/$D$2</f>
        <v>593.899672296446</v>
      </c>
      <c r="G41" s="127" t="n">
        <v>1210</v>
      </c>
      <c r="H41" s="444" t="n">
        <v>144</v>
      </c>
      <c r="I41" s="127" t="n">
        <f aca="false">G41+H41</f>
        <v>1354</v>
      </c>
      <c r="J41" s="445" t="n">
        <f aca="false">IF(L41&gt;0,L41,0)</f>
        <v>440.899672296446</v>
      </c>
      <c r="K41" s="127" t="n">
        <f aca="false">I41+J41</f>
        <v>1794.89967229645</v>
      </c>
      <c r="L41" s="127" t="n">
        <f aca="false">F41-(I41-AC41)</f>
        <v>440.899672296446</v>
      </c>
      <c r="M41" s="128" t="n">
        <v>55</v>
      </c>
      <c r="N41" s="446" t="n">
        <v>0</v>
      </c>
      <c r="O41" s="446" t="n">
        <f aca="false">(2.6+6)*1.05</f>
        <v>9.03</v>
      </c>
      <c r="P41" s="125" t="n">
        <f aca="false">1.43*1.02</f>
        <v>1.4586</v>
      </c>
      <c r="Q41" s="125" t="n">
        <f aca="false">2.54*1.04</f>
        <v>2.6416</v>
      </c>
      <c r="R41" s="132" t="n">
        <v>0</v>
      </c>
      <c r="S41" s="127" t="n">
        <v>36</v>
      </c>
      <c r="T41" s="127" t="n">
        <v>22</v>
      </c>
      <c r="U41" s="267" t="n">
        <f aca="false">M41-N41-O41-P41-Q41-R41+S41+T41</f>
        <v>99.8698</v>
      </c>
      <c r="V41" s="242" t="n">
        <f aca="false">V40+AK41-(AL41/1.9835)</f>
        <v>3179.28120579927</v>
      </c>
      <c r="W41" s="437"/>
      <c r="X41" s="127" t="n">
        <v>18</v>
      </c>
      <c r="Y41" s="128" t="n">
        <v>1.7</v>
      </c>
      <c r="Z41" s="129" t="n">
        <v>1.3</v>
      </c>
      <c r="AA41" s="449" t="n">
        <v>1070</v>
      </c>
      <c r="AB41" s="448" t="n">
        <f aca="false">AB40</f>
        <v>14600.433072851</v>
      </c>
      <c r="AC41" s="127" t="n">
        <f aca="false">N41+O41+P41+Q41+R41+U41+X41+AA41</f>
        <v>1201</v>
      </c>
      <c r="AD41" s="127" t="n">
        <f aca="false">IF(L41&lt;0,L41*-1,0)</f>
        <v>0</v>
      </c>
      <c r="AE41" s="446" t="n">
        <f aca="false">AC41+AD41</f>
        <v>1201</v>
      </c>
      <c r="AF41" s="98" t="n">
        <v>0</v>
      </c>
      <c r="AG41" s="133" t="n">
        <v>55</v>
      </c>
      <c r="AH41" s="100" t="n">
        <v>30</v>
      </c>
      <c r="AI41" s="244" t="n">
        <f aca="false">AI39</f>
        <v>14814.1599532</v>
      </c>
      <c r="AJ41" s="101"/>
      <c r="AK41" s="101" t="n">
        <f aca="false">-AA41</f>
        <v>-1070</v>
      </c>
      <c r="AL41" s="102" t="n">
        <f aca="false">29.8*(V40*1.9835+AK41*1.9835)/E41</f>
        <v>0.945841687361752</v>
      </c>
      <c r="AM41" s="103"/>
      <c r="AN41" s="9"/>
    </row>
    <row r="42" customFormat="false" ht="3" hidden="false" customHeight="true" outlineLevel="0" collapsed="false">
      <c r="A42" s="106"/>
      <c r="B42" s="450"/>
      <c r="C42" s="114"/>
      <c r="D42" s="112"/>
      <c r="E42" s="114"/>
      <c r="F42" s="440"/>
      <c r="G42" s="112"/>
      <c r="H42" s="441"/>
      <c r="I42" s="112"/>
      <c r="J42" s="112"/>
      <c r="K42" s="112"/>
      <c r="L42" s="112"/>
      <c r="M42" s="115"/>
      <c r="N42" s="112"/>
      <c r="O42" s="112"/>
      <c r="P42" s="112"/>
      <c r="Q42" s="112"/>
      <c r="R42" s="113"/>
      <c r="S42" s="112"/>
      <c r="T42" s="112"/>
      <c r="U42" s="112"/>
      <c r="V42" s="117"/>
      <c r="W42" s="442"/>
      <c r="X42" s="112"/>
      <c r="Y42" s="115"/>
      <c r="Z42" s="113"/>
      <c r="AA42" s="112"/>
      <c r="AB42" s="112"/>
      <c r="AC42" s="112"/>
      <c r="AD42" s="112"/>
      <c r="AE42" s="112"/>
      <c r="AF42" s="116"/>
      <c r="AG42" s="117"/>
      <c r="AH42" s="118"/>
      <c r="AI42" s="117"/>
      <c r="AJ42" s="117"/>
      <c r="AK42" s="117"/>
      <c r="AL42" s="119"/>
      <c r="AM42" s="119"/>
      <c r="AN42" s="119"/>
    </row>
    <row r="43" customFormat="false" ht="12.95" hidden="false" customHeight="true" outlineLevel="0" collapsed="false">
      <c r="A43" s="17" t="s">
        <v>75</v>
      </c>
      <c r="B43" s="436"/>
      <c r="C43" s="94"/>
      <c r="D43" s="94"/>
      <c r="E43" s="94"/>
      <c r="F43" s="136" t="n">
        <f aca="false">SUM(F12:F41)</f>
        <v>55906.7305268465</v>
      </c>
      <c r="G43" s="96" t="n">
        <f aca="false">SUM(G12:G41)</f>
        <v>38134</v>
      </c>
      <c r="H43" s="96" t="n">
        <f aca="false">SUM(H12:H41)</f>
        <v>7547</v>
      </c>
      <c r="I43" s="96" t="n">
        <f aca="false">SUM(I12:I41)</f>
        <v>45681</v>
      </c>
      <c r="J43" s="96" t="n">
        <f aca="false">SUM(J12:J41)</f>
        <v>22768.2805268465</v>
      </c>
      <c r="K43" s="96" t="n">
        <f aca="false">SUM(K12:K41)</f>
        <v>68449.2805268465</v>
      </c>
      <c r="L43" s="96" t="n">
        <f aca="false">SUM(L12:L41)</f>
        <v>22768.2805268465</v>
      </c>
      <c r="M43" s="97" t="n">
        <f aca="false">SUM(M12:M41)</f>
        <v>2481.5</v>
      </c>
      <c r="N43" s="94" t="n">
        <f aca="false">SUM(N12:N41)</f>
        <v>0</v>
      </c>
      <c r="O43" s="94" t="n">
        <f aca="false">SUM(O12:O41)</f>
        <v>1261.3965</v>
      </c>
      <c r="P43" s="94" t="n">
        <f aca="false">SUM(P12:P41)</f>
        <v>43.758</v>
      </c>
      <c r="Q43" s="94" t="n">
        <f aca="false">SUM(Q12:Q41)</f>
        <v>94.8416</v>
      </c>
      <c r="R43" s="95" t="n">
        <f aca="false">SUM(R12:R41)</f>
        <v>1.7</v>
      </c>
      <c r="S43" s="96" t="n">
        <f aca="false">SUM(S12:S41)</f>
        <v>385.95</v>
      </c>
      <c r="T43" s="96" t="n">
        <f aca="false">SUM(T12:T41)</f>
        <v>269.4</v>
      </c>
      <c r="U43" s="96" t="n">
        <f aca="false">SUM(U12:U41)</f>
        <v>1735.1539</v>
      </c>
      <c r="V43" s="101"/>
      <c r="W43" s="437"/>
      <c r="X43" s="96" t="n">
        <f aca="false">SUM(X12:X41)</f>
        <v>129.7</v>
      </c>
      <c r="Y43" s="96" t="n">
        <f aca="false">SUM(Y12:Y41)</f>
        <v>51</v>
      </c>
      <c r="Z43" s="96" t="n">
        <f aca="false">SUM(Z12:Z41)</f>
        <v>39</v>
      </c>
      <c r="AA43" s="96" t="n">
        <f aca="false">SUM(AA12:AA41)</f>
        <v>9276</v>
      </c>
      <c r="AB43" s="96"/>
      <c r="AC43" s="96" t="n">
        <f aca="false">SUM(AC12:AC41)</f>
        <v>12542.55</v>
      </c>
      <c r="AD43" s="96" t="n">
        <f aca="false">SUM(AD12:AD41)</f>
        <v>0</v>
      </c>
      <c r="AE43" s="94" t="n">
        <f aca="false">SUM(AE12:AE41)</f>
        <v>12542.55</v>
      </c>
      <c r="AF43" s="98" t="n">
        <f aca="false">SUM(AF12:AF41)</f>
        <v>1.59</v>
      </c>
      <c r="AG43" s="99" t="n">
        <f aca="false">AVERAGE(AG12:AG41)</f>
        <v>60</v>
      </c>
      <c r="AH43" s="100" t="n">
        <f aca="false">AVERAGE(AH12:AH41)</f>
        <v>31.7333333333333</v>
      </c>
      <c r="AI43" s="101" t="s">
        <v>106</v>
      </c>
      <c r="AJ43" s="94" t="n">
        <f aca="false">SUM(AJ12:AJ41)</f>
        <v>0</v>
      </c>
      <c r="AK43" s="101"/>
      <c r="AL43" s="102"/>
      <c r="AM43" s="103"/>
    </row>
    <row r="44" customFormat="false" ht="12.95" hidden="false" customHeight="true" outlineLevel="0" collapsed="false">
      <c r="A44" s="17" t="s">
        <v>77</v>
      </c>
      <c r="B44" s="436"/>
      <c r="C44" s="94"/>
      <c r="D44" s="94" t="n">
        <f aca="false">SUM(D12:D41)</f>
        <v>110891</v>
      </c>
      <c r="E44" s="94"/>
      <c r="F44" s="136" t="n">
        <f aca="false">F43*$D$2</f>
        <v>110891</v>
      </c>
      <c r="G44" s="96" t="n">
        <f aca="false">G43*$D$2</f>
        <v>75638.789</v>
      </c>
      <c r="H44" s="96" t="n">
        <f aca="false">H43*$D$2</f>
        <v>14969.4745</v>
      </c>
      <c r="I44" s="96" t="n">
        <f aca="false">I43*$D$2</f>
        <v>90608.2635</v>
      </c>
      <c r="J44" s="96" t="n">
        <f aca="false">J43*$D$2</f>
        <v>45160.884425</v>
      </c>
      <c r="K44" s="96" t="n">
        <f aca="false">K43*$D$2</f>
        <v>135769.147925</v>
      </c>
      <c r="L44" s="96" t="n">
        <f aca="false">L43*$D$2</f>
        <v>45160.884425</v>
      </c>
      <c r="M44" s="97" t="n">
        <f aca="false">M43*$D$2</f>
        <v>4922.05525</v>
      </c>
      <c r="N44" s="94" t="n">
        <f aca="false">N43*$D$2</f>
        <v>0</v>
      </c>
      <c r="O44" s="94" t="n">
        <f aca="false">O43*$D$2</f>
        <v>2501.97995775</v>
      </c>
      <c r="P44" s="94" t="n">
        <f aca="false">P43*$D$2</f>
        <v>86.793993</v>
      </c>
      <c r="Q44" s="94" t="n">
        <f aca="false">Q43*$D$2</f>
        <v>188.1183136</v>
      </c>
      <c r="R44" s="95" t="n">
        <f aca="false">R43*$D$2</f>
        <v>3.37195</v>
      </c>
      <c r="S44" s="96" t="n">
        <f aca="false">S43*$D$2</f>
        <v>765.531825</v>
      </c>
      <c r="T44" s="96" t="n">
        <f aca="false">T43*$D$2</f>
        <v>534.3549</v>
      </c>
      <c r="U44" s="96" t="n">
        <f aca="false">U43*$D$2</f>
        <v>3441.67776065</v>
      </c>
      <c r="V44" s="101"/>
      <c r="W44" s="437"/>
      <c r="X44" s="96" t="n">
        <f aca="false">X43*$D$2</f>
        <v>257.25995</v>
      </c>
      <c r="Y44" s="96" t="n">
        <f aca="false">Y43*$D$2</f>
        <v>101.1585</v>
      </c>
      <c r="Z44" s="96" t="n">
        <f aca="false">Z43*$D$2</f>
        <v>77.3565</v>
      </c>
      <c r="AA44" s="96" t="n">
        <f aca="false">AA43*$D$2</f>
        <v>18398.946</v>
      </c>
      <c r="AB44" s="96"/>
      <c r="AC44" s="96" t="n">
        <f aca="false">AC43*$D$2</f>
        <v>24878.147925</v>
      </c>
      <c r="AD44" s="96" t="n">
        <f aca="false">AD43*$D$2</f>
        <v>0</v>
      </c>
      <c r="AE44" s="94" t="n">
        <f aca="false">AE43*$D$2</f>
        <v>24878.147925</v>
      </c>
      <c r="AF44" s="98"/>
      <c r="AG44" s="99" t="n">
        <f aca="false">MAX(AG12:AG41)</f>
        <v>71</v>
      </c>
      <c r="AH44" s="100" t="n">
        <f aca="false">MAX(AH12:AH41)</f>
        <v>42</v>
      </c>
      <c r="AI44" s="101" t="s">
        <v>78</v>
      </c>
      <c r="AJ44" s="94" t="n">
        <f aca="false">AJ43*$D$2</f>
        <v>0</v>
      </c>
      <c r="AK44" s="101"/>
      <c r="AL44" s="102" t="n">
        <f aca="false">SUM(AL12:AL41)</f>
        <v>80.1661162471492</v>
      </c>
      <c r="AM44" s="103"/>
    </row>
    <row r="45" customFormat="false" ht="3" hidden="false" customHeight="true" outlineLevel="0" collapsed="false">
      <c r="A45" s="138"/>
      <c r="B45" s="450"/>
      <c r="C45" s="114"/>
      <c r="D45" s="114"/>
      <c r="E45" s="114"/>
      <c r="F45" s="143"/>
      <c r="G45" s="114"/>
      <c r="H45" s="114"/>
      <c r="I45" s="114"/>
      <c r="J45" s="114"/>
      <c r="K45" s="114"/>
      <c r="L45" s="114"/>
      <c r="M45" s="142"/>
      <c r="N45" s="114"/>
      <c r="O45" s="114"/>
      <c r="P45" s="114"/>
      <c r="Q45" s="114"/>
      <c r="R45" s="141"/>
      <c r="S45" s="114"/>
      <c r="T45" s="114"/>
      <c r="U45" s="114"/>
      <c r="V45" s="117"/>
      <c r="W45" s="442"/>
      <c r="X45" s="114"/>
      <c r="Y45" s="114"/>
      <c r="Z45" s="114"/>
      <c r="AA45" s="114"/>
      <c r="AB45" s="112"/>
      <c r="AC45" s="114"/>
      <c r="AD45" s="114"/>
      <c r="AE45" s="114"/>
      <c r="AF45" s="451"/>
      <c r="AG45" s="114"/>
      <c r="AH45" s="143"/>
      <c r="AI45" s="117"/>
      <c r="AJ45" s="117"/>
      <c r="AK45" s="117"/>
      <c r="AL45" s="119"/>
      <c r="AM45" s="119"/>
      <c r="AN45" s="119"/>
    </row>
    <row r="46" customFormat="false" ht="12.95" hidden="false" customHeight="true" outlineLevel="0" collapsed="false">
      <c r="A46" s="17" t="s">
        <v>79</v>
      </c>
      <c r="B46" s="436"/>
      <c r="C46" s="94"/>
      <c r="D46" s="94"/>
      <c r="E46" s="94"/>
      <c r="F46" s="136" t="n">
        <f aca="false">F43</f>
        <v>55906.7305268465</v>
      </c>
      <c r="G46" s="96" t="n">
        <f aca="false">G43</f>
        <v>38134</v>
      </c>
      <c r="H46" s="101" t="n">
        <f aca="false">H43</f>
        <v>7547</v>
      </c>
      <c r="I46" s="96" t="n">
        <f aca="false">I43</f>
        <v>45681</v>
      </c>
      <c r="J46" s="96" t="n">
        <f aca="false">J43</f>
        <v>22768.2805268465</v>
      </c>
      <c r="K46" s="96" t="n">
        <f aca="false">K43</f>
        <v>68449.2805268465</v>
      </c>
      <c r="L46" s="96" t="n">
        <f aca="false">L43</f>
        <v>22768.2805268465</v>
      </c>
      <c r="M46" s="97" t="n">
        <f aca="false">M43</f>
        <v>2481.5</v>
      </c>
      <c r="N46" s="94" t="n">
        <f aca="false">N43</f>
        <v>0</v>
      </c>
      <c r="O46" s="94" t="n">
        <f aca="false">O9+O43</f>
        <v>1261.3965</v>
      </c>
      <c r="P46" s="94"/>
      <c r="Q46" s="94"/>
      <c r="R46" s="95"/>
      <c r="S46" s="96" t="n">
        <f aca="false">S43</f>
        <v>385.95</v>
      </c>
      <c r="T46" s="96" t="n">
        <f aca="false">T43</f>
        <v>269.4</v>
      </c>
      <c r="U46" s="96" t="n">
        <f aca="false">U9+U43</f>
        <v>1735.1539</v>
      </c>
      <c r="V46" s="101" t="n">
        <f aca="false">V41</f>
        <v>3179.28120579927</v>
      </c>
      <c r="W46" s="437"/>
      <c r="X46" s="96" t="n">
        <f aca="false">X43</f>
        <v>129.7</v>
      </c>
      <c r="Y46" s="96" t="n">
        <f aca="false">Y43</f>
        <v>51</v>
      </c>
      <c r="Z46" s="96" t="n">
        <f aca="false">Z43</f>
        <v>39</v>
      </c>
      <c r="AA46" s="96"/>
      <c r="AB46" s="96"/>
      <c r="AC46" s="96" t="n">
        <f aca="false">AC43</f>
        <v>12542.55</v>
      </c>
      <c r="AD46" s="96" t="n">
        <f aca="false">AD43</f>
        <v>0</v>
      </c>
      <c r="AE46" s="94" t="n">
        <f aca="false">AE43</f>
        <v>12542.55</v>
      </c>
      <c r="AF46" s="98"/>
      <c r="AG46" s="99" t="n">
        <f aca="false">MIN(AG12:AG41)</f>
        <v>48</v>
      </c>
      <c r="AH46" s="100" t="n">
        <f aca="false">MIN(AH12:AH41)</f>
        <v>15</v>
      </c>
      <c r="AI46" s="101" t="s">
        <v>80</v>
      </c>
      <c r="AJ46" s="101"/>
      <c r="AK46" s="101"/>
      <c r="AL46" s="102"/>
      <c r="AM46" s="103"/>
    </row>
    <row r="47" customFormat="false" ht="12.95" hidden="false" customHeight="true" outlineLevel="0" collapsed="false">
      <c r="A47" s="17" t="s">
        <v>81</v>
      </c>
      <c r="B47" s="436"/>
      <c r="C47" s="94"/>
      <c r="D47" s="94"/>
      <c r="E47" s="94"/>
      <c r="F47" s="136" t="n">
        <f aca="false">F46*$D$2</f>
        <v>110891</v>
      </c>
      <c r="G47" s="96" t="n">
        <f aca="false">G46*$D$2</f>
        <v>75638.789</v>
      </c>
      <c r="H47" s="101" t="n">
        <f aca="false">H46*$D$2</f>
        <v>14969.4745</v>
      </c>
      <c r="I47" s="96" t="n">
        <f aca="false">I46*$D$2</f>
        <v>90608.2635</v>
      </c>
      <c r="J47" s="96" t="n">
        <f aca="false">J46*$D$2</f>
        <v>45160.884425</v>
      </c>
      <c r="K47" s="96" t="n">
        <f aca="false">K46*$D$2</f>
        <v>135769.147925</v>
      </c>
      <c r="L47" s="96" t="n">
        <f aca="false">L46*$D$2</f>
        <v>45160.884425</v>
      </c>
      <c r="M47" s="97" t="n">
        <f aca="false">M46*$D$2</f>
        <v>4922.05525</v>
      </c>
      <c r="N47" s="94" t="n">
        <f aca="false">N46*$D$2</f>
        <v>0</v>
      </c>
      <c r="O47" s="94" t="n">
        <f aca="false">O46*$D$2</f>
        <v>2501.97995775</v>
      </c>
      <c r="P47" s="94"/>
      <c r="Q47" s="94"/>
      <c r="R47" s="95"/>
      <c r="S47" s="96" t="n">
        <f aca="false">S46*$D$2</f>
        <v>765.531825</v>
      </c>
      <c r="T47" s="96" t="n">
        <f aca="false">T46*$D$2</f>
        <v>534.3549</v>
      </c>
      <c r="U47" s="96" t="n">
        <f aca="false">U46*$D$2</f>
        <v>3441.67776065</v>
      </c>
      <c r="V47" s="101" t="n">
        <f aca="false">V46*$D$2</f>
        <v>6306.10427170286</v>
      </c>
      <c r="W47" s="437"/>
      <c r="X47" s="96" t="n">
        <f aca="false">X46*$D$2</f>
        <v>257.25995</v>
      </c>
      <c r="Y47" s="96" t="n">
        <f aca="false">Y46*$D$2</f>
        <v>101.1585</v>
      </c>
      <c r="Z47" s="96" t="n">
        <f aca="false">Z46*$D$2</f>
        <v>77.3565</v>
      </c>
      <c r="AA47" s="96"/>
      <c r="AB47" s="96"/>
      <c r="AC47" s="96" t="n">
        <f aca="false">AC46*$D$2</f>
        <v>24878.147925</v>
      </c>
      <c r="AD47" s="96" t="n">
        <f aca="false">AD46*$D$2</f>
        <v>0</v>
      </c>
      <c r="AE47" s="94" t="n">
        <f aca="false">AE46*$D$2</f>
        <v>24878.147925</v>
      </c>
      <c r="AF47" s="98"/>
      <c r="AG47" s="99"/>
      <c r="AH47" s="100"/>
      <c r="AI47" s="101"/>
      <c r="AJ47" s="101"/>
      <c r="AK47" s="101"/>
      <c r="AL47" s="102" t="n">
        <f aca="false">AL44</f>
        <v>80.1661162471492</v>
      </c>
      <c r="AM47" s="103"/>
    </row>
    <row r="48" customFormat="false" ht="3" hidden="false" customHeight="true" outlineLevel="0" collapsed="false">
      <c r="A48" s="138"/>
      <c r="B48" s="450"/>
      <c r="C48" s="114"/>
      <c r="D48" s="114"/>
      <c r="E48" s="114"/>
      <c r="F48" s="143"/>
      <c r="G48" s="114"/>
      <c r="H48" s="117"/>
      <c r="I48" s="114"/>
      <c r="J48" s="114"/>
      <c r="K48" s="114"/>
      <c r="L48" s="114"/>
      <c r="M48" s="142"/>
      <c r="N48" s="114"/>
      <c r="O48" s="114"/>
      <c r="P48" s="114"/>
      <c r="Q48" s="114"/>
      <c r="R48" s="141"/>
      <c r="S48" s="114"/>
      <c r="T48" s="114"/>
      <c r="U48" s="114"/>
      <c r="V48" s="117"/>
      <c r="W48" s="442"/>
      <c r="X48" s="114"/>
      <c r="Y48" s="114"/>
      <c r="Z48" s="114"/>
      <c r="AA48" s="114"/>
      <c r="AB48" s="114"/>
      <c r="AC48" s="114"/>
      <c r="AD48" s="114"/>
      <c r="AE48" s="114"/>
      <c r="AF48" s="116"/>
      <c r="AG48" s="452"/>
      <c r="AH48" s="453"/>
      <c r="AI48" s="117"/>
      <c r="AJ48" s="117"/>
      <c r="AK48" s="117"/>
      <c r="AL48" s="119"/>
      <c r="AM48" s="119"/>
      <c r="AN48" s="119"/>
    </row>
    <row r="49" customFormat="false" ht="12.95" hidden="false" customHeight="true" outlineLevel="0" collapsed="false">
      <c r="A49" s="17" t="s">
        <v>82</v>
      </c>
      <c r="B49" s="436"/>
      <c r="C49" s="94"/>
      <c r="D49" s="94"/>
      <c r="E49" s="94"/>
      <c r="F49" s="136" t="n">
        <f aca="false">F10+F43</f>
        <v>72329.7201915805</v>
      </c>
      <c r="G49" s="96" t="n">
        <f aca="false">G10+G43</f>
        <v>54592</v>
      </c>
      <c r="H49" s="101" t="n">
        <f aca="false">H10+H43</f>
        <v>9936.54</v>
      </c>
      <c r="I49" s="96" t="n">
        <f aca="false">I10+I43</f>
        <v>64528.54</v>
      </c>
      <c r="J49" s="96" t="n">
        <f aca="false">J10+J43</f>
        <v>33229.7856314595</v>
      </c>
      <c r="K49" s="96" t="n">
        <f aca="false">K10+K43</f>
        <v>97758.3256314595</v>
      </c>
      <c r="L49" s="96" t="n">
        <f aca="false">L10+L43</f>
        <v>32684.5301915805</v>
      </c>
      <c r="M49" s="97" t="n">
        <f aca="false">M10+M43</f>
        <v>3277.5</v>
      </c>
      <c r="N49" s="94" t="n">
        <f aca="false">N10+N43</f>
        <v>0</v>
      </c>
      <c r="O49" s="94" t="n">
        <f aca="false">O10+O43</f>
        <v>1261.3965</v>
      </c>
      <c r="P49" s="94" t="n">
        <f aca="false">P10+P43</f>
        <v>257.2644</v>
      </c>
      <c r="Q49" s="94" t="n">
        <f aca="false">Q10+Q43</f>
        <v>464.0088</v>
      </c>
      <c r="R49" s="95" t="n">
        <f aca="false">R10+R43</f>
        <v>2.67</v>
      </c>
      <c r="S49" s="96" t="n">
        <f aca="false">S10+S43</f>
        <v>7854.95</v>
      </c>
      <c r="T49" s="96" t="n">
        <f aca="false">T10+T43</f>
        <v>303.2</v>
      </c>
      <c r="U49" s="96" t="n">
        <f aca="false">U10+U43</f>
        <v>9450.3103</v>
      </c>
      <c r="V49" s="101"/>
      <c r="W49" s="437"/>
      <c r="X49" s="96"/>
      <c r="Y49" s="96"/>
      <c r="Z49" s="96"/>
      <c r="AA49" s="96" t="n">
        <f aca="false">AA10+AA43</f>
        <v>13318</v>
      </c>
      <c r="AB49" s="96" t="n">
        <f aca="false">AB41</f>
        <v>14600.433072851</v>
      </c>
      <c r="AC49" s="96" t="n">
        <f aca="false">AC10+AC43</f>
        <v>24883.35</v>
      </c>
      <c r="AD49" s="96" t="n">
        <f aca="false">AD10+AD43</f>
        <v>545.255439879002</v>
      </c>
      <c r="AE49" s="94" t="n">
        <f aca="false">AE10+AE43</f>
        <v>25428.605439879</v>
      </c>
      <c r="AF49" s="98" t="n">
        <f aca="false">AF10+AF43</f>
        <v>12.88</v>
      </c>
      <c r="AG49" s="99"/>
      <c r="AH49" s="100"/>
      <c r="AI49" s="101"/>
      <c r="AJ49" s="94" t="n">
        <f aca="false">AJ10+AJ43</f>
        <v>0</v>
      </c>
      <c r="AK49" s="101"/>
      <c r="AL49" s="102"/>
      <c r="AM49" s="103"/>
    </row>
    <row r="50" customFormat="false" ht="12.95" hidden="false" customHeight="true" outlineLevel="0" collapsed="false">
      <c r="A50" s="17" t="s">
        <v>83</v>
      </c>
      <c r="B50" s="436"/>
      <c r="C50" s="94"/>
      <c r="D50" s="94" t="n">
        <f aca="false">D10+D44</f>
        <v>143466</v>
      </c>
      <c r="E50" s="94" t="n">
        <f aca="false">E41</f>
        <v>198712</v>
      </c>
      <c r="F50" s="136" t="n">
        <f aca="false">F49*$D$2</f>
        <v>143466</v>
      </c>
      <c r="G50" s="96" t="n">
        <f aca="false">G49*$D$2</f>
        <v>108283.232</v>
      </c>
      <c r="H50" s="101" t="n">
        <f aca="false">H49*$D$2</f>
        <v>19709.12709</v>
      </c>
      <c r="I50" s="96" t="n">
        <f aca="false">I49*$D$2</f>
        <v>127992.35909</v>
      </c>
      <c r="J50" s="96" t="n">
        <f aca="false">J49*$D$2</f>
        <v>65911.2798</v>
      </c>
      <c r="K50" s="96" t="n">
        <f aca="false">K49*$D$2</f>
        <v>193903.63889</v>
      </c>
      <c r="L50" s="96" t="n">
        <f aca="false">L49*$D$2</f>
        <v>64829.765635</v>
      </c>
      <c r="M50" s="97" t="n">
        <f aca="false">M49*$D$2</f>
        <v>6500.92125</v>
      </c>
      <c r="N50" s="94" t="n">
        <f aca="false">N49*$D$2</f>
        <v>0</v>
      </c>
      <c r="O50" s="94" t="n">
        <f aca="false">O49*$D$2</f>
        <v>2501.97995775</v>
      </c>
      <c r="P50" s="94" t="n">
        <f aca="false">P49*$D$2</f>
        <v>510.2839374</v>
      </c>
      <c r="Q50" s="94" t="n">
        <f aca="false">Q49*$D$2</f>
        <v>920.3614548</v>
      </c>
      <c r="R50" s="95" t="n">
        <f aca="false">R49*$D$2</f>
        <v>5.295945</v>
      </c>
      <c r="S50" s="96" t="n">
        <f aca="false">S49*$D$2</f>
        <v>15580.293325</v>
      </c>
      <c r="T50" s="96" t="n">
        <f aca="false">T49*$D$2</f>
        <v>601.3972</v>
      </c>
      <c r="U50" s="96" t="n">
        <f aca="false">U49*$D$2</f>
        <v>18744.69048005</v>
      </c>
      <c r="V50" s="101"/>
      <c r="W50" s="437"/>
      <c r="X50" s="96"/>
      <c r="Y50" s="96"/>
      <c r="Z50" s="96"/>
      <c r="AA50" s="96" t="n">
        <f aca="false">AA49*$D$2</f>
        <v>26416.253</v>
      </c>
      <c r="AB50" s="96" t="n">
        <f aca="false">AB49*$D$2</f>
        <v>28959.959</v>
      </c>
      <c r="AC50" s="96" t="n">
        <f aca="false">AC49*$D$2</f>
        <v>49356.124725</v>
      </c>
      <c r="AD50" s="96" t="n">
        <f aca="false">AD49*$D$2</f>
        <v>1081.514165</v>
      </c>
      <c r="AE50" s="94" t="n">
        <f aca="false">AE49*$D$2</f>
        <v>50437.63889</v>
      </c>
      <c r="AF50" s="98"/>
      <c r="AG50" s="99"/>
      <c r="AH50" s="100"/>
      <c r="AI50" s="101" t="n">
        <f aca="false">AI41</f>
        <v>14814.1599532</v>
      </c>
      <c r="AJ50" s="94" t="n">
        <f aca="false">AJ49*$D$2</f>
        <v>0</v>
      </c>
      <c r="AK50" s="101"/>
      <c r="AL50" s="102" t="n">
        <f aca="false">AL44</f>
        <v>80.1661162471492</v>
      </c>
      <c r="AM50" s="103"/>
    </row>
    <row r="51" customFormat="false" ht="3" hidden="false" customHeight="true" outlineLevel="0" collapsed="false">
      <c r="A51" s="106"/>
      <c r="B51" s="135"/>
      <c r="C51" s="108"/>
      <c r="D51" s="106"/>
      <c r="E51" s="108"/>
      <c r="F51" s="109"/>
      <c r="G51" s="106"/>
      <c r="H51" s="110"/>
      <c r="I51" s="106"/>
      <c r="J51" s="106"/>
      <c r="K51" s="106"/>
      <c r="L51" s="106"/>
      <c r="M51" s="111"/>
      <c r="N51" s="106"/>
      <c r="O51" s="106"/>
      <c r="P51" s="106"/>
      <c r="Q51" s="106"/>
      <c r="R51" s="146"/>
      <c r="S51" s="106"/>
      <c r="T51" s="106"/>
      <c r="U51" s="106"/>
      <c r="V51" s="144"/>
      <c r="W51" s="454"/>
      <c r="X51" s="106"/>
      <c r="Y51" s="111"/>
      <c r="Z51" s="146"/>
      <c r="AA51" s="106"/>
      <c r="AB51" s="108"/>
      <c r="AC51" s="106"/>
      <c r="AD51" s="106"/>
      <c r="AE51" s="106"/>
      <c r="AF51" s="135"/>
      <c r="AG51" s="106"/>
      <c r="AH51" s="109"/>
      <c r="AI51" s="144"/>
      <c r="AJ51" s="144"/>
      <c r="AK51" s="144"/>
      <c r="AL51" s="147"/>
      <c r="AM51" s="147"/>
      <c r="AN51" s="147"/>
    </row>
    <row r="52" customFormat="false" ht="14.1" hidden="false" customHeight="true" outlineLevel="0" collapsed="false">
      <c r="A52" s="150"/>
      <c r="B52" s="151"/>
      <c r="C52" s="10"/>
      <c r="D52" s="9"/>
      <c r="E52" s="10"/>
      <c r="F52" s="9"/>
      <c r="G52" s="9"/>
      <c r="H52" s="11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15"/>
      <c r="W52" s="122"/>
      <c r="X52" s="9"/>
      <c r="Y52" s="9"/>
      <c r="Z52" s="9"/>
      <c r="AA52" s="9"/>
      <c r="AB52" s="10"/>
      <c r="AC52" s="9"/>
      <c r="AD52" s="9"/>
      <c r="AE52" s="30"/>
      <c r="AF52" s="403"/>
      <c r="AG52" s="120"/>
      <c r="AH52" s="120"/>
      <c r="AI52" s="15"/>
      <c r="AJ52" s="15"/>
      <c r="AK52" s="404"/>
      <c r="AL52" s="455"/>
    </row>
    <row r="53" customFormat="false" ht="11.1" hidden="false" customHeight="true" outlineLevel="0" collapsed="false">
      <c r="A53" s="9"/>
      <c r="B53" s="152"/>
      <c r="C53" s="10"/>
      <c r="D53" s="153"/>
      <c r="E53" s="10"/>
      <c r="F53" s="9"/>
      <c r="G53" s="9"/>
      <c r="H53" s="153"/>
      <c r="I53" s="11"/>
      <c r="J53" s="9"/>
      <c r="K53" s="154"/>
      <c r="L53" s="9"/>
      <c r="M53" s="9"/>
      <c r="N53" s="9"/>
      <c r="O53" s="9"/>
      <c r="P53" s="9"/>
      <c r="Q53" s="9"/>
      <c r="R53" s="9"/>
      <c r="S53" s="9"/>
      <c r="T53" s="9"/>
      <c r="U53" s="9"/>
      <c r="V53" s="15"/>
      <c r="W53" s="122"/>
      <c r="X53" s="9"/>
      <c r="Y53" s="9"/>
      <c r="Z53" s="9"/>
      <c r="AA53" s="9"/>
      <c r="AB53" s="10"/>
      <c r="AC53" s="9"/>
      <c r="AD53" s="9"/>
      <c r="AE53" s="124"/>
      <c r="AF53" s="403"/>
      <c r="AG53" s="120"/>
      <c r="AH53" s="120"/>
      <c r="AI53" s="15"/>
      <c r="AJ53" s="15"/>
      <c r="AK53" s="404"/>
      <c r="AL53" s="455"/>
    </row>
    <row r="54" customFormat="false" ht="11.1" hidden="false" customHeight="true" outlineLevel="0" collapsed="false">
      <c r="B54" s="153"/>
      <c r="C54" s="10"/>
      <c r="D54" s="10"/>
      <c r="E54" s="10"/>
      <c r="F54" s="153"/>
      <c r="G54" s="153"/>
      <c r="H54" s="11"/>
      <c r="I54" s="153"/>
      <c r="J54" s="153"/>
      <c r="K54" s="153"/>
      <c r="L54" s="153"/>
      <c r="M54" s="122"/>
      <c r="N54" s="122"/>
      <c r="O54" s="122"/>
      <c r="P54" s="122"/>
      <c r="Q54" s="122"/>
      <c r="R54" s="122"/>
      <c r="S54" s="153"/>
      <c r="T54" s="153"/>
      <c r="U54" s="153"/>
      <c r="V54" s="15"/>
      <c r="W54" s="122"/>
      <c r="X54" s="153"/>
      <c r="Y54" s="153"/>
      <c r="Z54" s="153"/>
      <c r="AA54" s="153"/>
      <c r="AB54" s="10"/>
      <c r="AC54" s="153"/>
      <c r="AD54" s="153"/>
      <c r="AE54" s="456"/>
      <c r="AF54" s="403"/>
      <c r="AG54" s="120"/>
      <c r="AH54" s="120"/>
      <c r="AI54" s="15"/>
      <c r="AJ54" s="15"/>
      <c r="AK54" s="404"/>
      <c r="AL54" s="455"/>
    </row>
    <row r="55" customFormat="false" ht="11.1" hidden="false" customHeight="true" outlineLevel="0" collapsed="false">
      <c r="A55" s="153"/>
      <c r="B55" s="13"/>
      <c r="C55" s="10"/>
      <c r="D55" s="10"/>
      <c r="E55" s="10"/>
      <c r="F55" s="153"/>
      <c r="G55" s="153"/>
      <c r="H55" s="11"/>
      <c r="I55" s="153"/>
      <c r="J55" s="153"/>
      <c r="K55" s="153"/>
      <c r="L55" s="153"/>
      <c r="M55" s="122"/>
      <c r="N55" s="122"/>
      <c r="O55" s="122"/>
      <c r="P55" s="122"/>
      <c r="Q55" s="122"/>
      <c r="R55" s="122"/>
      <c r="S55" s="153"/>
      <c r="T55" s="153"/>
      <c r="U55" s="153"/>
      <c r="V55" s="15"/>
      <c r="W55" s="122"/>
      <c r="X55" s="153"/>
      <c r="Y55" s="153"/>
      <c r="Z55" s="153"/>
      <c r="AA55" s="153"/>
      <c r="AB55" s="10"/>
      <c r="AC55" s="153"/>
      <c r="AD55" s="153"/>
      <c r="AE55" s="30"/>
      <c r="AF55" s="403"/>
      <c r="AG55" s="120"/>
      <c r="AH55" s="120"/>
      <c r="AI55" s="15"/>
      <c r="AJ55" s="15"/>
      <c r="AK55" s="404"/>
      <c r="AL55" s="455"/>
    </row>
    <row r="56" customFormat="false" ht="11.1" hidden="false" customHeight="true" outlineLevel="0" collapsed="false">
      <c r="A56" s="153"/>
      <c r="B56" s="153"/>
      <c r="C56" s="10"/>
      <c r="D56" s="153"/>
      <c r="E56" s="10"/>
      <c r="F56" s="153"/>
      <c r="G56" s="155"/>
      <c r="H56" s="11"/>
      <c r="I56" s="153"/>
      <c r="J56" s="153"/>
      <c r="K56" s="153"/>
      <c r="L56" s="153"/>
      <c r="M56" s="122"/>
      <c r="N56" s="122"/>
      <c r="O56" s="122"/>
      <c r="P56" s="122"/>
      <c r="Q56" s="122"/>
      <c r="R56" s="153"/>
      <c r="S56" s="153"/>
      <c r="T56" s="153"/>
      <c r="U56" s="10"/>
      <c r="V56" s="15"/>
      <c r="W56" s="122"/>
      <c r="X56" s="153"/>
      <c r="Y56" s="153"/>
      <c r="Z56" s="153"/>
      <c r="AA56" s="10"/>
      <c r="AB56" s="153"/>
      <c r="AC56" s="153"/>
      <c r="AD56" s="153"/>
      <c r="AE56" s="402"/>
      <c r="AF56" s="403"/>
      <c r="AG56" s="120"/>
      <c r="AH56" s="88"/>
      <c r="AI56" s="16"/>
      <c r="AJ56" s="16"/>
      <c r="AK56" s="404"/>
    </row>
    <row r="57" customFormat="false" ht="11.1" hidden="false" customHeight="true" outlineLevel="0" collapsed="false">
      <c r="AH57" s="88"/>
      <c r="AI57" s="16"/>
      <c r="AJ57" s="16"/>
    </row>
  </sheetData>
  <mergeCells count="1">
    <mergeCell ref="M5:R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9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D22" activePane="bottomRight" state="frozen"/>
      <selection pane="topLeft" activeCell="A1" activeCellId="0" sqref="A1"/>
      <selection pane="topRight" activeCell="D1" activeCellId="0" sqref="D1"/>
      <selection pane="bottomLeft" activeCell="A22" activeCellId="0" sqref="A22"/>
      <selection pane="bottomRight" activeCell="G5" activeCellId="0" sqref="G5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159" width="6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6" min="16" style="159" width="4.32"/>
    <col collapsed="false" customWidth="true" hidden="false" outlineLevel="0" max="17" min="17" style="159" width="4.82"/>
    <col collapsed="false" customWidth="true" hidden="false" outlineLevel="0" max="18" min="18" style="156" width="4.32"/>
    <col collapsed="false" customWidth="true" hidden="false" outlineLevel="0" max="20" min="19" style="156" width="5.49"/>
    <col collapsed="false" customWidth="true" hidden="false" outlineLevel="0" max="21" min="21" style="157" width="6.32"/>
    <col collapsed="false" customWidth="true" hidden="false" outlineLevel="0" max="26" min="22" style="156" width="5.49"/>
    <col collapsed="false" customWidth="true" hidden="false" outlineLevel="0" max="27" min="27" style="161" width="5.82"/>
    <col collapsed="false" customWidth="true" hidden="false" outlineLevel="0" max="28" min="28" style="156" width="5.49"/>
    <col collapsed="false" customWidth="true" hidden="false" outlineLevel="0" max="29" min="29" style="156" width="6.32"/>
    <col collapsed="false" customWidth="true" hidden="false" outlineLevel="0" max="30" min="30" style="156" width="6.99"/>
    <col collapsed="false" customWidth="true" hidden="false" outlineLevel="0" max="31" min="31" style="160" width="6.99"/>
    <col collapsed="false" customWidth="true" hidden="false" outlineLevel="0" max="32" min="32" style="158" width="5.32"/>
    <col collapsed="false" customWidth="true" hidden="false" outlineLevel="0" max="33" min="33" style="161" width="3.82"/>
    <col collapsed="false" customWidth="true" hidden="false" outlineLevel="0" max="34" min="34" style="162" width="3.82"/>
    <col collapsed="false" customWidth="true" hidden="false" outlineLevel="0" max="35" min="35" style="161" width="5.49"/>
    <col collapsed="false" customWidth="true" hidden="false" outlineLevel="0" max="36" min="36" style="156" width="5.49"/>
    <col collapsed="false" customWidth="true" hidden="false" outlineLevel="0" max="37" min="37" style="156" width="6.32"/>
    <col collapsed="false" customWidth="true" hidden="false" outlineLevel="0" max="38" min="38" style="457" width="6.32"/>
    <col collapsed="false" customWidth="true" hidden="false" outlineLevel="0" max="39" min="39" style="156" width="6.32"/>
    <col collapsed="false" customWidth="true" hidden="false" outlineLevel="0" max="40" min="40" style="156" width="6.49"/>
    <col collapsed="false" customWidth="false" hidden="false" outlineLevel="0" max="257" min="41" style="156" width="9.32"/>
  </cols>
  <sheetData>
    <row r="1" customFormat="false" ht="14.1" hidden="false" customHeight="true" outlineLevel="0" collapsed="false">
      <c r="A1" s="164"/>
      <c r="B1" s="164"/>
      <c r="C1" s="165"/>
      <c r="D1" s="164"/>
      <c r="E1" s="165"/>
      <c r="F1" s="164"/>
      <c r="G1" s="164"/>
      <c r="H1" s="168"/>
      <c r="I1" s="164"/>
      <c r="J1" s="164"/>
      <c r="K1" s="167" t="s">
        <v>0</v>
      </c>
      <c r="L1" s="164"/>
      <c r="M1" s="164"/>
      <c r="N1" s="164"/>
      <c r="O1" s="164"/>
      <c r="P1" s="164"/>
      <c r="Q1" s="164"/>
      <c r="R1" s="164"/>
      <c r="S1" s="164"/>
      <c r="T1" s="164"/>
      <c r="U1" s="165"/>
      <c r="V1" s="164"/>
      <c r="W1" s="164"/>
      <c r="X1" s="164"/>
      <c r="Y1" s="164"/>
      <c r="Z1" s="164"/>
      <c r="AA1" s="171"/>
      <c r="AB1" s="164"/>
      <c r="AC1" s="164"/>
      <c r="AD1" s="164"/>
      <c r="AE1" s="169"/>
      <c r="AF1" s="170"/>
      <c r="AG1" s="171"/>
      <c r="AH1" s="172"/>
      <c r="AI1" s="346"/>
      <c r="AJ1" s="289"/>
      <c r="AK1" s="289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168"/>
      <c r="I2" s="164"/>
      <c r="J2" s="164"/>
      <c r="K2" s="175" t="s">
        <v>107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64"/>
      <c r="Y2" s="164"/>
      <c r="Z2" s="164"/>
      <c r="AA2" s="171"/>
      <c r="AB2" s="164"/>
      <c r="AC2" s="164"/>
      <c r="AD2" s="164"/>
      <c r="AE2" s="169"/>
      <c r="AF2" s="170"/>
      <c r="AG2" s="171"/>
      <c r="AH2" s="172"/>
      <c r="AI2" s="346"/>
      <c r="AJ2" s="289"/>
      <c r="AK2" s="289"/>
    </row>
    <row r="3" customFormat="false" ht="14.1" hidden="false" customHeight="true" outlineLevel="0" collapsed="false">
      <c r="A3" s="164"/>
      <c r="B3" s="164"/>
      <c r="C3" s="165"/>
      <c r="D3" s="458"/>
      <c r="E3" s="165"/>
      <c r="F3" s="164"/>
      <c r="G3" s="164"/>
      <c r="H3" s="168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5"/>
      <c r="V3" s="164"/>
      <c r="W3" s="164"/>
      <c r="X3" s="164"/>
      <c r="Y3" s="164"/>
      <c r="Z3" s="164"/>
      <c r="AA3" s="171"/>
      <c r="AB3" s="164"/>
      <c r="AC3" s="164"/>
      <c r="AD3" s="164"/>
      <c r="AE3" s="169"/>
      <c r="AF3" s="170"/>
      <c r="AG3" s="171"/>
      <c r="AH3" s="172"/>
      <c r="AI3" s="346"/>
      <c r="AJ3" s="289"/>
      <c r="AK3" s="289"/>
    </row>
    <row r="4" s="200" customFormat="true" ht="14.1" hidden="false" customHeight="true" outlineLevel="0" collapsed="false">
      <c r="A4" s="459"/>
      <c r="B4" s="188"/>
      <c r="C4" s="189"/>
      <c r="D4" s="294" t="s">
        <v>3</v>
      </c>
      <c r="E4" s="189"/>
      <c r="F4" s="459"/>
      <c r="G4" s="188"/>
      <c r="H4" s="460"/>
      <c r="I4" s="459"/>
      <c r="J4" s="459"/>
      <c r="K4" s="459"/>
      <c r="L4" s="459"/>
      <c r="M4" s="459"/>
      <c r="N4" s="459"/>
      <c r="O4" s="459"/>
      <c r="P4" s="459"/>
      <c r="Q4" s="459"/>
      <c r="R4" s="459"/>
      <c r="S4" s="461" t="s">
        <v>4</v>
      </c>
      <c r="T4" s="459"/>
      <c r="U4" s="189"/>
      <c r="V4" s="459"/>
      <c r="W4" s="459"/>
      <c r="X4" s="459"/>
      <c r="Y4" s="459"/>
      <c r="Z4" s="459"/>
      <c r="AA4" s="462"/>
      <c r="AB4" s="459"/>
      <c r="AC4" s="459"/>
      <c r="AD4" s="459"/>
      <c r="AE4" s="463"/>
      <c r="AF4" s="197"/>
      <c r="AG4" s="198" t="s">
        <v>5</v>
      </c>
      <c r="AH4" s="199"/>
      <c r="AI4" s="418"/>
      <c r="AJ4" s="418"/>
      <c r="AK4" s="193" t="s">
        <v>6</v>
      </c>
      <c r="AL4" s="419"/>
      <c r="AM4" s="44"/>
      <c r="AN4" s="204"/>
    </row>
    <row r="5" customFormat="false" ht="12.95" hidden="false" customHeight="true" outlineLevel="0" collapsed="false">
      <c r="A5" s="233" t="s">
        <v>7</v>
      </c>
      <c r="B5" s="464" t="s">
        <v>8</v>
      </c>
      <c r="C5" s="229" t="s">
        <v>8</v>
      </c>
      <c r="D5" s="233" t="s">
        <v>9</v>
      </c>
      <c r="E5" s="229" t="s">
        <v>10</v>
      </c>
      <c r="F5" s="233" t="s">
        <v>11</v>
      </c>
      <c r="G5" s="465" t="s">
        <v>12</v>
      </c>
      <c r="H5" s="466" t="s">
        <v>13</v>
      </c>
      <c r="I5" s="467" t="s">
        <v>14</v>
      </c>
      <c r="J5" s="467" t="s">
        <v>15</v>
      </c>
      <c r="K5" s="467" t="s">
        <v>16</v>
      </c>
      <c r="L5" s="233" t="s">
        <v>15</v>
      </c>
      <c r="M5" s="210" t="s">
        <v>17</v>
      </c>
      <c r="N5" s="210"/>
      <c r="O5" s="210"/>
      <c r="P5" s="210"/>
      <c r="Q5" s="210"/>
      <c r="R5" s="210"/>
      <c r="S5" s="233" t="s">
        <v>18</v>
      </c>
      <c r="T5" s="233" t="s">
        <v>19</v>
      </c>
      <c r="U5" s="233" t="s">
        <v>16</v>
      </c>
      <c r="V5" s="229" t="s">
        <v>20</v>
      </c>
      <c r="W5" s="229" t="s">
        <v>20</v>
      </c>
      <c r="X5" s="233" t="s">
        <v>21</v>
      </c>
      <c r="Y5" s="212" t="s">
        <v>85</v>
      </c>
      <c r="Z5" s="213"/>
      <c r="AA5" s="224" t="s">
        <v>23</v>
      </c>
      <c r="AB5" s="229" t="s">
        <v>108</v>
      </c>
      <c r="AC5" s="233" t="s">
        <v>14</v>
      </c>
      <c r="AD5" s="233" t="s">
        <v>15</v>
      </c>
      <c r="AE5" s="233" t="s">
        <v>16</v>
      </c>
      <c r="AF5" s="350" t="s">
        <v>25</v>
      </c>
      <c r="AG5" s="224" t="s">
        <v>26</v>
      </c>
      <c r="AH5" s="351" t="s">
        <v>27</v>
      </c>
      <c r="AI5" s="67" t="s">
        <v>86</v>
      </c>
      <c r="AJ5" s="67" t="s">
        <v>20</v>
      </c>
      <c r="AK5" s="68" t="s">
        <v>87</v>
      </c>
      <c r="AL5" s="68" t="s">
        <v>87</v>
      </c>
      <c r="AM5" s="61" t="s">
        <v>29</v>
      </c>
      <c r="AN5" s="225" t="s">
        <v>30</v>
      </c>
    </row>
    <row r="6" customFormat="false" ht="12.95" hidden="false" customHeight="true" outlineLevel="0" collapsed="false">
      <c r="A6" s="468" t="s">
        <v>109</v>
      </c>
      <c r="B6" s="464" t="s">
        <v>32</v>
      </c>
      <c r="C6" s="229" t="s">
        <v>9</v>
      </c>
      <c r="D6" s="233" t="s">
        <v>33</v>
      </c>
      <c r="E6" s="229" t="s">
        <v>34</v>
      </c>
      <c r="F6" s="233" t="s">
        <v>35</v>
      </c>
      <c r="G6" s="465" t="s">
        <v>36</v>
      </c>
      <c r="H6" s="466" t="s">
        <v>37</v>
      </c>
      <c r="I6" s="467" t="s">
        <v>38</v>
      </c>
      <c r="J6" s="467" t="s">
        <v>38</v>
      </c>
      <c r="K6" s="467" t="s">
        <v>38</v>
      </c>
      <c r="L6" s="233" t="s">
        <v>39</v>
      </c>
      <c r="M6" s="469" t="s">
        <v>40</v>
      </c>
      <c r="N6" s="233" t="s">
        <v>41</v>
      </c>
      <c r="O6" s="233" t="s">
        <v>42</v>
      </c>
      <c r="P6" s="233" t="s">
        <v>43</v>
      </c>
      <c r="Q6" s="233" t="s">
        <v>44</v>
      </c>
      <c r="R6" s="234" t="s">
        <v>45</v>
      </c>
      <c r="S6" s="233" t="s">
        <v>46</v>
      </c>
      <c r="T6" s="233" t="s">
        <v>47</v>
      </c>
      <c r="U6" s="233" t="s">
        <v>20</v>
      </c>
      <c r="V6" s="229" t="s">
        <v>57</v>
      </c>
      <c r="W6" s="229" t="s">
        <v>49</v>
      </c>
      <c r="X6" s="233" t="s">
        <v>50</v>
      </c>
      <c r="Y6" s="221"/>
      <c r="Z6" s="222"/>
      <c r="AA6" s="224" t="s">
        <v>53</v>
      </c>
      <c r="AB6" s="229" t="s">
        <v>54</v>
      </c>
      <c r="AC6" s="233" t="s">
        <v>55</v>
      </c>
      <c r="AD6" s="233" t="s">
        <v>55</v>
      </c>
      <c r="AE6" s="233" t="s">
        <v>55</v>
      </c>
      <c r="AF6" s="353"/>
      <c r="AG6" s="224" t="s">
        <v>56</v>
      </c>
      <c r="AH6" s="351" t="s">
        <v>56</v>
      </c>
      <c r="AI6" s="67" t="s">
        <v>57</v>
      </c>
      <c r="AJ6" s="67" t="s">
        <v>58</v>
      </c>
      <c r="AK6" s="68" t="s">
        <v>59</v>
      </c>
      <c r="AL6" s="68" t="s">
        <v>59</v>
      </c>
      <c r="AM6" s="61" t="s">
        <v>60</v>
      </c>
      <c r="AN6" s="225" t="s">
        <v>61</v>
      </c>
    </row>
    <row r="7" customFormat="false" ht="12.95" hidden="false" customHeight="true" outlineLevel="0" collapsed="false">
      <c r="A7" s="233"/>
      <c r="B7" s="464"/>
      <c r="C7" s="229"/>
      <c r="D7" s="233"/>
      <c r="E7" s="229" t="s">
        <v>62</v>
      </c>
      <c r="F7" s="233"/>
      <c r="G7" s="464"/>
      <c r="H7" s="235"/>
      <c r="I7" s="233"/>
      <c r="J7" s="233"/>
      <c r="K7" s="233"/>
      <c r="L7" s="233"/>
      <c r="M7" s="469"/>
      <c r="N7" s="233" t="s">
        <v>63</v>
      </c>
      <c r="O7" s="233" t="s">
        <v>64</v>
      </c>
      <c r="P7" s="233"/>
      <c r="Q7" s="233"/>
      <c r="R7" s="234" t="s">
        <v>42</v>
      </c>
      <c r="S7" s="233"/>
      <c r="T7" s="233"/>
      <c r="U7" s="233"/>
      <c r="V7" s="229"/>
      <c r="W7" s="229" t="s">
        <v>91</v>
      </c>
      <c r="X7" s="233"/>
      <c r="Y7" s="232"/>
      <c r="Z7" s="236"/>
      <c r="AA7" s="224"/>
      <c r="AB7" s="229"/>
      <c r="AC7" s="233"/>
      <c r="AD7" s="233"/>
      <c r="AE7" s="233"/>
      <c r="AF7" s="353"/>
      <c r="AG7" s="224"/>
      <c r="AH7" s="351"/>
      <c r="AI7" s="67" t="s">
        <v>62</v>
      </c>
      <c r="AJ7" s="67" t="s">
        <v>66</v>
      </c>
      <c r="AK7" s="68" t="s">
        <v>105</v>
      </c>
      <c r="AL7" s="68" t="s">
        <v>92</v>
      </c>
      <c r="AM7" s="61" t="s">
        <v>69</v>
      </c>
      <c r="AN7" s="225" t="s">
        <v>70</v>
      </c>
    </row>
    <row r="8" customFormat="false" ht="12.95" hidden="false" customHeight="true" outlineLevel="0" collapsed="false">
      <c r="A8" s="233"/>
      <c r="B8" s="464"/>
      <c r="C8" s="229"/>
      <c r="D8" s="233"/>
      <c r="E8" s="229"/>
      <c r="F8" s="233"/>
      <c r="G8" s="464"/>
      <c r="H8" s="235"/>
      <c r="I8" s="233"/>
      <c r="J8" s="233"/>
      <c r="K8" s="233"/>
      <c r="L8" s="233"/>
      <c r="M8" s="469"/>
      <c r="N8" s="239" t="n">
        <v>1.03</v>
      </c>
      <c r="O8" s="239" t="n">
        <v>1.05</v>
      </c>
      <c r="P8" s="239" t="n">
        <v>1.02</v>
      </c>
      <c r="Q8" s="239" t="n">
        <v>1.04</v>
      </c>
      <c r="R8" s="234" t="s">
        <v>52</v>
      </c>
      <c r="S8" s="233"/>
      <c r="T8" s="233"/>
      <c r="U8" s="233"/>
      <c r="V8" s="229"/>
      <c r="W8" s="229" t="s">
        <v>71</v>
      </c>
      <c r="X8" s="233"/>
      <c r="Y8" s="232"/>
      <c r="Z8" s="236"/>
      <c r="AA8" s="224"/>
      <c r="AB8" s="229"/>
      <c r="AC8" s="233"/>
      <c r="AD8" s="233"/>
      <c r="AE8" s="233"/>
      <c r="AF8" s="353"/>
      <c r="AG8" s="224"/>
      <c r="AH8" s="351"/>
      <c r="AI8" s="67"/>
      <c r="AJ8" s="67"/>
      <c r="AK8" s="68"/>
      <c r="AL8" s="68" t="s">
        <v>66</v>
      </c>
      <c r="AM8" s="435"/>
    </row>
    <row r="9" customFormat="false" ht="12.95" hidden="false" customHeight="true" outlineLevel="0" collapsed="false">
      <c r="A9" s="173" t="s">
        <v>73</v>
      </c>
      <c r="B9" s="241"/>
      <c r="C9" s="242"/>
      <c r="D9" s="242"/>
      <c r="E9" s="242"/>
      <c r="F9" s="242" t="n">
        <f aca="false">APR!F46</f>
        <v>55906.7305268465</v>
      </c>
      <c r="G9" s="470" t="n">
        <f aca="false">APR!G46</f>
        <v>38134</v>
      </c>
      <c r="H9" s="247" t="n">
        <f aca="false">APR!H46</f>
        <v>7547</v>
      </c>
      <c r="I9" s="242" t="n">
        <f aca="false">APR!I46</f>
        <v>45681</v>
      </c>
      <c r="J9" s="242" t="n">
        <f aca="false">APR!J46</f>
        <v>22768.2805268465</v>
      </c>
      <c r="K9" s="242" t="n">
        <f aca="false">APR!K46</f>
        <v>68449.2805268465</v>
      </c>
      <c r="L9" s="242" t="n">
        <f aca="false">APR!L46</f>
        <v>22768.2805268465</v>
      </c>
      <c r="M9" s="245" t="n">
        <f aca="false">APR!M46</f>
        <v>2481.5</v>
      </c>
      <c r="N9" s="242" t="n">
        <f aca="false">APR!N46</f>
        <v>0</v>
      </c>
      <c r="O9" s="242" t="n">
        <f aca="false">APR!O46</f>
        <v>1261.3965</v>
      </c>
      <c r="P9" s="242"/>
      <c r="Q9" s="242"/>
      <c r="R9" s="246"/>
      <c r="S9" s="242" t="n">
        <f aca="false">APR!S46</f>
        <v>385.95</v>
      </c>
      <c r="T9" s="242" t="n">
        <f aca="false">APR!T46</f>
        <v>269.4</v>
      </c>
      <c r="U9" s="242" t="n">
        <f aca="false">APR!U46</f>
        <v>1735.1539</v>
      </c>
      <c r="V9" s="242" t="n">
        <f aca="false">APR!V46</f>
        <v>3179.28120579927</v>
      </c>
      <c r="W9" s="242"/>
      <c r="X9" s="242" t="n">
        <f aca="false">APR!X46</f>
        <v>129.7</v>
      </c>
      <c r="Y9" s="242" t="n">
        <f aca="false">APR!Y46</f>
        <v>51</v>
      </c>
      <c r="Z9" s="242" t="n">
        <f aca="false">APR!Z46</f>
        <v>39</v>
      </c>
      <c r="AA9" s="244"/>
      <c r="AB9" s="242"/>
      <c r="AC9" s="242" t="n">
        <f aca="false">APR!AC46</f>
        <v>12542.55</v>
      </c>
      <c r="AD9" s="242" t="n">
        <f aca="false">APR!AD46</f>
        <v>0</v>
      </c>
      <c r="AE9" s="242" t="n">
        <f aca="false">APR!AE46</f>
        <v>12542.55</v>
      </c>
      <c r="AF9" s="248"/>
      <c r="AG9" s="244"/>
      <c r="AH9" s="249"/>
      <c r="AI9" s="244"/>
      <c r="AJ9" s="244"/>
      <c r="AK9" s="267"/>
      <c r="AL9" s="367" t="n">
        <f aca="false">APR!AL47</f>
        <v>80.1661162471492</v>
      </c>
      <c r="AM9" s="242" t="n">
        <f aca="false">APR!AM46</f>
        <v>0</v>
      </c>
    </row>
    <row r="10" s="157" customFormat="true" ht="12.95" hidden="false" customHeight="true" outlineLevel="0" collapsed="false">
      <c r="A10" s="251" t="s">
        <v>74</v>
      </c>
      <c r="B10" s="252" t="n">
        <f aca="false">APR!B41</f>
        <v>6916.99</v>
      </c>
      <c r="C10" s="242" t="n">
        <f aca="false">APR!C41</f>
        <v>350712</v>
      </c>
      <c r="D10" s="242" t="n">
        <f aca="false">APR!D50</f>
        <v>143466</v>
      </c>
      <c r="E10" s="242" t="n">
        <f aca="false">APR!E50</f>
        <v>198712</v>
      </c>
      <c r="F10" s="242" t="n">
        <f aca="false">APR!F49</f>
        <v>72329.7201915805</v>
      </c>
      <c r="G10" s="470" t="n">
        <f aca="false">APR!G49</f>
        <v>54592</v>
      </c>
      <c r="H10" s="247" t="n">
        <f aca="false">APR!H49</f>
        <v>9936.54</v>
      </c>
      <c r="I10" s="242" t="n">
        <f aca="false">APR!I49</f>
        <v>64528.54</v>
      </c>
      <c r="J10" s="242" t="n">
        <f aca="false">APR!J49</f>
        <v>33229.7856314595</v>
      </c>
      <c r="K10" s="242" t="n">
        <f aca="false">APR!K49</f>
        <v>97758.3256314595</v>
      </c>
      <c r="L10" s="242" t="n">
        <f aca="false">APR!L49</f>
        <v>32684.5301915805</v>
      </c>
      <c r="M10" s="245" t="n">
        <f aca="false">APR!M49</f>
        <v>3277.5</v>
      </c>
      <c r="N10" s="242" t="n">
        <f aca="false">APR!N49</f>
        <v>0</v>
      </c>
      <c r="O10" s="242" t="n">
        <f aca="false">APR!O49</f>
        <v>1261.3965</v>
      </c>
      <c r="P10" s="242" t="n">
        <f aca="false">APR!P49</f>
        <v>257.2644</v>
      </c>
      <c r="Q10" s="242" t="n">
        <f aca="false">APR!Q49</f>
        <v>464.0088</v>
      </c>
      <c r="R10" s="253" t="n">
        <f aca="false">APR!R49</f>
        <v>2.67</v>
      </c>
      <c r="S10" s="242" t="n">
        <f aca="false">APR!S49</f>
        <v>7854.95</v>
      </c>
      <c r="T10" s="242" t="n">
        <f aca="false">APR!T49</f>
        <v>303.2</v>
      </c>
      <c r="U10" s="242" t="n">
        <f aca="false">APR!U49</f>
        <v>9450.3103</v>
      </c>
      <c r="V10" s="242"/>
      <c r="W10" s="242"/>
      <c r="X10" s="242" t="n">
        <f aca="false">APR!X49</f>
        <v>0</v>
      </c>
      <c r="Y10" s="245"/>
      <c r="Z10" s="246"/>
      <c r="AA10" s="244" t="n">
        <f aca="false">APR!AA49</f>
        <v>13318</v>
      </c>
      <c r="AB10" s="242" t="n">
        <f aca="false">APR!AB49</f>
        <v>14600.433072851</v>
      </c>
      <c r="AC10" s="242" t="n">
        <f aca="false">APR!AC49</f>
        <v>24883.35</v>
      </c>
      <c r="AD10" s="242" t="n">
        <f aca="false">APR!AD49</f>
        <v>545.255439879002</v>
      </c>
      <c r="AE10" s="242" t="n">
        <f aca="false">APR!AE49</f>
        <v>25428.605439879</v>
      </c>
      <c r="AF10" s="248" t="n">
        <f aca="false">APR!AF49</f>
        <v>12.88</v>
      </c>
      <c r="AG10" s="244"/>
      <c r="AH10" s="249"/>
      <c r="AI10" s="471" t="n">
        <f aca="false">APR!AI50</f>
        <v>14814.1599532</v>
      </c>
      <c r="AJ10" s="363" t="n">
        <f aca="false">APR!AJ49</f>
        <v>0</v>
      </c>
      <c r="AK10" s="242"/>
      <c r="AL10" s="367" t="n">
        <f aca="false">APR!AL50</f>
        <v>80.1661162471492</v>
      </c>
      <c r="AM10" s="242" t="n">
        <f aca="false">APR!AM49</f>
        <v>0</v>
      </c>
    </row>
    <row r="11" customFormat="false" ht="3" hidden="false" customHeight="true" outlineLevel="0" collapsed="false">
      <c r="A11" s="254"/>
      <c r="B11" s="255"/>
      <c r="C11" s="256"/>
      <c r="D11" s="257"/>
      <c r="E11" s="256"/>
      <c r="F11" s="257"/>
      <c r="G11" s="272"/>
      <c r="H11" s="262"/>
      <c r="I11" s="257"/>
      <c r="J11" s="257"/>
      <c r="K11" s="257"/>
      <c r="L11" s="257"/>
      <c r="M11" s="260"/>
      <c r="N11" s="257"/>
      <c r="O11" s="257"/>
      <c r="P11" s="257"/>
      <c r="Q11" s="257"/>
      <c r="R11" s="261"/>
      <c r="S11" s="257"/>
      <c r="T11" s="257"/>
      <c r="U11" s="257"/>
      <c r="V11" s="256"/>
      <c r="W11" s="256"/>
      <c r="X11" s="257"/>
      <c r="Y11" s="260"/>
      <c r="Z11" s="261"/>
      <c r="AA11" s="264"/>
      <c r="AB11" s="256"/>
      <c r="AC11" s="257"/>
      <c r="AD11" s="257"/>
      <c r="AE11" s="257"/>
      <c r="AF11" s="263"/>
      <c r="AG11" s="264"/>
      <c r="AH11" s="265"/>
      <c r="AI11" s="264"/>
      <c r="AJ11" s="264"/>
      <c r="AK11" s="264"/>
      <c r="AL11" s="472"/>
      <c r="AM11" s="472"/>
      <c r="AN11" s="472"/>
    </row>
    <row r="12" customFormat="false" ht="12.95" hidden="false" customHeight="true" outlineLevel="0" collapsed="false">
      <c r="A12" s="172" t="n">
        <v>1</v>
      </c>
      <c r="B12" s="252" t="n">
        <v>6917.11</v>
      </c>
      <c r="C12" s="242" t="n">
        <v>351220</v>
      </c>
      <c r="D12" s="244" t="n">
        <f aca="false">C12-C10</f>
        <v>508</v>
      </c>
      <c r="E12" s="242" t="n">
        <f aca="false">C12-152000</f>
        <v>199220</v>
      </c>
      <c r="F12" s="267" t="n">
        <f aca="false">D12/$D$2</f>
        <v>256.112931686413</v>
      </c>
      <c r="G12" s="241" t="n">
        <v>1120</v>
      </c>
      <c r="H12" s="247" t="n">
        <v>115</v>
      </c>
      <c r="I12" s="267" t="n">
        <f aca="false">G12+H12</f>
        <v>1235</v>
      </c>
      <c r="J12" s="247" t="n">
        <f aca="false">IF(L12&gt;0,L12,0)</f>
        <v>302.112931686413</v>
      </c>
      <c r="K12" s="267" t="n">
        <f aca="false">I12+J12</f>
        <v>1537.11293168641</v>
      </c>
      <c r="L12" s="267" t="n">
        <f aca="false">F12-(I12-AC12)</f>
        <v>302.112931686413</v>
      </c>
      <c r="M12" s="269" t="n">
        <v>52</v>
      </c>
      <c r="N12" s="267" t="n">
        <f aca="false">2.1*1.03</f>
        <v>2.163</v>
      </c>
      <c r="O12" s="267" t="n">
        <f aca="false">(0.77+2.3)*1.05</f>
        <v>3.2235</v>
      </c>
      <c r="P12" s="389" t="n">
        <f aca="false">1.86*1.02</f>
        <v>1.8972</v>
      </c>
      <c r="Q12" s="389" t="n">
        <v>2.75</v>
      </c>
      <c r="R12" s="132" t="n">
        <v>0</v>
      </c>
      <c r="S12" s="267" t="n">
        <v>37</v>
      </c>
      <c r="T12" s="267" t="n">
        <v>22</v>
      </c>
      <c r="U12" s="267" t="n">
        <f aca="false">M12-N12-O12-P12-Q12-R12+S12+T12-AN12</f>
        <v>100.9663</v>
      </c>
      <c r="V12" s="242" t="n">
        <f aca="false">V9+AK12-(AL12/1.9835)</f>
        <v>2008.80415027757</v>
      </c>
      <c r="W12" s="242"/>
      <c r="X12" s="267" t="n">
        <v>0</v>
      </c>
      <c r="Y12" s="269" t="n">
        <v>1.7</v>
      </c>
      <c r="Z12" s="270" t="n">
        <v>1.3</v>
      </c>
      <c r="AA12" s="473" t="n">
        <v>1170</v>
      </c>
      <c r="AB12" s="391" t="n">
        <f aca="false">AB10</f>
        <v>14600.433072851</v>
      </c>
      <c r="AC12" s="127" t="n">
        <f aca="false">N12+O12+P12+Q12+R12+U12+X12+AA12</f>
        <v>1281</v>
      </c>
      <c r="AD12" s="267" t="n">
        <f aca="false">IF(L12&lt;0,L12*-1,0)</f>
        <v>0</v>
      </c>
      <c r="AE12" s="267" t="n">
        <f aca="false">AC12+AD12</f>
        <v>1281</v>
      </c>
      <c r="AF12" s="248" t="n">
        <v>0.01</v>
      </c>
      <c r="AG12" s="244" t="n">
        <v>55</v>
      </c>
      <c r="AH12" s="249" t="n">
        <v>37</v>
      </c>
      <c r="AI12" s="244" t="n">
        <f aca="false">AI10</f>
        <v>14814.1599532</v>
      </c>
      <c r="AJ12" s="244"/>
      <c r="AK12" s="101" t="n">
        <f aca="false">-AA12</f>
        <v>-1170</v>
      </c>
      <c r="AL12" s="367" t="n">
        <f aca="false">47.3*(V9*1.9835+AK12*1.9835)/E12</f>
        <v>0.946239627304212</v>
      </c>
      <c r="AM12" s="250"/>
    </row>
    <row r="13" customFormat="false" ht="12.95" hidden="false" customHeight="true" outlineLevel="0" collapsed="false">
      <c r="A13" s="172" t="n">
        <f aca="false">A12+1</f>
        <v>2</v>
      </c>
      <c r="B13" s="252" t="n">
        <v>6917.29</v>
      </c>
      <c r="C13" s="242" t="n">
        <v>351983</v>
      </c>
      <c r="D13" s="244" t="n">
        <f aca="false">C13-C12</f>
        <v>763</v>
      </c>
      <c r="E13" s="242" t="n">
        <f aca="false">C13-152000</f>
        <v>199983</v>
      </c>
      <c r="F13" s="267" t="n">
        <f aca="false">D13/$D$2</f>
        <v>384.673556843963</v>
      </c>
      <c r="G13" s="241" t="n">
        <v>1090</v>
      </c>
      <c r="H13" s="247" t="n">
        <v>137</v>
      </c>
      <c r="I13" s="267" t="n">
        <f aca="false">G13+H13</f>
        <v>1227</v>
      </c>
      <c r="J13" s="247" t="n">
        <f aca="false">IF(L13&gt;0,L13,0)</f>
        <v>437.673556843963</v>
      </c>
      <c r="K13" s="267" t="n">
        <f aca="false">I13+J13</f>
        <v>1664.67355684396</v>
      </c>
      <c r="L13" s="267" t="n">
        <f aca="false">F13-(I13-AC13)</f>
        <v>437.673556843963</v>
      </c>
      <c r="M13" s="269" t="n">
        <v>52</v>
      </c>
      <c r="N13" s="267" t="n">
        <f aca="false">2.1*1.03</f>
        <v>2.163</v>
      </c>
      <c r="O13" s="267" t="n">
        <f aca="false">1.9*1.05</f>
        <v>1.995</v>
      </c>
      <c r="P13" s="389" t="n">
        <f aca="false">1.86*1.02</f>
        <v>1.8972</v>
      </c>
      <c r="Q13" s="389" t="n">
        <v>3.1</v>
      </c>
      <c r="R13" s="132" t="n">
        <v>0</v>
      </c>
      <c r="S13" s="267" t="n">
        <v>36</v>
      </c>
      <c r="T13" s="267" t="n">
        <v>22</v>
      </c>
      <c r="U13" s="267" t="n">
        <f aca="false">M13-N13-O13-P13-Q13-R13+S13+T13-AN13</f>
        <v>100.8448</v>
      </c>
      <c r="V13" s="242" t="n">
        <f aca="false">V12+AK13-(AL13/1.9835)</f>
        <v>838.605756232532</v>
      </c>
      <c r="W13" s="242"/>
      <c r="X13" s="267" t="n">
        <v>0</v>
      </c>
      <c r="Y13" s="269" t="n">
        <v>1.7</v>
      </c>
      <c r="Z13" s="270" t="n">
        <v>1.3</v>
      </c>
      <c r="AA13" s="473" t="n">
        <v>1170</v>
      </c>
      <c r="AB13" s="391" t="n">
        <f aca="false">AB12</f>
        <v>14600.433072851</v>
      </c>
      <c r="AC13" s="127" t="n">
        <f aca="false">N13+O13+P13+Q13+R13+U13+X13+AA13</f>
        <v>1280</v>
      </c>
      <c r="AD13" s="267" t="n">
        <f aca="false">IF(L13&lt;0,L13*-1,0)</f>
        <v>0</v>
      </c>
      <c r="AE13" s="267" t="n">
        <f aca="false">AC13+AD13</f>
        <v>1280</v>
      </c>
      <c r="AF13" s="248" t="n">
        <v>0.1</v>
      </c>
      <c r="AG13" s="244" t="n">
        <v>57</v>
      </c>
      <c r="AH13" s="249" t="n">
        <v>34</v>
      </c>
      <c r="AI13" s="244" t="n">
        <f aca="false">AI12</f>
        <v>14814.1599532</v>
      </c>
      <c r="AJ13" s="244"/>
      <c r="AK13" s="101" t="n">
        <f aca="false">-AA13</f>
        <v>-1170</v>
      </c>
      <c r="AL13" s="367" t="n">
        <f aca="false">47.3*(V12*1.9835+AK13*1.9835)/E13</f>
        <v>0.393514588325876</v>
      </c>
      <c r="AM13" s="250"/>
    </row>
    <row r="14" customFormat="false" ht="12.95" hidden="false" customHeight="true" outlineLevel="0" collapsed="false">
      <c r="A14" s="172" t="n">
        <f aca="false">A13+1</f>
        <v>3</v>
      </c>
      <c r="B14" s="252" t="n">
        <v>6917.51</v>
      </c>
      <c r="C14" s="242" t="n">
        <v>352916</v>
      </c>
      <c r="D14" s="244" t="n">
        <f aca="false">C14-C13</f>
        <v>933</v>
      </c>
      <c r="E14" s="242" t="n">
        <f aca="false">C14-152000</f>
        <v>200916</v>
      </c>
      <c r="F14" s="267" t="n">
        <f aca="false">D14/$D$2</f>
        <v>470.380640282329</v>
      </c>
      <c r="G14" s="241" t="n">
        <v>1090</v>
      </c>
      <c r="H14" s="247" t="n">
        <v>179</v>
      </c>
      <c r="I14" s="267" t="n">
        <f aca="false">G14+H14</f>
        <v>1269</v>
      </c>
      <c r="J14" s="247" t="n">
        <f aca="false">IF(L14&gt;0,L14,0)</f>
        <v>472.180640282329</v>
      </c>
      <c r="K14" s="267" t="n">
        <f aca="false">I14+J14</f>
        <v>1741.18064028233</v>
      </c>
      <c r="L14" s="267" t="n">
        <f aca="false">F14-(I14-AC14)</f>
        <v>472.180640282329</v>
      </c>
      <c r="M14" s="269" t="n">
        <v>44</v>
      </c>
      <c r="N14" s="267" t="n">
        <f aca="false">2.1*1.03</f>
        <v>2.163</v>
      </c>
      <c r="O14" s="267" t="n">
        <f aca="false">(0.08+3.3)*1.05</f>
        <v>3.549</v>
      </c>
      <c r="P14" s="389" t="n">
        <f aca="false">1.86*1.02</f>
        <v>1.8972</v>
      </c>
      <c r="Q14" s="389" t="n">
        <v>4.02</v>
      </c>
      <c r="R14" s="132" t="n">
        <v>0</v>
      </c>
      <c r="S14" s="267" t="n">
        <v>24</v>
      </c>
      <c r="T14" s="267" t="n">
        <v>23</v>
      </c>
      <c r="U14" s="267" t="n">
        <f aca="false">M14-N14-O14-P14-Q14-R14+S14+T14-AN14</f>
        <v>79.3708</v>
      </c>
      <c r="V14" s="242" t="n">
        <v>0</v>
      </c>
      <c r="W14" s="242"/>
      <c r="X14" s="267" t="n">
        <v>9.8</v>
      </c>
      <c r="Y14" s="269" t="n">
        <v>1.7</v>
      </c>
      <c r="Z14" s="270" t="n">
        <v>1.3</v>
      </c>
      <c r="AA14" s="473" t="n">
        <v>1170</v>
      </c>
      <c r="AB14" s="391" t="n">
        <f aca="false">AB13</f>
        <v>14600.433072851</v>
      </c>
      <c r="AC14" s="127" t="n">
        <f aca="false">N14+O14+P14+Q14+R14+U14+X14+AA14</f>
        <v>1270.8</v>
      </c>
      <c r="AD14" s="267" t="n">
        <f aca="false">IF(L14&lt;0,L14*-1,0)</f>
        <v>0</v>
      </c>
      <c r="AE14" s="267" t="n">
        <f aca="false">AC14+AD14</f>
        <v>1270.8</v>
      </c>
      <c r="AF14" s="248" t="n">
        <v>0.05</v>
      </c>
      <c r="AG14" s="244" t="n">
        <v>55</v>
      </c>
      <c r="AH14" s="249" t="n">
        <v>38</v>
      </c>
      <c r="AI14" s="244" t="n">
        <f aca="false">AI13</f>
        <v>14814.1599532</v>
      </c>
      <c r="AJ14" s="244"/>
      <c r="AK14" s="101" t="n">
        <f aca="false">-AA14</f>
        <v>-1170</v>
      </c>
      <c r="AL14" s="367" t="n">
        <f aca="false">47.3*(V13*1.9835+AK14*1.9835)/E14</f>
        <v>-0.154747550333742</v>
      </c>
      <c r="AM14" s="250"/>
    </row>
    <row r="15" customFormat="false" ht="12.95" hidden="false" customHeight="true" outlineLevel="0" collapsed="false">
      <c r="A15" s="172" t="n">
        <f aca="false">A14+1</f>
        <v>4</v>
      </c>
      <c r="B15" s="252" t="n">
        <v>6917.71</v>
      </c>
      <c r="C15" s="242" t="n">
        <v>353764</v>
      </c>
      <c r="D15" s="244" t="n">
        <f aca="false">C15-C14</f>
        <v>848</v>
      </c>
      <c r="E15" s="242" t="n">
        <f aca="false">C15-152000</f>
        <v>201764</v>
      </c>
      <c r="F15" s="267" t="n">
        <f aca="false">D15/$D$2</f>
        <v>427.527098563146</v>
      </c>
      <c r="G15" s="241" t="n">
        <v>1080</v>
      </c>
      <c r="H15" s="247" t="n">
        <v>158</v>
      </c>
      <c r="I15" s="267" t="n">
        <f aca="false">G15+H15</f>
        <v>1238</v>
      </c>
      <c r="J15" s="247" t="n">
        <f aca="false">IF(L15&gt;0,L15,0)</f>
        <v>434.557098563146</v>
      </c>
      <c r="K15" s="267" t="n">
        <f aca="false">I15+J15</f>
        <v>1672.55709856315</v>
      </c>
      <c r="L15" s="267" t="n">
        <f aca="false">F15-(I15-AC15)</f>
        <v>434.557098563146</v>
      </c>
      <c r="M15" s="269" t="n">
        <v>37</v>
      </c>
      <c r="N15" s="267" t="n">
        <f aca="false">2.1*1.03</f>
        <v>2.163</v>
      </c>
      <c r="O15" s="267" t="n">
        <f aca="false">1.4*1.05</f>
        <v>1.47</v>
      </c>
      <c r="P15" s="389" t="n">
        <f aca="false">1.86*1.02</f>
        <v>1.8972</v>
      </c>
      <c r="Q15" s="389" t="n">
        <v>4.2</v>
      </c>
      <c r="R15" s="132" t="n">
        <v>1.27</v>
      </c>
      <c r="S15" s="267" t="n">
        <v>14</v>
      </c>
      <c r="T15" s="267" t="n">
        <v>24</v>
      </c>
      <c r="U15" s="267" t="n">
        <f aca="false">M15-N15-O15-P15-Q15-R15+S15+T15-AN15</f>
        <v>63.9998</v>
      </c>
      <c r="V15" s="242" t="n">
        <f aca="false">V14+AK15-(AL15/1.9835)</f>
        <v>0</v>
      </c>
      <c r="W15" s="242"/>
      <c r="X15" s="267" t="n">
        <v>0.03</v>
      </c>
      <c r="Y15" s="269" t="n">
        <v>1.7</v>
      </c>
      <c r="Z15" s="270" t="n">
        <v>1.3</v>
      </c>
      <c r="AA15" s="473" t="n">
        <v>1170</v>
      </c>
      <c r="AB15" s="391" t="n">
        <f aca="false">AB14</f>
        <v>14600.433072851</v>
      </c>
      <c r="AC15" s="127" t="n">
        <f aca="false">N15+O15+P15+Q15+R15+U15+X15+AA15</f>
        <v>1245.03</v>
      </c>
      <c r="AD15" s="267" t="n">
        <f aca="false">IF(L15&lt;0,L15*-1,0)</f>
        <v>0</v>
      </c>
      <c r="AE15" s="267" t="n">
        <f aca="false">AC15+AD15</f>
        <v>1245.03</v>
      </c>
      <c r="AF15" s="248" t="n">
        <v>0</v>
      </c>
      <c r="AG15" s="244" t="n">
        <v>62</v>
      </c>
      <c r="AH15" s="249" t="n">
        <v>35</v>
      </c>
      <c r="AI15" s="244" t="n">
        <f aca="false">AI14</f>
        <v>14814.1599532</v>
      </c>
      <c r="AJ15" s="244"/>
      <c r="AK15" s="101"/>
      <c r="AL15" s="367" t="n">
        <f aca="false">47.3*(V14*1.9835+AK15*1.9835)/E15</f>
        <v>0</v>
      </c>
      <c r="AM15" s="250"/>
    </row>
    <row r="16" customFormat="false" ht="12.95" hidden="false" customHeight="true" outlineLevel="0" collapsed="false">
      <c r="A16" s="172" t="n">
        <f aca="false">A15+1</f>
        <v>5</v>
      </c>
      <c r="B16" s="252" t="n">
        <v>6917.81</v>
      </c>
      <c r="C16" s="242" t="n">
        <v>354188</v>
      </c>
      <c r="D16" s="244" t="n">
        <f aca="false">C16-C15</f>
        <v>424</v>
      </c>
      <c r="E16" s="242" t="n">
        <f aca="false">C16-152000</f>
        <v>202188</v>
      </c>
      <c r="F16" s="267" t="n">
        <f aca="false">D16/$D$2</f>
        <v>213.763549281573</v>
      </c>
      <c r="G16" s="241" t="n">
        <v>1120</v>
      </c>
      <c r="H16" s="247" t="n">
        <v>144</v>
      </c>
      <c r="I16" s="267" t="n">
        <f aca="false">G16+H16</f>
        <v>1264</v>
      </c>
      <c r="J16" s="247" t="n">
        <f aca="false">IF(L16&gt;0,L16,0)</f>
        <v>212.763549281573</v>
      </c>
      <c r="K16" s="267" t="n">
        <f aca="false">I16+J16</f>
        <v>1476.76354928157</v>
      </c>
      <c r="L16" s="267" t="n">
        <f aca="false">F16-(I16-AC16)</f>
        <v>212.763549281573</v>
      </c>
      <c r="M16" s="269" t="n">
        <v>54</v>
      </c>
      <c r="N16" s="267" t="n">
        <f aca="false">2.1*1.03</f>
        <v>2.163</v>
      </c>
      <c r="O16" s="267" t="n">
        <f aca="false">1.4*1.05</f>
        <v>1.47</v>
      </c>
      <c r="P16" s="389" t="n">
        <f aca="false">1.86*1.02</f>
        <v>1.8972</v>
      </c>
      <c r="Q16" s="389" t="n">
        <v>2.95</v>
      </c>
      <c r="R16" s="132" t="n">
        <v>0</v>
      </c>
      <c r="S16" s="267" t="n">
        <v>14</v>
      </c>
      <c r="T16" s="267" t="n">
        <v>25</v>
      </c>
      <c r="U16" s="267" t="n">
        <f aca="false">M16-N16-O16-P16-Q16-R16+S16+T16-AN16</f>
        <v>84.5198</v>
      </c>
      <c r="V16" s="242" t="n">
        <f aca="false">V15+AK16-(AL16/1.9835)</f>
        <v>0</v>
      </c>
      <c r="W16" s="242"/>
      <c r="X16" s="267" t="n">
        <v>0</v>
      </c>
      <c r="Y16" s="269" t="n">
        <v>1.7</v>
      </c>
      <c r="Z16" s="270" t="n">
        <v>1.3</v>
      </c>
      <c r="AA16" s="473" t="n">
        <v>1170</v>
      </c>
      <c r="AB16" s="391" t="n">
        <f aca="false">AB15</f>
        <v>14600.433072851</v>
      </c>
      <c r="AC16" s="127" t="n">
        <f aca="false">N16+O16+P16+Q16+R16+U16+X16+AA16</f>
        <v>1263</v>
      </c>
      <c r="AD16" s="267" t="n">
        <f aca="false">IF(L16&lt;0,L16*-1,0)</f>
        <v>0</v>
      </c>
      <c r="AE16" s="267" t="n">
        <f aca="false">AC16+AD16</f>
        <v>1263</v>
      </c>
      <c r="AF16" s="248" t="n">
        <v>0</v>
      </c>
      <c r="AG16" s="244" t="n">
        <v>68</v>
      </c>
      <c r="AH16" s="249" t="n">
        <v>43</v>
      </c>
      <c r="AI16" s="244" t="n">
        <f aca="false">AI15</f>
        <v>14814.1599532</v>
      </c>
      <c r="AJ16" s="244"/>
      <c r="AK16" s="101"/>
      <c r="AL16" s="367" t="n">
        <f aca="false">47.3*(V15*1.9835+AK16*1.9835)/E16</f>
        <v>0</v>
      </c>
      <c r="AM16" s="250"/>
    </row>
    <row r="17" customFormat="false" ht="12.95" hidden="false" customHeight="true" outlineLevel="0" collapsed="false">
      <c r="A17" s="172" t="n">
        <f aca="false">A16+1</f>
        <v>6</v>
      </c>
      <c r="B17" s="252" t="n">
        <v>6918.02</v>
      </c>
      <c r="C17" s="242" t="n">
        <v>355079</v>
      </c>
      <c r="D17" s="244" t="n">
        <f aca="false">C17-C16</f>
        <v>891</v>
      </c>
      <c r="E17" s="242" t="n">
        <f aca="false">C17-152000</f>
        <v>203079</v>
      </c>
      <c r="F17" s="267" t="n">
        <f aca="false">D17/$D$2</f>
        <v>449.205949079909</v>
      </c>
      <c r="G17" s="241" t="n">
        <v>1270</v>
      </c>
      <c r="H17" s="247" t="n">
        <v>182</v>
      </c>
      <c r="I17" s="267" t="n">
        <f aca="false">G17+H17</f>
        <v>1452</v>
      </c>
      <c r="J17" s="247" t="n">
        <f aca="false">IF(L17&gt;0,L17,0)</f>
        <v>528.505949079909</v>
      </c>
      <c r="K17" s="267" t="n">
        <f aca="false">I17+J17</f>
        <v>1980.50594907991</v>
      </c>
      <c r="L17" s="267" t="n">
        <f aca="false">F17-(I17-AC17)</f>
        <v>528.505949079909</v>
      </c>
      <c r="M17" s="269" t="n">
        <v>119</v>
      </c>
      <c r="N17" s="267" t="n">
        <f aca="false">2.1*1.03</f>
        <v>2.163</v>
      </c>
      <c r="O17" s="267" t="n">
        <f aca="false">(23+24)*1.05</f>
        <v>49.35</v>
      </c>
      <c r="P17" s="389" t="n">
        <f aca="false">1.86*1.02</f>
        <v>1.8972</v>
      </c>
      <c r="Q17" s="389" t="n">
        <v>2.98</v>
      </c>
      <c r="R17" s="132" t="n">
        <v>0</v>
      </c>
      <c r="S17" s="267" t="n">
        <v>6.3</v>
      </c>
      <c r="T17" s="267" t="n">
        <v>26</v>
      </c>
      <c r="U17" s="267" t="n">
        <f aca="false">M17-N17-O17-P17-Q17-R17+S17+T17-AN17</f>
        <v>94.9098</v>
      </c>
      <c r="V17" s="242" t="n">
        <f aca="false">V16+AK17-(AL17/1.9835)</f>
        <v>0</v>
      </c>
      <c r="W17" s="242"/>
      <c r="X17" s="267" t="n">
        <v>0</v>
      </c>
      <c r="Y17" s="269" t="n">
        <v>1.7</v>
      </c>
      <c r="Z17" s="270" t="n">
        <v>1.3</v>
      </c>
      <c r="AA17" s="473" t="n">
        <v>1380</v>
      </c>
      <c r="AB17" s="391" t="n">
        <f aca="false">AB16</f>
        <v>14600.433072851</v>
      </c>
      <c r="AC17" s="127" t="n">
        <f aca="false">N17+O17+P17+Q17+R17+U17+X17+AA17</f>
        <v>1531.3</v>
      </c>
      <c r="AD17" s="267" t="n">
        <f aca="false">IF(L17&lt;0,L17*-1,0)</f>
        <v>0</v>
      </c>
      <c r="AE17" s="267" t="n">
        <f aca="false">AC17+AD17</f>
        <v>1531.3</v>
      </c>
      <c r="AF17" s="248" t="n">
        <v>0.04</v>
      </c>
      <c r="AG17" s="244" t="n">
        <v>61</v>
      </c>
      <c r="AH17" s="249" t="n">
        <v>40</v>
      </c>
      <c r="AI17" s="244" t="n">
        <f aca="false">AI16</f>
        <v>14814.1599532</v>
      </c>
      <c r="AJ17" s="244"/>
      <c r="AK17" s="101"/>
      <c r="AL17" s="367" t="n">
        <f aca="false">47.3*(V16*1.9835+AK17*1.9835)/E17</f>
        <v>0</v>
      </c>
      <c r="AM17" s="250"/>
    </row>
    <row r="18" customFormat="false" ht="12.95" hidden="false" customHeight="true" outlineLevel="0" collapsed="false">
      <c r="A18" s="172" t="n">
        <f aca="false">A17+1</f>
        <v>7</v>
      </c>
      <c r="B18" s="252" t="n">
        <v>6918.02</v>
      </c>
      <c r="C18" s="242" t="n">
        <v>355079</v>
      </c>
      <c r="D18" s="244" t="n">
        <f aca="false">C18-C17</f>
        <v>0</v>
      </c>
      <c r="E18" s="242" t="n">
        <f aca="false">C18-152000</f>
        <v>203079</v>
      </c>
      <c r="F18" s="267" t="n">
        <f aca="false">D18/$D$2</f>
        <v>0</v>
      </c>
      <c r="G18" s="241" t="n">
        <v>1340</v>
      </c>
      <c r="H18" s="247" t="n">
        <v>181</v>
      </c>
      <c r="I18" s="267" t="n">
        <f aca="false">G18+H18</f>
        <v>1521</v>
      </c>
      <c r="J18" s="247" t="n">
        <f aca="false">IF(L18&gt;0,L18,0)</f>
        <v>445</v>
      </c>
      <c r="K18" s="267" t="n">
        <f aca="false">I18+J18</f>
        <v>1966</v>
      </c>
      <c r="L18" s="267" t="n">
        <f aca="false">F18-(I18-AC18)</f>
        <v>445</v>
      </c>
      <c r="M18" s="269" t="n">
        <v>129</v>
      </c>
      <c r="N18" s="267" t="n">
        <f aca="false">2.1*1.03</f>
        <v>2.163</v>
      </c>
      <c r="O18" s="267" t="n">
        <f aca="false">(36+36)*1.05</f>
        <v>75.6</v>
      </c>
      <c r="P18" s="389" t="n">
        <f aca="false">1.86*1.02</f>
        <v>1.8972</v>
      </c>
      <c r="Q18" s="389" t="n">
        <v>2.95</v>
      </c>
      <c r="R18" s="132" t="n">
        <v>0</v>
      </c>
      <c r="S18" s="267" t="n">
        <v>0</v>
      </c>
      <c r="T18" s="267" t="n">
        <v>27</v>
      </c>
      <c r="U18" s="267" t="n">
        <f aca="false">M18-N18-O18-P18-Q18-R18+S18+T18-AN18</f>
        <v>73.3898</v>
      </c>
      <c r="V18" s="242" t="n">
        <f aca="false">V17+AK18-(AL18/1.9835)</f>
        <v>0</v>
      </c>
      <c r="W18" s="242"/>
      <c r="X18" s="267" t="n">
        <v>10</v>
      </c>
      <c r="Y18" s="269" t="n">
        <v>1.7</v>
      </c>
      <c r="Z18" s="270" t="n">
        <v>1.3</v>
      </c>
      <c r="AA18" s="473" t="n">
        <v>1800</v>
      </c>
      <c r="AB18" s="391" t="n">
        <f aca="false">AB17</f>
        <v>14600.433072851</v>
      </c>
      <c r="AC18" s="127" t="n">
        <f aca="false">N18+O18+P18+Q18+R18+U18+X18+AA18</f>
        <v>1966</v>
      </c>
      <c r="AD18" s="267" t="n">
        <f aca="false">IF(L18&lt;0,L18*-1,0)</f>
        <v>0</v>
      </c>
      <c r="AE18" s="267" t="n">
        <f aca="false">AC18+AD18</f>
        <v>1966</v>
      </c>
      <c r="AF18" s="248" t="n">
        <v>0.12</v>
      </c>
      <c r="AG18" s="244" t="n">
        <v>54</v>
      </c>
      <c r="AH18" s="249" t="n">
        <v>33</v>
      </c>
      <c r="AI18" s="244" t="n">
        <f aca="false">AI17</f>
        <v>14814.1599532</v>
      </c>
      <c r="AJ18" s="244"/>
      <c r="AK18" s="101"/>
      <c r="AL18" s="367" t="n">
        <f aca="false">47.3*(V17*1.9835+AK18*1.9835)/E18</f>
        <v>0</v>
      </c>
      <c r="AM18" s="250"/>
    </row>
    <row r="19" customFormat="false" ht="12.95" hidden="false" customHeight="true" outlineLevel="0" collapsed="false">
      <c r="A19" s="172" t="n">
        <f aca="false">A18+1</f>
        <v>8</v>
      </c>
      <c r="B19" s="252" t="n">
        <v>6917.79</v>
      </c>
      <c r="C19" s="242" t="n">
        <v>354103</v>
      </c>
      <c r="D19" s="244" t="n">
        <f aca="false">C19-C18</f>
        <v>-976</v>
      </c>
      <c r="E19" s="242" t="n">
        <f aca="false">C19-152000</f>
        <v>202103</v>
      </c>
      <c r="F19" s="267" t="n">
        <f aca="false">D19/$D$2</f>
        <v>-492.059490799092</v>
      </c>
      <c r="G19" s="241" t="n">
        <v>1190</v>
      </c>
      <c r="H19" s="247" t="n">
        <v>142</v>
      </c>
      <c r="I19" s="267" t="n">
        <f aca="false">G19+H19</f>
        <v>1332</v>
      </c>
      <c r="J19" s="247" t="n">
        <f aca="false">IF(L19&gt;0,L19,0)</f>
        <v>383.540509200907</v>
      </c>
      <c r="K19" s="267" t="n">
        <f aca="false">I19+J19</f>
        <v>1715.54050920091</v>
      </c>
      <c r="L19" s="267" t="n">
        <f aca="false">F19-(I19-AC19)</f>
        <v>383.540509200907</v>
      </c>
      <c r="M19" s="269" t="n">
        <v>130</v>
      </c>
      <c r="N19" s="267" t="n">
        <f aca="false">2.1*1.03</f>
        <v>2.163</v>
      </c>
      <c r="O19" s="267" t="n">
        <f aca="false">(37+37)*1.05</f>
        <v>77.7</v>
      </c>
      <c r="P19" s="389" t="n">
        <f aca="false">1.86*1.02</f>
        <v>1.8972</v>
      </c>
      <c r="Q19" s="389" t="n">
        <v>3.56</v>
      </c>
      <c r="R19" s="132" t="n">
        <v>0</v>
      </c>
      <c r="S19" s="267" t="n">
        <v>0</v>
      </c>
      <c r="T19" s="267" t="n">
        <v>26</v>
      </c>
      <c r="U19" s="267" t="n">
        <f aca="false">M19-N19-O19-P19-Q19-R19+S19+T19-AN19</f>
        <v>70.6798</v>
      </c>
      <c r="V19" s="242" t="n">
        <f aca="false">V18+AK19-(AL19/1.9835)</f>
        <v>0</v>
      </c>
      <c r="W19" s="242"/>
      <c r="X19" s="267" t="n">
        <v>1.6</v>
      </c>
      <c r="Y19" s="269" t="n">
        <v>1.7</v>
      </c>
      <c r="Z19" s="270" t="n">
        <v>1.3</v>
      </c>
      <c r="AA19" s="473" t="n">
        <v>2050</v>
      </c>
      <c r="AB19" s="391" t="n">
        <f aca="false">AB18</f>
        <v>14600.433072851</v>
      </c>
      <c r="AC19" s="127" t="n">
        <f aca="false">N19+O19+P19+Q19+R19+U19+X19+AA19</f>
        <v>2207.6</v>
      </c>
      <c r="AD19" s="267" t="n">
        <f aca="false">IF(L19&lt;0,L19*-1,0)</f>
        <v>0</v>
      </c>
      <c r="AE19" s="267" t="n">
        <f aca="false">AC19+AD19</f>
        <v>2207.6</v>
      </c>
      <c r="AF19" s="248" t="n">
        <v>0</v>
      </c>
      <c r="AG19" s="244" t="n">
        <v>63</v>
      </c>
      <c r="AH19" s="249" t="n">
        <v>34</v>
      </c>
      <c r="AI19" s="244" t="n">
        <f aca="false">AI18</f>
        <v>14814.1599532</v>
      </c>
      <c r="AJ19" s="244"/>
      <c r="AK19" s="101"/>
      <c r="AL19" s="367" t="n">
        <f aca="false">47.3*(V18*1.9835+AK19*1.9835)/E19</f>
        <v>0</v>
      </c>
      <c r="AM19" s="250"/>
    </row>
    <row r="20" customFormat="false" ht="12.95" hidden="false" customHeight="true" outlineLevel="0" collapsed="false">
      <c r="A20" s="172" t="n">
        <f aca="false">A19+1</f>
        <v>9</v>
      </c>
      <c r="B20" s="252" t="n">
        <v>6917.82</v>
      </c>
      <c r="C20" s="242" t="n">
        <v>354231</v>
      </c>
      <c r="D20" s="244" t="n">
        <f aca="false">C20-C19</f>
        <v>128</v>
      </c>
      <c r="E20" s="242" t="n">
        <f aca="false">C20-152000</f>
        <v>202231</v>
      </c>
      <c r="F20" s="267" t="n">
        <f aca="false">D20/$D$2</f>
        <v>64.5323922359466</v>
      </c>
      <c r="G20" s="241" t="n">
        <v>1280</v>
      </c>
      <c r="H20" s="247" t="n">
        <v>178</v>
      </c>
      <c r="I20" s="267" t="n">
        <f aca="false">G20+H20</f>
        <v>1458</v>
      </c>
      <c r="J20" s="247" t="n">
        <f aca="false">IF(L20&gt;0,L20,0)</f>
        <v>332.232392235947</v>
      </c>
      <c r="K20" s="267" t="n">
        <f aca="false">I20+J20</f>
        <v>1790.23239223595</v>
      </c>
      <c r="L20" s="267" t="n">
        <f aca="false">F20-(I20-AC20)</f>
        <v>332.232392235947</v>
      </c>
      <c r="M20" s="269" t="n">
        <v>138</v>
      </c>
      <c r="N20" s="267" t="n">
        <f aca="false">2.1*1.03</f>
        <v>2.163</v>
      </c>
      <c r="O20" s="267" t="n">
        <f aca="false">(36+35)*1.05</f>
        <v>74.55</v>
      </c>
      <c r="P20" s="389" t="n">
        <f aca="false">1.86*1.02</f>
        <v>1.8972</v>
      </c>
      <c r="Q20" s="389" t="n">
        <v>3.98</v>
      </c>
      <c r="R20" s="132" t="n">
        <v>0</v>
      </c>
      <c r="S20" s="267" t="n">
        <v>0</v>
      </c>
      <c r="T20" s="267" t="n">
        <v>28</v>
      </c>
      <c r="U20" s="267" t="n">
        <f aca="false">M20-N20-O20-P20-Q20-R20+S20+T20-AN20</f>
        <v>83.4098</v>
      </c>
      <c r="V20" s="242" t="n">
        <f aca="false">V19+AK20-(AL20/1.9835)</f>
        <v>0</v>
      </c>
      <c r="W20" s="242"/>
      <c r="X20" s="267" t="n">
        <v>9.7</v>
      </c>
      <c r="Y20" s="269" t="n">
        <v>1.7</v>
      </c>
      <c r="Z20" s="270" t="n">
        <v>1.3</v>
      </c>
      <c r="AA20" s="473" t="n">
        <v>1550</v>
      </c>
      <c r="AB20" s="391" t="n">
        <f aca="false">AB19</f>
        <v>14600.433072851</v>
      </c>
      <c r="AC20" s="127" t="n">
        <f aca="false">N20+O20+P20+Q20+R20+U20+X20+AA20</f>
        <v>1725.7</v>
      </c>
      <c r="AD20" s="267" t="n">
        <f aca="false">IF(L20&lt;0,L20*-1,0)</f>
        <v>0</v>
      </c>
      <c r="AE20" s="267" t="n">
        <f aca="false">AC20+AD20</f>
        <v>1725.7</v>
      </c>
      <c r="AF20" s="248" t="n">
        <v>0</v>
      </c>
      <c r="AG20" s="244" t="n">
        <v>68</v>
      </c>
      <c r="AH20" s="249" t="n">
        <v>38</v>
      </c>
      <c r="AI20" s="244" t="n">
        <f aca="false">AI19</f>
        <v>14814.1599532</v>
      </c>
      <c r="AJ20" s="244"/>
      <c r="AK20" s="101"/>
      <c r="AL20" s="367" t="n">
        <f aca="false">47.3*(V19*1.9835+AK20*1.9835)/E20</f>
        <v>0</v>
      </c>
      <c r="AM20" s="250"/>
    </row>
    <row r="21" customFormat="false" ht="12.95" hidden="false" customHeight="true" outlineLevel="0" collapsed="false">
      <c r="A21" s="172" t="n">
        <f aca="false">A20+1</f>
        <v>10</v>
      </c>
      <c r="B21" s="252" t="n">
        <v>6918</v>
      </c>
      <c r="C21" s="242" t="n">
        <v>354994</v>
      </c>
      <c r="D21" s="244" t="n">
        <f aca="false">C21-C20</f>
        <v>763</v>
      </c>
      <c r="E21" s="242" t="n">
        <f aca="false">C21-152000</f>
        <v>202994</v>
      </c>
      <c r="F21" s="267" t="n">
        <f aca="false">D21/$D$2</f>
        <v>384.673556843963</v>
      </c>
      <c r="G21" s="241" t="n">
        <v>1680</v>
      </c>
      <c r="H21" s="247" t="n">
        <v>262</v>
      </c>
      <c r="I21" s="267" t="n">
        <f aca="false">G21+H21</f>
        <v>1942</v>
      </c>
      <c r="J21" s="247" t="n">
        <f aca="false">IF(L21&gt;0,L21,0)</f>
        <v>376.673556843963</v>
      </c>
      <c r="K21" s="267" t="n">
        <f aca="false">I21+J21</f>
        <v>2318.67355684396</v>
      </c>
      <c r="L21" s="267" t="n">
        <f aca="false">F21-(I21-AC21)</f>
        <v>376.673556843963</v>
      </c>
      <c r="M21" s="269" t="n">
        <v>182</v>
      </c>
      <c r="N21" s="267" t="n">
        <f aca="false">2.1*1.03</f>
        <v>2.163</v>
      </c>
      <c r="O21" s="267" t="n">
        <f aca="false">(42+43)*1.05</f>
        <v>89.25</v>
      </c>
      <c r="P21" s="389" t="n">
        <f aca="false">1.86*1.02</f>
        <v>1.8972</v>
      </c>
      <c r="Q21" s="389" t="n">
        <v>3.89</v>
      </c>
      <c r="R21" s="132" t="n">
        <v>0</v>
      </c>
      <c r="S21" s="267" t="n">
        <v>0</v>
      </c>
      <c r="T21" s="267" t="n">
        <v>31</v>
      </c>
      <c r="U21" s="267" t="n">
        <f aca="false">M21-N21-O21-P21-Q21-R21+S21+T21-AN21</f>
        <v>115.7998</v>
      </c>
      <c r="V21" s="242" t="n">
        <f aca="false">V20+AK21-(AL21/1.9835)</f>
        <v>0</v>
      </c>
      <c r="W21" s="242"/>
      <c r="X21" s="267" t="n">
        <v>11</v>
      </c>
      <c r="Y21" s="269" t="n">
        <v>1.7</v>
      </c>
      <c r="Z21" s="270" t="n">
        <v>1.3</v>
      </c>
      <c r="AA21" s="473" t="n">
        <v>1710</v>
      </c>
      <c r="AB21" s="391" t="n">
        <f aca="false">AB20</f>
        <v>14600.433072851</v>
      </c>
      <c r="AC21" s="127" t="n">
        <f aca="false">N21+O21+P21+Q21+R21+U21+X21+AA21</f>
        <v>1934</v>
      </c>
      <c r="AD21" s="267" t="n">
        <f aca="false">IF(L21&lt;0,L21*-1,0)</f>
        <v>0</v>
      </c>
      <c r="AE21" s="267" t="n">
        <f aca="false">AC21+AD21</f>
        <v>1934</v>
      </c>
      <c r="AF21" s="248" t="n">
        <v>0</v>
      </c>
      <c r="AG21" s="244" t="n">
        <v>68</v>
      </c>
      <c r="AH21" s="249" t="n">
        <v>42</v>
      </c>
      <c r="AI21" s="244" t="n">
        <f aca="false">AI20</f>
        <v>14814.1599532</v>
      </c>
      <c r="AJ21" s="244"/>
      <c r="AK21" s="101"/>
      <c r="AL21" s="367" t="n">
        <f aca="false">47.3*(V20*1.9835+AK21*1.9835)/E21</f>
        <v>0</v>
      </c>
      <c r="AM21" s="250"/>
    </row>
    <row r="22" customFormat="false" ht="12.95" hidden="false" customHeight="true" outlineLevel="0" collapsed="false">
      <c r="A22" s="172" t="n">
        <f aca="false">A21+1</f>
        <v>11</v>
      </c>
      <c r="B22" s="252" t="n">
        <v>6918.1</v>
      </c>
      <c r="C22" s="242" t="n">
        <v>355421</v>
      </c>
      <c r="D22" s="244" t="n">
        <f aca="false">C22-C21</f>
        <v>427</v>
      </c>
      <c r="E22" s="242" t="n">
        <f aca="false">C22-152000</f>
        <v>203421</v>
      </c>
      <c r="F22" s="267" t="n">
        <f aca="false">D22/$D$2</f>
        <v>215.276027224603</v>
      </c>
      <c r="G22" s="241" t="n">
        <v>1790</v>
      </c>
      <c r="H22" s="247" t="n">
        <v>233</v>
      </c>
      <c r="I22" s="267" t="n">
        <f aca="false">G22+H22</f>
        <v>2023</v>
      </c>
      <c r="J22" s="247" t="n">
        <f aca="false">IF(L22&gt;0,L22,0)</f>
        <v>487.276027224603</v>
      </c>
      <c r="K22" s="267" t="n">
        <f aca="false">I22+J22</f>
        <v>2510.2760272246</v>
      </c>
      <c r="L22" s="267" t="n">
        <f aca="false">F22-(I22-AC22)</f>
        <v>487.276027224603</v>
      </c>
      <c r="M22" s="269" t="n">
        <v>178</v>
      </c>
      <c r="N22" s="267" t="n">
        <f aca="false">2.1*1.03</f>
        <v>2.163</v>
      </c>
      <c r="O22" s="267" t="n">
        <f aca="false">(47+48)*1.05</f>
        <v>99.75</v>
      </c>
      <c r="P22" s="389" t="n">
        <f aca="false">1.86*1.02</f>
        <v>1.8972</v>
      </c>
      <c r="Q22" s="389" t="n">
        <v>3.9</v>
      </c>
      <c r="R22" s="132" t="n">
        <v>0</v>
      </c>
      <c r="S22" s="267" t="n">
        <v>0</v>
      </c>
      <c r="T22" s="267" t="n">
        <v>41</v>
      </c>
      <c r="U22" s="267" t="n">
        <f aca="false">M22-N22-O22-P22-Q22-R22+S22+T22-AN22</f>
        <v>111.2898</v>
      </c>
      <c r="V22" s="242" t="n">
        <f aca="false">V21+AK22-(AL22/1.9835)</f>
        <v>0</v>
      </c>
      <c r="W22" s="242"/>
      <c r="X22" s="267" t="n">
        <v>6</v>
      </c>
      <c r="Y22" s="269" t="n">
        <v>1.7</v>
      </c>
      <c r="Z22" s="270" t="n">
        <v>1.3</v>
      </c>
      <c r="AA22" s="473" t="n">
        <v>2070</v>
      </c>
      <c r="AB22" s="391" t="n">
        <f aca="false">AB21</f>
        <v>14600.433072851</v>
      </c>
      <c r="AC22" s="127" t="n">
        <f aca="false">N22+O22+P22+Q22+R22+U22+X22+AA22</f>
        <v>2295</v>
      </c>
      <c r="AD22" s="267" t="n">
        <f aca="false">IF(L22&lt;0,L22*-1,0)</f>
        <v>0</v>
      </c>
      <c r="AE22" s="267" t="n">
        <f aca="false">AC22+AD22</f>
        <v>2295</v>
      </c>
      <c r="AF22" s="248" t="n">
        <v>0</v>
      </c>
      <c r="AG22" s="244" t="n">
        <v>55</v>
      </c>
      <c r="AH22" s="249" t="n">
        <v>28</v>
      </c>
      <c r="AI22" s="244" t="n">
        <f aca="false">AI21</f>
        <v>14814.1599532</v>
      </c>
      <c r="AJ22" s="244"/>
      <c r="AK22" s="101"/>
      <c r="AL22" s="367" t="n">
        <f aca="false">47.3*(V21*1.9835+AK22*1.9835)/E22</f>
        <v>0</v>
      </c>
      <c r="AM22" s="250"/>
    </row>
    <row r="23" customFormat="false" ht="12.95" hidden="false" customHeight="true" outlineLevel="0" collapsed="false">
      <c r="A23" s="172" t="n">
        <f aca="false">A22+1</f>
        <v>12</v>
      </c>
      <c r="B23" s="252" t="n">
        <v>6918.04</v>
      </c>
      <c r="C23" s="242" t="n">
        <v>355165</v>
      </c>
      <c r="D23" s="244" t="n">
        <f aca="false">C23-C22</f>
        <v>-256</v>
      </c>
      <c r="E23" s="242" t="n">
        <f aca="false">C23-152000</f>
        <v>203165</v>
      </c>
      <c r="F23" s="267" t="n">
        <f aca="false">D23/$D$2</f>
        <v>-129.064784471893</v>
      </c>
      <c r="G23" s="241" t="n">
        <v>1550</v>
      </c>
      <c r="H23" s="247" t="n">
        <v>143</v>
      </c>
      <c r="I23" s="267" t="n">
        <f aca="false">G23+H23</f>
        <v>1693</v>
      </c>
      <c r="J23" s="247" t="n">
        <f aca="false">IF(L23&gt;0,L23,0)</f>
        <v>448.735215528107</v>
      </c>
      <c r="K23" s="267" t="n">
        <f aca="false">I23+J23</f>
        <v>2141.73521552811</v>
      </c>
      <c r="L23" s="267" t="n">
        <f aca="false">F23-(I23-AC23)</f>
        <v>448.735215528107</v>
      </c>
      <c r="M23" s="269" t="n">
        <v>146</v>
      </c>
      <c r="N23" s="267" t="n">
        <f aca="false">2.1*1.03</f>
        <v>2.163</v>
      </c>
      <c r="O23" s="267" t="n">
        <f aca="false">(43+42)*1.05</f>
        <v>89.25</v>
      </c>
      <c r="P23" s="389" t="n">
        <f aca="false">1.86*1.02</f>
        <v>1.8972</v>
      </c>
      <c r="Q23" s="389" t="n">
        <v>4.2</v>
      </c>
      <c r="R23" s="132" t="n">
        <v>0.64</v>
      </c>
      <c r="S23" s="267" t="n">
        <v>0</v>
      </c>
      <c r="T23" s="267" t="n">
        <v>48</v>
      </c>
      <c r="U23" s="267" t="n">
        <f aca="false">M23-N23-O23-P23-Q23-R23+S23+T23-AN23</f>
        <v>95.8498</v>
      </c>
      <c r="V23" s="242" t="n">
        <f aca="false">V22+AK23-(AL23/1.9835)</f>
        <v>0</v>
      </c>
      <c r="W23" s="242"/>
      <c r="X23" s="267" t="n">
        <v>6.8</v>
      </c>
      <c r="Y23" s="269" t="n">
        <v>1.7</v>
      </c>
      <c r="Z23" s="270" t="n">
        <v>1.3</v>
      </c>
      <c r="AA23" s="473" t="n">
        <v>2070</v>
      </c>
      <c r="AB23" s="391" t="n">
        <f aca="false">AB22</f>
        <v>14600.433072851</v>
      </c>
      <c r="AC23" s="127" t="n">
        <f aca="false">N23+O23+P23+Q23+R23+U23+X23+AA23</f>
        <v>2270.8</v>
      </c>
      <c r="AD23" s="267" t="n">
        <f aca="false">IF(L23&lt;0,L23*-1,0)</f>
        <v>0</v>
      </c>
      <c r="AE23" s="267" t="n">
        <f aca="false">AC23+AD23</f>
        <v>2270.8</v>
      </c>
      <c r="AF23" s="248" t="n">
        <v>0</v>
      </c>
      <c r="AG23" s="244" t="n">
        <v>60</v>
      </c>
      <c r="AH23" s="249" t="n">
        <v>32</v>
      </c>
      <c r="AI23" s="244" t="n">
        <f aca="false">AI22</f>
        <v>14814.1599532</v>
      </c>
      <c r="AJ23" s="244"/>
      <c r="AK23" s="101"/>
      <c r="AL23" s="367" t="n">
        <f aca="false">47.3*(V22*1.9835+AK23*1.9835)/E23</f>
        <v>0</v>
      </c>
      <c r="AM23" s="250"/>
    </row>
    <row r="24" customFormat="false" ht="12.95" hidden="false" customHeight="true" outlineLevel="0" collapsed="false">
      <c r="A24" s="172" t="n">
        <f aca="false">A23+1</f>
        <v>13</v>
      </c>
      <c r="B24" s="252" t="n">
        <v>6917.89</v>
      </c>
      <c r="C24" s="242" t="n">
        <v>354427</v>
      </c>
      <c r="D24" s="244" t="n">
        <f aca="false">C24-C23</f>
        <v>-738</v>
      </c>
      <c r="E24" s="242" t="n">
        <f aca="false">C24-152000</f>
        <v>202427</v>
      </c>
      <c r="F24" s="267" t="n">
        <f aca="false">D24/$D$2</f>
        <v>-372.069573985379</v>
      </c>
      <c r="G24" s="241" t="n">
        <v>1570</v>
      </c>
      <c r="H24" s="247" t="n">
        <v>146</v>
      </c>
      <c r="I24" s="267" t="n">
        <f aca="false">G24+H24</f>
        <v>1716</v>
      </c>
      <c r="J24" s="247" t="n">
        <f aca="false">IF(L24&gt;0,L24,0)</f>
        <v>220.030426014621</v>
      </c>
      <c r="K24" s="267" t="n">
        <f aca="false">I24+J24</f>
        <v>1936.03042601462</v>
      </c>
      <c r="L24" s="267" t="n">
        <f aca="false">F24-(I24-AC24)</f>
        <v>220.030426014621</v>
      </c>
      <c r="M24" s="269" t="n">
        <v>179</v>
      </c>
      <c r="N24" s="267" t="n">
        <f aca="false">2.1*1.03</f>
        <v>2.163</v>
      </c>
      <c r="O24" s="267" t="n">
        <f aca="false">(49+45)*1.05</f>
        <v>98.7</v>
      </c>
      <c r="P24" s="389" t="n">
        <f aca="false">1.86*1.02</f>
        <v>1.8972</v>
      </c>
      <c r="Q24" s="389" t="n">
        <v>4.2</v>
      </c>
      <c r="R24" s="132" t="n">
        <v>0.86</v>
      </c>
      <c r="S24" s="267" t="n">
        <v>0</v>
      </c>
      <c r="T24" s="267" t="n">
        <v>52</v>
      </c>
      <c r="U24" s="267" t="n">
        <f aca="false">M24-N24-O24-P24-Q24-R24+S24+T24-AN24</f>
        <v>123.1798</v>
      </c>
      <c r="V24" s="242" t="n">
        <f aca="false">V23+AK24-(AL24/1.9835)</f>
        <v>0</v>
      </c>
      <c r="W24" s="242"/>
      <c r="X24" s="267" t="n">
        <v>7.1</v>
      </c>
      <c r="Y24" s="269" t="n">
        <v>1.7</v>
      </c>
      <c r="Z24" s="270" t="n">
        <v>1.3</v>
      </c>
      <c r="AA24" s="473" t="n">
        <v>2070</v>
      </c>
      <c r="AB24" s="391" t="n">
        <f aca="false">AB23</f>
        <v>14600.433072851</v>
      </c>
      <c r="AC24" s="127" t="n">
        <f aca="false">N24+O24+P24+Q24+R24+U24+X24+AA24</f>
        <v>2308.1</v>
      </c>
      <c r="AD24" s="267" t="n">
        <f aca="false">IF(L24&lt;0,L24*-1,0)</f>
        <v>0</v>
      </c>
      <c r="AE24" s="267" t="n">
        <f aca="false">AC24+AD24</f>
        <v>2308.1</v>
      </c>
      <c r="AF24" s="248" t="n">
        <v>0</v>
      </c>
      <c r="AG24" s="244" t="n">
        <v>65</v>
      </c>
      <c r="AH24" s="249" t="n">
        <v>34</v>
      </c>
      <c r="AI24" s="244" t="n">
        <f aca="false">AI23</f>
        <v>14814.1599532</v>
      </c>
      <c r="AJ24" s="244"/>
      <c r="AK24" s="101"/>
      <c r="AL24" s="367" t="n">
        <f aca="false">47.3*(V23*1.9835+AK24*1.9835)/E24</f>
        <v>0</v>
      </c>
      <c r="AM24" s="250"/>
    </row>
    <row r="25" customFormat="false" ht="12.95" hidden="false" customHeight="true" outlineLevel="0" collapsed="false">
      <c r="A25" s="172" t="n">
        <f aca="false">A24+1</f>
        <v>14</v>
      </c>
      <c r="B25" s="252" t="n">
        <v>6917.92</v>
      </c>
      <c r="C25" s="242" t="n">
        <v>354655</v>
      </c>
      <c r="D25" s="244" t="n">
        <f aca="false">C25-C24</f>
        <v>228</v>
      </c>
      <c r="E25" s="242" t="n">
        <f aca="false">C25-152000</f>
        <v>202655</v>
      </c>
      <c r="F25" s="267" t="n">
        <f aca="false">D25/$D$2</f>
        <v>114.94832367028</v>
      </c>
      <c r="G25" s="241" t="n">
        <v>1860</v>
      </c>
      <c r="H25" s="247" t="n">
        <v>202</v>
      </c>
      <c r="I25" s="267" t="n">
        <f aca="false">G25+H25</f>
        <v>2062</v>
      </c>
      <c r="J25" s="247" t="n">
        <f aca="false">IF(L25&gt;0,L25,0)</f>
        <v>425.94832367028</v>
      </c>
      <c r="K25" s="267" t="n">
        <f aca="false">I25+J25</f>
        <v>2487.94832367028</v>
      </c>
      <c r="L25" s="267" t="n">
        <f aca="false">F25-(I25-AC25)</f>
        <v>425.94832367028</v>
      </c>
      <c r="M25" s="269" t="n">
        <v>193</v>
      </c>
      <c r="N25" s="267" t="n">
        <f aca="false">2.1*1.03</f>
        <v>2.163</v>
      </c>
      <c r="O25" s="267" t="n">
        <f aca="false">(46+45)*1.05</f>
        <v>95.55</v>
      </c>
      <c r="P25" s="389" t="n">
        <f aca="false">1.86*1.02</f>
        <v>1.8972</v>
      </c>
      <c r="Q25" s="389" t="n">
        <v>4.2</v>
      </c>
      <c r="R25" s="132" t="n">
        <v>0.7</v>
      </c>
      <c r="S25" s="267" t="n">
        <v>54</v>
      </c>
      <c r="T25" s="267" t="n">
        <v>56</v>
      </c>
      <c r="U25" s="267" t="n">
        <f aca="false">M25-N25-O25-P25-Q25-R25+S25+T25-AN25</f>
        <v>198.4898</v>
      </c>
      <c r="V25" s="242" t="n">
        <f aca="false">V24+AK25-(AL25/1.9835)</f>
        <v>0</v>
      </c>
      <c r="W25" s="242"/>
      <c r="X25" s="267" t="n">
        <v>0</v>
      </c>
      <c r="Y25" s="269" t="n">
        <v>1.7</v>
      </c>
      <c r="Z25" s="270" t="n">
        <v>1.3</v>
      </c>
      <c r="AA25" s="473" t="n">
        <v>2070</v>
      </c>
      <c r="AB25" s="391" t="n">
        <f aca="false">AB24</f>
        <v>14600.433072851</v>
      </c>
      <c r="AC25" s="127" t="n">
        <f aca="false">N25+O25+P25+Q25+R25+U25+X25+AA25</f>
        <v>2373</v>
      </c>
      <c r="AD25" s="267" t="n">
        <f aca="false">IF(L25&lt;0,L25*-1,0)</f>
        <v>0</v>
      </c>
      <c r="AE25" s="267" t="n">
        <f aca="false">AC25+AD25</f>
        <v>2373</v>
      </c>
      <c r="AF25" s="248" t="n">
        <v>0</v>
      </c>
      <c r="AG25" s="244" t="n">
        <v>66</v>
      </c>
      <c r="AH25" s="249" t="n">
        <v>40</v>
      </c>
      <c r="AI25" s="244" t="n">
        <f aca="false">AI24</f>
        <v>14814.1599532</v>
      </c>
      <c r="AJ25" s="244"/>
      <c r="AK25" s="101"/>
      <c r="AL25" s="367" t="n">
        <f aca="false">47.3*(V24*1.9835+AK25*1.9835)/E25</f>
        <v>0</v>
      </c>
      <c r="AM25" s="250"/>
    </row>
    <row r="26" customFormat="false" ht="12.95" hidden="false" customHeight="true" outlineLevel="0" collapsed="false">
      <c r="A26" s="172" t="n">
        <f aca="false">A25+1</f>
        <v>15</v>
      </c>
      <c r="B26" s="252" t="n">
        <v>6917.85</v>
      </c>
      <c r="C26" s="242" t="n">
        <v>354358</v>
      </c>
      <c r="D26" s="244" t="n">
        <f aca="false">C26-C25</f>
        <v>-297</v>
      </c>
      <c r="E26" s="242" t="n">
        <f aca="false">C26-152000</f>
        <v>202358</v>
      </c>
      <c r="F26" s="267" t="n">
        <f aca="false">D26/$D$2</f>
        <v>-149.73531635997</v>
      </c>
      <c r="G26" s="241" t="n">
        <v>1860</v>
      </c>
      <c r="H26" s="247" t="n">
        <v>159</v>
      </c>
      <c r="I26" s="267" t="n">
        <f aca="false">G26+H26</f>
        <v>2019</v>
      </c>
      <c r="J26" s="247" t="n">
        <f aca="false">IF(L26&gt;0,L26,0)</f>
        <v>291.26468364003</v>
      </c>
      <c r="K26" s="393" t="n">
        <f aca="false">I26+J26</f>
        <v>2310.26468364003</v>
      </c>
      <c r="L26" s="267" t="n">
        <f aca="false">F26-(I26-AC26)</f>
        <v>291.26468364003</v>
      </c>
      <c r="M26" s="269" t="n">
        <v>205</v>
      </c>
      <c r="N26" s="267" t="n">
        <f aca="false">2.1*1.03</f>
        <v>2.163</v>
      </c>
      <c r="O26" s="267" t="n">
        <f aca="false">(43+43)*1.05</f>
        <v>90.3</v>
      </c>
      <c r="P26" s="389" t="n">
        <f aca="false">1.86*1.02</f>
        <v>1.8972</v>
      </c>
      <c r="Q26" s="389" t="n">
        <v>4.2</v>
      </c>
      <c r="R26" s="132" t="n">
        <v>0.81</v>
      </c>
      <c r="S26" s="267" t="n">
        <v>110</v>
      </c>
      <c r="T26" s="267" t="n">
        <v>58</v>
      </c>
      <c r="U26" s="267" t="n">
        <f aca="false">M26-N26-O26-P26-Q26-R26+S26+T26-AN26</f>
        <v>273.6298</v>
      </c>
      <c r="V26" s="242" t="n">
        <f aca="false">V25+AK26-(AL26/1.9835)</f>
        <v>0</v>
      </c>
      <c r="W26" s="242"/>
      <c r="X26" s="267" t="n">
        <v>17</v>
      </c>
      <c r="Y26" s="269" t="n">
        <v>1.7</v>
      </c>
      <c r="Z26" s="270" t="n">
        <v>1.3</v>
      </c>
      <c r="AA26" s="473" t="n">
        <v>2070</v>
      </c>
      <c r="AB26" s="391" t="n">
        <f aca="false">AB25</f>
        <v>14600.433072851</v>
      </c>
      <c r="AC26" s="127" t="n">
        <f aca="false">N26+O26+P26+Q26+R26+U26+X26+AA26</f>
        <v>2460</v>
      </c>
      <c r="AD26" s="267" t="n">
        <f aca="false">IF(L26&lt;0,L26*-1,0)</f>
        <v>0</v>
      </c>
      <c r="AE26" s="267" t="n">
        <f aca="false">AC26+AD26</f>
        <v>2460</v>
      </c>
      <c r="AF26" s="248" t="n">
        <v>0</v>
      </c>
      <c r="AG26" s="244" t="n">
        <v>71</v>
      </c>
      <c r="AH26" s="249" t="n">
        <v>43</v>
      </c>
      <c r="AI26" s="244" t="n">
        <f aca="false">AI25</f>
        <v>14814.1599532</v>
      </c>
      <c r="AJ26" s="244"/>
      <c r="AK26" s="101"/>
      <c r="AL26" s="367" t="n">
        <f aca="false">47.3*(V25*1.9835+AK26*1.9835)/E26</f>
        <v>0</v>
      </c>
      <c r="AM26" s="250"/>
    </row>
    <row r="27" customFormat="false" ht="12.95" hidden="false" customHeight="true" outlineLevel="0" collapsed="false">
      <c r="A27" s="172" t="n">
        <f aca="false">A26+1</f>
        <v>16</v>
      </c>
      <c r="B27" s="252" t="n">
        <v>6917.96</v>
      </c>
      <c r="C27" s="242" t="n">
        <v>354824</v>
      </c>
      <c r="D27" s="244" t="n">
        <f aca="false">C27-C26</f>
        <v>466</v>
      </c>
      <c r="E27" s="242" t="n">
        <f aca="false">C27-152000</f>
        <v>202824</v>
      </c>
      <c r="F27" s="267" t="n">
        <f aca="false">D27/$D$2</f>
        <v>234.938240483993</v>
      </c>
      <c r="G27" s="241" t="n">
        <v>2210</v>
      </c>
      <c r="H27" s="247" t="n">
        <v>171</v>
      </c>
      <c r="I27" s="267" t="n">
        <f aca="false">G27+H27</f>
        <v>2381</v>
      </c>
      <c r="J27" s="247" t="n">
        <f aca="false">IF(L27&gt;0,L27,0)</f>
        <v>311.038240483993</v>
      </c>
      <c r="K27" s="267" t="n">
        <f aca="false">I27+J27</f>
        <v>2692.03824048399</v>
      </c>
      <c r="L27" s="267" t="n">
        <f aca="false">F27-(I27-AC27)</f>
        <v>311.038240483993</v>
      </c>
      <c r="M27" s="269" t="n">
        <v>215</v>
      </c>
      <c r="N27" s="267" t="n">
        <f aca="false">2.1*1.03</f>
        <v>2.163</v>
      </c>
      <c r="O27" s="267" t="n">
        <f aca="false">(40+35)*1.05</f>
        <v>78.75</v>
      </c>
      <c r="P27" s="389" t="n">
        <f aca="false">1.86*1.02</f>
        <v>1.8972</v>
      </c>
      <c r="Q27" s="389" t="n">
        <v>4.2</v>
      </c>
      <c r="R27" s="132" t="n">
        <v>1.26</v>
      </c>
      <c r="S27" s="267" t="n">
        <v>111</v>
      </c>
      <c r="T27" s="267" t="n">
        <v>64</v>
      </c>
      <c r="U27" s="267" t="n">
        <f aca="false">M27-N27-O27-P27-Q27-R27+S27+T27-AN27</f>
        <v>301.7298</v>
      </c>
      <c r="V27" s="242" t="n">
        <f aca="false">V26+AK27-(AL27/1.9835)</f>
        <v>0</v>
      </c>
      <c r="W27" s="242"/>
      <c r="X27" s="267" t="n">
        <v>7.1</v>
      </c>
      <c r="Y27" s="269" t="n">
        <v>1.7</v>
      </c>
      <c r="Z27" s="270" t="n">
        <v>1.3</v>
      </c>
      <c r="AA27" s="473" t="n">
        <v>2060</v>
      </c>
      <c r="AB27" s="391" t="n">
        <f aca="false">AB26</f>
        <v>14600.433072851</v>
      </c>
      <c r="AC27" s="127" t="n">
        <f aca="false">N27+O27+P27+Q27+R27+U27+X27+AA27</f>
        <v>2457.1</v>
      </c>
      <c r="AD27" s="267" t="n">
        <f aca="false">IF(L27&lt;0,L27*-1,0)</f>
        <v>0</v>
      </c>
      <c r="AE27" s="267" t="n">
        <f aca="false">AC27+AD27</f>
        <v>2457.1</v>
      </c>
      <c r="AF27" s="248" t="n">
        <v>0</v>
      </c>
      <c r="AG27" s="244" t="n">
        <v>76</v>
      </c>
      <c r="AH27" s="249" t="n">
        <v>44</v>
      </c>
      <c r="AI27" s="244" t="n">
        <f aca="false">AI26</f>
        <v>14814.1599532</v>
      </c>
      <c r="AJ27" s="244"/>
      <c r="AK27" s="101"/>
      <c r="AL27" s="367" t="n">
        <f aca="false">47.3*(V26*1.9835+AK27*1.9835)/E27</f>
        <v>0</v>
      </c>
      <c r="AM27" s="250"/>
    </row>
    <row r="28" customFormat="false" ht="12.95" hidden="false" customHeight="true" outlineLevel="0" collapsed="false">
      <c r="A28" s="172" t="n">
        <f aca="false">A27+1</f>
        <v>17</v>
      </c>
      <c r="B28" s="252" t="n">
        <v>6918.32</v>
      </c>
      <c r="C28" s="242" t="n">
        <v>356361</v>
      </c>
      <c r="D28" s="244" t="n">
        <f aca="false">C28-C27</f>
        <v>1537</v>
      </c>
      <c r="E28" s="242" t="n">
        <f aca="false">C28-152000</f>
        <v>204361</v>
      </c>
      <c r="F28" s="267" t="n">
        <f aca="false">D28/$D$2</f>
        <v>774.892866145702</v>
      </c>
      <c r="G28" s="241" t="n">
        <v>2700</v>
      </c>
      <c r="H28" s="247" t="n">
        <v>219</v>
      </c>
      <c r="I28" s="267" t="n">
        <f aca="false">G28+H28</f>
        <v>2919</v>
      </c>
      <c r="J28" s="247" t="n">
        <f aca="false">IF(L28&gt;0,L28,0)</f>
        <v>372.892866145702</v>
      </c>
      <c r="K28" s="393" t="n">
        <f aca="false">I28+J28</f>
        <v>3291.8928661457</v>
      </c>
      <c r="L28" s="267" t="n">
        <f aca="false">F28-(I28-AC28)</f>
        <v>372.892866145702</v>
      </c>
      <c r="M28" s="269" t="n">
        <v>242</v>
      </c>
      <c r="N28" s="267" t="n">
        <f aca="false">2.1*1.03</f>
        <v>2.163</v>
      </c>
      <c r="O28" s="267" t="n">
        <f aca="false">(40+39)*1.05</f>
        <v>82.95</v>
      </c>
      <c r="P28" s="389" t="n">
        <f aca="false">1.86*1.02</f>
        <v>1.8972</v>
      </c>
      <c r="Q28" s="389" t="n">
        <v>4.2</v>
      </c>
      <c r="R28" s="132" t="n">
        <v>1.57</v>
      </c>
      <c r="S28" s="267" t="n">
        <v>123</v>
      </c>
      <c r="T28" s="267" t="n">
        <v>71</v>
      </c>
      <c r="U28" s="267" t="n">
        <f aca="false">M28-N28-O28-P28-Q28-R28+S28+T28-AN28</f>
        <v>343.2198</v>
      </c>
      <c r="V28" s="242" t="n">
        <f aca="false">V27+AK28-(AL28/1.9835)</f>
        <v>0</v>
      </c>
      <c r="W28" s="242"/>
      <c r="X28" s="267" t="n">
        <v>21</v>
      </c>
      <c r="Y28" s="269" t="n">
        <v>1.7</v>
      </c>
      <c r="Z28" s="270" t="n">
        <v>1.3</v>
      </c>
      <c r="AA28" s="473" t="n">
        <v>2060</v>
      </c>
      <c r="AB28" s="391" t="n">
        <f aca="false">AB27</f>
        <v>14600.433072851</v>
      </c>
      <c r="AC28" s="127" t="n">
        <f aca="false">N28+O28+P28+Q28+R28+U28+X28+AA28</f>
        <v>2517</v>
      </c>
      <c r="AD28" s="267" t="n">
        <f aca="false">IF(L28&lt;0,L28*-1,0)</f>
        <v>0</v>
      </c>
      <c r="AE28" s="267" t="n">
        <f aca="false">AC28+AD28</f>
        <v>2517</v>
      </c>
      <c r="AF28" s="248" t="n">
        <v>0</v>
      </c>
      <c r="AG28" s="244" t="n">
        <v>65</v>
      </c>
      <c r="AH28" s="249" t="n">
        <v>43</v>
      </c>
      <c r="AI28" s="244" t="n">
        <f aca="false">AI27</f>
        <v>14814.1599532</v>
      </c>
      <c r="AJ28" s="244"/>
      <c r="AK28" s="101"/>
      <c r="AL28" s="367" t="n">
        <f aca="false">47.3*(V27*1.9835+AK28*1.9835)/E28</f>
        <v>0</v>
      </c>
      <c r="AM28" s="250"/>
    </row>
    <row r="29" customFormat="false" ht="12.95" hidden="false" customHeight="true" outlineLevel="0" collapsed="false">
      <c r="A29" s="172" t="n">
        <f aca="false">A28+1</f>
        <v>18</v>
      </c>
      <c r="B29" s="252" t="n">
        <v>6918.72</v>
      </c>
      <c r="C29" s="242" t="n">
        <v>358070</v>
      </c>
      <c r="D29" s="244" t="n">
        <f aca="false">C29-C28</f>
        <v>1709</v>
      </c>
      <c r="E29" s="242" t="n">
        <f aca="false">C29-152000</f>
        <v>206070</v>
      </c>
      <c r="F29" s="267" t="n">
        <f aca="false">D29/$D$2</f>
        <v>861.608268212755</v>
      </c>
      <c r="G29" s="241" t="n">
        <v>2860</v>
      </c>
      <c r="H29" s="247" t="n">
        <v>202</v>
      </c>
      <c r="I29" s="267" t="n">
        <f aca="false">G29+H29</f>
        <v>3062</v>
      </c>
      <c r="J29" s="247" t="n">
        <f aca="false">IF(L29&gt;0,L29,0)</f>
        <v>337.668268212755</v>
      </c>
      <c r="K29" s="267" t="n">
        <f aca="false">I29+J29</f>
        <v>3399.66826821276</v>
      </c>
      <c r="L29" s="267" t="n">
        <f aca="false">F29-(I29-AC29)</f>
        <v>337.668268212755</v>
      </c>
      <c r="M29" s="269" t="n">
        <v>255</v>
      </c>
      <c r="N29" s="267" t="n">
        <f aca="false">2.1*1.03</f>
        <v>2.163</v>
      </c>
      <c r="O29" s="267" t="n">
        <f aca="false">(38+34)*1.05</f>
        <v>75.6</v>
      </c>
      <c r="P29" s="389" t="n">
        <f aca="false">1.86*1.02</f>
        <v>1.8972</v>
      </c>
      <c r="Q29" s="389" t="n">
        <v>4.2</v>
      </c>
      <c r="R29" s="132" t="n">
        <v>1.4</v>
      </c>
      <c r="S29" s="267" t="n">
        <v>134</v>
      </c>
      <c r="T29" s="267" t="n">
        <v>71</v>
      </c>
      <c r="U29" s="267" t="n">
        <f aca="false">M29-N29-O29-P29-Q29-R29+S29+T29-AN29-AN29</f>
        <v>357.7998</v>
      </c>
      <c r="V29" s="242" t="n">
        <f aca="false">V28+AK29-(AL29/1.9835)</f>
        <v>0</v>
      </c>
      <c r="W29" s="242"/>
      <c r="X29" s="267" t="n">
        <v>35</v>
      </c>
      <c r="Y29" s="269" t="n">
        <v>1.7</v>
      </c>
      <c r="Z29" s="270" t="n">
        <v>1.3</v>
      </c>
      <c r="AA29" s="473" t="n">
        <v>2060</v>
      </c>
      <c r="AB29" s="391" t="n">
        <f aca="false">AB28</f>
        <v>14600.433072851</v>
      </c>
      <c r="AC29" s="127" t="n">
        <f aca="false">N29+O29+P29+Q29+R29+U29+X29+AA29</f>
        <v>2538.06</v>
      </c>
      <c r="AD29" s="267" t="n">
        <f aca="false">IF(L29&lt;0,L29*-1,0)</f>
        <v>0</v>
      </c>
      <c r="AE29" s="267" t="n">
        <f aca="false">AC29+AD29</f>
        <v>2538.06</v>
      </c>
      <c r="AF29" s="248" t="n">
        <v>0</v>
      </c>
      <c r="AG29" s="244" t="n">
        <v>70</v>
      </c>
      <c r="AH29" s="249" t="n">
        <v>38</v>
      </c>
      <c r="AI29" s="244" t="n">
        <f aca="false">AI28</f>
        <v>14814.1599532</v>
      </c>
      <c r="AJ29" s="244"/>
      <c r="AK29" s="101"/>
      <c r="AL29" s="367" t="n">
        <f aca="false">47.3*(V28*1.9835+AK29*1.9835)/E29</f>
        <v>0</v>
      </c>
      <c r="AM29" s="250"/>
      <c r="AN29" s="200" t="n">
        <v>8.47</v>
      </c>
    </row>
    <row r="30" customFormat="false" ht="12.95" hidden="false" customHeight="true" outlineLevel="0" collapsed="false">
      <c r="A30" s="172" t="n">
        <f aca="false">A29+1</f>
        <v>19</v>
      </c>
      <c r="B30" s="252" t="n">
        <v>6919</v>
      </c>
      <c r="C30" s="370" t="n">
        <v>359267</v>
      </c>
      <c r="D30" s="244" t="n">
        <f aca="false">C30-C29</f>
        <v>1197</v>
      </c>
      <c r="E30" s="242" t="n">
        <f aca="false">C30-152000</f>
        <v>207267</v>
      </c>
      <c r="F30" s="267" t="n">
        <f aca="false">D30/$D$2</f>
        <v>603.478699268969</v>
      </c>
      <c r="G30" s="241" t="n">
        <v>3180</v>
      </c>
      <c r="H30" s="247" t="n">
        <v>197</v>
      </c>
      <c r="I30" s="267" t="n">
        <f aca="false">G30+H30</f>
        <v>3377</v>
      </c>
      <c r="J30" s="247" t="n">
        <f aca="false">IF(L30&gt;0,L30,0)</f>
        <v>233.328699268969</v>
      </c>
      <c r="K30" s="267" t="n">
        <f aca="false">I30+J30</f>
        <v>3610.32869926897</v>
      </c>
      <c r="L30" s="267" t="n">
        <f aca="false">F30-(I30-AC30)</f>
        <v>233.328699268969</v>
      </c>
      <c r="M30" s="269" t="n">
        <v>260</v>
      </c>
      <c r="N30" s="267" t="n">
        <f aca="false">2.1*1.03</f>
        <v>2.163</v>
      </c>
      <c r="O30" s="267" t="n">
        <f aca="false">(35+31)*1.05</f>
        <v>69.3</v>
      </c>
      <c r="P30" s="389" t="n">
        <f aca="false">1.86*1.02</f>
        <v>1.8972</v>
      </c>
      <c r="Q30" s="389" t="n">
        <v>4.2</v>
      </c>
      <c r="R30" s="132" t="n">
        <v>2.72</v>
      </c>
      <c r="S30" s="267" t="n">
        <v>140</v>
      </c>
      <c r="T30" s="267" t="n">
        <v>71</v>
      </c>
      <c r="U30" s="267" t="n">
        <f aca="false">M30-N30-O30-P30-Q30-R30+S30+T30-AN30</f>
        <v>373.5698</v>
      </c>
      <c r="V30" s="242" t="n">
        <f aca="false">V29+AK30-(AL30/1.9835)</f>
        <v>0</v>
      </c>
      <c r="W30" s="242"/>
      <c r="X30" s="267" t="n">
        <v>63</v>
      </c>
      <c r="Y30" s="269" t="n">
        <v>1.7</v>
      </c>
      <c r="Z30" s="270" t="n">
        <v>1.3</v>
      </c>
      <c r="AA30" s="473" t="n">
        <v>2490</v>
      </c>
      <c r="AB30" s="391" t="n">
        <f aca="false">AB29</f>
        <v>14600.433072851</v>
      </c>
      <c r="AC30" s="127" t="n">
        <f aca="false">N30+O30+P30+Q30+R30+U30+X30+AA30</f>
        <v>3006.85</v>
      </c>
      <c r="AD30" s="267" t="n">
        <f aca="false">IF(L30&lt;0,L30*-1,0)</f>
        <v>0</v>
      </c>
      <c r="AE30" s="267" t="n">
        <f aca="false">AC30+AD30</f>
        <v>3006.85</v>
      </c>
      <c r="AF30" s="248" t="n">
        <v>0</v>
      </c>
      <c r="AG30" s="244" t="n">
        <v>78</v>
      </c>
      <c r="AH30" s="249" t="n">
        <v>45</v>
      </c>
      <c r="AI30" s="244" t="n">
        <f aca="false">AI29</f>
        <v>14814.1599532</v>
      </c>
      <c r="AJ30" s="244"/>
      <c r="AK30" s="101"/>
      <c r="AL30" s="367" t="n">
        <f aca="false">47.3*(V29*1.9835+AK30*1.9835)/E30</f>
        <v>0</v>
      </c>
      <c r="AM30" s="250"/>
      <c r="AN30" s="200" t="n">
        <v>17.15</v>
      </c>
    </row>
    <row r="31" customFormat="false" ht="12.95" hidden="false" customHeight="true" outlineLevel="0" collapsed="false">
      <c r="A31" s="172" t="n">
        <f aca="false">A30+1</f>
        <v>20</v>
      </c>
      <c r="B31" s="252" t="n">
        <v>6919.44</v>
      </c>
      <c r="C31" s="242" t="n">
        <v>361162</v>
      </c>
      <c r="D31" s="244" t="n">
        <f aca="false">C31-C30</f>
        <v>1895</v>
      </c>
      <c r="E31" s="242" t="n">
        <f aca="false">C31-152000</f>
        <v>209162</v>
      </c>
      <c r="F31" s="267" t="n">
        <f aca="false">D31/$D$2</f>
        <v>955.381900680615</v>
      </c>
      <c r="G31" s="241" t="n">
        <v>3850</v>
      </c>
      <c r="H31" s="247" t="n">
        <v>238</v>
      </c>
      <c r="I31" s="267" t="n">
        <f aca="false">G31+H31</f>
        <v>4088</v>
      </c>
      <c r="J31" s="247" t="n">
        <f aca="false">IF(L31&gt;0,L31,0)</f>
        <v>381.441900680615</v>
      </c>
      <c r="K31" s="267" t="n">
        <f aca="false">I31+J31</f>
        <v>4469.44190068061</v>
      </c>
      <c r="L31" s="267" t="n">
        <f aca="false">F31-(I31-AC31)</f>
        <v>381.441900680615</v>
      </c>
      <c r="M31" s="269" t="n">
        <v>287</v>
      </c>
      <c r="N31" s="267" t="n">
        <f aca="false">2.1*1.03</f>
        <v>2.163</v>
      </c>
      <c r="O31" s="267" t="n">
        <f aca="false">(38+39)*1.05</f>
        <v>80.85</v>
      </c>
      <c r="P31" s="389" t="n">
        <f aca="false">1.86*1.02</f>
        <v>1.8972</v>
      </c>
      <c r="Q31" s="389" t="n">
        <v>4.2</v>
      </c>
      <c r="R31" s="132" t="n">
        <v>4.09</v>
      </c>
      <c r="S31" s="267" t="n">
        <v>148</v>
      </c>
      <c r="T31" s="267" t="n">
        <v>72</v>
      </c>
      <c r="U31" s="267" t="n">
        <f aca="false">M31-N31-O31-P31-Q31-R31+S31+T31-AN31</f>
        <v>393.8598</v>
      </c>
      <c r="V31" s="242" t="n">
        <f aca="false">V30+AK31-(AL31/1.9835)</f>
        <v>0</v>
      </c>
      <c r="W31" s="242"/>
      <c r="X31" s="267" t="n">
        <v>67</v>
      </c>
      <c r="Y31" s="269" t="n">
        <v>1.7</v>
      </c>
      <c r="Z31" s="270" t="n">
        <v>1.3</v>
      </c>
      <c r="AA31" s="473" t="n">
        <v>2960</v>
      </c>
      <c r="AB31" s="391" t="n">
        <f aca="false">AB30</f>
        <v>14600.433072851</v>
      </c>
      <c r="AC31" s="127" t="n">
        <f aca="false">N31+O31+P31+Q31+R31+U31+X31+AA31</f>
        <v>3514.06</v>
      </c>
      <c r="AD31" s="267" t="n">
        <f aca="false">IF(L31&lt;0,L31*-1,0)</f>
        <v>0</v>
      </c>
      <c r="AE31" s="267" t="n">
        <f aca="false">AC31+AD31</f>
        <v>3514.06</v>
      </c>
      <c r="AF31" s="248" t="n">
        <v>0</v>
      </c>
      <c r="AG31" s="244" t="n">
        <v>84</v>
      </c>
      <c r="AH31" s="249" t="n">
        <v>50</v>
      </c>
      <c r="AI31" s="244" t="n">
        <f aca="false">AI30</f>
        <v>14814.1599532</v>
      </c>
      <c r="AJ31" s="244"/>
      <c r="AK31" s="101"/>
      <c r="AL31" s="367" t="n">
        <f aca="false">47.3*(V30*1.9835+AK31*1.9835)/E31</f>
        <v>0</v>
      </c>
      <c r="AM31" s="250"/>
      <c r="AN31" s="200" t="n">
        <v>19.94</v>
      </c>
    </row>
    <row r="32" customFormat="false" ht="12.95" hidden="false" customHeight="true" outlineLevel="0" collapsed="false">
      <c r="A32" s="172" t="n">
        <f aca="false">A31+1</f>
        <v>21</v>
      </c>
      <c r="B32" s="474" t="n">
        <v>6919.97</v>
      </c>
      <c r="C32" s="242" t="n">
        <v>363444</v>
      </c>
      <c r="D32" s="244" t="n">
        <f aca="false">C32-C31</f>
        <v>2282</v>
      </c>
      <c r="E32" s="242" t="n">
        <f aca="false">C32-152000</f>
        <v>211444</v>
      </c>
      <c r="F32" s="267" t="n">
        <f aca="false">D32/$D$2</f>
        <v>1150.49155533148</v>
      </c>
      <c r="G32" s="241" t="n">
        <v>4500</v>
      </c>
      <c r="H32" s="247" t="n">
        <v>257</v>
      </c>
      <c r="I32" s="267" t="n">
        <f aca="false">G32+H32</f>
        <v>4757</v>
      </c>
      <c r="J32" s="247" t="n">
        <f aca="false">IF(L32&gt;0,L32,0)</f>
        <v>243.511555331485</v>
      </c>
      <c r="K32" s="267" t="n">
        <f aca="false">I32+J32</f>
        <v>5000.51155533148</v>
      </c>
      <c r="L32" s="267" t="n">
        <f aca="false">F32-(I32-AC32)</f>
        <v>243.511555331485</v>
      </c>
      <c r="M32" s="269" t="n">
        <v>303</v>
      </c>
      <c r="N32" s="267" t="n">
        <f aca="false">2.1*1.03</f>
        <v>2.163</v>
      </c>
      <c r="O32" s="267" t="n">
        <f aca="false">(41+41)*1.05</f>
        <v>86.1</v>
      </c>
      <c r="P32" s="389" t="n">
        <f aca="false">1.86*1.02</f>
        <v>1.8972</v>
      </c>
      <c r="Q32" s="389" t="n">
        <v>4.2</v>
      </c>
      <c r="R32" s="132" t="n">
        <v>4.44</v>
      </c>
      <c r="S32" s="267" t="n">
        <v>158</v>
      </c>
      <c r="T32" s="267" t="n">
        <v>73</v>
      </c>
      <c r="U32" s="267" t="n">
        <f aca="false">M32-N32-O32-P32-Q32-R32+S32+T32-AN32</f>
        <v>415.2198</v>
      </c>
      <c r="V32" s="242" t="n">
        <f aca="false">V31+AK32-(AL32/1.9835)</f>
        <v>0</v>
      </c>
      <c r="W32" s="242"/>
      <c r="X32" s="267" t="n">
        <v>86</v>
      </c>
      <c r="Y32" s="269" t="n">
        <v>1.7</v>
      </c>
      <c r="Z32" s="270" t="n">
        <v>1.3</v>
      </c>
      <c r="AA32" s="473" t="n">
        <v>3250</v>
      </c>
      <c r="AB32" s="391" t="n">
        <f aca="false">AB31</f>
        <v>14600.433072851</v>
      </c>
      <c r="AC32" s="127" t="n">
        <f aca="false">N32+O32+P32+Q32+R32+U32+X32+AA32</f>
        <v>3850.02</v>
      </c>
      <c r="AD32" s="267" t="n">
        <f aca="false">IF(L32&lt;0,L32*-1,0)</f>
        <v>0</v>
      </c>
      <c r="AE32" s="267" t="n">
        <f aca="false">AC32+AD32</f>
        <v>3850.02</v>
      </c>
      <c r="AF32" s="248" t="n">
        <v>0</v>
      </c>
      <c r="AG32" s="244" t="n">
        <v>82</v>
      </c>
      <c r="AH32" s="249" t="s">
        <v>110</v>
      </c>
      <c r="AI32" s="244" t="n">
        <f aca="false">AI31</f>
        <v>14814.1599532</v>
      </c>
      <c r="AJ32" s="244"/>
      <c r="AK32" s="101"/>
      <c r="AL32" s="367" t="n">
        <f aca="false">47.3*(V31*1.9835+AK32*1.9835)/E32</f>
        <v>0</v>
      </c>
      <c r="AM32" s="250"/>
      <c r="AN32" s="200" t="n">
        <v>19.98</v>
      </c>
    </row>
    <row r="33" customFormat="false" ht="12.95" hidden="false" customHeight="true" outlineLevel="0" collapsed="false">
      <c r="A33" s="172" t="n">
        <f aca="false">A32+1</f>
        <v>22</v>
      </c>
      <c r="B33" s="252" t="n">
        <v>6920.22</v>
      </c>
      <c r="C33" s="242" t="n">
        <v>364528</v>
      </c>
      <c r="D33" s="244" t="n">
        <f aca="false">C33-C32</f>
        <v>1084</v>
      </c>
      <c r="E33" s="242" t="n">
        <f aca="false">C33-152000</f>
        <v>212528</v>
      </c>
      <c r="F33" s="267" t="n">
        <f aca="false">D33/$D$2</f>
        <v>546.508696748172</v>
      </c>
      <c r="G33" s="241" t="n">
        <v>4710</v>
      </c>
      <c r="H33" s="247" t="n">
        <v>217</v>
      </c>
      <c r="I33" s="267" t="n">
        <f aca="false">G33+H33</f>
        <v>4927</v>
      </c>
      <c r="J33" s="247" t="n">
        <f aca="false">IF(L33&gt;0,L33,0)</f>
        <v>226.378696748172</v>
      </c>
      <c r="K33" s="267" t="n">
        <f aca="false">I33+J33</f>
        <v>5153.37869674817</v>
      </c>
      <c r="L33" s="267" t="n">
        <f aca="false">F33-(I33-AC33)</f>
        <v>226.378696748172</v>
      </c>
      <c r="M33" s="269" t="n">
        <v>297</v>
      </c>
      <c r="N33" s="267" t="n">
        <f aca="false">2.1*1.03</f>
        <v>2.163</v>
      </c>
      <c r="O33" s="267" t="n">
        <f aca="false">(40+38)*1.05</f>
        <v>81.9</v>
      </c>
      <c r="P33" s="389" t="n">
        <f aca="false">1.86*1.02</f>
        <v>1.8972</v>
      </c>
      <c r="Q33" s="389" t="n">
        <v>4.2</v>
      </c>
      <c r="R33" s="132" t="n">
        <v>5.38</v>
      </c>
      <c r="S33" s="267" t="n">
        <v>162</v>
      </c>
      <c r="T33" s="267" t="n">
        <v>74</v>
      </c>
      <c r="U33" s="267" t="n">
        <f aca="false">M33-N33-O33-P33-Q33-R33+S33+T33-AN33</f>
        <v>417.3298</v>
      </c>
      <c r="V33" s="242" t="n">
        <f aca="false">V32+AK33-(AL33/1.9835)</f>
        <v>0</v>
      </c>
      <c r="W33" s="242"/>
      <c r="X33" s="267" t="n">
        <v>74</v>
      </c>
      <c r="Y33" s="269" t="n">
        <v>1.7</v>
      </c>
      <c r="Z33" s="270" t="n">
        <v>1.3</v>
      </c>
      <c r="AA33" s="473" t="n">
        <v>4020</v>
      </c>
      <c r="AB33" s="391" t="n">
        <f aca="false">AB32</f>
        <v>14600.433072851</v>
      </c>
      <c r="AC33" s="127" t="n">
        <f aca="false">N33+O33+P33+Q33+R33+U33+X33+AA33</f>
        <v>4606.87</v>
      </c>
      <c r="AD33" s="267" t="n">
        <f aca="false">IF(L33&lt;0,L33*-1,0)</f>
        <v>0</v>
      </c>
      <c r="AE33" s="267" t="n">
        <f aca="false">AC33+AD33</f>
        <v>4606.87</v>
      </c>
      <c r="AF33" s="248" t="n">
        <v>0</v>
      </c>
      <c r="AG33" s="244" t="n">
        <v>84</v>
      </c>
      <c r="AH33" s="249" t="n">
        <v>49</v>
      </c>
      <c r="AI33" s="244" t="n">
        <f aca="false">AI32</f>
        <v>14814.1599532</v>
      </c>
      <c r="AJ33" s="244"/>
      <c r="AK33" s="101"/>
      <c r="AL33" s="367" t="n">
        <f aca="false">47.3*(V32*1.9835+AK33*1.9835)/E33</f>
        <v>0</v>
      </c>
      <c r="AM33" s="250"/>
      <c r="AN33" s="200" t="n">
        <v>20.13</v>
      </c>
    </row>
    <row r="34" customFormat="false" ht="12.95" hidden="false" customHeight="true" outlineLevel="0" collapsed="false">
      <c r="A34" s="172" t="n">
        <f aca="false">A33+1</f>
        <v>23</v>
      </c>
      <c r="B34" s="252" t="n">
        <v>6920.53</v>
      </c>
      <c r="C34" s="242" t="n">
        <v>365874</v>
      </c>
      <c r="D34" s="244" t="n">
        <f aca="false">C34-C33</f>
        <v>1346</v>
      </c>
      <c r="E34" s="242" t="n">
        <f aca="false">C34-152000</f>
        <v>213874</v>
      </c>
      <c r="F34" s="267" t="n">
        <f aca="false">D34/$D$2</f>
        <v>678.598437106126</v>
      </c>
      <c r="G34" s="241" t="n">
        <v>4890</v>
      </c>
      <c r="H34" s="247" t="n">
        <v>205</v>
      </c>
      <c r="I34" s="267" t="n">
        <f aca="false">G34+H34</f>
        <v>5095</v>
      </c>
      <c r="J34" s="247" t="n">
        <f aca="false">IF(L34&gt;0,L34,0)</f>
        <v>396.108437106126</v>
      </c>
      <c r="K34" s="267" t="n">
        <f aca="false">I34+J34</f>
        <v>5491.10843710613</v>
      </c>
      <c r="L34" s="267" t="n">
        <f aca="false">F34-(I34-AC34)</f>
        <v>396.108437106126</v>
      </c>
      <c r="M34" s="269" t="n">
        <v>289</v>
      </c>
      <c r="N34" s="267" t="n">
        <f aca="false">2.1*1.03</f>
        <v>2.163</v>
      </c>
      <c r="O34" s="267" t="n">
        <f aca="false">(32+31)*1.05</f>
        <v>66.15</v>
      </c>
      <c r="P34" s="389" t="n">
        <f aca="false">1.86*1.02</f>
        <v>1.8972</v>
      </c>
      <c r="Q34" s="389" t="n">
        <v>4.2</v>
      </c>
      <c r="R34" s="132" t="n">
        <v>5.61</v>
      </c>
      <c r="S34" s="267" t="n">
        <v>166</v>
      </c>
      <c r="T34" s="267" t="n">
        <v>74</v>
      </c>
      <c r="U34" s="267" t="n">
        <f aca="false">M34-N34-O34-P34-Q34-R34+S34+T34-AN34</f>
        <v>427.4898</v>
      </c>
      <c r="V34" s="242" t="n">
        <f aca="false">V33+AK34-(AL34/1.9835)</f>
        <v>0</v>
      </c>
      <c r="W34" s="242"/>
      <c r="X34" s="267" t="n">
        <v>105</v>
      </c>
      <c r="Y34" s="269" t="n">
        <v>1.7</v>
      </c>
      <c r="Z34" s="270" t="n">
        <v>1.3</v>
      </c>
      <c r="AA34" s="473" t="n">
        <v>4200</v>
      </c>
      <c r="AB34" s="391" t="n">
        <f aca="false">AB33</f>
        <v>14600.433072851</v>
      </c>
      <c r="AC34" s="127" t="n">
        <f aca="false">N34+O34+P34+Q34+R34+U34+X34+AA34</f>
        <v>4812.51</v>
      </c>
      <c r="AD34" s="267" t="n">
        <f aca="false">IF(L34&lt;0,L34*-1,0)</f>
        <v>0</v>
      </c>
      <c r="AE34" s="267" t="n">
        <f aca="false">AC34+AD34</f>
        <v>4812.51</v>
      </c>
      <c r="AF34" s="248" t="n">
        <v>0</v>
      </c>
      <c r="AG34" s="244" t="n">
        <v>83</v>
      </c>
      <c r="AH34" s="249" t="n">
        <v>49</v>
      </c>
      <c r="AI34" s="244" t="n">
        <f aca="false">AI33</f>
        <v>14814.1599532</v>
      </c>
      <c r="AJ34" s="244"/>
      <c r="AK34" s="101"/>
      <c r="AL34" s="367" t="n">
        <f aca="false">47.3*(V33*1.9835+AK34*1.9835)/E34</f>
        <v>0</v>
      </c>
      <c r="AM34" s="250"/>
      <c r="AN34" s="200" t="n">
        <v>21.49</v>
      </c>
    </row>
    <row r="35" customFormat="false" ht="12.95" hidden="false" customHeight="true" outlineLevel="0" collapsed="false">
      <c r="A35" s="172" t="n">
        <f aca="false">A34+1</f>
        <v>24</v>
      </c>
      <c r="B35" s="252" t="n">
        <v>6920.63</v>
      </c>
      <c r="C35" s="242" t="n">
        <v>366308</v>
      </c>
      <c r="D35" s="244" t="n">
        <f aca="false">C35-C34</f>
        <v>434</v>
      </c>
      <c r="E35" s="242" t="n">
        <f aca="false">C35-152000</f>
        <v>214308</v>
      </c>
      <c r="F35" s="267" t="n">
        <f aca="false">D35/$D$2</f>
        <v>218.805142425006</v>
      </c>
      <c r="G35" s="241" t="n">
        <v>4860</v>
      </c>
      <c r="H35" s="247" t="n">
        <v>177</v>
      </c>
      <c r="I35" s="267" t="n">
        <f aca="false">G35+H35</f>
        <v>5037</v>
      </c>
      <c r="J35" s="247" t="n">
        <f aca="false">IF(L35&gt;0,L35,0)</f>
        <v>247.845142425006</v>
      </c>
      <c r="K35" s="267" t="n">
        <f aca="false">I35+J35</f>
        <v>5284.84514242501</v>
      </c>
      <c r="L35" s="267" t="n">
        <f aca="false">F35-(I35-AC35)</f>
        <v>247.845142425006</v>
      </c>
      <c r="M35" s="269" t="n">
        <v>301</v>
      </c>
      <c r="N35" s="267" t="n">
        <f aca="false">2.1*1.03</f>
        <v>2.163</v>
      </c>
      <c r="O35" s="267" t="n">
        <f aca="false">(32+31)*1.05</f>
        <v>66.15</v>
      </c>
      <c r="P35" s="389" t="n">
        <f aca="false">1.86*1.02</f>
        <v>1.8972</v>
      </c>
      <c r="Q35" s="389" t="n">
        <v>4.2</v>
      </c>
      <c r="R35" s="132" t="n">
        <v>3.74</v>
      </c>
      <c r="S35" s="267" t="n">
        <v>178</v>
      </c>
      <c r="T35" s="267" t="n">
        <v>74</v>
      </c>
      <c r="U35" s="267" t="n">
        <f aca="false">M35-N35-O35-P35-Q35-R35+S35+T35-AN35</f>
        <v>453.8898</v>
      </c>
      <c r="V35" s="242" t="n">
        <f aca="false">V34+AK35-(AL35/1.9835)</f>
        <v>0</v>
      </c>
      <c r="W35" s="242"/>
      <c r="X35" s="267" t="n">
        <v>154</v>
      </c>
      <c r="Y35" s="269" t="n">
        <v>1.7</v>
      </c>
      <c r="Z35" s="270" t="n">
        <v>1.3</v>
      </c>
      <c r="AA35" s="473" t="n">
        <v>4380</v>
      </c>
      <c r="AB35" s="391" t="n">
        <f aca="false">AB34</f>
        <v>14600.433072851</v>
      </c>
      <c r="AC35" s="127" t="n">
        <f aca="false">N35+O35+P35+Q35+R35+U35+X35+AA35</f>
        <v>5066.04</v>
      </c>
      <c r="AD35" s="267" t="n">
        <f aca="false">IF(L35&lt;0,L35*-1,0)</f>
        <v>0</v>
      </c>
      <c r="AE35" s="267" t="n">
        <f aca="false">AC35+AD35</f>
        <v>5066.04</v>
      </c>
      <c r="AF35" s="248" t="n">
        <v>0</v>
      </c>
      <c r="AG35" s="244" t="n">
        <v>83</v>
      </c>
      <c r="AH35" s="249" t="n">
        <v>50</v>
      </c>
      <c r="AI35" s="244" t="n">
        <f aca="false">AI34</f>
        <v>14814.1599532</v>
      </c>
      <c r="AJ35" s="244"/>
      <c r="AK35" s="101"/>
      <c r="AL35" s="367" t="n">
        <f aca="false">47.3*(V34*1.9835+AK35*1.9835)/E35</f>
        <v>0</v>
      </c>
      <c r="AM35" s="250"/>
      <c r="AN35" s="200" t="n">
        <v>20.96</v>
      </c>
    </row>
    <row r="36" customFormat="false" ht="12.95" hidden="false" customHeight="true" outlineLevel="0" collapsed="false">
      <c r="A36" s="172" t="n">
        <f aca="false">A35+1</f>
        <v>25</v>
      </c>
      <c r="B36" s="252" t="n">
        <v>6920.58</v>
      </c>
      <c r="C36" s="242" t="n">
        <v>366091</v>
      </c>
      <c r="D36" s="244" t="n">
        <f aca="false">C36-C35</f>
        <v>-217</v>
      </c>
      <c r="E36" s="242" t="n">
        <f aca="false">C36-152000</f>
        <v>214091</v>
      </c>
      <c r="F36" s="267" t="n">
        <f aca="false">D36/$D$2</f>
        <v>-109.402571212503</v>
      </c>
      <c r="G36" s="241" t="n">
        <v>4570</v>
      </c>
      <c r="H36" s="247" t="n">
        <v>150</v>
      </c>
      <c r="I36" s="267" t="n">
        <f aca="false">G36+H36</f>
        <v>4720</v>
      </c>
      <c r="J36" s="247" t="n">
        <f aca="false">IF(L36&gt;0,L36,0)</f>
        <v>395.827428787496</v>
      </c>
      <c r="K36" s="267" t="n">
        <f aca="false">I36+J36</f>
        <v>5115.8274287875</v>
      </c>
      <c r="L36" s="267" t="n">
        <f aca="false">F36-(I36-AC36)</f>
        <v>395.827428787496</v>
      </c>
      <c r="M36" s="269" t="n">
        <v>283</v>
      </c>
      <c r="N36" s="267" t="n">
        <f aca="false">2.1*1.03</f>
        <v>2.163</v>
      </c>
      <c r="O36" s="267" t="n">
        <f aca="false">(30+27)*1.05</f>
        <v>59.85</v>
      </c>
      <c r="P36" s="389" t="n">
        <f aca="false">1.86*1.02</f>
        <v>1.8972</v>
      </c>
      <c r="Q36" s="389" t="n">
        <v>4.2</v>
      </c>
      <c r="R36" s="132" t="n">
        <v>3.83</v>
      </c>
      <c r="S36" s="267" t="n">
        <v>181</v>
      </c>
      <c r="T36" s="267" t="n">
        <v>73</v>
      </c>
      <c r="U36" s="267" t="n">
        <f aca="false">M36-N36-O36-P36-Q36-R36+S36+T36-AN36</f>
        <v>444.2898</v>
      </c>
      <c r="V36" s="242" t="n">
        <f aca="false">V35+AK36-(AL36/1.9835)</f>
        <v>0</v>
      </c>
      <c r="W36" s="242"/>
      <c r="X36" s="267" t="n">
        <v>179</v>
      </c>
      <c r="Y36" s="269" t="n">
        <v>1.7</v>
      </c>
      <c r="Z36" s="270" t="n">
        <v>1.3</v>
      </c>
      <c r="AA36" s="473" t="n">
        <v>4530</v>
      </c>
      <c r="AB36" s="391" t="n">
        <f aca="false">AB35</f>
        <v>14600.433072851</v>
      </c>
      <c r="AC36" s="127" t="n">
        <f aca="false">N36+O36+P36+Q36+R36+U36+X36+AA36</f>
        <v>5225.23</v>
      </c>
      <c r="AD36" s="267" t="n">
        <f aca="false">IF(L36&lt;0,L36*-1,0)</f>
        <v>0</v>
      </c>
      <c r="AE36" s="267" t="n">
        <f aca="false">AC36+AD36</f>
        <v>5225.23</v>
      </c>
      <c r="AF36" s="248" t="n">
        <v>0</v>
      </c>
      <c r="AG36" s="244" t="n">
        <v>79</v>
      </c>
      <c r="AH36" s="249" t="n">
        <v>50</v>
      </c>
      <c r="AI36" s="244" t="n">
        <f aca="false">AI35</f>
        <v>14814.1599532</v>
      </c>
      <c r="AJ36" s="244"/>
      <c r="AK36" s="101"/>
      <c r="AL36" s="367" t="n">
        <f aca="false">47.3*(V35*1.9835+AK36*1.9835)/E36</f>
        <v>0</v>
      </c>
      <c r="AM36" s="250"/>
      <c r="AN36" s="200" t="n">
        <v>20.77</v>
      </c>
    </row>
    <row r="37" customFormat="false" ht="12.95" hidden="false" customHeight="true" outlineLevel="0" collapsed="false">
      <c r="A37" s="172" t="n">
        <f aca="false">A36+1</f>
        <v>26</v>
      </c>
      <c r="B37" s="252" t="n">
        <v>6920.45</v>
      </c>
      <c r="C37" s="242" t="n">
        <v>365527</v>
      </c>
      <c r="D37" s="244" t="n">
        <f aca="false">C37-C36</f>
        <v>-564</v>
      </c>
      <c r="E37" s="242" t="n">
        <f aca="false">C37-152000</f>
        <v>213527</v>
      </c>
      <c r="F37" s="267" t="n">
        <f aca="false">D37/$D$2</f>
        <v>-284.34585328964</v>
      </c>
      <c r="G37" s="241" t="n">
        <v>4210</v>
      </c>
      <c r="H37" s="247" t="n">
        <v>119</v>
      </c>
      <c r="I37" s="267" t="n">
        <f aca="false">G37+H37</f>
        <v>4329</v>
      </c>
      <c r="J37" s="247" t="n">
        <f aca="false">IF(L37&gt;0,L37,0)</f>
        <v>344.624146710361</v>
      </c>
      <c r="K37" s="267" t="n">
        <f aca="false">I37+J37</f>
        <v>4673.62414671036</v>
      </c>
      <c r="L37" s="267" t="n">
        <f aca="false">F37-(I37-AC37)</f>
        <v>344.624146710361</v>
      </c>
      <c r="M37" s="269" t="n">
        <v>317</v>
      </c>
      <c r="N37" s="267" t="n">
        <f aca="false">2.1*1.03</f>
        <v>2.163</v>
      </c>
      <c r="O37" s="267" t="n">
        <f aca="false">(33+33)*1.05</f>
        <v>69.3</v>
      </c>
      <c r="P37" s="389" t="n">
        <f aca="false">1.86*1.02</f>
        <v>1.8972</v>
      </c>
      <c r="Q37" s="389" t="n">
        <v>4.2</v>
      </c>
      <c r="R37" s="132" t="n">
        <v>4.45</v>
      </c>
      <c r="S37" s="267" t="n">
        <v>181</v>
      </c>
      <c r="T37" s="267" t="n">
        <v>75</v>
      </c>
      <c r="U37" s="267" t="n">
        <f aca="false">M37-N37-O37-P37-Q37-R37+S37+T37-AN37</f>
        <v>470.9598</v>
      </c>
      <c r="V37" s="242" t="n">
        <f aca="false">V36+AK37-(AL37/1.9835)</f>
        <v>0</v>
      </c>
      <c r="W37" s="242"/>
      <c r="X37" s="267" t="n">
        <v>195</v>
      </c>
      <c r="Y37" s="269" t="n">
        <v>1.7</v>
      </c>
      <c r="Z37" s="270" t="n">
        <v>1.3</v>
      </c>
      <c r="AA37" s="473" t="n">
        <v>4210</v>
      </c>
      <c r="AB37" s="391" t="n">
        <f aca="false">AB36</f>
        <v>14600.433072851</v>
      </c>
      <c r="AC37" s="127" t="n">
        <f aca="false">N37+O37+P37+Q37+R37+U37+X37+AA37</f>
        <v>4957.97</v>
      </c>
      <c r="AD37" s="267" t="n">
        <f aca="false">IF(L37&lt;0,L37*-1,0)</f>
        <v>0</v>
      </c>
      <c r="AE37" s="267" t="n">
        <f aca="false">AC37+AD37</f>
        <v>4957.97</v>
      </c>
      <c r="AF37" s="248" t="n">
        <v>0</v>
      </c>
      <c r="AG37" s="244" t="n">
        <v>78</v>
      </c>
      <c r="AH37" s="249" t="n">
        <v>49</v>
      </c>
      <c r="AI37" s="244" t="n">
        <f aca="false">AI36</f>
        <v>14814.1599532</v>
      </c>
      <c r="AJ37" s="244"/>
      <c r="AK37" s="101"/>
      <c r="AL37" s="367" t="n">
        <f aca="false">47.3*(V36*1.9835+AK37*1.9835)/E37</f>
        <v>0</v>
      </c>
      <c r="AM37" s="250"/>
      <c r="AN37" s="200" t="n">
        <v>20.03</v>
      </c>
    </row>
    <row r="38" customFormat="false" ht="12.95" hidden="false" customHeight="true" outlineLevel="0" collapsed="false">
      <c r="A38" s="172" t="n">
        <f aca="false">A37+1</f>
        <v>27</v>
      </c>
      <c r="B38" s="252" t="n">
        <v>6920.35</v>
      </c>
      <c r="C38" s="242" t="n">
        <v>365093</v>
      </c>
      <c r="D38" s="244" t="n">
        <f aca="false">C38-C37</f>
        <v>-434</v>
      </c>
      <c r="E38" s="242" t="n">
        <f aca="false">C38-152000</f>
        <v>213093</v>
      </c>
      <c r="F38" s="267" t="n">
        <f aca="false">D38/$D$2</f>
        <v>-218.805142425006</v>
      </c>
      <c r="G38" s="241" t="n">
        <v>3670</v>
      </c>
      <c r="H38" s="247" t="n">
        <v>91</v>
      </c>
      <c r="I38" s="267" t="n">
        <f aca="false">G38+H38</f>
        <v>3761</v>
      </c>
      <c r="J38" s="247" t="n">
        <f aca="false">IF(L38&gt;0,L38,0)</f>
        <v>264.034857574994</v>
      </c>
      <c r="K38" s="267" t="n">
        <f aca="false">I38+J38</f>
        <v>4025.03485757499</v>
      </c>
      <c r="L38" s="267" t="n">
        <f aca="false">F38-(I38-AC38)</f>
        <v>264.034857574994</v>
      </c>
      <c r="M38" s="269" t="n">
        <v>322</v>
      </c>
      <c r="N38" s="267" t="n">
        <f aca="false">2.1*1.03</f>
        <v>2.163</v>
      </c>
      <c r="O38" s="267" t="n">
        <f aca="false">(40+41)*1.05</f>
        <v>85.05</v>
      </c>
      <c r="P38" s="389" t="n">
        <f aca="false">1.86*1.02</f>
        <v>1.8972</v>
      </c>
      <c r="Q38" s="389" t="n">
        <v>4.2</v>
      </c>
      <c r="R38" s="132" t="n">
        <v>5.13</v>
      </c>
      <c r="S38" s="267" t="n">
        <v>145</v>
      </c>
      <c r="T38" s="267" t="n">
        <v>77</v>
      </c>
      <c r="U38" s="267" t="n">
        <f aca="false">M38-N38-O38-P38-Q38-R38+S38+T38-AN38</f>
        <v>424.3998</v>
      </c>
      <c r="V38" s="242" t="n">
        <f aca="false">V37+AK38-(AL38/1.9835)</f>
        <v>0</v>
      </c>
      <c r="W38" s="242"/>
      <c r="X38" s="267" t="n">
        <v>221</v>
      </c>
      <c r="Y38" s="269" t="n">
        <v>1.7</v>
      </c>
      <c r="Z38" s="270" t="n">
        <v>1.3</v>
      </c>
      <c r="AA38" s="473" t="n">
        <v>3500</v>
      </c>
      <c r="AB38" s="391" t="n">
        <f aca="false">AB37</f>
        <v>14600.433072851</v>
      </c>
      <c r="AC38" s="127" t="n">
        <f aca="false">N38+O38+P38+Q38+R38+U38+X38+AA38</f>
        <v>4243.84</v>
      </c>
      <c r="AD38" s="267" t="n">
        <f aca="false">IF(L38&lt;0,L38*-1,0)</f>
        <v>0</v>
      </c>
      <c r="AE38" s="267" t="n">
        <f aca="false">AC38+AD38</f>
        <v>4243.84</v>
      </c>
      <c r="AF38" s="248" t="n">
        <v>0</v>
      </c>
      <c r="AG38" s="244" t="n">
        <v>77</v>
      </c>
      <c r="AH38" s="249" t="n">
        <v>47</v>
      </c>
      <c r="AI38" s="244" t="n">
        <f aca="false">AI37</f>
        <v>14814.1599532</v>
      </c>
      <c r="AJ38" s="244"/>
      <c r="AK38" s="101"/>
      <c r="AL38" s="367" t="n">
        <f aca="false">47.3*(V37*1.9835+AK38*1.9835)/E38</f>
        <v>0</v>
      </c>
      <c r="AM38" s="250"/>
      <c r="AN38" s="200" t="n">
        <v>21.16</v>
      </c>
    </row>
    <row r="39" customFormat="false" ht="12.95" hidden="false" customHeight="true" outlineLevel="0" collapsed="false">
      <c r="A39" s="172" t="n">
        <v>28</v>
      </c>
      <c r="B39" s="252" t="n">
        <v>6920.83</v>
      </c>
      <c r="C39" s="242" t="n">
        <v>367177</v>
      </c>
      <c r="D39" s="244" t="n">
        <f aca="false">C39-C38</f>
        <v>2084</v>
      </c>
      <c r="E39" s="242" t="n">
        <f aca="false">C39-152000</f>
        <v>215177</v>
      </c>
      <c r="F39" s="267" t="n">
        <f aca="false">D39/$D$2</f>
        <v>1050.66801109151</v>
      </c>
      <c r="G39" s="241" t="n">
        <v>3090</v>
      </c>
      <c r="H39" s="247" t="n">
        <v>68</v>
      </c>
      <c r="I39" s="267" t="n">
        <f aca="false">G39+H39</f>
        <v>3158</v>
      </c>
      <c r="J39" s="247" t="n">
        <f aca="false">IF(L39&gt;0,L39,0)</f>
        <v>406.508011091505</v>
      </c>
      <c r="K39" s="267" t="n">
        <f aca="false">I39+J39</f>
        <v>3564.5080110915</v>
      </c>
      <c r="L39" s="267" t="n">
        <f aca="false">F39-(I39-AC39)</f>
        <v>406.508011091505</v>
      </c>
      <c r="M39" s="269" t="n">
        <v>301</v>
      </c>
      <c r="N39" s="267" t="n">
        <f aca="false">2.1*1.03</f>
        <v>2.163</v>
      </c>
      <c r="O39" s="267" t="n">
        <f aca="false">(37+38)*1.05</f>
        <v>78.75</v>
      </c>
      <c r="P39" s="389" t="n">
        <f aca="false">1.86*1.02</f>
        <v>1.8972</v>
      </c>
      <c r="Q39" s="389" t="n">
        <v>4.2</v>
      </c>
      <c r="R39" s="132" t="n">
        <v>5.68</v>
      </c>
      <c r="S39" s="267" t="n">
        <v>120</v>
      </c>
      <c r="T39" s="267" t="n">
        <v>78</v>
      </c>
      <c r="U39" s="267" t="n">
        <f aca="false">M39-N39-O39-P39-Q39-R39+S39+T39-AN39</f>
        <v>386.1498</v>
      </c>
      <c r="V39" s="242" t="n">
        <f aca="false">V38+AK39-(AL39/1.9835)</f>
        <v>0</v>
      </c>
      <c r="W39" s="242"/>
      <c r="X39" s="267" t="n">
        <v>195</v>
      </c>
      <c r="Y39" s="269" t="n">
        <v>1.7</v>
      </c>
      <c r="Z39" s="270" t="n">
        <v>1.3</v>
      </c>
      <c r="AA39" s="473" t="n">
        <v>1840</v>
      </c>
      <c r="AB39" s="391" t="n">
        <f aca="false">AB38</f>
        <v>14600.433072851</v>
      </c>
      <c r="AC39" s="127" t="n">
        <f aca="false">N39+O39+P39+Q39+R39+U39+X39+AA39</f>
        <v>2513.84</v>
      </c>
      <c r="AD39" s="267" t="n">
        <f aca="false">IF(L39&lt;0,L39*-1,0)</f>
        <v>0</v>
      </c>
      <c r="AE39" s="267" t="n">
        <f aca="false">AC39+AD39</f>
        <v>2513.84</v>
      </c>
      <c r="AF39" s="248" t="n">
        <v>0</v>
      </c>
      <c r="AG39" s="244" t="n">
        <v>76</v>
      </c>
      <c r="AH39" s="249" t="n">
        <v>45</v>
      </c>
      <c r="AI39" s="244" t="n">
        <f aca="false">AI38</f>
        <v>14814.1599532</v>
      </c>
      <c r="AJ39" s="244"/>
      <c r="AK39" s="101"/>
      <c r="AL39" s="367" t="n">
        <f aca="false">47.3*(V38*1.9835+AK39*1.9835)/E39</f>
        <v>0</v>
      </c>
      <c r="AM39" s="250"/>
      <c r="AN39" s="200" t="n">
        <v>20.16</v>
      </c>
    </row>
    <row r="40" customFormat="false" ht="12.95" hidden="false" customHeight="true" outlineLevel="0" collapsed="false">
      <c r="A40" s="172" t="n">
        <v>29</v>
      </c>
      <c r="B40" s="252" t="n">
        <v>6921.32</v>
      </c>
      <c r="C40" s="242" t="n">
        <v>369316</v>
      </c>
      <c r="D40" s="244" t="n">
        <f aca="false">C40-C39</f>
        <v>2139</v>
      </c>
      <c r="E40" s="242" t="n">
        <f aca="false">C40-152000</f>
        <v>217316</v>
      </c>
      <c r="F40" s="267" t="n">
        <f aca="false">D40/$D$2</f>
        <v>1078.39677338039</v>
      </c>
      <c r="G40" s="241" t="n">
        <v>2750</v>
      </c>
      <c r="H40" s="247" t="n">
        <v>42</v>
      </c>
      <c r="I40" s="267" t="n">
        <f aca="false">G40+H40</f>
        <v>2792</v>
      </c>
      <c r="J40" s="247" t="n">
        <f aca="false">IF(L40&gt;0,L40,0)</f>
        <v>93.5267733803883</v>
      </c>
      <c r="K40" s="267" t="n">
        <f aca="false">I40+J40</f>
        <v>2885.52677338039</v>
      </c>
      <c r="L40" s="267" t="n">
        <f aca="false">F40-(I40-AC40)</f>
        <v>93.5267733803883</v>
      </c>
      <c r="M40" s="269" t="n">
        <v>319</v>
      </c>
      <c r="N40" s="267" t="n">
        <f aca="false">2.1*1.03</f>
        <v>2.163</v>
      </c>
      <c r="O40" s="267" t="n">
        <f aca="false">(38+38)*1.05</f>
        <v>79.8</v>
      </c>
      <c r="P40" s="389" t="n">
        <f aca="false">1.86*1.02</f>
        <v>1.8972</v>
      </c>
      <c r="Q40" s="389" t="n">
        <v>4.2</v>
      </c>
      <c r="R40" s="132" t="n">
        <v>0.44</v>
      </c>
      <c r="S40" s="267" t="n">
        <v>108</v>
      </c>
      <c r="T40" s="267" t="n">
        <v>76</v>
      </c>
      <c r="U40" s="267" t="n">
        <f aca="false">M40-N40-O40-P40-Q40-R40+S40+T40-AN40</f>
        <v>394.6298</v>
      </c>
      <c r="V40" s="242" t="n">
        <f aca="false">V39+AK40-(AL40/1.9835)</f>
        <v>0</v>
      </c>
      <c r="W40" s="242"/>
      <c r="X40" s="267" t="n">
        <v>184</v>
      </c>
      <c r="Y40" s="269" t="n">
        <v>1.7</v>
      </c>
      <c r="Z40" s="270" t="n">
        <v>1.3</v>
      </c>
      <c r="AA40" s="473" t="n">
        <v>1140</v>
      </c>
      <c r="AB40" s="391" t="n">
        <f aca="false">AB39</f>
        <v>14600.433072851</v>
      </c>
      <c r="AC40" s="127" t="n">
        <f aca="false">N40+O40+P40+Q40+R40+U40+X40+AA40</f>
        <v>1807.13</v>
      </c>
      <c r="AD40" s="267" t="n">
        <f aca="false">IF(L40&lt;0,L40*-1,0)</f>
        <v>0</v>
      </c>
      <c r="AE40" s="267" t="n">
        <f aca="false">AC40+AD40</f>
        <v>1807.13</v>
      </c>
      <c r="AF40" s="248" t="n">
        <v>0</v>
      </c>
      <c r="AG40" s="244" t="n">
        <v>77</v>
      </c>
      <c r="AH40" s="249" t="n">
        <v>44</v>
      </c>
      <c r="AI40" s="244" t="n">
        <f aca="false">AI39</f>
        <v>14814.1599532</v>
      </c>
      <c r="AJ40" s="244"/>
      <c r="AK40" s="101"/>
      <c r="AL40" s="367" t="n">
        <f aca="false">47.3*(V39*1.9835+AK40*1.9835)/E40</f>
        <v>0</v>
      </c>
      <c r="AM40" s="250"/>
      <c r="AN40" s="200" t="n">
        <v>19.87</v>
      </c>
    </row>
    <row r="41" customFormat="false" ht="12.95" hidden="false" customHeight="true" outlineLevel="0" collapsed="false">
      <c r="A41" s="172" t="n">
        <v>30</v>
      </c>
      <c r="B41" s="252" t="n">
        <v>6921.85</v>
      </c>
      <c r="C41" s="242" t="n">
        <v>371637</v>
      </c>
      <c r="D41" s="244" t="n">
        <f aca="false">C41-C40</f>
        <v>2321</v>
      </c>
      <c r="E41" s="242" t="n">
        <f aca="false">C41-152000</f>
        <v>219637</v>
      </c>
      <c r="F41" s="267" t="n">
        <f aca="false">D41/$D$2</f>
        <v>1170.15376859087</v>
      </c>
      <c r="G41" s="241" t="n">
        <v>2660</v>
      </c>
      <c r="H41" s="247" t="n">
        <v>37</v>
      </c>
      <c r="I41" s="267" t="n">
        <f aca="false">G41+H41</f>
        <v>2697</v>
      </c>
      <c r="J41" s="247" t="n">
        <f aca="false">IF(L41&gt;0,L41,0)</f>
        <v>282.543768590875</v>
      </c>
      <c r="K41" s="267" t="n">
        <f aca="false">I41+J41</f>
        <v>2979.54376859087</v>
      </c>
      <c r="L41" s="267" t="n">
        <f aca="false">F41-(I41-AC41)</f>
        <v>282.543768590875</v>
      </c>
      <c r="M41" s="269" t="n">
        <v>321</v>
      </c>
      <c r="N41" s="267" t="n">
        <f aca="false">2.1*1.03</f>
        <v>2.163</v>
      </c>
      <c r="O41" s="267" t="n">
        <f aca="false">(42+43)*1.05</f>
        <v>89.25</v>
      </c>
      <c r="P41" s="389" t="n">
        <f aca="false">1.86*1.02</f>
        <v>1.8972</v>
      </c>
      <c r="Q41" s="389" t="n">
        <v>4.2</v>
      </c>
      <c r="R41" s="132" t="n">
        <v>2.09</v>
      </c>
      <c r="S41" s="267" t="n">
        <v>98</v>
      </c>
      <c r="T41" s="267" t="n">
        <v>75</v>
      </c>
      <c r="U41" s="267" t="n">
        <f aca="false">M41-N41-O41-P41-Q41-R41+S41+T41-AN41</f>
        <v>373.7898</v>
      </c>
      <c r="V41" s="242" t="n">
        <f aca="false">V40+AK41-(AL41/1.9835)</f>
        <v>0</v>
      </c>
      <c r="W41" s="242"/>
      <c r="X41" s="267" t="n">
        <v>216</v>
      </c>
      <c r="Y41" s="269" t="n">
        <v>1.7</v>
      </c>
      <c r="Z41" s="270" t="n">
        <v>1.3</v>
      </c>
      <c r="AA41" s="473" t="n">
        <v>1120</v>
      </c>
      <c r="AB41" s="391" t="n">
        <f aca="false">AB40</f>
        <v>14600.433072851</v>
      </c>
      <c r="AC41" s="127" t="n">
        <f aca="false">N41+O41+P41+Q41+R41+U41+X41+AA41</f>
        <v>1809.39</v>
      </c>
      <c r="AD41" s="267" t="n">
        <f aca="false">IF(L41&lt;0,L41*-1,0)</f>
        <v>0</v>
      </c>
      <c r="AE41" s="267" t="n">
        <f aca="false">AC41+AD41</f>
        <v>1809.39</v>
      </c>
      <c r="AF41" s="248" t="n">
        <v>0</v>
      </c>
      <c r="AG41" s="244" t="n">
        <v>72</v>
      </c>
      <c r="AH41" s="249" t="n">
        <v>49</v>
      </c>
      <c r="AI41" s="244" t="n">
        <f aca="false">AI40</f>
        <v>14814.1599532</v>
      </c>
      <c r="AJ41" s="244"/>
      <c r="AK41" s="101"/>
      <c r="AL41" s="367" t="n">
        <f aca="false">47.3*(V40*1.9835+AK41*1.9835)/E41</f>
        <v>0</v>
      </c>
      <c r="AM41" s="250"/>
      <c r="AN41" s="200" t="n">
        <v>20.61</v>
      </c>
    </row>
    <row r="42" customFormat="false" ht="12.95" hidden="false" customHeight="true" outlineLevel="0" collapsed="false">
      <c r="A42" s="172" t="n">
        <v>31</v>
      </c>
      <c r="B42" s="252" t="n">
        <v>6922.18</v>
      </c>
      <c r="C42" s="242" t="n">
        <v>373088</v>
      </c>
      <c r="D42" s="244" t="n">
        <f aca="false">C42-C41</f>
        <v>1451</v>
      </c>
      <c r="E42" s="242" t="n">
        <f aca="false">C42-152000</f>
        <v>221088</v>
      </c>
      <c r="F42" s="267" t="n">
        <f aca="false">D42/$D$2</f>
        <v>731.535165112175</v>
      </c>
      <c r="G42" s="241" t="n">
        <v>2220</v>
      </c>
      <c r="H42" s="247" t="n">
        <v>29</v>
      </c>
      <c r="I42" s="267" t="n">
        <f aca="false">G42+H42</f>
        <v>2249</v>
      </c>
      <c r="J42" s="247" t="n">
        <f aca="false">IF(L42&gt;0,L42,0)</f>
        <v>85.8751651121755</v>
      </c>
      <c r="K42" s="267" t="n">
        <f aca="false">I42+J42</f>
        <v>2334.87516511218</v>
      </c>
      <c r="L42" s="267" t="n">
        <f aca="false">F42-(I42-AC42)</f>
        <v>85.8751651121755</v>
      </c>
      <c r="M42" s="269" t="n">
        <v>310</v>
      </c>
      <c r="N42" s="267" t="n">
        <f aca="false">2.1*1.03</f>
        <v>2.163</v>
      </c>
      <c r="O42" s="267" t="n">
        <f aca="false">(40+40)*1.05</f>
        <v>84</v>
      </c>
      <c r="P42" s="389" t="n">
        <f aca="false">1.86*1.02</f>
        <v>1.8972</v>
      </c>
      <c r="Q42" s="389" t="n">
        <v>4.2</v>
      </c>
      <c r="R42" s="132" t="n">
        <v>4.59</v>
      </c>
      <c r="S42" s="267" t="n">
        <v>98</v>
      </c>
      <c r="T42" s="267" t="n">
        <v>74</v>
      </c>
      <c r="U42" s="267" t="n">
        <f aca="false">M42-N42-O42-P42-Q42-R42+S42+T42-AN42</f>
        <v>364.4898</v>
      </c>
      <c r="V42" s="242" t="n">
        <f aca="false">V41+AK42-(AL42/1.9835)</f>
        <v>0</v>
      </c>
      <c r="W42" s="242"/>
      <c r="X42" s="267" t="n">
        <v>193</v>
      </c>
      <c r="Y42" s="269" t="n">
        <v>1.7</v>
      </c>
      <c r="Z42" s="270" t="n">
        <v>1.3</v>
      </c>
      <c r="AA42" s="473" t="n">
        <v>949</v>
      </c>
      <c r="AB42" s="391" t="n">
        <f aca="false">AB41</f>
        <v>14600.433072851</v>
      </c>
      <c r="AC42" s="127" t="n">
        <f aca="false">N42+O42+P42+Q42+R42+U42+X42+AA42</f>
        <v>1603.34</v>
      </c>
      <c r="AD42" s="267" t="n">
        <f aca="false">IF(L42&lt;0,L42*-1,0)</f>
        <v>0</v>
      </c>
      <c r="AE42" s="267" t="n">
        <f aca="false">AC42+AD42</f>
        <v>1603.34</v>
      </c>
      <c r="AF42" s="248" t="n">
        <v>0</v>
      </c>
      <c r="AG42" s="244" t="n">
        <v>70</v>
      </c>
      <c r="AH42" s="249" t="n">
        <v>39</v>
      </c>
      <c r="AI42" s="244" t="n">
        <f aca="false">AI41</f>
        <v>14814.1599532</v>
      </c>
      <c r="AJ42" s="244"/>
      <c r="AK42" s="101"/>
      <c r="AL42" s="367" t="n">
        <f aca="false">47.3*(V41*1.9835+AK42*1.9835)/E42</f>
        <v>0</v>
      </c>
      <c r="AM42" s="250"/>
      <c r="AN42" s="200" t="n">
        <v>20.66</v>
      </c>
    </row>
    <row r="43" customFormat="false" ht="3" hidden="false" customHeight="true" outlineLevel="0" collapsed="false">
      <c r="A43" s="254"/>
      <c r="B43" s="272"/>
      <c r="C43" s="256"/>
      <c r="D43" s="257"/>
      <c r="E43" s="256"/>
      <c r="F43" s="257"/>
      <c r="G43" s="272"/>
      <c r="H43" s="262"/>
      <c r="I43" s="257"/>
      <c r="J43" s="257"/>
      <c r="K43" s="257"/>
      <c r="L43" s="257"/>
      <c r="M43" s="260"/>
      <c r="N43" s="257"/>
      <c r="O43" s="257"/>
      <c r="P43" s="257"/>
      <c r="Q43" s="257"/>
      <c r="R43" s="261"/>
      <c r="S43" s="257"/>
      <c r="T43" s="257"/>
      <c r="U43" s="257"/>
      <c r="V43" s="256"/>
      <c r="W43" s="256"/>
      <c r="X43" s="257"/>
      <c r="Y43" s="260"/>
      <c r="Z43" s="261"/>
      <c r="AA43" s="264"/>
      <c r="AB43" s="257"/>
      <c r="AC43" s="257"/>
      <c r="AD43" s="257"/>
      <c r="AE43" s="257"/>
      <c r="AF43" s="263"/>
      <c r="AG43" s="264"/>
      <c r="AH43" s="265"/>
      <c r="AI43" s="264"/>
      <c r="AJ43" s="264"/>
      <c r="AK43" s="264"/>
      <c r="AL43" s="472"/>
      <c r="AM43" s="472"/>
      <c r="AN43" s="472"/>
    </row>
    <row r="44" customFormat="false" ht="12.95" hidden="false" customHeight="true" outlineLevel="0" collapsed="false">
      <c r="A44" s="173" t="s">
        <v>75</v>
      </c>
      <c r="B44" s="241"/>
      <c r="C44" s="242"/>
      <c r="D44" s="242"/>
      <c r="E44" s="242"/>
      <c r="F44" s="242" t="n">
        <f aca="false">SUM(F12:F42)</f>
        <v>11281.0688177464</v>
      </c>
      <c r="G44" s="470" t="n">
        <f aca="false">SUM(G12:G42)</f>
        <v>77820</v>
      </c>
      <c r="H44" s="247" t="n">
        <f aca="false">SUM(H12:H42)</f>
        <v>4980</v>
      </c>
      <c r="I44" s="242" t="n">
        <f aca="false">SUM(I12:I42)</f>
        <v>82800</v>
      </c>
      <c r="J44" s="242" t="n">
        <f aca="false">SUM(J12:J42)</f>
        <v>10421.6488177464</v>
      </c>
      <c r="K44" s="242" t="n">
        <f aca="false">SUM(K12:K42)</f>
        <v>93221.6488177464</v>
      </c>
      <c r="L44" s="242" t="n">
        <f aca="false">SUM(L12:L42)</f>
        <v>10421.6488177464</v>
      </c>
      <c r="M44" s="245" t="n">
        <f aca="false">SUM(M12:M42)</f>
        <v>6460</v>
      </c>
      <c r="N44" s="242" t="n">
        <f aca="false">SUM(N12:N42)</f>
        <v>67.053</v>
      </c>
      <c r="O44" s="242" t="n">
        <f aca="false">SUM(O12:O42)</f>
        <v>2085.4575</v>
      </c>
      <c r="P44" s="242" t="n">
        <f aca="false">SUM(P12:P42)</f>
        <v>58.8132</v>
      </c>
      <c r="Q44" s="242" t="n">
        <f aca="false">SUM(Q12:Q42)</f>
        <v>122.28</v>
      </c>
      <c r="R44" s="246" t="n">
        <f aca="false">SUM(R12:R42)</f>
        <v>60.7</v>
      </c>
      <c r="S44" s="242" t="n">
        <f aca="false">SUM(S12:S42)</f>
        <v>2546.3</v>
      </c>
      <c r="T44" s="242" t="n">
        <f aca="false">SUM(T12:T42)</f>
        <v>1681</v>
      </c>
      <c r="U44" s="242" t="n">
        <f aca="false">SUM(U12:U42)</f>
        <v>8013.1463</v>
      </c>
      <c r="V44" s="242"/>
      <c r="W44" s="242"/>
      <c r="X44" s="242" t="n">
        <f aca="false">SUM(X12:X42)</f>
        <v>2074.13</v>
      </c>
      <c r="Y44" s="242" t="n">
        <f aca="false">SUM(Y12:Y42)</f>
        <v>52.7</v>
      </c>
      <c r="Z44" s="242" t="n">
        <f aca="false">SUM(Z12:Z42)</f>
        <v>40.3</v>
      </c>
      <c r="AA44" s="244" t="n">
        <f aca="false">SUM(AA12:AA42)</f>
        <v>69459</v>
      </c>
      <c r="AB44" s="242"/>
      <c r="AC44" s="242" t="n">
        <f aca="false">SUM(AC12:AC42)</f>
        <v>81940.58</v>
      </c>
      <c r="AD44" s="242" t="n">
        <f aca="false">SUM(AD12:AD42)</f>
        <v>0</v>
      </c>
      <c r="AE44" s="242" t="n">
        <f aca="false">SUM(AE12:AE42)</f>
        <v>81940.58</v>
      </c>
      <c r="AF44" s="248" t="n">
        <f aca="false">SUM(AF12:AF42)</f>
        <v>0.32</v>
      </c>
      <c r="AG44" s="244" t="n">
        <f aca="false">AVERAGE(AG12:AG42)</f>
        <v>69.741935483871</v>
      </c>
      <c r="AH44" s="249" t="n">
        <f aca="false">AVERAGE(AH12:AH42)</f>
        <v>41.4</v>
      </c>
      <c r="AI44" s="244" t="s">
        <v>106</v>
      </c>
      <c r="AJ44" s="242" t="n">
        <f aca="false">SUM(AJ12:AJ42)</f>
        <v>0</v>
      </c>
      <c r="AK44" s="267"/>
      <c r="AL44" s="367"/>
      <c r="AM44" s="250" t="n">
        <f aca="false">SUM(AM12:AM42)</f>
        <v>0</v>
      </c>
      <c r="AN44" s="250" t="n">
        <f aca="false">SUM(AN12:AN42)</f>
        <v>271.38</v>
      </c>
    </row>
    <row r="45" customFormat="false" ht="12.95" hidden="false" customHeight="true" outlineLevel="0" collapsed="false">
      <c r="A45" s="173" t="s">
        <v>77</v>
      </c>
      <c r="B45" s="241"/>
      <c r="C45" s="242"/>
      <c r="D45" s="242" t="n">
        <f aca="false">SUM(D12:D42)</f>
        <v>22376</v>
      </c>
      <c r="E45" s="242"/>
      <c r="F45" s="242" t="n">
        <f aca="false">F44*$D$2</f>
        <v>22376</v>
      </c>
      <c r="G45" s="470" t="n">
        <f aca="false">G44*$D$2</f>
        <v>154355.97</v>
      </c>
      <c r="H45" s="247" t="n">
        <f aca="false">H44*$D$2</f>
        <v>9877.83</v>
      </c>
      <c r="I45" s="242" t="n">
        <f aca="false">I44*$D$2</f>
        <v>164233.8</v>
      </c>
      <c r="J45" s="242" t="n">
        <f aca="false">J44*$D$2</f>
        <v>20671.34043</v>
      </c>
      <c r="K45" s="242" t="n">
        <f aca="false">K44*$D$2</f>
        <v>184905.14043</v>
      </c>
      <c r="L45" s="242" t="n">
        <f aca="false">L44*$D$2</f>
        <v>20671.34043</v>
      </c>
      <c r="M45" s="245" t="n">
        <f aca="false">M44*$D$2</f>
        <v>12813.41</v>
      </c>
      <c r="N45" s="242" t="n">
        <f aca="false">N44*$D$2</f>
        <v>132.9996255</v>
      </c>
      <c r="O45" s="242" t="n">
        <f aca="false">O44*$D$2</f>
        <v>4136.50495125</v>
      </c>
      <c r="P45" s="242" t="n">
        <f aca="false">P44*$D$2</f>
        <v>116.6559822</v>
      </c>
      <c r="Q45" s="242" t="n">
        <f aca="false">Q44*$D$2</f>
        <v>242.54238</v>
      </c>
      <c r="R45" s="246" t="n">
        <f aca="false">R44*$D$2</f>
        <v>120.39845</v>
      </c>
      <c r="S45" s="242" t="n">
        <f aca="false">S44*$D$2</f>
        <v>5050.58605</v>
      </c>
      <c r="T45" s="242" t="n">
        <f aca="false">T44*$D$2</f>
        <v>3334.2635</v>
      </c>
      <c r="U45" s="242" t="n">
        <f aca="false">U44*$D$2</f>
        <v>15894.07568605</v>
      </c>
      <c r="V45" s="242"/>
      <c r="W45" s="242"/>
      <c r="X45" s="242" t="n">
        <f aca="false">X44*$D$2</f>
        <v>4114.036855</v>
      </c>
      <c r="Y45" s="242" t="n">
        <f aca="false">Y44*$D$2</f>
        <v>104.53045</v>
      </c>
      <c r="Z45" s="242" t="n">
        <f aca="false">Z44*$D$2</f>
        <v>79.93505</v>
      </c>
      <c r="AA45" s="244" t="n">
        <f aca="false">AA44*$D$2</f>
        <v>137771.9265</v>
      </c>
      <c r="AB45" s="242"/>
      <c r="AC45" s="475" t="n">
        <f aca="false">AC44*$D$2</f>
        <v>162529.14043</v>
      </c>
      <c r="AD45" s="242" t="n">
        <f aca="false">AD44*$D$2</f>
        <v>0</v>
      </c>
      <c r="AE45" s="242" t="n">
        <f aca="false">AE44*$D$2</f>
        <v>162529.14043</v>
      </c>
      <c r="AF45" s="248"/>
      <c r="AG45" s="244" t="n">
        <f aca="false">MAX(AG12:AG42)</f>
        <v>84</v>
      </c>
      <c r="AH45" s="249" t="n">
        <f aca="false">MAX(AH12:AH42)</f>
        <v>50</v>
      </c>
      <c r="AI45" s="244" t="s">
        <v>78</v>
      </c>
      <c r="AJ45" s="242" t="n">
        <f aca="false">AJ44*$D$2</f>
        <v>0</v>
      </c>
      <c r="AK45" s="267"/>
      <c r="AL45" s="367" t="n">
        <f aca="false">SUM(AL12:AL42)</f>
        <v>1.18500666529635</v>
      </c>
      <c r="AM45" s="242" t="n">
        <f aca="false">AM44*$D$2</f>
        <v>0</v>
      </c>
      <c r="AN45" s="242" t="n">
        <f aca="false">AN44*$D$2</f>
        <v>538.28223</v>
      </c>
    </row>
    <row r="46" customFormat="false" ht="3" hidden="false" customHeight="true" outlineLevel="0" collapsed="false">
      <c r="A46" s="275"/>
      <c r="B46" s="272"/>
      <c r="C46" s="256"/>
      <c r="D46" s="256"/>
      <c r="E46" s="256"/>
      <c r="F46" s="256"/>
      <c r="G46" s="279"/>
      <c r="H46" s="262"/>
      <c r="I46" s="256"/>
      <c r="J46" s="256"/>
      <c r="K46" s="256"/>
      <c r="L46" s="256"/>
      <c r="M46" s="277"/>
      <c r="N46" s="256"/>
      <c r="O46" s="256"/>
      <c r="P46" s="256"/>
      <c r="Q46" s="256"/>
      <c r="R46" s="278"/>
      <c r="S46" s="256"/>
      <c r="T46" s="256"/>
      <c r="U46" s="256"/>
      <c r="V46" s="256"/>
      <c r="W46" s="256"/>
      <c r="X46" s="256"/>
      <c r="Y46" s="256"/>
      <c r="Z46" s="256"/>
      <c r="AA46" s="264"/>
      <c r="AB46" s="257"/>
      <c r="AC46" s="256"/>
      <c r="AD46" s="256"/>
      <c r="AE46" s="256"/>
      <c r="AF46" s="256"/>
      <c r="AG46" s="256"/>
      <c r="AH46" s="256"/>
      <c r="AI46" s="264"/>
      <c r="AJ46" s="256"/>
      <c r="AK46" s="256"/>
      <c r="AL46" s="472"/>
      <c r="AM46" s="472"/>
      <c r="AN46" s="472"/>
    </row>
    <row r="47" customFormat="false" ht="12.95" hidden="false" customHeight="true" outlineLevel="0" collapsed="false">
      <c r="A47" s="173" t="s">
        <v>79</v>
      </c>
      <c r="B47" s="241"/>
      <c r="C47" s="242"/>
      <c r="D47" s="242"/>
      <c r="E47" s="242"/>
      <c r="F47" s="242" t="n">
        <f aca="false">F9+F44</f>
        <v>67187.7993445929</v>
      </c>
      <c r="G47" s="470" t="n">
        <f aca="false">G9+G44</f>
        <v>115954</v>
      </c>
      <c r="H47" s="247" t="n">
        <f aca="false">H9+H44</f>
        <v>12527</v>
      </c>
      <c r="I47" s="242" t="n">
        <f aca="false">I9+I44</f>
        <v>128481</v>
      </c>
      <c r="J47" s="242" t="n">
        <f aca="false">J9+J44</f>
        <v>33189.9293445929</v>
      </c>
      <c r="K47" s="242" t="n">
        <f aca="false">K9+K44</f>
        <v>161670.929344593</v>
      </c>
      <c r="L47" s="242" t="n">
        <f aca="false">L9+L44</f>
        <v>33189.9293445929</v>
      </c>
      <c r="M47" s="245" t="n">
        <f aca="false">M9+M44</f>
        <v>8941.5</v>
      </c>
      <c r="N47" s="242" t="n">
        <f aca="false">N9+N44</f>
        <v>67.053</v>
      </c>
      <c r="O47" s="242" t="n">
        <f aca="false">O9+O44</f>
        <v>3346.854</v>
      </c>
      <c r="P47" s="242"/>
      <c r="Q47" s="242"/>
      <c r="R47" s="246"/>
      <c r="S47" s="242" t="n">
        <f aca="false">S9+S44</f>
        <v>2932.25</v>
      </c>
      <c r="T47" s="242" t="n">
        <f aca="false">T9+T44</f>
        <v>1950.4</v>
      </c>
      <c r="U47" s="242" t="n">
        <f aca="false">U9+U44</f>
        <v>9748.3002</v>
      </c>
      <c r="V47" s="242" t="n">
        <f aca="false">V42+V44</f>
        <v>0</v>
      </c>
      <c r="W47" s="242"/>
      <c r="X47" s="242" t="n">
        <f aca="false">X9+X44</f>
        <v>2203.83</v>
      </c>
      <c r="Y47" s="242" t="n">
        <f aca="false">Y9+Y44</f>
        <v>103.7</v>
      </c>
      <c r="Z47" s="242" t="n">
        <f aca="false">Z9+Z44</f>
        <v>79.3</v>
      </c>
      <c r="AA47" s="244"/>
      <c r="AB47" s="242"/>
      <c r="AC47" s="242" t="n">
        <f aca="false">AC9+AC44</f>
        <v>94483.13</v>
      </c>
      <c r="AD47" s="242" t="n">
        <f aca="false">AD9+AD44</f>
        <v>0</v>
      </c>
      <c r="AE47" s="242" t="n">
        <f aca="false">AE9+AE44</f>
        <v>94483.13</v>
      </c>
      <c r="AF47" s="248"/>
      <c r="AG47" s="244" t="n">
        <f aca="false">MIN(AG12:AG42)</f>
        <v>54</v>
      </c>
      <c r="AH47" s="249" t="n">
        <f aca="false">MIN(AH12:AH42)</f>
        <v>28</v>
      </c>
      <c r="AI47" s="244" t="s">
        <v>80</v>
      </c>
      <c r="AJ47" s="244"/>
      <c r="AK47" s="267"/>
      <c r="AL47" s="367"/>
      <c r="AM47" s="242" t="n">
        <f aca="false">AM9+AM44</f>
        <v>0</v>
      </c>
      <c r="AN47" s="242" t="n">
        <f aca="false">AN9+AN44</f>
        <v>271.38</v>
      </c>
    </row>
    <row r="48" customFormat="false" ht="12.95" hidden="false" customHeight="true" outlineLevel="0" collapsed="false">
      <c r="A48" s="173" t="s">
        <v>81</v>
      </c>
      <c r="B48" s="241"/>
      <c r="C48" s="242"/>
      <c r="D48" s="242"/>
      <c r="E48" s="242"/>
      <c r="F48" s="242" t="n">
        <f aca="false">F47*$D$2</f>
        <v>133267</v>
      </c>
      <c r="G48" s="470" t="n">
        <f aca="false">G47*$D$2</f>
        <v>229994.759</v>
      </c>
      <c r="H48" s="247" t="n">
        <f aca="false">H47*$D$2</f>
        <v>24847.3045</v>
      </c>
      <c r="I48" s="242" t="n">
        <f aca="false">I47*$D$2</f>
        <v>254842.0635</v>
      </c>
      <c r="J48" s="242" t="n">
        <f aca="false">J47*$D$2</f>
        <v>65832.224855</v>
      </c>
      <c r="K48" s="242" t="n">
        <f aca="false">K47*$D$2</f>
        <v>320674.288355</v>
      </c>
      <c r="L48" s="242" t="n">
        <f aca="false">L47*$D$2</f>
        <v>65832.224855</v>
      </c>
      <c r="M48" s="245" t="n">
        <f aca="false">M47*$D$2</f>
        <v>17735.46525</v>
      </c>
      <c r="N48" s="242" t="n">
        <f aca="false">N47*$D$2</f>
        <v>132.9996255</v>
      </c>
      <c r="O48" s="242" t="n">
        <f aca="false">O47*$D$2</f>
        <v>6638.484909</v>
      </c>
      <c r="P48" s="242"/>
      <c r="Q48" s="242"/>
      <c r="R48" s="246"/>
      <c r="S48" s="242" t="n">
        <f aca="false">S47*$D$2</f>
        <v>5816.117875</v>
      </c>
      <c r="T48" s="242" t="n">
        <f aca="false">T47*$D$2</f>
        <v>3868.6184</v>
      </c>
      <c r="U48" s="242" t="n">
        <f aca="false">U47*$D$2</f>
        <v>19335.7534467</v>
      </c>
      <c r="V48" s="242" t="n">
        <f aca="false">V47*$D$2</f>
        <v>0</v>
      </c>
      <c r="W48" s="242"/>
      <c r="X48" s="242" t="n">
        <f aca="false">X47*$D$2</f>
        <v>4371.296805</v>
      </c>
      <c r="Y48" s="242" t="n">
        <f aca="false">Y47*$D$2</f>
        <v>205.68895</v>
      </c>
      <c r="Z48" s="242" t="n">
        <f aca="false">Z47*$D$2</f>
        <v>157.29155</v>
      </c>
      <c r="AA48" s="244"/>
      <c r="AB48" s="242"/>
      <c r="AC48" s="242" t="n">
        <f aca="false">AC47*$D$2</f>
        <v>187407.288355</v>
      </c>
      <c r="AD48" s="242" t="n">
        <f aca="false">AD47*$D$2</f>
        <v>0</v>
      </c>
      <c r="AE48" s="242" t="n">
        <f aca="false">AE47*$D$2</f>
        <v>187407.288355</v>
      </c>
      <c r="AF48" s="248"/>
      <c r="AG48" s="244"/>
      <c r="AH48" s="249"/>
      <c r="AI48" s="244"/>
      <c r="AJ48" s="244"/>
      <c r="AK48" s="267"/>
      <c r="AL48" s="367" t="n">
        <f aca="false">AL9+AL45</f>
        <v>81.3511229124456</v>
      </c>
      <c r="AM48" s="242" t="n">
        <f aca="false">AM47*$D$2</f>
        <v>0</v>
      </c>
      <c r="AN48" s="242" t="n">
        <f aca="false">AN47*$D$2</f>
        <v>538.28223</v>
      </c>
    </row>
    <row r="49" customFormat="false" ht="3" hidden="false" customHeight="true" outlineLevel="0" collapsed="false">
      <c r="A49" s="275"/>
      <c r="B49" s="272"/>
      <c r="C49" s="256"/>
      <c r="D49" s="256"/>
      <c r="E49" s="256"/>
      <c r="F49" s="256"/>
      <c r="G49" s="279"/>
      <c r="H49" s="262"/>
      <c r="I49" s="256"/>
      <c r="J49" s="256"/>
      <c r="K49" s="256"/>
      <c r="L49" s="256"/>
      <c r="M49" s="277"/>
      <c r="N49" s="256"/>
      <c r="O49" s="256"/>
      <c r="P49" s="256"/>
      <c r="Q49" s="256"/>
      <c r="R49" s="278"/>
      <c r="S49" s="256"/>
      <c r="T49" s="256"/>
      <c r="U49" s="256"/>
      <c r="V49" s="256"/>
      <c r="W49" s="256"/>
      <c r="X49" s="256"/>
      <c r="Y49" s="277"/>
      <c r="Z49" s="278"/>
      <c r="AA49" s="264"/>
      <c r="AB49" s="256"/>
      <c r="AC49" s="256"/>
      <c r="AD49" s="256"/>
      <c r="AE49" s="256"/>
      <c r="AF49" s="263"/>
      <c r="AG49" s="476"/>
      <c r="AH49" s="280"/>
      <c r="AI49" s="378"/>
      <c r="AJ49" s="280"/>
      <c r="AK49" s="280"/>
      <c r="AL49" s="472"/>
      <c r="AM49" s="472"/>
      <c r="AN49" s="472"/>
    </row>
    <row r="50" customFormat="false" ht="12.95" hidden="false" customHeight="true" outlineLevel="0" collapsed="false">
      <c r="A50" s="173" t="s">
        <v>82</v>
      </c>
      <c r="B50" s="241"/>
      <c r="C50" s="242"/>
      <c r="D50" s="242"/>
      <c r="E50" s="242"/>
      <c r="F50" s="242" t="n">
        <f aca="false">F10+F44</f>
        <v>83610.789009327</v>
      </c>
      <c r="G50" s="470" t="n">
        <f aca="false">G10+G44</f>
        <v>132412</v>
      </c>
      <c r="H50" s="247" t="n">
        <f aca="false">H10+H44</f>
        <v>14916.54</v>
      </c>
      <c r="I50" s="242" t="n">
        <f aca="false">I10+I44</f>
        <v>147328.54</v>
      </c>
      <c r="J50" s="242" t="n">
        <f aca="false">J10+J44</f>
        <v>43651.4344492059</v>
      </c>
      <c r="K50" s="242" t="n">
        <f aca="false">K10+K44</f>
        <v>190979.974449206</v>
      </c>
      <c r="L50" s="242" t="n">
        <f aca="false">L10+L44</f>
        <v>43106.1790093269</v>
      </c>
      <c r="M50" s="245" t="n">
        <f aca="false">M10+M44</f>
        <v>9737.5</v>
      </c>
      <c r="N50" s="242" t="n">
        <f aca="false">N10+N44</f>
        <v>67.053</v>
      </c>
      <c r="O50" s="242" t="n">
        <f aca="false">O10+O44</f>
        <v>3346.854</v>
      </c>
      <c r="P50" s="242" t="n">
        <f aca="false">P10+P44</f>
        <v>316.0776</v>
      </c>
      <c r="Q50" s="242" t="n">
        <f aca="false">Q10+Q44</f>
        <v>586.2888</v>
      </c>
      <c r="R50" s="246" t="n">
        <f aca="false">R10+R44</f>
        <v>63.37</v>
      </c>
      <c r="S50" s="242" t="n">
        <f aca="false">S10+S44</f>
        <v>10401.25</v>
      </c>
      <c r="T50" s="242" t="n">
        <f aca="false">T10+T44</f>
        <v>1984.2</v>
      </c>
      <c r="U50" s="242" t="n">
        <f aca="false">U10+U44</f>
        <v>17463.4566</v>
      </c>
      <c r="V50" s="242"/>
      <c r="W50" s="242"/>
      <c r="X50" s="242"/>
      <c r="Y50" s="245"/>
      <c r="Z50" s="246"/>
      <c r="AA50" s="244" t="n">
        <f aca="false">AA10+AA44</f>
        <v>82777</v>
      </c>
      <c r="AB50" s="242" t="n">
        <f aca="false">AB42</f>
        <v>14600.433072851</v>
      </c>
      <c r="AC50" s="242" t="n">
        <f aca="false">AC10+AC44</f>
        <v>106823.93</v>
      </c>
      <c r="AD50" s="242" t="n">
        <f aca="false">AD10+AD44</f>
        <v>545.255439879002</v>
      </c>
      <c r="AE50" s="242" t="n">
        <f aca="false">AE10+AE44</f>
        <v>107369.185439879</v>
      </c>
      <c r="AF50" s="248" t="n">
        <f aca="false">AF10+AF44</f>
        <v>13.2</v>
      </c>
      <c r="AG50" s="244"/>
      <c r="AH50" s="249"/>
      <c r="AI50" s="244"/>
      <c r="AJ50" s="242" t="n">
        <f aca="false">AJ10+AJ44</f>
        <v>0</v>
      </c>
      <c r="AK50" s="267"/>
      <c r="AL50" s="367"/>
      <c r="AM50" s="242" t="n">
        <f aca="false">AM10+AM44</f>
        <v>0</v>
      </c>
      <c r="AN50" s="242"/>
    </row>
    <row r="51" customFormat="false" ht="12.95" hidden="false" customHeight="true" outlineLevel="0" collapsed="false">
      <c r="A51" s="173" t="s">
        <v>83</v>
      </c>
      <c r="B51" s="241"/>
      <c r="C51" s="242"/>
      <c r="D51" s="242" t="n">
        <f aca="false">D10+D45</f>
        <v>165842</v>
      </c>
      <c r="E51" s="242" t="n">
        <f aca="false">E42</f>
        <v>221088</v>
      </c>
      <c r="F51" s="242" t="n">
        <f aca="false">F50*$D$2</f>
        <v>165842</v>
      </c>
      <c r="G51" s="470" t="n">
        <f aca="false">G50*$D$2</f>
        <v>262639.202</v>
      </c>
      <c r="H51" s="247" t="n">
        <f aca="false">H50*$D$2</f>
        <v>29586.95709</v>
      </c>
      <c r="I51" s="242" t="n">
        <f aca="false">I50*$D$2</f>
        <v>292226.15909</v>
      </c>
      <c r="J51" s="242" t="n">
        <f aca="false">J50*$D$2</f>
        <v>86582.62023</v>
      </c>
      <c r="K51" s="242" t="n">
        <f aca="false">K50*$D$2</f>
        <v>378808.77932</v>
      </c>
      <c r="L51" s="242" t="n">
        <f aca="false">L50*$D$2</f>
        <v>85501.106065</v>
      </c>
      <c r="M51" s="245" t="n">
        <f aca="false">M50*$D$2</f>
        <v>19314.33125</v>
      </c>
      <c r="N51" s="242" t="n">
        <f aca="false">N50*$D$2</f>
        <v>132.9996255</v>
      </c>
      <c r="O51" s="242" t="n">
        <f aca="false">O50*$D$2</f>
        <v>6638.484909</v>
      </c>
      <c r="P51" s="242" t="n">
        <f aca="false">P50*$D$2</f>
        <v>626.9399196</v>
      </c>
      <c r="Q51" s="242" t="n">
        <f aca="false">Q50*$D$2</f>
        <v>1162.9038348</v>
      </c>
      <c r="R51" s="246" t="n">
        <f aca="false">R50*$D$2</f>
        <v>125.694395</v>
      </c>
      <c r="S51" s="242" t="n">
        <f aca="false">S50*$D$2</f>
        <v>20630.879375</v>
      </c>
      <c r="T51" s="242" t="n">
        <f aca="false">T50*$D$2</f>
        <v>3935.6607</v>
      </c>
      <c r="U51" s="242" t="n">
        <f aca="false">U50*$D$2</f>
        <v>34638.7661661</v>
      </c>
      <c r="V51" s="242"/>
      <c r="W51" s="242"/>
      <c r="X51" s="242"/>
      <c r="Y51" s="282"/>
      <c r="Z51" s="253"/>
      <c r="AA51" s="244" t="n">
        <f aca="false">AA50*$D$2</f>
        <v>164188.1795</v>
      </c>
      <c r="AB51" s="242" t="n">
        <f aca="false">AB50*$D$2</f>
        <v>28959.959</v>
      </c>
      <c r="AC51" s="242" t="n">
        <f aca="false">AC50*$D$2</f>
        <v>211885.265155</v>
      </c>
      <c r="AD51" s="242" t="n">
        <f aca="false">AD50*$D$2</f>
        <v>1081.514165</v>
      </c>
      <c r="AE51" s="242" t="n">
        <f aca="false">AE50*$D$2</f>
        <v>212966.77932</v>
      </c>
      <c r="AF51" s="248"/>
      <c r="AG51" s="244"/>
      <c r="AH51" s="249"/>
      <c r="AI51" s="244" t="n">
        <f aca="false">AI42</f>
        <v>14814.1599532</v>
      </c>
      <c r="AJ51" s="242" t="n">
        <f aca="false">AJ50*$D$2</f>
        <v>0</v>
      </c>
      <c r="AK51" s="267"/>
      <c r="AL51" s="367" t="n">
        <f aca="false">AL10+AL45</f>
        <v>81.3511229124456</v>
      </c>
      <c r="AM51" s="242" t="n">
        <f aca="false">AM50*$D$2</f>
        <v>0</v>
      </c>
      <c r="AN51" s="242"/>
    </row>
    <row r="52" customFormat="false" ht="3" hidden="false" customHeight="true" outlineLevel="0" collapsed="false">
      <c r="A52" s="254"/>
      <c r="B52" s="272"/>
      <c r="C52" s="256"/>
      <c r="D52" s="257"/>
      <c r="E52" s="256"/>
      <c r="F52" s="477"/>
      <c r="G52" s="478"/>
      <c r="H52" s="479"/>
      <c r="I52" s="257"/>
      <c r="J52" s="257"/>
      <c r="K52" s="257"/>
      <c r="L52" s="257"/>
      <c r="M52" s="260"/>
      <c r="N52" s="257"/>
      <c r="O52" s="257"/>
      <c r="P52" s="257"/>
      <c r="Q52" s="257"/>
      <c r="R52" s="261"/>
      <c r="S52" s="257"/>
      <c r="T52" s="257"/>
      <c r="U52" s="257"/>
      <c r="V52" s="256"/>
      <c r="W52" s="256"/>
      <c r="X52" s="257"/>
      <c r="Y52" s="260"/>
      <c r="Z52" s="261"/>
      <c r="AA52" s="264"/>
      <c r="AB52" s="256"/>
      <c r="AC52" s="257"/>
      <c r="AD52" s="257"/>
      <c r="AE52" s="257"/>
      <c r="AF52" s="257"/>
      <c r="AG52" s="257"/>
      <c r="AH52" s="257"/>
      <c r="AI52" s="264"/>
      <c r="AJ52" s="257"/>
      <c r="AK52" s="257"/>
      <c r="AL52" s="472"/>
      <c r="AM52" s="472"/>
      <c r="AN52" s="472"/>
    </row>
    <row r="53" customFormat="false" ht="11.1" hidden="false" customHeight="true" outlineLevel="0" collapsed="false">
      <c r="A53" s="480"/>
      <c r="B53" s="283"/>
      <c r="C53" s="165"/>
      <c r="D53" s="164"/>
      <c r="E53" s="165"/>
      <c r="F53" s="481"/>
      <c r="G53" s="481"/>
      <c r="H53" s="482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5"/>
      <c r="W53" s="165"/>
      <c r="X53" s="164"/>
      <c r="Y53" s="164"/>
      <c r="Z53" s="164"/>
      <c r="AA53" s="171"/>
      <c r="AB53" s="165"/>
      <c r="AC53" s="164"/>
      <c r="AD53" s="164"/>
      <c r="AE53" s="164"/>
      <c r="AF53" s="170"/>
      <c r="AG53" s="171"/>
      <c r="AH53" s="171"/>
      <c r="AI53" s="172"/>
      <c r="AJ53" s="172"/>
      <c r="AK53" s="289"/>
      <c r="AL53" s="483"/>
    </row>
    <row r="54" customFormat="false" ht="11.1" hidden="false" customHeight="true" outlineLevel="0" collapsed="false">
      <c r="A54" s="164"/>
      <c r="B54" s="165"/>
      <c r="E54" s="484"/>
      <c r="F54" s="485"/>
      <c r="G54" s="486"/>
      <c r="H54" s="168"/>
      <c r="I54" s="487"/>
      <c r="J54" s="164"/>
      <c r="K54" s="154"/>
      <c r="L54" s="164"/>
      <c r="M54" s="164"/>
      <c r="N54" s="165"/>
      <c r="O54" s="30"/>
      <c r="P54" s="30"/>
      <c r="Q54" s="30"/>
      <c r="R54" s="164"/>
      <c r="S54" s="164"/>
      <c r="T54" s="165"/>
      <c r="U54" s="30"/>
      <c r="V54" s="165"/>
      <c r="W54" s="165"/>
      <c r="X54" s="165"/>
      <c r="Y54" s="165"/>
      <c r="Z54" s="165"/>
      <c r="AA54" s="171"/>
      <c r="AB54" s="488"/>
      <c r="AC54" s="164"/>
      <c r="AD54" s="164"/>
      <c r="AE54" s="169"/>
      <c r="AF54" s="170"/>
      <c r="AG54" s="171"/>
      <c r="AH54" s="172"/>
      <c r="AI54" s="346"/>
      <c r="AJ54" s="289"/>
      <c r="AK54" s="289"/>
    </row>
    <row r="55" customFormat="false" ht="11.1" hidden="false" customHeight="true" outlineLevel="0" collapsed="false">
      <c r="A55" s="285"/>
      <c r="B55" s="285"/>
      <c r="C55" s="165"/>
      <c r="D55" s="165"/>
      <c r="F55" s="485"/>
      <c r="G55" s="489"/>
      <c r="H55" s="168"/>
      <c r="I55" s="165"/>
      <c r="J55" s="285"/>
      <c r="K55" s="285"/>
      <c r="L55" s="168"/>
      <c r="M55" s="0"/>
      <c r="N55" s="487"/>
      <c r="O55" s="171"/>
      <c r="P55" s="171"/>
      <c r="Q55" s="171"/>
      <c r="R55" s="285"/>
      <c r="S55" s="285"/>
      <c r="T55" s="487"/>
      <c r="U55" s="165"/>
      <c r="V55" s="171"/>
      <c r="W55" s="171"/>
      <c r="X55" s="165"/>
      <c r="Y55" s="165"/>
      <c r="Z55" s="165"/>
      <c r="AA55" s="171"/>
      <c r="AB55" s="165"/>
      <c r="AC55" s="285"/>
      <c r="AD55" s="285"/>
      <c r="AE55" s="169"/>
      <c r="AF55" s="170"/>
      <c r="AG55" s="171"/>
      <c r="AH55" s="172"/>
      <c r="AI55" s="346"/>
      <c r="AJ55" s="343"/>
      <c r="AK55" s="343"/>
    </row>
    <row r="56" customFormat="false" ht="11.1" hidden="false" customHeight="true" outlineLevel="0" collapsed="false">
      <c r="A56" s="285"/>
      <c r="B56" s="169"/>
      <c r="C56" s="165"/>
      <c r="D56" s="165"/>
      <c r="F56" s="490"/>
      <c r="G56" s="285"/>
      <c r="I56" s="285"/>
      <c r="J56" s="285"/>
      <c r="K56" s="285"/>
      <c r="L56" s="285"/>
      <c r="M56" s="168"/>
      <c r="N56" s="168"/>
      <c r="O56" s="168"/>
      <c r="P56" s="168"/>
      <c r="Q56" s="168"/>
      <c r="R56" s="285"/>
      <c r="S56" s="285"/>
      <c r="T56" s="285"/>
      <c r="U56" s="165"/>
      <c r="V56" s="285"/>
      <c r="W56" s="285"/>
      <c r="X56" s="165"/>
      <c r="Y56" s="165"/>
      <c r="Z56" s="165"/>
      <c r="AA56" s="171"/>
      <c r="AB56" s="285"/>
      <c r="AC56" s="285"/>
      <c r="AD56" s="285"/>
      <c r="AE56" s="169"/>
      <c r="AF56" s="170"/>
      <c r="AG56" s="171"/>
      <c r="AH56" s="172"/>
      <c r="AI56" s="346"/>
      <c r="AJ56" s="343"/>
      <c r="AK56" s="343"/>
    </row>
    <row r="57" customFormat="false" ht="11.1" hidden="false" customHeight="true" outlineLevel="0" collapsed="false">
      <c r="A57" s="285"/>
      <c r="B57" s="0"/>
      <c r="C57" s="165"/>
      <c r="D57" s="0"/>
      <c r="E57" s="165"/>
      <c r="F57" s="285"/>
      <c r="G57" s="491"/>
      <c r="H57" s="492"/>
      <c r="I57" s="493"/>
      <c r="J57" s="285"/>
      <c r="K57" s="285"/>
      <c r="L57" s="285"/>
      <c r="M57" s="168"/>
      <c r="N57" s="168"/>
      <c r="O57" s="168"/>
      <c r="P57" s="168"/>
      <c r="Q57" s="168"/>
      <c r="R57" s="285"/>
      <c r="S57" s="285"/>
      <c r="T57" s="285"/>
      <c r="U57" s="165"/>
      <c r="V57" s="285"/>
      <c r="W57" s="285"/>
      <c r="X57" s="285"/>
      <c r="Y57" s="285"/>
      <c r="Z57" s="285"/>
      <c r="AA57" s="171"/>
      <c r="AB57" s="285"/>
      <c r="AC57" s="285"/>
      <c r="AD57" s="285"/>
      <c r="AE57" s="169"/>
      <c r="AF57" s="170"/>
      <c r="AG57" s="171"/>
      <c r="AH57" s="172"/>
      <c r="AI57" s="346"/>
      <c r="AJ57" s="343"/>
      <c r="AK57" s="343"/>
    </row>
  </sheetData>
  <mergeCells count="2">
    <mergeCell ref="K2:W2"/>
    <mergeCell ref="M5:R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9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27" activePane="bottomRight" state="frozen"/>
      <selection pane="topLeft" activeCell="A1" activeCellId="0" sqref="A1"/>
      <selection pane="topRight" activeCell="B1" activeCellId="0" sqref="B1"/>
      <selection pane="bottomLeft" activeCell="A27" activeCellId="0" sqref="A27"/>
      <selection pane="bottomRight" activeCell="AB40" activeCellId="0" sqref="AB4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4.66"/>
    <col collapsed="false" customWidth="true" hidden="false" outlineLevel="0" max="2" min="2" style="0" width="6.99"/>
    <col collapsed="false" customWidth="true" hidden="false" outlineLevel="0" max="3" min="3" style="1" width="6.32"/>
    <col collapsed="false" customWidth="true" hidden="false" outlineLevel="0" max="4" min="4" style="0" width="6.99"/>
    <col collapsed="false" customWidth="true" hidden="false" outlineLevel="0" max="5" min="5" style="1" width="6.99"/>
    <col collapsed="false" customWidth="true" hidden="false" outlineLevel="0" max="6" min="6" style="0" width="7.32"/>
    <col collapsed="false" customWidth="true" hidden="false" outlineLevel="0" max="7" min="7" style="0" width="6.82"/>
    <col collapsed="false" customWidth="true" hidden="false" outlineLevel="0" max="8" min="8" style="3" width="5.66"/>
    <col collapsed="false" customWidth="true" hidden="false" outlineLevel="0" max="11" min="9" style="0" width="6.32"/>
    <col collapsed="false" customWidth="true" hidden="false" outlineLevel="0" max="12" min="12" style="0" width="7.16"/>
    <col collapsed="false" customWidth="true" hidden="false" outlineLevel="0" max="13" min="13" style="3" width="5.49"/>
    <col collapsed="false" customWidth="true" hidden="false" outlineLevel="0" max="14" min="14" style="3" width="4.49"/>
    <col collapsed="false" customWidth="true" hidden="false" outlineLevel="0" max="15" min="15" style="3" width="5.49"/>
    <col collapsed="false" customWidth="true" hidden="false" outlineLevel="0" max="17" min="16" style="3" width="4.32"/>
    <col collapsed="false" customWidth="true" hidden="false" outlineLevel="0" max="18" min="18" style="0" width="4.32"/>
    <col collapsed="false" customWidth="true" hidden="false" outlineLevel="0" max="20" min="19" style="0" width="5.49"/>
    <col collapsed="false" customWidth="true" hidden="false" outlineLevel="0" max="21" min="21" style="1" width="6.32"/>
    <col collapsed="false" customWidth="true" hidden="false" outlineLevel="0" max="26" min="22" style="0" width="5.49"/>
    <col collapsed="false" customWidth="true" hidden="false" outlineLevel="0" max="27" min="27" style="1" width="6.66"/>
    <col collapsed="false" customWidth="true" hidden="false" outlineLevel="0" max="28" min="28" style="0" width="5.49"/>
    <col collapsed="false" customWidth="true" hidden="false" outlineLevel="0" max="29" min="29" style="0" width="6.32"/>
    <col collapsed="false" customWidth="true" hidden="false" outlineLevel="0" max="30" min="30" style="0" width="6.99"/>
    <col collapsed="false" customWidth="true" hidden="false" outlineLevel="0" max="31" min="31" style="6" width="6.99"/>
    <col collapsed="false" customWidth="true" hidden="false" outlineLevel="0" max="32" min="32" style="2" width="5.32"/>
    <col collapsed="false" customWidth="true" hidden="false" outlineLevel="0" max="33" min="33" style="4" width="3.82"/>
    <col collapsed="false" customWidth="true" hidden="false" outlineLevel="0" max="34" min="34" style="5" width="3.82"/>
    <col collapsed="false" customWidth="true" hidden="false" outlineLevel="0" max="36" min="35" style="0" width="5.49"/>
    <col collapsed="false" customWidth="true" hidden="false" outlineLevel="0" max="37" min="37" style="0" width="6.32"/>
    <col collapsed="false" customWidth="true" hidden="false" outlineLevel="0" max="38" min="38" style="457" width="6.32"/>
    <col collapsed="false" customWidth="true" hidden="false" outlineLevel="0" max="39" min="39" style="345" width="6.32"/>
    <col collapsed="false" customWidth="true" hidden="false" outlineLevel="0" max="40" min="40" style="0" width="6.49"/>
  </cols>
  <sheetData>
    <row r="1" customFormat="false" ht="14.1" hidden="false" customHeight="true" outlineLevel="0" collapsed="false">
      <c r="A1" s="9" t="s">
        <v>93</v>
      </c>
      <c r="B1" s="9"/>
      <c r="C1" s="10"/>
      <c r="D1" s="9"/>
      <c r="E1" s="10"/>
      <c r="F1" s="9"/>
      <c r="G1" s="9"/>
      <c r="H1" s="122"/>
      <c r="I1" s="9"/>
      <c r="J1" s="9"/>
      <c r="K1" s="12" t="s">
        <v>0</v>
      </c>
      <c r="L1" s="9"/>
      <c r="M1" s="9"/>
      <c r="N1" s="9"/>
      <c r="O1" s="122"/>
      <c r="P1" s="122"/>
      <c r="Q1" s="122"/>
      <c r="R1" s="9"/>
      <c r="S1" s="9"/>
      <c r="T1" s="9"/>
      <c r="U1" s="10"/>
      <c r="V1" s="9"/>
      <c r="W1" s="9"/>
      <c r="X1" s="9"/>
      <c r="Y1" s="9"/>
      <c r="Z1" s="9"/>
      <c r="AA1" s="10"/>
      <c r="AB1" s="9"/>
      <c r="AC1" s="9"/>
      <c r="AD1" s="9"/>
      <c r="AE1" s="13"/>
      <c r="AF1" s="14"/>
      <c r="AG1" s="15"/>
      <c r="AH1" s="16"/>
      <c r="AI1" s="494"/>
      <c r="AJ1" s="494"/>
      <c r="AK1" s="494"/>
    </row>
    <row r="2" customFormat="false" ht="14.1" hidden="false" customHeight="true" outlineLevel="0" collapsed="false">
      <c r="A2" s="17" t="s">
        <v>1</v>
      </c>
      <c r="B2" s="9"/>
      <c r="C2" s="10"/>
      <c r="D2" s="18" t="n">
        <v>1.9835</v>
      </c>
      <c r="E2" s="10"/>
      <c r="F2" s="9"/>
      <c r="G2" s="9"/>
      <c r="H2" s="122"/>
      <c r="I2" s="9"/>
      <c r="J2" s="9"/>
      <c r="K2" s="495" t="s">
        <v>111</v>
      </c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95"/>
      <c r="W2" s="495"/>
      <c r="X2" s="495"/>
      <c r="Y2" s="495"/>
      <c r="Z2" s="495"/>
      <c r="AA2" s="495"/>
      <c r="AB2" s="9"/>
      <c r="AC2" s="9"/>
      <c r="AD2" s="9"/>
      <c r="AE2" s="13"/>
      <c r="AF2" s="14"/>
      <c r="AG2" s="15"/>
      <c r="AH2" s="16"/>
      <c r="AI2" s="494"/>
      <c r="AJ2" s="494"/>
      <c r="AK2" s="494"/>
    </row>
    <row r="3" customFormat="false" ht="14.1" hidden="false" customHeight="true" outlineLevel="0" collapsed="false">
      <c r="A3" s="19"/>
      <c r="B3" s="19"/>
      <c r="C3" s="20"/>
      <c r="D3" s="21"/>
      <c r="E3" s="20"/>
      <c r="F3" s="19"/>
      <c r="G3" s="19"/>
      <c r="H3" s="496"/>
      <c r="I3" s="19"/>
      <c r="J3" s="19"/>
      <c r="K3" s="19"/>
      <c r="L3" s="19"/>
      <c r="M3" s="19"/>
      <c r="N3" s="19"/>
      <c r="O3" s="496"/>
      <c r="P3" s="496"/>
      <c r="Q3" s="496"/>
      <c r="R3" s="19"/>
      <c r="S3" s="19"/>
      <c r="T3" s="19"/>
      <c r="U3" s="20"/>
      <c r="V3" s="19"/>
      <c r="W3" s="19"/>
      <c r="X3" s="19"/>
      <c r="Y3" s="19"/>
      <c r="Z3" s="19"/>
      <c r="AA3" s="20"/>
      <c r="AB3" s="19"/>
      <c r="AC3" s="19"/>
      <c r="AD3" s="19"/>
      <c r="AE3" s="23"/>
      <c r="AF3" s="24"/>
      <c r="AG3" s="25"/>
      <c r="AH3" s="26"/>
      <c r="AI3" s="497"/>
      <c r="AJ3" s="497"/>
      <c r="AK3" s="497"/>
    </row>
    <row r="4" s="8" customFormat="true" ht="14.1" hidden="false" customHeight="true" outlineLevel="0" collapsed="false">
      <c r="A4" s="31"/>
      <c r="B4" s="32"/>
      <c r="C4" s="33"/>
      <c r="D4" s="411" t="s">
        <v>3</v>
      </c>
      <c r="E4" s="33"/>
      <c r="F4" s="35"/>
      <c r="G4" s="31"/>
      <c r="H4" s="498"/>
      <c r="I4" s="31"/>
      <c r="J4" s="31"/>
      <c r="K4" s="31"/>
      <c r="L4" s="31"/>
      <c r="M4" s="31"/>
      <c r="N4" s="31"/>
      <c r="O4" s="498"/>
      <c r="P4" s="498"/>
      <c r="Q4" s="498"/>
      <c r="R4" s="31"/>
      <c r="S4" s="37" t="s">
        <v>4</v>
      </c>
      <c r="T4" s="31"/>
      <c r="U4" s="38"/>
      <c r="V4" s="31"/>
      <c r="W4" s="31"/>
      <c r="X4" s="31"/>
      <c r="Y4" s="31"/>
      <c r="Z4" s="31"/>
      <c r="AA4" s="38"/>
      <c r="AB4" s="31"/>
      <c r="AC4" s="31"/>
      <c r="AD4" s="31"/>
      <c r="AE4" s="39"/>
      <c r="AF4" s="40"/>
      <c r="AG4" s="41" t="s">
        <v>5</v>
      </c>
      <c r="AH4" s="42"/>
      <c r="AI4" s="418"/>
      <c r="AJ4" s="418"/>
      <c r="AK4" s="193" t="s">
        <v>6</v>
      </c>
      <c r="AL4" s="419"/>
      <c r="AM4" s="44"/>
      <c r="AN4" s="44"/>
    </row>
    <row r="5" customFormat="false" ht="12.95" hidden="false" customHeight="true" outlineLevel="0" collapsed="false">
      <c r="A5" s="420" t="s">
        <v>7</v>
      </c>
      <c r="B5" s="421" t="s">
        <v>8</v>
      </c>
      <c r="C5" s="74" t="s">
        <v>8</v>
      </c>
      <c r="D5" s="78" t="s">
        <v>9</v>
      </c>
      <c r="E5" s="74" t="s">
        <v>10</v>
      </c>
      <c r="F5" s="422" t="s">
        <v>11</v>
      </c>
      <c r="G5" s="423" t="s">
        <v>12</v>
      </c>
      <c r="H5" s="499" t="s">
        <v>13</v>
      </c>
      <c r="I5" s="423" t="s">
        <v>14</v>
      </c>
      <c r="J5" s="423" t="s">
        <v>15</v>
      </c>
      <c r="K5" s="423" t="s">
        <v>16</v>
      </c>
      <c r="L5" s="420" t="s">
        <v>15</v>
      </c>
      <c r="M5" s="210" t="s">
        <v>17</v>
      </c>
      <c r="N5" s="210"/>
      <c r="O5" s="210"/>
      <c r="P5" s="210"/>
      <c r="Q5" s="210"/>
      <c r="R5" s="210"/>
      <c r="S5" s="420" t="s">
        <v>18</v>
      </c>
      <c r="T5" s="420" t="s">
        <v>19</v>
      </c>
      <c r="U5" s="420" t="s">
        <v>16</v>
      </c>
      <c r="V5" s="79" t="s">
        <v>20</v>
      </c>
      <c r="W5" s="229" t="s">
        <v>20</v>
      </c>
      <c r="X5" s="420" t="s">
        <v>21</v>
      </c>
      <c r="Y5" s="53" t="s">
        <v>22</v>
      </c>
      <c r="Z5" s="54"/>
      <c r="AA5" s="420" t="s">
        <v>23</v>
      </c>
      <c r="AB5" s="229" t="s">
        <v>108</v>
      </c>
      <c r="AC5" s="233" t="s">
        <v>14</v>
      </c>
      <c r="AD5" s="233" t="s">
        <v>15</v>
      </c>
      <c r="AE5" s="233" t="s">
        <v>16</v>
      </c>
      <c r="AF5" s="426" t="s">
        <v>25</v>
      </c>
      <c r="AG5" s="83" t="s">
        <v>26</v>
      </c>
      <c r="AH5" s="427" t="s">
        <v>27</v>
      </c>
      <c r="AI5" s="67" t="s">
        <v>86</v>
      </c>
      <c r="AJ5" s="67" t="s">
        <v>20</v>
      </c>
      <c r="AK5" s="68" t="s">
        <v>87</v>
      </c>
      <c r="AL5" s="68" t="s">
        <v>87</v>
      </c>
      <c r="AM5" s="61" t="s">
        <v>29</v>
      </c>
      <c r="AN5" s="428" t="s">
        <v>30</v>
      </c>
    </row>
    <row r="6" customFormat="false" ht="12.95" hidden="false" customHeight="true" outlineLevel="0" collapsed="false">
      <c r="A6" s="429" t="s">
        <v>112</v>
      </c>
      <c r="B6" s="421" t="s">
        <v>32</v>
      </c>
      <c r="C6" s="74" t="s">
        <v>9</v>
      </c>
      <c r="D6" s="78" t="s">
        <v>33</v>
      </c>
      <c r="E6" s="74" t="s">
        <v>34</v>
      </c>
      <c r="F6" s="422" t="s">
        <v>35</v>
      </c>
      <c r="G6" s="423" t="s">
        <v>36</v>
      </c>
      <c r="H6" s="499" t="s">
        <v>37</v>
      </c>
      <c r="I6" s="423" t="s">
        <v>38</v>
      </c>
      <c r="J6" s="423" t="s">
        <v>38</v>
      </c>
      <c r="K6" s="423" t="s">
        <v>38</v>
      </c>
      <c r="L6" s="420" t="s">
        <v>39</v>
      </c>
      <c r="M6" s="469" t="s">
        <v>40</v>
      </c>
      <c r="N6" s="233" t="s">
        <v>41</v>
      </c>
      <c r="O6" s="233" t="s">
        <v>42</v>
      </c>
      <c r="P6" s="233" t="s">
        <v>43</v>
      </c>
      <c r="Q6" s="233" t="s">
        <v>44</v>
      </c>
      <c r="R6" s="234" t="s">
        <v>45</v>
      </c>
      <c r="S6" s="420" t="s">
        <v>46</v>
      </c>
      <c r="T6" s="420" t="s">
        <v>47</v>
      </c>
      <c r="U6" s="420" t="s">
        <v>20</v>
      </c>
      <c r="V6" s="79" t="s">
        <v>57</v>
      </c>
      <c r="W6" s="229" t="s">
        <v>49</v>
      </c>
      <c r="X6" s="420" t="s">
        <v>50</v>
      </c>
      <c r="Y6" s="63" t="s">
        <v>51</v>
      </c>
      <c r="Z6" s="65" t="s">
        <v>52</v>
      </c>
      <c r="AA6" s="420" t="s">
        <v>53</v>
      </c>
      <c r="AB6" s="229" t="s">
        <v>54</v>
      </c>
      <c r="AC6" s="233" t="s">
        <v>55</v>
      </c>
      <c r="AD6" s="233" t="s">
        <v>55</v>
      </c>
      <c r="AE6" s="233" t="s">
        <v>55</v>
      </c>
      <c r="AF6" s="431"/>
      <c r="AG6" s="83" t="s">
        <v>56</v>
      </c>
      <c r="AH6" s="427" t="s">
        <v>56</v>
      </c>
      <c r="AI6" s="67" t="s">
        <v>57</v>
      </c>
      <c r="AJ6" s="67" t="s">
        <v>58</v>
      </c>
      <c r="AK6" s="68" t="s">
        <v>59</v>
      </c>
      <c r="AL6" s="68" t="s">
        <v>59</v>
      </c>
      <c r="AM6" s="61" t="s">
        <v>60</v>
      </c>
      <c r="AN6" s="428" t="s">
        <v>61</v>
      </c>
    </row>
    <row r="7" customFormat="false" ht="12.95" hidden="false" customHeight="true" outlineLevel="0" collapsed="false">
      <c r="A7" s="420"/>
      <c r="B7" s="421"/>
      <c r="C7" s="74"/>
      <c r="D7" s="78"/>
      <c r="E7" s="74" t="s">
        <v>62</v>
      </c>
      <c r="F7" s="422"/>
      <c r="G7" s="420"/>
      <c r="H7" s="425"/>
      <c r="I7" s="420"/>
      <c r="J7" s="420"/>
      <c r="K7" s="420"/>
      <c r="L7" s="420"/>
      <c r="M7" s="469"/>
      <c r="N7" s="233" t="s">
        <v>63</v>
      </c>
      <c r="O7" s="233" t="s">
        <v>64</v>
      </c>
      <c r="P7" s="233"/>
      <c r="Q7" s="233"/>
      <c r="R7" s="234" t="s">
        <v>42</v>
      </c>
      <c r="S7" s="420"/>
      <c r="T7" s="420"/>
      <c r="U7" s="420"/>
      <c r="V7" s="79"/>
      <c r="W7" s="79" t="s">
        <v>91</v>
      </c>
      <c r="X7" s="420"/>
      <c r="Y7" s="77"/>
      <c r="Z7" s="80"/>
      <c r="AA7" s="420"/>
      <c r="AB7" s="79"/>
      <c r="AC7" s="420"/>
      <c r="AD7" s="420"/>
      <c r="AE7" s="420"/>
      <c r="AF7" s="431"/>
      <c r="AG7" s="83"/>
      <c r="AH7" s="427"/>
      <c r="AI7" s="67" t="s">
        <v>62</v>
      </c>
      <c r="AJ7" s="67" t="s">
        <v>66</v>
      </c>
      <c r="AK7" s="68" t="s">
        <v>105</v>
      </c>
      <c r="AL7" s="68" t="s">
        <v>92</v>
      </c>
      <c r="AM7" s="61" t="s">
        <v>69</v>
      </c>
      <c r="AN7" s="428" t="s">
        <v>70</v>
      </c>
    </row>
    <row r="8" customFormat="false" ht="12.95" hidden="false" customHeight="true" outlineLevel="0" collapsed="false">
      <c r="A8" s="420"/>
      <c r="B8" s="421"/>
      <c r="C8" s="74"/>
      <c r="D8" s="78"/>
      <c r="E8" s="74"/>
      <c r="F8" s="422"/>
      <c r="G8" s="420"/>
      <c r="H8" s="425"/>
      <c r="I8" s="420"/>
      <c r="J8" s="420"/>
      <c r="K8" s="420"/>
      <c r="L8" s="420"/>
      <c r="M8" s="469"/>
      <c r="N8" s="239" t="n">
        <v>1.03</v>
      </c>
      <c r="O8" s="239" t="n">
        <v>1.05</v>
      </c>
      <c r="P8" s="239" t="n">
        <v>1.02</v>
      </c>
      <c r="Q8" s="239" t="n">
        <v>1.04</v>
      </c>
      <c r="R8" s="234" t="s">
        <v>52</v>
      </c>
      <c r="S8" s="420"/>
      <c r="T8" s="420"/>
      <c r="U8" s="420"/>
      <c r="V8" s="79"/>
      <c r="W8" s="79" t="s">
        <v>71</v>
      </c>
      <c r="X8" s="420"/>
      <c r="Y8" s="77"/>
      <c r="Z8" s="80"/>
      <c r="AA8" s="420"/>
      <c r="AB8" s="79"/>
      <c r="AC8" s="420"/>
      <c r="AD8" s="420"/>
      <c r="AE8" s="420"/>
      <c r="AF8" s="431"/>
      <c r="AG8" s="83"/>
      <c r="AH8" s="427"/>
      <c r="AI8" s="67"/>
      <c r="AJ8" s="67"/>
      <c r="AK8" s="68" t="s">
        <v>113</v>
      </c>
      <c r="AL8" s="68" t="s">
        <v>66</v>
      </c>
      <c r="AM8" s="435"/>
    </row>
    <row r="9" customFormat="false" ht="12.95" hidden="false" customHeight="true" outlineLevel="0" collapsed="false">
      <c r="A9" s="17" t="s">
        <v>73</v>
      </c>
      <c r="B9" s="436"/>
      <c r="C9" s="94"/>
      <c r="D9" s="94"/>
      <c r="E9" s="94"/>
      <c r="F9" s="136" t="n">
        <f aca="false">MAY!F47</f>
        <v>67187.7993445929</v>
      </c>
      <c r="G9" s="96" t="n">
        <f aca="false">MAY!G47</f>
        <v>115954</v>
      </c>
      <c r="H9" s="101" t="n">
        <f aca="false">MAY!H47</f>
        <v>12527</v>
      </c>
      <c r="I9" s="96" t="n">
        <f aca="false">MAY!I47</f>
        <v>128481</v>
      </c>
      <c r="J9" s="96" t="n">
        <f aca="false">MAY!J47</f>
        <v>33189.9293445929</v>
      </c>
      <c r="K9" s="96" t="n">
        <f aca="false">MAY!K47</f>
        <v>161670.929344593</v>
      </c>
      <c r="L9" s="96" t="n">
        <f aca="false">MAY!L47</f>
        <v>33189.9293445929</v>
      </c>
      <c r="M9" s="97" t="n">
        <f aca="false">MAY!M47</f>
        <v>8941.5</v>
      </c>
      <c r="N9" s="94" t="n">
        <f aca="false">MAY!N47</f>
        <v>67.053</v>
      </c>
      <c r="O9" s="99" t="n">
        <f aca="false">MAY!O47</f>
        <v>3346.854</v>
      </c>
      <c r="P9" s="500"/>
      <c r="Q9" s="500"/>
      <c r="R9" s="95"/>
      <c r="S9" s="96" t="n">
        <f aca="false">MAY!S47</f>
        <v>2932.25</v>
      </c>
      <c r="T9" s="96" t="n">
        <f aca="false">MAY!T47</f>
        <v>1950.4</v>
      </c>
      <c r="U9" s="96" t="n">
        <f aca="false">MAY!U47</f>
        <v>9748.3002</v>
      </c>
      <c r="V9" s="96" t="n">
        <f aca="false">MAY!V47</f>
        <v>0</v>
      </c>
      <c r="W9" s="96"/>
      <c r="X9" s="96" t="n">
        <f aca="false">MAY!X47</f>
        <v>2203.83</v>
      </c>
      <c r="Y9" s="96" t="n">
        <f aca="false">MAY!Y47</f>
        <v>103.7</v>
      </c>
      <c r="Z9" s="96" t="n">
        <f aca="false">MAY!Z47</f>
        <v>79.3</v>
      </c>
      <c r="AA9" s="96"/>
      <c r="AB9" s="96"/>
      <c r="AC9" s="96" t="n">
        <f aca="false">MAY!AC47</f>
        <v>94483.13</v>
      </c>
      <c r="AD9" s="96" t="n">
        <f aca="false">MAY!AD47</f>
        <v>0</v>
      </c>
      <c r="AE9" s="96" t="n">
        <f aca="false">MAY!AE47</f>
        <v>94483.13</v>
      </c>
      <c r="AF9" s="98"/>
      <c r="AG9" s="99"/>
      <c r="AH9" s="100"/>
      <c r="AI9" s="101"/>
      <c r="AJ9" s="101"/>
      <c r="AK9" s="96"/>
      <c r="AL9" s="367" t="n">
        <f aca="false">MAY!AL48</f>
        <v>81.3511229124456</v>
      </c>
      <c r="AM9" s="101" t="n">
        <f aca="false">MAY!AM47</f>
        <v>0</v>
      </c>
      <c r="AN9" s="101" t="n">
        <f aca="false">MAY!AN47</f>
        <v>271.38</v>
      </c>
    </row>
    <row r="10" s="1" customFormat="true" ht="12.95" hidden="false" customHeight="true" outlineLevel="0" collapsed="false">
      <c r="A10" s="104" t="s">
        <v>74</v>
      </c>
      <c r="B10" s="438" t="n">
        <f aca="false">MAY!B42</f>
        <v>6922.18</v>
      </c>
      <c r="C10" s="94" t="n">
        <f aca="false">MAY!C42</f>
        <v>373088</v>
      </c>
      <c r="D10" s="94" t="n">
        <f aca="false">MAY!D51</f>
        <v>165842</v>
      </c>
      <c r="E10" s="94" t="n">
        <f aca="false">MAY!E51</f>
        <v>221088</v>
      </c>
      <c r="F10" s="136" t="n">
        <f aca="false">MAY!F50</f>
        <v>83610.789009327</v>
      </c>
      <c r="G10" s="96" t="n">
        <f aca="false">MAY!G50</f>
        <v>132412</v>
      </c>
      <c r="H10" s="101" t="n">
        <f aca="false">MAY!H50</f>
        <v>14916.54</v>
      </c>
      <c r="I10" s="96" t="n">
        <f aca="false">MAY!I50</f>
        <v>147328.54</v>
      </c>
      <c r="J10" s="96" t="n">
        <f aca="false">MAY!J50</f>
        <v>43651.4344492059</v>
      </c>
      <c r="K10" s="96" t="n">
        <f aca="false">MAY!K50</f>
        <v>190979.974449206</v>
      </c>
      <c r="L10" s="96" t="n">
        <f aca="false">MAY!L50</f>
        <v>43106.1790093269</v>
      </c>
      <c r="M10" s="97" t="n">
        <f aca="false">MAY!M50</f>
        <v>9737.5</v>
      </c>
      <c r="N10" s="94" t="n">
        <f aca="false">MAY!N50</f>
        <v>67.053</v>
      </c>
      <c r="O10" s="99" t="n">
        <f aca="false">MAY!O50</f>
        <v>3346.854</v>
      </c>
      <c r="P10" s="99" t="n">
        <f aca="false">MAY!P50</f>
        <v>316.0776</v>
      </c>
      <c r="Q10" s="99" t="n">
        <f aca="false">MAY!Q50</f>
        <v>586.2888</v>
      </c>
      <c r="R10" s="95" t="n">
        <f aca="false">MAY!R50</f>
        <v>63.37</v>
      </c>
      <c r="S10" s="96" t="n">
        <f aca="false">MAY!S50</f>
        <v>10401.25</v>
      </c>
      <c r="T10" s="96" t="n">
        <f aca="false">MAY!T50</f>
        <v>1984.2</v>
      </c>
      <c r="U10" s="96" t="n">
        <f aca="false">MAY!U50</f>
        <v>17463.4566</v>
      </c>
      <c r="V10" s="96"/>
      <c r="W10" s="96"/>
      <c r="X10" s="96" t="n">
        <f aca="false">MAY!X50</f>
        <v>0</v>
      </c>
      <c r="Y10" s="97"/>
      <c r="Z10" s="95"/>
      <c r="AA10" s="96" t="n">
        <f aca="false">MAY!AA50</f>
        <v>82777</v>
      </c>
      <c r="AB10" s="96" t="n">
        <f aca="false">MAY!AB50</f>
        <v>14600.433072851</v>
      </c>
      <c r="AC10" s="96" t="n">
        <f aca="false">MAY!AC50</f>
        <v>106823.93</v>
      </c>
      <c r="AD10" s="96" t="n">
        <f aca="false">MAY!AD50</f>
        <v>545.255439879002</v>
      </c>
      <c r="AE10" s="96" t="n">
        <f aca="false">MAY!AE50</f>
        <v>107369.185439879</v>
      </c>
      <c r="AF10" s="98" t="n">
        <f aca="false">MAY!AF50</f>
        <v>13.2</v>
      </c>
      <c r="AG10" s="99"/>
      <c r="AH10" s="100"/>
      <c r="AI10" s="96" t="n">
        <f aca="false">MAY!AI51</f>
        <v>14814.1599532</v>
      </c>
      <c r="AJ10" s="96" t="n">
        <f aca="false">MAY!AJ50</f>
        <v>0</v>
      </c>
      <c r="AK10" s="127"/>
      <c r="AL10" s="367" t="n">
        <f aca="false">MAY!AL51</f>
        <v>81.3511229124456</v>
      </c>
      <c r="AM10" s="101" t="n">
        <f aca="false">MAY!AM50</f>
        <v>0</v>
      </c>
      <c r="AN10" s="101" t="n">
        <f aca="false">MAY!AN50</f>
        <v>0</v>
      </c>
    </row>
    <row r="11" customFormat="false" ht="3" hidden="false" customHeight="true" outlineLevel="0" collapsed="false">
      <c r="A11" s="106"/>
      <c r="B11" s="439"/>
      <c r="C11" s="114"/>
      <c r="D11" s="112"/>
      <c r="E11" s="114"/>
      <c r="F11" s="440"/>
      <c r="G11" s="112"/>
      <c r="H11" s="442"/>
      <c r="I11" s="112"/>
      <c r="J11" s="112"/>
      <c r="K11" s="112"/>
      <c r="L11" s="112"/>
      <c r="M11" s="115"/>
      <c r="N11" s="112"/>
      <c r="O11" s="442" t="n">
        <v>0</v>
      </c>
      <c r="P11" s="442"/>
      <c r="Q11" s="442"/>
      <c r="R11" s="113"/>
      <c r="S11" s="112"/>
      <c r="T11" s="112" t="n">
        <v>0</v>
      </c>
      <c r="U11" s="112"/>
      <c r="V11" s="114"/>
      <c r="W11" s="114"/>
      <c r="X11" s="112"/>
      <c r="Y11" s="115"/>
      <c r="Z11" s="113"/>
      <c r="AA11" s="112"/>
      <c r="AB11" s="114"/>
      <c r="AC11" s="112"/>
      <c r="AD11" s="112"/>
      <c r="AE11" s="112"/>
      <c r="AF11" s="116"/>
      <c r="AG11" s="117"/>
      <c r="AH11" s="118"/>
      <c r="AI11" s="117"/>
      <c r="AJ11" s="117"/>
      <c r="AK11" s="117"/>
      <c r="AL11" s="472"/>
      <c r="AM11" s="264"/>
      <c r="AN11" s="264"/>
    </row>
    <row r="12" customFormat="false" ht="12.95" hidden="false" customHeight="true" outlineLevel="0" collapsed="false">
      <c r="A12" s="16" t="n">
        <v>1</v>
      </c>
      <c r="B12" s="438" t="n">
        <v>6922.48</v>
      </c>
      <c r="C12" s="94" t="n">
        <v>374413</v>
      </c>
      <c r="D12" s="99" t="n">
        <f aca="false">C12-C10</f>
        <v>1325</v>
      </c>
      <c r="E12" s="94" t="n">
        <f aca="false">C12-152000</f>
        <v>222413</v>
      </c>
      <c r="F12" s="443" t="n">
        <f aca="false">D12/$D$2</f>
        <v>668.011091504915</v>
      </c>
      <c r="G12" s="127" t="n">
        <v>2120</v>
      </c>
      <c r="H12" s="437" t="n">
        <v>23</v>
      </c>
      <c r="I12" s="127" t="n">
        <f aca="false">G12+H12</f>
        <v>2143</v>
      </c>
      <c r="J12" s="445" t="n">
        <f aca="false">IF(L12&gt;0,L12,0)</f>
        <v>130.341091504915</v>
      </c>
      <c r="K12" s="127" t="n">
        <f aca="false">I12+J12</f>
        <v>2273.34109150492</v>
      </c>
      <c r="L12" s="127" t="n">
        <f aca="false">F12-(I12-AC12)</f>
        <v>130.341091504915</v>
      </c>
      <c r="M12" s="128" t="n">
        <v>313</v>
      </c>
      <c r="N12" s="446" t="n">
        <f aca="false">2.1*1.03</f>
        <v>2.163</v>
      </c>
      <c r="O12" s="247" t="n">
        <f aca="false">(41+43)*1.05</f>
        <v>88.2</v>
      </c>
      <c r="P12" s="367" t="n">
        <f aca="false">2.58*1.02</f>
        <v>2.6316</v>
      </c>
      <c r="Q12" s="367" t="n">
        <v>4.2</v>
      </c>
      <c r="R12" s="368" t="n">
        <v>5.45</v>
      </c>
      <c r="S12" s="127" t="n">
        <v>211</v>
      </c>
      <c r="T12" s="127" t="n">
        <v>74</v>
      </c>
      <c r="U12" s="267" t="n">
        <f aca="false">M12-N12-O12-P12-Q12-R12+S12+T12-AN12</f>
        <v>474.6854</v>
      </c>
      <c r="V12" s="242" t="n">
        <v>0</v>
      </c>
      <c r="W12" s="96"/>
      <c r="X12" s="127" t="n">
        <v>204</v>
      </c>
      <c r="Y12" s="128" t="n">
        <v>1.7</v>
      </c>
      <c r="Z12" s="129" t="n">
        <v>1.3</v>
      </c>
      <c r="AA12" s="449" t="n">
        <v>824</v>
      </c>
      <c r="AB12" s="448" t="n">
        <f aca="false">AB10</f>
        <v>14600.433072851</v>
      </c>
      <c r="AC12" s="127" t="n">
        <f aca="false">N12+O12+P12+Q12+R12+U12+X12+AA12</f>
        <v>1605.33</v>
      </c>
      <c r="AD12" s="127" t="n">
        <f aca="false">IF(L12&lt;0,L12*-1,0)</f>
        <v>0</v>
      </c>
      <c r="AE12" s="127" t="n">
        <f aca="false">AC12+AD12</f>
        <v>1605.33</v>
      </c>
      <c r="AF12" s="98" t="n">
        <v>0</v>
      </c>
      <c r="AG12" s="99" t="n">
        <v>77</v>
      </c>
      <c r="AH12" s="100" t="n">
        <v>44</v>
      </c>
      <c r="AI12" s="101" t="n">
        <f aca="false">AI10+(111*1.9835)</f>
        <v>15034.3284532</v>
      </c>
      <c r="AJ12" s="101"/>
      <c r="AK12" s="101" t="n">
        <v>0</v>
      </c>
      <c r="AL12" s="367" t="n">
        <f aca="false">64*(V9*1.9835+AK12*1.9835)/E12</f>
        <v>0</v>
      </c>
      <c r="AM12" s="101"/>
      <c r="AN12" s="9" t="n">
        <v>20.67</v>
      </c>
    </row>
    <row r="13" customFormat="false" ht="12.95" hidden="false" customHeight="true" outlineLevel="0" collapsed="false">
      <c r="A13" s="16" t="n">
        <f aca="false">A12+1</f>
        <v>2</v>
      </c>
      <c r="B13" s="438" t="n">
        <v>6922.86</v>
      </c>
      <c r="C13" s="94" t="n">
        <v>376091</v>
      </c>
      <c r="D13" s="99" t="n">
        <f aca="false">C13-C12</f>
        <v>1678</v>
      </c>
      <c r="E13" s="94" t="n">
        <f aca="false">C13-152000</f>
        <v>224091</v>
      </c>
      <c r="F13" s="443" t="n">
        <f aca="false">D13/$D$2</f>
        <v>845.979329468112</v>
      </c>
      <c r="G13" s="127" t="n">
        <v>2200</v>
      </c>
      <c r="H13" s="437" t="n">
        <v>20</v>
      </c>
      <c r="I13" s="127" t="n">
        <f aca="false">G13+H13</f>
        <v>2220</v>
      </c>
      <c r="J13" s="445" t="n">
        <f aca="false">IF(L13&gt;0,L13,0)</f>
        <v>125.019329468112</v>
      </c>
      <c r="K13" s="127" t="n">
        <f aca="false">I13+J13</f>
        <v>2345.01932946811</v>
      </c>
      <c r="L13" s="127" t="n">
        <f aca="false">F13-(I13-AC13)</f>
        <v>125.019329468112</v>
      </c>
      <c r="M13" s="128" t="n">
        <v>280</v>
      </c>
      <c r="N13" s="446" t="n">
        <f aca="false">2.1*1.03</f>
        <v>2.163</v>
      </c>
      <c r="O13" s="247" t="n">
        <f aca="false">(32+33)*1.05</f>
        <v>68.25</v>
      </c>
      <c r="P13" s="367" t="n">
        <f aca="false">2.58*1.02</f>
        <v>2.6316</v>
      </c>
      <c r="Q13" s="367" t="n">
        <v>4.2</v>
      </c>
      <c r="R13" s="368" t="n">
        <v>4.47</v>
      </c>
      <c r="S13" s="127" t="n">
        <v>270</v>
      </c>
      <c r="T13" s="127" t="n">
        <v>75</v>
      </c>
      <c r="U13" s="267" t="n">
        <f aca="false">M13-N13-O13-P13-Q13-R13+S13+T13-AN13</f>
        <v>532.3254</v>
      </c>
      <c r="V13" s="242" t="n">
        <v>0</v>
      </c>
      <c r="W13" s="242"/>
      <c r="X13" s="127" t="n">
        <v>174</v>
      </c>
      <c r="Y13" s="128" t="n">
        <v>1.7</v>
      </c>
      <c r="Z13" s="129" t="n">
        <v>1.3</v>
      </c>
      <c r="AA13" s="449" t="n">
        <v>711</v>
      </c>
      <c r="AB13" s="448" t="n">
        <f aca="false">AB12</f>
        <v>14600.433072851</v>
      </c>
      <c r="AC13" s="127" t="n">
        <f aca="false">N13+O13+P13+Q13+R13+U13+X13+AA13</f>
        <v>1499.04</v>
      </c>
      <c r="AD13" s="127" t="n">
        <f aca="false">IF(L13&lt;0,L13*-1,0)</f>
        <v>0</v>
      </c>
      <c r="AE13" s="127" t="n">
        <f aca="false">AC13+AD13</f>
        <v>1499.04</v>
      </c>
      <c r="AF13" s="98" t="n">
        <v>0</v>
      </c>
      <c r="AG13" s="99" t="n">
        <v>44</v>
      </c>
      <c r="AH13" s="100" t="n">
        <v>48</v>
      </c>
      <c r="AI13" s="101" t="n">
        <f aca="false">AI12+(167*1.9835)</f>
        <v>15365.5729532</v>
      </c>
      <c r="AJ13" s="101"/>
      <c r="AK13" s="101" t="n">
        <v>0</v>
      </c>
      <c r="AL13" s="367" t="n">
        <f aca="false">64*(V12*1.9835+AK13*1.9835)/E13</f>
        <v>0</v>
      </c>
      <c r="AM13" s="101"/>
      <c r="AN13" s="9" t="n">
        <v>10.96</v>
      </c>
    </row>
    <row r="14" customFormat="false" ht="12.95" hidden="false" customHeight="true" outlineLevel="0" collapsed="false">
      <c r="A14" s="16" t="n">
        <f aca="false">A13+1</f>
        <v>3</v>
      </c>
      <c r="B14" s="438" t="n">
        <v>6923.31</v>
      </c>
      <c r="C14" s="94" t="n">
        <v>378089</v>
      </c>
      <c r="D14" s="99" t="n">
        <f aca="false">C14-C13</f>
        <v>1998</v>
      </c>
      <c r="E14" s="94" t="n">
        <f aca="false">C14-152000</f>
        <v>226089</v>
      </c>
      <c r="F14" s="443" t="n">
        <f aca="false">D14/$D$2</f>
        <v>1007.31031005798</v>
      </c>
      <c r="G14" s="127" t="n">
        <v>2250</v>
      </c>
      <c r="H14" s="437" t="n">
        <v>20</v>
      </c>
      <c r="I14" s="127" t="n">
        <f aca="false">G14+H14</f>
        <v>2270</v>
      </c>
      <c r="J14" s="445" t="n">
        <f aca="false">IF(L14&gt;0,L14,0)</f>
        <v>323.310310057978</v>
      </c>
      <c r="K14" s="127" t="n">
        <f aca="false">I14+J14</f>
        <v>2593.31031005798</v>
      </c>
      <c r="L14" s="127" t="n">
        <f aca="false">F14-(I14-AC14)</f>
        <v>323.310310057978</v>
      </c>
      <c r="M14" s="128" t="n">
        <v>256</v>
      </c>
      <c r="N14" s="446" t="n">
        <f aca="false">2.1*1.03</f>
        <v>2.163</v>
      </c>
      <c r="O14" s="500" t="n">
        <f aca="false">(27+27)*1.05</f>
        <v>56.7</v>
      </c>
      <c r="P14" s="367" t="n">
        <f aca="false">2.58*1.02</f>
        <v>2.6316</v>
      </c>
      <c r="Q14" s="367" t="n">
        <v>4.2</v>
      </c>
      <c r="R14" s="368" t="n">
        <v>2.14</v>
      </c>
      <c r="S14" s="127" t="n">
        <v>274</v>
      </c>
      <c r="T14" s="127" t="n">
        <v>77</v>
      </c>
      <c r="U14" s="267" t="n">
        <f aca="false">M14-N14-O14-P14-Q14-R14+S14+T14-AN14</f>
        <v>539.1654</v>
      </c>
      <c r="V14" s="242" t="n">
        <v>0</v>
      </c>
      <c r="W14" s="242"/>
      <c r="X14" s="127" t="n">
        <v>163</v>
      </c>
      <c r="Y14" s="128" t="n">
        <v>1.7</v>
      </c>
      <c r="Z14" s="129" t="n">
        <v>1.3</v>
      </c>
      <c r="AA14" s="449" t="n">
        <v>816</v>
      </c>
      <c r="AB14" s="448" t="n">
        <f aca="false">AB13</f>
        <v>14600.433072851</v>
      </c>
      <c r="AC14" s="127" t="n">
        <f aca="false">N14+O14+P14+Q14+R14+U14+X14+AA14</f>
        <v>1586</v>
      </c>
      <c r="AD14" s="127" t="n">
        <f aca="false">IF(L14&lt;0,L14*-1,0)</f>
        <v>0</v>
      </c>
      <c r="AE14" s="127" t="n">
        <f aca="false">AC14+AD14</f>
        <v>1586</v>
      </c>
      <c r="AF14" s="98" t="n">
        <v>0.09</v>
      </c>
      <c r="AG14" s="99" t="n">
        <v>63</v>
      </c>
      <c r="AH14" s="100" t="n">
        <v>35</v>
      </c>
      <c r="AI14" s="101" t="n">
        <f aca="false">AI13+(167*1.9835)</f>
        <v>15696.8174532</v>
      </c>
      <c r="AJ14" s="101"/>
      <c r="AK14" s="101" t="n">
        <v>0</v>
      </c>
      <c r="AL14" s="367" t="n">
        <f aca="false">64*(V11*1.9835+AK14*1.9835)/E14</f>
        <v>0</v>
      </c>
      <c r="AM14" s="101"/>
      <c r="AN14" s="9"/>
    </row>
    <row r="15" customFormat="false" ht="12.95" hidden="false" customHeight="true" outlineLevel="0" collapsed="false">
      <c r="A15" s="16" t="n">
        <f aca="false">A14+1</f>
        <v>4</v>
      </c>
      <c r="B15" s="438" t="n">
        <v>6923.48</v>
      </c>
      <c r="C15" s="94" t="n">
        <v>378845</v>
      </c>
      <c r="D15" s="99" t="n">
        <f aca="false">C15-C14</f>
        <v>756</v>
      </c>
      <c r="E15" s="94" t="n">
        <f aca="false">C15-152000</f>
        <v>226845</v>
      </c>
      <c r="F15" s="443" t="n">
        <f aca="false">D15/$D$2</f>
        <v>381.144441643559</v>
      </c>
      <c r="G15" s="127" t="n">
        <v>1720</v>
      </c>
      <c r="H15" s="437" t="n">
        <v>19</v>
      </c>
      <c r="I15" s="127" t="n">
        <f aca="false">G15+H15</f>
        <v>1739</v>
      </c>
      <c r="J15" s="445" t="n">
        <f aca="false">IF(L15&gt;0,L15,0)</f>
        <v>199.144441643559</v>
      </c>
      <c r="K15" s="127" t="n">
        <f aca="false">I15+J15</f>
        <v>1938.14444164356</v>
      </c>
      <c r="L15" s="127" t="n">
        <f aca="false">F15-(I15-AC15)</f>
        <v>199.144441643559</v>
      </c>
      <c r="M15" s="128" t="n">
        <v>260</v>
      </c>
      <c r="N15" s="446" t="n">
        <f aca="false">2.1*1.03</f>
        <v>2.163</v>
      </c>
      <c r="O15" s="500" t="n">
        <f aca="false">(41+41)*1.05</f>
        <v>86.1</v>
      </c>
      <c r="P15" s="367" t="n">
        <f aca="false">2.58*1.02</f>
        <v>2.6316</v>
      </c>
      <c r="Q15" s="367" t="n">
        <v>4.2</v>
      </c>
      <c r="R15" s="368" t="n">
        <v>1.04</v>
      </c>
      <c r="S15" s="127" t="n">
        <v>275</v>
      </c>
      <c r="T15" s="127" t="n">
        <v>77</v>
      </c>
      <c r="U15" s="267" t="n">
        <f aca="false">M15-N15-O15-P15-Q15-R15+S15+T15-AN15</f>
        <v>515.8654</v>
      </c>
      <c r="V15" s="242" t="n">
        <v>0</v>
      </c>
      <c r="W15" s="242"/>
      <c r="X15" s="127" t="n">
        <v>128</v>
      </c>
      <c r="Y15" s="128" t="n">
        <v>1.7</v>
      </c>
      <c r="Z15" s="129" t="n">
        <v>1.3</v>
      </c>
      <c r="AA15" s="449" t="n">
        <v>817</v>
      </c>
      <c r="AB15" s="448" t="n">
        <f aca="false">AB14</f>
        <v>14600.433072851</v>
      </c>
      <c r="AC15" s="127" t="n">
        <f aca="false">N15+O15+P15+Q15+R15+U15+X15+AA15</f>
        <v>1557</v>
      </c>
      <c r="AD15" s="127" t="n">
        <f aca="false">IF(L15&lt;0,L15*-1,0)</f>
        <v>0</v>
      </c>
      <c r="AE15" s="127" t="n">
        <f aca="false">AC15+AD15</f>
        <v>1557</v>
      </c>
      <c r="AF15" s="98" t="n">
        <v>0</v>
      </c>
      <c r="AG15" s="99" t="n">
        <v>66</v>
      </c>
      <c r="AH15" s="100" t="n">
        <v>32</v>
      </c>
      <c r="AI15" s="101" t="n">
        <f aca="false">AI14+(167*1.9835)</f>
        <v>16028.0619532</v>
      </c>
      <c r="AJ15" s="101"/>
      <c r="AK15" s="101" t="n">
        <v>0</v>
      </c>
      <c r="AL15" s="367" t="n">
        <f aca="false">64*(V12*1.9835+AK15*1.9835)/E15</f>
        <v>0</v>
      </c>
      <c r="AM15" s="101"/>
      <c r="AN15" s="9"/>
    </row>
    <row r="16" customFormat="false" ht="12.95" hidden="false" customHeight="true" outlineLevel="0" collapsed="false">
      <c r="A16" s="16" t="n">
        <f aca="false">A15+1</f>
        <v>5</v>
      </c>
      <c r="B16" s="438" t="n">
        <v>6923.48</v>
      </c>
      <c r="C16" s="94" t="n">
        <v>378845</v>
      </c>
      <c r="D16" s="99" t="n">
        <f aca="false">C16-C15</f>
        <v>0</v>
      </c>
      <c r="E16" s="94" t="n">
        <f aca="false">C16-152000</f>
        <v>226845</v>
      </c>
      <c r="F16" s="443" t="n">
        <f aca="false">D16/$D$2</f>
        <v>0</v>
      </c>
      <c r="G16" s="127" t="n">
        <v>1430</v>
      </c>
      <c r="H16" s="437" t="n">
        <v>6.4</v>
      </c>
      <c r="I16" s="127" t="n">
        <f aca="false">G16+H16</f>
        <v>1436.4</v>
      </c>
      <c r="J16" s="445" t="n">
        <f aca="false">IF(L16&gt;0,L16,0)</f>
        <v>136.6</v>
      </c>
      <c r="K16" s="127" t="n">
        <f aca="false">I16+J16</f>
        <v>1573</v>
      </c>
      <c r="L16" s="127" t="n">
        <f aca="false">F16-(I16-AC16)</f>
        <v>136.6</v>
      </c>
      <c r="M16" s="128" t="n">
        <v>256</v>
      </c>
      <c r="N16" s="446" t="n">
        <f aca="false">2.1*1.03</f>
        <v>2.163</v>
      </c>
      <c r="O16" s="500" t="n">
        <f aca="false">(40+40)*1.05</f>
        <v>84</v>
      </c>
      <c r="P16" s="367" t="n">
        <f aca="false">2.58*1.02</f>
        <v>2.6316</v>
      </c>
      <c r="Q16" s="367" t="n">
        <v>4.2</v>
      </c>
      <c r="R16" s="368" t="n">
        <v>5.14</v>
      </c>
      <c r="S16" s="127" t="n">
        <v>275</v>
      </c>
      <c r="T16" s="127" t="n">
        <v>77</v>
      </c>
      <c r="U16" s="267" t="n">
        <f aca="false">M16-N16-O16-P16-Q16-R16+S16+T16-AN16</f>
        <v>509.8654</v>
      </c>
      <c r="V16" s="242" t="n">
        <v>0</v>
      </c>
      <c r="W16" s="242"/>
      <c r="X16" s="127" t="n">
        <v>149</v>
      </c>
      <c r="Y16" s="128" t="n">
        <v>1.7</v>
      </c>
      <c r="Z16" s="129" t="n">
        <v>1.3</v>
      </c>
      <c r="AA16" s="449" t="n">
        <v>816</v>
      </c>
      <c r="AB16" s="448" t="n">
        <f aca="false">AB15</f>
        <v>14600.433072851</v>
      </c>
      <c r="AC16" s="127" t="n">
        <f aca="false">N16+O16+P16+Q16+R16+U16+X16+AA16</f>
        <v>1573</v>
      </c>
      <c r="AD16" s="127" t="n">
        <f aca="false">IF(L16&lt;0,L16*-1,0)</f>
        <v>0</v>
      </c>
      <c r="AE16" s="127" t="n">
        <f aca="false">AC16+AD16</f>
        <v>1573</v>
      </c>
      <c r="AF16" s="98" t="n">
        <v>0</v>
      </c>
      <c r="AG16" s="99" t="n">
        <v>45</v>
      </c>
      <c r="AH16" s="100" t="n">
        <v>42</v>
      </c>
      <c r="AI16" s="101" t="n">
        <f aca="false">AI15+(167*1.9835)</f>
        <v>16359.3064532</v>
      </c>
      <c r="AJ16" s="101"/>
      <c r="AK16" s="101" t="n">
        <v>0</v>
      </c>
      <c r="AL16" s="367" t="n">
        <f aca="false">64*(V13*1.9835+AK16*1.9835)/E16</f>
        <v>0</v>
      </c>
      <c r="AM16" s="101"/>
      <c r="AN16" s="9"/>
    </row>
    <row r="17" customFormat="false" ht="12.95" hidden="false" customHeight="true" outlineLevel="0" collapsed="false">
      <c r="A17" s="16" t="n">
        <f aca="false">A16+1</f>
        <v>6</v>
      </c>
      <c r="B17" s="438" t="n">
        <v>6923.48</v>
      </c>
      <c r="C17" s="94" t="n">
        <v>378845</v>
      </c>
      <c r="D17" s="99" t="n">
        <f aca="false">C17-C16</f>
        <v>0</v>
      </c>
      <c r="E17" s="94" t="n">
        <f aca="false">C17-152000</f>
        <v>226845</v>
      </c>
      <c r="F17" s="443" t="n">
        <f aca="false">D17/$D$2</f>
        <v>0</v>
      </c>
      <c r="G17" s="127" t="n">
        <v>1430</v>
      </c>
      <c r="H17" s="437" t="n">
        <v>4.4</v>
      </c>
      <c r="I17" s="127" t="n">
        <f aca="false">G17+H17</f>
        <v>1434.4</v>
      </c>
      <c r="J17" s="445" t="n">
        <f aca="false">IF(L17&gt;0,L17,0)</f>
        <v>39.5999999999999</v>
      </c>
      <c r="K17" s="127" t="n">
        <f aca="false">I17+J17</f>
        <v>1474</v>
      </c>
      <c r="L17" s="127" t="n">
        <f aca="false">F17-(I17-AC17)</f>
        <v>39.5999999999999</v>
      </c>
      <c r="M17" s="128" t="n">
        <v>256</v>
      </c>
      <c r="N17" s="446" t="n">
        <f aca="false">2.1*1.03</f>
        <v>2.163</v>
      </c>
      <c r="O17" s="500" t="n">
        <f aca="false">(36+37)*1.05</f>
        <v>76.65</v>
      </c>
      <c r="P17" s="367" t="n">
        <f aca="false">2.58*1.02</f>
        <v>2.6316</v>
      </c>
      <c r="Q17" s="367" t="n">
        <v>4.2</v>
      </c>
      <c r="R17" s="368" t="n">
        <v>3.71</v>
      </c>
      <c r="S17" s="127" t="n">
        <v>291</v>
      </c>
      <c r="T17" s="127" t="n">
        <v>77</v>
      </c>
      <c r="U17" s="267" t="n">
        <f aca="false">M17-N17-O17-P17-Q17-R17+S17+T17-AN17</f>
        <v>534.6454</v>
      </c>
      <c r="V17" s="242" t="n">
        <v>0</v>
      </c>
      <c r="W17" s="242"/>
      <c r="X17" s="127" t="n">
        <v>148</v>
      </c>
      <c r="Y17" s="128" t="n">
        <v>1.7</v>
      </c>
      <c r="Z17" s="129" t="n">
        <v>1.3</v>
      </c>
      <c r="AA17" s="449" t="n">
        <v>702</v>
      </c>
      <c r="AB17" s="448" t="n">
        <f aca="false">AB16</f>
        <v>14600.433072851</v>
      </c>
      <c r="AC17" s="127" t="n">
        <f aca="false">N17+O17+P17+Q17+R17+U17+X17+AA17</f>
        <v>1474</v>
      </c>
      <c r="AD17" s="127" t="n">
        <f aca="false">IF(L17&lt;0,L17*-1,0)</f>
        <v>0</v>
      </c>
      <c r="AE17" s="127" t="n">
        <f aca="false">AC17+AD17</f>
        <v>1474</v>
      </c>
      <c r="AF17" s="98" t="n">
        <v>0</v>
      </c>
      <c r="AG17" s="99" t="n">
        <v>45</v>
      </c>
      <c r="AH17" s="100" t="n">
        <v>47</v>
      </c>
      <c r="AI17" s="101" t="n">
        <f aca="false">AI16+(54.45*1.9835)</f>
        <v>16467.3080282</v>
      </c>
      <c r="AJ17" s="101"/>
      <c r="AK17" s="101" t="n">
        <v>0</v>
      </c>
      <c r="AL17" s="367" t="n">
        <f aca="false">64*(V14*1.9835+AK17*1.9835)/E17</f>
        <v>0</v>
      </c>
      <c r="AM17" s="101"/>
      <c r="AN17" s="9"/>
    </row>
    <row r="18" customFormat="false" ht="12.95" hidden="false" customHeight="true" outlineLevel="0" collapsed="false">
      <c r="A18" s="16" t="n">
        <f aca="false">A17+1</f>
        <v>7</v>
      </c>
      <c r="B18" s="438" t="n">
        <v>6923.57</v>
      </c>
      <c r="C18" s="94" t="n">
        <v>379246</v>
      </c>
      <c r="D18" s="99" t="n">
        <f aca="false">C18-C17</f>
        <v>401</v>
      </c>
      <c r="E18" s="94" t="n">
        <f aca="false">C18-152000</f>
        <v>227246</v>
      </c>
      <c r="F18" s="443" t="n">
        <f aca="false">D18/$D$2</f>
        <v>202.167885051676</v>
      </c>
      <c r="G18" s="127" t="n">
        <v>1480</v>
      </c>
      <c r="H18" s="437" t="n">
        <v>4</v>
      </c>
      <c r="I18" s="127" t="n">
        <f aca="false">G18+H18</f>
        <v>1484</v>
      </c>
      <c r="J18" s="445" t="n">
        <f aca="false">IF(L18&gt;0,L18,0)</f>
        <v>63.1678850516763</v>
      </c>
      <c r="K18" s="127" t="n">
        <f aca="false">I18+J18</f>
        <v>1547.16788505168</v>
      </c>
      <c r="L18" s="127" t="n">
        <f aca="false">F18-(I18-AC18)</f>
        <v>63.1678850516763</v>
      </c>
      <c r="M18" s="128" t="n">
        <v>251</v>
      </c>
      <c r="N18" s="446" t="n">
        <f aca="false">2.1*1.03</f>
        <v>2.163</v>
      </c>
      <c r="O18" s="500" t="n">
        <f aca="false">(31+32)*1.05</f>
        <v>66.15</v>
      </c>
      <c r="P18" s="367" t="n">
        <f aca="false">2.58*1.02</f>
        <v>2.6316</v>
      </c>
      <c r="Q18" s="367" t="n">
        <v>4.2</v>
      </c>
      <c r="R18" s="368" t="n">
        <v>4.14</v>
      </c>
      <c r="S18" s="127" t="n">
        <v>304</v>
      </c>
      <c r="T18" s="127" t="n">
        <v>79</v>
      </c>
      <c r="U18" s="267" t="n">
        <f aca="false">M18-N18-O18-P18-Q18-R18+S18+T18-AN18</f>
        <v>554.7154</v>
      </c>
      <c r="V18" s="242" t="n">
        <v>0</v>
      </c>
      <c r="W18" s="242"/>
      <c r="X18" s="127" t="n">
        <v>147</v>
      </c>
      <c r="Y18" s="128" t="n">
        <v>1.7</v>
      </c>
      <c r="Z18" s="129" t="n">
        <v>1.3</v>
      </c>
      <c r="AA18" s="449" t="n">
        <v>564</v>
      </c>
      <c r="AB18" s="448" t="n">
        <f aca="false">AB17</f>
        <v>14600.433072851</v>
      </c>
      <c r="AC18" s="127" t="n">
        <f aca="false">N18+O18+P18+Q18+R18+U18+X18+AA18</f>
        <v>1345</v>
      </c>
      <c r="AD18" s="127" t="n">
        <f aca="false">IF(L18&lt;0,L18*-1,0)</f>
        <v>0</v>
      </c>
      <c r="AE18" s="127" t="n">
        <f aca="false">AC18+AD18</f>
        <v>1345</v>
      </c>
      <c r="AF18" s="98" t="n">
        <v>0</v>
      </c>
      <c r="AG18" s="99" t="n">
        <v>72</v>
      </c>
      <c r="AH18" s="100" t="n">
        <v>45</v>
      </c>
      <c r="AI18" s="101" t="n">
        <f aca="false">AI17</f>
        <v>16467.3080282</v>
      </c>
      <c r="AJ18" s="101"/>
      <c r="AK18" s="101" t="n">
        <v>0</v>
      </c>
      <c r="AL18" s="367" t="n">
        <f aca="false">64*(V15*1.9835+AK18*1.9835)/E18</f>
        <v>0</v>
      </c>
      <c r="AM18" s="101"/>
      <c r="AN18" s="9"/>
    </row>
    <row r="19" customFormat="false" ht="12.95" hidden="false" customHeight="true" outlineLevel="0" collapsed="false">
      <c r="A19" s="16" t="n">
        <f aca="false">A18+1</f>
        <v>8</v>
      </c>
      <c r="B19" s="438" t="n">
        <v>6923.7</v>
      </c>
      <c r="C19" s="94" t="n">
        <v>379824</v>
      </c>
      <c r="D19" s="99" t="n">
        <f aca="false">C19-C18</f>
        <v>578</v>
      </c>
      <c r="E19" s="94" t="n">
        <f aca="false">C19-152000</f>
        <v>227824</v>
      </c>
      <c r="F19" s="443" t="n">
        <f aca="false">D19/$D$2</f>
        <v>291.404083690446</v>
      </c>
      <c r="G19" s="127" t="n">
        <v>1510</v>
      </c>
      <c r="H19" s="437" t="n">
        <v>3.7</v>
      </c>
      <c r="I19" s="127" t="n">
        <f aca="false">G19+H19</f>
        <v>1513.7</v>
      </c>
      <c r="J19" s="445" t="n">
        <f aca="false">IF(L19&gt;0,L19,0)</f>
        <v>161.704083690446</v>
      </c>
      <c r="K19" s="127" t="n">
        <f aca="false">I19+J19</f>
        <v>1675.40408369045</v>
      </c>
      <c r="L19" s="127" t="n">
        <f aca="false">F19-(I19-AC19)</f>
        <v>161.704083690446</v>
      </c>
      <c r="M19" s="128" t="n">
        <v>288</v>
      </c>
      <c r="N19" s="446" t="n">
        <f aca="false">2.1*1.03</f>
        <v>2.163</v>
      </c>
      <c r="O19" s="500" t="n">
        <f aca="false">(44+47)*1.05</f>
        <v>95.55</v>
      </c>
      <c r="P19" s="367" t="n">
        <f aca="false">2.58*1.02</f>
        <v>2.6316</v>
      </c>
      <c r="Q19" s="367" t="n">
        <v>4.2</v>
      </c>
      <c r="R19" s="368" t="n">
        <v>4.67</v>
      </c>
      <c r="S19" s="127" t="n">
        <v>319</v>
      </c>
      <c r="T19" s="127" t="n">
        <v>79</v>
      </c>
      <c r="U19" s="267" t="n">
        <f aca="false">M19-N19-O19-P19-Q19-R19+S19+T19-AN19</f>
        <v>576.7854</v>
      </c>
      <c r="V19" s="242" t="n">
        <v>0</v>
      </c>
      <c r="W19" s="242"/>
      <c r="X19" s="127" t="n">
        <v>147</v>
      </c>
      <c r="Y19" s="128" t="n">
        <v>1.7</v>
      </c>
      <c r="Z19" s="129" t="n">
        <v>1.3</v>
      </c>
      <c r="AA19" s="449" t="n">
        <v>551</v>
      </c>
      <c r="AB19" s="448" t="n">
        <f aca="false">AB18</f>
        <v>14600.433072851</v>
      </c>
      <c r="AC19" s="127" t="n">
        <f aca="false">N19+O19+P19+Q19+R19+U19+X19+AA19</f>
        <v>1384</v>
      </c>
      <c r="AD19" s="127" t="n">
        <f aca="false">IF(L19&lt;0,L19*-1,0)</f>
        <v>0</v>
      </c>
      <c r="AE19" s="127" t="n">
        <f aca="false">AC19+AD19</f>
        <v>1384</v>
      </c>
      <c r="AF19" s="98" t="n">
        <v>0</v>
      </c>
      <c r="AG19" s="99" t="n">
        <v>74</v>
      </c>
      <c r="AH19" s="100" t="n">
        <v>39</v>
      </c>
      <c r="AI19" s="101" t="n">
        <f aca="false">AI18</f>
        <v>16467.3080282</v>
      </c>
      <c r="AJ19" s="101"/>
      <c r="AK19" s="101" t="n">
        <v>0</v>
      </c>
      <c r="AL19" s="367" t="n">
        <f aca="false">64*(V16*1.9835+AK19*1.9835)/E19</f>
        <v>0</v>
      </c>
      <c r="AM19" s="101"/>
      <c r="AN19" s="9"/>
    </row>
    <row r="20" customFormat="false" ht="12.95" hidden="false" customHeight="true" outlineLevel="0" collapsed="false">
      <c r="A20" s="16" t="n">
        <f aca="false">A19+1</f>
        <v>9</v>
      </c>
      <c r="B20" s="438" t="n">
        <v>6923.86</v>
      </c>
      <c r="C20" s="94" t="n">
        <v>380537</v>
      </c>
      <c r="D20" s="99" t="n">
        <f aca="false">C20-C19</f>
        <v>713</v>
      </c>
      <c r="E20" s="94" t="n">
        <f aca="false">C20-152000</f>
        <v>228537</v>
      </c>
      <c r="F20" s="443" t="n">
        <f aca="false">D20/$D$2</f>
        <v>359.465591126796</v>
      </c>
      <c r="G20" s="127" t="n">
        <v>1500</v>
      </c>
      <c r="H20" s="437" t="n">
        <v>3.4</v>
      </c>
      <c r="I20" s="127" t="n">
        <f aca="false">G20+H20</f>
        <v>1503.4</v>
      </c>
      <c r="J20" s="445" t="n">
        <f aca="false">IF(L20&gt;0,L20,0)</f>
        <v>84.065591126796</v>
      </c>
      <c r="K20" s="127" t="n">
        <f aca="false">I20+J20</f>
        <v>1587.4655911268</v>
      </c>
      <c r="L20" s="127" t="n">
        <f aca="false">F20-(I20-AC20)</f>
        <v>84.065591126796</v>
      </c>
      <c r="M20" s="128" t="n">
        <v>291</v>
      </c>
      <c r="N20" s="446" t="n">
        <f aca="false">2.1*1.03</f>
        <v>2.163</v>
      </c>
      <c r="O20" s="500" t="n">
        <f aca="false">(49+50)*1.05</f>
        <v>103.95</v>
      </c>
      <c r="P20" s="367" t="n">
        <f aca="false">2.58*1.02</f>
        <v>2.6316</v>
      </c>
      <c r="Q20" s="367" t="n">
        <v>4.2</v>
      </c>
      <c r="R20" s="368" t="n">
        <v>3.89</v>
      </c>
      <c r="S20" s="127" t="n">
        <v>382</v>
      </c>
      <c r="T20" s="127" t="n">
        <v>78</v>
      </c>
      <c r="U20" s="267" t="n">
        <f aca="false">M20-N20-O20-P20-Q20-R20+S20+T20-AN20</f>
        <v>634.1654</v>
      </c>
      <c r="V20" s="242" t="n">
        <v>0</v>
      </c>
      <c r="W20" s="242"/>
      <c r="X20" s="127" t="n">
        <v>123</v>
      </c>
      <c r="Y20" s="128" t="n">
        <v>1.7</v>
      </c>
      <c r="Z20" s="129" t="n">
        <v>1.3</v>
      </c>
      <c r="AA20" s="449" t="n">
        <v>354</v>
      </c>
      <c r="AB20" s="448" t="n">
        <f aca="false">AB19</f>
        <v>14600.433072851</v>
      </c>
      <c r="AC20" s="127" t="n">
        <f aca="false">N20+O20+P20+Q20+R20+U20+X20+AA20</f>
        <v>1228</v>
      </c>
      <c r="AD20" s="127" t="n">
        <f aca="false">IF(L20&lt;0,L20*-1,0)</f>
        <v>0</v>
      </c>
      <c r="AE20" s="127" t="n">
        <f aca="false">AC20+AD20</f>
        <v>1228</v>
      </c>
      <c r="AF20" s="98" t="n">
        <v>0</v>
      </c>
      <c r="AG20" s="99" t="n">
        <v>68</v>
      </c>
      <c r="AH20" s="100" t="n">
        <v>42</v>
      </c>
      <c r="AI20" s="101" t="n">
        <f aca="false">AI19</f>
        <v>16467.3080282</v>
      </c>
      <c r="AJ20" s="101"/>
      <c r="AK20" s="101" t="n">
        <v>0</v>
      </c>
      <c r="AL20" s="367" t="n">
        <f aca="false">64*(V17*1.9835+AK20*1.9835)/E20</f>
        <v>0</v>
      </c>
      <c r="AM20" s="101"/>
      <c r="AN20" s="9"/>
    </row>
    <row r="21" customFormat="false" ht="12.95" hidden="false" customHeight="true" outlineLevel="0" collapsed="false">
      <c r="A21" s="16" t="n">
        <f aca="false">A20+1</f>
        <v>10</v>
      </c>
      <c r="B21" s="438" t="n">
        <v>6923.94</v>
      </c>
      <c r="C21" s="94" t="n">
        <v>380893</v>
      </c>
      <c r="D21" s="99" t="n">
        <f aca="false">C21-C20</f>
        <v>356</v>
      </c>
      <c r="E21" s="94" t="n">
        <f aca="false">C21-152000</f>
        <v>228893</v>
      </c>
      <c r="F21" s="443" t="n">
        <f aca="false">D21/$D$2</f>
        <v>179.480715906226</v>
      </c>
      <c r="G21" s="127" t="n">
        <v>1300</v>
      </c>
      <c r="H21" s="437" t="n">
        <v>3.4</v>
      </c>
      <c r="I21" s="127" t="n">
        <f aca="false">G21+H21</f>
        <v>1303.4</v>
      </c>
      <c r="J21" s="445" t="n">
        <f aca="false">IF(L21&gt;0,L21,0)</f>
        <v>91.0807159062263</v>
      </c>
      <c r="K21" s="127" t="n">
        <f aca="false">I21+J21</f>
        <v>1394.48071590623</v>
      </c>
      <c r="L21" s="127" t="n">
        <f aca="false">F21-(I21-AC21)</f>
        <v>91.0807159062263</v>
      </c>
      <c r="M21" s="128" t="n">
        <v>291</v>
      </c>
      <c r="N21" s="446" t="n">
        <f aca="false">2.1*1.03</f>
        <v>2.163</v>
      </c>
      <c r="O21" s="500" t="n">
        <f aca="false">(44+47)*1.05</f>
        <v>95.55</v>
      </c>
      <c r="P21" s="367" t="n">
        <f aca="false">2.58*1.02</f>
        <v>2.6316</v>
      </c>
      <c r="Q21" s="367" t="n">
        <v>4.2</v>
      </c>
      <c r="R21" s="368" t="n">
        <v>3.49</v>
      </c>
      <c r="S21" s="127" t="n">
        <v>392</v>
      </c>
      <c r="T21" s="127" t="n">
        <v>78</v>
      </c>
      <c r="U21" s="267" t="n">
        <f aca="false">M21-N21-O21-P21-Q21-R21+S21+T21-AN21</f>
        <v>652.9654</v>
      </c>
      <c r="V21" s="242" t="n">
        <v>0</v>
      </c>
      <c r="W21" s="242"/>
      <c r="X21" s="127" t="n">
        <v>132</v>
      </c>
      <c r="Y21" s="128" t="n">
        <v>1.7</v>
      </c>
      <c r="Z21" s="129" t="n">
        <v>1.3</v>
      </c>
      <c r="AA21" s="449" t="n">
        <v>322</v>
      </c>
      <c r="AB21" s="448" t="n">
        <f aca="false">AB20</f>
        <v>14600.433072851</v>
      </c>
      <c r="AC21" s="127" t="n">
        <f aca="false">N21+O21+P21+Q21+R21+U21+X21+AA21</f>
        <v>1215</v>
      </c>
      <c r="AD21" s="127" t="n">
        <f aca="false">IF(L21&lt;0,L21*-1,0)</f>
        <v>0</v>
      </c>
      <c r="AE21" s="127" t="n">
        <f aca="false">AC21+AD21</f>
        <v>1215</v>
      </c>
      <c r="AF21" s="98" t="n">
        <v>0.04</v>
      </c>
      <c r="AG21" s="99" t="n">
        <v>66</v>
      </c>
      <c r="AH21" s="100" t="n">
        <v>45</v>
      </c>
      <c r="AI21" s="101" t="n">
        <f aca="false">AI20</f>
        <v>16467.3080282</v>
      </c>
      <c r="AJ21" s="101"/>
      <c r="AK21" s="101" t="n">
        <v>0</v>
      </c>
      <c r="AL21" s="367" t="n">
        <f aca="false">64*(V18*1.9835+AK21*1.9835)/E21</f>
        <v>0</v>
      </c>
      <c r="AM21" s="101"/>
      <c r="AN21" s="9"/>
    </row>
    <row r="22" customFormat="false" ht="12.95" hidden="false" customHeight="true" outlineLevel="0" collapsed="false">
      <c r="A22" s="16" t="n">
        <f aca="false">A21+1</f>
        <v>11</v>
      </c>
      <c r="B22" s="438" t="n">
        <v>6924.01</v>
      </c>
      <c r="C22" s="94" t="n">
        <v>381205</v>
      </c>
      <c r="D22" s="99" t="n">
        <f aca="false">C22-C21</f>
        <v>312</v>
      </c>
      <c r="E22" s="94" t="n">
        <f aca="false">C22-152000</f>
        <v>229205</v>
      </c>
      <c r="F22" s="443" t="n">
        <f aca="false">D22/$D$2</f>
        <v>157.29770607512</v>
      </c>
      <c r="G22" s="127" t="n">
        <v>1170</v>
      </c>
      <c r="H22" s="437" t="n">
        <v>3.3</v>
      </c>
      <c r="I22" s="127" t="n">
        <f aca="false">G22+H22</f>
        <v>1173.3</v>
      </c>
      <c r="J22" s="445" t="n">
        <f aca="false">IF(L22&gt;0,L22,0)</f>
        <v>94.9977060751198</v>
      </c>
      <c r="K22" s="127" t="n">
        <f aca="false">I22+J22</f>
        <v>1268.29770607512</v>
      </c>
      <c r="L22" s="127" t="n">
        <f aca="false">F22-(I22-AC22)</f>
        <v>94.9977060751198</v>
      </c>
      <c r="M22" s="128" t="n">
        <v>304</v>
      </c>
      <c r="N22" s="446" t="n">
        <f aca="false">2.1*1.03</f>
        <v>2.163</v>
      </c>
      <c r="O22" s="500" t="n">
        <f aca="false">(46+49)*1.05</f>
        <v>99.75</v>
      </c>
      <c r="P22" s="367" t="n">
        <f aca="false">2.58*1.02</f>
        <v>2.6316</v>
      </c>
      <c r="Q22" s="367" t="n">
        <v>4.2</v>
      </c>
      <c r="R22" s="368" t="n">
        <v>1.47</v>
      </c>
      <c r="S22" s="127" t="n">
        <v>181</v>
      </c>
      <c r="T22" s="127" t="n">
        <v>78</v>
      </c>
      <c r="U22" s="267" t="n">
        <f aca="false">M22-N22-O22-P22-Q22-R22+S22+T22-AN22</f>
        <v>452.7854</v>
      </c>
      <c r="V22" s="242" t="n">
        <v>0</v>
      </c>
      <c r="W22" s="242"/>
      <c r="X22" s="127" t="n">
        <v>95</v>
      </c>
      <c r="Y22" s="128" t="n">
        <v>1.7</v>
      </c>
      <c r="Z22" s="129" t="n">
        <v>1.3</v>
      </c>
      <c r="AA22" s="449" t="n">
        <v>453</v>
      </c>
      <c r="AB22" s="448" t="n">
        <f aca="false">AB21</f>
        <v>14600.433072851</v>
      </c>
      <c r="AC22" s="127" t="n">
        <f aca="false">N22+O22+P22+Q22+R22+U22+X22+AA22</f>
        <v>1111</v>
      </c>
      <c r="AD22" s="127" t="n">
        <f aca="false">IF(L22&lt;0,L22*-1,0)</f>
        <v>0</v>
      </c>
      <c r="AE22" s="127" t="n">
        <f aca="false">AC22+AD22</f>
        <v>1111</v>
      </c>
      <c r="AF22" s="98" t="n">
        <v>0.04</v>
      </c>
      <c r="AG22" s="99" t="n">
        <v>69</v>
      </c>
      <c r="AH22" s="100" t="n">
        <v>40</v>
      </c>
      <c r="AI22" s="101" t="n">
        <f aca="false">AI21</f>
        <v>16467.3080282</v>
      </c>
      <c r="AJ22" s="101"/>
      <c r="AK22" s="101" t="n">
        <v>0</v>
      </c>
      <c r="AL22" s="367" t="n">
        <f aca="false">64*(V19*1.9835+AK22*1.9835)/E22</f>
        <v>0</v>
      </c>
      <c r="AM22" s="101"/>
      <c r="AN22" s="9"/>
    </row>
    <row r="23" customFormat="false" ht="12.95" hidden="false" customHeight="true" outlineLevel="0" collapsed="false">
      <c r="A23" s="16" t="n">
        <f aca="false">A22+1</f>
        <v>12</v>
      </c>
      <c r="B23" s="438" t="n">
        <v>6924.03</v>
      </c>
      <c r="C23" s="94" t="n">
        <v>381294</v>
      </c>
      <c r="D23" s="99" t="n">
        <f aca="false">C23-C22</f>
        <v>89</v>
      </c>
      <c r="E23" s="94" t="n">
        <f aca="false">C23-152000</f>
        <v>229294</v>
      </c>
      <c r="F23" s="443" t="n">
        <f aca="false">D23/$D$2</f>
        <v>44.8701789765566</v>
      </c>
      <c r="G23" s="127" t="n">
        <v>1170</v>
      </c>
      <c r="H23" s="437" t="n">
        <v>3.5</v>
      </c>
      <c r="I23" s="127" t="n">
        <f aca="false">G23+H23</f>
        <v>1173.5</v>
      </c>
      <c r="J23" s="445" t="n">
        <f aca="false">IF(L23&gt;0,L23,0)</f>
        <v>63.3701789765566</v>
      </c>
      <c r="K23" s="127" t="n">
        <f aca="false">I23+J23</f>
        <v>1236.87017897656</v>
      </c>
      <c r="L23" s="127" t="n">
        <f aca="false">F23-(I23-AC23)</f>
        <v>63.3701789765566</v>
      </c>
      <c r="M23" s="128" t="n">
        <v>274</v>
      </c>
      <c r="N23" s="446" t="n">
        <f aca="false">2.1*1.03</f>
        <v>2.163</v>
      </c>
      <c r="O23" s="500" t="n">
        <f aca="false">(49+42)*1.05</f>
        <v>95.55</v>
      </c>
      <c r="P23" s="367" t="n">
        <f aca="false">2.58*1.02</f>
        <v>2.6316</v>
      </c>
      <c r="Q23" s="367" t="n">
        <v>4.2</v>
      </c>
      <c r="R23" s="368" t="n">
        <v>0.34</v>
      </c>
      <c r="S23" s="127" t="n">
        <v>164</v>
      </c>
      <c r="T23" s="127" t="n">
        <v>78</v>
      </c>
      <c r="U23" s="267" t="n">
        <f aca="false">M23-N23-O23-P23-Q23-R23+S23+T23-AN23</f>
        <v>411.1154</v>
      </c>
      <c r="V23" s="242" t="n">
        <v>0</v>
      </c>
      <c r="W23" s="242"/>
      <c r="X23" s="127" t="n">
        <v>38</v>
      </c>
      <c r="Y23" s="128" t="n">
        <v>1.7</v>
      </c>
      <c r="Z23" s="129" t="n">
        <v>1.3</v>
      </c>
      <c r="AA23" s="449" t="n">
        <v>638</v>
      </c>
      <c r="AB23" s="448" t="n">
        <f aca="false">AB22</f>
        <v>14600.433072851</v>
      </c>
      <c r="AC23" s="127" t="n">
        <f aca="false">N23+O23+P23+Q23+R23+U23+X23+AA23</f>
        <v>1192</v>
      </c>
      <c r="AD23" s="127" t="n">
        <f aca="false">IF(L23&lt;0,L23*-1,0)</f>
        <v>0</v>
      </c>
      <c r="AE23" s="127" t="n">
        <f aca="false">AC23+AD23</f>
        <v>1192</v>
      </c>
      <c r="AF23" s="98" t="n">
        <v>0</v>
      </c>
      <c r="AG23" s="99" t="n">
        <v>66</v>
      </c>
      <c r="AH23" s="100" t="n">
        <v>43</v>
      </c>
      <c r="AI23" s="101" t="n">
        <f aca="false">AI22</f>
        <v>16467.3080282</v>
      </c>
      <c r="AJ23" s="101"/>
      <c r="AK23" s="101" t="n">
        <v>0</v>
      </c>
      <c r="AL23" s="367" t="n">
        <f aca="false">64*(V20*1.9835+AK23*1.9835)/E23</f>
        <v>0</v>
      </c>
      <c r="AM23" s="101"/>
      <c r="AN23" s="9"/>
    </row>
    <row r="24" customFormat="false" ht="12.95" hidden="false" customHeight="true" outlineLevel="0" collapsed="false">
      <c r="A24" s="16" t="n">
        <f aca="false">A23+1</f>
        <v>13</v>
      </c>
      <c r="B24" s="438" t="n">
        <v>6923.93</v>
      </c>
      <c r="C24" s="94" t="n">
        <v>380848</v>
      </c>
      <c r="D24" s="99" t="n">
        <f aca="false">C24-C23</f>
        <v>-446</v>
      </c>
      <c r="E24" s="94" t="n">
        <f aca="false">C24-152000</f>
        <v>228848</v>
      </c>
      <c r="F24" s="443" t="n">
        <f aca="false">D24/$D$2</f>
        <v>-224.855054197126</v>
      </c>
      <c r="G24" s="127" t="n">
        <v>1030</v>
      </c>
      <c r="H24" s="437" t="n">
        <v>3.2</v>
      </c>
      <c r="I24" s="127" t="n">
        <f aca="false">G24+H24</f>
        <v>1033.2</v>
      </c>
      <c r="J24" s="445" t="n">
        <f aca="false">IF(L24&gt;0,L24,0)</f>
        <v>0</v>
      </c>
      <c r="K24" s="127" t="n">
        <f aca="false">I24+J24</f>
        <v>1033.2</v>
      </c>
      <c r="L24" s="127" t="n">
        <f aca="false">F24-(I24-AC24)</f>
        <v>-30.0550541971263</v>
      </c>
      <c r="M24" s="128" t="n">
        <v>269</v>
      </c>
      <c r="N24" s="446" t="n">
        <f aca="false">2.1*1.03</f>
        <v>2.163</v>
      </c>
      <c r="O24" s="500" t="n">
        <f aca="false">(45+41)*1.05</f>
        <v>90.3</v>
      </c>
      <c r="P24" s="367" t="n">
        <f aca="false">2.58*1.02</f>
        <v>2.6316</v>
      </c>
      <c r="Q24" s="367" t="n">
        <v>4.2</v>
      </c>
      <c r="R24" s="368" t="n">
        <v>5.53</v>
      </c>
      <c r="S24" s="127" t="n">
        <v>168</v>
      </c>
      <c r="T24" s="127" t="n">
        <v>78</v>
      </c>
      <c r="U24" s="267" t="n">
        <f aca="false">M24-N24-O24-P24-Q24-R24+S24+T24-AN24</f>
        <v>410.1754</v>
      </c>
      <c r="V24" s="242" t="n">
        <v>0</v>
      </c>
      <c r="W24" s="242"/>
      <c r="X24" s="127" t="n">
        <v>71</v>
      </c>
      <c r="Y24" s="128" t="n">
        <v>1.7</v>
      </c>
      <c r="Z24" s="129" t="n">
        <v>1.3</v>
      </c>
      <c r="AA24" s="449" t="n">
        <v>642</v>
      </c>
      <c r="AB24" s="448" t="n">
        <f aca="false">AB23</f>
        <v>14600.433072851</v>
      </c>
      <c r="AC24" s="127" t="n">
        <f aca="false">N24+O24+P24+Q24+R24+U24+X24+AA24</f>
        <v>1228</v>
      </c>
      <c r="AD24" s="127" t="n">
        <f aca="false">IF(L24&lt;0,L24*-1,0)</f>
        <v>30.0550541971263</v>
      </c>
      <c r="AE24" s="127" t="n">
        <f aca="false">AC24+AD24</f>
        <v>1258.05505419713</v>
      </c>
      <c r="AF24" s="98" t="n">
        <v>0</v>
      </c>
      <c r="AG24" s="99" t="n">
        <v>73</v>
      </c>
      <c r="AH24" s="100" t="n">
        <v>42</v>
      </c>
      <c r="AI24" s="101" t="n">
        <f aca="false">AI23</f>
        <v>16467.3080282</v>
      </c>
      <c r="AJ24" s="101"/>
      <c r="AK24" s="101" t="n">
        <v>0</v>
      </c>
      <c r="AL24" s="367" t="n">
        <f aca="false">64*(V21*1.9835+AK24*1.9835)/E24</f>
        <v>0</v>
      </c>
      <c r="AM24" s="101"/>
      <c r="AN24" s="9"/>
    </row>
    <row r="25" customFormat="false" ht="12.95" hidden="false" customHeight="true" outlineLevel="0" collapsed="false">
      <c r="A25" s="16" t="n">
        <f aca="false">A24+1</f>
        <v>14</v>
      </c>
      <c r="B25" s="438" t="n">
        <v>6923.9</v>
      </c>
      <c r="C25" s="94" t="n">
        <v>380715</v>
      </c>
      <c r="D25" s="99" t="n">
        <f aca="false">C25-C24</f>
        <v>-133</v>
      </c>
      <c r="E25" s="94" t="n">
        <f aca="false">C25-152000</f>
        <v>228715</v>
      </c>
      <c r="F25" s="443" t="n">
        <f aca="false">D25/$D$2</f>
        <v>-67.0531888076632</v>
      </c>
      <c r="G25" s="127" t="n">
        <v>1000</v>
      </c>
      <c r="H25" s="437" t="n">
        <v>3</v>
      </c>
      <c r="I25" s="127" t="n">
        <f aca="false">G25+H25</f>
        <v>1003</v>
      </c>
      <c r="J25" s="445" t="n">
        <f aca="false">IF(L25&gt;0,L25,0)</f>
        <v>55.9468111923368</v>
      </c>
      <c r="K25" s="127" t="n">
        <f aca="false">I25+J25</f>
        <v>1058.94681119234</v>
      </c>
      <c r="L25" s="127" t="n">
        <f aca="false">F25-(I25-AC25)</f>
        <v>55.9468111923368</v>
      </c>
      <c r="M25" s="128" t="n">
        <v>269</v>
      </c>
      <c r="N25" s="446" t="n">
        <f aca="false">2.1*1.03</f>
        <v>2.163</v>
      </c>
      <c r="O25" s="500" t="n">
        <f aca="false">(36+37)*1.05</f>
        <v>76.65</v>
      </c>
      <c r="P25" s="367" t="n">
        <f aca="false">2.58*1.02</f>
        <v>2.6316</v>
      </c>
      <c r="Q25" s="367" t="n">
        <v>4.2</v>
      </c>
      <c r="R25" s="368" t="n">
        <v>4.66</v>
      </c>
      <c r="S25" s="127" t="n">
        <v>148</v>
      </c>
      <c r="T25" s="127" t="n">
        <v>78</v>
      </c>
      <c r="U25" s="267" t="n">
        <f aca="false">M25-N25-O25-P25-Q25-R25+S25+T25-AN25</f>
        <v>404.6954</v>
      </c>
      <c r="V25" s="242" t="n">
        <v>0</v>
      </c>
      <c r="W25" s="242"/>
      <c r="X25" s="127" t="n">
        <v>62</v>
      </c>
      <c r="Y25" s="128" t="n">
        <v>1.7</v>
      </c>
      <c r="Z25" s="129" t="n">
        <v>1.3</v>
      </c>
      <c r="AA25" s="449" t="n">
        <v>569</v>
      </c>
      <c r="AB25" s="448" t="n">
        <f aca="false">AB24</f>
        <v>14600.433072851</v>
      </c>
      <c r="AC25" s="127" t="n">
        <f aca="false">N25+O25+P25+Q25+R25+U25+X25+AA25</f>
        <v>1126</v>
      </c>
      <c r="AD25" s="127" t="n">
        <f aca="false">IF(L25&lt;0,L25*-1,0)</f>
        <v>0</v>
      </c>
      <c r="AE25" s="127" t="n">
        <f aca="false">AC25+AD25</f>
        <v>1126</v>
      </c>
      <c r="AF25" s="98" t="n">
        <v>0</v>
      </c>
      <c r="AG25" s="99" t="n">
        <v>80</v>
      </c>
      <c r="AH25" s="100" t="n">
        <v>40</v>
      </c>
      <c r="AI25" s="101" t="n">
        <f aca="false">AI24</f>
        <v>16467.3080282</v>
      </c>
      <c r="AJ25" s="101"/>
      <c r="AK25" s="101" t="n">
        <v>0</v>
      </c>
      <c r="AL25" s="367" t="n">
        <f aca="false">64*(V22*1.9835+AK25*1.9835)/E25</f>
        <v>0</v>
      </c>
      <c r="AM25" s="101"/>
      <c r="AN25" s="9"/>
    </row>
    <row r="26" customFormat="false" ht="12.95" hidden="false" customHeight="true" outlineLevel="0" collapsed="false">
      <c r="A26" s="16" t="n">
        <f aca="false">A25+1</f>
        <v>15</v>
      </c>
      <c r="B26" s="438" t="n">
        <v>6924.03</v>
      </c>
      <c r="C26" s="94" t="n">
        <v>381294</v>
      </c>
      <c r="D26" s="99" t="n">
        <f aca="false">C26-C25</f>
        <v>579</v>
      </c>
      <c r="E26" s="94" t="n">
        <f aca="false">C26-152000</f>
        <v>229294</v>
      </c>
      <c r="F26" s="443" t="n">
        <f aca="false">D26/$D$2</f>
        <v>291.908243004789</v>
      </c>
      <c r="G26" s="127" t="n">
        <v>1160</v>
      </c>
      <c r="H26" s="437" t="n">
        <v>2.9</v>
      </c>
      <c r="I26" s="127" t="n">
        <f aca="false">G26+H26</f>
        <v>1162.9</v>
      </c>
      <c r="J26" s="445" t="n">
        <f aca="false">IF(L26&gt;0,L26,0)</f>
        <v>95.0082430047894</v>
      </c>
      <c r="K26" s="127" t="n">
        <f aca="false">I26+J26</f>
        <v>1257.90824300479</v>
      </c>
      <c r="L26" s="127" t="n">
        <f aca="false">F26-(I26-AC26)</f>
        <v>95.0082430047894</v>
      </c>
      <c r="M26" s="128" t="n">
        <v>250</v>
      </c>
      <c r="N26" s="446" t="n">
        <f aca="false">2.1*1.03</f>
        <v>2.163</v>
      </c>
      <c r="O26" s="500" t="n">
        <f aca="false">(31+29)*1.05</f>
        <v>63</v>
      </c>
      <c r="P26" s="367" t="n">
        <f aca="false">2.58*1.02</f>
        <v>2.6316</v>
      </c>
      <c r="Q26" s="367" t="n">
        <v>4.2</v>
      </c>
      <c r="R26" s="368" t="n">
        <v>4.9</v>
      </c>
      <c r="S26" s="127" t="n">
        <v>141</v>
      </c>
      <c r="T26" s="127" t="n">
        <v>77</v>
      </c>
      <c r="U26" s="267" t="n">
        <f aca="false">M26-N26-O26-P26-Q26-R26+S26+T26-AN26</f>
        <v>391.1054</v>
      </c>
      <c r="V26" s="242" t="n">
        <v>0</v>
      </c>
      <c r="W26" s="242"/>
      <c r="X26" s="127" t="n">
        <v>61</v>
      </c>
      <c r="Y26" s="128" t="n">
        <v>1.7</v>
      </c>
      <c r="Z26" s="129" t="n">
        <v>1.3</v>
      </c>
      <c r="AA26" s="449" t="n">
        <v>437</v>
      </c>
      <c r="AB26" s="448" t="n">
        <f aca="false">AB25</f>
        <v>14600.433072851</v>
      </c>
      <c r="AC26" s="127" t="n">
        <f aca="false">N26+O26+P26+Q26+R26+U26+X26+AA26</f>
        <v>966</v>
      </c>
      <c r="AD26" s="127" t="n">
        <f aca="false">IF(L26&lt;0,L26*-1,0)</f>
        <v>0</v>
      </c>
      <c r="AE26" s="127" t="n">
        <f aca="false">AC26+AD26</f>
        <v>966</v>
      </c>
      <c r="AF26" s="98" t="n">
        <v>0</v>
      </c>
      <c r="AG26" s="99" t="n">
        <v>83</v>
      </c>
      <c r="AH26" s="100" t="n">
        <v>53</v>
      </c>
      <c r="AI26" s="101" t="n">
        <f aca="false">AI25</f>
        <v>16467.3080282</v>
      </c>
      <c r="AJ26" s="101"/>
      <c r="AK26" s="101" t="n">
        <v>0</v>
      </c>
      <c r="AL26" s="367" t="n">
        <f aca="false">64*(V23*1.9835+AK26*1.9835)/E26</f>
        <v>0</v>
      </c>
      <c r="AM26" s="101"/>
      <c r="AN26" s="9"/>
    </row>
    <row r="27" customFormat="false" ht="12.95" hidden="false" customHeight="true" outlineLevel="0" collapsed="false">
      <c r="A27" s="16" t="n">
        <f aca="false">A26+1</f>
        <v>16</v>
      </c>
      <c r="B27" s="438" t="n">
        <v>6924.13</v>
      </c>
      <c r="C27" s="94" t="n">
        <v>381743</v>
      </c>
      <c r="D27" s="99" t="n">
        <f aca="false">C27-C26</f>
        <v>449</v>
      </c>
      <c r="E27" s="94" t="n">
        <f aca="false">C27-152000</f>
        <v>229743</v>
      </c>
      <c r="F27" s="443" t="n">
        <f aca="false">D27/$D$2</f>
        <v>226.367532140156</v>
      </c>
      <c r="G27" s="127" t="n">
        <v>1360</v>
      </c>
      <c r="H27" s="437" t="n">
        <v>2.8</v>
      </c>
      <c r="I27" s="127" t="n">
        <f aca="false">G27+H27</f>
        <v>1362.8</v>
      </c>
      <c r="J27" s="445" t="n">
        <f aca="false">IF(L27&gt;0,L27,0)</f>
        <v>86.5675321401563</v>
      </c>
      <c r="K27" s="127" t="n">
        <f aca="false">I27+J27</f>
        <v>1449.36753214016</v>
      </c>
      <c r="L27" s="127" t="n">
        <f aca="false">F27-(I27-AC27)</f>
        <v>86.5675321401563</v>
      </c>
      <c r="M27" s="128" t="n">
        <v>288</v>
      </c>
      <c r="N27" s="446" t="n">
        <f aca="false">2.1*1.03</f>
        <v>2.163</v>
      </c>
      <c r="O27" s="500" t="n">
        <f aca="false">(35+36)*1.05</f>
        <v>74.55</v>
      </c>
      <c r="P27" s="367" t="n">
        <f aca="false">2.58*1.02</f>
        <v>2.6316</v>
      </c>
      <c r="Q27" s="367" t="n">
        <v>4.2</v>
      </c>
      <c r="R27" s="368" t="n">
        <v>3.21</v>
      </c>
      <c r="S27" s="127" t="n">
        <v>148</v>
      </c>
      <c r="T27" s="127" t="n">
        <v>77</v>
      </c>
      <c r="U27" s="267" t="n">
        <f aca="false">M27-N27-O27-P27-Q27-R27+S27+T27-AN27</f>
        <v>426.2454</v>
      </c>
      <c r="V27" s="242" t="n">
        <v>0</v>
      </c>
      <c r="W27" s="242"/>
      <c r="X27" s="127" t="n">
        <v>68</v>
      </c>
      <c r="Y27" s="128" t="n">
        <v>1.7</v>
      </c>
      <c r="Z27" s="129" t="n">
        <v>1.3</v>
      </c>
      <c r="AA27" s="449" t="n">
        <v>642</v>
      </c>
      <c r="AB27" s="448" t="n">
        <f aca="false">AB26</f>
        <v>14600.433072851</v>
      </c>
      <c r="AC27" s="127" t="n">
        <f aca="false">N27+O27+P27+Q27+R27+U27+X27+AA27</f>
        <v>1223</v>
      </c>
      <c r="AD27" s="127" t="n">
        <f aca="false">IF(L27&lt;0,L27*-1,0)</f>
        <v>0</v>
      </c>
      <c r="AE27" s="127" t="n">
        <f aca="false">AC27+AD27</f>
        <v>1223</v>
      </c>
      <c r="AF27" s="98" t="n">
        <v>0</v>
      </c>
      <c r="AG27" s="99" t="n">
        <v>82</v>
      </c>
      <c r="AH27" s="100" t="n">
        <v>49</v>
      </c>
      <c r="AI27" s="101" t="n">
        <f aca="false">AI26</f>
        <v>16467.3080282</v>
      </c>
      <c r="AJ27" s="101"/>
      <c r="AK27" s="101" t="n">
        <v>0</v>
      </c>
      <c r="AL27" s="367" t="n">
        <f aca="false">64*(V24*1.9835+AK27*1.9835)/E27</f>
        <v>0</v>
      </c>
      <c r="AM27" s="101"/>
      <c r="AN27" s="9"/>
    </row>
    <row r="28" customFormat="false" ht="12.95" hidden="false" customHeight="true" outlineLevel="0" collapsed="false">
      <c r="A28" s="16" t="n">
        <f aca="false">A27+1</f>
        <v>17</v>
      </c>
      <c r="B28" s="438" t="n">
        <v>6924.03</v>
      </c>
      <c r="C28" s="94" t="n">
        <v>381294</v>
      </c>
      <c r="D28" s="99" t="n">
        <f aca="false">C28-C27</f>
        <v>-449</v>
      </c>
      <c r="E28" s="94" t="n">
        <f aca="false">C28-152000</f>
        <v>229294</v>
      </c>
      <c r="F28" s="443" t="n">
        <f aca="false">D28/$D$2</f>
        <v>-226.367532140156</v>
      </c>
      <c r="G28" s="127" t="n">
        <v>1480</v>
      </c>
      <c r="H28" s="437" t="n">
        <v>2.8</v>
      </c>
      <c r="I28" s="127" t="n">
        <f aca="false">G28+H28</f>
        <v>1482.8</v>
      </c>
      <c r="J28" s="445" t="n">
        <f aca="false">IF(L28&gt;0,L28,0)</f>
        <v>16.8324678598438</v>
      </c>
      <c r="K28" s="127" t="n">
        <f aca="false">I28+J28</f>
        <v>1499.63246785984</v>
      </c>
      <c r="L28" s="127" t="n">
        <f aca="false">F28-(I28-AC28)</f>
        <v>16.8324678598438</v>
      </c>
      <c r="M28" s="128" t="n">
        <v>301</v>
      </c>
      <c r="N28" s="446" t="n">
        <f aca="false">2.1*1.03</f>
        <v>2.163</v>
      </c>
      <c r="O28" s="500" t="n">
        <f aca="false">(41+42)*1.05</f>
        <v>87.15</v>
      </c>
      <c r="P28" s="367" t="n">
        <f aca="false">2.58*1.02</f>
        <v>2.6316</v>
      </c>
      <c r="Q28" s="367" t="n">
        <v>4.2</v>
      </c>
      <c r="R28" s="368" t="n">
        <v>5.05</v>
      </c>
      <c r="S28" s="127" t="n">
        <v>149</v>
      </c>
      <c r="T28" s="127" t="n">
        <v>76</v>
      </c>
      <c r="U28" s="267" t="n">
        <f aca="false">M28-N28-O28-P28-Q28-R28+S28+T28-AN28</f>
        <v>424.8054</v>
      </c>
      <c r="V28" s="242" t="n">
        <v>0</v>
      </c>
      <c r="W28" s="242"/>
      <c r="X28" s="127" t="n">
        <v>60</v>
      </c>
      <c r="Y28" s="128" t="n">
        <v>1.7</v>
      </c>
      <c r="Z28" s="129" t="n">
        <v>1.3</v>
      </c>
      <c r="AA28" s="449" t="n">
        <v>1140</v>
      </c>
      <c r="AB28" s="448" t="n">
        <f aca="false">AB27</f>
        <v>14600.433072851</v>
      </c>
      <c r="AC28" s="127" t="n">
        <f aca="false">N28+O28+P28+Q28+R28+U28+X28+AA28</f>
        <v>1726</v>
      </c>
      <c r="AD28" s="127" t="n">
        <f aca="false">IF(L28&lt;0,L28*-1,0)</f>
        <v>0</v>
      </c>
      <c r="AE28" s="127" t="n">
        <f aca="false">AC28+AD28</f>
        <v>1726</v>
      </c>
      <c r="AF28" s="98" t="n">
        <v>0</v>
      </c>
      <c r="AG28" s="99" t="n">
        <v>82</v>
      </c>
      <c r="AH28" s="100" t="n">
        <v>50</v>
      </c>
      <c r="AI28" s="101" t="n">
        <f aca="false">AI27</f>
        <v>16467.3080282</v>
      </c>
      <c r="AJ28" s="101"/>
      <c r="AK28" s="101" t="n">
        <v>0</v>
      </c>
      <c r="AL28" s="367" t="n">
        <f aca="false">64*(V25*1.9835+AK28*1.9835)/E28</f>
        <v>0</v>
      </c>
      <c r="AM28" s="101"/>
      <c r="AN28" s="9"/>
    </row>
    <row r="29" customFormat="false" ht="12.95" hidden="false" customHeight="true" outlineLevel="0" collapsed="false">
      <c r="A29" s="16" t="n">
        <f aca="false">A28+1</f>
        <v>18</v>
      </c>
      <c r="B29" s="438" t="n">
        <v>6924.01</v>
      </c>
      <c r="C29" s="94" t="n">
        <v>381205</v>
      </c>
      <c r="D29" s="99" t="n">
        <f aca="false">C29-C28</f>
        <v>-89</v>
      </c>
      <c r="E29" s="94" t="n">
        <f aca="false">C29-152000</f>
        <v>229205</v>
      </c>
      <c r="F29" s="443" t="n">
        <f aca="false">D29/$D$2</f>
        <v>-44.8701789765566</v>
      </c>
      <c r="G29" s="127" t="n">
        <v>1460</v>
      </c>
      <c r="H29" s="437" t="n">
        <v>2.6</v>
      </c>
      <c r="I29" s="127" t="n">
        <f aca="false">G29+H29</f>
        <v>1462.6</v>
      </c>
      <c r="J29" s="445" t="n">
        <f aca="false">IF(L29&gt;0,L29,0)</f>
        <v>69.5298210234435</v>
      </c>
      <c r="K29" s="127" t="n">
        <f aca="false">I29+J29</f>
        <v>1532.12982102344</v>
      </c>
      <c r="L29" s="127" t="n">
        <f aca="false">F29-(I29-AC29)</f>
        <v>69.5298210234435</v>
      </c>
      <c r="M29" s="128" t="n">
        <v>279</v>
      </c>
      <c r="N29" s="446" t="n">
        <f aca="false">2.1*1.03</f>
        <v>2.163</v>
      </c>
      <c r="O29" s="500" t="n">
        <f aca="false">(33+31)*1.05</f>
        <v>67.2</v>
      </c>
      <c r="P29" s="367" t="n">
        <f aca="false">2.58*1.02</f>
        <v>2.6316</v>
      </c>
      <c r="Q29" s="367" t="n">
        <v>4.2</v>
      </c>
      <c r="R29" s="368" t="n">
        <v>5.42</v>
      </c>
      <c r="S29" s="127" t="n">
        <v>149</v>
      </c>
      <c r="T29" s="127" t="n">
        <v>76</v>
      </c>
      <c r="U29" s="267" t="n">
        <f aca="false">M29-N29-O29-P29-Q29-R29+S29+T29-AN29</f>
        <v>422.3854</v>
      </c>
      <c r="V29" s="242" t="n">
        <v>0</v>
      </c>
      <c r="W29" s="242"/>
      <c r="X29" s="127" t="n">
        <v>63</v>
      </c>
      <c r="Y29" s="128" t="n">
        <v>1.7</v>
      </c>
      <c r="Z29" s="129" t="n">
        <v>1.3</v>
      </c>
      <c r="AA29" s="449" t="n">
        <v>1010</v>
      </c>
      <c r="AB29" s="448" t="n">
        <f aca="false">AB28</f>
        <v>14600.433072851</v>
      </c>
      <c r="AC29" s="127" t="n">
        <f aca="false">N29+O29+P29+Q29+R29+U29+X29+AA29</f>
        <v>1577</v>
      </c>
      <c r="AD29" s="127" t="n">
        <f aca="false">IF(L29&lt;0,L29*-1,0)</f>
        <v>0</v>
      </c>
      <c r="AE29" s="127" t="n">
        <f aca="false">AC29+AD29</f>
        <v>1577</v>
      </c>
      <c r="AF29" s="98" t="n">
        <v>0</v>
      </c>
      <c r="AG29" s="99" t="n">
        <v>83</v>
      </c>
      <c r="AH29" s="100" t="n">
        <v>47</v>
      </c>
      <c r="AI29" s="101" t="n">
        <f aca="false">AI28</f>
        <v>16467.3080282</v>
      </c>
      <c r="AJ29" s="101"/>
      <c r="AK29" s="101" t="n">
        <v>0</v>
      </c>
      <c r="AL29" s="367" t="n">
        <f aca="false">64*(V26*1.9835+AK29*1.9835)/E29</f>
        <v>0</v>
      </c>
      <c r="AM29" s="101"/>
      <c r="AN29" s="9"/>
    </row>
    <row r="30" customFormat="false" ht="12.95" hidden="false" customHeight="true" outlineLevel="0" collapsed="false">
      <c r="A30" s="16" t="n">
        <f aca="false">A29+1</f>
        <v>19</v>
      </c>
      <c r="B30" s="438" t="n">
        <v>6924.09</v>
      </c>
      <c r="C30" s="94" t="n">
        <v>381519</v>
      </c>
      <c r="D30" s="99" t="n">
        <f aca="false">C30-C29</f>
        <v>314</v>
      </c>
      <c r="E30" s="94" t="n">
        <f aca="false">C30-152000</f>
        <v>229519</v>
      </c>
      <c r="F30" s="443" t="n">
        <f aca="false">D30/$D$2</f>
        <v>158.306024703806</v>
      </c>
      <c r="G30" s="127" t="n">
        <v>1510</v>
      </c>
      <c r="H30" s="437" t="n">
        <v>2.3</v>
      </c>
      <c r="I30" s="127" t="n">
        <f aca="false">G30+H30</f>
        <v>1512.3</v>
      </c>
      <c r="J30" s="445" t="n">
        <f aca="false">IF(L30&gt;0,L30,0)</f>
        <v>53.0060247038064</v>
      </c>
      <c r="K30" s="127" t="n">
        <f aca="false">I30+J30</f>
        <v>1565.30602470381</v>
      </c>
      <c r="L30" s="127" t="n">
        <f aca="false">F30-(I30-AC30)</f>
        <v>53.0060247038064</v>
      </c>
      <c r="M30" s="128" t="n">
        <v>285</v>
      </c>
      <c r="N30" s="446" t="n">
        <f aca="false">2.1*1.03</f>
        <v>2.163</v>
      </c>
      <c r="O30" s="500" t="n">
        <f aca="false">(28+29)*1.05</f>
        <v>59.85</v>
      </c>
      <c r="P30" s="367" t="n">
        <f aca="false">2.58*1.02</f>
        <v>2.6316</v>
      </c>
      <c r="Q30" s="367" t="n">
        <v>4.2</v>
      </c>
      <c r="R30" s="368" t="n">
        <v>5.64</v>
      </c>
      <c r="S30" s="127" t="n">
        <v>149</v>
      </c>
      <c r="T30" s="127" t="n">
        <v>76</v>
      </c>
      <c r="U30" s="267" t="n">
        <f aca="false">M30-N30-O30-P30-Q30-R30+S30+T30-AN30</f>
        <v>435.5154</v>
      </c>
      <c r="V30" s="242" t="n">
        <v>0</v>
      </c>
      <c r="W30" s="242"/>
      <c r="X30" s="127" t="n">
        <v>78</v>
      </c>
      <c r="Y30" s="128" t="n">
        <v>1.7</v>
      </c>
      <c r="Z30" s="129" t="n">
        <v>1.3</v>
      </c>
      <c r="AA30" s="449" t="n">
        <v>819</v>
      </c>
      <c r="AB30" s="448" t="n">
        <f aca="false">AB29</f>
        <v>14600.433072851</v>
      </c>
      <c r="AC30" s="127" t="n">
        <f aca="false">N30+O30+P30+Q30+R30+U30+X30+AA30</f>
        <v>1407</v>
      </c>
      <c r="AD30" s="127" t="n">
        <f aca="false">IF(L30&lt;0,L30*-1,0)</f>
        <v>0</v>
      </c>
      <c r="AE30" s="127" t="n">
        <f aca="false">AC30+AD30</f>
        <v>1407</v>
      </c>
      <c r="AF30" s="98" t="n">
        <v>0</v>
      </c>
      <c r="AG30" s="99" t="n">
        <v>84</v>
      </c>
      <c r="AH30" s="100" t="n">
        <v>47</v>
      </c>
      <c r="AI30" s="101" t="n">
        <f aca="false">AI29</f>
        <v>16467.3080282</v>
      </c>
      <c r="AJ30" s="101"/>
      <c r="AK30" s="101" t="n">
        <v>0</v>
      </c>
      <c r="AL30" s="367" t="n">
        <f aca="false">64*(V27*1.9835+AK30*1.9835)/E30</f>
        <v>0</v>
      </c>
      <c r="AM30" s="101"/>
      <c r="AN30" s="9"/>
    </row>
    <row r="31" customFormat="false" ht="12.95" hidden="false" customHeight="true" outlineLevel="0" collapsed="false">
      <c r="A31" s="16" t="n">
        <f aca="false">A30+1</f>
        <v>20</v>
      </c>
      <c r="B31" s="438" t="n">
        <v>6924.08</v>
      </c>
      <c r="C31" s="94" t="n">
        <v>381519</v>
      </c>
      <c r="D31" s="99" t="n">
        <f aca="false">C31-C30</f>
        <v>0</v>
      </c>
      <c r="E31" s="94" t="n">
        <f aca="false">C31-152000</f>
        <v>229519</v>
      </c>
      <c r="F31" s="443" t="n">
        <f aca="false">D31/$D$2</f>
        <v>0</v>
      </c>
      <c r="G31" s="127" t="n">
        <v>1420</v>
      </c>
      <c r="H31" s="437" t="n">
        <v>2.1</v>
      </c>
      <c r="I31" s="127" t="n">
        <f aca="false">G31+H31</f>
        <v>1422.1</v>
      </c>
      <c r="J31" s="445" t="n">
        <f aca="false">IF(L31&gt;0,L31,0)</f>
        <v>63.9000000000001</v>
      </c>
      <c r="K31" s="127" t="n">
        <f aca="false">I31+J31</f>
        <v>1486</v>
      </c>
      <c r="L31" s="127" t="n">
        <f aca="false">F31-(I31-AC31)</f>
        <v>63.9000000000001</v>
      </c>
      <c r="M31" s="128" t="n">
        <v>282</v>
      </c>
      <c r="N31" s="446" t="n">
        <f aca="false">2.1*1.03</f>
        <v>2.163</v>
      </c>
      <c r="O31" s="437" t="n">
        <f aca="false">(31+31)*1.05</f>
        <v>65.1</v>
      </c>
      <c r="P31" s="367" t="n">
        <f aca="false">2.58*1.02</f>
        <v>2.6316</v>
      </c>
      <c r="Q31" s="367" t="n">
        <v>4.2</v>
      </c>
      <c r="R31" s="368" t="n">
        <v>5.54</v>
      </c>
      <c r="S31" s="127" t="n">
        <v>149</v>
      </c>
      <c r="T31" s="127" t="n">
        <v>76</v>
      </c>
      <c r="U31" s="267" t="n">
        <f aca="false">M31-N31-O31-P31-Q31-R31+S31+T31-AN31</f>
        <v>427.3654</v>
      </c>
      <c r="V31" s="242" t="n">
        <v>0</v>
      </c>
      <c r="W31" s="242"/>
      <c r="X31" s="127" t="n">
        <v>129</v>
      </c>
      <c r="Y31" s="128" t="n">
        <v>1.7</v>
      </c>
      <c r="Z31" s="129" t="n">
        <v>1.3</v>
      </c>
      <c r="AA31" s="449" t="n">
        <v>850</v>
      </c>
      <c r="AB31" s="448" t="n">
        <f aca="false">AB30</f>
        <v>14600.433072851</v>
      </c>
      <c r="AC31" s="127" t="n">
        <f aca="false">N31+O31+P31+Q31+R31+U31+X31+AA31</f>
        <v>1486</v>
      </c>
      <c r="AD31" s="127" t="n">
        <f aca="false">IF(L31&lt;0,L31*-1,0)</f>
        <v>0</v>
      </c>
      <c r="AE31" s="127" t="n">
        <f aca="false">AC31+AD31</f>
        <v>1486</v>
      </c>
      <c r="AF31" s="98" t="n">
        <v>0</v>
      </c>
      <c r="AG31" s="99" t="n">
        <v>88</v>
      </c>
      <c r="AH31" s="100" t="n">
        <v>54</v>
      </c>
      <c r="AI31" s="101" t="n">
        <f aca="false">AI30</f>
        <v>16467.3080282</v>
      </c>
      <c r="AJ31" s="101"/>
      <c r="AK31" s="101" t="n">
        <v>0</v>
      </c>
      <c r="AL31" s="367" t="n">
        <f aca="false">64*(V28*1.9835+AK31*1.9835)/E31</f>
        <v>0</v>
      </c>
      <c r="AM31" s="101"/>
      <c r="AN31" s="9"/>
    </row>
    <row r="32" customFormat="false" ht="12.95" hidden="false" customHeight="true" outlineLevel="0" collapsed="false">
      <c r="A32" s="16" t="n">
        <f aca="false">A31+1</f>
        <v>21</v>
      </c>
      <c r="B32" s="438" t="n">
        <v>6924.04</v>
      </c>
      <c r="C32" s="94" t="n">
        <v>381339</v>
      </c>
      <c r="D32" s="99" t="n">
        <f aca="false">C32-C31</f>
        <v>-180</v>
      </c>
      <c r="E32" s="94" t="n">
        <f aca="false">C32-152000</f>
        <v>229339</v>
      </c>
      <c r="F32" s="443" t="n">
        <f aca="false">D32/$D$2</f>
        <v>-90.7486765817998</v>
      </c>
      <c r="G32" s="127" t="n">
        <v>1330</v>
      </c>
      <c r="H32" s="437" t="n">
        <v>1.9</v>
      </c>
      <c r="I32" s="127" t="n">
        <f aca="false">G32+H32</f>
        <v>1331.9</v>
      </c>
      <c r="J32" s="445" t="n">
        <f aca="false">IF(L32&gt;0,L32,0)</f>
        <v>59.3513234182001</v>
      </c>
      <c r="K32" s="127" t="n">
        <f aca="false">I32+J32</f>
        <v>1391.2513234182</v>
      </c>
      <c r="L32" s="127" t="n">
        <f aca="false">F32-(I32-AC32)</f>
        <v>59.3513234182001</v>
      </c>
      <c r="M32" s="128" t="n">
        <v>319</v>
      </c>
      <c r="N32" s="446" t="n">
        <f aca="false">2.1*1.03</f>
        <v>2.163</v>
      </c>
      <c r="O32" s="500" t="n">
        <f aca="false">(38+38)*1.05</f>
        <v>79.8</v>
      </c>
      <c r="P32" s="367" t="n">
        <f aca="false">2.58*1.02</f>
        <v>2.6316</v>
      </c>
      <c r="Q32" s="367" t="n">
        <v>4.2</v>
      </c>
      <c r="R32" s="368" t="n">
        <v>5.15</v>
      </c>
      <c r="S32" s="127" t="n">
        <v>154</v>
      </c>
      <c r="T32" s="127" t="n">
        <v>75</v>
      </c>
      <c r="U32" s="267" t="n">
        <f aca="false">M32-N32-O32-P32-Q32-R32+S32+T32-AN32</f>
        <v>454.0554</v>
      </c>
      <c r="V32" s="242" t="n">
        <v>0</v>
      </c>
      <c r="W32" s="242"/>
      <c r="X32" s="127" t="n">
        <v>125</v>
      </c>
      <c r="Y32" s="128" t="n">
        <v>1.7</v>
      </c>
      <c r="Z32" s="129" t="n">
        <v>1.3</v>
      </c>
      <c r="AA32" s="449" t="n">
        <v>809</v>
      </c>
      <c r="AB32" s="448" t="n">
        <f aca="false">AB31</f>
        <v>14600.433072851</v>
      </c>
      <c r="AC32" s="127" t="n">
        <f aca="false">N32+O32+P32+Q32+R32+U32+X32+AA32</f>
        <v>1482</v>
      </c>
      <c r="AD32" s="127" t="n">
        <f aca="false">IF(L32&lt;0,L32*-1,0)</f>
        <v>0</v>
      </c>
      <c r="AE32" s="127" t="n">
        <f aca="false">AC32+AD32</f>
        <v>1482</v>
      </c>
      <c r="AF32" s="98" t="n">
        <v>0</v>
      </c>
      <c r="AG32" s="99" t="n">
        <v>91</v>
      </c>
      <c r="AH32" s="100" t="n">
        <v>59</v>
      </c>
      <c r="AI32" s="101" t="n">
        <f aca="false">AI31</f>
        <v>16467.3080282</v>
      </c>
      <c r="AJ32" s="101"/>
      <c r="AK32" s="101" t="n">
        <v>0</v>
      </c>
      <c r="AL32" s="367" t="n">
        <f aca="false">64*(V29*1.9835+AK32*1.9835)/E32</f>
        <v>0</v>
      </c>
      <c r="AM32" s="101"/>
      <c r="AN32" s="9"/>
    </row>
    <row r="33" customFormat="false" ht="12.95" hidden="false" customHeight="true" outlineLevel="0" collapsed="false">
      <c r="A33" s="16" t="n">
        <f aca="false">A32+1</f>
        <v>22</v>
      </c>
      <c r="B33" s="438" t="n">
        <v>6924.12</v>
      </c>
      <c r="C33" s="94" t="n">
        <v>381698</v>
      </c>
      <c r="D33" s="99" t="n">
        <f aca="false">C33-C32</f>
        <v>359</v>
      </c>
      <c r="E33" s="94" t="n">
        <f aca="false">C33-152000</f>
        <v>229698</v>
      </c>
      <c r="F33" s="443" t="n">
        <f aca="false">D33/$D$2</f>
        <v>180.993193849256</v>
      </c>
      <c r="G33" s="127" t="n">
        <v>1410</v>
      </c>
      <c r="H33" s="437" t="n">
        <v>1.7</v>
      </c>
      <c r="I33" s="127" t="n">
        <f aca="false">G33+H33</f>
        <v>1411.7</v>
      </c>
      <c r="J33" s="445" t="n">
        <f aca="false">IF(L33&gt;0,L33,0)</f>
        <v>96.2931938492563</v>
      </c>
      <c r="K33" s="127" t="n">
        <f aca="false">I33+J33</f>
        <v>1507.99319384926</v>
      </c>
      <c r="L33" s="127" t="n">
        <f aca="false">F33-(I33-AC33)</f>
        <v>96.2931938492563</v>
      </c>
      <c r="M33" s="128" t="n">
        <v>307</v>
      </c>
      <c r="N33" s="446" t="n">
        <f aca="false">2.1*1.03</f>
        <v>2.163</v>
      </c>
      <c r="O33" s="500" t="n">
        <f aca="false">(41+41)*1.05</f>
        <v>86.1</v>
      </c>
      <c r="P33" s="367" t="n">
        <f aca="false">2.58*1.02</f>
        <v>2.6316</v>
      </c>
      <c r="Q33" s="367" t="n">
        <v>4.2</v>
      </c>
      <c r="R33" s="368" t="n">
        <v>3.62</v>
      </c>
      <c r="S33" s="127" t="n">
        <v>149</v>
      </c>
      <c r="T33" s="127" t="n">
        <v>76</v>
      </c>
      <c r="U33" s="267" t="n">
        <f aca="false">M33-N33-O33-P33-Q33-R33+S33+T33-AN33</f>
        <v>433.2854</v>
      </c>
      <c r="V33" s="242" t="n">
        <v>0</v>
      </c>
      <c r="W33" s="242"/>
      <c r="X33" s="127" t="n">
        <v>122</v>
      </c>
      <c r="Y33" s="128" t="n">
        <v>1.7</v>
      </c>
      <c r="Z33" s="129" t="n">
        <v>1.3</v>
      </c>
      <c r="AA33" s="449" t="n">
        <v>673</v>
      </c>
      <c r="AB33" s="448" t="n">
        <f aca="false">AB32</f>
        <v>14600.433072851</v>
      </c>
      <c r="AC33" s="127" t="n">
        <f aca="false">N33+O33+P33+Q33+R33+U33+X33+AA33</f>
        <v>1327</v>
      </c>
      <c r="AD33" s="127" t="n">
        <f aca="false">IF(L33&lt;0,L33*-1,0)</f>
        <v>0</v>
      </c>
      <c r="AE33" s="127" t="n">
        <f aca="false">AC33+AD33</f>
        <v>1327</v>
      </c>
      <c r="AF33" s="98" t="n">
        <v>0.04</v>
      </c>
      <c r="AG33" s="99" t="n">
        <v>87</v>
      </c>
      <c r="AH33" s="100" t="n">
        <v>57</v>
      </c>
      <c r="AI33" s="101" t="n">
        <f aca="false">AI32</f>
        <v>16467.3080282</v>
      </c>
      <c r="AJ33" s="101"/>
      <c r="AK33" s="101" t="n">
        <v>0</v>
      </c>
      <c r="AL33" s="367" t="n">
        <f aca="false">64*(V30*1.9835+AK33*1.9835)/E33</f>
        <v>0</v>
      </c>
      <c r="AM33" s="101"/>
      <c r="AN33" s="9"/>
    </row>
    <row r="34" customFormat="false" ht="12.95" hidden="false" customHeight="true" outlineLevel="0" collapsed="false">
      <c r="A34" s="16" t="n">
        <f aca="false">A33+1</f>
        <v>23</v>
      </c>
      <c r="B34" s="438" t="n">
        <v>6924.15</v>
      </c>
      <c r="C34" s="94" t="n">
        <v>381833</v>
      </c>
      <c r="D34" s="99" t="n">
        <f aca="false">C34-C33</f>
        <v>135</v>
      </c>
      <c r="E34" s="94" t="n">
        <f aca="false">C34-152000</f>
        <v>229833</v>
      </c>
      <c r="F34" s="443" t="n">
        <f aca="false">D34/$D$2</f>
        <v>68.0615074363499</v>
      </c>
      <c r="G34" s="127" t="n">
        <v>1370</v>
      </c>
      <c r="H34" s="437" t="n">
        <v>1.6</v>
      </c>
      <c r="I34" s="127" t="n">
        <f aca="false">G34+H34</f>
        <v>1371.6</v>
      </c>
      <c r="J34" s="445" t="n">
        <f aca="false">IF(L34&gt;0,L34,0)</f>
        <v>83.43150743635</v>
      </c>
      <c r="K34" s="127" t="n">
        <f aca="false">I34+J34</f>
        <v>1455.03150743635</v>
      </c>
      <c r="L34" s="127" t="n">
        <f aca="false">F34-(I34-AC34)</f>
        <v>83.43150743635</v>
      </c>
      <c r="M34" s="128" t="n">
        <v>289</v>
      </c>
      <c r="N34" s="446" t="n">
        <f aca="false">2.1*1.03</f>
        <v>2.163</v>
      </c>
      <c r="O34" s="500" t="n">
        <f aca="false">(34+35)*1.05</f>
        <v>72.45</v>
      </c>
      <c r="P34" s="367" t="n">
        <f aca="false">2.58*1.02</f>
        <v>2.6316</v>
      </c>
      <c r="Q34" s="367" t="n">
        <v>4.2</v>
      </c>
      <c r="R34" s="368" t="n">
        <v>5.12</v>
      </c>
      <c r="S34" s="127" t="n">
        <v>148</v>
      </c>
      <c r="T34" s="127" t="n">
        <v>76</v>
      </c>
      <c r="U34" s="267" t="n">
        <f aca="false">M34-N34-O34-P34-Q34-R34+S34+T34-AN34</f>
        <v>426.4354</v>
      </c>
      <c r="V34" s="242" t="n">
        <v>0</v>
      </c>
      <c r="W34" s="242"/>
      <c r="X34" s="127" t="n">
        <v>149.97</v>
      </c>
      <c r="Y34" s="128" t="n">
        <v>1.7</v>
      </c>
      <c r="Z34" s="129" t="n">
        <v>1.3</v>
      </c>
      <c r="AA34" s="449" t="n">
        <v>724</v>
      </c>
      <c r="AB34" s="448" t="n">
        <f aca="false">AB33</f>
        <v>14600.433072851</v>
      </c>
      <c r="AC34" s="127" t="n">
        <f aca="false">N34+O34+P34+Q34+R34+U34+X34+AA34</f>
        <v>1386.97</v>
      </c>
      <c r="AD34" s="127" t="n">
        <f aca="false">IF(L34&lt;0,L34*-1,0)</f>
        <v>0</v>
      </c>
      <c r="AE34" s="127" t="n">
        <f aca="false">AC34+AD34</f>
        <v>1386.97</v>
      </c>
      <c r="AF34" s="98" t="n">
        <v>0</v>
      </c>
      <c r="AG34" s="99" t="n">
        <v>81</v>
      </c>
      <c r="AH34" s="100" t="n">
        <v>54</v>
      </c>
      <c r="AI34" s="101" t="n">
        <f aca="false">AI33</f>
        <v>16467.3080282</v>
      </c>
      <c r="AJ34" s="101"/>
      <c r="AK34" s="101" t="n">
        <v>0</v>
      </c>
      <c r="AL34" s="367" t="n">
        <f aca="false">64*(V31*1.9835+AK34*1.9835)/E34</f>
        <v>0</v>
      </c>
      <c r="AM34" s="101"/>
      <c r="AN34" s="9"/>
    </row>
    <row r="35" customFormat="false" ht="12.95" hidden="false" customHeight="true" outlineLevel="0" collapsed="false">
      <c r="A35" s="16" t="n">
        <f aca="false">A34+1</f>
        <v>24</v>
      </c>
      <c r="B35" s="438" t="n">
        <v>6924.13</v>
      </c>
      <c r="C35" s="94" t="n">
        <v>381743</v>
      </c>
      <c r="D35" s="99" t="n">
        <f aca="false">C35-C34</f>
        <v>-90</v>
      </c>
      <c r="E35" s="94" t="n">
        <f aca="false">C35-152000</f>
        <v>229743</v>
      </c>
      <c r="F35" s="443" t="n">
        <f aca="false">D35/$D$2</f>
        <v>-45.3743382908999</v>
      </c>
      <c r="G35" s="127" t="n">
        <v>1290</v>
      </c>
      <c r="H35" s="437" t="n">
        <v>1.7</v>
      </c>
      <c r="I35" s="127" t="n">
        <f aca="false">G35+H35</f>
        <v>1291.7</v>
      </c>
      <c r="J35" s="445" t="n">
        <f aca="false">IF(L35&gt;0,L35,0)</f>
        <v>79.9256617091</v>
      </c>
      <c r="K35" s="127" t="n">
        <f aca="false">I35+J35</f>
        <v>1371.6256617091</v>
      </c>
      <c r="L35" s="127" t="n">
        <f aca="false">F35-(I35-AC35)</f>
        <v>79.9256617091</v>
      </c>
      <c r="M35" s="128" t="n">
        <v>289</v>
      </c>
      <c r="N35" s="446" t="n">
        <f aca="false">2.1*1.03</f>
        <v>2.163</v>
      </c>
      <c r="O35" s="500" t="n">
        <f aca="false">(36+38)*1.05</f>
        <v>77.7</v>
      </c>
      <c r="P35" s="367" t="n">
        <f aca="false">2.58*1.02</f>
        <v>2.6316</v>
      </c>
      <c r="Q35" s="367" t="n">
        <v>4.2</v>
      </c>
      <c r="R35" s="368" t="n">
        <v>4.42</v>
      </c>
      <c r="S35" s="127" t="n">
        <v>153</v>
      </c>
      <c r="T35" s="127" t="n">
        <v>76</v>
      </c>
      <c r="U35" s="267" t="n">
        <f aca="false">M35-N35-O35-P35-Q35-R35+S35+T35-AN35</f>
        <v>426.8854</v>
      </c>
      <c r="V35" s="242" t="n">
        <v>0</v>
      </c>
      <c r="W35" s="242"/>
      <c r="X35" s="127" t="n">
        <v>150</v>
      </c>
      <c r="Y35" s="128" t="n">
        <v>1.7</v>
      </c>
      <c r="Z35" s="129" t="n">
        <v>1.3</v>
      </c>
      <c r="AA35" s="449" t="n">
        <v>749</v>
      </c>
      <c r="AB35" s="448" t="n">
        <f aca="false">AB34</f>
        <v>14600.433072851</v>
      </c>
      <c r="AC35" s="127" t="n">
        <f aca="false">N35+O35+P35+Q35+R35+U35+X35+AA35</f>
        <v>1417</v>
      </c>
      <c r="AD35" s="127" t="n">
        <f aca="false">IF(L35&lt;0,L35*-1,0)</f>
        <v>0</v>
      </c>
      <c r="AE35" s="127" t="n">
        <f aca="false">AC35+AD35</f>
        <v>1417</v>
      </c>
      <c r="AF35" s="98" t="n">
        <v>0</v>
      </c>
      <c r="AG35" s="99" t="n">
        <v>83</v>
      </c>
      <c r="AH35" s="100" t="n">
        <v>51</v>
      </c>
      <c r="AI35" s="101" t="n">
        <f aca="false">AI34</f>
        <v>16467.3080282</v>
      </c>
      <c r="AJ35" s="101"/>
      <c r="AK35" s="101" t="n">
        <v>0</v>
      </c>
      <c r="AL35" s="367" t="n">
        <f aca="false">64*(V32*1.9835+AK35*1.9835)/E35</f>
        <v>0</v>
      </c>
      <c r="AM35" s="101"/>
      <c r="AN35" s="9"/>
    </row>
    <row r="36" customFormat="false" ht="12.95" hidden="false" customHeight="true" outlineLevel="0" collapsed="false">
      <c r="A36" s="16" t="n">
        <f aca="false">A35+1</f>
        <v>25</v>
      </c>
      <c r="B36" s="438" t="n">
        <v>6924.16</v>
      </c>
      <c r="C36" s="94" t="n">
        <v>381878</v>
      </c>
      <c r="D36" s="99" t="n">
        <f aca="false">C36-C35</f>
        <v>135</v>
      </c>
      <c r="E36" s="94" t="n">
        <f aca="false">C36-152000</f>
        <v>229878</v>
      </c>
      <c r="F36" s="443" t="n">
        <f aca="false">D36/$D$2</f>
        <v>68.0615074363499</v>
      </c>
      <c r="G36" s="127" t="n">
        <v>1190</v>
      </c>
      <c r="H36" s="437" t="n">
        <v>1.7</v>
      </c>
      <c r="I36" s="127" t="n">
        <f aca="false">G36+H36</f>
        <v>1191.7</v>
      </c>
      <c r="J36" s="445" t="n">
        <f aca="false">IF(L36&gt;0,L36,0)</f>
        <v>122.36150743635</v>
      </c>
      <c r="K36" s="127" t="n">
        <f aca="false">I36+J36</f>
        <v>1314.06150743635</v>
      </c>
      <c r="L36" s="127" t="n">
        <f aca="false">F36-(I36-AC36)</f>
        <v>122.36150743635</v>
      </c>
      <c r="M36" s="128" t="n">
        <v>300</v>
      </c>
      <c r="N36" s="446" t="n">
        <f aca="false">2.1*1.03</f>
        <v>2.163</v>
      </c>
      <c r="O36" s="500" t="n">
        <f aca="false">(34+33)*1.05</f>
        <v>70.35</v>
      </c>
      <c r="P36" s="367" t="n">
        <f aca="false">2.58*1.02</f>
        <v>2.6316</v>
      </c>
      <c r="Q36" s="367" t="n">
        <v>4.2</v>
      </c>
      <c r="R36" s="368" t="n">
        <v>2.6</v>
      </c>
      <c r="S36" s="127" t="n">
        <v>154</v>
      </c>
      <c r="T36" s="127" t="n">
        <v>77</v>
      </c>
      <c r="U36" s="267" t="n">
        <f aca="false">M36-N36-O36-P36-Q36-R36+S36+T36-AN36</f>
        <v>449.0554</v>
      </c>
      <c r="V36" s="242" t="n">
        <v>0</v>
      </c>
      <c r="W36" s="242"/>
      <c r="X36" s="127" t="n">
        <v>183</v>
      </c>
      <c r="Y36" s="128" t="n">
        <v>1.7</v>
      </c>
      <c r="Z36" s="129" t="n">
        <v>1.3</v>
      </c>
      <c r="AA36" s="449" t="n">
        <v>532</v>
      </c>
      <c r="AB36" s="448" t="n">
        <f aca="false">AB35</f>
        <v>14600.433072851</v>
      </c>
      <c r="AC36" s="127" t="n">
        <f aca="false">N36+O36+P36+Q36+R36+U36+X36+AA36</f>
        <v>1246</v>
      </c>
      <c r="AD36" s="127" t="n">
        <f aca="false">IF(L36&lt;0,L36*-1,0)</f>
        <v>0</v>
      </c>
      <c r="AE36" s="127" t="n">
        <f aca="false">AC36+AD36</f>
        <v>1246</v>
      </c>
      <c r="AF36" s="98" t="n">
        <v>0.12</v>
      </c>
      <c r="AG36" s="99" t="n">
        <v>79</v>
      </c>
      <c r="AH36" s="100" t="n">
        <v>54</v>
      </c>
      <c r="AI36" s="101" t="n">
        <f aca="false">AI35</f>
        <v>16467.3080282</v>
      </c>
      <c r="AJ36" s="101"/>
      <c r="AK36" s="101" t="n">
        <v>0</v>
      </c>
      <c r="AL36" s="367" t="n">
        <f aca="false">64*(V33*1.9835+AK36*1.9835)/E36</f>
        <v>0</v>
      </c>
      <c r="AM36" s="101"/>
      <c r="AN36" s="9"/>
    </row>
    <row r="37" customFormat="false" ht="12.95" hidden="false" customHeight="true" outlineLevel="0" collapsed="false">
      <c r="A37" s="16" t="n">
        <f aca="false">A36+1</f>
        <v>26</v>
      </c>
      <c r="B37" s="438" t="n">
        <v>6924.23</v>
      </c>
      <c r="C37" s="94" t="n">
        <v>382192</v>
      </c>
      <c r="D37" s="99" t="n">
        <f aca="false">C37-C36</f>
        <v>314</v>
      </c>
      <c r="E37" s="94" t="n">
        <f aca="false">C37-152000</f>
        <v>230192</v>
      </c>
      <c r="F37" s="443" t="n">
        <f aca="false">D37/$D$2</f>
        <v>158.306024703806</v>
      </c>
      <c r="G37" s="127" t="n">
        <v>1150</v>
      </c>
      <c r="H37" s="437" t="n">
        <v>2</v>
      </c>
      <c r="I37" s="127" t="n">
        <f aca="false">G37+H37</f>
        <v>1152</v>
      </c>
      <c r="J37" s="445" t="n">
        <f aca="false">IF(L37&gt;0,L37,0)</f>
        <v>114.306024703806</v>
      </c>
      <c r="K37" s="127" t="n">
        <f aca="false">I37+J37</f>
        <v>1266.30602470381</v>
      </c>
      <c r="L37" s="127" t="n">
        <f aca="false">F37-(I37-AC37)</f>
        <v>114.306024703806</v>
      </c>
      <c r="M37" s="128" t="n">
        <v>291</v>
      </c>
      <c r="N37" s="446" t="n">
        <f aca="false">2.1*1.03</f>
        <v>2.163</v>
      </c>
      <c r="O37" s="437" t="n">
        <f aca="false">(33+34)*1.05</f>
        <v>70.35</v>
      </c>
      <c r="P37" s="367" t="n">
        <f aca="false">2.58*1.02</f>
        <v>2.6316</v>
      </c>
      <c r="Q37" s="367" t="n">
        <v>4.2</v>
      </c>
      <c r="R37" s="368" t="n">
        <v>2.31</v>
      </c>
      <c r="S37" s="127" t="n">
        <v>158</v>
      </c>
      <c r="T37" s="127" t="n">
        <v>78</v>
      </c>
      <c r="U37" s="267" t="n">
        <f aca="false">M37-N37-O37-P37-Q37-R37+S37+T37-AN37</f>
        <v>445.3454</v>
      </c>
      <c r="V37" s="242" t="n">
        <v>0</v>
      </c>
      <c r="W37" s="242"/>
      <c r="X37" s="501" t="n">
        <v>133</v>
      </c>
      <c r="Y37" s="128" t="n">
        <v>1.7</v>
      </c>
      <c r="Z37" s="129" t="n">
        <v>1.3</v>
      </c>
      <c r="AA37" s="449" t="n">
        <v>448</v>
      </c>
      <c r="AB37" s="448" t="n">
        <f aca="false">AB36</f>
        <v>14600.433072851</v>
      </c>
      <c r="AC37" s="127" t="n">
        <f aca="false">N37+O37+P37+Q37+R37+U37+X37+AA37</f>
        <v>1108</v>
      </c>
      <c r="AD37" s="127" t="n">
        <f aca="false">IF(L37&lt;0,L37*-1,0)</f>
        <v>0</v>
      </c>
      <c r="AE37" s="127" t="n">
        <f aca="false">AC37+AD37</f>
        <v>1108</v>
      </c>
      <c r="AF37" s="98" t="n">
        <v>0</v>
      </c>
      <c r="AG37" s="99" t="n">
        <v>82</v>
      </c>
      <c r="AH37" s="100" t="n">
        <v>51</v>
      </c>
      <c r="AI37" s="101" t="n">
        <f aca="false">AI36</f>
        <v>16467.3080282</v>
      </c>
      <c r="AJ37" s="101"/>
      <c r="AK37" s="101" t="n">
        <v>0</v>
      </c>
      <c r="AL37" s="367" t="n">
        <f aca="false">64*(V34*1.9835+AK37*1.9835)/E37</f>
        <v>0</v>
      </c>
      <c r="AM37" s="101"/>
      <c r="AN37" s="3"/>
    </row>
    <row r="38" customFormat="false" ht="12.95" hidden="false" customHeight="true" outlineLevel="0" collapsed="false">
      <c r="A38" s="16" t="n">
        <f aca="false">A37+1</f>
        <v>27</v>
      </c>
      <c r="B38" s="438" t="n">
        <v>6924.18</v>
      </c>
      <c r="C38" s="94" t="n">
        <v>381967</v>
      </c>
      <c r="D38" s="99" t="n">
        <f aca="false">C38-C37</f>
        <v>-225</v>
      </c>
      <c r="E38" s="94" t="n">
        <f aca="false">C38-152000</f>
        <v>229967</v>
      </c>
      <c r="F38" s="443" t="n">
        <f aca="false">D38/$D$2</f>
        <v>-113.43584572725</v>
      </c>
      <c r="G38" s="127" t="n">
        <v>986</v>
      </c>
      <c r="H38" s="437" t="n">
        <v>1.7</v>
      </c>
      <c r="I38" s="127" t="n">
        <f aca="false">G38+H38</f>
        <v>987.7</v>
      </c>
      <c r="J38" s="445" t="n">
        <f aca="false">IF(L38&gt;0,L38,0)</f>
        <v>60.8641542727501</v>
      </c>
      <c r="K38" s="127" t="n">
        <f aca="false">I38+J38</f>
        <v>1048.56415427275</v>
      </c>
      <c r="L38" s="127" t="n">
        <f aca="false">F38-(I38-AC38)</f>
        <v>60.8641542727501</v>
      </c>
      <c r="M38" s="128" t="n">
        <v>287</v>
      </c>
      <c r="N38" s="446" t="n">
        <f aca="false">2.1*1.03</f>
        <v>2.163</v>
      </c>
      <c r="O38" s="500" t="n">
        <f aca="false">(33+36)*1.05</f>
        <v>72.45</v>
      </c>
      <c r="P38" s="367" t="n">
        <f aca="false">2.58*1.02</f>
        <v>2.6316</v>
      </c>
      <c r="Q38" s="367" t="n">
        <v>4.2</v>
      </c>
      <c r="R38" s="368" t="n">
        <v>3.28</v>
      </c>
      <c r="S38" s="127" t="n">
        <v>159</v>
      </c>
      <c r="T38" s="127" t="n">
        <v>78</v>
      </c>
      <c r="U38" s="267" t="n">
        <f aca="false">M38-N38-O38-P38-Q38-R38+S38+T38-AN38</f>
        <v>439.2754</v>
      </c>
      <c r="V38" s="242" t="n">
        <v>0</v>
      </c>
      <c r="W38" s="242"/>
      <c r="X38" s="127" t="n">
        <v>146</v>
      </c>
      <c r="Y38" s="128" t="n">
        <v>1.7</v>
      </c>
      <c r="Z38" s="129" t="n">
        <v>1.3</v>
      </c>
      <c r="AA38" s="449" t="n">
        <v>492</v>
      </c>
      <c r="AB38" s="448" t="n">
        <f aca="false">AB37</f>
        <v>14600.433072851</v>
      </c>
      <c r="AC38" s="127" t="n">
        <f aca="false">N38+O38+P38+Q38+R38+U38+X38+AA38</f>
        <v>1162</v>
      </c>
      <c r="AD38" s="127" t="n">
        <f aca="false">IF(L38&lt;0,L38*-1,0)</f>
        <v>0</v>
      </c>
      <c r="AE38" s="127" t="n">
        <f aca="false">AC38+AD38</f>
        <v>1162</v>
      </c>
      <c r="AF38" s="98" t="n">
        <v>0</v>
      </c>
      <c r="AG38" s="99" t="n">
        <v>83</v>
      </c>
      <c r="AH38" s="100" t="n">
        <v>48</v>
      </c>
      <c r="AI38" s="101" t="n">
        <f aca="false">AI37</f>
        <v>16467.3080282</v>
      </c>
      <c r="AJ38" s="101"/>
      <c r="AK38" s="101" t="n">
        <v>0</v>
      </c>
      <c r="AL38" s="367" t="n">
        <f aca="false">64*(V35*1.9835+AK38*1.9835)/E38</f>
        <v>0</v>
      </c>
      <c r="AM38" s="101"/>
      <c r="AN38" s="9"/>
    </row>
    <row r="39" customFormat="false" ht="12.95" hidden="false" customHeight="true" outlineLevel="0" collapsed="false">
      <c r="A39" s="16" t="n">
        <f aca="false">A38+1</f>
        <v>28</v>
      </c>
      <c r="B39" s="438" t="n">
        <v>6924.1</v>
      </c>
      <c r="C39" s="94" t="n">
        <v>381608</v>
      </c>
      <c r="D39" s="99" t="n">
        <f aca="false">C39-C38</f>
        <v>-359</v>
      </c>
      <c r="E39" s="94" t="n">
        <f aca="false">C39-152000</f>
        <v>229608</v>
      </c>
      <c r="F39" s="443" t="n">
        <f aca="false">D39/$D$2</f>
        <v>-180.993193849256</v>
      </c>
      <c r="G39" s="127" t="n">
        <v>885</v>
      </c>
      <c r="H39" s="437" t="n">
        <v>1.5</v>
      </c>
      <c r="I39" s="127" t="n">
        <f aca="false">G39+H39</f>
        <v>886.5</v>
      </c>
      <c r="J39" s="445" t="n">
        <f aca="false">IF(L39&gt;0,L39,0)</f>
        <v>24.5068061507436</v>
      </c>
      <c r="K39" s="127" t="n">
        <f aca="false">I39+J39</f>
        <v>911.006806150744</v>
      </c>
      <c r="L39" s="127" t="n">
        <f aca="false">F39-(I39-AC39)</f>
        <v>24.5068061507436</v>
      </c>
      <c r="M39" s="128" t="n">
        <v>307</v>
      </c>
      <c r="N39" s="446" t="n">
        <f aca="false">2.1*1.03</f>
        <v>2.163</v>
      </c>
      <c r="O39" s="500" t="n">
        <f aca="false">(38+40)*1.05</f>
        <v>81.9</v>
      </c>
      <c r="P39" s="367" t="n">
        <f aca="false">2.58*1.02</f>
        <v>2.6316</v>
      </c>
      <c r="Q39" s="367" t="n">
        <v>4.2</v>
      </c>
      <c r="R39" s="368" t="n">
        <v>3.74</v>
      </c>
      <c r="S39" s="127" t="n">
        <v>166</v>
      </c>
      <c r="T39" s="127" t="n">
        <v>77</v>
      </c>
      <c r="U39" s="267" t="n">
        <f aca="false">M39-N39-O39-P39-Q39-R39+S39+T39-AN39</f>
        <v>455.3654</v>
      </c>
      <c r="V39" s="242" t="n">
        <v>0</v>
      </c>
      <c r="W39" s="242"/>
      <c r="X39" s="127" t="n">
        <v>180</v>
      </c>
      <c r="Y39" s="128" t="n">
        <v>1.7</v>
      </c>
      <c r="Z39" s="129" t="n">
        <v>1.3</v>
      </c>
      <c r="AA39" s="449" t="n">
        <v>362</v>
      </c>
      <c r="AB39" s="448" t="n">
        <f aca="false">AB38</f>
        <v>14600.433072851</v>
      </c>
      <c r="AC39" s="127" t="n">
        <f aca="false">N39+O39+P39+Q39+R39+U39+X39+AA39</f>
        <v>1092</v>
      </c>
      <c r="AD39" s="127" t="n">
        <f aca="false">IF(L39&lt;0,L39*-1,0)</f>
        <v>0</v>
      </c>
      <c r="AE39" s="127" t="n">
        <f aca="false">AC39+AD39</f>
        <v>1092</v>
      </c>
      <c r="AF39" s="98" t="n">
        <v>0.07</v>
      </c>
      <c r="AG39" s="99" t="n">
        <v>84</v>
      </c>
      <c r="AH39" s="100" t="n">
        <v>53</v>
      </c>
      <c r="AI39" s="101" t="n">
        <f aca="false">AI38</f>
        <v>16467.3080282</v>
      </c>
      <c r="AJ39" s="101"/>
      <c r="AK39" s="101" t="n">
        <v>0</v>
      </c>
      <c r="AL39" s="367" t="n">
        <f aca="false">64*(V36*1.9835+AK39*1.9835)/E39</f>
        <v>0</v>
      </c>
      <c r="AM39" s="101"/>
      <c r="AN39" s="9"/>
    </row>
    <row r="40" customFormat="false" ht="12.95" hidden="false" customHeight="true" outlineLevel="0" collapsed="false">
      <c r="A40" s="16" t="n">
        <f aca="false">A39+1</f>
        <v>29</v>
      </c>
      <c r="B40" s="438" t="n">
        <v>6924.08</v>
      </c>
      <c r="C40" s="94" t="n">
        <v>381519</v>
      </c>
      <c r="D40" s="99" t="n">
        <f aca="false">C40-C39</f>
        <v>-89</v>
      </c>
      <c r="E40" s="94" t="n">
        <f aca="false">C40-152000</f>
        <v>229519</v>
      </c>
      <c r="F40" s="443" t="n">
        <f aca="false">D40/$D$2</f>
        <v>-44.8701789765566</v>
      </c>
      <c r="G40" s="127" t="n">
        <v>847</v>
      </c>
      <c r="H40" s="437" t="n">
        <v>1.5</v>
      </c>
      <c r="I40" s="127" t="n">
        <f aca="false">G40+H40</f>
        <v>848.5</v>
      </c>
      <c r="J40" s="445" t="n">
        <f aca="false">IF(L40&gt;0,L40,0)</f>
        <v>0</v>
      </c>
      <c r="K40" s="127" t="n">
        <f aca="false">I40+J40</f>
        <v>848.5</v>
      </c>
      <c r="L40" s="127" t="n">
        <f aca="false">F40-(I40-AC40)</f>
        <v>-27.3701789765566</v>
      </c>
      <c r="M40" s="128" t="n">
        <v>288</v>
      </c>
      <c r="N40" s="446" t="n">
        <f aca="false">2.1*1.03</f>
        <v>2.163</v>
      </c>
      <c r="O40" s="500" t="n">
        <f aca="false">(41+39)*1.05-46.38</f>
        <v>37.62</v>
      </c>
      <c r="P40" s="367" t="n">
        <f aca="false">2.58*1.02</f>
        <v>2.6316</v>
      </c>
      <c r="Q40" s="367" t="n">
        <v>4.2</v>
      </c>
      <c r="R40" s="368" t="n">
        <v>2.57</v>
      </c>
      <c r="S40" s="127" t="n">
        <v>176</v>
      </c>
      <c r="T40" s="127" t="n">
        <v>78</v>
      </c>
      <c r="U40" s="267" t="n">
        <f aca="false">M40-N40-O40-P40-Q40-R40+S40+T40-AN40</f>
        <v>492.8154</v>
      </c>
      <c r="V40" s="242" t="n">
        <v>0</v>
      </c>
      <c r="W40" s="242"/>
      <c r="X40" s="127" t="n">
        <v>193</v>
      </c>
      <c r="Y40" s="128" t="n">
        <v>1.7</v>
      </c>
      <c r="Z40" s="129" t="n">
        <v>1.3</v>
      </c>
      <c r="AA40" s="449" t="n">
        <v>131</v>
      </c>
      <c r="AB40" s="448" t="n">
        <f aca="false">AB39</f>
        <v>14600.433072851</v>
      </c>
      <c r="AC40" s="127" t="n">
        <f aca="false">N40+O40+P40+Q40+R40+U40+X40+AA40</f>
        <v>866</v>
      </c>
      <c r="AD40" s="127" t="n">
        <f aca="false">IF(L40&lt;0,L40*-1,0)</f>
        <v>27.3701789765566</v>
      </c>
      <c r="AE40" s="127" t="n">
        <f aca="false">AC40+AD40</f>
        <v>893.370178976557</v>
      </c>
      <c r="AF40" s="98" t="n">
        <v>0</v>
      </c>
      <c r="AG40" s="99" t="n">
        <v>81</v>
      </c>
      <c r="AH40" s="100" t="n">
        <v>47</v>
      </c>
      <c r="AI40" s="101" t="n">
        <f aca="false">AI39</f>
        <v>16467.3080282</v>
      </c>
      <c r="AJ40" s="101"/>
      <c r="AK40" s="101" t="n">
        <v>0</v>
      </c>
      <c r="AL40" s="367" t="n">
        <f aca="false">64*(V37*1.9835+AK40*1.9835)/E40</f>
        <v>0</v>
      </c>
      <c r="AM40" s="101"/>
      <c r="AN40" s="9"/>
    </row>
    <row r="41" customFormat="false" ht="12.95" hidden="false" customHeight="true" outlineLevel="0" collapsed="false">
      <c r="A41" s="16" t="n">
        <v>30</v>
      </c>
      <c r="B41" s="438" t="n">
        <v>6924.04</v>
      </c>
      <c r="C41" s="94" t="n">
        <v>381339</v>
      </c>
      <c r="D41" s="99" t="n">
        <f aca="false">C41-C40</f>
        <v>-180</v>
      </c>
      <c r="E41" s="94" t="n">
        <f aca="false">C41-152000</f>
        <v>229339</v>
      </c>
      <c r="F41" s="443" t="n">
        <f aca="false">D41/$D$2</f>
        <v>-90.7486765817998</v>
      </c>
      <c r="G41" s="127" t="n">
        <v>800</v>
      </c>
      <c r="H41" s="437" t="n">
        <v>1.3</v>
      </c>
      <c r="I41" s="127" t="n">
        <f aca="false">G41+H41</f>
        <v>801.3</v>
      </c>
      <c r="J41" s="445" t="n">
        <f aca="false">IF(L41&gt;0,L41,0)</f>
        <v>0</v>
      </c>
      <c r="K41" s="127" t="n">
        <f aca="false">I41+J41</f>
        <v>801.3</v>
      </c>
      <c r="L41" s="127" t="n">
        <f aca="false">F41-(I41-AC41)</f>
        <v>-27.0486765817998</v>
      </c>
      <c r="M41" s="128" t="n">
        <v>295</v>
      </c>
      <c r="N41" s="446" t="n">
        <f aca="false">2.1*1.03</f>
        <v>2.163</v>
      </c>
      <c r="O41" s="500" t="n">
        <f aca="false">(36+34)*1.05</f>
        <v>73.5</v>
      </c>
      <c r="P41" s="367" t="n">
        <f aca="false">2.58*1.02</f>
        <v>2.6316</v>
      </c>
      <c r="Q41" s="367" t="n">
        <v>4.2</v>
      </c>
      <c r="R41" s="368" t="n">
        <v>5.43</v>
      </c>
      <c r="S41" s="127" t="n">
        <v>178</v>
      </c>
      <c r="T41" s="127" t="n">
        <v>78</v>
      </c>
      <c r="U41" s="267" t="n">
        <f aca="false">M41-N41-O41-P41-Q41-R41+S41+T41-AN41</f>
        <v>463.0754</v>
      </c>
      <c r="V41" s="242" t="n">
        <v>0</v>
      </c>
      <c r="W41" s="242"/>
      <c r="X41" s="127" t="n">
        <v>220</v>
      </c>
      <c r="Y41" s="128" t="n">
        <v>1.7</v>
      </c>
      <c r="Z41" s="129" t="n">
        <v>1.3</v>
      </c>
      <c r="AA41" s="447" t="n">
        <v>94</v>
      </c>
      <c r="AB41" s="448" t="n">
        <f aca="false">AB40-AA41</f>
        <v>14506.433072851</v>
      </c>
      <c r="AC41" s="127" t="n">
        <f aca="false">N41+O41+P41+Q41+R41+U41+X41+AA41</f>
        <v>865</v>
      </c>
      <c r="AD41" s="127" t="n">
        <f aca="false">IF(L41&lt;0,L41*-1,0)</f>
        <v>27.0486765817998</v>
      </c>
      <c r="AE41" s="127" t="n">
        <f aca="false">AC41+AD41</f>
        <v>892.0486765818</v>
      </c>
      <c r="AF41" s="98" t="n">
        <v>0</v>
      </c>
      <c r="AG41" s="99" t="n">
        <v>86</v>
      </c>
      <c r="AH41" s="100" t="n">
        <v>52</v>
      </c>
      <c r="AI41" s="101" t="n">
        <f aca="false">AI40</f>
        <v>16467.3080282</v>
      </c>
      <c r="AJ41" s="101"/>
      <c r="AK41" s="101" t="n">
        <v>0</v>
      </c>
      <c r="AL41" s="367" t="n">
        <f aca="false">64*(V38*1.9835+AK41*1.9835)/E41</f>
        <v>0</v>
      </c>
      <c r="AM41" s="101"/>
      <c r="AN41" s="9"/>
    </row>
    <row r="42" customFormat="false" ht="3" hidden="false" customHeight="true" outlineLevel="0" collapsed="false">
      <c r="A42" s="106"/>
      <c r="B42" s="450"/>
      <c r="C42" s="114"/>
      <c r="D42" s="112"/>
      <c r="E42" s="114"/>
      <c r="F42" s="440"/>
      <c r="G42" s="112"/>
      <c r="H42" s="442"/>
      <c r="I42" s="112"/>
      <c r="J42" s="112"/>
      <c r="K42" s="112"/>
      <c r="L42" s="112"/>
      <c r="M42" s="115"/>
      <c r="N42" s="112"/>
      <c r="O42" s="442"/>
      <c r="P42" s="442"/>
      <c r="Q42" s="442"/>
      <c r="R42" s="113"/>
      <c r="S42" s="112"/>
      <c r="T42" s="112"/>
      <c r="U42" s="112"/>
      <c r="V42" s="114"/>
      <c r="W42" s="114"/>
      <c r="X42" s="112"/>
      <c r="Y42" s="115"/>
      <c r="Z42" s="113"/>
      <c r="AA42" s="112"/>
      <c r="AB42" s="112"/>
      <c r="AC42" s="112"/>
      <c r="AD42" s="112"/>
      <c r="AE42" s="112"/>
      <c r="AF42" s="116"/>
      <c r="AG42" s="117"/>
      <c r="AH42" s="118"/>
      <c r="AI42" s="117"/>
      <c r="AJ42" s="117"/>
      <c r="AK42" s="117"/>
      <c r="AL42" s="472"/>
      <c r="AM42" s="264"/>
      <c r="AN42" s="264"/>
    </row>
    <row r="43" customFormat="false" ht="12.95" hidden="false" customHeight="true" outlineLevel="0" collapsed="false">
      <c r="A43" s="17" t="s">
        <v>75</v>
      </c>
      <c r="B43" s="436"/>
      <c r="C43" s="94"/>
      <c r="D43" s="94"/>
      <c r="E43" s="94"/>
      <c r="F43" s="136" t="n">
        <f aca="false">SUM(F12:F41)</f>
        <v>4159.81850264684</v>
      </c>
      <c r="G43" s="96" t="n">
        <f aca="false">SUM(G12:G41)</f>
        <v>40958</v>
      </c>
      <c r="H43" s="101" t="n">
        <f aca="false">SUM(H12:H41)</f>
        <v>152.4</v>
      </c>
      <c r="I43" s="96" t="n">
        <f aca="false">SUM(I12:I41)</f>
        <v>41110.4</v>
      </c>
      <c r="J43" s="96" t="n">
        <f aca="false">SUM(J12:J41)</f>
        <v>2594.23241240232</v>
      </c>
      <c r="K43" s="96" t="n">
        <f aca="false">SUM(K12:K41)</f>
        <v>43704.6324124023</v>
      </c>
      <c r="L43" s="96" t="n">
        <f aca="false">SUM(L12:L41)</f>
        <v>2509.75850264684</v>
      </c>
      <c r="M43" s="97" t="n">
        <f aca="false">SUM(M12:M41)</f>
        <v>8515</v>
      </c>
      <c r="N43" s="94" t="n">
        <f aca="false">SUM(N12:N41)</f>
        <v>64.89</v>
      </c>
      <c r="O43" s="99" t="n">
        <f aca="false">SUM(O12:O41)</f>
        <v>2322.42</v>
      </c>
      <c r="P43" s="99" t="n">
        <f aca="false">SUM(P12:P41)</f>
        <v>78.948</v>
      </c>
      <c r="Q43" s="99" t="n">
        <f aca="false">SUM(Q12:Q41)</f>
        <v>126</v>
      </c>
      <c r="R43" s="502" t="n">
        <f aca="false">SUM(R12:R41)</f>
        <v>118.14</v>
      </c>
      <c r="S43" s="96" t="n">
        <f aca="false">SUM(S12:S41)</f>
        <v>6134</v>
      </c>
      <c r="T43" s="96" t="n">
        <f aca="false">SUM(T12:T41)</f>
        <v>2310</v>
      </c>
      <c r="U43" s="96" t="n">
        <f aca="false">SUM(U12:U41)</f>
        <v>14216.972</v>
      </c>
      <c r="V43" s="96"/>
      <c r="W43" s="96"/>
      <c r="X43" s="96" t="n">
        <f aca="false">SUM(X12:X41)</f>
        <v>3841.97</v>
      </c>
      <c r="Y43" s="96" t="n">
        <f aca="false">SUM(Y12:Y41)</f>
        <v>51</v>
      </c>
      <c r="Z43" s="96" t="n">
        <f aca="false">SUM(Z12:Z41)</f>
        <v>39</v>
      </c>
      <c r="AA43" s="96" t="n">
        <f aca="false">SUM(AA12:AA41)</f>
        <v>18691</v>
      </c>
      <c r="AB43" s="96"/>
      <c r="AC43" s="96" t="n">
        <f aca="false">SUM(AC12:AC41)</f>
        <v>39460.34</v>
      </c>
      <c r="AD43" s="96" t="n">
        <f aca="false">SUM(AD12:AD41)</f>
        <v>84.4739097554827</v>
      </c>
      <c r="AE43" s="96" t="n">
        <f aca="false">SUM(AE12:AE41)</f>
        <v>39544.8139097555</v>
      </c>
      <c r="AF43" s="98" t="n">
        <f aca="false">SUM(AF12:AF41)</f>
        <v>0.4</v>
      </c>
      <c r="AG43" s="99" t="n">
        <f aca="false">AVERAGE(AG12:AG41)</f>
        <v>74.9</v>
      </c>
      <c r="AH43" s="100" t="n">
        <f aca="false">AVERAGE(AH12:AH41)</f>
        <v>47</v>
      </c>
      <c r="AI43" s="101" t="s">
        <v>106</v>
      </c>
      <c r="AJ43" s="96" t="n">
        <f aca="false">SUM(AJ12:AJ41)</f>
        <v>0</v>
      </c>
      <c r="AK43" s="127"/>
      <c r="AL43" s="367"/>
      <c r="AM43" s="101" t="n">
        <f aca="false">SUM(AM12:AM41)</f>
        <v>0</v>
      </c>
      <c r="AN43" s="101" t="n">
        <f aca="false">SUM(AN12:AN41)</f>
        <v>31.63</v>
      </c>
    </row>
    <row r="44" customFormat="false" ht="12.95" hidden="false" customHeight="true" outlineLevel="0" collapsed="false">
      <c r="A44" s="17" t="s">
        <v>77</v>
      </c>
      <c r="B44" s="436"/>
      <c r="C44" s="94"/>
      <c r="D44" s="94" t="n">
        <f aca="false">SUM(D12:D41)</f>
        <v>8251</v>
      </c>
      <c r="E44" s="94"/>
      <c r="F44" s="136" t="n">
        <f aca="false">F43*$D$2</f>
        <v>8251</v>
      </c>
      <c r="G44" s="96" t="n">
        <f aca="false">G43*$D$2</f>
        <v>81240.193</v>
      </c>
      <c r="H44" s="101" t="n">
        <f aca="false">H43*$D$2</f>
        <v>302.2854</v>
      </c>
      <c r="I44" s="96" t="n">
        <f aca="false">I43*$D$2</f>
        <v>81542.4784</v>
      </c>
      <c r="J44" s="96" t="n">
        <f aca="false">J43*$D$2</f>
        <v>5145.65999</v>
      </c>
      <c r="K44" s="96" t="n">
        <f aca="false">K43*$D$2</f>
        <v>86688.13839</v>
      </c>
      <c r="L44" s="96" t="n">
        <f aca="false">L43*$D$2</f>
        <v>4978.10599</v>
      </c>
      <c r="M44" s="97" t="n">
        <f aca="false">M43*$D$2</f>
        <v>16889.5025</v>
      </c>
      <c r="N44" s="94" t="n">
        <f aca="false">N43*$D$2</f>
        <v>128.709315</v>
      </c>
      <c r="O44" s="99" t="n">
        <f aca="false">O43*$D$2</f>
        <v>4606.52007</v>
      </c>
      <c r="P44" s="99" t="n">
        <f aca="false">P43*$D$2</f>
        <v>156.593358</v>
      </c>
      <c r="Q44" s="99" t="n">
        <f aca="false">Q43*$D$2</f>
        <v>249.921</v>
      </c>
      <c r="R44" s="502" t="n">
        <f aca="false">R43*$D$2</f>
        <v>234.33069</v>
      </c>
      <c r="S44" s="96" t="n">
        <f aca="false">S43*$D$2</f>
        <v>12166.789</v>
      </c>
      <c r="T44" s="96" t="n">
        <f aca="false">T43*$D$2</f>
        <v>4581.885</v>
      </c>
      <c r="U44" s="96" t="n">
        <f aca="false">U43*$D$2</f>
        <v>28199.363962</v>
      </c>
      <c r="V44" s="96"/>
      <c r="W44" s="96"/>
      <c r="X44" s="96" t="n">
        <f aca="false">X43*$D$2</f>
        <v>7620.547495</v>
      </c>
      <c r="Y44" s="96" t="n">
        <f aca="false">Y43*$D$2</f>
        <v>101.1585</v>
      </c>
      <c r="Z44" s="96" t="n">
        <f aca="false">Z43*$D$2</f>
        <v>77.3565</v>
      </c>
      <c r="AA44" s="96" t="n">
        <f aca="false">AA43*$D$2</f>
        <v>37073.5985</v>
      </c>
      <c r="AB44" s="96"/>
      <c r="AC44" s="96" t="n">
        <f aca="false">AC43*$D$2</f>
        <v>78269.58439</v>
      </c>
      <c r="AD44" s="96" t="n">
        <f aca="false">AD43*$D$2</f>
        <v>167.554</v>
      </c>
      <c r="AE44" s="96" t="n">
        <f aca="false">AE43*$D$2</f>
        <v>78437.13839</v>
      </c>
      <c r="AF44" s="98"/>
      <c r="AG44" s="99" t="n">
        <f aca="false">MAX(AG12:AG41)</f>
        <v>91</v>
      </c>
      <c r="AH44" s="100" t="n">
        <f aca="false">MAX(AH12:AH41)</f>
        <v>59</v>
      </c>
      <c r="AI44" s="101" t="s">
        <v>78</v>
      </c>
      <c r="AJ44" s="96" t="n">
        <f aca="false">AJ43*$D$2</f>
        <v>0</v>
      </c>
      <c r="AK44" s="127"/>
      <c r="AL44" s="367" t="n">
        <f aca="false">SUM(AL12:AL41)</f>
        <v>0</v>
      </c>
      <c r="AM44" s="244" t="n">
        <f aca="false">AM43*$D$2</f>
        <v>0</v>
      </c>
      <c r="AN44" s="244" t="n">
        <f aca="false">AN43*$D$2</f>
        <v>62.738105</v>
      </c>
    </row>
    <row r="45" customFormat="false" ht="3" hidden="false" customHeight="true" outlineLevel="0" collapsed="false">
      <c r="A45" s="138"/>
      <c r="B45" s="450"/>
      <c r="C45" s="114"/>
      <c r="D45" s="114"/>
      <c r="E45" s="114"/>
      <c r="F45" s="143"/>
      <c r="G45" s="114"/>
      <c r="H45" s="117"/>
      <c r="I45" s="114"/>
      <c r="J45" s="114"/>
      <c r="K45" s="114"/>
      <c r="L45" s="114"/>
      <c r="M45" s="142"/>
      <c r="N45" s="114"/>
      <c r="O45" s="117"/>
      <c r="P45" s="442"/>
      <c r="Q45" s="442"/>
      <c r="R45" s="141"/>
      <c r="S45" s="114"/>
      <c r="T45" s="114"/>
      <c r="U45" s="114"/>
      <c r="V45" s="114"/>
      <c r="W45" s="114"/>
      <c r="X45" s="114"/>
      <c r="Y45" s="114"/>
      <c r="Z45" s="114"/>
      <c r="AA45" s="114"/>
      <c r="AB45" s="112"/>
      <c r="AC45" s="114"/>
      <c r="AD45" s="114"/>
      <c r="AE45" s="114"/>
      <c r="AF45" s="451"/>
      <c r="AG45" s="114"/>
      <c r="AH45" s="143"/>
      <c r="AI45" s="114"/>
      <c r="AJ45" s="114"/>
      <c r="AK45" s="114"/>
      <c r="AL45" s="472"/>
      <c r="AM45" s="264"/>
      <c r="AN45" s="264"/>
    </row>
    <row r="46" customFormat="false" ht="12.95" hidden="false" customHeight="true" outlineLevel="0" collapsed="false">
      <c r="A46" s="17" t="s">
        <v>79</v>
      </c>
      <c r="B46" s="436"/>
      <c r="C46" s="94"/>
      <c r="D46" s="94"/>
      <c r="E46" s="94"/>
      <c r="F46" s="136" t="n">
        <f aca="false">F9+F43</f>
        <v>71347.6178472397</v>
      </c>
      <c r="G46" s="96" t="n">
        <f aca="false">G9+G43</f>
        <v>156912</v>
      </c>
      <c r="H46" s="101" t="n">
        <f aca="false">H9+H43</f>
        <v>12679.4</v>
      </c>
      <c r="I46" s="96" t="n">
        <f aca="false">I9+I43</f>
        <v>169591.4</v>
      </c>
      <c r="J46" s="96" t="n">
        <f aca="false">J9+J43</f>
        <v>35784.1617569952</v>
      </c>
      <c r="K46" s="96" t="n">
        <f aca="false">K9+K43</f>
        <v>205375.561756995</v>
      </c>
      <c r="L46" s="96" t="n">
        <f aca="false">L9+L43</f>
        <v>35699.6878472397</v>
      </c>
      <c r="M46" s="97" t="n">
        <f aca="false">M9+M43</f>
        <v>17456.5</v>
      </c>
      <c r="N46" s="94" t="n">
        <f aca="false">N9+N43</f>
        <v>131.943</v>
      </c>
      <c r="O46" s="99" t="n">
        <f aca="false">O9+O43</f>
        <v>5669.274</v>
      </c>
      <c r="P46" s="500"/>
      <c r="Q46" s="500"/>
      <c r="R46" s="95"/>
      <c r="S46" s="96" t="n">
        <f aca="false">S9+S43</f>
        <v>9066.25</v>
      </c>
      <c r="T46" s="96" t="n">
        <f aca="false">T9+T43</f>
        <v>4260.4</v>
      </c>
      <c r="U46" s="96" t="n">
        <f aca="false">U9+U43</f>
        <v>23965.2722</v>
      </c>
      <c r="V46" s="503" t="n">
        <f aca="false">V41</f>
        <v>0</v>
      </c>
      <c r="W46" s="503"/>
      <c r="X46" s="96" t="n">
        <f aca="false">X9+X43</f>
        <v>6045.8</v>
      </c>
      <c r="Y46" s="96" t="n">
        <f aca="false">Y9+Y43</f>
        <v>154.7</v>
      </c>
      <c r="Z46" s="96" t="n">
        <f aca="false">Z9+Z43</f>
        <v>118.3</v>
      </c>
      <c r="AA46" s="96"/>
      <c r="AB46" s="503"/>
      <c r="AC46" s="96" t="n">
        <f aca="false">AC9+AC43</f>
        <v>133943.47</v>
      </c>
      <c r="AD46" s="96" t="n">
        <f aca="false">AD9+AD43</f>
        <v>84.4739097554827</v>
      </c>
      <c r="AE46" s="96" t="n">
        <f aca="false">AE9+AE43</f>
        <v>134027.943909756</v>
      </c>
      <c r="AF46" s="98"/>
      <c r="AG46" s="99" t="n">
        <f aca="false">MIN(AG12:AG41)</f>
        <v>44</v>
      </c>
      <c r="AH46" s="100" t="n">
        <f aca="false">MIN(AH12:AH41)</f>
        <v>32</v>
      </c>
      <c r="AI46" s="101" t="s">
        <v>80</v>
      </c>
      <c r="AJ46" s="101"/>
      <c r="AK46" s="127"/>
      <c r="AL46" s="367"/>
      <c r="AM46" s="367" t="n">
        <f aca="false">AM9+AM43</f>
        <v>0</v>
      </c>
      <c r="AN46" s="367" t="n">
        <f aca="false">AN9+AN43</f>
        <v>303.01</v>
      </c>
    </row>
    <row r="47" customFormat="false" ht="12.95" hidden="false" customHeight="true" outlineLevel="0" collapsed="false">
      <c r="A47" s="17" t="s">
        <v>81</v>
      </c>
      <c r="B47" s="436"/>
      <c r="C47" s="94"/>
      <c r="D47" s="94"/>
      <c r="E47" s="94"/>
      <c r="F47" s="136" t="n">
        <f aca="false">F46*$D$2</f>
        <v>141518</v>
      </c>
      <c r="G47" s="96" t="n">
        <f aca="false">G46*$D$2</f>
        <v>311234.952</v>
      </c>
      <c r="H47" s="101" t="n">
        <f aca="false">H46*$D$2</f>
        <v>25149.5899</v>
      </c>
      <c r="I47" s="96" t="n">
        <f aca="false">I46*$D$2</f>
        <v>336384.5419</v>
      </c>
      <c r="J47" s="96" t="n">
        <f aca="false">J46*$D$2</f>
        <v>70977.884845</v>
      </c>
      <c r="K47" s="96" t="n">
        <f aca="false">K46*$D$2</f>
        <v>407362.426745</v>
      </c>
      <c r="L47" s="96" t="n">
        <f aca="false">L46*$D$2</f>
        <v>70810.330845</v>
      </c>
      <c r="M47" s="97" t="n">
        <f aca="false">M46*$D$2</f>
        <v>34624.96775</v>
      </c>
      <c r="N47" s="94" t="n">
        <f aca="false">N46*$D$2</f>
        <v>261.7089405</v>
      </c>
      <c r="O47" s="99" t="n">
        <f aca="false">O46*$D$2</f>
        <v>11245.004979</v>
      </c>
      <c r="P47" s="500"/>
      <c r="Q47" s="500"/>
      <c r="R47" s="95"/>
      <c r="S47" s="96" t="n">
        <f aca="false">S46*$D$2</f>
        <v>17982.906875</v>
      </c>
      <c r="T47" s="96" t="n">
        <f aca="false">T46*$D$2</f>
        <v>8450.5034</v>
      </c>
      <c r="U47" s="96" t="n">
        <f aca="false">U46*$D$2</f>
        <v>47535.1174087</v>
      </c>
      <c r="V47" s="96" t="n">
        <f aca="false">V46*$D$2</f>
        <v>0</v>
      </c>
      <c r="W47" s="96"/>
      <c r="X47" s="96" t="n">
        <f aca="false">X46*$D$2</f>
        <v>11991.8443</v>
      </c>
      <c r="Y47" s="96" t="n">
        <f aca="false">Y46*$D$2</f>
        <v>306.84745</v>
      </c>
      <c r="Z47" s="96" t="n">
        <f aca="false">Z46*$D$2</f>
        <v>234.64805</v>
      </c>
      <c r="AA47" s="96"/>
      <c r="AB47" s="96"/>
      <c r="AC47" s="96" t="n">
        <f aca="false">AC46*$D$2</f>
        <v>265676.872745</v>
      </c>
      <c r="AD47" s="96" t="n">
        <f aca="false">AD46*$D$2</f>
        <v>167.554</v>
      </c>
      <c r="AE47" s="96" t="n">
        <f aca="false">AE46*$D$2</f>
        <v>265844.426745</v>
      </c>
      <c r="AF47" s="98"/>
      <c r="AG47" s="99"/>
      <c r="AH47" s="100"/>
      <c r="AI47" s="101"/>
      <c r="AJ47" s="101"/>
      <c r="AK47" s="127"/>
      <c r="AL47" s="367" t="n">
        <f aca="false">AL9+AL44</f>
        <v>81.3511229124456</v>
      </c>
      <c r="AM47" s="101" t="n">
        <f aca="false">AM46*$D$2</f>
        <v>0</v>
      </c>
      <c r="AN47" s="101" t="n">
        <f aca="false">AN46*$D$2</f>
        <v>601.020335</v>
      </c>
    </row>
    <row r="48" customFormat="false" ht="3" hidden="false" customHeight="true" outlineLevel="0" collapsed="false">
      <c r="A48" s="138"/>
      <c r="B48" s="450"/>
      <c r="C48" s="114"/>
      <c r="D48" s="114"/>
      <c r="E48" s="114"/>
      <c r="F48" s="143"/>
      <c r="G48" s="114"/>
      <c r="H48" s="117"/>
      <c r="I48" s="114"/>
      <c r="J48" s="114"/>
      <c r="K48" s="114"/>
      <c r="L48" s="114"/>
      <c r="M48" s="142"/>
      <c r="N48" s="114"/>
      <c r="O48" s="117"/>
      <c r="P48" s="442"/>
      <c r="Q48" s="442"/>
      <c r="R48" s="141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6"/>
      <c r="AG48" s="452"/>
      <c r="AH48" s="453"/>
      <c r="AI48" s="452"/>
      <c r="AJ48" s="452"/>
      <c r="AK48" s="452"/>
      <c r="AL48" s="472"/>
      <c r="AM48" s="264"/>
      <c r="AN48" s="264"/>
    </row>
    <row r="49" customFormat="false" ht="12.95" hidden="false" customHeight="true" outlineLevel="0" collapsed="false">
      <c r="A49" s="17" t="s">
        <v>82</v>
      </c>
      <c r="B49" s="436"/>
      <c r="C49" s="94"/>
      <c r="D49" s="94"/>
      <c r="E49" s="94"/>
      <c r="F49" s="136" t="n">
        <f aca="false">F10+F43</f>
        <v>87770.6075119738</v>
      </c>
      <c r="G49" s="96" t="n">
        <f aca="false">G10+G43</f>
        <v>173370</v>
      </c>
      <c r="H49" s="101" t="n">
        <f aca="false">H10+H43</f>
        <v>15068.94</v>
      </c>
      <c r="I49" s="96" t="n">
        <f aca="false">I10+I43</f>
        <v>188438.94</v>
      </c>
      <c r="J49" s="96" t="n">
        <f aca="false">J10+J43</f>
        <v>46245.6668616083</v>
      </c>
      <c r="K49" s="96" t="n">
        <f aca="false">K10+K43</f>
        <v>234684.606861608</v>
      </c>
      <c r="L49" s="96" t="n">
        <f aca="false">L10+L43</f>
        <v>45615.9375119738</v>
      </c>
      <c r="M49" s="97" t="n">
        <f aca="false">M10+M43</f>
        <v>18252.5</v>
      </c>
      <c r="N49" s="94" t="n">
        <f aca="false">N10+N43</f>
        <v>131.943</v>
      </c>
      <c r="O49" s="99" t="n">
        <f aca="false">O10+O43</f>
        <v>5669.274</v>
      </c>
      <c r="P49" s="99" t="n">
        <f aca="false">P10+P43</f>
        <v>395.0256</v>
      </c>
      <c r="Q49" s="99" t="n">
        <f aca="false">Q10+Q43</f>
        <v>712.2888</v>
      </c>
      <c r="R49" s="502" t="n">
        <f aca="false">R10+R43</f>
        <v>181.51</v>
      </c>
      <c r="S49" s="96" t="n">
        <f aca="false">S10+S43</f>
        <v>16535.25</v>
      </c>
      <c r="T49" s="96" t="n">
        <f aca="false">T10+T43</f>
        <v>4294.2</v>
      </c>
      <c r="U49" s="96" t="n">
        <f aca="false">U10+U43</f>
        <v>31680.4286</v>
      </c>
      <c r="V49" s="96"/>
      <c r="W49" s="96"/>
      <c r="X49" s="96"/>
      <c r="Y49" s="96"/>
      <c r="Z49" s="96"/>
      <c r="AA49" s="96" t="n">
        <f aca="false">AA10+AA43</f>
        <v>101468</v>
      </c>
      <c r="AB49" s="96" t="n">
        <f aca="false">AB41</f>
        <v>14506.433072851</v>
      </c>
      <c r="AC49" s="96" t="n">
        <f aca="false">AC10+AC43</f>
        <v>146284.27</v>
      </c>
      <c r="AD49" s="96" t="n">
        <f aca="false">AD10+AD43</f>
        <v>629.729349634485</v>
      </c>
      <c r="AE49" s="96" t="n">
        <f aca="false">AE10+AE43</f>
        <v>146913.999349635</v>
      </c>
      <c r="AF49" s="98" t="n">
        <f aca="false">AF10+AF43</f>
        <v>13.6</v>
      </c>
      <c r="AG49" s="99"/>
      <c r="AH49" s="100"/>
      <c r="AI49" s="101"/>
      <c r="AJ49" s="96" t="n">
        <f aca="false">AJ10+AJ43</f>
        <v>0</v>
      </c>
      <c r="AK49" s="127"/>
      <c r="AL49" s="367"/>
      <c r="AM49" s="101" t="n">
        <f aca="false">AM10+AM43</f>
        <v>0</v>
      </c>
      <c r="AN49" s="101"/>
    </row>
    <row r="50" customFormat="false" ht="12.95" hidden="false" customHeight="true" outlineLevel="0" collapsed="false">
      <c r="A50" s="17" t="s">
        <v>83</v>
      </c>
      <c r="B50" s="436"/>
      <c r="C50" s="94"/>
      <c r="D50" s="94" t="n">
        <f aca="false">D10+D44</f>
        <v>174093</v>
      </c>
      <c r="E50" s="94" t="n">
        <f aca="false">E41</f>
        <v>229339</v>
      </c>
      <c r="F50" s="136" t="n">
        <f aca="false">F49*$D$2</f>
        <v>174093</v>
      </c>
      <c r="G50" s="96" t="n">
        <f aca="false">G49*$D$2</f>
        <v>343879.395</v>
      </c>
      <c r="H50" s="101" t="n">
        <f aca="false">H49*$D$2</f>
        <v>29889.24249</v>
      </c>
      <c r="I50" s="96" t="n">
        <f aca="false">I49*$D$2</f>
        <v>373768.63749</v>
      </c>
      <c r="J50" s="96" t="n">
        <f aca="false">J49*$D$2</f>
        <v>91728.28022</v>
      </c>
      <c r="K50" s="96" t="n">
        <f aca="false">K49*$D$2</f>
        <v>465496.91771</v>
      </c>
      <c r="L50" s="96" t="n">
        <f aca="false">L49*$D$2</f>
        <v>90479.212055</v>
      </c>
      <c r="M50" s="97" t="n">
        <f aca="false">M49*$D$2</f>
        <v>36203.83375</v>
      </c>
      <c r="N50" s="94" t="n">
        <f aca="false">N49*$D$2</f>
        <v>261.7089405</v>
      </c>
      <c r="O50" s="99" t="n">
        <f aca="false">O49*$D$2</f>
        <v>11245.004979</v>
      </c>
      <c r="P50" s="99" t="n">
        <f aca="false">P49*$D$2</f>
        <v>783.5332776</v>
      </c>
      <c r="Q50" s="99" t="n">
        <f aca="false">Q49*$D$2</f>
        <v>1412.8248348</v>
      </c>
      <c r="R50" s="502" t="n">
        <f aca="false">R49*$D$2</f>
        <v>360.025085</v>
      </c>
      <c r="S50" s="96" t="n">
        <f aca="false">S49*$D$2</f>
        <v>32797.668375</v>
      </c>
      <c r="T50" s="96" t="n">
        <f aca="false">T49*$D$2</f>
        <v>8517.5457</v>
      </c>
      <c r="U50" s="96" t="n">
        <f aca="false">U49*$D$2</f>
        <v>62838.1301281</v>
      </c>
      <c r="V50" s="96"/>
      <c r="W50" s="96"/>
      <c r="X50" s="96"/>
      <c r="Y50" s="96"/>
      <c r="Z50" s="96"/>
      <c r="AA50" s="96" t="n">
        <f aca="false">AA49*$D$2</f>
        <v>201261.778</v>
      </c>
      <c r="AB50" s="96" t="n">
        <f aca="false">AB49*$D$2</f>
        <v>28773.51</v>
      </c>
      <c r="AC50" s="96" t="n">
        <f aca="false">AC49*$D$2</f>
        <v>290154.849545</v>
      </c>
      <c r="AD50" s="96" t="n">
        <f aca="false">AD49*$D$2</f>
        <v>1249.068165</v>
      </c>
      <c r="AE50" s="96" t="n">
        <f aca="false">AE49*$D$2</f>
        <v>291403.91771</v>
      </c>
      <c r="AF50" s="98"/>
      <c r="AG50" s="99"/>
      <c r="AH50" s="100"/>
      <c r="AI50" s="101" t="n">
        <f aca="false">AI41</f>
        <v>16467.3080282</v>
      </c>
      <c r="AJ50" s="96" t="n">
        <f aca="false">AJ49*$D$2</f>
        <v>0</v>
      </c>
      <c r="AK50" s="127"/>
      <c r="AL50" s="367" t="n">
        <f aca="false">AL10+AL44</f>
        <v>81.3511229124456</v>
      </c>
      <c r="AM50" s="101" t="n">
        <f aca="false">AM49*$D$2</f>
        <v>0</v>
      </c>
      <c r="AN50" s="101"/>
    </row>
    <row r="51" customFormat="false" ht="3" hidden="false" customHeight="true" outlineLevel="0" collapsed="false">
      <c r="A51" s="106"/>
      <c r="B51" s="450"/>
      <c r="C51" s="114"/>
      <c r="D51" s="112"/>
      <c r="E51" s="114"/>
      <c r="F51" s="440"/>
      <c r="G51" s="112"/>
      <c r="H51" s="442"/>
      <c r="I51" s="112"/>
      <c r="J51" s="112"/>
      <c r="K51" s="504"/>
      <c r="L51" s="112"/>
      <c r="M51" s="115"/>
      <c r="N51" s="112"/>
      <c r="O51" s="442"/>
      <c r="P51" s="442"/>
      <c r="Q51" s="442"/>
      <c r="R51" s="113"/>
      <c r="S51" s="112"/>
      <c r="T51" s="112"/>
      <c r="U51" s="112"/>
      <c r="V51" s="114"/>
      <c r="W51" s="114"/>
      <c r="X51" s="112"/>
      <c r="Y51" s="111"/>
      <c r="Z51" s="146"/>
      <c r="AA51" s="112"/>
      <c r="AB51" s="114"/>
      <c r="AC51" s="112"/>
      <c r="AD51" s="112"/>
      <c r="AE51" s="112"/>
      <c r="AF51" s="450"/>
      <c r="AG51" s="112"/>
      <c r="AH51" s="440"/>
      <c r="AI51" s="112"/>
      <c r="AJ51" s="112"/>
      <c r="AK51" s="112"/>
      <c r="AL51" s="472"/>
      <c r="AM51" s="472"/>
      <c r="AN51" s="472"/>
    </row>
    <row r="52" customFormat="false" ht="14.1" hidden="false" customHeight="true" outlineLevel="0" collapsed="false">
      <c r="A52" s="150"/>
      <c r="B52" s="152"/>
      <c r="C52" s="10"/>
      <c r="D52" s="9"/>
      <c r="E52" s="505"/>
      <c r="H52" s="122"/>
      <c r="I52" s="9"/>
      <c r="J52" s="9"/>
      <c r="K52" s="506"/>
      <c r="L52" s="165"/>
      <c r="M52" s="9"/>
      <c r="N52" s="9"/>
      <c r="O52" s="122"/>
      <c r="P52" s="122"/>
      <c r="Q52" s="122"/>
      <c r="R52" s="9"/>
      <c r="S52" s="9"/>
      <c r="T52" s="9"/>
      <c r="U52" s="9"/>
      <c r="V52" s="507"/>
      <c r="W52" s="507"/>
      <c r="X52" s="9"/>
      <c r="Y52" s="9"/>
      <c r="Z52" s="9"/>
      <c r="AA52" s="9"/>
      <c r="AB52" s="505"/>
      <c r="AC52" s="9"/>
      <c r="AD52" s="9"/>
      <c r="AE52" s="9"/>
      <c r="AF52" s="14"/>
      <c r="AG52" s="15"/>
      <c r="AH52" s="15"/>
      <c r="AI52" s="16"/>
      <c r="AJ52" s="16"/>
      <c r="AK52" s="494"/>
      <c r="AL52" s="483"/>
    </row>
    <row r="53" customFormat="false" ht="11.1" hidden="false" customHeight="true" outlineLevel="0" collapsed="false">
      <c r="A53" s="9"/>
      <c r="B53" s="152"/>
      <c r="C53" s="10"/>
      <c r="D53" s="153"/>
      <c r="E53" s="484"/>
      <c r="F53" s="508"/>
      <c r="H53" s="122"/>
      <c r="I53" s="11"/>
      <c r="J53" s="9"/>
      <c r="K53" s="154"/>
      <c r="L53" s="168"/>
      <c r="M53" s="9"/>
      <c r="N53" s="9"/>
      <c r="O53" s="122"/>
      <c r="P53" s="122"/>
      <c r="Q53" s="122"/>
      <c r="R53" s="124"/>
      <c r="S53" s="509"/>
      <c r="T53" s="124"/>
      <c r="U53" s="510"/>
      <c r="V53" s="165"/>
      <c r="W53" s="165"/>
      <c r="X53" s="509"/>
      <c r="Y53" s="509"/>
      <c r="Z53" s="509"/>
      <c r="AA53" s="9"/>
      <c r="AB53" s="10"/>
      <c r="AC53" s="9"/>
      <c r="AD53" s="9"/>
      <c r="AE53" s="9"/>
      <c r="AF53" s="14"/>
      <c r="AG53" s="15"/>
      <c r="AH53" s="15"/>
      <c r="AI53" s="16"/>
      <c r="AJ53" s="16"/>
      <c r="AK53" s="494"/>
    </row>
    <row r="54" customFormat="false" ht="11.1" hidden="false" customHeight="true" outlineLevel="0" collapsed="false">
      <c r="B54" s="165"/>
      <c r="C54" s="157"/>
      <c r="D54" s="156"/>
      <c r="E54" s="484"/>
      <c r="F54" s="485"/>
      <c r="H54" s="122"/>
      <c r="I54" s="153"/>
      <c r="J54" s="153"/>
      <c r="K54" s="511"/>
      <c r="L54" s="488"/>
      <c r="M54" s="512"/>
      <c r="N54" s="512"/>
      <c r="O54" s="513"/>
      <c r="P54" s="513"/>
      <c r="Q54" s="513"/>
      <c r="R54" s="456"/>
      <c r="S54" s="509"/>
      <c r="T54" s="124"/>
      <c r="U54" s="91"/>
      <c r="V54" s="165"/>
      <c r="W54" s="165"/>
      <c r="X54" s="165"/>
      <c r="Y54" s="165"/>
      <c r="Z54" s="165"/>
      <c r="AA54" s="10"/>
      <c r="AB54" s="509"/>
      <c r="AC54" s="153"/>
      <c r="AD54" s="153"/>
      <c r="AE54" s="13"/>
      <c r="AF54" s="14"/>
      <c r="AG54" s="15"/>
      <c r="AH54" s="16"/>
      <c r="AI54" s="514"/>
      <c r="AJ54" s="514"/>
      <c r="AK54" s="514"/>
    </row>
    <row r="55" customFormat="false" ht="11.1" hidden="false" customHeight="true" outlineLevel="0" collapsed="false">
      <c r="A55" s="153"/>
      <c r="B55" s="285"/>
      <c r="C55" s="165"/>
      <c r="D55" s="165"/>
      <c r="E55" s="484"/>
      <c r="H55" s="168"/>
      <c r="J55" s="153"/>
      <c r="K55" s="511"/>
      <c r="L55" s="168"/>
      <c r="M55" s="122"/>
      <c r="N55" s="122"/>
      <c r="O55" s="168"/>
      <c r="P55" s="168"/>
      <c r="Q55" s="168"/>
      <c r="R55" s="456"/>
      <c r="S55" s="456"/>
      <c r="T55" s="456"/>
      <c r="U55" s="91"/>
      <c r="V55" s="171"/>
      <c r="W55" s="171"/>
      <c r="X55" s="165"/>
      <c r="Y55" s="165"/>
      <c r="Z55" s="165"/>
      <c r="AA55" s="10"/>
      <c r="AB55" s="165"/>
      <c r="AC55" s="153"/>
      <c r="AD55" s="153"/>
      <c r="AE55" s="13"/>
      <c r="AF55" s="14"/>
      <c r="AG55" s="15"/>
      <c r="AH55" s="16"/>
      <c r="AI55" s="514"/>
      <c r="AJ55" s="514"/>
      <c r="AK55" s="514"/>
    </row>
    <row r="56" customFormat="false" ht="11.1" hidden="false" customHeight="true" outlineLevel="0" collapsed="false">
      <c r="A56" s="153"/>
      <c r="B56" s="169"/>
      <c r="C56" s="165"/>
      <c r="D56" s="165"/>
      <c r="E56" s="484"/>
      <c r="F56" s="490"/>
      <c r="G56" s="285"/>
      <c r="H56" s="122"/>
      <c r="I56" s="153"/>
      <c r="J56" s="153"/>
      <c r="K56" s="154"/>
      <c r="L56" s="153"/>
      <c r="M56" s="122"/>
      <c r="N56" s="122"/>
      <c r="O56" s="122"/>
      <c r="P56" s="122"/>
      <c r="Q56" s="122"/>
      <c r="R56" s="153"/>
      <c r="S56" s="153"/>
      <c r="T56" s="153"/>
      <c r="U56" s="10"/>
      <c r="V56" s="10"/>
      <c r="W56" s="10"/>
      <c r="X56" s="153"/>
      <c r="Y56" s="153"/>
      <c r="Z56" s="153"/>
      <c r="AA56" s="10"/>
      <c r="AB56" s="153"/>
      <c r="AC56" s="153"/>
      <c r="AD56" s="153"/>
      <c r="AE56" s="13"/>
      <c r="AF56" s="14"/>
      <c r="AG56" s="15"/>
      <c r="AH56" s="16"/>
      <c r="AI56" s="514"/>
      <c r="AJ56" s="514"/>
      <c r="AK56" s="514"/>
    </row>
    <row r="57" customFormat="false" ht="11.1" hidden="false" customHeight="true" outlineLevel="0" collapsed="false">
      <c r="T57" s="153"/>
      <c r="U57" s="10"/>
    </row>
    <row r="58" customFormat="false" ht="11.1" hidden="false" customHeight="true" outlineLevel="0" collapsed="false">
      <c r="B58" s="151"/>
    </row>
  </sheetData>
  <mergeCells count="2">
    <mergeCell ref="K2:AA2"/>
    <mergeCell ref="M5:R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24" activePane="bottomRight" state="frozen"/>
      <selection pane="topLeft" activeCell="A1" activeCellId="0" sqref="A1"/>
      <selection pane="topRight" activeCell="B1" activeCellId="0" sqref="B1"/>
      <selection pane="bottomLeft" activeCell="A24" activeCellId="0" sqref="A24"/>
      <selection pane="bottomRight" activeCell="AH29" activeCellId="0" sqref="AH29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159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7" min="16" style="159" width="4.32"/>
    <col collapsed="false" customWidth="true" hidden="false" outlineLevel="0" max="18" min="18" style="156" width="4.32"/>
    <col collapsed="false" customWidth="true" hidden="false" outlineLevel="0" max="20" min="19" style="156" width="5.49"/>
    <col collapsed="false" customWidth="true" hidden="false" outlineLevel="0" max="21" min="21" style="157" width="6.32"/>
    <col collapsed="false" customWidth="true" hidden="false" outlineLevel="0" max="26" min="22" style="156" width="5.49"/>
    <col collapsed="false" customWidth="true" hidden="false" outlineLevel="0" max="27" min="27" style="157" width="6.49"/>
    <col collapsed="false" customWidth="true" hidden="false" outlineLevel="0" max="28" min="28" style="156" width="5.49"/>
    <col collapsed="false" customWidth="true" hidden="false" outlineLevel="0" max="29" min="29" style="156" width="6.32"/>
    <col collapsed="false" customWidth="true" hidden="false" outlineLevel="0" max="30" min="30" style="156" width="6.99"/>
    <col collapsed="false" customWidth="true" hidden="false" outlineLevel="0" max="31" min="31" style="160" width="6.99"/>
    <col collapsed="false" customWidth="true" hidden="false" outlineLevel="0" max="32" min="32" style="161" width="5.32"/>
    <col collapsed="false" customWidth="true" hidden="false" outlineLevel="0" max="33" min="33" style="161" width="3.82"/>
    <col collapsed="false" customWidth="true" hidden="false" outlineLevel="0" max="34" min="34" style="162" width="3.82"/>
    <col collapsed="false" customWidth="true" hidden="false" outlineLevel="0" max="36" min="35" style="156" width="5.49"/>
    <col collapsed="false" customWidth="true" hidden="false" outlineLevel="0" max="37" min="37" style="159" width="6.32"/>
    <col collapsed="false" customWidth="true" hidden="false" outlineLevel="0" max="38" min="38" style="515" width="6.32"/>
    <col collapsed="false" customWidth="true" hidden="false" outlineLevel="0" max="39" min="39" style="162" width="6.32"/>
    <col collapsed="false" customWidth="true" hidden="false" outlineLevel="0" max="40" min="40" style="156" width="6.49"/>
    <col collapsed="false" customWidth="false" hidden="false" outlineLevel="0" max="257" min="41" style="156" width="9.32"/>
  </cols>
  <sheetData>
    <row r="1" customFormat="false" ht="14.1" hidden="false" customHeight="true" outlineLevel="0" collapsed="false">
      <c r="A1" s="9"/>
      <c r="B1" s="9"/>
      <c r="C1" s="10"/>
      <c r="D1" s="9"/>
      <c r="E1" s="10"/>
      <c r="F1" s="9"/>
      <c r="G1" s="9"/>
      <c r="H1" s="122"/>
      <c r="I1" s="9"/>
      <c r="J1" s="9"/>
      <c r="K1" s="12" t="s">
        <v>0</v>
      </c>
      <c r="L1" s="9"/>
      <c r="M1" s="9"/>
      <c r="N1" s="9"/>
      <c r="O1" s="9"/>
      <c r="P1" s="9"/>
      <c r="Q1" s="9"/>
      <c r="R1" s="9"/>
      <c r="S1" s="9"/>
      <c r="T1" s="9"/>
      <c r="U1" s="10"/>
      <c r="V1" s="9"/>
      <c r="W1" s="9"/>
      <c r="X1" s="9"/>
      <c r="Y1" s="9"/>
      <c r="Z1" s="9"/>
      <c r="AA1" s="10"/>
      <c r="AB1" s="9"/>
      <c r="AC1" s="9"/>
      <c r="AD1" s="9"/>
      <c r="AE1" s="13"/>
      <c r="AF1" s="14"/>
      <c r="AG1" s="15"/>
      <c r="AH1" s="16"/>
      <c r="AI1" s="494"/>
      <c r="AJ1" s="494"/>
      <c r="AK1" s="516"/>
      <c r="AM1" s="5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</row>
    <row r="2" customFormat="false" ht="14.1" hidden="false" customHeight="true" outlineLevel="0" collapsed="false">
      <c r="A2" s="17" t="s">
        <v>1</v>
      </c>
      <c r="B2" s="9"/>
      <c r="C2" s="10"/>
      <c r="D2" s="18" t="n">
        <v>1.9835</v>
      </c>
      <c r="E2" s="10"/>
      <c r="F2" s="9"/>
      <c r="G2" s="9"/>
      <c r="H2" s="122"/>
      <c r="I2" s="9"/>
      <c r="J2" s="9"/>
      <c r="K2" s="495" t="s">
        <v>114</v>
      </c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95"/>
      <c r="W2" s="495"/>
      <c r="X2" s="495"/>
      <c r="Y2" s="495"/>
      <c r="Z2" s="495"/>
      <c r="AA2" s="495"/>
      <c r="AB2" s="9"/>
      <c r="AC2" s="9"/>
      <c r="AD2" s="9"/>
      <c r="AE2" s="13"/>
      <c r="AF2" s="14"/>
      <c r="AG2" s="15"/>
      <c r="AH2" s="16"/>
      <c r="AI2" s="494"/>
      <c r="AJ2" s="494"/>
      <c r="AK2" s="516"/>
      <c r="AM2" s="5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14.1" hidden="false" customHeight="true" outlineLevel="0" collapsed="false">
      <c r="A3" s="19"/>
      <c r="B3" s="19"/>
      <c r="C3" s="20"/>
      <c r="D3" s="21"/>
      <c r="E3" s="20"/>
      <c r="F3" s="19"/>
      <c r="G3" s="19"/>
      <c r="H3" s="496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0"/>
      <c r="V3" s="19"/>
      <c r="W3" s="19"/>
      <c r="X3" s="19"/>
      <c r="Y3" s="19"/>
      <c r="Z3" s="19"/>
      <c r="AA3" s="20"/>
      <c r="AB3" s="19"/>
      <c r="AC3" s="19"/>
      <c r="AD3" s="19"/>
      <c r="AE3" s="23"/>
      <c r="AF3" s="24"/>
      <c r="AG3" s="25"/>
      <c r="AH3" s="26"/>
      <c r="AI3" s="497"/>
      <c r="AJ3" s="497"/>
      <c r="AK3" s="517"/>
      <c r="AM3" s="5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s="8" customFormat="true" ht="14.1" hidden="false" customHeight="true" outlineLevel="0" collapsed="false">
      <c r="A4" s="31"/>
      <c r="B4" s="32"/>
      <c r="C4" s="33"/>
      <c r="D4" s="411" t="s">
        <v>3</v>
      </c>
      <c r="E4" s="33"/>
      <c r="F4" s="35"/>
      <c r="G4" s="31"/>
      <c r="H4" s="498"/>
      <c r="I4" s="31"/>
      <c r="J4" s="31"/>
      <c r="K4" s="31"/>
      <c r="L4" s="31"/>
      <c r="M4" s="31"/>
      <c r="N4" s="31"/>
      <c r="O4" s="31"/>
      <c r="P4" s="31"/>
      <c r="Q4" s="31"/>
      <c r="R4" s="31"/>
      <c r="S4" s="37" t="s">
        <v>4</v>
      </c>
      <c r="T4" s="31"/>
      <c r="U4" s="38"/>
      <c r="V4" s="31"/>
      <c r="W4" s="31"/>
      <c r="X4" s="31"/>
      <c r="Y4" s="31"/>
      <c r="Z4" s="31"/>
      <c r="AA4" s="38"/>
      <c r="AB4" s="31"/>
      <c r="AC4" s="31"/>
      <c r="AD4" s="31"/>
      <c r="AE4" s="39"/>
      <c r="AF4" s="40"/>
      <c r="AG4" s="41" t="s">
        <v>5</v>
      </c>
      <c r="AH4" s="42"/>
      <c r="AI4" s="418"/>
      <c r="AJ4" s="418"/>
      <c r="AK4" s="193" t="s">
        <v>6</v>
      </c>
      <c r="AL4" s="419"/>
      <c r="AM4" s="415"/>
      <c r="AN4" s="44"/>
    </row>
    <row r="5" s="520" customFormat="true" ht="12.95" hidden="false" customHeight="true" outlineLevel="0" collapsed="false">
      <c r="A5" s="233" t="s">
        <v>7</v>
      </c>
      <c r="B5" s="464" t="s">
        <v>8</v>
      </c>
      <c r="C5" s="229" t="s">
        <v>8</v>
      </c>
      <c r="D5" s="233" t="s">
        <v>9</v>
      </c>
      <c r="E5" s="229" t="s">
        <v>10</v>
      </c>
      <c r="F5" s="518" t="s">
        <v>11</v>
      </c>
      <c r="G5" s="467" t="s">
        <v>12</v>
      </c>
      <c r="H5" s="466" t="s">
        <v>13</v>
      </c>
      <c r="I5" s="467" t="s">
        <v>14</v>
      </c>
      <c r="J5" s="467" t="s">
        <v>15</v>
      </c>
      <c r="K5" s="467" t="s">
        <v>16</v>
      </c>
      <c r="L5" s="233" t="s">
        <v>15</v>
      </c>
      <c r="M5" s="210" t="s">
        <v>17</v>
      </c>
      <c r="N5" s="210"/>
      <c r="O5" s="210"/>
      <c r="P5" s="210"/>
      <c r="Q5" s="210"/>
      <c r="R5" s="210"/>
      <c r="S5" s="420" t="s">
        <v>18</v>
      </c>
      <c r="T5" s="420" t="s">
        <v>19</v>
      </c>
      <c r="U5" s="420" t="s">
        <v>16</v>
      </c>
      <c r="V5" s="79" t="s">
        <v>20</v>
      </c>
      <c r="W5" s="229" t="s">
        <v>20</v>
      </c>
      <c r="X5" s="420" t="s">
        <v>21</v>
      </c>
      <c r="Y5" s="212" t="s">
        <v>115</v>
      </c>
      <c r="Z5" s="213"/>
      <c r="AA5" s="420" t="s">
        <v>23</v>
      </c>
      <c r="AB5" s="229" t="s">
        <v>108</v>
      </c>
      <c r="AC5" s="233" t="s">
        <v>14</v>
      </c>
      <c r="AD5" s="233" t="s">
        <v>15</v>
      </c>
      <c r="AE5" s="233" t="s">
        <v>16</v>
      </c>
      <c r="AF5" s="519" t="s">
        <v>25</v>
      </c>
      <c r="AG5" s="224" t="s">
        <v>26</v>
      </c>
      <c r="AH5" s="351" t="s">
        <v>27</v>
      </c>
      <c r="AI5" s="67" t="s">
        <v>86</v>
      </c>
      <c r="AJ5" s="67" t="s">
        <v>20</v>
      </c>
      <c r="AK5" s="68" t="s">
        <v>87</v>
      </c>
      <c r="AL5" s="68" t="s">
        <v>87</v>
      </c>
      <c r="AM5" s="67" t="s">
        <v>29</v>
      </c>
      <c r="AN5" s="218" t="s">
        <v>30</v>
      </c>
    </row>
    <row r="6" s="520" customFormat="true" ht="12.95" hidden="false" customHeight="true" outlineLevel="0" collapsed="false">
      <c r="A6" s="468" t="s">
        <v>116</v>
      </c>
      <c r="B6" s="464" t="s">
        <v>32</v>
      </c>
      <c r="C6" s="229" t="s">
        <v>9</v>
      </c>
      <c r="D6" s="233" t="s">
        <v>33</v>
      </c>
      <c r="E6" s="229" t="s">
        <v>34</v>
      </c>
      <c r="F6" s="518" t="s">
        <v>35</v>
      </c>
      <c r="G6" s="467" t="s">
        <v>36</v>
      </c>
      <c r="H6" s="466" t="s">
        <v>37</v>
      </c>
      <c r="I6" s="467" t="s">
        <v>38</v>
      </c>
      <c r="J6" s="467" t="s">
        <v>38</v>
      </c>
      <c r="K6" s="467" t="s">
        <v>38</v>
      </c>
      <c r="L6" s="233" t="s">
        <v>39</v>
      </c>
      <c r="M6" s="469" t="s">
        <v>40</v>
      </c>
      <c r="N6" s="233" t="s">
        <v>41</v>
      </c>
      <c r="O6" s="233" t="s">
        <v>42</v>
      </c>
      <c r="P6" s="233" t="s">
        <v>43</v>
      </c>
      <c r="Q6" s="233" t="s">
        <v>44</v>
      </c>
      <c r="R6" s="234" t="s">
        <v>45</v>
      </c>
      <c r="S6" s="420" t="s">
        <v>46</v>
      </c>
      <c r="T6" s="420" t="s">
        <v>47</v>
      </c>
      <c r="U6" s="420" t="s">
        <v>20</v>
      </c>
      <c r="V6" s="79" t="s">
        <v>57</v>
      </c>
      <c r="W6" s="229" t="s">
        <v>49</v>
      </c>
      <c r="X6" s="420" t="s">
        <v>50</v>
      </c>
      <c r="Y6" s="221" t="s">
        <v>20</v>
      </c>
      <c r="Z6" s="222" t="s">
        <v>52</v>
      </c>
      <c r="AA6" s="420" t="s">
        <v>53</v>
      </c>
      <c r="AB6" s="229" t="s">
        <v>54</v>
      </c>
      <c r="AC6" s="233" t="s">
        <v>55</v>
      </c>
      <c r="AD6" s="233" t="s">
        <v>55</v>
      </c>
      <c r="AE6" s="233" t="s">
        <v>55</v>
      </c>
      <c r="AF6" s="521"/>
      <c r="AG6" s="224" t="s">
        <v>56</v>
      </c>
      <c r="AH6" s="351" t="s">
        <v>56</v>
      </c>
      <c r="AI6" s="67" t="s">
        <v>57</v>
      </c>
      <c r="AJ6" s="67" t="s">
        <v>58</v>
      </c>
      <c r="AK6" s="68" t="s">
        <v>59</v>
      </c>
      <c r="AL6" s="68" t="s">
        <v>59</v>
      </c>
      <c r="AM6" s="67" t="s">
        <v>60</v>
      </c>
      <c r="AN6" s="218" t="s">
        <v>117</v>
      </c>
    </row>
    <row r="7" s="520" customFormat="true" ht="12.95" hidden="false" customHeight="true" outlineLevel="0" collapsed="false">
      <c r="A7" s="233"/>
      <c r="B7" s="464"/>
      <c r="C7" s="229"/>
      <c r="D7" s="233"/>
      <c r="E7" s="229" t="s">
        <v>62</v>
      </c>
      <c r="F7" s="518"/>
      <c r="G7" s="233"/>
      <c r="H7" s="235"/>
      <c r="I7" s="233"/>
      <c r="J7" s="233"/>
      <c r="K7" s="233"/>
      <c r="L7" s="233"/>
      <c r="M7" s="469"/>
      <c r="N7" s="233" t="s">
        <v>63</v>
      </c>
      <c r="O7" s="233" t="s">
        <v>64</v>
      </c>
      <c r="P7" s="233"/>
      <c r="Q7" s="233"/>
      <c r="R7" s="234" t="s">
        <v>42</v>
      </c>
      <c r="S7" s="420"/>
      <c r="T7" s="420"/>
      <c r="U7" s="420"/>
      <c r="V7" s="79"/>
      <c r="W7" s="79" t="s">
        <v>91</v>
      </c>
      <c r="X7" s="420"/>
      <c r="Y7" s="232"/>
      <c r="Z7" s="236"/>
      <c r="AA7" s="420"/>
      <c r="AB7" s="79"/>
      <c r="AC7" s="420"/>
      <c r="AD7" s="420"/>
      <c r="AE7" s="420"/>
      <c r="AF7" s="521"/>
      <c r="AG7" s="224"/>
      <c r="AH7" s="351"/>
      <c r="AI7" s="67" t="s">
        <v>62</v>
      </c>
      <c r="AJ7" s="67" t="s">
        <v>66</v>
      </c>
      <c r="AK7" s="68" t="s">
        <v>105</v>
      </c>
      <c r="AL7" s="68" t="s">
        <v>92</v>
      </c>
      <c r="AM7" s="67" t="s">
        <v>69</v>
      </c>
      <c r="AN7" s="218" t="s">
        <v>70</v>
      </c>
    </row>
    <row r="8" s="520" customFormat="true" ht="12.95" hidden="false" customHeight="true" outlineLevel="0" collapsed="false">
      <c r="A8" s="233"/>
      <c r="B8" s="464"/>
      <c r="C8" s="229"/>
      <c r="D8" s="233"/>
      <c r="E8" s="229"/>
      <c r="F8" s="518"/>
      <c r="G8" s="233"/>
      <c r="H8" s="235"/>
      <c r="I8" s="233"/>
      <c r="J8" s="233"/>
      <c r="K8" s="233"/>
      <c r="L8" s="233"/>
      <c r="M8" s="469"/>
      <c r="N8" s="239" t="n">
        <v>1.03</v>
      </c>
      <c r="O8" s="239" t="n">
        <v>1.05</v>
      </c>
      <c r="P8" s="239" t="n">
        <v>1.02</v>
      </c>
      <c r="Q8" s="239" t="n">
        <v>1.04</v>
      </c>
      <c r="R8" s="234" t="s">
        <v>52</v>
      </c>
      <c r="S8" s="233"/>
      <c r="T8" s="233"/>
      <c r="U8" s="233"/>
      <c r="V8" s="229"/>
      <c r="W8" s="229" t="s">
        <v>71</v>
      </c>
      <c r="X8" s="233"/>
      <c r="Y8" s="232"/>
      <c r="Z8" s="236"/>
      <c r="AA8" s="233"/>
      <c r="AB8" s="229"/>
      <c r="AC8" s="233"/>
      <c r="AD8" s="233"/>
      <c r="AE8" s="233"/>
      <c r="AF8" s="521"/>
      <c r="AG8" s="224"/>
      <c r="AH8" s="351"/>
      <c r="AI8" s="67"/>
      <c r="AJ8" s="67"/>
      <c r="AK8" s="68"/>
      <c r="AL8" s="68" t="s">
        <v>66</v>
      </c>
      <c r="AM8" s="522"/>
    </row>
    <row r="9" customFormat="false" ht="12.95" hidden="false" customHeight="true" outlineLevel="0" collapsed="false">
      <c r="A9" s="173" t="s">
        <v>73</v>
      </c>
      <c r="B9" s="241"/>
      <c r="C9" s="242"/>
      <c r="D9" s="242"/>
      <c r="E9" s="242"/>
      <c r="F9" s="243" t="n">
        <f aca="false">JUN!F46</f>
        <v>71347.6178472397</v>
      </c>
      <c r="G9" s="242" t="n">
        <f aca="false">JUN!G46</f>
        <v>156912</v>
      </c>
      <c r="H9" s="244" t="n">
        <f aca="false">JUN!H46</f>
        <v>12679.4</v>
      </c>
      <c r="I9" s="242" t="n">
        <f aca="false">JUN!I46</f>
        <v>169591.4</v>
      </c>
      <c r="J9" s="242" t="n">
        <f aca="false">JUN!J46</f>
        <v>35784.1617569952</v>
      </c>
      <c r="K9" s="242" t="n">
        <f aca="false">JUN!K46</f>
        <v>205375.561756995</v>
      </c>
      <c r="L9" s="242" t="n">
        <f aca="false">JUN!L46</f>
        <v>35699.6878472397</v>
      </c>
      <c r="M9" s="245" t="n">
        <f aca="false">JUN!M46</f>
        <v>17456.5</v>
      </c>
      <c r="N9" s="242" t="n">
        <f aca="false">JUN!N46</f>
        <v>131.943</v>
      </c>
      <c r="O9" s="242" t="n">
        <f aca="false">JUN!O46</f>
        <v>5669.274</v>
      </c>
      <c r="P9" s="242"/>
      <c r="Q9" s="242"/>
      <c r="R9" s="246"/>
      <c r="S9" s="242" t="n">
        <f aca="false">JUN!S46</f>
        <v>9066.25</v>
      </c>
      <c r="T9" s="242" t="n">
        <f aca="false">JUN!T46</f>
        <v>4260.4</v>
      </c>
      <c r="U9" s="242" t="n">
        <f aca="false">JUN!U46</f>
        <v>23965.2722</v>
      </c>
      <c r="V9" s="242" t="n">
        <f aca="false">JUN!V46</f>
        <v>0</v>
      </c>
      <c r="W9" s="242" t="n">
        <f aca="false">(22769+3400)/1.9835</f>
        <v>13193.3450970507</v>
      </c>
      <c r="X9" s="242" t="n">
        <f aca="false">JUN!X46</f>
        <v>6045.8</v>
      </c>
      <c r="Y9" s="245" t="n">
        <f aca="false">JUN!Y46</f>
        <v>154.7</v>
      </c>
      <c r="Z9" s="246" t="n">
        <f aca="false">JUN!Z46</f>
        <v>118.3</v>
      </c>
      <c r="AA9" s="242"/>
      <c r="AB9" s="242"/>
      <c r="AC9" s="242" t="n">
        <f aca="false">JUN!AC46</f>
        <v>133943.47</v>
      </c>
      <c r="AD9" s="242" t="n">
        <f aca="false">JUN!AD46</f>
        <v>84.4739097554827</v>
      </c>
      <c r="AE9" s="242" t="n">
        <f aca="false">JUN!AE46</f>
        <v>134027.943909756</v>
      </c>
      <c r="AF9" s="380"/>
      <c r="AG9" s="244"/>
      <c r="AH9" s="249"/>
      <c r="AI9" s="244"/>
      <c r="AJ9" s="244"/>
      <c r="AK9" s="247"/>
      <c r="AL9" s="367" t="n">
        <f aca="false">JUN!AL47</f>
        <v>81.3511229124456</v>
      </c>
      <c r="AM9" s="101" t="n">
        <f aca="false">JUN!AM46</f>
        <v>0</v>
      </c>
      <c r="AN9" s="101" t="n">
        <f aca="false">JUN!AN46</f>
        <v>303.01</v>
      </c>
    </row>
    <row r="10" s="157" customFormat="true" ht="12.95" hidden="false" customHeight="true" outlineLevel="0" collapsed="false">
      <c r="A10" s="251" t="s">
        <v>74</v>
      </c>
      <c r="B10" s="252" t="n">
        <f aca="false">JUN!B41</f>
        <v>6924.04</v>
      </c>
      <c r="C10" s="242" t="n">
        <f aca="false">JUN!C41</f>
        <v>381339</v>
      </c>
      <c r="D10" s="242" t="n">
        <f aca="false">JUN!D50</f>
        <v>174093</v>
      </c>
      <c r="E10" s="242" t="n">
        <f aca="false">JUN!E50</f>
        <v>229339</v>
      </c>
      <c r="F10" s="243" t="n">
        <f aca="false">JUN!F49</f>
        <v>87770.6075119738</v>
      </c>
      <c r="G10" s="242" t="n">
        <f aca="false">JUN!G49</f>
        <v>173370</v>
      </c>
      <c r="H10" s="244" t="n">
        <f aca="false">JUN!H49</f>
        <v>15068.94</v>
      </c>
      <c r="I10" s="242" t="n">
        <f aca="false">JUN!I49</f>
        <v>188438.94</v>
      </c>
      <c r="J10" s="242" t="n">
        <f aca="false">JUN!J49</f>
        <v>46245.6668616083</v>
      </c>
      <c r="K10" s="242" t="n">
        <f aca="false">JUN!K49</f>
        <v>234684.606861608</v>
      </c>
      <c r="L10" s="242" t="n">
        <f aca="false">JUN!L49</f>
        <v>45615.9375119738</v>
      </c>
      <c r="M10" s="245" t="n">
        <f aca="false">JUN!M49</f>
        <v>18252.5</v>
      </c>
      <c r="N10" s="242" t="n">
        <f aca="false">JUN!N49</f>
        <v>131.943</v>
      </c>
      <c r="O10" s="242" t="n">
        <f aca="false">JUN!O49</f>
        <v>5669.274</v>
      </c>
      <c r="P10" s="242" t="n">
        <f aca="false">JUN!P49</f>
        <v>395.0256</v>
      </c>
      <c r="Q10" s="242" t="n">
        <f aca="false">JUN!Q49</f>
        <v>712.2888</v>
      </c>
      <c r="R10" s="246" t="n">
        <f aca="false">JUN!R49</f>
        <v>181.51</v>
      </c>
      <c r="S10" s="242" t="n">
        <f aca="false">JUN!S49</f>
        <v>16535.25</v>
      </c>
      <c r="T10" s="242" t="n">
        <f aca="false">JUN!T49</f>
        <v>4294.2</v>
      </c>
      <c r="U10" s="242" t="n">
        <f aca="false">JUN!U49</f>
        <v>31680.4286</v>
      </c>
      <c r="V10" s="242"/>
      <c r="W10" s="242"/>
      <c r="X10" s="242" t="n">
        <f aca="false">JUN!X49</f>
        <v>0</v>
      </c>
      <c r="Y10" s="245"/>
      <c r="Z10" s="246"/>
      <c r="AA10" s="242" t="n">
        <f aca="false">JUN!AA49</f>
        <v>101468</v>
      </c>
      <c r="AB10" s="242" t="n">
        <f aca="false">JUN!AB49</f>
        <v>14506.433072851</v>
      </c>
      <c r="AC10" s="242" t="n">
        <f aca="false">JUN!AC49</f>
        <v>146284.27</v>
      </c>
      <c r="AD10" s="242" t="n">
        <f aca="false">JUN!AD49</f>
        <v>629.729349634485</v>
      </c>
      <c r="AE10" s="242" t="n">
        <f aca="false">JUN!AE49</f>
        <v>146913.999349635</v>
      </c>
      <c r="AF10" s="523" t="n">
        <f aca="false">JUN!AF49</f>
        <v>13.6</v>
      </c>
      <c r="AG10" s="244"/>
      <c r="AH10" s="249"/>
      <c r="AI10" s="242" t="n">
        <f aca="false">JUN!AI50</f>
        <v>16467.3080282</v>
      </c>
      <c r="AJ10" s="242" t="n">
        <f aca="false">JUN!AJ49</f>
        <v>0</v>
      </c>
      <c r="AK10" s="247"/>
      <c r="AL10" s="367" t="n">
        <f aca="false">JUN!AL50</f>
        <v>81.3511229124456</v>
      </c>
      <c r="AM10" s="244"/>
      <c r="AN10" s="244"/>
    </row>
    <row r="11" customFormat="false" ht="3" hidden="false" customHeight="true" outlineLevel="0" collapsed="false">
      <c r="A11" s="254"/>
      <c r="B11" s="255"/>
      <c r="C11" s="256"/>
      <c r="D11" s="257"/>
      <c r="E11" s="256"/>
      <c r="F11" s="258"/>
      <c r="G11" s="257"/>
      <c r="H11" s="262"/>
      <c r="I11" s="257"/>
      <c r="J11" s="257"/>
      <c r="K11" s="257"/>
      <c r="L11" s="257"/>
      <c r="M11" s="260"/>
      <c r="N11" s="257"/>
      <c r="O11" s="257"/>
      <c r="P11" s="257"/>
      <c r="Q11" s="257"/>
      <c r="R11" s="261"/>
      <c r="S11" s="257"/>
      <c r="T11" s="257"/>
      <c r="U11" s="257"/>
      <c r="V11" s="256"/>
      <c r="W11" s="256"/>
      <c r="X11" s="257"/>
      <c r="Y11" s="260"/>
      <c r="Z11" s="261"/>
      <c r="AA11" s="257"/>
      <c r="AB11" s="256"/>
      <c r="AC11" s="257"/>
      <c r="AD11" s="257"/>
      <c r="AE11" s="257"/>
      <c r="AF11" s="524"/>
      <c r="AG11" s="264"/>
      <c r="AH11" s="265"/>
      <c r="AI11" s="264"/>
      <c r="AJ11" s="264"/>
      <c r="AK11" s="262"/>
      <c r="AL11" s="472"/>
      <c r="AM11" s="264"/>
      <c r="AN11" s="264"/>
    </row>
    <row r="12" customFormat="false" ht="12.95" hidden="false" customHeight="true" outlineLevel="0" collapsed="false">
      <c r="A12" s="172" t="n">
        <v>1</v>
      </c>
      <c r="B12" s="252" t="n">
        <v>6923.95</v>
      </c>
      <c r="C12" s="242" t="n">
        <v>380937</v>
      </c>
      <c r="D12" s="244" t="n">
        <f aca="false">C12-C10</f>
        <v>-402</v>
      </c>
      <c r="E12" s="242" t="n">
        <f aca="false">C12-152000</f>
        <v>228937</v>
      </c>
      <c r="F12" s="266" t="n">
        <f aca="false">D12/$D$2</f>
        <v>-202.67204436602</v>
      </c>
      <c r="G12" s="267" t="n">
        <v>737</v>
      </c>
      <c r="H12" s="247" t="n">
        <v>1.2</v>
      </c>
      <c r="I12" s="267" t="n">
        <f aca="false">G12+H12</f>
        <v>738.2</v>
      </c>
      <c r="J12" s="247" t="n">
        <f aca="false">IF(L12&gt;0,L12,0)</f>
        <v>0</v>
      </c>
      <c r="K12" s="267" t="n">
        <f aca="false">I12+J12</f>
        <v>738.2</v>
      </c>
      <c r="L12" s="267" t="n">
        <f aca="false">F12-(I12-AC12)</f>
        <v>-55.8720443660197</v>
      </c>
      <c r="M12" s="269" t="n">
        <v>310</v>
      </c>
      <c r="N12" s="267" t="n">
        <f aca="false">2.1*1.03</f>
        <v>2.163</v>
      </c>
      <c r="O12" s="267" t="n">
        <f aca="false">(38+36)*1.05</f>
        <v>77.7</v>
      </c>
      <c r="P12" s="367" t="n">
        <v>2.77</v>
      </c>
      <c r="Q12" s="367" t="n">
        <v>4.2</v>
      </c>
      <c r="R12" s="368" t="n">
        <v>3.91</v>
      </c>
      <c r="S12" s="267" t="n">
        <v>182</v>
      </c>
      <c r="T12" s="267" t="n">
        <v>80</v>
      </c>
      <c r="U12" s="267" t="n">
        <f aca="false">M12-N12-O12-P12-Q12-R12+S12+T12</f>
        <v>481.257</v>
      </c>
      <c r="V12" s="242" t="n">
        <f aca="false">V9</f>
        <v>0</v>
      </c>
      <c r="W12" s="242" t="n">
        <f aca="false">W9+AK12-(AL12/1.9835)+AM12</f>
        <v>13189.8700855438</v>
      </c>
      <c r="X12" s="267" t="n">
        <v>219</v>
      </c>
      <c r="Y12" s="269" t="n">
        <v>1.7</v>
      </c>
      <c r="Z12" s="270" t="n">
        <v>1.3</v>
      </c>
      <c r="AA12" s="390" t="n">
        <v>94</v>
      </c>
      <c r="AB12" s="391" t="n">
        <f aca="false">AB10-AA12</f>
        <v>14412.433072851</v>
      </c>
      <c r="AC12" s="127" t="n">
        <f aca="false">N12+O12+P12+Q12+R12+U12+X12+AA12</f>
        <v>885</v>
      </c>
      <c r="AD12" s="267" t="n">
        <f aca="false">IF(L12&lt;0,L12*-1,0)</f>
        <v>55.8720443660197</v>
      </c>
      <c r="AE12" s="267" t="n">
        <f aca="false">AC12+AD12</f>
        <v>940.87204436602</v>
      </c>
      <c r="AF12" s="380" t="n">
        <v>0</v>
      </c>
      <c r="AG12" s="525" t="n">
        <v>87</v>
      </c>
      <c r="AH12" s="526" t="n">
        <v>57</v>
      </c>
      <c r="AI12" s="244" t="n">
        <f aca="false">AI10</f>
        <v>16467.3080282</v>
      </c>
      <c r="AJ12" s="244"/>
      <c r="AK12" s="101" t="n">
        <v>0</v>
      </c>
      <c r="AL12" s="367" t="n">
        <f aca="false">60.3*(V9*1.9835+W9*1.9835)/E12</f>
        <v>6.89268532391007</v>
      </c>
      <c r="AM12" s="101"/>
      <c r="AN12" s="9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2.95" hidden="false" customHeight="true" outlineLevel="0" collapsed="false">
      <c r="A13" s="172" t="n">
        <f aca="false">A12+1</f>
        <v>2</v>
      </c>
      <c r="B13" s="252" t="n">
        <v>6923.85</v>
      </c>
      <c r="C13" s="242" t="n">
        <v>380492</v>
      </c>
      <c r="D13" s="244" t="n">
        <f aca="false">C13-C12</f>
        <v>-445</v>
      </c>
      <c r="E13" s="242" t="n">
        <f aca="false">C13-152000</f>
        <v>228492</v>
      </c>
      <c r="F13" s="266" t="n">
        <f aca="false">D13/$D$2</f>
        <v>-224.350894882783</v>
      </c>
      <c r="G13" s="267" t="n">
        <v>678</v>
      </c>
      <c r="H13" s="247" t="n">
        <v>1.1</v>
      </c>
      <c r="I13" s="267" t="n">
        <f aca="false">G13+H13</f>
        <v>679.1</v>
      </c>
      <c r="J13" s="247" t="n">
        <f aca="false">IF(L13&gt;0,L13,0)</f>
        <v>0</v>
      </c>
      <c r="K13" s="267" t="n">
        <f aca="false">I13+J13</f>
        <v>679.1</v>
      </c>
      <c r="L13" s="267" t="n">
        <f aca="false">F13-(I13-AC13)</f>
        <v>-12.450894882783</v>
      </c>
      <c r="M13" s="269" t="n">
        <v>316</v>
      </c>
      <c r="N13" s="267" t="n">
        <f aca="false">2.1*1.03</f>
        <v>2.163</v>
      </c>
      <c r="O13" s="267" t="n">
        <f aca="false">(40+38)*1.05</f>
        <v>81.9</v>
      </c>
      <c r="P13" s="367" t="n">
        <v>2.77</v>
      </c>
      <c r="Q13" s="367" t="n">
        <v>4.2</v>
      </c>
      <c r="R13" s="368" t="n">
        <v>4.46</v>
      </c>
      <c r="S13" s="267" t="n">
        <v>185</v>
      </c>
      <c r="T13" s="267" t="n">
        <v>81</v>
      </c>
      <c r="U13" s="267" t="n">
        <f aca="false">M13-N13-O13-P13-Q13-R13+S13+T13</f>
        <v>486.507</v>
      </c>
      <c r="V13" s="242" t="n">
        <f aca="false">V12</f>
        <v>0</v>
      </c>
      <c r="W13" s="242" t="n">
        <f aca="false">W12+AK13-(AL13/1.9835)+AM13</f>
        <v>13186.3892233422</v>
      </c>
      <c r="X13" s="267" t="n">
        <v>215</v>
      </c>
      <c r="Y13" s="269" t="n">
        <v>1.7</v>
      </c>
      <c r="Z13" s="270" t="n">
        <v>1.3</v>
      </c>
      <c r="AA13" s="390" t="n">
        <v>94</v>
      </c>
      <c r="AB13" s="391" t="n">
        <f aca="false">AB12-AA13</f>
        <v>14318.433072851</v>
      </c>
      <c r="AC13" s="127" t="n">
        <f aca="false">N13+O13+P13+Q13+R13+U13+X13+AA13</f>
        <v>891</v>
      </c>
      <c r="AD13" s="267" t="n">
        <f aca="false">IF(L13&lt;0,L13*-1,0)</f>
        <v>12.450894882783</v>
      </c>
      <c r="AE13" s="267" t="n">
        <f aca="false">AC13+AD13</f>
        <v>903.450894882783</v>
      </c>
      <c r="AF13" s="380" t="n">
        <v>0</v>
      </c>
      <c r="AG13" s="244" t="n">
        <v>88</v>
      </c>
      <c r="AH13" s="249" t="n">
        <v>53</v>
      </c>
      <c r="AI13" s="244" t="n">
        <f aca="false">AI12</f>
        <v>16467.3080282</v>
      </c>
      <c r="AJ13" s="244"/>
      <c r="AK13" s="101" t="n">
        <v>0</v>
      </c>
      <c r="AL13" s="367" t="n">
        <f aca="false">60.3*(V12*1.9835+W12*1.9835)/E13</f>
        <v>6.90429017678942</v>
      </c>
      <c r="AM13" s="101"/>
      <c r="AN13" s="9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2.95" hidden="false" customHeight="true" outlineLevel="0" collapsed="false">
      <c r="A14" s="172" t="n">
        <f aca="false">A13+1</f>
        <v>3</v>
      </c>
      <c r="B14" s="252" t="n">
        <v>6923.72</v>
      </c>
      <c r="C14" s="242" t="n">
        <v>379914</v>
      </c>
      <c r="D14" s="244" t="n">
        <f aca="false">C14-C13</f>
        <v>-578</v>
      </c>
      <c r="E14" s="242" t="n">
        <f aca="false">C14-152000</f>
        <v>227914</v>
      </c>
      <c r="F14" s="266" t="n">
        <f aca="false">D14/$D$2</f>
        <v>-291.404083690446</v>
      </c>
      <c r="G14" s="267" t="n">
        <v>646</v>
      </c>
      <c r="H14" s="247" t="n">
        <v>0.98</v>
      </c>
      <c r="I14" s="267" t="n">
        <f aca="false">G14+H14</f>
        <v>646.98</v>
      </c>
      <c r="J14" s="247" t="n">
        <f aca="false">IF(L14&gt;0,L14,0)</f>
        <v>0</v>
      </c>
      <c r="K14" s="267" t="n">
        <f aca="false">I14+J14</f>
        <v>646.98</v>
      </c>
      <c r="L14" s="267" t="n">
        <f aca="false">F14-(I14-AC14)</f>
        <v>-54.3840836904462</v>
      </c>
      <c r="M14" s="269" t="n">
        <v>319</v>
      </c>
      <c r="N14" s="267" t="n">
        <f aca="false">2.1*1.03</f>
        <v>2.163</v>
      </c>
      <c r="O14" s="267" t="n">
        <f aca="false">(34+36)*1.05</f>
        <v>73.5</v>
      </c>
      <c r="P14" s="367" t="n">
        <v>2.77</v>
      </c>
      <c r="Q14" s="367" t="n">
        <v>4.2</v>
      </c>
      <c r="R14" s="368" t="n">
        <v>3.62</v>
      </c>
      <c r="S14" s="267" t="n">
        <v>185</v>
      </c>
      <c r="T14" s="267" t="n">
        <v>81</v>
      </c>
      <c r="U14" s="267" t="n">
        <f aca="false">M14-N14-O14-P14-Q14-R14+S14+T14</f>
        <v>498.747</v>
      </c>
      <c r="V14" s="242" t="n">
        <f aca="false">V13</f>
        <v>0</v>
      </c>
      <c r="W14" s="242" t="n">
        <f aca="false">W13+AK14-(AL14/1.9835)+AM14</f>
        <v>13182.9004544638</v>
      </c>
      <c r="X14" s="267" t="n">
        <v>205</v>
      </c>
      <c r="Y14" s="269" t="n">
        <v>1.7</v>
      </c>
      <c r="Z14" s="270" t="n">
        <v>1.3</v>
      </c>
      <c r="AA14" s="390" t="n">
        <v>94</v>
      </c>
      <c r="AB14" s="391" t="n">
        <f aca="false">AB13-AA14</f>
        <v>14224.433072851</v>
      </c>
      <c r="AC14" s="127" t="n">
        <f aca="false">N14+O14+P14+Q14+R14+U14+X14+AA14</f>
        <v>884</v>
      </c>
      <c r="AD14" s="267" t="n">
        <f aca="false">IF(L14&lt;0,L14*-1,0)</f>
        <v>54.3840836904462</v>
      </c>
      <c r="AE14" s="267" t="n">
        <f aca="false">AC14+AD14</f>
        <v>938.384083690446</v>
      </c>
      <c r="AF14" s="380" t="n">
        <v>0</v>
      </c>
      <c r="AG14" s="244" t="n">
        <v>85</v>
      </c>
      <c r="AH14" s="249" t="n">
        <v>50</v>
      </c>
      <c r="AI14" s="244" t="n">
        <f aca="false">AI13</f>
        <v>16467.3080282</v>
      </c>
      <c r="AJ14" s="244"/>
      <c r="AK14" s="101" t="n">
        <v>0</v>
      </c>
      <c r="AL14" s="367" t="n">
        <f aca="false">60.3*(V13*1.9835+W13*1.9835)/E14</f>
        <v>6.91997307044459</v>
      </c>
      <c r="AM14" s="101"/>
      <c r="AN14" s="9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2.95" hidden="false" customHeight="true" outlineLevel="0" collapsed="false">
      <c r="A15" s="172" t="n">
        <f aca="false">A14+1</f>
        <v>4</v>
      </c>
      <c r="B15" s="252" t="n">
        <v>6923.56</v>
      </c>
      <c r="C15" s="242" t="n">
        <v>379201</v>
      </c>
      <c r="D15" s="244" t="n">
        <f aca="false">C15-C14</f>
        <v>-713</v>
      </c>
      <c r="E15" s="242" t="n">
        <f aca="false">C15-152000</f>
        <v>227201</v>
      </c>
      <c r="F15" s="266" t="n">
        <f aca="false">D15/$D$2</f>
        <v>-359.465591126796</v>
      </c>
      <c r="G15" s="267" t="n">
        <v>568</v>
      </c>
      <c r="H15" s="247" t="n">
        <v>0.82</v>
      </c>
      <c r="I15" s="267" t="n">
        <f aca="false">G15+H15</f>
        <v>568.82</v>
      </c>
      <c r="J15" s="247" t="n">
        <f aca="false">IF(L15&gt;0,L15,0)</f>
        <v>0</v>
      </c>
      <c r="K15" s="267" t="n">
        <f aca="false">I15+J15</f>
        <v>568.82</v>
      </c>
      <c r="L15" s="267" t="n">
        <f aca="false">F15-(I15-AC15)</f>
        <v>-12.2855911267961</v>
      </c>
      <c r="M15" s="269" t="n">
        <v>326</v>
      </c>
      <c r="N15" s="267" t="n">
        <f aca="false">2.1*1.03</f>
        <v>2.163</v>
      </c>
      <c r="O15" s="267" t="n">
        <f aca="false">(39+39)*1.05</f>
        <v>81.9</v>
      </c>
      <c r="P15" s="367" t="n">
        <v>2.77</v>
      </c>
      <c r="Q15" s="367" t="n">
        <v>4.2</v>
      </c>
      <c r="R15" s="368" t="n">
        <v>4.14</v>
      </c>
      <c r="S15" s="267" t="n">
        <v>181</v>
      </c>
      <c r="T15" s="267" t="n">
        <v>81</v>
      </c>
      <c r="U15" s="267" t="n">
        <f aca="false">M15-N15-O15-P15-Q15-R15+S15+T15</f>
        <v>492.827</v>
      </c>
      <c r="V15" s="242" t="n">
        <f aca="false">V14</f>
        <v>0</v>
      </c>
      <c r="W15" s="242" t="n">
        <f aca="false">W14+AK15-(AL15/1.9835)+AM15</f>
        <v>13179.4016630966</v>
      </c>
      <c r="X15" s="267" t="n">
        <v>234</v>
      </c>
      <c r="Y15" s="269" t="n">
        <v>1.7</v>
      </c>
      <c r="Z15" s="270" t="n">
        <v>1.3</v>
      </c>
      <c r="AA15" s="390" t="n">
        <v>94</v>
      </c>
      <c r="AB15" s="391" t="n">
        <f aca="false">AB14-AA15</f>
        <v>14130.433072851</v>
      </c>
      <c r="AC15" s="127" t="n">
        <f aca="false">N15+O15+P15+Q15+R15+U15+X15+AA15</f>
        <v>916</v>
      </c>
      <c r="AD15" s="267" t="n">
        <f aca="false">IF(L15&lt;0,L15*-1,0)</f>
        <v>12.2855911267961</v>
      </c>
      <c r="AE15" s="267" t="n">
        <f aca="false">AC15+AD15</f>
        <v>928.285591126796</v>
      </c>
      <c r="AF15" s="380" t="n">
        <v>0</v>
      </c>
      <c r="AG15" s="244" t="n">
        <v>87</v>
      </c>
      <c r="AH15" s="249" t="n">
        <v>54</v>
      </c>
      <c r="AI15" s="244" t="n">
        <f aca="false">AI14</f>
        <v>16467.3080282</v>
      </c>
      <c r="AJ15" s="244"/>
      <c r="AK15" s="101" t="n">
        <v>0</v>
      </c>
      <c r="AL15" s="367" t="n">
        <f aca="false">60.3*(V14*1.9835+W14*1.9835)/E15</f>
        <v>6.93985267670987</v>
      </c>
      <c r="AM15" s="101"/>
      <c r="AN15" s="9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2.95" hidden="false" customHeight="true" outlineLevel="0" collapsed="false">
      <c r="A16" s="172" t="n">
        <f aca="false">A15+1</f>
        <v>5</v>
      </c>
      <c r="B16" s="252" t="n">
        <v>6923.36</v>
      </c>
      <c r="C16" s="242" t="n">
        <v>378311</v>
      </c>
      <c r="D16" s="244" t="n">
        <f aca="false">C16-C15</f>
        <v>-890</v>
      </c>
      <c r="E16" s="242" t="n">
        <f aca="false">C16-152000</f>
        <v>226311</v>
      </c>
      <c r="F16" s="266" t="n">
        <f aca="false">D16/$D$2</f>
        <v>-448.701789765566</v>
      </c>
      <c r="G16" s="267" t="n">
        <v>525</v>
      </c>
      <c r="H16" s="247" t="n">
        <v>0.58</v>
      </c>
      <c r="I16" s="267" t="n">
        <f aca="false">G16+H16</f>
        <v>525.58</v>
      </c>
      <c r="J16" s="247" t="n">
        <f aca="false">IF(L16&gt;0,L16,0)</f>
        <v>0</v>
      </c>
      <c r="K16" s="267" t="n">
        <f aca="false">I16+J16</f>
        <v>525.58</v>
      </c>
      <c r="L16" s="267" t="n">
        <f aca="false">F16-(I16-AC16)</f>
        <v>-46.281789765566</v>
      </c>
      <c r="M16" s="269" t="n">
        <v>335</v>
      </c>
      <c r="N16" s="267" t="n">
        <f aca="false">2.1*1.03</f>
        <v>2.163</v>
      </c>
      <c r="O16" s="267" t="n">
        <f aca="false">(40+42)*1.05</f>
        <v>86.1</v>
      </c>
      <c r="P16" s="367" t="n">
        <v>2.77</v>
      </c>
      <c r="Q16" s="367" t="n">
        <v>4.2</v>
      </c>
      <c r="R16" s="368" t="n">
        <v>5.68</v>
      </c>
      <c r="S16" s="267" t="n">
        <v>177</v>
      </c>
      <c r="T16" s="267" t="n">
        <v>80</v>
      </c>
      <c r="U16" s="267" t="n">
        <f aca="false">M16-N16-O16-P16-Q16-R16+S16+T16</f>
        <v>491.087</v>
      </c>
      <c r="V16" s="242" t="n">
        <f aca="false">V15</f>
        <v>0</v>
      </c>
      <c r="W16" s="242" t="n">
        <f aca="false">W15+AK16-(AL16/1.9835)+AM16</f>
        <v>13175.890044482</v>
      </c>
      <c r="X16" s="267" t="n">
        <v>242</v>
      </c>
      <c r="Y16" s="269" t="n">
        <v>1.7</v>
      </c>
      <c r="Z16" s="270" t="n">
        <v>1.3</v>
      </c>
      <c r="AA16" s="390" t="n">
        <v>94</v>
      </c>
      <c r="AB16" s="391" t="n">
        <f aca="false">AB15-AA16</f>
        <v>14036.433072851</v>
      </c>
      <c r="AC16" s="127" t="n">
        <f aca="false">N16+O16+P16+Q16+R16+U16+X16+AA16</f>
        <v>928</v>
      </c>
      <c r="AD16" s="267" t="n">
        <f aca="false">IF(L16&lt;0,L16*-1,0)</f>
        <v>46.281789765566</v>
      </c>
      <c r="AE16" s="267" t="n">
        <f aca="false">AC16+AD16</f>
        <v>974.281789765566</v>
      </c>
      <c r="AF16" s="380" t="n">
        <v>0</v>
      </c>
      <c r="AG16" s="244" t="n">
        <v>87</v>
      </c>
      <c r="AH16" s="249" t="n">
        <v>55</v>
      </c>
      <c r="AI16" s="244" t="n">
        <f aca="false">AI15</f>
        <v>16467.3080282</v>
      </c>
      <c r="AJ16" s="244"/>
      <c r="AK16" s="101" t="n">
        <v>0</v>
      </c>
      <c r="AL16" s="367" t="n">
        <f aca="false">60.3*(V15*1.9835+W15*1.9835)/E16</f>
        <v>6.96529552202392</v>
      </c>
      <c r="AM16" s="101"/>
      <c r="AN16" s="9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2.95" hidden="false" customHeight="true" outlineLevel="0" collapsed="false">
      <c r="A17" s="172" t="n">
        <f aca="false">A16+1</f>
        <v>6</v>
      </c>
      <c r="B17" s="252" t="n">
        <v>6923.14</v>
      </c>
      <c r="C17" s="242" t="n">
        <v>377332</v>
      </c>
      <c r="D17" s="244" t="n">
        <f aca="false">C17-C16</f>
        <v>-979</v>
      </c>
      <c r="E17" s="242" t="n">
        <f aca="false">C17-152000</f>
        <v>225332</v>
      </c>
      <c r="F17" s="266" t="n">
        <f aca="false">D17/$D$2</f>
        <v>-493.571968742123</v>
      </c>
      <c r="G17" s="267" t="n">
        <v>495</v>
      </c>
      <c r="H17" s="247" t="n">
        <v>0.22</v>
      </c>
      <c r="I17" s="267" t="n">
        <f aca="false">G17+H17</f>
        <v>495.22</v>
      </c>
      <c r="J17" s="247" t="n">
        <f aca="false">IF(L17&gt;0,L17,0)</f>
        <v>0</v>
      </c>
      <c r="K17" s="267" t="n">
        <f aca="false">I17+J17</f>
        <v>495.22</v>
      </c>
      <c r="L17" s="267" t="n">
        <f aca="false">F17-(I17-AC17)</f>
        <v>-37.7919687421225</v>
      </c>
      <c r="M17" s="269" t="n">
        <v>331</v>
      </c>
      <c r="N17" s="267" t="n">
        <f aca="false">2.1*1.03</f>
        <v>2.163</v>
      </c>
      <c r="O17" s="267" t="n">
        <f aca="false">((43+43)*1.05)</f>
        <v>90.3</v>
      </c>
      <c r="P17" s="367" t="n">
        <v>2.77</v>
      </c>
      <c r="Q17" s="367" t="n">
        <v>4.2</v>
      </c>
      <c r="R17" s="368" t="n">
        <v>5.1</v>
      </c>
      <c r="S17" s="267" t="n">
        <v>176</v>
      </c>
      <c r="T17" s="267" t="n">
        <v>81</v>
      </c>
      <c r="U17" s="267" t="n">
        <f aca="false">M17-N17-O17-P17-Q17-R17+S17+T17</f>
        <v>483.467</v>
      </c>
      <c r="V17" s="242" t="n">
        <f aca="false">V16</f>
        <v>0</v>
      </c>
      <c r="W17" s="242" t="n">
        <f aca="false">W16+AK17-(AL17/1.9835)+AM17</f>
        <v>13175.4471086643</v>
      </c>
      <c r="X17" s="267" t="n">
        <v>270</v>
      </c>
      <c r="Y17" s="269" t="n">
        <v>1.7</v>
      </c>
      <c r="Z17" s="270" t="n">
        <v>1.3</v>
      </c>
      <c r="AA17" s="390" t="n">
        <v>93</v>
      </c>
      <c r="AB17" s="391" t="n">
        <f aca="false">AB16-AA17</f>
        <v>13943.433072851</v>
      </c>
      <c r="AC17" s="127" t="n">
        <f aca="false">N17+O17+P17+Q17+R17+U17+X17+AA17</f>
        <v>951</v>
      </c>
      <c r="AD17" s="267" t="n">
        <f aca="false">IF(L17&lt;0,L17*-1,0)</f>
        <v>37.7919687421225</v>
      </c>
      <c r="AE17" s="267" t="n">
        <f aca="false">AC17+AD17</f>
        <v>988.791968742123</v>
      </c>
      <c r="AF17" s="380" t="n">
        <v>0</v>
      </c>
      <c r="AG17" s="244" t="n">
        <v>88</v>
      </c>
      <c r="AH17" s="249" t="n">
        <v>53</v>
      </c>
      <c r="AI17" s="244" t="n">
        <f aca="false">AI16</f>
        <v>16467.3080282</v>
      </c>
      <c r="AJ17" s="244"/>
      <c r="AK17" s="101" t="n">
        <f aca="false">(I17-P17-Q17-Y17)-U17</f>
        <v>3.08300000000008</v>
      </c>
      <c r="AL17" s="367" t="n">
        <f aca="false">60.3*(V16*1.9835+W16*1.9835)/E17</f>
        <v>6.99369369448093</v>
      </c>
      <c r="AM17" s="101"/>
      <c r="AN17" s="9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2.95" hidden="false" customHeight="true" outlineLevel="0" collapsed="false">
      <c r="A18" s="172" t="n">
        <f aca="false">A17+1</f>
        <v>7</v>
      </c>
      <c r="B18" s="252" t="n">
        <v>6922.88</v>
      </c>
      <c r="C18" s="242" t="n">
        <v>376179</v>
      </c>
      <c r="D18" s="244" t="n">
        <f aca="false">C18-C17</f>
        <v>-1153</v>
      </c>
      <c r="E18" s="242" t="n">
        <f aca="false">C18-152000</f>
        <v>224179</v>
      </c>
      <c r="F18" s="266" t="n">
        <f aca="false">D18/$D$2</f>
        <v>-581.295689437862</v>
      </c>
      <c r="G18" s="267" t="n">
        <v>462</v>
      </c>
      <c r="H18" s="247" t="n">
        <v>0.29</v>
      </c>
      <c r="I18" s="267" t="n">
        <f aca="false">G18+H18</f>
        <v>462.29</v>
      </c>
      <c r="J18" s="247" t="n">
        <f aca="false">IF(L18&gt;0,L18,0)</f>
        <v>0</v>
      </c>
      <c r="K18" s="267" t="n">
        <f aca="false">I18+J18</f>
        <v>462.29</v>
      </c>
      <c r="L18" s="267" t="n">
        <f aca="false">F18-(I18-AC18)</f>
        <v>-63.5856894378624</v>
      </c>
      <c r="M18" s="269" t="n">
        <v>336</v>
      </c>
      <c r="N18" s="267" t="n">
        <f aca="false">2.1*1.03</f>
        <v>2.163</v>
      </c>
      <c r="O18" s="267" t="n">
        <f aca="false">(41+42)*1.05</f>
        <v>87.15</v>
      </c>
      <c r="P18" s="367" t="n">
        <v>2.77</v>
      </c>
      <c r="Q18" s="367" t="n">
        <v>4.2</v>
      </c>
      <c r="R18" s="368" t="n">
        <v>5.43</v>
      </c>
      <c r="S18" s="267" t="n">
        <v>177</v>
      </c>
      <c r="T18" s="267" t="n">
        <v>82</v>
      </c>
      <c r="U18" s="267" t="n">
        <f aca="false">M18-N18-O18-P18-Q18-R18+S18+T18</f>
        <v>493.287</v>
      </c>
      <c r="V18" s="242" t="n">
        <f aca="false">V17</f>
        <v>0</v>
      </c>
      <c r="W18" s="242" t="n">
        <f aca="false">W17+AK18-(AL18/1.9835)+AM18</f>
        <v>13132.2361573546</v>
      </c>
      <c r="X18" s="267" t="n">
        <v>293</v>
      </c>
      <c r="Y18" s="269" t="n">
        <v>1.7</v>
      </c>
      <c r="Z18" s="270" t="n">
        <v>1.3</v>
      </c>
      <c r="AA18" s="390" t="n">
        <v>92</v>
      </c>
      <c r="AB18" s="391" t="n">
        <f aca="false">AB17-AA18</f>
        <v>13851.433072851</v>
      </c>
      <c r="AC18" s="127" t="n">
        <f aca="false">N18+O18+P18+Q18+R18+U18+X18+AA18</f>
        <v>980</v>
      </c>
      <c r="AD18" s="267" t="n">
        <f aca="false">IF(L18&lt;0,L18*-1,0)</f>
        <v>63.5856894378624</v>
      </c>
      <c r="AE18" s="267" t="n">
        <f aca="false">AC18+AD18</f>
        <v>1043.58568943786</v>
      </c>
      <c r="AF18" s="380" t="n">
        <v>0</v>
      </c>
      <c r="AG18" s="525" t="n">
        <v>87</v>
      </c>
      <c r="AH18" s="526" t="n">
        <v>52</v>
      </c>
      <c r="AI18" s="244" t="n">
        <f aca="false">AI17</f>
        <v>16467.3080282</v>
      </c>
      <c r="AJ18" s="244"/>
      <c r="AK18" s="101" t="n">
        <f aca="false">(I18-P18-Q18-Y18)-U18</f>
        <v>-39.6669999999999</v>
      </c>
      <c r="AL18" s="367" t="n">
        <f aca="false">60.3*(V17*1.9835+W17*1.9835)/E18</f>
        <v>7.02942742274767</v>
      </c>
      <c r="AM18" s="101"/>
      <c r="AN18" s="9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2.95" hidden="false" customHeight="true" outlineLevel="0" collapsed="false">
      <c r="A19" s="172" t="n">
        <f aca="false">A18+1</f>
        <v>8</v>
      </c>
      <c r="B19" s="252" t="n">
        <v>6922.6</v>
      </c>
      <c r="C19" s="242" t="n">
        <v>374943</v>
      </c>
      <c r="D19" s="244" t="n">
        <f aca="false">C19-C18</f>
        <v>-1236</v>
      </c>
      <c r="E19" s="242" t="n">
        <f aca="false">C19-152000</f>
        <v>222943</v>
      </c>
      <c r="F19" s="266" t="n">
        <f aca="false">D19/$D$2</f>
        <v>-623.140912528359</v>
      </c>
      <c r="G19" s="267" t="n">
        <v>429</v>
      </c>
      <c r="H19" s="247" t="n">
        <v>0.32</v>
      </c>
      <c r="I19" s="267" t="n">
        <f aca="false">G19+H19</f>
        <v>429.32</v>
      </c>
      <c r="J19" s="247" t="n">
        <f aca="false">IF(L19&gt;0,L19,0)</f>
        <v>0</v>
      </c>
      <c r="K19" s="267" t="n">
        <f aca="false">I19+J19</f>
        <v>429.32</v>
      </c>
      <c r="L19" s="267" t="n">
        <f aca="false">F19-(I19-AC19)</f>
        <v>-45.4609125283591</v>
      </c>
      <c r="M19" s="269" t="n">
        <v>347</v>
      </c>
      <c r="N19" s="267" t="n">
        <f aca="false">2.1*1.03</f>
        <v>2.163</v>
      </c>
      <c r="O19" s="267" t="n">
        <f aca="false">(43+44)*1.05</f>
        <v>91.35</v>
      </c>
      <c r="P19" s="367" t="n">
        <v>2.77</v>
      </c>
      <c r="Q19" s="367" t="n">
        <v>4.2</v>
      </c>
      <c r="R19" s="368" t="n">
        <v>3.74</v>
      </c>
      <c r="S19" s="267" t="n">
        <v>184</v>
      </c>
      <c r="T19" s="267" t="n">
        <v>82</v>
      </c>
      <c r="U19" s="267" t="n">
        <f aca="false">M19-N19-O19-P19-Q19-R19+S19+T19</f>
        <v>508.777</v>
      </c>
      <c r="V19" s="242" t="n">
        <f aca="false">V18</f>
        <v>0</v>
      </c>
      <c r="W19" s="242" t="n">
        <f aca="false">W18+AK19-(AL19/1.9835)+AM19</f>
        <v>13040.5572456988</v>
      </c>
      <c r="X19" s="267" t="n">
        <v>302</v>
      </c>
      <c r="Y19" s="269" t="n">
        <v>1.7</v>
      </c>
      <c r="Z19" s="270" t="n">
        <v>1.3</v>
      </c>
      <c r="AA19" s="390" t="n">
        <v>92</v>
      </c>
      <c r="AB19" s="391" t="n">
        <f aca="false">AB18-AA19</f>
        <v>13759.433072851</v>
      </c>
      <c r="AC19" s="127" t="n">
        <f aca="false">N19+O19+P19+Q19+R19+U19+X19+AA19</f>
        <v>1007</v>
      </c>
      <c r="AD19" s="267" t="n">
        <f aca="false">IF(L19&lt;0,L19*-1,0)</f>
        <v>45.4609125283591</v>
      </c>
      <c r="AE19" s="267" t="n">
        <f aca="false">AC19+AD19</f>
        <v>1052.46091252836</v>
      </c>
      <c r="AF19" s="380" t="n">
        <v>0</v>
      </c>
      <c r="AG19" s="244" t="n">
        <v>89</v>
      </c>
      <c r="AH19" s="249" t="n">
        <v>53</v>
      </c>
      <c r="AI19" s="244" t="n">
        <f aca="false">AI18</f>
        <v>16467.3080282</v>
      </c>
      <c r="AJ19" s="244"/>
      <c r="AK19" s="101" t="n">
        <f aca="false">(I19-P19-Q19-Y19)-U19</f>
        <v>-88.1269999999999</v>
      </c>
      <c r="AL19" s="367" t="n">
        <f aca="false">60.3*(V18*1.9835+W18*1.9835)/E19</f>
        <v>7.0452167693635</v>
      </c>
      <c r="AM19" s="101"/>
      <c r="AN19" s="9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2.95" hidden="false" customHeight="true" outlineLevel="0" collapsed="false">
      <c r="A20" s="172" t="n">
        <f aca="false">A19+1</f>
        <v>9</v>
      </c>
      <c r="B20" s="252" t="n">
        <v>6922.32</v>
      </c>
      <c r="C20" s="242" t="n">
        <v>373706</v>
      </c>
      <c r="D20" s="244" t="n">
        <f aca="false">C20-C19</f>
        <v>-1237</v>
      </c>
      <c r="E20" s="242" t="n">
        <f aca="false">C20-152000</f>
        <v>221706</v>
      </c>
      <c r="F20" s="266" t="n">
        <f aca="false">D20/$D$2</f>
        <v>-623.645071842702</v>
      </c>
      <c r="G20" s="267" t="n">
        <v>395</v>
      </c>
      <c r="H20" s="247" t="n">
        <v>0.35</v>
      </c>
      <c r="I20" s="267" t="n">
        <f aca="false">G20+H20</f>
        <v>395.35</v>
      </c>
      <c r="J20" s="247" t="n">
        <f aca="false">IF(L20&gt;0,L20,0)</f>
        <v>0</v>
      </c>
      <c r="K20" s="267" t="n">
        <f aca="false">I20+J20</f>
        <v>395.35</v>
      </c>
      <c r="L20" s="267" t="n">
        <f aca="false">F20-(I20-AC20)</f>
        <v>-58.9950718427023</v>
      </c>
      <c r="M20" s="269" t="n">
        <v>353</v>
      </c>
      <c r="N20" s="267" t="n">
        <f aca="false">2.1*1.03</f>
        <v>2.163</v>
      </c>
      <c r="O20" s="267" t="n">
        <f aca="false">(43+44)*1.05</f>
        <v>91.35</v>
      </c>
      <c r="P20" s="367" t="n">
        <v>2.77</v>
      </c>
      <c r="Q20" s="367" t="n">
        <v>4.2</v>
      </c>
      <c r="R20" s="368" t="n">
        <v>3.89</v>
      </c>
      <c r="S20" s="267" t="n">
        <v>165</v>
      </c>
      <c r="T20" s="267" t="n">
        <v>81</v>
      </c>
      <c r="U20" s="267" t="n">
        <f aca="false">M20-N20-O20-P20-Q20-R20+S20+T20</f>
        <v>494.627</v>
      </c>
      <c r="V20" s="242" t="n">
        <f aca="false">V19</f>
        <v>0</v>
      </c>
      <c r="W20" s="242" t="n">
        <f aca="false">W19+AK20-(AL20/1.9835)+AM20</f>
        <v>12929.0634512867</v>
      </c>
      <c r="X20" s="267" t="n">
        <v>269</v>
      </c>
      <c r="Y20" s="269" t="n">
        <v>1.7</v>
      </c>
      <c r="Z20" s="270" t="n">
        <v>1.3</v>
      </c>
      <c r="AA20" s="390" t="n">
        <v>92</v>
      </c>
      <c r="AB20" s="391" t="n">
        <f aca="false">AB19-AA20</f>
        <v>13667.433072851</v>
      </c>
      <c r="AC20" s="127" t="n">
        <f aca="false">N20+O20+P20+Q20+R20+U20+X20+AA20</f>
        <v>960</v>
      </c>
      <c r="AD20" s="267" t="n">
        <f aca="false">IF(L20&lt;0,L20*-1,0)</f>
        <v>58.9950718427023</v>
      </c>
      <c r="AE20" s="267" t="n">
        <f aca="false">AC20+AD20</f>
        <v>1018.9950718427</v>
      </c>
      <c r="AF20" s="380" t="n">
        <v>0</v>
      </c>
      <c r="AG20" s="250" t="n">
        <v>84</v>
      </c>
      <c r="AH20" s="249" t="n">
        <v>54</v>
      </c>
      <c r="AI20" s="244" t="n">
        <f aca="false">AI19</f>
        <v>16467.3080282</v>
      </c>
      <c r="AJ20" s="244"/>
      <c r="AK20" s="101" t="n">
        <f aca="false">(I20-P20-Q20-Y20)-U20</f>
        <v>-107.947</v>
      </c>
      <c r="AL20" s="367" t="n">
        <f aca="false">60.3*(V19*1.9835+W19*1.9835)/E20</f>
        <v>7.03506671628041</v>
      </c>
      <c r="AM20" s="101"/>
      <c r="AN20" s="9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2.95" hidden="false" customHeight="true" outlineLevel="0" collapsed="false">
      <c r="A21" s="172" t="n">
        <f aca="false">A20+1</f>
        <v>10</v>
      </c>
      <c r="B21" s="252" t="n">
        <v>6922.08</v>
      </c>
      <c r="C21" s="242" t="n">
        <v>372647</v>
      </c>
      <c r="D21" s="244" t="n">
        <f aca="false">C21-C20</f>
        <v>-1059</v>
      </c>
      <c r="E21" s="242" t="n">
        <f aca="false">C21-152000</f>
        <v>220647</v>
      </c>
      <c r="F21" s="266" t="n">
        <f aca="false">D21/$D$2</f>
        <v>-533.904713889589</v>
      </c>
      <c r="G21" s="267" t="n">
        <v>384</v>
      </c>
      <c r="H21" s="247" t="n">
        <v>0.31</v>
      </c>
      <c r="I21" s="267" t="n">
        <f aca="false">G21+H21</f>
        <v>384.31</v>
      </c>
      <c r="J21" s="247" t="n">
        <f aca="false">IF(L21&gt;0,L21,0)</f>
        <v>0</v>
      </c>
      <c r="K21" s="267" t="n">
        <f aca="false">I21+J21</f>
        <v>384.31</v>
      </c>
      <c r="L21" s="267" t="n">
        <f aca="false">F21-(I21-AC21)</f>
        <v>-13.214713889589</v>
      </c>
      <c r="M21" s="269" t="n">
        <v>346</v>
      </c>
      <c r="N21" s="267" t="n">
        <f aca="false">2.1*1.03</f>
        <v>2.163</v>
      </c>
      <c r="O21" s="267" t="n">
        <f aca="false">(45+38)*1.05</f>
        <v>87.15</v>
      </c>
      <c r="P21" s="367" t="n">
        <v>2.77</v>
      </c>
      <c r="Q21" s="367" t="n">
        <v>4.2</v>
      </c>
      <c r="R21" s="368" t="n">
        <v>5.89</v>
      </c>
      <c r="S21" s="267" t="n">
        <v>130</v>
      </c>
      <c r="T21" s="267" t="n">
        <v>80</v>
      </c>
      <c r="U21" s="267" t="n">
        <f aca="false">M21-N21-O21-P21-Q21-R21+S21+T21</f>
        <v>453.827</v>
      </c>
      <c r="V21" s="242" t="n">
        <f aca="false">V20</f>
        <v>0</v>
      </c>
      <c r="W21" s="242" t="n">
        <f aca="false">W20+AK21-(AL21/1.9835)+AM21</f>
        <v>12847.3431037855</v>
      </c>
      <c r="X21" s="267" t="n">
        <v>257</v>
      </c>
      <c r="Y21" s="269" t="n">
        <v>1.7</v>
      </c>
      <c r="Z21" s="270" t="n">
        <v>1.3</v>
      </c>
      <c r="AA21" s="390" t="n">
        <v>92</v>
      </c>
      <c r="AB21" s="391" t="n">
        <f aca="false">AB20-AA21</f>
        <v>13575.433072851</v>
      </c>
      <c r="AC21" s="127" t="n">
        <f aca="false">N21+O21+P21+Q21+R21+U21+X21+AA21</f>
        <v>905</v>
      </c>
      <c r="AD21" s="267" t="n">
        <f aca="false">IF(L21&lt;0,L21*-1,0)</f>
        <v>13.214713889589</v>
      </c>
      <c r="AE21" s="267" t="n">
        <f aca="false">AC21+AD21</f>
        <v>918.214713889589</v>
      </c>
      <c r="AF21" s="380" t="n">
        <v>0</v>
      </c>
      <c r="AG21" s="244" t="n">
        <v>87</v>
      </c>
      <c r="AH21" s="249" t="n">
        <v>52</v>
      </c>
      <c r="AI21" s="244" t="n">
        <f aca="false">AI20</f>
        <v>16467.3080282</v>
      </c>
      <c r="AJ21" s="244"/>
      <c r="AK21" s="101" t="n">
        <f aca="false">(I21-P21-Q21-Y21)-U21</f>
        <v>-78.187</v>
      </c>
      <c r="AL21" s="367" t="n">
        <f aca="false">60.3*(V20*1.9835+W20*1.9835)/E21</f>
        <v>7.00839476876786</v>
      </c>
      <c r="AM21" s="101"/>
      <c r="AN21" s="9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95" hidden="false" customHeight="true" outlineLevel="0" collapsed="false">
      <c r="A22" s="172" t="n">
        <f aca="false">A21+1</f>
        <v>11</v>
      </c>
      <c r="B22" s="252" t="n">
        <v>6921.82</v>
      </c>
      <c r="C22" s="242" t="n">
        <v>371505</v>
      </c>
      <c r="D22" s="244" t="n">
        <f aca="false">C22-C21</f>
        <v>-1142</v>
      </c>
      <c r="E22" s="242" t="n">
        <f aca="false">C22-152000</f>
        <v>219505</v>
      </c>
      <c r="F22" s="266" t="n">
        <f aca="false">D22/$D$2</f>
        <v>-575.749936980086</v>
      </c>
      <c r="G22" s="267" t="n">
        <v>362</v>
      </c>
      <c r="H22" s="247" t="n">
        <v>0.22</v>
      </c>
      <c r="I22" s="267" t="n">
        <f aca="false">G22+H22</f>
        <v>362.22</v>
      </c>
      <c r="J22" s="247" t="n">
        <f aca="false">IF(L22&gt;0,L22,0)</f>
        <v>0</v>
      </c>
      <c r="K22" s="267" t="n">
        <f aca="false">I22+J22</f>
        <v>362.22</v>
      </c>
      <c r="L22" s="267" t="n">
        <f aca="false">F22-(I22-AC22)</f>
        <v>-58.9699369800858</v>
      </c>
      <c r="M22" s="269" t="n">
        <v>333</v>
      </c>
      <c r="N22" s="267" t="n">
        <f aca="false">2.1*1.03</f>
        <v>2.163</v>
      </c>
      <c r="O22" s="267" t="n">
        <f aca="false">(45+38)*1.05</f>
        <v>87.15</v>
      </c>
      <c r="P22" s="367" t="n">
        <v>2.77</v>
      </c>
      <c r="Q22" s="367" t="n">
        <v>4.2</v>
      </c>
      <c r="R22" s="368" t="n">
        <v>5.45</v>
      </c>
      <c r="S22" s="267" t="n">
        <v>112</v>
      </c>
      <c r="T22" s="267" t="n">
        <v>81</v>
      </c>
      <c r="U22" s="267" t="n">
        <f aca="false">M22-N22-O22-P22-Q22-R22+S22+T22</f>
        <v>424.267</v>
      </c>
      <c r="V22" s="242" t="n">
        <f aca="false">V21</f>
        <v>0</v>
      </c>
      <c r="W22" s="242" t="n">
        <f aca="false">W21+AK22-(AL22/1.9835)+AM22</f>
        <v>12773.0968229529</v>
      </c>
      <c r="X22" s="267" t="n">
        <v>261</v>
      </c>
      <c r="Y22" s="269" t="n">
        <v>1.7</v>
      </c>
      <c r="Z22" s="270" t="n">
        <v>1.3</v>
      </c>
      <c r="AA22" s="390" t="n">
        <v>92</v>
      </c>
      <c r="AB22" s="391" t="n">
        <f aca="false">AB21-AA22</f>
        <v>13483.433072851</v>
      </c>
      <c r="AC22" s="127" t="n">
        <f aca="false">N22+O22+P22+Q22+R22+U22+X22+AA22</f>
        <v>879</v>
      </c>
      <c r="AD22" s="267" t="n">
        <f aca="false">IF(L22&lt;0,L22*-1,0)</f>
        <v>58.9699369800858</v>
      </c>
      <c r="AE22" s="267" t="n">
        <f aca="false">AC22+AD22</f>
        <v>937.969936980086</v>
      </c>
      <c r="AF22" s="380" t="n">
        <v>0</v>
      </c>
      <c r="AG22" s="244" t="n">
        <v>90</v>
      </c>
      <c r="AH22" s="249" t="n">
        <v>53</v>
      </c>
      <c r="AI22" s="244" t="n">
        <f aca="false">AI21</f>
        <v>16467.3080282</v>
      </c>
      <c r="AJ22" s="244"/>
      <c r="AK22" s="101" t="n">
        <f aca="false">(I22-P22-Q22-Y22)-U22</f>
        <v>-70.7169999999999</v>
      </c>
      <c r="AL22" s="367" t="n">
        <f aca="false">60.3*(V21*1.9835+W21*1.9835)/E22</f>
        <v>7.00032853144765</v>
      </c>
      <c r="AM22" s="101"/>
      <c r="AN22" s="9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2.95" hidden="false" customHeight="true" outlineLevel="0" collapsed="false">
      <c r="A23" s="172" t="n">
        <f aca="false">A22+1</f>
        <v>12</v>
      </c>
      <c r="B23" s="252" t="n">
        <v>6921.55</v>
      </c>
      <c r="C23" s="242" t="n">
        <v>370323</v>
      </c>
      <c r="D23" s="244" t="n">
        <f aca="false">C23-C22</f>
        <v>-1182</v>
      </c>
      <c r="E23" s="242" t="n">
        <f aca="false">C23-152000</f>
        <v>218323</v>
      </c>
      <c r="F23" s="266" t="n">
        <f aca="false">D23/$D$2</f>
        <v>-595.916309553819</v>
      </c>
      <c r="G23" s="267" t="n">
        <v>339</v>
      </c>
      <c r="H23" s="247" t="n">
        <v>0.36</v>
      </c>
      <c r="I23" s="267" t="n">
        <f aca="false">G23+H23</f>
        <v>339.36</v>
      </c>
      <c r="J23" s="247" t="n">
        <f aca="false">IF(L23&gt;0,L23,0)</f>
        <v>0</v>
      </c>
      <c r="K23" s="267" t="n">
        <f aca="false">I23+J23</f>
        <v>339.36</v>
      </c>
      <c r="L23" s="267" t="n">
        <f aca="false">F23-(I23-AC23)</f>
        <v>-10.276309553819</v>
      </c>
      <c r="M23" s="269" t="n">
        <v>340</v>
      </c>
      <c r="N23" s="267" t="n">
        <f aca="false">2.1*1.03</f>
        <v>2.163</v>
      </c>
      <c r="O23" s="267" t="n">
        <f aca="false">(45+36)*1.05</f>
        <v>85.05</v>
      </c>
      <c r="P23" s="367" t="n">
        <v>2.77</v>
      </c>
      <c r="Q23" s="367" t="n">
        <v>4.2</v>
      </c>
      <c r="R23" s="368" t="n">
        <v>5.12</v>
      </c>
      <c r="S23" s="267" t="n">
        <v>105</v>
      </c>
      <c r="T23" s="267" t="n">
        <v>79</v>
      </c>
      <c r="U23" s="267" t="n">
        <f aca="false">M23-N23-O23-P23-Q23-R23+S23+T23</f>
        <v>424.697</v>
      </c>
      <c r="V23" s="242" t="n">
        <f aca="false">V22</f>
        <v>0</v>
      </c>
      <c r="W23" s="242" t="n">
        <f aca="false">W22+AK23-(AL23/1.9835)+AM23</f>
        <v>12675.561941152</v>
      </c>
      <c r="X23" s="267" t="n">
        <v>309</v>
      </c>
      <c r="Y23" s="269" t="n">
        <v>1.7</v>
      </c>
      <c r="Z23" s="270" t="n">
        <v>1.3</v>
      </c>
      <c r="AA23" s="390" t="n">
        <v>92</v>
      </c>
      <c r="AB23" s="391" t="n">
        <f aca="false">AB22-AA23</f>
        <v>13391.433072851</v>
      </c>
      <c r="AC23" s="127" t="n">
        <f aca="false">N23+O23+P23+Q23+R23+U23+X23+AA23</f>
        <v>925</v>
      </c>
      <c r="AD23" s="267" t="n">
        <f aca="false">IF(L23&lt;0,L23*-1,0)</f>
        <v>10.276309553819</v>
      </c>
      <c r="AE23" s="267" t="n">
        <f aca="false">AC23+AD23</f>
        <v>935.276309553819</v>
      </c>
      <c r="AF23" s="380" t="n">
        <v>0</v>
      </c>
      <c r="AG23" s="244" t="n">
        <v>94</v>
      </c>
      <c r="AH23" s="249" t="n">
        <v>60</v>
      </c>
      <c r="AI23" s="244" t="n">
        <f aca="false">AI22</f>
        <v>16467.3080282</v>
      </c>
      <c r="AJ23" s="244"/>
      <c r="AK23" s="101" t="n">
        <f aca="false">(I23-P23-Q23-Y23)-U23</f>
        <v>-94.007</v>
      </c>
      <c r="AL23" s="367" t="n">
        <f aca="false">60.3*(V22*1.9835+W22*1.9835)/E23</f>
        <v>6.99755355214119</v>
      </c>
      <c r="AM23" s="101"/>
      <c r="AN23" s="9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2.95" hidden="false" customHeight="true" outlineLevel="0" collapsed="false">
      <c r="A24" s="172" t="n">
        <f aca="false">A23+1</f>
        <v>13</v>
      </c>
      <c r="B24" s="252" t="n">
        <v>6921.28</v>
      </c>
      <c r="C24" s="242" t="n">
        <v>369141</v>
      </c>
      <c r="D24" s="244" t="n">
        <f aca="false">C24-C23</f>
        <v>-1182</v>
      </c>
      <c r="E24" s="242" t="n">
        <f aca="false">C24-152000</f>
        <v>217141</v>
      </c>
      <c r="F24" s="266" t="n">
        <f aca="false">D24/$D$2</f>
        <v>-595.916309553819</v>
      </c>
      <c r="G24" s="267" t="n">
        <v>323</v>
      </c>
      <c r="H24" s="247" t="n">
        <v>0.59</v>
      </c>
      <c r="I24" s="267" t="n">
        <f aca="false">G24+H24</f>
        <v>323.59</v>
      </c>
      <c r="J24" s="247" t="n">
        <f aca="false">IF(L24&gt;0,L24,0)</f>
        <v>0</v>
      </c>
      <c r="K24" s="267" t="n">
        <f aca="false">I24+J24</f>
        <v>323.59</v>
      </c>
      <c r="L24" s="267" t="n">
        <f aca="false">F24-(I24-AC24)</f>
        <v>-7.50630955381894</v>
      </c>
      <c r="M24" s="269" t="n">
        <v>335</v>
      </c>
      <c r="N24" s="267" t="n">
        <f aca="false">2.1*1.03</f>
        <v>2.163</v>
      </c>
      <c r="O24" s="267" t="n">
        <f aca="false">(44+42)*1.05</f>
        <v>90.3</v>
      </c>
      <c r="P24" s="367" t="n">
        <v>2.77</v>
      </c>
      <c r="Q24" s="367" t="n">
        <v>4.2</v>
      </c>
      <c r="R24" s="368" t="n">
        <v>3.64</v>
      </c>
      <c r="S24" s="267" t="n">
        <v>94</v>
      </c>
      <c r="T24" s="267" t="n">
        <v>79</v>
      </c>
      <c r="U24" s="267" t="n">
        <f aca="false">M24-N24-O24-P24-Q24-R24+S24+T24</f>
        <v>404.927</v>
      </c>
      <c r="V24" s="242" t="n">
        <f aca="false">V23</f>
        <v>0</v>
      </c>
      <c r="W24" s="242" t="n">
        <f aca="false">W23+AK24-(AL24/1.9835)+AM24</f>
        <v>12582.0349408524</v>
      </c>
      <c r="X24" s="267" t="n">
        <v>312</v>
      </c>
      <c r="Y24" s="269" t="n">
        <v>1.7</v>
      </c>
      <c r="Z24" s="270" t="n">
        <v>1.3</v>
      </c>
      <c r="AA24" s="390" t="n">
        <v>92</v>
      </c>
      <c r="AB24" s="391" t="n">
        <f aca="false">AB23-AA24</f>
        <v>13299.433072851</v>
      </c>
      <c r="AC24" s="127" t="n">
        <f aca="false">N24+O24+P24+Q24+R24+U24+X24+AA24</f>
        <v>912</v>
      </c>
      <c r="AD24" s="267" t="n">
        <f aca="false">IF(L24&lt;0,L24*-1,0)</f>
        <v>7.50630955381894</v>
      </c>
      <c r="AE24" s="267" t="n">
        <f aca="false">AC24+AD24</f>
        <v>919.506309553819</v>
      </c>
      <c r="AF24" s="380" t="n">
        <v>0</v>
      </c>
      <c r="AG24" s="244" t="n">
        <v>94</v>
      </c>
      <c r="AH24" s="249" t="n">
        <v>62</v>
      </c>
      <c r="AI24" s="244" t="n">
        <f aca="false">AI23</f>
        <v>16467.3080282</v>
      </c>
      <c r="AJ24" s="244"/>
      <c r="AK24" s="101" t="n">
        <f aca="false">(I24-P24-Q24-Y24)-U24</f>
        <v>-90.007</v>
      </c>
      <c r="AL24" s="367" t="n">
        <f aca="false">60.3*(V23*1.9835+W23*1.9835)/E24</f>
        <v>6.98192059422024</v>
      </c>
      <c r="AM24" s="101"/>
      <c r="AN24" s="9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2.95" hidden="false" customHeight="true" outlineLevel="0" collapsed="false">
      <c r="A25" s="172" t="n">
        <f aca="false">A24+1</f>
        <v>14</v>
      </c>
      <c r="B25" s="252" t="n">
        <v>6921.01</v>
      </c>
      <c r="C25" s="242" t="n">
        <v>367959</v>
      </c>
      <c r="D25" s="244" t="n">
        <f aca="false">C25-C24</f>
        <v>-1182</v>
      </c>
      <c r="E25" s="242" t="n">
        <f aca="false">C25-152000</f>
        <v>215959</v>
      </c>
      <c r="F25" s="266" t="n">
        <f aca="false">D25/$D$2</f>
        <v>-595.916309553819</v>
      </c>
      <c r="G25" s="267" t="n">
        <v>334</v>
      </c>
      <c r="H25" s="247" t="n">
        <v>0.88</v>
      </c>
      <c r="I25" s="267" t="n">
        <f aca="false">G25+H25</f>
        <v>334.88</v>
      </c>
      <c r="J25" s="247" t="n">
        <f aca="false">IF(L25&gt;0,L25,0)</f>
        <v>0</v>
      </c>
      <c r="K25" s="267" t="n">
        <f aca="false">I25+J25</f>
        <v>334.88</v>
      </c>
      <c r="L25" s="267" t="n">
        <f aca="false">F25-(I25-AC25)</f>
        <v>-73.796309553819</v>
      </c>
      <c r="M25" s="269" t="n">
        <v>306</v>
      </c>
      <c r="N25" s="267" t="n">
        <f aca="false">2.1*1.03</f>
        <v>2.163</v>
      </c>
      <c r="O25" s="267" t="n">
        <f aca="false">(45+46)*1.05</f>
        <v>95.55</v>
      </c>
      <c r="P25" s="367" t="n">
        <v>2.77</v>
      </c>
      <c r="Q25" s="367" t="n">
        <v>4.2</v>
      </c>
      <c r="R25" s="368" t="n">
        <v>5.46</v>
      </c>
      <c r="S25" s="267" t="n">
        <v>92</v>
      </c>
      <c r="T25" s="267" t="n">
        <v>78</v>
      </c>
      <c r="U25" s="267" t="n">
        <f aca="false">M25-N25-O25-P25-Q25-R25+S25+T25</f>
        <v>365.857</v>
      </c>
      <c r="V25" s="242" t="n">
        <f aca="false">V24</f>
        <v>0</v>
      </c>
      <c r="W25" s="242" t="n">
        <f aca="false">W24+AK25-(AL25/1.9835)+AM25</f>
        <v>12538.8747892498</v>
      </c>
      <c r="X25" s="267" t="n">
        <v>289</v>
      </c>
      <c r="Y25" s="269" t="n">
        <v>1.7</v>
      </c>
      <c r="Z25" s="270" t="n">
        <v>1.3</v>
      </c>
      <c r="AA25" s="390" t="n">
        <v>92</v>
      </c>
      <c r="AB25" s="391" t="n">
        <f aca="false">AB24-AA25</f>
        <v>13207.433072851</v>
      </c>
      <c r="AC25" s="127" t="n">
        <f aca="false">N25+O25+P25+Q25+R25+U25+X25+AA25</f>
        <v>857</v>
      </c>
      <c r="AD25" s="267" t="n">
        <f aca="false">IF(L25&lt;0,L25*-1,0)</f>
        <v>73.796309553819</v>
      </c>
      <c r="AE25" s="267" t="n">
        <f aca="false">AC25+AD25</f>
        <v>930.796309553819</v>
      </c>
      <c r="AF25" s="380" t="n">
        <v>0</v>
      </c>
      <c r="AG25" s="244" t="n">
        <v>96</v>
      </c>
      <c r="AH25" s="249" t="n">
        <v>60</v>
      </c>
      <c r="AI25" s="244" t="n">
        <f aca="false">AI24</f>
        <v>16467.3080282</v>
      </c>
      <c r="AJ25" s="244"/>
      <c r="AK25" s="101" t="n">
        <f aca="false">(I25-P25-Q25-Y25)-U25</f>
        <v>-39.6469999999999</v>
      </c>
      <c r="AL25" s="367" t="n">
        <f aca="false">60.3*(V24*1.9835+W24*1.9835)/E25</f>
        <v>6.96833620364233</v>
      </c>
      <c r="AM25" s="101"/>
      <c r="AN25" s="9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2.95" hidden="false" customHeight="true" outlineLevel="0" collapsed="false">
      <c r="A26" s="172" t="n">
        <f aca="false">A25+1</f>
        <v>15</v>
      </c>
      <c r="B26" s="252" t="n">
        <v>6920.77</v>
      </c>
      <c r="C26" s="242" t="n">
        <v>366916</v>
      </c>
      <c r="D26" s="244" t="n">
        <f aca="false">C26-C25</f>
        <v>-1043</v>
      </c>
      <c r="E26" s="242" t="n">
        <f aca="false">C26-152000</f>
        <v>214916</v>
      </c>
      <c r="F26" s="266" t="n">
        <f aca="false">D26/$D$2</f>
        <v>-525.838164860096</v>
      </c>
      <c r="G26" s="267" t="n">
        <v>320</v>
      </c>
      <c r="H26" s="247" t="n">
        <v>1.3</v>
      </c>
      <c r="I26" s="267" t="n">
        <f aca="false">G26+H26</f>
        <v>321.3</v>
      </c>
      <c r="J26" s="247" t="n">
        <f aca="false">IF(L26&gt;0,L26,0)</f>
        <v>2.86183513990431</v>
      </c>
      <c r="K26" s="267" t="n">
        <f aca="false">I26+J26</f>
        <v>324.161835139904</v>
      </c>
      <c r="L26" s="267" t="n">
        <f aca="false">F26-(I26-AC26)</f>
        <v>2.86183513990431</v>
      </c>
      <c r="M26" s="269" t="n">
        <v>307</v>
      </c>
      <c r="N26" s="267" t="n">
        <f aca="false">2.1*1.03</f>
        <v>2.163</v>
      </c>
      <c r="O26" s="267" t="n">
        <f aca="false">(43+45)*1.05</f>
        <v>92.4</v>
      </c>
      <c r="P26" s="367" t="n">
        <v>2.77</v>
      </c>
      <c r="Q26" s="367" t="n">
        <v>4.2</v>
      </c>
      <c r="R26" s="368" t="n">
        <v>5.56</v>
      </c>
      <c r="S26" s="267" t="n">
        <v>93</v>
      </c>
      <c r="T26" s="267" t="n">
        <v>79</v>
      </c>
      <c r="U26" s="267" t="n">
        <f aca="false">M26-N26-O26-P26-Q26-R26+S26+T26</f>
        <v>371.907</v>
      </c>
      <c r="V26" s="242" t="n">
        <f aca="false">V25</f>
        <v>0</v>
      </c>
      <c r="W26" s="242" t="n">
        <f aca="false">W25+AK26-(AL26/1.9835)+AM26</f>
        <v>12476.0796977639</v>
      </c>
      <c r="X26" s="267" t="n">
        <v>279</v>
      </c>
      <c r="Y26" s="269" t="n">
        <v>1.7</v>
      </c>
      <c r="Z26" s="270" t="n">
        <v>1.3</v>
      </c>
      <c r="AA26" s="390" t="n">
        <v>92</v>
      </c>
      <c r="AB26" s="391" t="n">
        <f aca="false">AB25-AA26</f>
        <v>13115.433072851</v>
      </c>
      <c r="AC26" s="127" t="n">
        <f aca="false">N26+O26+P26+Q26+R26+U26+X26+AA26</f>
        <v>850</v>
      </c>
      <c r="AD26" s="267" t="n">
        <f aca="false">IF(L26&lt;0,L26*-1,0)</f>
        <v>0</v>
      </c>
      <c r="AE26" s="267" t="n">
        <f aca="false">AC26+AD26</f>
        <v>850</v>
      </c>
      <c r="AF26" s="380" t="n">
        <v>0.07</v>
      </c>
      <c r="AG26" s="250" t="n">
        <v>92</v>
      </c>
      <c r="AH26" s="249" t="n">
        <v>58</v>
      </c>
      <c r="AI26" s="244" t="n">
        <f aca="false">AI25</f>
        <v>16467.3080282</v>
      </c>
      <c r="AJ26" s="244"/>
      <c r="AK26" s="101" t="n">
        <f aca="false">(I26-P26-Q26-Y26)-U26</f>
        <v>-59.2769999999999</v>
      </c>
      <c r="AL26" s="367" t="n">
        <f aca="false">60.3*(V25*1.9835+W25*1.9835)/E26</f>
        <v>6.97813446235722</v>
      </c>
      <c r="AM26" s="101"/>
      <c r="AN26" s="9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2.95" hidden="false" customHeight="true" outlineLevel="0" collapsed="false">
      <c r="A27" s="172" t="n">
        <f aca="false">A26+1</f>
        <v>16</v>
      </c>
      <c r="B27" s="252" t="n">
        <v>6920.51</v>
      </c>
      <c r="C27" s="242" t="n">
        <v>365787</v>
      </c>
      <c r="D27" s="244" t="n">
        <f aca="false">C27-C26</f>
        <v>-1129</v>
      </c>
      <c r="E27" s="242" t="n">
        <f aca="false">C27-152000</f>
        <v>213787</v>
      </c>
      <c r="F27" s="266" t="n">
        <f aca="false">D27/$D$2</f>
        <v>-569.195865893622</v>
      </c>
      <c r="G27" s="267" t="n">
        <v>307</v>
      </c>
      <c r="H27" s="247" t="n">
        <v>1.4</v>
      </c>
      <c r="I27" s="267" t="n">
        <f aca="false">G27+H27</f>
        <v>308.4</v>
      </c>
      <c r="J27" s="247" t="n">
        <f aca="false">IF(L27&gt;0,L27,0)</f>
        <v>0</v>
      </c>
      <c r="K27" s="267" t="n">
        <f aca="false">I27+J27</f>
        <v>308.4</v>
      </c>
      <c r="L27" s="267" t="n">
        <f aca="false">F27-(I27-AC27)</f>
        <v>-51.5958658936223</v>
      </c>
      <c r="M27" s="269" t="n">
        <v>304</v>
      </c>
      <c r="N27" s="267" t="n">
        <f aca="false">2.1*1.03</f>
        <v>2.163</v>
      </c>
      <c r="O27" s="267" t="n">
        <f aca="false">(43+42)*1.05</f>
        <v>89.25</v>
      </c>
      <c r="P27" s="367" t="n">
        <v>2.77</v>
      </c>
      <c r="Q27" s="367" t="n">
        <v>4.2</v>
      </c>
      <c r="R27" s="368" t="n">
        <v>5.54</v>
      </c>
      <c r="S27" s="267" t="n">
        <v>92</v>
      </c>
      <c r="T27" s="267" t="n">
        <v>80</v>
      </c>
      <c r="U27" s="267" t="n">
        <f aca="false">M27-N27-O27-P27-Q27-R27+S27+T27</f>
        <v>372.077</v>
      </c>
      <c r="V27" s="242" t="n">
        <f aca="false">V26</f>
        <v>0</v>
      </c>
      <c r="W27" s="242" t="n">
        <f aca="false">W26+AK27-(AL27/1.9835)+AM27</f>
        <v>12400.2137391473</v>
      </c>
      <c r="X27" s="267" t="n">
        <v>258</v>
      </c>
      <c r="Y27" s="269" t="n">
        <v>1.7</v>
      </c>
      <c r="Z27" s="270" t="n">
        <v>1.3</v>
      </c>
      <c r="AA27" s="390" t="n">
        <v>92</v>
      </c>
      <c r="AB27" s="391" t="n">
        <f aca="false">AB26-AA27</f>
        <v>13023.433072851</v>
      </c>
      <c r="AC27" s="127" t="n">
        <f aca="false">N27+O27+P27+Q27+R27+U27+X27+AA27</f>
        <v>826</v>
      </c>
      <c r="AD27" s="267" t="n">
        <f aca="false">IF(L27&lt;0,L27*-1,0)</f>
        <v>51.5958658936223</v>
      </c>
      <c r="AE27" s="267" t="n">
        <f aca="false">AC27+AD27</f>
        <v>877.595865893622</v>
      </c>
      <c r="AF27" s="380" t="n">
        <v>0.1</v>
      </c>
      <c r="AG27" s="250" t="n">
        <v>93</v>
      </c>
      <c r="AH27" s="249" t="n">
        <v>62</v>
      </c>
      <c r="AI27" s="244" t="n">
        <f aca="false">AI26</f>
        <v>16467.3080282</v>
      </c>
      <c r="AJ27" s="244"/>
      <c r="AK27" s="101" t="n">
        <f aca="false">(I27-P27-Q27-Y27)-U27</f>
        <v>-72.347</v>
      </c>
      <c r="AL27" s="367" t="n">
        <f aca="false">60.3*(V26*1.9835+W26*1.9835)/E27</f>
        <v>6.97985441610124</v>
      </c>
      <c r="AM27" s="101"/>
      <c r="AN27" s="9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2.95" hidden="false" customHeight="true" outlineLevel="0" collapsed="false">
      <c r="A28" s="172" t="n">
        <f aca="false">A27+1</f>
        <v>17</v>
      </c>
      <c r="B28" s="252" t="n">
        <v>6920.25</v>
      </c>
      <c r="C28" s="242" t="n">
        <v>364659</v>
      </c>
      <c r="D28" s="244" t="n">
        <f aca="false">C28-C27</f>
        <v>-1128</v>
      </c>
      <c r="E28" s="242" t="n">
        <f aca="false">C28-152000</f>
        <v>212659</v>
      </c>
      <c r="F28" s="266" t="n">
        <f aca="false">D28/$D$2</f>
        <v>-568.691706579279</v>
      </c>
      <c r="G28" s="267" t="n">
        <v>283</v>
      </c>
      <c r="H28" s="247" t="n">
        <v>1.4</v>
      </c>
      <c r="I28" s="267" t="n">
        <f aca="false">G28+H28</f>
        <v>284.4</v>
      </c>
      <c r="J28" s="247" t="n">
        <f aca="false">IF(L28&gt;0,L28,0)</f>
        <v>0</v>
      </c>
      <c r="K28" s="267" t="n">
        <f aca="false">I28+J28</f>
        <v>284.4</v>
      </c>
      <c r="L28" s="267" t="n">
        <f aca="false">F28-(I28-AC28)</f>
        <v>-83.091706579279</v>
      </c>
      <c r="M28" s="269" t="n">
        <v>286</v>
      </c>
      <c r="N28" s="267" t="n">
        <f aca="false">2.1*1.03</f>
        <v>2.163</v>
      </c>
      <c r="O28" s="267" t="n">
        <f aca="false">(35+34)*1.05</f>
        <v>72.45</v>
      </c>
      <c r="P28" s="367" t="n">
        <v>2.77</v>
      </c>
      <c r="Q28" s="367" t="n">
        <v>4.2</v>
      </c>
      <c r="R28" s="368" t="n">
        <v>5.53</v>
      </c>
      <c r="S28" s="267" t="n">
        <v>91</v>
      </c>
      <c r="T28" s="267" t="n">
        <v>81</v>
      </c>
      <c r="U28" s="267" t="n">
        <f aca="false">M28-N28-O28-P28-Q28-R28+S28+T28</f>
        <v>370.887</v>
      </c>
      <c r="V28" s="242" t="n">
        <f aca="false">V27</f>
        <v>0</v>
      </c>
      <c r="W28" s="242" t="n">
        <f aca="false">W27+AK28-(AL28/1.9835)+AM28</f>
        <v>12301.5406270219</v>
      </c>
      <c r="X28" s="267" t="n">
        <v>220</v>
      </c>
      <c r="Y28" s="269" t="n">
        <v>1.7</v>
      </c>
      <c r="Z28" s="270" t="n">
        <v>1.3</v>
      </c>
      <c r="AA28" s="390" t="n">
        <v>92</v>
      </c>
      <c r="AB28" s="391" t="n">
        <f aca="false">AB27-AA28</f>
        <v>12931.433072851</v>
      </c>
      <c r="AC28" s="127" t="n">
        <f aca="false">N28+O28+P28+Q28+R28+U28+X28+AA28</f>
        <v>770</v>
      </c>
      <c r="AD28" s="267" t="n">
        <f aca="false">IF(L28&lt;0,L28*-1,0)</f>
        <v>83.091706579279</v>
      </c>
      <c r="AE28" s="267" t="n">
        <f aca="false">AC28+AD28</f>
        <v>853.091706579279</v>
      </c>
      <c r="AF28" s="380" t="n">
        <v>0</v>
      </c>
      <c r="AG28" s="250" t="n">
        <v>94</v>
      </c>
      <c r="AH28" s="249" t="n">
        <v>60</v>
      </c>
      <c r="AI28" s="244" t="n">
        <f aca="false">AI27</f>
        <v>16467.3080282</v>
      </c>
      <c r="AJ28" s="244"/>
      <c r="AK28" s="101" t="n">
        <f aca="false">(I28-P28-Q28-Y28)-U28</f>
        <v>-95.157</v>
      </c>
      <c r="AL28" s="367" t="n">
        <f aca="false">60.3*(V27*1.9835+W27*1.9835)/E28</f>
        <v>6.97420840068558</v>
      </c>
      <c r="AM28" s="101"/>
      <c r="AN28" s="9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2.95" hidden="false" customHeight="true" outlineLevel="0" collapsed="false">
      <c r="A29" s="172" t="n">
        <f aca="false">A28+1</f>
        <v>18</v>
      </c>
      <c r="B29" s="252" t="n">
        <v>6919.97</v>
      </c>
      <c r="C29" s="242" t="n">
        <v>363444</v>
      </c>
      <c r="D29" s="244" t="n">
        <f aca="false">C29-C28</f>
        <v>-1215</v>
      </c>
      <c r="E29" s="242" t="n">
        <f aca="false">C29-152000</f>
        <v>211444</v>
      </c>
      <c r="F29" s="266" t="n">
        <f aca="false">D29/$D$2</f>
        <v>-612.553566927149</v>
      </c>
      <c r="G29" s="267" t="n">
        <v>266</v>
      </c>
      <c r="H29" s="247" t="n">
        <v>1.4</v>
      </c>
      <c r="I29" s="267" t="n">
        <f aca="false">G29+H29</f>
        <v>267.4</v>
      </c>
      <c r="J29" s="247" t="n">
        <f aca="false">IF(L29&gt;0,L29,0)</f>
        <v>0</v>
      </c>
      <c r="K29" s="267" t="n">
        <f aca="false">I29+J29</f>
        <v>267.4</v>
      </c>
      <c r="L29" s="267" t="n">
        <f aca="false">F29-(I29-AC29)</f>
        <v>-71.9535669271489</v>
      </c>
      <c r="M29" s="269" t="n">
        <v>288</v>
      </c>
      <c r="N29" s="267" t="n">
        <f aca="false">2.1*1.03</f>
        <v>2.163</v>
      </c>
      <c r="O29" s="267" t="n">
        <f aca="false">(44+46)*1.05</f>
        <v>94.5</v>
      </c>
      <c r="P29" s="367" t="n">
        <v>2.77</v>
      </c>
      <c r="Q29" s="367" t="n">
        <v>4.2</v>
      </c>
      <c r="R29" s="368" t="n">
        <v>5.71</v>
      </c>
      <c r="S29" s="267" t="n">
        <v>90</v>
      </c>
      <c r="T29" s="267" t="n">
        <v>80</v>
      </c>
      <c r="U29" s="267" t="n">
        <f aca="false">M29-N29-O29-P29-Q29-R29+S29+T29</f>
        <v>348.657</v>
      </c>
      <c r="V29" s="242" t="n">
        <f aca="false">V28</f>
        <v>0</v>
      </c>
      <c r="W29" s="242" t="n">
        <f aca="false">W28+AK29-(AL29/1.9835)+AM29</f>
        <v>12208.1054503897</v>
      </c>
      <c r="X29" s="267" t="n">
        <v>258</v>
      </c>
      <c r="Y29" s="269" t="n">
        <v>1.7</v>
      </c>
      <c r="Z29" s="270" t="n">
        <v>1.3</v>
      </c>
      <c r="AA29" s="390" t="n">
        <v>92</v>
      </c>
      <c r="AB29" s="391" t="n">
        <f aca="false">AB28-AA29</f>
        <v>12839.433072851</v>
      </c>
      <c r="AC29" s="127" t="n">
        <f aca="false">N29+O29+P29+Q29+R29+U29+X29+AA29</f>
        <v>808</v>
      </c>
      <c r="AD29" s="267" t="n">
        <f aca="false">IF(L29&lt;0,L29*-1,0)</f>
        <v>71.9535669271489</v>
      </c>
      <c r="AE29" s="267" t="n">
        <f aca="false">AC29+AD29</f>
        <v>879.953566927149</v>
      </c>
      <c r="AF29" s="380" t="n">
        <v>0</v>
      </c>
      <c r="AG29" s="250" t="n">
        <v>93</v>
      </c>
      <c r="AH29" s="249" t="n">
        <v>56</v>
      </c>
      <c r="AI29" s="244" t="n">
        <f aca="false">AI28</f>
        <v>16467.3080282</v>
      </c>
      <c r="AJ29" s="244"/>
      <c r="AK29" s="101" t="n">
        <f aca="false">(I29-P29-Q29-Y29)-U29</f>
        <v>-89.927</v>
      </c>
      <c r="AL29" s="367" t="n">
        <f aca="false">60.3*(V28*1.9835+W28*1.9835)/E29</f>
        <v>6.95846834987979</v>
      </c>
      <c r="AM29" s="101"/>
      <c r="AN29" s="9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2.95" hidden="false" customHeight="true" outlineLevel="0" collapsed="false">
      <c r="A30" s="172" t="n">
        <f aca="false">A29+1</f>
        <v>19</v>
      </c>
      <c r="B30" s="252" t="n">
        <v>6919.7</v>
      </c>
      <c r="C30" s="242" t="n">
        <v>362281</v>
      </c>
      <c r="D30" s="244" t="n">
        <f aca="false">C30-C29</f>
        <v>-1163</v>
      </c>
      <c r="E30" s="242" t="n">
        <f aca="false">C30-152000</f>
        <v>210281</v>
      </c>
      <c r="F30" s="266" t="n">
        <f aca="false">D30/$D$2</f>
        <v>-586.337282581296</v>
      </c>
      <c r="G30" s="267" t="n">
        <v>241</v>
      </c>
      <c r="H30" s="247" t="n">
        <v>1.2</v>
      </c>
      <c r="I30" s="267" t="n">
        <f aca="false">G30+H30</f>
        <v>242.2</v>
      </c>
      <c r="J30" s="247" t="n">
        <f aca="false">IF(L30&gt;0,L30,0)</f>
        <v>0</v>
      </c>
      <c r="K30" s="267" t="n">
        <f aca="false">I30+J30</f>
        <v>242.2</v>
      </c>
      <c r="L30" s="267" t="n">
        <f aca="false">F30-(I30-AC30)</f>
        <v>-26.5372825812957</v>
      </c>
      <c r="M30" s="269" t="n">
        <v>258</v>
      </c>
      <c r="N30" s="267" t="n">
        <f aca="false">2.1*1.03</f>
        <v>2.163</v>
      </c>
      <c r="O30" s="267" t="n">
        <f aca="false">(43+41)*1.05</f>
        <v>88.2</v>
      </c>
      <c r="P30" s="367" t="n">
        <v>2.77</v>
      </c>
      <c r="Q30" s="367" t="n">
        <v>4.2</v>
      </c>
      <c r="R30" s="368" t="n">
        <v>5.63</v>
      </c>
      <c r="S30" s="267" t="n">
        <v>90</v>
      </c>
      <c r="T30" s="267" t="n">
        <v>80</v>
      </c>
      <c r="U30" s="267" t="n">
        <f aca="false">M30-N30-O30-P30-Q30-R30+S30+T30</f>
        <v>325.037</v>
      </c>
      <c r="V30" s="242" t="n">
        <f aca="false">V29</f>
        <v>0</v>
      </c>
      <c r="W30" s="242" t="n">
        <f aca="false">W29+AK30-(AL30/1.9835)+AM30</f>
        <v>12113.0976644953</v>
      </c>
      <c r="X30" s="267" t="n">
        <v>282</v>
      </c>
      <c r="Y30" s="269" t="n">
        <v>1.7</v>
      </c>
      <c r="Z30" s="270" t="n">
        <v>1.3</v>
      </c>
      <c r="AA30" s="390" t="n">
        <v>92</v>
      </c>
      <c r="AB30" s="391" t="n">
        <f aca="false">AB29-AA30</f>
        <v>12747.433072851</v>
      </c>
      <c r="AC30" s="127" t="n">
        <f aca="false">N30+O30+P30+Q30+R30+U30+X30+AA30</f>
        <v>802</v>
      </c>
      <c r="AD30" s="267" t="n">
        <f aca="false">IF(L30&lt;0,L30*-1,0)</f>
        <v>26.5372825812957</v>
      </c>
      <c r="AE30" s="267" t="n">
        <f aca="false">AC30+AD30</f>
        <v>828.537282581296</v>
      </c>
      <c r="AF30" s="380" t="n">
        <v>0</v>
      </c>
      <c r="AG30" s="250" t="n">
        <v>95</v>
      </c>
      <c r="AH30" s="249" t="n">
        <v>56</v>
      </c>
      <c r="AI30" s="244" t="n">
        <f aca="false">AI29</f>
        <v>16467.3080282</v>
      </c>
      <c r="AJ30" s="244"/>
      <c r="AK30" s="101" t="n">
        <f aca="false">(I30-P30-Q30-Y30)-U30</f>
        <v>-91.507</v>
      </c>
      <c r="AL30" s="367" t="n">
        <f aca="false">60.3*(V29*1.9835+W29*1.9835)/E30</f>
        <v>6.94380882152518</v>
      </c>
      <c r="AM30" s="101"/>
      <c r="AN30" s="9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2.95" hidden="false" customHeight="true" outlineLevel="0" collapsed="false">
      <c r="A31" s="172" t="n">
        <f aca="false">A30+1</f>
        <v>20</v>
      </c>
      <c r="B31" s="252" t="n">
        <v>6919.42</v>
      </c>
      <c r="C31" s="242" t="n">
        <v>361075</v>
      </c>
      <c r="D31" s="244" t="n">
        <f aca="false">C31-C30</f>
        <v>-1206</v>
      </c>
      <c r="E31" s="242" t="n">
        <f aca="false">C31-152000</f>
        <v>209075</v>
      </c>
      <c r="F31" s="266" t="n">
        <f aca="false">D31/$D$2</f>
        <v>-608.016133098059</v>
      </c>
      <c r="G31" s="267" t="n">
        <v>226</v>
      </c>
      <c r="H31" s="247" t="n">
        <v>0.36</v>
      </c>
      <c r="I31" s="267" t="n">
        <f aca="false">G31+H31</f>
        <v>226.36</v>
      </c>
      <c r="J31" s="247" t="n">
        <f aca="false">IF(L31&gt;0,L31,0)</f>
        <v>0</v>
      </c>
      <c r="K31" s="267" t="n">
        <f aca="false">I31+J31</f>
        <v>226.36</v>
      </c>
      <c r="L31" s="267" t="n">
        <f aca="false">F31-(I31-AC31)</f>
        <v>-29.376133098059</v>
      </c>
      <c r="M31" s="269" t="n">
        <v>260</v>
      </c>
      <c r="N31" s="267" t="n">
        <f aca="false">2.1*1.03</f>
        <v>2.163</v>
      </c>
      <c r="O31" s="267" t="n">
        <f aca="false">(43+44)*1.05</f>
        <v>91.35</v>
      </c>
      <c r="P31" s="367" t="n">
        <v>2.77</v>
      </c>
      <c r="Q31" s="367" t="n">
        <v>4.2</v>
      </c>
      <c r="R31" s="368" t="n">
        <v>5.53</v>
      </c>
      <c r="S31" s="267" t="n">
        <v>89</v>
      </c>
      <c r="T31" s="267" t="n">
        <v>80</v>
      </c>
      <c r="U31" s="267" t="n">
        <f aca="false">M31-N31-O31-P31-Q31-R31+S31+T31</f>
        <v>322.987</v>
      </c>
      <c r="V31" s="242" t="n">
        <f aca="false">V30</f>
        <v>0</v>
      </c>
      <c r="W31" s="242" t="n">
        <f aca="false">W30+AK31-(AL31/1.9835)+AM31</f>
        <v>12004.3070866445</v>
      </c>
      <c r="X31" s="267" t="n">
        <v>284</v>
      </c>
      <c r="Y31" s="269" t="n">
        <v>1.7</v>
      </c>
      <c r="Z31" s="270" t="n">
        <v>1.3</v>
      </c>
      <c r="AA31" s="390" t="n">
        <v>92</v>
      </c>
      <c r="AB31" s="391" t="n">
        <f aca="false">AB30-AA31</f>
        <v>12655.433072851</v>
      </c>
      <c r="AC31" s="127" t="n">
        <f aca="false">N31+O31+P31+Q31+R31+U31+X31+AA31</f>
        <v>805</v>
      </c>
      <c r="AD31" s="267" t="n">
        <f aca="false">IF(L31&lt;0,L31*-1,0)</f>
        <v>29.376133098059</v>
      </c>
      <c r="AE31" s="267" t="n">
        <f aca="false">AC31+AD31</f>
        <v>834.376133098059</v>
      </c>
      <c r="AF31" s="380" t="n">
        <v>0</v>
      </c>
      <c r="AG31" s="250" t="n">
        <v>96</v>
      </c>
      <c r="AH31" s="249" t="n">
        <v>57</v>
      </c>
      <c r="AI31" s="244" t="n">
        <f aca="false">AI30</f>
        <v>16467.3080282</v>
      </c>
      <c r="AJ31" s="244"/>
      <c r="AK31" s="101" t="n">
        <f aca="false">(I31-P31-Q31-Y31)-U31</f>
        <v>-105.297</v>
      </c>
      <c r="AL31" s="367" t="n">
        <f aca="false">60.3*(V30*1.9835+W30*1.9835)/E31</f>
        <v>6.92951166718569</v>
      </c>
      <c r="AM31" s="101"/>
      <c r="AN31" s="9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2.95" hidden="false" customHeight="true" outlineLevel="0" collapsed="false">
      <c r="A32" s="172" t="n">
        <f aca="false">A31+1</f>
        <v>21</v>
      </c>
      <c r="B32" s="252" t="n">
        <v>6919.12</v>
      </c>
      <c r="C32" s="242" t="n">
        <v>359784</v>
      </c>
      <c r="D32" s="244" t="n">
        <f aca="false">C32-C31</f>
        <v>-1291</v>
      </c>
      <c r="E32" s="242" t="n">
        <f aca="false">C32-152000</f>
        <v>207784</v>
      </c>
      <c r="F32" s="266" t="n">
        <f aca="false">D32/$D$2</f>
        <v>-650.869674817242</v>
      </c>
      <c r="G32" s="267" t="n">
        <v>211</v>
      </c>
      <c r="H32" s="247" t="n">
        <v>0.13</v>
      </c>
      <c r="I32" s="267" t="n">
        <f aca="false">G32+H32</f>
        <v>211.13</v>
      </c>
      <c r="J32" s="247" t="n">
        <f aca="false">IF(L32&gt;0,L32,0)</f>
        <v>0</v>
      </c>
      <c r="K32" s="267" t="n">
        <f aca="false">I32+J32</f>
        <v>211.13</v>
      </c>
      <c r="L32" s="267" t="n">
        <f aca="false">F32-(I32-AC32)</f>
        <v>-51.9996748172422</v>
      </c>
      <c r="M32" s="269" t="n">
        <v>286</v>
      </c>
      <c r="N32" s="267" t="n">
        <f aca="false">2.1*1.03</f>
        <v>2.163</v>
      </c>
      <c r="O32" s="267" t="n">
        <f aca="false">(40+39)*1.05</f>
        <v>82.95</v>
      </c>
      <c r="P32" s="367" t="n">
        <v>2.77</v>
      </c>
      <c r="Q32" s="367" t="n">
        <v>4.2</v>
      </c>
      <c r="R32" s="368" t="n">
        <v>5.6</v>
      </c>
      <c r="S32" s="267" t="n">
        <v>89</v>
      </c>
      <c r="T32" s="267" t="n">
        <v>81</v>
      </c>
      <c r="U32" s="267" t="n">
        <f aca="false">M32-N32-O32-P32-Q32-R32+S32+T32</f>
        <v>358.317</v>
      </c>
      <c r="V32" s="242" t="n">
        <f aca="false">V31</f>
        <v>0</v>
      </c>
      <c r="W32" s="242" t="n">
        <f aca="false">W31+AK32-(AL32/1.9835)+AM32</f>
        <v>11844.9663741482</v>
      </c>
      <c r="X32" s="267" t="n">
        <v>262</v>
      </c>
      <c r="Y32" s="269" t="n">
        <v>1.7</v>
      </c>
      <c r="Z32" s="270" t="n">
        <v>1.3</v>
      </c>
      <c r="AA32" s="390" t="n">
        <v>92</v>
      </c>
      <c r="AB32" s="391" t="n">
        <f aca="false">AB31-AA32</f>
        <v>12563.433072851</v>
      </c>
      <c r="AC32" s="127" t="n">
        <f aca="false">N32+O32+P32+Q32+R32+U32+X32+AA32</f>
        <v>810</v>
      </c>
      <c r="AD32" s="267" t="n">
        <f aca="false">IF(L32&lt;0,L32*-1,0)</f>
        <v>51.9996748172422</v>
      </c>
      <c r="AE32" s="267" t="n">
        <f aca="false">AC32+AD32</f>
        <v>861.999674817242</v>
      </c>
      <c r="AF32" s="380" t="n">
        <v>0</v>
      </c>
      <c r="AG32" s="244" t="n">
        <v>93</v>
      </c>
      <c r="AH32" s="249" t="n">
        <v>64</v>
      </c>
      <c r="AI32" s="244" t="n">
        <f aca="false">AI31</f>
        <v>16467.3080282</v>
      </c>
      <c r="AJ32" s="244"/>
      <c r="AK32" s="101" t="n">
        <f aca="false">(I32-P32-Q32-Y32)-U32</f>
        <v>-155.857</v>
      </c>
      <c r="AL32" s="367" t="n">
        <f aca="false">60.3*(V31*1.9835+W31*1.9835)/E32</f>
        <v>6.90994373634864</v>
      </c>
      <c r="AM32" s="101"/>
      <c r="AN32" s="9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2.95" hidden="false" customHeight="true" outlineLevel="0" collapsed="false">
      <c r="A33" s="172" t="n">
        <f aca="false">A32+1</f>
        <v>22</v>
      </c>
      <c r="B33" s="252" t="n">
        <v>6918.85</v>
      </c>
      <c r="C33" s="242" t="n">
        <v>358626</v>
      </c>
      <c r="D33" s="244" t="n">
        <f aca="false">C33-C32</f>
        <v>-1158</v>
      </c>
      <c r="E33" s="242" t="n">
        <f aca="false">C33-152000</f>
        <v>206626</v>
      </c>
      <c r="F33" s="266" t="n">
        <f aca="false">D33/$D$2</f>
        <v>-583.816486009579</v>
      </c>
      <c r="G33" s="267" t="n">
        <v>213</v>
      </c>
      <c r="H33" s="247" t="n">
        <v>0.11</v>
      </c>
      <c r="I33" s="267" t="n">
        <f aca="false">G33+H33</f>
        <v>213.11</v>
      </c>
      <c r="J33" s="247" t="n">
        <f aca="false">IF(L33&gt;0,L33,0)</f>
        <v>0</v>
      </c>
      <c r="K33" s="267" t="n">
        <f aca="false">I33+J33</f>
        <v>213.11</v>
      </c>
      <c r="L33" s="267" t="n">
        <f aca="false">F33-(I33-AC33)</f>
        <v>-43.926486009579</v>
      </c>
      <c r="M33" s="269" t="n">
        <v>261</v>
      </c>
      <c r="N33" s="267" t="n">
        <f aca="false">2.1*1.03</f>
        <v>2.163</v>
      </c>
      <c r="O33" s="267" t="n">
        <f aca="false">(45+45)*1.05</f>
        <v>94.5</v>
      </c>
      <c r="P33" s="367" t="n">
        <v>2.77</v>
      </c>
      <c r="Q33" s="367" t="n">
        <v>4.2</v>
      </c>
      <c r="R33" s="368" t="n">
        <v>5.57</v>
      </c>
      <c r="S33" s="267" t="n">
        <v>90</v>
      </c>
      <c r="T33" s="267" t="n">
        <v>81</v>
      </c>
      <c r="U33" s="267" t="n">
        <f aca="false">M33-N33-O33-P33-Q33-R33+S33+T33</f>
        <v>322.797</v>
      </c>
      <c r="V33" s="242" t="n">
        <f aca="false">V32</f>
        <v>0</v>
      </c>
      <c r="W33" s="242" t="n">
        <f aca="false">W32+AK33-(AL33/1.9835)+AM33</f>
        <v>11740.0426384404</v>
      </c>
      <c r="X33" s="267" t="n">
        <v>229</v>
      </c>
      <c r="Y33" s="269" t="n">
        <v>1.7</v>
      </c>
      <c r="Z33" s="270" t="n">
        <v>1.3</v>
      </c>
      <c r="AA33" s="390" t="n">
        <v>92</v>
      </c>
      <c r="AB33" s="391" t="n">
        <f aca="false">AB32-AA33</f>
        <v>12471.433072851</v>
      </c>
      <c r="AC33" s="127" t="n">
        <f aca="false">N33+O33+P33+Q33+R33+U33+X33+AA33</f>
        <v>753</v>
      </c>
      <c r="AD33" s="267" t="n">
        <f aca="false">IF(L33&lt;0,L33*-1,0)</f>
        <v>43.926486009579</v>
      </c>
      <c r="AE33" s="267" t="n">
        <f aca="false">AC33+AD33</f>
        <v>796.926486009579</v>
      </c>
      <c r="AF33" s="380" t="n">
        <v>0.01</v>
      </c>
      <c r="AG33" s="244" t="n">
        <v>93</v>
      </c>
      <c r="AH33" s="249" t="n">
        <v>61</v>
      </c>
      <c r="AI33" s="244" t="n">
        <f aca="false">AI32</f>
        <v>16467.3080282</v>
      </c>
      <c r="AJ33" s="244"/>
      <c r="AK33" s="101" t="n">
        <f aca="false">(I33-P33-Q33-Y33)-U33</f>
        <v>-118.357</v>
      </c>
      <c r="AL33" s="367" t="n">
        <f aca="false">60.3*(V32*1.9835+W32*1.9835)/E33</f>
        <v>6.85643527643333</v>
      </c>
      <c r="AM33" s="101" t="n">
        <v>16.89</v>
      </c>
      <c r="AN33" s="9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2.95" hidden="false" customHeight="true" outlineLevel="0" collapsed="false">
      <c r="A34" s="172" t="n">
        <f aca="false">A33+1</f>
        <v>23</v>
      </c>
      <c r="B34" s="252" t="n">
        <v>6918.57</v>
      </c>
      <c r="C34" s="242" t="n">
        <v>357429</v>
      </c>
      <c r="D34" s="244" t="n">
        <f aca="false">C34-C33</f>
        <v>-1197</v>
      </c>
      <c r="E34" s="242" t="n">
        <f aca="false">C34-152000</f>
        <v>205429</v>
      </c>
      <c r="F34" s="266" t="n">
        <f aca="false">D34/$D$2</f>
        <v>-603.478699268969</v>
      </c>
      <c r="G34" s="267" t="n">
        <v>227</v>
      </c>
      <c r="H34" s="247" t="n">
        <v>0.53</v>
      </c>
      <c r="I34" s="267" t="n">
        <f aca="false">G34+H34</f>
        <v>227.53</v>
      </c>
      <c r="J34" s="247" t="n">
        <f aca="false">IF(L34&gt;0,L34,0)</f>
        <v>0</v>
      </c>
      <c r="K34" s="267" t="n">
        <f aca="false">I34+J34</f>
        <v>227.53</v>
      </c>
      <c r="L34" s="267" t="n">
        <f aca="false">F34-(I34-AC34)</f>
        <v>-50.0086992689689</v>
      </c>
      <c r="M34" s="269" t="n">
        <v>280</v>
      </c>
      <c r="N34" s="267" t="n">
        <f aca="false">2.1*1.03</f>
        <v>2.163</v>
      </c>
      <c r="O34" s="267" t="n">
        <f aca="false">(39+40)*1.05</f>
        <v>82.95</v>
      </c>
      <c r="P34" s="367" t="n">
        <v>2.77</v>
      </c>
      <c r="Q34" s="367" t="n">
        <v>4.2</v>
      </c>
      <c r="R34" s="368" t="n">
        <v>5.65</v>
      </c>
      <c r="S34" s="267" t="n">
        <v>90</v>
      </c>
      <c r="T34" s="267" t="n">
        <v>80</v>
      </c>
      <c r="U34" s="267" t="n">
        <f aca="false">M34-N34-O34-P34-Q34-R34+S34+T34</f>
        <v>352.267</v>
      </c>
      <c r="V34" s="242" t="n">
        <f aca="false">V33</f>
        <v>0</v>
      </c>
      <c r="W34" s="242" t="n">
        <f aca="false">W33+AK34-(AL34/1.9835)+AM34</f>
        <v>11628.1895594004</v>
      </c>
      <c r="X34" s="267" t="n">
        <v>238</v>
      </c>
      <c r="Y34" s="269" t="n">
        <v>1.7</v>
      </c>
      <c r="Z34" s="270" t="n">
        <v>1.3</v>
      </c>
      <c r="AA34" s="390" t="n">
        <v>93</v>
      </c>
      <c r="AB34" s="391" t="n">
        <f aca="false">AB33-AA34</f>
        <v>12378.433072851</v>
      </c>
      <c r="AC34" s="127" t="n">
        <f aca="false">N34+O34+P34+Q34+R34+U34+X34+AA34</f>
        <v>781</v>
      </c>
      <c r="AD34" s="267" t="n">
        <f aca="false">IF(L34&lt;0,L34*-1,0)</f>
        <v>50.0086992689689</v>
      </c>
      <c r="AE34" s="267" t="n">
        <f aca="false">AC34+AD34</f>
        <v>831.008699268969</v>
      </c>
      <c r="AF34" s="380" t="n">
        <v>0</v>
      </c>
      <c r="AG34" s="244" t="n">
        <v>90</v>
      </c>
      <c r="AH34" s="271" t="n">
        <v>58</v>
      </c>
      <c r="AI34" s="244" t="n">
        <f aca="false">AI33</f>
        <v>16467.3080282</v>
      </c>
      <c r="AJ34" s="244"/>
      <c r="AK34" s="101" t="n">
        <f aca="false">(I34-P34-Q34-Y34)-U34</f>
        <v>-133.407</v>
      </c>
      <c r="AL34" s="367" t="n">
        <f aca="false">60.3*(V33*1.9835+W33*1.9835)/E34</f>
        <v>6.83529777574147</v>
      </c>
      <c r="AM34" s="101" t="n">
        <v>25</v>
      </c>
      <c r="AN34" s="9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2.95" hidden="false" customHeight="true" outlineLevel="0" collapsed="false">
      <c r="A35" s="172" t="n">
        <f aca="false">A34+1</f>
        <v>24</v>
      </c>
      <c r="B35" s="252" t="n">
        <v>6918.32</v>
      </c>
      <c r="C35" s="242" t="n">
        <v>356361</v>
      </c>
      <c r="D35" s="244" t="n">
        <f aca="false">C35-C34</f>
        <v>-1068</v>
      </c>
      <c r="E35" s="242" t="n">
        <f aca="false">C35-152000</f>
        <v>204361</v>
      </c>
      <c r="F35" s="266" t="n">
        <f aca="false">D35/$D$2</f>
        <v>-538.442147718679</v>
      </c>
      <c r="G35" s="267" t="n">
        <v>265</v>
      </c>
      <c r="H35" s="247" t="n">
        <v>0.74</v>
      </c>
      <c r="I35" s="267" t="n">
        <f aca="false">G35+H35</f>
        <v>265.74</v>
      </c>
      <c r="J35" s="247" t="n">
        <f aca="false">IF(L35&gt;0,L35,0)</f>
        <v>0</v>
      </c>
      <c r="K35" s="267" t="n">
        <f aca="false">I35+J35</f>
        <v>265.74</v>
      </c>
      <c r="L35" s="267" t="n">
        <f aca="false">F35-(I35-AC35)</f>
        <v>-93.1821477186791</v>
      </c>
      <c r="M35" s="269" t="n">
        <v>264</v>
      </c>
      <c r="N35" s="267" t="n">
        <f aca="false">2.1*1.03</f>
        <v>2.163</v>
      </c>
      <c r="O35" s="267" t="n">
        <f aca="false">(42+43)*1.05</f>
        <v>89.25</v>
      </c>
      <c r="P35" s="367" t="n">
        <v>2.77</v>
      </c>
      <c r="Q35" s="367" t="n">
        <v>4.2</v>
      </c>
      <c r="R35" s="368" t="n">
        <v>5.16</v>
      </c>
      <c r="S35" s="267" t="n">
        <v>90</v>
      </c>
      <c r="T35" s="267" t="n">
        <v>81</v>
      </c>
      <c r="U35" s="267" t="n">
        <f aca="false">M35-N35-O35-P35-Q35-R35+S35+T35</f>
        <v>331.457</v>
      </c>
      <c r="V35" s="242" t="n">
        <f aca="false">V34</f>
        <v>0</v>
      </c>
      <c r="W35" s="242" t="n">
        <f aca="false">W34+AK35-(AL35/1.9835)+AM35</f>
        <v>11575.3714750427</v>
      </c>
      <c r="X35" s="267" t="n">
        <v>183</v>
      </c>
      <c r="Y35" s="269" t="n">
        <v>1.7</v>
      </c>
      <c r="Z35" s="270" t="n">
        <v>1.3</v>
      </c>
      <c r="AA35" s="390" t="n">
        <v>93</v>
      </c>
      <c r="AB35" s="391" t="n">
        <f aca="false">AB34-AA35</f>
        <v>12285.433072851</v>
      </c>
      <c r="AC35" s="127" t="n">
        <f aca="false">N35+O35+P35+Q35+R35+U35+X35+AA35</f>
        <v>711</v>
      </c>
      <c r="AD35" s="267" t="n">
        <f aca="false">IF(L35&lt;0,L35*-1,0)</f>
        <v>93.1821477186791</v>
      </c>
      <c r="AE35" s="267" t="n">
        <f aca="false">AC35+AD35</f>
        <v>804.182147718679</v>
      </c>
      <c r="AF35" s="380" t="n">
        <v>0</v>
      </c>
      <c r="AG35" s="244" t="n">
        <v>85</v>
      </c>
      <c r="AH35" s="271" t="n">
        <v>60</v>
      </c>
      <c r="AI35" s="244" t="n">
        <f aca="false">AI34</f>
        <v>16467.3080282</v>
      </c>
      <c r="AJ35" s="244"/>
      <c r="AK35" s="101" t="n">
        <f aca="false">(I35-P35-Q35-Y35)-U35</f>
        <v>-74.3869999999999</v>
      </c>
      <c r="AL35" s="367" t="n">
        <f aca="false">60.3*(V34*1.9835+W34*1.9835)/E35</f>
        <v>6.80555582357479</v>
      </c>
      <c r="AM35" s="101" t="n">
        <v>25</v>
      </c>
      <c r="AN35" s="9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2.95" hidden="false" customHeight="true" outlineLevel="0" collapsed="false">
      <c r="A36" s="172" t="n">
        <f aca="false">A35+1</f>
        <v>25</v>
      </c>
      <c r="B36" s="252" t="n">
        <v>6918.2</v>
      </c>
      <c r="C36" s="242" t="n">
        <v>355848</v>
      </c>
      <c r="D36" s="244" t="n">
        <f aca="false">C36-C35</f>
        <v>-513</v>
      </c>
      <c r="E36" s="242" t="n">
        <f aca="false">C36-152000</f>
        <v>203848</v>
      </c>
      <c r="F36" s="266" t="n">
        <f aca="false">D36/$D$2</f>
        <v>-258.63372825813</v>
      </c>
      <c r="G36" s="267" t="n">
        <v>339</v>
      </c>
      <c r="H36" s="247" t="n">
        <v>1.1</v>
      </c>
      <c r="I36" s="267" t="n">
        <f aca="false">G36+H36</f>
        <v>340.1</v>
      </c>
      <c r="J36" s="247" t="n">
        <f aca="false">IF(L36&gt;0,L36,0)</f>
        <v>34.2662717418704</v>
      </c>
      <c r="K36" s="267" t="n">
        <f aca="false">I36+J36</f>
        <v>374.36627174187</v>
      </c>
      <c r="L36" s="267" t="n">
        <f aca="false">F36-(I36-AC36)</f>
        <v>34.2662717418704</v>
      </c>
      <c r="M36" s="269" t="n">
        <v>239</v>
      </c>
      <c r="N36" s="267" t="n">
        <f aca="false">2.1*1.03</f>
        <v>2.163</v>
      </c>
      <c r="O36" s="267" t="n">
        <f aca="false">(40+40)*1.05</f>
        <v>84</v>
      </c>
      <c r="P36" s="367" t="n">
        <v>2.77</v>
      </c>
      <c r="Q36" s="367" t="n">
        <v>4.2</v>
      </c>
      <c r="R36" s="368" t="n">
        <v>3.89</v>
      </c>
      <c r="S36" s="267" t="n">
        <v>90</v>
      </c>
      <c r="T36" s="267" t="n">
        <v>81</v>
      </c>
      <c r="U36" s="267" t="n">
        <f aca="false">M36-N36-O36-P36-Q36-R36+S36+T36</f>
        <v>312.977</v>
      </c>
      <c r="V36" s="242" t="n">
        <f aca="false">V35</f>
        <v>0</v>
      </c>
      <c r="W36" s="242" t="n">
        <f aca="false">W35+AK36-(AL36/1.9835)+AM36</f>
        <v>11596.9473801291</v>
      </c>
      <c r="X36" s="267" t="n">
        <v>130</v>
      </c>
      <c r="Y36" s="269" t="n">
        <v>1.7</v>
      </c>
      <c r="Z36" s="270" t="n">
        <v>1.3</v>
      </c>
      <c r="AA36" s="390" t="n">
        <v>93</v>
      </c>
      <c r="AB36" s="391" t="n">
        <f aca="false">AB35-AA36</f>
        <v>12192.433072851</v>
      </c>
      <c r="AC36" s="127" t="n">
        <f aca="false">N36+O36+P36+Q36+R36+U36+X36+AA36</f>
        <v>633</v>
      </c>
      <c r="AD36" s="267" t="n">
        <f aca="false">IF(L36&lt;0,L36*-1,0)</f>
        <v>0</v>
      </c>
      <c r="AE36" s="267" t="n">
        <f aca="false">AC36+AD36</f>
        <v>633</v>
      </c>
      <c r="AF36" s="380" t="n">
        <v>0</v>
      </c>
      <c r="AG36" s="244" t="n">
        <v>84</v>
      </c>
      <c r="AH36" s="271" t="n">
        <v>57</v>
      </c>
      <c r="AI36" s="244" t="n">
        <f aca="false">AI35</f>
        <v>16467.3080282</v>
      </c>
      <c r="AJ36" s="244"/>
      <c r="AK36" s="101" t="n">
        <v>0</v>
      </c>
      <c r="AL36" s="367" t="n">
        <f aca="false">60.3*(V35*1.9835+W35*1.9835)/E36</f>
        <v>6.79169226110168</v>
      </c>
      <c r="AM36" s="101" t="n">
        <v>25</v>
      </c>
      <c r="AN36" s="9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2.95" hidden="false" customHeight="true" outlineLevel="0" collapsed="false">
      <c r="A37" s="172" t="n">
        <f aca="false">A36+1</f>
        <v>26</v>
      </c>
      <c r="B37" s="252" t="n">
        <v>6918.06</v>
      </c>
      <c r="C37" s="242" t="n">
        <v>355250</v>
      </c>
      <c r="D37" s="244" t="n">
        <f aca="false">C37-C36</f>
        <v>-598</v>
      </c>
      <c r="E37" s="242" t="n">
        <f aca="false">C37-152000</f>
        <v>203250</v>
      </c>
      <c r="F37" s="266" t="n">
        <f aca="false">D37/$D$2</f>
        <v>-301.487269977313</v>
      </c>
      <c r="G37" s="267" t="n">
        <v>343</v>
      </c>
      <c r="H37" s="247" t="n">
        <v>0.47</v>
      </c>
      <c r="I37" s="267" t="n">
        <f aca="false">G37+H37</f>
        <v>343.47</v>
      </c>
      <c r="J37" s="247" t="n">
        <f aca="false">IF(L37&gt;0,L37,0)</f>
        <v>8.04273002268712</v>
      </c>
      <c r="K37" s="267" t="n">
        <f aca="false">I37+J37</f>
        <v>351.512730022687</v>
      </c>
      <c r="L37" s="267" t="n">
        <f aca="false">F37-(I37-AC37)</f>
        <v>8.04273002268712</v>
      </c>
      <c r="M37" s="269" t="n">
        <v>258</v>
      </c>
      <c r="N37" s="267" t="n">
        <f aca="false">2.1*1.03</f>
        <v>2.163</v>
      </c>
      <c r="O37" s="267" t="n">
        <f aca="false">(41+40)*1.05</f>
        <v>85.05</v>
      </c>
      <c r="P37" s="367" t="n">
        <v>2.77</v>
      </c>
      <c r="Q37" s="367" t="n">
        <v>4.2</v>
      </c>
      <c r="R37" s="368" t="n">
        <v>3.44</v>
      </c>
      <c r="S37" s="267" t="n">
        <v>90</v>
      </c>
      <c r="T37" s="267" t="n">
        <v>80</v>
      </c>
      <c r="U37" s="267" t="n">
        <f aca="false">M37-N37-O37-P37-Q37-R37+S37+T37</f>
        <v>330.377</v>
      </c>
      <c r="V37" s="242" t="n">
        <f aca="false">V36</f>
        <v>0</v>
      </c>
      <c r="W37" s="242" t="n">
        <f aca="false">W36+AK37-(AL37/1.9835)+AM37</f>
        <v>11622.9298097625</v>
      </c>
      <c r="X37" s="267" t="n">
        <v>130</v>
      </c>
      <c r="Y37" s="269" t="n">
        <v>1.7</v>
      </c>
      <c r="Z37" s="270" t="n">
        <v>1.3</v>
      </c>
      <c r="AA37" s="390" t="n">
        <v>95</v>
      </c>
      <c r="AB37" s="391" t="n">
        <f aca="false">AB36-AA37</f>
        <v>12097.433072851</v>
      </c>
      <c r="AC37" s="127" t="n">
        <f aca="false">N37+O37+P37+Q37+R37+U37+X37+AA37</f>
        <v>653</v>
      </c>
      <c r="AD37" s="267" t="n">
        <f aca="false">IF(L37&lt;0,L37*-1,0)</f>
        <v>0</v>
      </c>
      <c r="AE37" s="267" t="n">
        <f aca="false">AC37+AD37</f>
        <v>653</v>
      </c>
      <c r="AF37" s="380" t="n">
        <v>0</v>
      </c>
      <c r="AG37" s="244" t="n">
        <v>82</v>
      </c>
      <c r="AH37" s="249" t="n">
        <v>53</v>
      </c>
      <c r="AI37" s="244" t="n">
        <f aca="false">AI36</f>
        <v>16467.3080282</v>
      </c>
      <c r="AJ37" s="244"/>
      <c r="AK37" s="101" t="n">
        <f aca="false">(I37-P37-Q37-Y37)-U37</f>
        <v>4.42300000000012</v>
      </c>
      <c r="AL37" s="367" t="n">
        <f aca="false">60.3*(V36*1.9835+W36*1.9835)/E37</f>
        <v>6.82437132225197</v>
      </c>
      <c r="AM37" s="101" t="n">
        <v>25</v>
      </c>
      <c r="AN37" s="3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2.95" hidden="false" customHeight="true" outlineLevel="0" collapsed="false">
      <c r="A38" s="172" t="n">
        <f aca="false">A37+1</f>
        <v>27</v>
      </c>
      <c r="B38" s="252" t="n">
        <v>6917.82</v>
      </c>
      <c r="C38" s="242" t="n">
        <v>354231</v>
      </c>
      <c r="D38" s="244" t="n">
        <f aca="false">C38-C37</f>
        <v>-1019</v>
      </c>
      <c r="E38" s="242" t="n">
        <f aca="false">C38-152000</f>
        <v>202231</v>
      </c>
      <c r="F38" s="266" t="n">
        <f aca="false">D38/$D$2</f>
        <v>-513.738341315856</v>
      </c>
      <c r="G38" s="267" t="n">
        <v>262</v>
      </c>
      <c r="H38" s="247" t="n">
        <v>0.35</v>
      </c>
      <c r="I38" s="267" t="n">
        <f aca="false">G38+H38</f>
        <v>262.35</v>
      </c>
      <c r="J38" s="247" t="n">
        <f aca="false">IF(L38&gt;0,L38,0)</f>
        <v>0</v>
      </c>
      <c r="K38" s="267" t="n">
        <f aca="false">I38+J38</f>
        <v>262.35</v>
      </c>
      <c r="L38" s="267" t="n">
        <f aca="false">F38-(I38-AC38)</f>
        <v>-63.0883413158558</v>
      </c>
      <c r="M38" s="269" t="n">
        <v>273</v>
      </c>
      <c r="N38" s="267" t="n">
        <f aca="false">2.1*1.03</f>
        <v>2.163</v>
      </c>
      <c r="O38" s="267" t="n">
        <f aca="false">(41+42)*1.05</f>
        <v>87.15</v>
      </c>
      <c r="P38" s="367" t="n">
        <v>2.77</v>
      </c>
      <c r="Q38" s="367" t="n">
        <v>4.2</v>
      </c>
      <c r="R38" s="368" t="n">
        <v>2.05</v>
      </c>
      <c r="S38" s="267" t="n">
        <v>89</v>
      </c>
      <c r="T38" s="267" t="n">
        <v>78</v>
      </c>
      <c r="U38" s="267" t="n">
        <f aca="false">M38-N38-O38-P38-Q38-R38+S38+T38</f>
        <v>341.667</v>
      </c>
      <c r="V38" s="242" t="n">
        <f aca="false">V37</f>
        <v>0</v>
      </c>
      <c r="W38" s="242" t="n">
        <f aca="false">W37+AK38-(AL38/1.9835)+AM38</f>
        <v>11556.4771557948</v>
      </c>
      <c r="X38" s="267" t="n">
        <v>180</v>
      </c>
      <c r="Y38" s="269" t="n">
        <v>1.7</v>
      </c>
      <c r="Z38" s="270" t="n">
        <v>1.3</v>
      </c>
      <c r="AA38" s="390" t="n">
        <v>93</v>
      </c>
      <c r="AB38" s="391" t="n">
        <f aca="false">AB37-AA38</f>
        <v>12004.433072851</v>
      </c>
      <c r="AC38" s="127" t="n">
        <f aca="false">N38+O38+P38+Q38+R38+U38+X38+AA38</f>
        <v>713</v>
      </c>
      <c r="AD38" s="267" t="n">
        <f aca="false">IF(L38&lt;0,L38*-1,0)</f>
        <v>63.0883413158558</v>
      </c>
      <c r="AE38" s="267" t="n">
        <f aca="false">AC38+AD38</f>
        <v>776.088341315856</v>
      </c>
      <c r="AF38" s="380" t="n">
        <v>0</v>
      </c>
      <c r="AG38" s="244" t="n">
        <v>83</v>
      </c>
      <c r="AH38" s="249" t="n">
        <v>53</v>
      </c>
      <c r="AI38" s="244" t="n">
        <f aca="false">AI37</f>
        <v>16467.3080282</v>
      </c>
      <c r="AJ38" s="244"/>
      <c r="AK38" s="101" t="n">
        <f aca="false">(I38-P38-Q38-Y38)-U38</f>
        <v>-87.9869999999999</v>
      </c>
      <c r="AL38" s="367" t="n">
        <f aca="false">60.3*(V37*1.9835+W37*1.9835)/E38</f>
        <v>6.87412464480287</v>
      </c>
      <c r="AM38" s="101" t="n">
        <v>25</v>
      </c>
      <c r="AN38" s="9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2.95" hidden="false" customHeight="true" outlineLevel="0" collapsed="false">
      <c r="A39" s="172" t="n">
        <f aca="false">A38+1</f>
        <v>28</v>
      </c>
      <c r="B39" s="252" t="n">
        <v>6917.62</v>
      </c>
      <c r="C39" s="242" t="n">
        <v>353383</v>
      </c>
      <c r="D39" s="244" t="n">
        <f aca="false">C39-C38</f>
        <v>-848</v>
      </c>
      <c r="E39" s="242" t="n">
        <f aca="false">C39-152000</f>
        <v>201383</v>
      </c>
      <c r="F39" s="266" t="n">
        <f aca="false">D39/$D$2</f>
        <v>-427.527098563146</v>
      </c>
      <c r="G39" s="267" t="n">
        <v>213</v>
      </c>
      <c r="H39" s="247" t="n">
        <v>0.34</v>
      </c>
      <c r="I39" s="267" t="n">
        <f aca="false">G39+H39</f>
        <v>213.34</v>
      </c>
      <c r="J39" s="247" t="n">
        <f aca="false">IF(L39&gt;0,L39,0)</f>
        <v>30.132901436854</v>
      </c>
      <c r="K39" s="267" t="n">
        <f aca="false">I39+J39</f>
        <v>243.472901436854</v>
      </c>
      <c r="L39" s="267" t="n">
        <f aca="false">F39-(I39-AC39)</f>
        <v>30.132901436854</v>
      </c>
      <c r="M39" s="269" t="n">
        <v>257</v>
      </c>
      <c r="N39" s="267" t="n">
        <f aca="false">2.1*1.03</f>
        <v>2.163</v>
      </c>
      <c r="O39" s="267" t="n">
        <f aca="false">(43+43)*1.05</f>
        <v>90.3</v>
      </c>
      <c r="P39" s="367" t="n">
        <v>2.77</v>
      </c>
      <c r="Q39" s="367" t="n">
        <v>4.2</v>
      </c>
      <c r="R39" s="368" t="n">
        <v>3.14</v>
      </c>
      <c r="S39" s="267" t="n">
        <v>89</v>
      </c>
      <c r="T39" s="267" t="n">
        <v>76</v>
      </c>
      <c r="U39" s="267" t="n">
        <f aca="false">M39-N39-O39-P39-Q39-R39+S39+T39</f>
        <v>319.427</v>
      </c>
      <c r="V39" s="242" t="n">
        <f aca="false">V38</f>
        <v>0</v>
      </c>
      <c r="W39" s="242" t="n">
        <f aca="false">W38+AK39-(AL39/1.9835)+AM39</f>
        <v>11463.2598062495</v>
      </c>
      <c r="X39" s="267" t="n">
        <v>156</v>
      </c>
      <c r="Y39" s="269" t="n">
        <v>1.7</v>
      </c>
      <c r="Z39" s="270" t="n">
        <v>1.3</v>
      </c>
      <c r="AA39" s="390" t="n">
        <v>93</v>
      </c>
      <c r="AB39" s="391" t="n">
        <f aca="false">AB38-AA39</f>
        <v>11911.433072851</v>
      </c>
      <c r="AC39" s="127" t="n">
        <f aca="false">N39+O39+P39+Q39+R39+U39+X39+AA39</f>
        <v>671</v>
      </c>
      <c r="AD39" s="267" t="n">
        <f aca="false">IF(L39&lt;0,L39*-1,0)</f>
        <v>0</v>
      </c>
      <c r="AE39" s="267" t="n">
        <f aca="false">AC39+AD39</f>
        <v>671</v>
      </c>
      <c r="AF39" s="380" t="n">
        <v>0</v>
      </c>
      <c r="AG39" s="244" t="n">
        <v>87</v>
      </c>
      <c r="AH39" s="249" t="n">
        <v>54</v>
      </c>
      <c r="AI39" s="244" t="n">
        <f aca="false">AI38</f>
        <v>16467.3080282</v>
      </c>
      <c r="AJ39" s="244"/>
      <c r="AK39" s="101" t="n">
        <f aca="false">(I39-P39-Q39-Y39)-U39</f>
        <v>-114.757</v>
      </c>
      <c r="AL39" s="367" t="n">
        <f aca="false">60.3*(V38*1.9835+W38*1.9835)/E39</f>
        <v>6.86360332323333</v>
      </c>
      <c r="AM39" s="101" t="n">
        <v>25</v>
      </c>
      <c r="AN39" s="9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2.95" hidden="false" customHeight="true" outlineLevel="0" collapsed="false">
      <c r="A40" s="172" t="n">
        <f aca="false">A39+1</f>
        <v>29</v>
      </c>
      <c r="B40" s="252" t="n">
        <v>6917.41</v>
      </c>
      <c r="C40" s="242" t="n">
        <v>352492</v>
      </c>
      <c r="D40" s="244" t="n">
        <f aca="false">C40-C39</f>
        <v>-891</v>
      </c>
      <c r="E40" s="242" t="n">
        <f aca="false">C40-152000</f>
        <v>200492</v>
      </c>
      <c r="F40" s="266" t="n">
        <f aca="false">D40/$D$2</f>
        <v>-449.205949079909</v>
      </c>
      <c r="G40" s="267" t="n">
        <v>183</v>
      </c>
      <c r="H40" s="247" t="n">
        <v>0.69</v>
      </c>
      <c r="I40" s="267" t="n">
        <f aca="false">G40+H40</f>
        <v>183.69</v>
      </c>
      <c r="J40" s="247" t="n">
        <f aca="false">IF(L40&gt;0,L40,0)</f>
        <v>34.1040509200907</v>
      </c>
      <c r="K40" s="267" t="n">
        <f aca="false">I40+J40</f>
        <v>217.794050920091</v>
      </c>
      <c r="L40" s="267" t="n">
        <f aca="false">F40-(I40-AC40)</f>
        <v>34.1040509200907</v>
      </c>
      <c r="M40" s="269" t="n">
        <v>227</v>
      </c>
      <c r="N40" s="267" t="n">
        <f aca="false">2.1*1.03</f>
        <v>2.163</v>
      </c>
      <c r="O40" s="267" t="n">
        <f aca="false">(42+43)*1.05</f>
        <v>89.25</v>
      </c>
      <c r="P40" s="367" t="n">
        <v>2.77</v>
      </c>
      <c r="Q40" s="367" t="n">
        <v>4.2</v>
      </c>
      <c r="R40" s="368" t="n">
        <v>5.4</v>
      </c>
      <c r="S40" s="267" t="n">
        <v>89</v>
      </c>
      <c r="T40" s="267" t="n">
        <v>76</v>
      </c>
      <c r="U40" s="267" t="n">
        <f aca="false">M40-N40-O40-P40-Q40-R40+S40+T40</f>
        <v>288.217</v>
      </c>
      <c r="V40" s="242" t="n">
        <f aca="false">V39</f>
        <v>0</v>
      </c>
      <c r="W40" s="242" t="n">
        <f aca="false">W39+AK40-(AL40/1.9835)+AM40</f>
        <v>11371.615114739</v>
      </c>
      <c r="X40" s="267" t="n">
        <v>182</v>
      </c>
      <c r="Y40" s="269" t="n">
        <v>1.7</v>
      </c>
      <c r="Z40" s="270" t="n">
        <v>1.3</v>
      </c>
      <c r="AA40" s="390" t="n">
        <v>93</v>
      </c>
      <c r="AB40" s="391" t="n">
        <f aca="false">AB39-AA40</f>
        <v>11818.433072851</v>
      </c>
      <c r="AC40" s="127" t="n">
        <f aca="false">N40+O40+P40+Q40+R40+U40+X40+AA40</f>
        <v>667</v>
      </c>
      <c r="AD40" s="267" t="n">
        <f aca="false">IF(L40&lt;0,L40*-1,0)</f>
        <v>0</v>
      </c>
      <c r="AE40" s="267" t="n">
        <f aca="false">AC40+AD40</f>
        <v>667</v>
      </c>
      <c r="AF40" s="380" t="n">
        <v>0</v>
      </c>
      <c r="AG40" s="250" t="n">
        <v>89</v>
      </c>
      <c r="AH40" s="249" t="n">
        <v>58</v>
      </c>
      <c r="AI40" s="244" t="n">
        <f aca="false">AI39</f>
        <v>16467.3080282</v>
      </c>
      <c r="AJ40" s="244"/>
      <c r="AK40" s="101" t="n">
        <f aca="false">(I40-P40-Q40-Y40)-U40</f>
        <v>-113.197</v>
      </c>
      <c r="AL40" s="367" t="n">
        <f aca="false">60.3*(V39*1.9835+W39*1.9835)/E40</f>
        <v>6.83849611101419</v>
      </c>
      <c r="AM40" s="101" t="n">
        <v>25</v>
      </c>
      <c r="AN40" s="9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12.95" hidden="false" customHeight="true" outlineLevel="0" collapsed="false">
      <c r="A41" s="172" t="n">
        <v>30</v>
      </c>
      <c r="B41" s="252" t="n">
        <v>6917.16</v>
      </c>
      <c r="C41" s="242" t="n">
        <v>351432</v>
      </c>
      <c r="D41" s="244" t="n">
        <f aca="false">C41-C40</f>
        <v>-1060</v>
      </c>
      <c r="E41" s="242" t="n">
        <f aca="false">C41-152000</f>
        <v>199432</v>
      </c>
      <c r="F41" s="266" t="n">
        <f aca="false">D41/$D$2</f>
        <v>-534.408873203932</v>
      </c>
      <c r="G41" s="267" t="n">
        <v>165</v>
      </c>
      <c r="H41" s="247" t="n">
        <v>1.1</v>
      </c>
      <c r="I41" s="267" t="n">
        <f aca="false">G41+H41</f>
        <v>166.1</v>
      </c>
      <c r="J41" s="247" t="n">
        <f aca="false">IF(L41&gt;0,L41,0)</f>
        <v>0</v>
      </c>
      <c r="K41" s="267" t="n">
        <f aca="false">I41+J41</f>
        <v>166.1</v>
      </c>
      <c r="L41" s="267" t="n">
        <f aca="false">F41-(I41-AC41)</f>
        <v>-28.5088732039325</v>
      </c>
      <c r="M41" s="269" t="n">
        <v>247</v>
      </c>
      <c r="N41" s="267" t="n">
        <f aca="false">2.1*1.03</f>
        <v>2.163</v>
      </c>
      <c r="O41" s="267" t="n">
        <f aca="false">(42+41)*1.05</f>
        <v>87.15</v>
      </c>
      <c r="P41" s="367" t="n">
        <v>2.77</v>
      </c>
      <c r="Q41" s="367" t="n">
        <v>4.2</v>
      </c>
      <c r="R41" s="368" t="n">
        <v>5.62</v>
      </c>
      <c r="S41" s="267" t="n">
        <v>88</v>
      </c>
      <c r="T41" s="267" t="n">
        <v>76</v>
      </c>
      <c r="U41" s="267" t="n">
        <f aca="false">M41-N41-O41-P41-Q41-R41+S41+T41</f>
        <v>309.097</v>
      </c>
      <c r="V41" s="242" t="n">
        <f aca="false">V40</f>
        <v>0</v>
      </c>
      <c r="W41" s="242" t="n">
        <f aca="false">W40+AK41-(AL41/1.9835)+AM41</f>
        <v>11241.5098079907</v>
      </c>
      <c r="X41" s="267" t="n">
        <v>168</v>
      </c>
      <c r="Y41" s="269" t="n">
        <v>1.7</v>
      </c>
      <c r="Z41" s="270" t="n">
        <v>1.3</v>
      </c>
      <c r="AA41" s="390" t="n">
        <v>93</v>
      </c>
      <c r="AB41" s="391" t="n">
        <f aca="false">AB40-AA41</f>
        <v>11725.433072851</v>
      </c>
      <c r="AC41" s="127" t="n">
        <f aca="false">N41+O41+P41+Q41+R41+U41+X41+AA41</f>
        <v>672</v>
      </c>
      <c r="AD41" s="267" t="n">
        <f aca="false">IF(L41&lt;0,L41*-1,0)</f>
        <v>28.5088732039325</v>
      </c>
      <c r="AE41" s="267" t="n">
        <f aca="false">AC41+AD41</f>
        <v>700.508873203933</v>
      </c>
      <c r="AF41" s="380" t="n">
        <v>0</v>
      </c>
      <c r="AG41" s="250" t="n">
        <v>89</v>
      </c>
      <c r="AH41" s="249" t="n">
        <v>59</v>
      </c>
      <c r="AI41" s="244" t="n">
        <f aca="false">AI40</f>
        <v>16467.3080282</v>
      </c>
      <c r="AJ41" s="244"/>
      <c r="AK41" s="101" t="n">
        <f aca="false">(I41-P41-Q41-Y41)-U41</f>
        <v>-151.667</v>
      </c>
      <c r="AL41" s="367" t="n">
        <f aca="false">60.3*(V40*1.9835+W40*1.9835)/E41</f>
        <v>6.81988143517146</v>
      </c>
      <c r="AM41" s="101" t="n">
        <v>25</v>
      </c>
      <c r="AN41" s="9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</row>
    <row r="42" customFormat="false" ht="12.95" hidden="false" customHeight="true" outlineLevel="0" collapsed="false">
      <c r="A42" s="172" t="n">
        <v>31</v>
      </c>
      <c r="B42" s="252" t="n">
        <v>6916.92</v>
      </c>
      <c r="C42" s="242" t="n">
        <v>350417</v>
      </c>
      <c r="D42" s="244" t="n">
        <f aca="false">C42-C41</f>
        <v>-1015</v>
      </c>
      <c r="E42" s="242" t="n">
        <f aca="false">C42-152000</f>
        <v>198417</v>
      </c>
      <c r="F42" s="266" t="n">
        <f aca="false">D42/$D$2</f>
        <v>-511.721704058482</v>
      </c>
      <c r="G42" s="267" t="n">
        <v>148</v>
      </c>
      <c r="H42" s="247" t="n">
        <v>1.3</v>
      </c>
      <c r="I42" s="267" t="n">
        <f aca="false">G42+H42</f>
        <v>149.3</v>
      </c>
      <c r="J42" s="247" t="n">
        <f aca="false">IF(L42&gt;0,L42,0)</f>
        <v>0</v>
      </c>
      <c r="K42" s="267" t="n">
        <f aca="false">I42+J42</f>
        <v>149.3</v>
      </c>
      <c r="L42" s="267" t="n">
        <f aca="false">F42-(I42-AC42)</f>
        <v>-30.0217040584825</v>
      </c>
      <c r="M42" s="269" t="n">
        <v>237</v>
      </c>
      <c r="N42" s="267" t="n">
        <f aca="false">2.1*1.03</f>
        <v>2.163</v>
      </c>
      <c r="O42" s="267" t="n">
        <f aca="false">(43+42)*1.05</f>
        <v>89.25</v>
      </c>
      <c r="P42" s="367" t="n">
        <v>2.77</v>
      </c>
      <c r="Q42" s="367" t="n">
        <v>4.2</v>
      </c>
      <c r="R42" s="368" t="n">
        <v>5.54</v>
      </c>
      <c r="S42" s="267" t="n">
        <v>88</v>
      </c>
      <c r="T42" s="267" t="n">
        <v>75</v>
      </c>
      <c r="U42" s="267" t="n">
        <f aca="false">M42-N42-O42-P42-Q42-R42+S42+T42</f>
        <v>296.077</v>
      </c>
      <c r="V42" s="242" t="n">
        <f aca="false">V41</f>
        <v>0</v>
      </c>
      <c r="W42" s="242" t="n">
        <f aca="false">W41+AK42-(AL42/1.9835)+AM42</f>
        <v>11107.6464523286</v>
      </c>
      <c r="X42" s="267" t="n">
        <v>138</v>
      </c>
      <c r="Y42" s="269" t="n">
        <v>1.7</v>
      </c>
      <c r="Z42" s="270" t="n">
        <v>1.3</v>
      </c>
      <c r="AA42" s="390" t="n">
        <v>93</v>
      </c>
      <c r="AB42" s="391" t="n">
        <f aca="false">AB41-AA42</f>
        <v>11632.433072851</v>
      </c>
      <c r="AC42" s="127" t="n">
        <f aca="false">N42+O42+P42+Q42+R42+U42+X42+AA42</f>
        <v>631</v>
      </c>
      <c r="AD42" s="267" t="n">
        <f aca="false">IF(L42&lt;0,L42*-1,0)</f>
        <v>30.0217040584825</v>
      </c>
      <c r="AE42" s="267" t="n">
        <f aca="false">AC42+AD42</f>
        <v>661.021704058483</v>
      </c>
      <c r="AF42" s="380" t="n">
        <v>0.05</v>
      </c>
      <c r="AG42" s="250" t="n">
        <v>89</v>
      </c>
      <c r="AH42" s="249" t="n">
        <v>59</v>
      </c>
      <c r="AI42" s="244" t="n">
        <f aca="false">AI41</f>
        <v>16467.3080282</v>
      </c>
      <c r="AJ42" s="244"/>
      <c r="AK42" s="101" t="n">
        <f aca="false">(I42-P42-Q42-Y42)-U42</f>
        <v>-155.447</v>
      </c>
      <c r="AL42" s="367" t="n">
        <f aca="false">60.3*(V41*1.9835+W41*1.9835)/E42</f>
        <v>6.77634145592476</v>
      </c>
      <c r="AM42" s="101" t="n">
        <v>25</v>
      </c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</row>
    <row r="43" customFormat="false" ht="3" hidden="false" customHeight="true" outlineLevel="0" collapsed="false">
      <c r="A43" s="254"/>
      <c r="B43" s="272"/>
      <c r="C43" s="256"/>
      <c r="D43" s="257"/>
      <c r="E43" s="256"/>
      <c r="F43" s="258"/>
      <c r="G43" s="257"/>
      <c r="H43" s="262"/>
      <c r="I43" s="257"/>
      <c r="J43" s="257"/>
      <c r="K43" s="257"/>
      <c r="L43" s="257"/>
      <c r="M43" s="260"/>
      <c r="N43" s="257"/>
      <c r="O43" s="257"/>
      <c r="P43" s="257"/>
      <c r="Q43" s="257"/>
      <c r="R43" s="261"/>
      <c r="S43" s="257"/>
      <c r="T43" s="257"/>
      <c r="U43" s="257"/>
      <c r="V43" s="256"/>
      <c r="W43" s="256"/>
      <c r="X43" s="257"/>
      <c r="Y43" s="260"/>
      <c r="Z43" s="261"/>
      <c r="AA43" s="257"/>
      <c r="AB43" s="257"/>
      <c r="AC43" s="257"/>
      <c r="AD43" s="257"/>
      <c r="AE43" s="257"/>
      <c r="AF43" s="524"/>
      <c r="AG43" s="264"/>
      <c r="AH43" s="265"/>
      <c r="AI43" s="264"/>
      <c r="AJ43" s="264"/>
      <c r="AK43" s="262"/>
      <c r="AL43" s="262"/>
      <c r="AM43" s="264"/>
      <c r="AN43" s="264"/>
    </row>
    <row r="44" customFormat="false" ht="12.95" hidden="false" customHeight="true" outlineLevel="0" collapsed="false">
      <c r="A44" s="173" t="s">
        <v>75</v>
      </c>
      <c r="B44" s="241"/>
      <c r="C44" s="242"/>
      <c r="D44" s="242"/>
      <c r="E44" s="242"/>
      <c r="F44" s="243" t="n">
        <f aca="false">SUM(F12:F42)</f>
        <v>-15589.6143181245</v>
      </c>
      <c r="G44" s="242" t="n">
        <f aca="false">SUM(G12:G42)</f>
        <v>10889</v>
      </c>
      <c r="H44" s="244" t="n">
        <f aca="false">SUM(H12:H42)</f>
        <v>22.14</v>
      </c>
      <c r="I44" s="242" t="n">
        <f aca="false">SUM(I12:I42)</f>
        <v>10911.14</v>
      </c>
      <c r="J44" s="242" t="n">
        <f aca="false">SUM(J12:J42)</f>
        <v>109.407789261407</v>
      </c>
      <c r="K44" s="242" t="n">
        <f aca="false">SUM(K12:K42)</f>
        <v>11020.5477892614</v>
      </c>
      <c r="L44" s="242" t="n">
        <f aca="false">SUM(L12:L42)</f>
        <v>-1064.75431812453</v>
      </c>
      <c r="M44" s="245" t="n">
        <f aca="false">SUM(M12:M42)</f>
        <v>9165</v>
      </c>
      <c r="N44" s="242" t="n">
        <f aca="false">SUM(N12:N42)</f>
        <v>67.053</v>
      </c>
      <c r="O44" s="242" t="n">
        <f aca="false">SUM(O12:O42)</f>
        <v>2696.4</v>
      </c>
      <c r="P44" s="242" t="n">
        <f aca="false">SUM(P12:P42)</f>
        <v>85.87</v>
      </c>
      <c r="Q44" s="242" t="n">
        <f aca="false">SUM(Q12:Q42)</f>
        <v>130.2</v>
      </c>
      <c r="R44" s="246" t="n">
        <f aca="false">SUM(R12:R42)</f>
        <v>150.09</v>
      </c>
      <c r="S44" s="242" t="n">
        <f aca="false">SUM(S12:S42)</f>
        <v>3672</v>
      </c>
      <c r="T44" s="242" t="n">
        <f aca="false">SUM(T12:T42)</f>
        <v>2471</v>
      </c>
      <c r="U44" s="242" t="n">
        <f aca="false">SUM(U12:U42)</f>
        <v>12178.387</v>
      </c>
      <c r="V44" s="242"/>
      <c r="W44" s="242"/>
      <c r="X44" s="242" t="n">
        <f aca="false">SUM(X12:X42)</f>
        <v>7254</v>
      </c>
      <c r="Y44" s="527" t="n">
        <f aca="false">SUM(Y12:Y42)</f>
        <v>52.7</v>
      </c>
      <c r="Z44" s="528" t="n">
        <f aca="false">SUM(Z12:Z42)</f>
        <v>40.3</v>
      </c>
      <c r="AA44" s="242" t="n">
        <f aca="false">SUM(AA12:AA42)</f>
        <v>2874</v>
      </c>
      <c r="AB44" s="242"/>
      <c r="AC44" s="242" t="n">
        <f aca="false">SUM(AC12:AC42)</f>
        <v>25436</v>
      </c>
      <c r="AD44" s="242" t="n">
        <f aca="false">SUM(AD12:AD42)</f>
        <v>1174.16210738593</v>
      </c>
      <c r="AE44" s="242" t="n">
        <f aca="false">SUM(AE12:AE42)</f>
        <v>26610.1621073859</v>
      </c>
      <c r="AF44" s="380" t="n">
        <f aca="false">SUM(AF12:AF43)</f>
        <v>0.23</v>
      </c>
      <c r="AG44" s="244" t="n">
        <f aca="false">AVERAGE(AG12:AG42)</f>
        <v>89.3548387096774</v>
      </c>
      <c r="AH44" s="249" t="n">
        <f aca="false">AVERAGE(AH12:AH42)</f>
        <v>56.5483870967742</v>
      </c>
      <c r="AI44" s="244" t="s">
        <v>106</v>
      </c>
      <c r="AJ44" s="242" t="n">
        <f aca="false">SUM(AJ12:AJ42)</f>
        <v>0</v>
      </c>
      <c r="AK44" s="247"/>
      <c r="AL44" s="529"/>
      <c r="AM44" s="244" t="n">
        <f aca="false">SUM(AM12:AM42)</f>
        <v>241.89</v>
      </c>
    </row>
    <row r="45" customFormat="false" ht="12.95" hidden="false" customHeight="true" outlineLevel="0" collapsed="false">
      <c r="A45" s="173" t="s">
        <v>77</v>
      </c>
      <c r="B45" s="241"/>
      <c r="C45" s="242"/>
      <c r="D45" s="242" t="n">
        <f aca="false">SUM(D12:D42)</f>
        <v>-30922</v>
      </c>
      <c r="E45" s="242"/>
      <c r="F45" s="243" t="n">
        <f aca="false">F44*$D$2</f>
        <v>-30922</v>
      </c>
      <c r="G45" s="242" t="n">
        <f aca="false">G44*$D$2</f>
        <v>21598.3315</v>
      </c>
      <c r="H45" s="244" t="n">
        <f aca="false">H44*$D$2</f>
        <v>43.91469</v>
      </c>
      <c r="I45" s="242" t="n">
        <f aca="false">I44*$D$2</f>
        <v>21642.24619</v>
      </c>
      <c r="J45" s="242" t="n">
        <f aca="false">J44*$D$2</f>
        <v>217.01035</v>
      </c>
      <c r="K45" s="242" t="n">
        <f aca="false">K44*$D$2</f>
        <v>21859.25654</v>
      </c>
      <c r="L45" s="242" t="n">
        <f aca="false">L44*$D$2</f>
        <v>-2111.94019</v>
      </c>
      <c r="M45" s="245" t="n">
        <f aca="false">M44*$D$2</f>
        <v>18178.7775</v>
      </c>
      <c r="N45" s="242" t="n">
        <f aca="false">N44*$D$2</f>
        <v>132.9996255</v>
      </c>
      <c r="O45" s="242" t="n">
        <f aca="false">O44*$D$2</f>
        <v>5348.3094</v>
      </c>
      <c r="P45" s="242" t="n">
        <f aca="false">P44*$D$2</f>
        <v>170.323145</v>
      </c>
      <c r="Q45" s="242" t="n">
        <f aca="false">Q44*$D$2</f>
        <v>258.2517</v>
      </c>
      <c r="R45" s="246" t="n">
        <f aca="false">R44*$D$2</f>
        <v>297.703515</v>
      </c>
      <c r="S45" s="242" t="n">
        <f aca="false">S44*$D$2</f>
        <v>7283.412</v>
      </c>
      <c r="T45" s="242" t="n">
        <f aca="false">T44*$D$2</f>
        <v>4901.2285</v>
      </c>
      <c r="U45" s="242" t="n">
        <f aca="false">U44*$D$2</f>
        <v>24155.8306145</v>
      </c>
      <c r="V45" s="242"/>
      <c r="W45" s="242"/>
      <c r="X45" s="242" t="n">
        <f aca="false">X44*$D$2</f>
        <v>14388.309</v>
      </c>
      <c r="Y45" s="245" t="n">
        <f aca="false">Y44*$D$2</f>
        <v>104.53045</v>
      </c>
      <c r="Z45" s="246" t="n">
        <f aca="false">Z44*$D$2</f>
        <v>79.93505</v>
      </c>
      <c r="AA45" s="242" t="n">
        <f aca="false">AA44*$D$2</f>
        <v>5700.579</v>
      </c>
      <c r="AB45" s="242"/>
      <c r="AC45" s="242" t="n">
        <f aca="false">AC44*$D$2</f>
        <v>50452.306</v>
      </c>
      <c r="AD45" s="242" t="n">
        <f aca="false">AD44*$D$2</f>
        <v>2328.95054</v>
      </c>
      <c r="AE45" s="242" t="n">
        <f aca="false">AE44*$D$2</f>
        <v>52781.25654</v>
      </c>
      <c r="AF45" s="380"/>
      <c r="AG45" s="244" t="n">
        <f aca="false">MAX(AG12:AG42)</f>
        <v>96</v>
      </c>
      <c r="AH45" s="249" t="n">
        <f aca="false">MAX(AH12:AH42)</f>
        <v>64</v>
      </c>
      <c r="AI45" s="244" t="s">
        <v>78</v>
      </c>
      <c r="AJ45" s="242" t="n">
        <f aca="false">AJ44*$D$2</f>
        <v>0</v>
      </c>
      <c r="AK45" s="247"/>
      <c r="AL45" s="529" t="n">
        <f aca="false">SUM(AL12:AL42)</f>
        <v>214.641764306303</v>
      </c>
      <c r="AM45" s="244" t="n">
        <f aca="false">AM44*$D$2</f>
        <v>479.788815</v>
      </c>
    </row>
    <row r="46" customFormat="false" ht="3" hidden="false" customHeight="true" outlineLevel="0" collapsed="false">
      <c r="A46" s="275"/>
      <c r="B46" s="272"/>
      <c r="C46" s="256"/>
      <c r="D46" s="256"/>
      <c r="E46" s="256"/>
      <c r="F46" s="276"/>
      <c r="G46" s="256"/>
      <c r="H46" s="264"/>
      <c r="I46" s="256"/>
      <c r="J46" s="256"/>
      <c r="K46" s="256"/>
      <c r="L46" s="256"/>
      <c r="M46" s="277"/>
      <c r="N46" s="256"/>
      <c r="O46" s="256"/>
      <c r="P46" s="256"/>
      <c r="Q46" s="256"/>
      <c r="R46" s="278"/>
      <c r="S46" s="256"/>
      <c r="T46" s="256"/>
      <c r="U46" s="256"/>
      <c r="V46" s="256"/>
      <c r="W46" s="256"/>
      <c r="X46" s="256"/>
      <c r="Y46" s="277"/>
      <c r="Z46" s="278"/>
      <c r="AA46" s="256"/>
      <c r="AB46" s="257"/>
      <c r="AC46" s="256"/>
      <c r="AD46" s="256"/>
      <c r="AE46" s="256"/>
      <c r="AF46" s="279"/>
      <c r="AG46" s="256"/>
      <c r="AH46" s="276"/>
      <c r="AI46" s="256"/>
      <c r="AJ46" s="256"/>
      <c r="AK46" s="262"/>
      <c r="AL46" s="472"/>
      <c r="AM46" s="264"/>
      <c r="AN46" s="264"/>
    </row>
    <row r="47" customFormat="false" ht="12.95" hidden="false" customHeight="true" outlineLevel="0" collapsed="false">
      <c r="A47" s="173" t="s">
        <v>79</v>
      </c>
      <c r="B47" s="241"/>
      <c r="C47" s="242"/>
      <c r="D47" s="242"/>
      <c r="E47" s="242"/>
      <c r="F47" s="243" t="n">
        <f aca="false">F9+F44</f>
        <v>55758.0035291152</v>
      </c>
      <c r="G47" s="242" t="n">
        <f aca="false">G9+G44</f>
        <v>167801</v>
      </c>
      <c r="H47" s="244" t="n">
        <f aca="false">H9+H44</f>
        <v>12701.54</v>
      </c>
      <c r="I47" s="242" t="n">
        <f aca="false">I9+I44</f>
        <v>180502.54</v>
      </c>
      <c r="J47" s="242" t="n">
        <f aca="false">J9+J44</f>
        <v>35893.5695462566</v>
      </c>
      <c r="K47" s="242" t="n">
        <f aca="false">K9+K44</f>
        <v>216396.109546257</v>
      </c>
      <c r="L47" s="242" t="n">
        <f aca="false">L9+L44</f>
        <v>34634.9335291152</v>
      </c>
      <c r="M47" s="245" t="n">
        <f aca="false">M9+M44</f>
        <v>26621.5</v>
      </c>
      <c r="N47" s="242" t="n">
        <f aca="false">N9+N44</f>
        <v>198.996</v>
      </c>
      <c r="O47" s="242" t="n">
        <f aca="false">O9+O44</f>
        <v>8365.674</v>
      </c>
      <c r="P47" s="242"/>
      <c r="Q47" s="242"/>
      <c r="R47" s="246"/>
      <c r="S47" s="242" t="n">
        <f aca="false">S9+S44</f>
        <v>12738.25</v>
      </c>
      <c r="T47" s="242" t="n">
        <f aca="false">T9+T44</f>
        <v>6731.4</v>
      </c>
      <c r="U47" s="242" t="n">
        <f aca="false">U9+U44</f>
        <v>36143.6592</v>
      </c>
      <c r="V47" s="475" t="n">
        <f aca="false">V42</f>
        <v>0</v>
      </c>
      <c r="W47" s="475"/>
      <c r="X47" s="242" t="n">
        <f aca="false">X9+X44</f>
        <v>13299.8</v>
      </c>
      <c r="Y47" s="245" t="n">
        <f aca="false">Y9+Y44</f>
        <v>207.4</v>
      </c>
      <c r="Z47" s="246" t="n">
        <f aca="false">Z9+Z44</f>
        <v>158.6</v>
      </c>
      <c r="AA47" s="242"/>
      <c r="AB47" s="475"/>
      <c r="AC47" s="242" t="n">
        <f aca="false">AC9+AC44</f>
        <v>159379.47</v>
      </c>
      <c r="AD47" s="242" t="n">
        <f aca="false">AD9+AD44</f>
        <v>1258.63601714142</v>
      </c>
      <c r="AE47" s="242" t="n">
        <f aca="false">AE9+AE44</f>
        <v>160638.106017141</v>
      </c>
      <c r="AF47" s="380"/>
      <c r="AG47" s="244" t="n">
        <f aca="false">MIN(AG12:AG42)</f>
        <v>82</v>
      </c>
      <c r="AH47" s="249" t="n">
        <f aca="false">MIN(AH12:AH42)</f>
        <v>50</v>
      </c>
      <c r="AI47" s="244" t="s">
        <v>80</v>
      </c>
      <c r="AJ47" s="244"/>
      <c r="AK47" s="247"/>
      <c r="AL47" s="529"/>
      <c r="AM47" s="244" t="n">
        <f aca="false">AM9+AM44</f>
        <v>241.89</v>
      </c>
      <c r="AN47" s="244" t="n">
        <f aca="false">AN9+AN44</f>
        <v>303.01</v>
      </c>
    </row>
    <row r="48" customFormat="false" ht="12.95" hidden="false" customHeight="true" outlineLevel="0" collapsed="false">
      <c r="A48" s="173" t="s">
        <v>81</v>
      </c>
      <c r="B48" s="241"/>
      <c r="C48" s="242"/>
      <c r="D48" s="242"/>
      <c r="E48" s="242"/>
      <c r="F48" s="243" t="n">
        <f aca="false">F47*$D$2</f>
        <v>110596</v>
      </c>
      <c r="G48" s="242" t="n">
        <f aca="false">G47*$D$2</f>
        <v>332833.2835</v>
      </c>
      <c r="H48" s="244" t="n">
        <f aca="false">H47*$D$2</f>
        <v>25193.50459</v>
      </c>
      <c r="I48" s="242" t="n">
        <f aca="false">I47*$D$2</f>
        <v>358026.78809</v>
      </c>
      <c r="J48" s="242" t="n">
        <f aca="false">J47*$D$2</f>
        <v>71194.895195</v>
      </c>
      <c r="K48" s="242" t="n">
        <f aca="false">K47*$D$2</f>
        <v>429221.683285</v>
      </c>
      <c r="L48" s="242" t="n">
        <f aca="false">L47*$D$2</f>
        <v>68698.390655</v>
      </c>
      <c r="M48" s="245" t="n">
        <f aca="false">M47*$D$2</f>
        <v>52803.74525</v>
      </c>
      <c r="N48" s="242" t="n">
        <f aca="false">N47*$D$2</f>
        <v>394.708566</v>
      </c>
      <c r="O48" s="242" t="n">
        <f aca="false">O47*$D$2</f>
        <v>16593.314379</v>
      </c>
      <c r="P48" s="242"/>
      <c r="Q48" s="242"/>
      <c r="R48" s="246"/>
      <c r="S48" s="242" t="n">
        <f aca="false">S47*$D$2</f>
        <v>25266.318875</v>
      </c>
      <c r="T48" s="242" t="n">
        <f aca="false">T47*$D$2</f>
        <v>13351.7319</v>
      </c>
      <c r="U48" s="242" t="n">
        <f aca="false">U47*$D$2</f>
        <v>71690.9480232</v>
      </c>
      <c r="V48" s="242" t="n">
        <f aca="false">V47*$D$2</f>
        <v>0</v>
      </c>
      <c r="W48" s="242"/>
      <c r="X48" s="242" t="n">
        <f aca="false">X47*$D$2</f>
        <v>26380.1533</v>
      </c>
      <c r="Y48" s="245" t="n">
        <f aca="false">Y47*$D$2</f>
        <v>411.3779</v>
      </c>
      <c r="Z48" s="246" t="n">
        <f aca="false">Z47*$D$2</f>
        <v>314.5831</v>
      </c>
      <c r="AA48" s="242"/>
      <c r="AB48" s="242"/>
      <c r="AC48" s="242" t="n">
        <f aca="false">AC47*$D$2</f>
        <v>316129.178745</v>
      </c>
      <c r="AD48" s="242" t="n">
        <f aca="false">AD47*$D$2</f>
        <v>2496.50454</v>
      </c>
      <c r="AE48" s="242" t="n">
        <f aca="false">AE47*$D$2</f>
        <v>318625.683285</v>
      </c>
      <c r="AF48" s="380"/>
      <c r="AG48" s="244"/>
      <c r="AH48" s="249"/>
      <c r="AI48" s="244"/>
      <c r="AJ48" s="244"/>
      <c r="AK48" s="247"/>
      <c r="AL48" s="529" t="n">
        <f aca="false">AL9+AL45</f>
        <v>295.992887218748</v>
      </c>
      <c r="AM48" s="244" t="n">
        <f aca="false">AM47*$D$2</f>
        <v>479.788815</v>
      </c>
      <c r="AN48" s="244" t="n">
        <f aca="false">AN47*$D$2</f>
        <v>601.020335</v>
      </c>
    </row>
    <row r="49" customFormat="false" ht="3" hidden="false" customHeight="true" outlineLevel="0" collapsed="false">
      <c r="A49" s="275"/>
      <c r="B49" s="272"/>
      <c r="C49" s="256"/>
      <c r="D49" s="256"/>
      <c r="E49" s="256"/>
      <c r="F49" s="276"/>
      <c r="G49" s="256"/>
      <c r="H49" s="264"/>
      <c r="I49" s="256"/>
      <c r="J49" s="256"/>
      <c r="K49" s="256"/>
      <c r="L49" s="256"/>
      <c r="M49" s="277"/>
      <c r="N49" s="256"/>
      <c r="O49" s="256"/>
      <c r="P49" s="256"/>
      <c r="Q49" s="256"/>
      <c r="R49" s="278"/>
      <c r="S49" s="256"/>
      <c r="T49" s="256"/>
      <c r="U49" s="256"/>
      <c r="V49" s="256"/>
      <c r="W49" s="256"/>
      <c r="X49" s="256"/>
      <c r="Y49" s="277"/>
      <c r="Z49" s="278"/>
      <c r="AA49" s="256"/>
      <c r="AB49" s="256"/>
      <c r="AC49" s="256"/>
      <c r="AD49" s="256"/>
      <c r="AE49" s="256"/>
      <c r="AF49" s="524"/>
      <c r="AG49" s="256"/>
      <c r="AH49" s="276"/>
      <c r="AI49" s="256"/>
      <c r="AJ49" s="256"/>
      <c r="AK49" s="262"/>
      <c r="AL49" s="472"/>
      <c r="AM49" s="264"/>
      <c r="AN49" s="264"/>
    </row>
    <row r="50" customFormat="false" ht="12.95" hidden="false" customHeight="true" outlineLevel="0" collapsed="false">
      <c r="A50" s="173" t="s">
        <v>82</v>
      </c>
      <c r="B50" s="241"/>
      <c r="C50" s="242"/>
      <c r="D50" s="242"/>
      <c r="E50" s="242"/>
      <c r="F50" s="243" t="n">
        <f aca="false">F10+F44</f>
        <v>72180.9931938493</v>
      </c>
      <c r="G50" s="242" t="n">
        <f aca="false">G10+G44</f>
        <v>184259</v>
      </c>
      <c r="H50" s="244" t="n">
        <f aca="false">H10+H44</f>
        <v>15091.08</v>
      </c>
      <c r="I50" s="242" t="n">
        <f aca="false">I10+I44</f>
        <v>199350.08</v>
      </c>
      <c r="J50" s="242" t="n">
        <f aca="false">J10+J44</f>
        <v>46355.0746508697</v>
      </c>
      <c r="K50" s="242" t="n">
        <f aca="false">K10+K44</f>
        <v>245705.15465087</v>
      </c>
      <c r="L50" s="242" t="n">
        <f aca="false">L10+L44</f>
        <v>44551.1831938493</v>
      </c>
      <c r="M50" s="245" t="n">
        <f aca="false">M10+M44</f>
        <v>27417.5</v>
      </c>
      <c r="N50" s="242" t="n">
        <f aca="false">N10+N44</f>
        <v>198.996</v>
      </c>
      <c r="O50" s="242" t="n">
        <f aca="false">O10+O44</f>
        <v>8365.674</v>
      </c>
      <c r="P50" s="242" t="n">
        <f aca="false">P10+P44</f>
        <v>480.8956</v>
      </c>
      <c r="Q50" s="242" t="n">
        <f aca="false">Q10+Q44</f>
        <v>842.4888</v>
      </c>
      <c r="R50" s="246" t="n">
        <f aca="false">R10+R44</f>
        <v>331.6</v>
      </c>
      <c r="S50" s="242" t="n">
        <f aca="false">S10+S44</f>
        <v>20207.25</v>
      </c>
      <c r="T50" s="242" t="n">
        <f aca="false">T10+T44</f>
        <v>6765.2</v>
      </c>
      <c r="U50" s="242" t="n">
        <f aca="false">U10+U44</f>
        <v>43858.8156</v>
      </c>
      <c r="V50" s="242"/>
      <c r="W50" s="242"/>
      <c r="X50" s="242"/>
      <c r="Y50" s="245"/>
      <c r="Z50" s="246"/>
      <c r="AA50" s="242" t="n">
        <f aca="false">AA10+AA44</f>
        <v>104342</v>
      </c>
      <c r="AB50" s="242" t="n">
        <f aca="false">AB42</f>
        <v>11632.433072851</v>
      </c>
      <c r="AC50" s="242" t="n">
        <f aca="false">AC10+AC44</f>
        <v>171720.27</v>
      </c>
      <c r="AD50" s="242" t="n">
        <f aca="false">AD10+AD44</f>
        <v>1803.89145702042</v>
      </c>
      <c r="AE50" s="242" t="n">
        <f aca="false">AE10+AE44</f>
        <v>173524.16145702</v>
      </c>
      <c r="AF50" s="380" t="n">
        <f aca="false">AF10+AF44</f>
        <v>13.83</v>
      </c>
      <c r="AG50" s="244"/>
      <c r="AH50" s="249"/>
      <c r="AI50" s="244"/>
      <c r="AJ50" s="242" t="n">
        <f aca="false">AJ10+AJ44</f>
        <v>0</v>
      </c>
      <c r="AK50" s="247"/>
      <c r="AL50" s="529"/>
      <c r="AM50" s="530"/>
      <c r="AN50" s="530"/>
    </row>
    <row r="51" customFormat="false" ht="12.95" hidden="false" customHeight="true" outlineLevel="0" collapsed="false">
      <c r="A51" s="173" t="s">
        <v>83</v>
      </c>
      <c r="B51" s="241"/>
      <c r="C51" s="242"/>
      <c r="D51" s="242" t="n">
        <f aca="false">D10+D45</f>
        <v>143171</v>
      </c>
      <c r="E51" s="242" t="n">
        <f aca="false">E42</f>
        <v>198417</v>
      </c>
      <c r="F51" s="243" t="n">
        <f aca="false">F50*$D$2</f>
        <v>143171</v>
      </c>
      <c r="G51" s="242" t="n">
        <f aca="false">G50*$D$2</f>
        <v>365477.7265</v>
      </c>
      <c r="H51" s="244" t="n">
        <f aca="false">H50*$D$2</f>
        <v>29933.15718</v>
      </c>
      <c r="I51" s="242" t="n">
        <f aca="false">I50*$D$2</f>
        <v>395410.88368</v>
      </c>
      <c r="J51" s="242" t="n">
        <f aca="false">J50*$D$2</f>
        <v>91945.29057</v>
      </c>
      <c r="K51" s="242" t="n">
        <f aca="false">K50*$D$2</f>
        <v>487356.17425</v>
      </c>
      <c r="L51" s="242" t="n">
        <f aca="false">L50*$D$2</f>
        <v>88367.271865</v>
      </c>
      <c r="M51" s="245" t="n">
        <f aca="false">M50*$D$2</f>
        <v>54382.61125</v>
      </c>
      <c r="N51" s="242" t="n">
        <f aca="false">N50*$D$2</f>
        <v>394.708566</v>
      </c>
      <c r="O51" s="242" t="n">
        <f aca="false">O50*$D$2</f>
        <v>16593.314379</v>
      </c>
      <c r="P51" s="242" t="n">
        <f aca="false">P50*$D$2</f>
        <v>953.8564226</v>
      </c>
      <c r="Q51" s="242" t="n">
        <f aca="false">Q50*$D$2</f>
        <v>1671.0765348</v>
      </c>
      <c r="R51" s="253" t="n">
        <f aca="false">R50*$D$2</f>
        <v>657.7286</v>
      </c>
      <c r="S51" s="242" t="n">
        <f aca="false">S50*$D$2</f>
        <v>40081.080375</v>
      </c>
      <c r="T51" s="242" t="n">
        <f aca="false">T50*$D$2</f>
        <v>13418.7742</v>
      </c>
      <c r="U51" s="242" t="n">
        <f aca="false">U50*$D$2</f>
        <v>86993.9607426</v>
      </c>
      <c r="V51" s="242"/>
      <c r="W51" s="242"/>
      <c r="X51" s="242"/>
      <c r="Y51" s="282"/>
      <c r="Z51" s="253"/>
      <c r="AA51" s="242" t="n">
        <f aca="false">AA50*$D$2</f>
        <v>206962.357</v>
      </c>
      <c r="AB51" s="242" t="n">
        <f aca="false">AB50*$D$2</f>
        <v>23072.931</v>
      </c>
      <c r="AC51" s="242" t="n">
        <f aca="false">AC50*$D$2</f>
        <v>340607.155545</v>
      </c>
      <c r="AD51" s="242" t="n">
        <f aca="false">AD50*$D$2</f>
        <v>3578.018705</v>
      </c>
      <c r="AE51" s="242" t="n">
        <f aca="false">AE50*$D$2</f>
        <v>344185.17425</v>
      </c>
      <c r="AF51" s="380"/>
      <c r="AG51" s="244"/>
      <c r="AH51" s="249"/>
      <c r="AI51" s="244" t="n">
        <f aca="false">AI42</f>
        <v>16467.3080282</v>
      </c>
      <c r="AJ51" s="242" t="n">
        <f aca="false">AJ50*$D$2</f>
        <v>0</v>
      </c>
      <c r="AK51" s="247"/>
      <c r="AL51" s="529" t="n">
        <f aca="false">AL10+AL45</f>
        <v>295.992887218748</v>
      </c>
      <c r="AM51" s="244"/>
      <c r="AN51" s="244"/>
    </row>
    <row r="52" customFormat="false" ht="3" hidden="false" customHeight="true" outlineLevel="0" collapsed="false">
      <c r="A52" s="254"/>
      <c r="B52" s="333"/>
      <c r="C52" s="320"/>
      <c r="D52" s="254"/>
      <c r="E52" s="320"/>
      <c r="F52" s="321"/>
      <c r="G52" s="254"/>
      <c r="H52" s="531"/>
      <c r="I52" s="254"/>
      <c r="J52" s="254"/>
      <c r="K52" s="254"/>
      <c r="L52" s="254"/>
      <c r="M52" s="532"/>
      <c r="N52" s="254"/>
      <c r="O52" s="254"/>
      <c r="P52" s="254"/>
      <c r="Q52" s="254"/>
      <c r="R52" s="324"/>
      <c r="S52" s="254"/>
      <c r="T52" s="254"/>
      <c r="U52" s="254"/>
      <c r="V52" s="320"/>
      <c r="W52" s="320"/>
      <c r="X52" s="254"/>
      <c r="Y52" s="260"/>
      <c r="Z52" s="261"/>
      <c r="AA52" s="254"/>
      <c r="AB52" s="320"/>
      <c r="AC52" s="254"/>
      <c r="AD52" s="254"/>
      <c r="AE52" s="254"/>
      <c r="AF52" s="333"/>
      <c r="AG52" s="254"/>
      <c r="AH52" s="321"/>
      <c r="AI52" s="533"/>
      <c r="AJ52" s="533"/>
      <c r="AK52" s="534"/>
      <c r="AL52" s="262"/>
      <c r="AM52" s="535"/>
      <c r="AN52" s="535"/>
    </row>
    <row r="53" customFormat="false" ht="11.1" hidden="false" customHeight="true" outlineLevel="0" collapsed="false">
      <c r="A53" s="164"/>
      <c r="B53" s="152"/>
      <c r="C53" s="10"/>
      <c r="D53" s="9"/>
      <c r="E53" s="505"/>
      <c r="F53" s="0"/>
      <c r="G53" s="0"/>
      <c r="H53" s="122"/>
      <c r="I53" s="9"/>
      <c r="J53" s="9"/>
      <c r="K53" s="506"/>
      <c r="L53" s="165"/>
      <c r="M53" s="9"/>
      <c r="N53" s="9"/>
      <c r="O53" s="9"/>
      <c r="P53" s="9"/>
      <c r="Q53" s="9"/>
      <c r="R53" s="9"/>
      <c r="S53" s="9"/>
      <c r="T53" s="9"/>
      <c r="U53" s="9"/>
      <c r="V53" s="507"/>
      <c r="W53" s="507"/>
      <c r="X53" s="9"/>
      <c r="Y53" s="9"/>
      <c r="Z53" s="9"/>
      <c r="AA53" s="9"/>
      <c r="AB53" s="505"/>
      <c r="AC53" s="505"/>
      <c r="AD53" s="164"/>
      <c r="AE53" s="164"/>
      <c r="AF53" s="169"/>
      <c r="AG53" s="171"/>
      <c r="AH53" s="171"/>
      <c r="AI53" s="172"/>
      <c r="AJ53" s="172"/>
      <c r="AK53" s="536"/>
    </row>
    <row r="54" customFormat="false" ht="11.1" hidden="false" customHeight="true" outlineLevel="0" collapsed="false">
      <c r="A54" s="164"/>
      <c r="B54" s="152"/>
      <c r="C54" s="10"/>
      <c r="D54" s="153"/>
      <c r="E54" s="484"/>
      <c r="F54" s="508"/>
      <c r="G54" s="0"/>
      <c r="H54" s="122"/>
      <c r="I54" s="11"/>
      <c r="J54" s="9"/>
      <c r="K54" s="154"/>
      <c r="L54" s="168"/>
      <c r="M54" s="9"/>
      <c r="N54" s="9"/>
      <c r="O54" s="9"/>
      <c r="P54" s="9"/>
      <c r="Q54" s="9"/>
      <c r="R54" s="124"/>
      <c r="S54" s="509"/>
      <c r="T54" s="124"/>
      <c r="U54" s="510"/>
      <c r="V54" s="165"/>
      <c r="W54" s="165"/>
      <c r="X54" s="509"/>
      <c r="Y54" s="509"/>
      <c r="Z54" s="509"/>
      <c r="AA54" s="124"/>
      <c r="AB54" s="91"/>
      <c r="AC54" s="10"/>
      <c r="AD54" s="164"/>
      <c r="AE54" s="169"/>
      <c r="AF54" s="171"/>
      <c r="AG54" s="171"/>
      <c r="AH54" s="172"/>
      <c r="AI54" s="289"/>
      <c r="AJ54" s="289"/>
      <c r="AK54" s="536"/>
    </row>
    <row r="55" customFormat="false" ht="11.1" hidden="false" customHeight="true" outlineLevel="0" collapsed="false">
      <c r="A55" s="285"/>
      <c r="B55" s="165"/>
      <c r="E55" s="484"/>
      <c r="F55" s="485"/>
      <c r="G55" s="0"/>
      <c r="H55" s="122"/>
      <c r="I55" s="153"/>
      <c r="J55" s="153"/>
      <c r="K55" s="511"/>
      <c r="L55" s="488"/>
      <c r="M55" s="512"/>
      <c r="N55" s="512"/>
      <c r="O55" s="484"/>
      <c r="P55" s="484"/>
      <c r="Q55" s="484"/>
      <c r="R55" s="456"/>
      <c r="S55" s="509"/>
      <c r="T55" s="124"/>
      <c r="U55" s="91"/>
      <c r="V55" s="165"/>
      <c r="W55" s="165"/>
      <c r="X55" s="165"/>
      <c r="Y55" s="165"/>
      <c r="Z55" s="165"/>
      <c r="AA55" s="91"/>
      <c r="AB55" s="509"/>
      <c r="AC55" s="509"/>
      <c r="AD55" s="285"/>
      <c r="AE55" s="169"/>
      <c r="AF55" s="171"/>
      <c r="AG55" s="171"/>
      <c r="AH55" s="172"/>
      <c r="AI55" s="343"/>
      <c r="AJ55" s="343"/>
      <c r="AK55" s="536"/>
    </row>
    <row r="56" customFormat="false" ht="11.1" hidden="false" customHeight="true" outlineLevel="0" collapsed="false">
      <c r="A56" s="285"/>
      <c r="B56" s="285"/>
      <c r="C56" s="165"/>
      <c r="D56" s="165"/>
      <c r="E56" s="484"/>
      <c r="F56" s="0"/>
      <c r="G56" s="0"/>
      <c r="H56" s="168"/>
      <c r="I56" s="0"/>
      <c r="J56" s="153"/>
      <c r="K56" s="511"/>
      <c r="L56" s="171"/>
      <c r="M56" s="122"/>
      <c r="N56" s="122"/>
      <c r="O56" s="171"/>
      <c r="P56" s="171"/>
      <c r="Q56" s="171"/>
      <c r="R56" s="456"/>
      <c r="S56" s="456"/>
      <c r="T56" s="456"/>
      <c r="U56" s="91"/>
      <c r="V56" s="171"/>
      <c r="W56" s="171"/>
      <c r="X56" s="165"/>
      <c r="Y56" s="165"/>
      <c r="Z56" s="165"/>
      <c r="AA56" s="91"/>
      <c r="AB56" s="165"/>
      <c r="AC56" s="165"/>
      <c r="AD56" s="285"/>
      <c r="AE56" s="487"/>
      <c r="AF56" s="171"/>
      <c r="AG56" s="171"/>
      <c r="AH56" s="172"/>
      <c r="AI56" s="343"/>
      <c r="AJ56" s="343"/>
      <c r="AK56" s="536"/>
    </row>
    <row r="57" customFormat="false" ht="11.1" hidden="false" customHeight="true" outlineLevel="0" collapsed="false">
      <c r="A57" s="285"/>
      <c r="B57" s="285"/>
      <c r="C57" s="165"/>
      <c r="D57" s="285"/>
      <c r="E57" s="165"/>
      <c r="F57" s="285"/>
      <c r="G57" s="286"/>
      <c r="H57" s="168"/>
      <c r="I57" s="285"/>
      <c r="J57" s="285"/>
      <c r="K57" s="285"/>
      <c r="L57" s="285"/>
      <c r="M57" s="168"/>
      <c r="N57" s="168"/>
      <c r="O57" s="168"/>
      <c r="P57" s="168"/>
      <c r="Q57" s="168"/>
      <c r="R57" s="285"/>
      <c r="S57" s="285"/>
      <c r="T57" s="285"/>
      <c r="U57" s="165"/>
      <c r="V57" s="285"/>
      <c r="W57" s="285"/>
      <c r="X57" s="285"/>
      <c r="Y57" s="285"/>
      <c r="Z57" s="285"/>
      <c r="AA57" s="165"/>
      <c r="AB57" s="285"/>
      <c r="AC57" s="285"/>
      <c r="AD57" s="285"/>
      <c r="AE57" s="169"/>
      <c r="AF57" s="171"/>
      <c r="AG57" s="171"/>
      <c r="AH57" s="172"/>
      <c r="AI57" s="343"/>
      <c r="AJ57" s="343"/>
      <c r="AK57" s="536"/>
    </row>
  </sheetData>
  <mergeCells count="2">
    <mergeCell ref="K2:AA2"/>
    <mergeCell ref="M5:R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9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E12" activeCellId="0" sqref="AE12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537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8" min="16" style="156" width="4.32"/>
    <col collapsed="false" customWidth="true" hidden="false" outlineLevel="0" max="19" min="19" style="156" width="5.49"/>
    <col collapsed="false" customWidth="true" hidden="false" outlineLevel="0" max="20" min="20" style="157" width="5.49"/>
    <col collapsed="false" customWidth="true" hidden="false" outlineLevel="0" max="21" min="21" style="156" width="6.32"/>
    <col collapsed="false" customWidth="true" hidden="false" outlineLevel="0" max="22" min="22" style="156" width="5.49"/>
    <col collapsed="false" customWidth="true" hidden="false" outlineLevel="0" max="23" min="23" style="157" width="6.32"/>
    <col collapsed="false" customWidth="true" hidden="false" outlineLevel="0" max="26" min="24" style="156" width="5.49"/>
    <col collapsed="false" customWidth="true" hidden="false" outlineLevel="0" max="27" min="27" style="156" width="6.32"/>
    <col collapsed="false" customWidth="true" hidden="false" outlineLevel="0" max="28" min="28" style="156" width="5.49"/>
    <col collapsed="false" customWidth="true" hidden="false" outlineLevel="0" max="29" min="29" style="160" width="6.32"/>
    <col collapsed="false" customWidth="true" hidden="false" outlineLevel="0" max="30" min="30" style="158" width="6.99"/>
    <col collapsed="false" customWidth="true" hidden="false" outlineLevel="0" max="31" min="31" style="161" width="6.99"/>
    <col collapsed="false" customWidth="true" hidden="false" outlineLevel="0" max="32" min="32" style="162" width="5.32"/>
    <col collapsed="false" customWidth="true" hidden="false" outlineLevel="0" max="34" min="33" style="156" width="3.82"/>
    <col collapsed="false" customWidth="true" hidden="false" outlineLevel="0" max="36" min="35" style="160" width="5.49"/>
    <col collapsed="false" customWidth="true" hidden="false" outlineLevel="0" max="37" min="37" style="538" width="6.32"/>
    <col collapsed="false" customWidth="true" hidden="false" outlineLevel="0" max="38" min="38" style="156" width="6.32"/>
    <col collapsed="false" customWidth="true" hidden="false" outlineLevel="0" max="39" min="39" style="200" width="6.32"/>
    <col collapsed="false" customWidth="true" hidden="false" outlineLevel="0" max="40" min="40" style="156" width="6.49"/>
    <col collapsed="false" customWidth="false" hidden="false" outlineLevel="0" max="257" min="41" style="156" width="9.32"/>
  </cols>
  <sheetData>
    <row r="1" customFormat="false" ht="14.1" hidden="false" customHeight="true" outlineLevel="0" collapsed="false">
      <c r="A1" s="164"/>
      <c r="B1" s="164"/>
      <c r="C1" s="165"/>
      <c r="D1" s="164"/>
      <c r="E1" s="165"/>
      <c r="F1" s="164"/>
      <c r="G1" s="164"/>
      <c r="H1" s="166"/>
      <c r="I1" s="164"/>
      <c r="J1" s="164"/>
      <c r="K1" s="167" t="s">
        <v>0</v>
      </c>
      <c r="L1" s="164"/>
      <c r="M1" s="164"/>
      <c r="N1" s="164"/>
      <c r="O1" s="164"/>
      <c r="P1" s="169"/>
      <c r="Q1" s="169"/>
      <c r="R1" s="169"/>
      <c r="S1" s="164"/>
      <c r="T1" s="164"/>
      <c r="U1" s="165"/>
      <c r="V1" s="164"/>
      <c r="W1" s="164"/>
      <c r="X1" s="164"/>
      <c r="Y1" s="164"/>
      <c r="Z1" s="164"/>
      <c r="AA1" s="165"/>
      <c r="AB1" s="164"/>
      <c r="AC1" s="164"/>
      <c r="AD1" s="164"/>
      <c r="AE1" s="169"/>
      <c r="AF1" s="170"/>
      <c r="AG1" s="171"/>
      <c r="AH1" s="172"/>
      <c r="AI1" s="289"/>
      <c r="AJ1" s="289"/>
      <c r="AK1" s="290"/>
      <c r="AL1" s="160"/>
      <c r="AM1" s="539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166"/>
      <c r="I2" s="164"/>
      <c r="J2" s="164"/>
      <c r="K2" s="175" t="s">
        <v>118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226" t="s">
        <v>93</v>
      </c>
      <c r="W2" s="226"/>
      <c r="X2" s="164"/>
      <c r="Y2" s="164"/>
      <c r="Z2" s="164"/>
      <c r="AA2" s="165"/>
      <c r="AB2" s="164"/>
      <c r="AC2" s="164"/>
      <c r="AD2" s="164"/>
      <c r="AE2" s="169"/>
      <c r="AF2" s="170"/>
      <c r="AG2" s="171"/>
      <c r="AH2" s="172"/>
      <c r="AI2" s="289"/>
      <c r="AJ2" s="289"/>
      <c r="AK2" s="290"/>
      <c r="AL2" s="160"/>
      <c r="AM2" s="539"/>
    </row>
    <row r="3" customFormat="false" ht="14.1" hidden="false" customHeight="true" outlineLevel="0" collapsed="false">
      <c r="A3" s="176"/>
      <c r="B3" s="176"/>
      <c r="C3" s="177"/>
      <c r="D3" s="178"/>
      <c r="E3" s="177"/>
      <c r="F3" s="176"/>
      <c r="G3" s="176"/>
      <c r="H3" s="179"/>
      <c r="I3" s="176"/>
      <c r="J3" s="176"/>
      <c r="K3" s="176"/>
      <c r="L3" s="176"/>
      <c r="M3" s="176"/>
      <c r="N3" s="176"/>
      <c r="O3" s="176"/>
      <c r="P3" s="181"/>
      <c r="Q3" s="181"/>
      <c r="R3" s="181"/>
      <c r="S3" s="176"/>
      <c r="T3" s="176"/>
      <c r="U3" s="177"/>
      <c r="V3" s="176"/>
      <c r="W3" s="176"/>
      <c r="X3" s="176"/>
      <c r="Y3" s="176"/>
      <c r="Z3" s="176"/>
      <c r="AA3" s="177"/>
      <c r="AB3" s="176"/>
      <c r="AC3" s="176"/>
      <c r="AD3" s="176"/>
      <c r="AE3" s="181"/>
      <c r="AF3" s="182"/>
      <c r="AG3" s="183"/>
      <c r="AH3" s="184"/>
      <c r="AI3" s="292"/>
      <c r="AJ3" s="292"/>
      <c r="AK3" s="293"/>
      <c r="AL3" s="540"/>
      <c r="AM3" s="539"/>
    </row>
    <row r="4" s="200" customFormat="true" ht="14.1" hidden="false" customHeight="true" outlineLevel="0" collapsed="false">
      <c r="A4" s="187"/>
      <c r="B4" s="188"/>
      <c r="C4" s="189"/>
      <c r="D4" s="294" t="s">
        <v>3</v>
      </c>
      <c r="E4" s="189"/>
      <c r="F4" s="191"/>
      <c r="G4" s="187"/>
      <c r="H4" s="192"/>
      <c r="I4" s="187"/>
      <c r="J4" s="187"/>
      <c r="K4" s="187"/>
      <c r="L4" s="187"/>
      <c r="M4" s="187"/>
      <c r="N4" s="187"/>
      <c r="O4" s="187"/>
      <c r="P4" s="196"/>
      <c r="Q4" s="196"/>
      <c r="R4" s="196"/>
      <c r="S4" s="193" t="s">
        <v>4</v>
      </c>
      <c r="T4" s="187"/>
      <c r="U4" s="194"/>
      <c r="V4" s="187"/>
      <c r="W4" s="187"/>
      <c r="X4" s="187"/>
      <c r="Y4" s="187"/>
      <c r="Z4" s="187"/>
      <c r="AA4" s="194"/>
      <c r="AB4" s="187"/>
      <c r="AC4" s="187"/>
      <c r="AD4" s="187"/>
      <c r="AE4" s="196"/>
      <c r="AF4" s="197"/>
      <c r="AG4" s="198" t="s">
        <v>5</v>
      </c>
      <c r="AH4" s="199"/>
      <c r="AI4" s="187"/>
      <c r="AJ4" s="187"/>
      <c r="AK4" s="541" t="s">
        <v>6</v>
      </c>
      <c r="AL4" s="541"/>
      <c r="AM4" s="542"/>
      <c r="AN4" s="204"/>
    </row>
    <row r="5" s="520" customFormat="true" ht="12.95" hidden="false" customHeight="true" outlineLevel="0" collapsed="false">
      <c r="A5" s="233" t="s">
        <v>7</v>
      </c>
      <c r="B5" s="464" t="s">
        <v>8</v>
      </c>
      <c r="C5" s="229" t="s">
        <v>8</v>
      </c>
      <c r="D5" s="233" t="s">
        <v>9</v>
      </c>
      <c r="E5" s="229" t="s">
        <v>10</v>
      </c>
      <c r="F5" s="518" t="s">
        <v>11</v>
      </c>
      <c r="G5" s="233" t="s">
        <v>12</v>
      </c>
      <c r="H5" s="235" t="s">
        <v>13</v>
      </c>
      <c r="I5" s="233" t="s">
        <v>14</v>
      </c>
      <c r="J5" s="233" t="s">
        <v>15</v>
      </c>
      <c r="K5" s="233" t="s">
        <v>16</v>
      </c>
      <c r="L5" s="233" t="s">
        <v>15</v>
      </c>
      <c r="M5" s="210" t="s">
        <v>17</v>
      </c>
      <c r="N5" s="210"/>
      <c r="O5" s="210"/>
      <c r="P5" s="210"/>
      <c r="Q5" s="210"/>
      <c r="R5" s="210"/>
      <c r="S5" s="420" t="s">
        <v>18</v>
      </c>
      <c r="T5" s="420" t="s">
        <v>19</v>
      </c>
      <c r="U5" s="420" t="s">
        <v>16</v>
      </c>
      <c r="V5" s="79" t="s">
        <v>20</v>
      </c>
      <c r="W5" s="229" t="s">
        <v>20</v>
      </c>
      <c r="X5" s="420" t="s">
        <v>21</v>
      </c>
      <c r="Y5" s="212" t="s">
        <v>85</v>
      </c>
      <c r="Z5" s="213"/>
      <c r="AA5" s="420" t="s">
        <v>23</v>
      </c>
      <c r="AB5" s="229" t="s">
        <v>108</v>
      </c>
      <c r="AC5" s="233" t="s">
        <v>14</v>
      </c>
      <c r="AD5" s="233" t="s">
        <v>15</v>
      </c>
      <c r="AE5" s="233" t="s">
        <v>16</v>
      </c>
      <c r="AF5" s="519" t="s">
        <v>25</v>
      </c>
      <c r="AG5" s="224" t="s">
        <v>26</v>
      </c>
      <c r="AH5" s="351" t="s">
        <v>27</v>
      </c>
      <c r="AI5" s="67" t="s">
        <v>86</v>
      </c>
      <c r="AJ5" s="67" t="s">
        <v>20</v>
      </c>
      <c r="AK5" s="68" t="s">
        <v>87</v>
      </c>
      <c r="AL5" s="68" t="s">
        <v>87</v>
      </c>
      <c r="AM5" s="67" t="s">
        <v>29</v>
      </c>
      <c r="AN5" s="218" t="s">
        <v>30</v>
      </c>
    </row>
    <row r="6" s="520" customFormat="true" ht="12.95" hidden="false" customHeight="true" outlineLevel="0" collapsed="false">
      <c r="A6" s="468" t="s">
        <v>119</v>
      </c>
      <c r="B6" s="464" t="s">
        <v>32</v>
      </c>
      <c r="C6" s="229" t="s">
        <v>9</v>
      </c>
      <c r="D6" s="233" t="s">
        <v>33</v>
      </c>
      <c r="E6" s="229" t="s">
        <v>34</v>
      </c>
      <c r="F6" s="518" t="s">
        <v>35</v>
      </c>
      <c r="G6" s="233" t="s">
        <v>36</v>
      </c>
      <c r="H6" s="235" t="s">
        <v>37</v>
      </c>
      <c r="I6" s="233" t="s">
        <v>38</v>
      </c>
      <c r="J6" s="233" t="s">
        <v>38</v>
      </c>
      <c r="K6" s="233" t="s">
        <v>38</v>
      </c>
      <c r="L6" s="233" t="s">
        <v>39</v>
      </c>
      <c r="M6" s="469" t="s">
        <v>40</v>
      </c>
      <c r="N6" s="233" t="s">
        <v>41</v>
      </c>
      <c r="O6" s="233" t="s">
        <v>42</v>
      </c>
      <c r="P6" s="233" t="s">
        <v>43</v>
      </c>
      <c r="Q6" s="233" t="s">
        <v>44</v>
      </c>
      <c r="R6" s="234" t="s">
        <v>45</v>
      </c>
      <c r="S6" s="420" t="s">
        <v>46</v>
      </c>
      <c r="T6" s="420" t="s">
        <v>47</v>
      </c>
      <c r="U6" s="420" t="s">
        <v>20</v>
      </c>
      <c r="V6" s="79" t="s">
        <v>57</v>
      </c>
      <c r="W6" s="229" t="s">
        <v>49</v>
      </c>
      <c r="X6" s="420" t="s">
        <v>50</v>
      </c>
      <c r="Y6" s="221"/>
      <c r="Z6" s="222"/>
      <c r="AA6" s="420" t="s">
        <v>53</v>
      </c>
      <c r="AB6" s="229" t="s">
        <v>54</v>
      </c>
      <c r="AC6" s="233" t="s">
        <v>55</v>
      </c>
      <c r="AD6" s="233" t="s">
        <v>55</v>
      </c>
      <c r="AE6" s="233" t="s">
        <v>55</v>
      </c>
      <c r="AF6" s="521"/>
      <c r="AG6" s="224" t="s">
        <v>56</v>
      </c>
      <c r="AH6" s="351" t="s">
        <v>56</v>
      </c>
      <c r="AI6" s="67" t="s">
        <v>57</v>
      </c>
      <c r="AJ6" s="67" t="s">
        <v>58</v>
      </c>
      <c r="AK6" s="68" t="s">
        <v>59</v>
      </c>
      <c r="AL6" s="68" t="s">
        <v>59</v>
      </c>
      <c r="AM6" s="67" t="s">
        <v>60</v>
      </c>
      <c r="AN6" s="218" t="s">
        <v>61</v>
      </c>
    </row>
    <row r="7" s="520" customFormat="true" ht="12.95" hidden="false" customHeight="true" outlineLevel="0" collapsed="false">
      <c r="A7" s="233"/>
      <c r="B7" s="464"/>
      <c r="C7" s="229"/>
      <c r="D7" s="233"/>
      <c r="E7" s="229" t="s">
        <v>62</v>
      </c>
      <c r="F7" s="518"/>
      <c r="G7" s="233"/>
      <c r="H7" s="235"/>
      <c r="I7" s="233"/>
      <c r="J7" s="233"/>
      <c r="K7" s="233"/>
      <c r="L7" s="233"/>
      <c r="M7" s="469"/>
      <c r="N7" s="233" t="s">
        <v>63</v>
      </c>
      <c r="O7" s="233" t="s">
        <v>64</v>
      </c>
      <c r="P7" s="233"/>
      <c r="Q7" s="233"/>
      <c r="R7" s="234" t="s">
        <v>42</v>
      </c>
      <c r="S7" s="420"/>
      <c r="T7" s="420"/>
      <c r="U7" s="420"/>
      <c r="V7" s="79"/>
      <c r="W7" s="79" t="s">
        <v>91</v>
      </c>
      <c r="X7" s="420"/>
      <c r="Y7" s="232"/>
      <c r="Z7" s="236"/>
      <c r="AA7" s="420"/>
      <c r="AB7" s="79"/>
      <c r="AC7" s="420"/>
      <c r="AD7" s="420"/>
      <c r="AE7" s="420"/>
      <c r="AF7" s="521"/>
      <c r="AG7" s="224"/>
      <c r="AH7" s="351"/>
      <c r="AI7" s="67" t="s">
        <v>62</v>
      </c>
      <c r="AJ7" s="67" t="s">
        <v>66</v>
      </c>
      <c r="AK7" s="68" t="s">
        <v>105</v>
      </c>
      <c r="AL7" s="68" t="s">
        <v>92</v>
      </c>
      <c r="AM7" s="67" t="s">
        <v>69</v>
      </c>
      <c r="AN7" s="218" t="s">
        <v>70</v>
      </c>
    </row>
    <row r="8" s="520" customFormat="true" ht="12.95" hidden="false" customHeight="true" outlineLevel="0" collapsed="false">
      <c r="A8" s="233"/>
      <c r="B8" s="464"/>
      <c r="C8" s="229"/>
      <c r="D8" s="233"/>
      <c r="E8" s="229"/>
      <c r="F8" s="518"/>
      <c r="G8" s="233"/>
      <c r="H8" s="235"/>
      <c r="I8" s="233"/>
      <c r="J8" s="233"/>
      <c r="K8" s="233"/>
      <c r="L8" s="233"/>
      <c r="M8" s="469"/>
      <c r="N8" s="543" t="n">
        <v>1.03</v>
      </c>
      <c r="O8" s="543" t="n">
        <v>1.05</v>
      </c>
      <c r="P8" s="239" t="n">
        <v>1.02</v>
      </c>
      <c r="Q8" s="543" t="n">
        <v>1.04</v>
      </c>
      <c r="R8" s="234" t="s">
        <v>52</v>
      </c>
      <c r="S8" s="233"/>
      <c r="T8" s="233"/>
      <c r="U8" s="233"/>
      <c r="V8" s="229"/>
      <c r="W8" s="229" t="s">
        <v>71</v>
      </c>
      <c r="X8" s="233"/>
      <c r="Y8" s="232"/>
      <c r="Z8" s="236"/>
      <c r="AA8" s="233"/>
      <c r="AB8" s="229"/>
      <c r="AC8" s="233"/>
      <c r="AD8" s="233"/>
      <c r="AE8" s="233"/>
      <c r="AF8" s="521"/>
      <c r="AG8" s="224"/>
      <c r="AH8" s="351"/>
      <c r="AI8" s="67"/>
      <c r="AJ8" s="67"/>
      <c r="AK8" s="68"/>
      <c r="AL8" s="68" t="s">
        <v>66</v>
      </c>
      <c r="AM8" s="522"/>
    </row>
    <row r="9" customFormat="false" ht="12.95" hidden="false" customHeight="true" outlineLevel="0" collapsed="false">
      <c r="A9" s="173" t="s">
        <v>73</v>
      </c>
      <c r="B9" s="544"/>
      <c r="C9" s="194"/>
      <c r="D9" s="194"/>
      <c r="E9" s="194"/>
      <c r="F9" s="545" t="n">
        <f aca="false">JUL!F47</f>
        <v>55758.0035291152</v>
      </c>
      <c r="G9" s="194" t="n">
        <f aca="false">JUL!G47</f>
        <v>167801</v>
      </c>
      <c r="H9" s="194" t="n">
        <f aca="false">JUL!H47</f>
        <v>12701.54</v>
      </c>
      <c r="I9" s="194" t="n">
        <f aca="false">JUL!I47</f>
        <v>180502.54</v>
      </c>
      <c r="J9" s="194" t="n">
        <f aca="false">JUL!J47</f>
        <v>35893.5695462566</v>
      </c>
      <c r="K9" s="194" t="n">
        <f aca="false">JUL!K47</f>
        <v>216396.109546257</v>
      </c>
      <c r="L9" s="194" t="n">
        <f aca="false">JUL!L47</f>
        <v>34634.9335291152</v>
      </c>
      <c r="M9" s="546" t="n">
        <f aca="false">JUL!M47</f>
        <v>26621.5</v>
      </c>
      <c r="N9" s="194" t="n">
        <f aca="false">JUL!N47</f>
        <v>198.996</v>
      </c>
      <c r="O9" s="194" t="n">
        <f aca="false">JUL!O47</f>
        <v>8365.674</v>
      </c>
      <c r="P9" s="196"/>
      <c r="Q9" s="196"/>
      <c r="R9" s="547"/>
      <c r="S9" s="194" t="n">
        <f aca="false">JUL!S47</f>
        <v>12738.25</v>
      </c>
      <c r="T9" s="194" t="n">
        <f aca="false">JUL!T47</f>
        <v>6731.4</v>
      </c>
      <c r="U9" s="194" t="n">
        <f aca="false">JUL!U47</f>
        <v>36143.6592</v>
      </c>
      <c r="V9" s="194" t="n">
        <f aca="false">JUL!V47</f>
        <v>0</v>
      </c>
      <c r="W9" s="194" t="n">
        <f aca="false">JUL!W42</f>
        <v>11107.6464523286</v>
      </c>
      <c r="X9" s="194" t="n">
        <f aca="false">JUL!X47</f>
        <v>13299.8</v>
      </c>
      <c r="Y9" s="546" t="n">
        <f aca="false">JUL!Y47</f>
        <v>207.4</v>
      </c>
      <c r="Z9" s="548" t="n">
        <f aca="false">JUL!Z47</f>
        <v>158.6</v>
      </c>
      <c r="AA9" s="194"/>
      <c r="AB9" s="194"/>
      <c r="AC9" s="194" t="n">
        <f aca="false">JUL!AC47</f>
        <v>159379.47</v>
      </c>
      <c r="AD9" s="194" t="n">
        <f aca="false">JUL!AD47</f>
        <v>1258.63601714142</v>
      </c>
      <c r="AE9" s="194" t="n">
        <f aca="false">JUL!AE47</f>
        <v>160638.106017141</v>
      </c>
      <c r="AF9" s="357"/>
      <c r="AG9" s="348"/>
      <c r="AH9" s="549"/>
      <c r="AI9" s="359"/>
      <c r="AJ9" s="359"/>
      <c r="AK9" s="297"/>
      <c r="AL9" s="196" t="n">
        <f aca="false">JUL!AL48</f>
        <v>295.992887218748</v>
      </c>
      <c r="AM9" s="244" t="n">
        <f aca="false">JUL!AM47</f>
        <v>241.89</v>
      </c>
      <c r="AN9" s="244" t="n">
        <f aca="false">JUL!AN47</f>
        <v>303.01</v>
      </c>
    </row>
    <row r="10" s="157" customFormat="true" ht="12.95" hidden="false" customHeight="true" outlineLevel="0" collapsed="false">
      <c r="A10" s="251" t="s">
        <v>74</v>
      </c>
      <c r="B10" s="550" t="n">
        <f aca="false">JUL!B42</f>
        <v>6916.92</v>
      </c>
      <c r="C10" s="194" t="n">
        <f aca="false">JUL!C42</f>
        <v>350417</v>
      </c>
      <c r="D10" s="194" t="n">
        <f aca="false">JUL!D51</f>
        <v>143171</v>
      </c>
      <c r="E10" s="194" t="n">
        <f aca="false">JUL!E51</f>
        <v>198417</v>
      </c>
      <c r="F10" s="545" t="n">
        <f aca="false">JUL!F50</f>
        <v>72180.9931938493</v>
      </c>
      <c r="G10" s="194" t="n">
        <f aca="false">JUL!G50</f>
        <v>184259</v>
      </c>
      <c r="H10" s="348" t="n">
        <f aca="false">JUL!H50</f>
        <v>15091.08</v>
      </c>
      <c r="I10" s="194" t="n">
        <f aca="false">JUL!I50</f>
        <v>199350.08</v>
      </c>
      <c r="J10" s="194" t="n">
        <f aca="false">JUL!J50</f>
        <v>46355.0746508697</v>
      </c>
      <c r="K10" s="194" t="n">
        <f aca="false">JUL!K50</f>
        <v>245705.15465087</v>
      </c>
      <c r="L10" s="194" t="n">
        <f aca="false">JUL!L50</f>
        <v>44551.1831938493</v>
      </c>
      <c r="M10" s="546" t="n">
        <f aca="false">JUL!M50</f>
        <v>27417.5</v>
      </c>
      <c r="N10" s="194" t="n">
        <f aca="false">JUL!N50</f>
        <v>198.996</v>
      </c>
      <c r="O10" s="194" t="n">
        <f aca="false">JUL!O50</f>
        <v>8365.674</v>
      </c>
      <c r="P10" s="194" t="n">
        <f aca="false">JUL!P50</f>
        <v>480.8956</v>
      </c>
      <c r="Q10" s="194" t="n">
        <f aca="false">JUL!Q50</f>
        <v>842.4888</v>
      </c>
      <c r="R10" s="551" t="n">
        <f aca="false">JUL!R50</f>
        <v>331.6</v>
      </c>
      <c r="S10" s="194" t="n">
        <f aca="false">JUL!S50</f>
        <v>20207.25</v>
      </c>
      <c r="T10" s="194" t="n">
        <f aca="false">JUL!T50</f>
        <v>6765.2</v>
      </c>
      <c r="U10" s="194" t="n">
        <f aca="false">JUL!U50</f>
        <v>43858.8156</v>
      </c>
      <c r="V10" s="194"/>
      <c r="W10" s="194"/>
      <c r="X10" s="194" t="n">
        <f aca="false">JUL!X50</f>
        <v>0</v>
      </c>
      <c r="Y10" s="245"/>
      <c r="Z10" s="246"/>
      <c r="AA10" s="194" t="n">
        <f aca="false">JUL!AA50</f>
        <v>104342</v>
      </c>
      <c r="AB10" s="194" t="n">
        <f aca="false">JUL!AB50</f>
        <v>11632.433072851</v>
      </c>
      <c r="AC10" s="194" t="n">
        <f aca="false">JUL!AC50</f>
        <v>171720.27</v>
      </c>
      <c r="AD10" s="194" t="n">
        <f aca="false">JUL!AD50</f>
        <v>1803.89145702042</v>
      </c>
      <c r="AE10" s="194" t="n">
        <f aca="false">JUL!AE50</f>
        <v>173524.16145702</v>
      </c>
      <c r="AF10" s="248" t="n">
        <f aca="false">JUL!AF50</f>
        <v>13.83</v>
      </c>
      <c r="AG10" s="348"/>
      <c r="AH10" s="549"/>
      <c r="AI10" s="348" t="n">
        <f aca="false">JUL!AI51</f>
        <v>16467.3080282</v>
      </c>
      <c r="AJ10" s="348" t="n">
        <f aca="false">JUL!AJ50</f>
        <v>0</v>
      </c>
      <c r="AK10" s="356"/>
      <c r="AL10" s="196" t="n">
        <f aca="false">JUL!AL51</f>
        <v>295.992887218748</v>
      </c>
      <c r="AM10" s="348" t="n">
        <f aca="false">JUL!AM50</f>
        <v>0</v>
      </c>
      <c r="AN10" s="348" t="n">
        <f aca="false">JUL!AN50</f>
        <v>0</v>
      </c>
    </row>
    <row r="11" customFormat="false" ht="3" hidden="false" customHeight="true" outlineLevel="0" collapsed="false">
      <c r="A11" s="254"/>
      <c r="B11" s="552"/>
      <c r="C11" s="553"/>
      <c r="D11" s="386"/>
      <c r="E11" s="553"/>
      <c r="F11" s="554"/>
      <c r="G11" s="386"/>
      <c r="H11" s="555"/>
      <c r="I11" s="386"/>
      <c r="J11" s="386"/>
      <c r="K11" s="386"/>
      <c r="L11" s="386"/>
      <c r="M11" s="556"/>
      <c r="N11" s="386"/>
      <c r="O11" s="386"/>
      <c r="P11" s="557"/>
      <c r="Q11" s="557"/>
      <c r="R11" s="558"/>
      <c r="S11" s="386"/>
      <c r="T11" s="386"/>
      <c r="U11" s="386"/>
      <c r="V11" s="553"/>
      <c r="W11" s="553"/>
      <c r="X11" s="386"/>
      <c r="Y11" s="260"/>
      <c r="Z11" s="261"/>
      <c r="AA11" s="386"/>
      <c r="AB11" s="553"/>
      <c r="AC11" s="386"/>
      <c r="AD11" s="386"/>
      <c r="AE11" s="386"/>
      <c r="AF11" s="559"/>
      <c r="AG11" s="560"/>
      <c r="AH11" s="561"/>
      <c r="AI11" s="387"/>
      <c r="AJ11" s="387"/>
      <c r="AK11" s="387"/>
      <c r="AL11" s="562"/>
      <c r="AM11" s="563"/>
      <c r="AN11" s="563"/>
    </row>
    <row r="12" customFormat="false" ht="12.95" hidden="false" customHeight="true" outlineLevel="0" collapsed="false">
      <c r="A12" s="172" t="n">
        <v>1</v>
      </c>
      <c r="B12" s="550" t="n">
        <v>6916.67</v>
      </c>
      <c r="C12" s="194" t="n">
        <v>349365</v>
      </c>
      <c r="D12" s="348" t="n">
        <f aca="false">C12-C10</f>
        <v>-1052</v>
      </c>
      <c r="E12" s="194" t="n">
        <f aca="false">C12-152000</f>
        <v>197365</v>
      </c>
      <c r="F12" s="564" t="n">
        <f aca="false">D12/$D$2</f>
        <v>-530.375598689186</v>
      </c>
      <c r="G12" s="187" t="n">
        <v>151</v>
      </c>
      <c r="H12" s="192" t="n">
        <v>1.2</v>
      </c>
      <c r="I12" s="187" t="n">
        <f aca="false">G12+H12</f>
        <v>152.2</v>
      </c>
      <c r="J12" s="195" t="n">
        <f aca="false">IF(L12&gt;0,L12,0)</f>
        <v>0</v>
      </c>
      <c r="K12" s="187" t="n">
        <f aca="false">I12+J12</f>
        <v>152.2</v>
      </c>
      <c r="L12" s="187" t="n">
        <f aca="false">F12-(I12-AC12)</f>
        <v>-45.5755986891857</v>
      </c>
      <c r="M12" s="565" t="n">
        <v>230</v>
      </c>
      <c r="N12" s="267" t="n">
        <f aca="false">2.1*1.03</f>
        <v>2.163</v>
      </c>
      <c r="O12" s="187" t="n">
        <f aca="false">(40+40)*1.05</f>
        <v>84</v>
      </c>
      <c r="P12" s="196" t="n">
        <f aca="false">2.24*1.02</f>
        <v>2.2848</v>
      </c>
      <c r="Q12" s="566" t="n">
        <v>4.2</v>
      </c>
      <c r="R12" s="567" t="n">
        <v>3.09</v>
      </c>
      <c r="S12" s="187" t="n">
        <v>88</v>
      </c>
      <c r="T12" s="187" t="n">
        <v>74</v>
      </c>
      <c r="U12" s="568" t="n">
        <f aca="false">M12-N12-O12-P12-Q12-R12+S12+T12</f>
        <v>296.2622</v>
      </c>
      <c r="V12" s="194" t="n">
        <f aca="false">V9</f>
        <v>0</v>
      </c>
      <c r="W12" s="194" t="n">
        <f aca="false">W9+AK12-(AL12/1.9835)+AM12</f>
        <v>10977.8443531522</v>
      </c>
      <c r="X12" s="187" t="n">
        <v>152</v>
      </c>
      <c r="Y12" s="269" t="n">
        <v>1.7</v>
      </c>
      <c r="Z12" s="270" t="n">
        <v>1.3</v>
      </c>
      <c r="AA12" s="187" t="n">
        <v>93</v>
      </c>
      <c r="AB12" s="194" t="n">
        <f aca="false">AB10-AA12</f>
        <v>11539.433072851</v>
      </c>
      <c r="AC12" s="31" t="n">
        <f aca="false">N12+O12+P12+Q12+R12+U12+X12+AA12</f>
        <v>637</v>
      </c>
      <c r="AD12" s="187" t="n">
        <f aca="false">IF(L12&lt;0,L12*-1,0)</f>
        <v>45.5755986891857</v>
      </c>
      <c r="AE12" s="187" t="n">
        <f aca="false">AC12+AD12</f>
        <v>682.575598689186</v>
      </c>
      <c r="AF12" s="357" t="n">
        <v>0.08</v>
      </c>
      <c r="AG12" s="348" t="n">
        <v>88</v>
      </c>
      <c r="AH12" s="549" t="n">
        <v>59</v>
      </c>
      <c r="AI12" s="244" t="n">
        <f aca="false">AI10</f>
        <v>16467.3080282</v>
      </c>
      <c r="AJ12" s="359"/>
      <c r="AK12" s="247" t="n">
        <f aca="false">(I12-P12-Q12-Y12)-U12</f>
        <v>-152.247</v>
      </c>
      <c r="AL12" s="39" t="n">
        <f aca="false">45.4*(V9*1.9835+W9*1.9835)/E12</f>
        <v>5.06803921624399</v>
      </c>
      <c r="AM12" s="569" t="n">
        <v>25</v>
      </c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2.95" hidden="false" customHeight="true" outlineLevel="0" collapsed="false">
      <c r="A13" s="172" t="n">
        <f aca="false">A12+1</f>
        <v>2</v>
      </c>
      <c r="B13" s="550" t="n">
        <v>6916.41</v>
      </c>
      <c r="C13" s="194" t="n">
        <v>348272</v>
      </c>
      <c r="D13" s="348" t="n">
        <f aca="false">C13-C12</f>
        <v>-1093</v>
      </c>
      <c r="E13" s="194" t="n">
        <f aca="false">C13-152000</f>
        <v>196272</v>
      </c>
      <c r="F13" s="564" t="n">
        <f aca="false">D13/$D$2</f>
        <v>-551.046130577262</v>
      </c>
      <c r="G13" s="187" t="n">
        <v>152</v>
      </c>
      <c r="H13" s="192" t="n">
        <v>1.3</v>
      </c>
      <c r="I13" s="187" t="n">
        <f aca="false">G13+H13</f>
        <v>153.3</v>
      </c>
      <c r="J13" s="195" t="n">
        <f aca="false">IF(L13&gt;0,L13,0)</f>
        <v>0</v>
      </c>
      <c r="K13" s="187" t="n">
        <f aca="false">I13+J13</f>
        <v>153.3</v>
      </c>
      <c r="L13" s="187" t="n">
        <f aca="false">F13-(I13-AC13)</f>
        <v>-50.3461305772624</v>
      </c>
      <c r="M13" s="565" t="n">
        <v>249</v>
      </c>
      <c r="N13" s="267" t="n">
        <f aca="false">2.1*1.03</f>
        <v>2.163</v>
      </c>
      <c r="O13" s="187" t="n">
        <f aca="false">(40+41)*1.05</f>
        <v>85.05</v>
      </c>
      <c r="P13" s="196" t="n">
        <f aca="false">2.24*1.02</f>
        <v>2.2848</v>
      </c>
      <c r="Q13" s="566" t="n">
        <v>4.2</v>
      </c>
      <c r="R13" s="567" t="n">
        <v>2.83</v>
      </c>
      <c r="S13" s="187" t="n">
        <v>89</v>
      </c>
      <c r="T13" s="187" t="n">
        <v>73</v>
      </c>
      <c r="U13" s="187" t="n">
        <f aca="false">M13-N13-O13-P13-Q13-R13+S13+T13</f>
        <v>314.4722</v>
      </c>
      <c r="V13" s="194" t="n">
        <f aca="false">V12</f>
        <v>0</v>
      </c>
      <c r="W13" s="194" t="n">
        <f aca="false">W12+AK13-(AL13/1.9835)+AM13</f>
        <v>10830.9480498709</v>
      </c>
      <c r="X13" s="187" t="n">
        <v>150</v>
      </c>
      <c r="Y13" s="269" t="n">
        <v>1.7</v>
      </c>
      <c r="Z13" s="270" t="n">
        <v>1.3</v>
      </c>
      <c r="AA13" s="187" t="n">
        <v>93</v>
      </c>
      <c r="AB13" s="194" t="n">
        <f aca="false">AB12-AA13</f>
        <v>11446.433072851</v>
      </c>
      <c r="AC13" s="31" t="n">
        <f aca="false">N13+O13+P13+Q13+R13+U13+X13+AA13</f>
        <v>654</v>
      </c>
      <c r="AD13" s="187" t="n">
        <f aca="false">IF(L13&lt;0,L13*-1,0)</f>
        <v>50.3461305772624</v>
      </c>
      <c r="AE13" s="187" t="n">
        <f aca="false">AC13+AD13</f>
        <v>704.346130577262</v>
      </c>
      <c r="AF13" s="357" t="n">
        <v>0</v>
      </c>
      <c r="AG13" s="348" t="n">
        <v>85</v>
      </c>
      <c r="AH13" s="549" t="n">
        <v>57</v>
      </c>
      <c r="AI13" s="244" t="n">
        <f aca="false">AI12</f>
        <v>16467.3080282</v>
      </c>
      <c r="AJ13" s="359"/>
      <c r="AK13" s="247" t="n">
        <f aca="false">(I13-P13-Q13-Y13)-U13</f>
        <v>-169.357</v>
      </c>
      <c r="AL13" s="39" t="n">
        <f aca="false">45.4*(V12*1.9835+W12*1.9835)/E13</f>
        <v>5.03670805851714</v>
      </c>
      <c r="AM13" s="569" t="n">
        <v>25</v>
      </c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2.95" hidden="false" customHeight="true" outlineLevel="0" collapsed="false">
      <c r="A14" s="172" t="n">
        <f aca="false">A13+1</f>
        <v>3</v>
      </c>
      <c r="B14" s="550" t="n">
        <v>6916.19</v>
      </c>
      <c r="C14" s="194" t="n">
        <v>347346</v>
      </c>
      <c r="D14" s="348" t="n">
        <f aca="false">C14-C13</f>
        <v>-926</v>
      </c>
      <c r="E14" s="194" t="n">
        <f aca="false">C14-152000</f>
        <v>195346</v>
      </c>
      <c r="F14" s="564" t="n">
        <f aca="false">D14/$D$2</f>
        <v>-466.851525081926</v>
      </c>
      <c r="G14" s="187" t="n">
        <v>147</v>
      </c>
      <c r="H14" s="192" t="n">
        <v>1.2</v>
      </c>
      <c r="I14" s="187" t="n">
        <f aca="false">G14+H14</f>
        <v>148.2</v>
      </c>
      <c r="J14" s="195" t="n">
        <f aca="false">IF(L14&gt;0,L14,0)</f>
        <v>56.9484749180741</v>
      </c>
      <c r="K14" s="187" t="n">
        <f aca="false">I14+J14</f>
        <v>205.148474918074</v>
      </c>
      <c r="L14" s="187" t="n">
        <f aca="false">F14-(I14-AC14)</f>
        <v>56.9484749180741</v>
      </c>
      <c r="M14" s="565" t="n">
        <v>254</v>
      </c>
      <c r="N14" s="267" t="n">
        <f aca="false">2.1*1.03</f>
        <v>2.163</v>
      </c>
      <c r="O14" s="187" t="n">
        <f aca="false">(47+48)*1.05</f>
        <v>99.75</v>
      </c>
      <c r="P14" s="196" t="n">
        <f aca="false">2.24*1.02</f>
        <v>2.2848</v>
      </c>
      <c r="Q14" s="566" t="n">
        <v>4.2</v>
      </c>
      <c r="R14" s="567" t="n">
        <v>4.08</v>
      </c>
      <c r="S14" s="187" t="n">
        <v>91</v>
      </c>
      <c r="T14" s="187" t="n">
        <v>73</v>
      </c>
      <c r="U14" s="187" t="n">
        <f aca="false">M14-N14-O14-P14-Q14-R14+S14+T14</f>
        <v>305.5222</v>
      </c>
      <c r="V14" s="194" t="n">
        <f aca="false">V13</f>
        <v>0</v>
      </c>
      <c r="W14" s="194" t="n">
        <f aca="false">W13+AK14-(AL14/1.9835)+AM14</f>
        <v>10687.9238494088</v>
      </c>
      <c r="X14" s="187" t="n">
        <v>162</v>
      </c>
      <c r="Y14" s="269" t="n">
        <v>1.7</v>
      </c>
      <c r="Z14" s="270" t="n">
        <v>1.3</v>
      </c>
      <c r="AA14" s="187" t="n">
        <v>92</v>
      </c>
      <c r="AB14" s="194" t="n">
        <f aca="false">AB13-AA14</f>
        <v>11354.433072851</v>
      </c>
      <c r="AC14" s="31" t="n">
        <f aca="false">N14+O14+P14+Q14+R14+U14+X14+AA14</f>
        <v>672</v>
      </c>
      <c r="AD14" s="187" t="n">
        <f aca="false">IF(L14&lt;0,L14*-1,0)</f>
        <v>0</v>
      </c>
      <c r="AE14" s="187" t="n">
        <f aca="false">AC14+AD14</f>
        <v>672</v>
      </c>
      <c r="AF14" s="357" t="n">
        <v>0</v>
      </c>
      <c r="AG14" s="348" t="n">
        <v>84</v>
      </c>
      <c r="AH14" s="549" t="n">
        <v>56</v>
      </c>
      <c r="AI14" s="244" t="n">
        <f aca="false">AI13</f>
        <v>16467.3080282</v>
      </c>
      <c r="AJ14" s="359"/>
      <c r="AK14" s="247" t="n">
        <f aca="false">(I14-P14-Q14-Y14)-U14</f>
        <v>-165.507</v>
      </c>
      <c r="AL14" s="39" t="n">
        <f aca="false">45.4*(V13*1.9835+W13*1.9835)/E14</f>
        <v>4.99286711652207</v>
      </c>
      <c r="AM14" s="569" t="n">
        <v>25</v>
      </c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2.95" hidden="false" customHeight="true" outlineLevel="0" collapsed="false">
      <c r="A15" s="172" t="n">
        <f aca="false">A14+1</f>
        <v>4</v>
      </c>
      <c r="B15" s="550" t="n">
        <v>6915.97</v>
      </c>
      <c r="C15" s="194" t="n">
        <v>346421</v>
      </c>
      <c r="D15" s="348" t="n">
        <f aca="false">C15-C14</f>
        <v>-925</v>
      </c>
      <c r="E15" s="194" t="n">
        <f aca="false">C15-152000</f>
        <v>194421</v>
      </c>
      <c r="F15" s="564" t="n">
        <f aca="false">D15/$D$2</f>
        <v>-466.347365767583</v>
      </c>
      <c r="G15" s="187" t="n">
        <v>148</v>
      </c>
      <c r="H15" s="192" t="n">
        <v>1.4</v>
      </c>
      <c r="I15" s="187" t="n">
        <f aca="false">G15+H15</f>
        <v>149.4</v>
      </c>
      <c r="J15" s="195" t="n">
        <f aca="false">IF(L15&gt;0,L15,0)</f>
        <v>24.2526342324174</v>
      </c>
      <c r="K15" s="187" t="n">
        <f aca="false">I15+J15</f>
        <v>173.652634232417</v>
      </c>
      <c r="L15" s="187" t="n">
        <f aca="false">F15-(I15-AC15)</f>
        <v>24.2526342324174</v>
      </c>
      <c r="M15" s="565" t="n">
        <v>235</v>
      </c>
      <c r="N15" s="267" t="n">
        <f aca="false">2.1*1.03</f>
        <v>2.163</v>
      </c>
      <c r="O15" s="187" t="n">
        <f aca="false">(43+42)*1.05</f>
        <v>89.25</v>
      </c>
      <c r="P15" s="196" t="n">
        <f aca="false">2.24*1.02</f>
        <v>2.2848</v>
      </c>
      <c r="Q15" s="566" t="n">
        <v>4.2</v>
      </c>
      <c r="R15" s="567" t="n">
        <v>4.19</v>
      </c>
      <c r="S15" s="187" t="n">
        <v>90</v>
      </c>
      <c r="T15" s="187" t="n">
        <v>73</v>
      </c>
      <c r="U15" s="187" t="n">
        <f aca="false">M15-N15-O15-P15-Q15-R15+S15+T15</f>
        <v>295.9122</v>
      </c>
      <c r="V15" s="194" t="n">
        <f aca="false">V14</f>
        <v>0</v>
      </c>
      <c r="W15" s="194" t="n">
        <f aca="false">W14+AK15-(AL15/1.9835)+AM15</f>
        <v>10555.7310709551</v>
      </c>
      <c r="X15" s="187" t="n">
        <v>149</v>
      </c>
      <c r="Y15" s="269" t="n">
        <v>1.7</v>
      </c>
      <c r="Z15" s="270" t="n">
        <v>1.3</v>
      </c>
      <c r="AA15" s="187" t="n">
        <v>93</v>
      </c>
      <c r="AB15" s="194" t="n">
        <f aca="false">AB14-AA15</f>
        <v>11261.433072851</v>
      </c>
      <c r="AC15" s="31" t="n">
        <f aca="false">N15+O15+P15+Q15+R15+U15+X15+AA15</f>
        <v>640</v>
      </c>
      <c r="AD15" s="187" t="n">
        <f aca="false">IF(L15&lt;0,L15*-1,0)</f>
        <v>0</v>
      </c>
      <c r="AE15" s="187" t="n">
        <f aca="false">AC15+AD15</f>
        <v>640</v>
      </c>
      <c r="AF15" s="357" t="n">
        <v>0.13</v>
      </c>
      <c r="AG15" s="348" t="n">
        <v>81</v>
      </c>
      <c r="AH15" s="549" t="n">
        <v>55</v>
      </c>
      <c r="AI15" s="244" t="n">
        <f aca="false">AI14</f>
        <v>16467.3080282</v>
      </c>
      <c r="AJ15" s="359"/>
      <c r="AK15" s="247" t="n">
        <f aca="false">(I15-P15-Q15-Y15)-U15</f>
        <v>-154.697</v>
      </c>
      <c r="AL15" s="39" t="n">
        <f aca="false">45.4*(V14*1.9835+W14*1.9835)/E15</f>
        <v>4.95037656308079</v>
      </c>
      <c r="AM15" s="569" t="n">
        <v>25</v>
      </c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2.95" hidden="false" customHeight="true" outlineLevel="0" collapsed="false">
      <c r="A16" s="172" t="n">
        <f aca="false">A15+1</f>
        <v>5</v>
      </c>
      <c r="B16" s="550" t="n">
        <v>6915.74</v>
      </c>
      <c r="C16" s="194" t="n">
        <v>345461</v>
      </c>
      <c r="D16" s="348" t="n">
        <f aca="false">C16-C15</f>
        <v>-960</v>
      </c>
      <c r="E16" s="194" t="n">
        <f aca="false">C16-152000</f>
        <v>193461</v>
      </c>
      <c r="F16" s="564" t="n">
        <f aca="false">D16/$D$2</f>
        <v>-483.992941769599</v>
      </c>
      <c r="G16" s="187" t="n">
        <v>155</v>
      </c>
      <c r="H16" s="192" t="n">
        <v>1.6</v>
      </c>
      <c r="I16" s="187" t="n">
        <f aca="false">G16+H16</f>
        <v>156.6</v>
      </c>
      <c r="J16" s="195" t="n">
        <f aca="false">IF(L16&gt;0,L16,0)</f>
        <v>33.4070582304008</v>
      </c>
      <c r="K16" s="187" t="n">
        <f aca="false">I16+J16</f>
        <v>190.007058230401</v>
      </c>
      <c r="L16" s="187" t="n">
        <f aca="false">F16-(I16-AC16)</f>
        <v>33.4070582304008</v>
      </c>
      <c r="M16" s="565" t="n">
        <v>232</v>
      </c>
      <c r="N16" s="267" t="n">
        <f aca="false">2.1*1.03</f>
        <v>2.163</v>
      </c>
      <c r="O16" s="187" t="n">
        <f aca="false">(42+43)*1.05</f>
        <v>89.25</v>
      </c>
      <c r="P16" s="196" t="n">
        <f aca="false">2.24*1.02</f>
        <v>2.2848</v>
      </c>
      <c r="Q16" s="566" t="n">
        <v>4.2</v>
      </c>
      <c r="R16" s="567" t="n">
        <v>1.52</v>
      </c>
      <c r="S16" s="187" t="n">
        <v>94</v>
      </c>
      <c r="T16" s="187" t="n">
        <v>73</v>
      </c>
      <c r="U16" s="187" t="n">
        <f aca="false">M16-N16-O16-P16-Q16-R16+S16+T16</f>
        <v>299.5822</v>
      </c>
      <c r="V16" s="194" t="n">
        <f aca="false">V15</f>
        <v>0</v>
      </c>
      <c r="W16" s="194" t="n">
        <f aca="false">W15+AK16-(AL16/1.9835)+AM16</f>
        <v>10427.0869298743</v>
      </c>
      <c r="X16" s="187" t="n">
        <v>182</v>
      </c>
      <c r="Y16" s="269" t="n">
        <v>1.7</v>
      </c>
      <c r="Z16" s="270" t="n">
        <v>1.3</v>
      </c>
      <c r="AA16" s="187" t="n">
        <v>93</v>
      </c>
      <c r="AB16" s="194" t="n">
        <f aca="false">AB15-AA16</f>
        <v>11168.433072851</v>
      </c>
      <c r="AC16" s="31" t="n">
        <f aca="false">N16+O16+P16+Q16+R16+U16+X16+AA16</f>
        <v>674</v>
      </c>
      <c r="AD16" s="187" t="n">
        <f aca="false">IF(L16&lt;0,L16*-1,0)</f>
        <v>0</v>
      </c>
      <c r="AE16" s="187" t="n">
        <f aca="false">AC16+AD16</f>
        <v>674</v>
      </c>
      <c r="AF16" s="357" t="n">
        <v>0</v>
      </c>
      <c r="AG16" s="348" t="n">
        <v>79</v>
      </c>
      <c r="AH16" s="549" t="n">
        <v>57</v>
      </c>
      <c r="AI16" s="244" t="n">
        <f aca="false">AI15</f>
        <v>16467.3080282</v>
      </c>
      <c r="AJ16" s="359"/>
      <c r="AK16" s="247" t="n">
        <f aca="false">(I16-P16-Q16-Y16)-U16</f>
        <v>-151.167</v>
      </c>
      <c r="AL16" s="39" t="n">
        <f aca="false">45.4*(V15*1.9835+W15*1.9835)/E16</f>
        <v>4.91340933365105</v>
      </c>
      <c r="AM16" s="569" t="n">
        <v>25</v>
      </c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2.95" hidden="false" customHeight="true" outlineLevel="0" collapsed="false">
      <c r="A17" s="172" t="n">
        <f aca="false">A16+1</f>
        <v>6</v>
      </c>
      <c r="B17" s="550" t="n">
        <v>6915.52</v>
      </c>
      <c r="C17" s="194" t="n">
        <v>344543</v>
      </c>
      <c r="D17" s="348" t="n">
        <f aca="false">C17-C16</f>
        <v>-918</v>
      </c>
      <c r="E17" s="194" t="n">
        <f aca="false">C17-152000</f>
        <v>192543</v>
      </c>
      <c r="F17" s="564" t="n">
        <f aca="false">D17/$D$2</f>
        <v>-462.818250567179</v>
      </c>
      <c r="G17" s="187" t="n">
        <v>165</v>
      </c>
      <c r="H17" s="192" t="n">
        <v>1.6</v>
      </c>
      <c r="I17" s="187" t="n">
        <f aca="false">G17+H17</f>
        <v>166.6</v>
      </c>
      <c r="J17" s="195" t="n">
        <f aca="false">IF(L17&gt;0,L17,0)</f>
        <v>0</v>
      </c>
      <c r="K17" s="187" t="n">
        <f aca="false">I17+J17</f>
        <v>166.6</v>
      </c>
      <c r="L17" s="187" t="n">
        <f aca="false">F17-(I17-AC17)</f>
        <v>-8.41825056717926</v>
      </c>
      <c r="M17" s="565" t="n">
        <v>195</v>
      </c>
      <c r="N17" s="267" t="n">
        <f aca="false">2.1*1.03</f>
        <v>2.163</v>
      </c>
      <c r="O17" s="187" t="n">
        <f aca="false">(31+31)*1.05</f>
        <v>65.1</v>
      </c>
      <c r="P17" s="196" t="n">
        <f aca="false">2.24*1.02</f>
        <v>2.2848</v>
      </c>
      <c r="Q17" s="566" t="n">
        <v>4.2</v>
      </c>
      <c r="R17" s="567" t="n">
        <v>0.58</v>
      </c>
      <c r="S17" s="187" t="n">
        <v>96</v>
      </c>
      <c r="T17" s="187" t="n">
        <v>72</v>
      </c>
      <c r="U17" s="187" t="n">
        <f aca="false">M17-N17-O17-P17-Q17-R17+S17+T17</f>
        <v>288.6722</v>
      </c>
      <c r="V17" s="194" t="n">
        <f aca="false">V16</f>
        <v>0</v>
      </c>
      <c r="W17" s="194" t="n">
        <f aca="false">W16+AK17-(AL17/1.9835)+AM17</f>
        <v>10319.3713115573</v>
      </c>
      <c r="X17" s="187" t="n">
        <v>165</v>
      </c>
      <c r="Y17" s="269" t="n">
        <v>1.7</v>
      </c>
      <c r="Z17" s="270" t="n">
        <v>1.3</v>
      </c>
      <c r="AA17" s="187" t="n">
        <v>93</v>
      </c>
      <c r="AB17" s="194" t="n">
        <f aca="false">AB16-AA17</f>
        <v>11075.433072851</v>
      </c>
      <c r="AC17" s="31" t="n">
        <f aca="false">N17+O17+P17+Q17+R17+U17+X17+AA17</f>
        <v>621</v>
      </c>
      <c r="AD17" s="187" t="n">
        <f aca="false">IF(L17&lt;0,L17*-1,0)</f>
        <v>8.41825056717926</v>
      </c>
      <c r="AE17" s="187" t="n">
        <f aca="false">AC17+AD17</f>
        <v>629.418250567179</v>
      </c>
      <c r="AF17" s="357" t="n">
        <v>0.05</v>
      </c>
      <c r="AG17" s="348" t="n">
        <v>78</v>
      </c>
      <c r="AH17" s="549" t="n">
        <v>57</v>
      </c>
      <c r="AI17" s="244" t="n">
        <f aca="false">AI16</f>
        <v>16467.3080282</v>
      </c>
      <c r="AJ17" s="359"/>
      <c r="AK17" s="247" t="n">
        <f aca="false">(I17-P17-Q17-Y17)-U17</f>
        <v>-130.257</v>
      </c>
      <c r="AL17" s="39" t="n">
        <f aca="false">45.4*(V16*1.9835+W16*1.9835)/E17</f>
        <v>4.87666943183299</v>
      </c>
      <c r="AM17" s="569" t="n">
        <v>25</v>
      </c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2.95" hidden="false" customHeight="true" outlineLevel="0" collapsed="false">
      <c r="A18" s="172" t="n">
        <f aca="false">A17+1</f>
        <v>7</v>
      </c>
      <c r="B18" s="550" t="n">
        <v>6915.39</v>
      </c>
      <c r="C18" s="194" t="n">
        <v>344000</v>
      </c>
      <c r="D18" s="348" t="n">
        <f aca="false">C18-C17</f>
        <v>-543</v>
      </c>
      <c r="E18" s="194" t="n">
        <f aca="false">C18-152000</f>
        <v>192000</v>
      </c>
      <c r="F18" s="564" t="n">
        <f aca="false">D18/$D$2</f>
        <v>-273.758507688429</v>
      </c>
      <c r="G18" s="187" t="n">
        <v>193</v>
      </c>
      <c r="H18" s="192" t="n">
        <v>1.3</v>
      </c>
      <c r="I18" s="187" t="n">
        <f aca="false">G18+H18</f>
        <v>194.3</v>
      </c>
      <c r="J18" s="195" t="n">
        <f aca="false">IF(L18&gt;0,L18,0)</f>
        <v>117.94149231157</v>
      </c>
      <c r="K18" s="187" t="n">
        <f aca="false">I18+J18</f>
        <v>312.24149231157</v>
      </c>
      <c r="L18" s="187" t="n">
        <f aca="false">F18-(I18-AC18)</f>
        <v>117.94149231157</v>
      </c>
      <c r="M18" s="565" t="n">
        <v>164</v>
      </c>
      <c r="N18" s="267" t="n">
        <f aca="false">2.1*1.03</f>
        <v>2.163</v>
      </c>
      <c r="O18" s="187" t="n">
        <f aca="false">(22+23)*1.05</f>
        <v>47.25</v>
      </c>
      <c r="P18" s="196" t="n">
        <f aca="false">2.24*1.02</f>
        <v>2.2848</v>
      </c>
      <c r="Q18" s="566" t="n">
        <v>4.2</v>
      </c>
      <c r="R18" s="567" t="n">
        <v>2.75</v>
      </c>
      <c r="S18" s="187" t="n">
        <v>96</v>
      </c>
      <c r="T18" s="187" t="n">
        <v>71</v>
      </c>
      <c r="U18" s="187" t="n">
        <f aca="false">M18-N18-O18-P18-Q18-R18+S18+T18</f>
        <v>272.3522</v>
      </c>
      <c r="V18" s="194" t="n">
        <f aca="false">V17</f>
        <v>0</v>
      </c>
      <c r="W18" s="194" t="n">
        <f aca="false">W17+AK18-(AL18/1.9835)+AM18</f>
        <v>10255.6942102159</v>
      </c>
      <c r="X18" s="187" t="n">
        <v>162</v>
      </c>
      <c r="Y18" s="269" t="n">
        <v>1.7</v>
      </c>
      <c r="Z18" s="270" t="n">
        <v>1.3</v>
      </c>
      <c r="AA18" s="187" t="n">
        <v>93</v>
      </c>
      <c r="AB18" s="194" t="n">
        <f aca="false">AB17-AA18</f>
        <v>10982.433072851</v>
      </c>
      <c r="AC18" s="31" t="n">
        <f aca="false">N18+O18+P18+Q18+R18+U18+X18+AA18</f>
        <v>586</v>
      </c>
      <c r="AD18" s="187" t="n">
        <f aca="false">IF(L18&lt;0,L18*-1,0)</f>
        <v>0</v>
      </c>
      <c r="AE18" s="187" t="n">
        <f aca="false">AC18+AD18</f>
        <v>586</v>
      </c>
      <c r="AF18" s="357" t="n">
        <v>0.07</v>
      </c>
      <c r="AG18" s="348" t="n">
        <v>83</v>
      </c>
      <c r="AH18" s="549" t="n">
        <v>57</v>
      </c>
      <c r="AI18" s="244" t="n">
        <f aca="false">AI17</f>
        <v>16467.3080282</v>
      </c>
      <c r="AJ18" s="359"/>
      <c r="AK18" s="247" t="n">
        <f aca="false">(I18-P18-Q18-Y18)-U18</f>
        <v>-86.2369999999999</v>
      </c>
      <c r="AL18" s="39" t="n">
        <f aca="false">45.4*(V17*1.9835+W17*1.9835)/E18</f>
        <v>4.83994101062455</v>
      </c>
      <c r="AM18" s="569" t="n">
        <v>25</v>
      </c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2.95" hidden="false" customHeight="true" outlineLevel="0" collapsed="false">
      <c r="A19" s="172" t="n">
        <f aca="false">A18+1</f>
        <v>8</v>
      </c>
      <c r="B19" s="550" t="n">
        <v>6915.19</v>
      </c>
      <c r="C19" s="194" t="n">
        <v>343165</v>
      </c>
      <c r="D19" s="348" t="n">
        <f aca="false">C19-C18</f>
        <v>-835</v>
      </c>
      <c r="E19" s="194" t="n">
        <f aca="false">C19-152000</f>
        <v>191165</v>
      </c>
      <c r="F19" s="564" t="n">
        <f aca="false">D19/$D$2</f>
        <v>-420.973027476683</v>
      </c>
      <c r="G19" s="187" t="n">
        <v>221</v>
      </c>
      <c r="H19" s="192" t="n">
        <v>1</v>
      </c>
      <c r="I19" s="187" t="n">
        <f aca="false">G19+H19</f>
        <v>222</v>
      </c>
      <c r="J19" s="195" t="n">
        <f aca="false">IF(L19&gt;0,L19,0)</f>
        <v>0</v>
      </c>
      <c r="K19" s="187" t="n">
        <f aca="false">I19+J19</f>
        <v>222</v>
      </c>
      <c r="L19" s="187" t="n">
        <f aca="false">F19-(I19-AC19)</f>
        <v>-54.9730274766826</v>
      </c>
      <c r="M19" s="565" t="n">
        <v>167</v>
      </c>
      <c r="N19" s="267" t="n">
        <f aca="false">2.1*1.03</f>
        <v>2.163</v>
      </c>
      <c r="O19" s="187" t="n">
        <f aca="false">(20+21)*1.05</f>
        <v>43.05</v>
      </c>
      <c r="P19" s="196" t="n">
        <f aca="false">2.24*1.02</f>
        <v>2.2848</v>
      </c>
      <c r="Q19" s="566" t="n">
        <v>4.2</v>
      </c>
      <c r="R19" s="567" t="n">
        <v>2.44</v>
      </c>
      <c r="S19" s="187" t="n">
        <v>110</v>
      </c>
      <c r="T19" s="187" t="n">
        <v>71</v>
      </c>
      <c r="U19" s="187" t="n">
        <f aca="false">M19-N19-O19-P19-Q19-R19+S19+T19</f>
        <v>293.8622</v>
      </c>
      <c r="V19" s="194" t="n">
        <f aca="false">V18</f>
        <v>0</v>
      </c>
      <c r="W19" s="194" t="n">
        <f aca="false">W18+AK19-(AL19/1.9835)+AM19</f>
        <v>10198.2115733726</v>
      </c>
      <c r="X19" s="187" t="n">
        <v>148</v>
      </c>
      <c r="Y19" s="269" t="n">
        <v>1.7</v>
      </c>
      <c r="Z19" s="270" t="n">
        <v>1.3</v>
      </c>
      <c r="AA19" s="187" t="n">
        <v>92</v>
      </c>
      <c r="AB19" s="194" t="n">
        <f aca="false">AB18-AA19</f>
        <v>10890.433072851</v>
      </c>
      <c r="AC19" s="31" t="n">
        <f aca="false">N19+O19+P19+Q19+R19+U19+X19+AA19</f>
        <v>588</v>
      </c>
      <c r="AD19" s="187" t="n">
        <f aca="false">IF(L19&lt;0,L19*-1,0)</f>
        <v>54.9730274766826</v>
      </c>
      <c r="AE19" s="187" t="n">
        <f aca="false">AC19+AD19</f>
        <v>642.973027476683</v>
      </c>
      <c r="AF19" s="357" t="n">
        <v>0.14</v>
      </c>
      <c r="AG19" s="348" t="n">
        <v>84</v>
      </c>
      <c r="AH19" s="549" t="n">
        <v>55</v>
      </c>
      <c r="AI19" s="244" t="n">
        <f aca="false">AI18</f>
        <v>16467.3080282</v>
      </c>
      <c r="AJ19" s="359"/>
      <c r="AK19" s="247" t="n">
        <f aca="false">(I19-P19-Q19-Y19)-U19</f>
        <v>-80.0469999999999</v>
      </c>
      <c r="AL19" s="39" t="n">
        <f aca="false">45.4*(V18*1.9835+W18*1.9835)/E19</f>
        <v>4.831085678627</v>
      </c>
      <c r="AM19" s="569" t="n">
        <v>25</v>
      </c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2.95" hidden="false" customHeight="true" outlineLevel="0" collapsed="false">
      <c r="A20" s="172" t="n">
        <f aca="false">A19+1</f>
        <v>9</v>
      </c>
      <c r="B20" s="550" t="n">
        <v>6915.04</v>
      </c>
      <c r="C20" s="194" t="n">
        <v>342539</v>
      </c>
      <c r="D20" s="348" t="n">
        <f aca="false">C20-C19</f>
        <v>-626</v>
      </c>
      <c r="E20" s="194" t="n">
        <f aca="false">C20-152000</f>
        <v>190539</v>
      </c>
      <c r="F20" s="564" t="n">
        <f aca="false">D20/$D$2</f>
        <v>-315.603730778926</v>
      </c>
      <c r="G20" s="187" t="n">
        <v>175</v>
      </c>
      <c r="H20" s="192" t="n">
        <v>0.89</v>
      </c>
      <c r="I20" s="187" t="n">
        <f aca="false">G20+H20</f>
        <v>175.89</v>
      </c>
      <c r="J20" s="195" t="n">
        <f aca="false">IF(L20&gt;0,L20,0)</f>
        <v>107.506269221074</v>
      </c>
      <c r="K20" s="187" t="n">
        <f aca="false">I20+J20</f>
        <v>283.396269221074</v>
      </c>
      <c r="L20" s="187" t="n">
        <f aca="false">F20-(I20-AC20)</f>
        <v>107.506269221074</v>
      </c>
      <c r="M20" s="565" t="n">
        <v>168</v>
      </c>
      <c r="N20" s="267" t="n">
        <f aca="false">2.1*1.03</f>
        <v>2.163</v>
      </c>
      <c r="O20" s="187" t="n">
        <f aca="false">(19+19)*1.05</f>
        <v>39.9</v>
      </c>
      <c r="P20" s="196" t="n">
        <f aca="false">2.24*1.02</f>
        <v>2.2848</v>
      </c>
      <c r="Q20" s="566" t="n">
        <v>4.2</v>
      </c>
      <c r="R20" s="567" t="n">
        <v>2.27</v>
      </c>
      <c r="S20" s="187" t="n">
        <v>120</v>
      </c>
      <c r="T20" s="187" t="n">
        <v>69</v>
      </c>
      <c r="U20" s="187" t="n">
        <f aca="false">M20-N20-O20-P20-Q20-R20+S20+T20</f>
        <v>306.1822</v>
      </c>
      <c r="V20" s="194" t="n">
        <f aca="false">V19</f>
        <v>0</v>
      </c>
      <c r="W20" s="194" t="n">
        <f aca="false">W19+AK20-(AL20/1.9835)+AM20</f>
        <v>10082.3046309176</v>
      </c>
      <c r="X20" s="187" t="n">
        <v>149</v>
      </c>
      <c r="Y20" s="269" t="n">
        <v>1.7</v>
      </c>
      <c r="Z20" s="270" t="n">
        <v>1.3</v>
      </c>
      <c r="AA20" s="187" t="n">
        <v>93</v>
      </c>
      <c r="AB20" s="194" t="n">
        <f aca="false">AB19-AA20</f>
        <v>10797.433072851</v>
      </c>
      <c r="AC20" s="31" t="n">
        <f aca="false">N20+O20+P20+Q20+R20+U20+X20+AA20</f>
        <v>599</v>
      </c>
      <c r="AD20" s="187" t="n">
        <f aca="false">IF(L20&lt;0,L20*-1,0)</f>
        <v>0</v>
      </c>
      <c r="AE20" s="187" t="n">
        <f aca="false">AC20+AD20</f>
        <v>599</v>
      </c>
      <c r="AF20" s="357" t="n">
        <v>0.02</v>
      </c>
      <c r="AG20" s="200" t="n">
        <v>83</v>
      </c>
      <c r="AH20" s="549" t="n">
        <v>58</v>
      </c>
      <c r="AI20" s="244" t="n">
        <f aca="false">AI19</f>
        <v>16467.3080282</v>
      </c>
      <c r="AJ20" s="359"/>
      <c r="AK20" s="247" t="n">
        <f aca="false">(I20-P20-Q20-Y20)-U20</f>
        <v>-138.477</v>
      </c>
      <c r="AL20" s="39" t="n">
        <f aca="false">45.4*(V19*1.9835+W19*1.9835)/E20</f>
        <v>4.81979085947035</v>
      </c>
      <c r="AM20" s="569" t="n">
        <v>25</v>
      </c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2.95" hidden="false" customHeight="true" outlineLevel="0" collapsed="false">
      <c r="A21" s="172" t="n">
        <f aca="false">A20+1</f>
        <v>10</v>
      </c>
      <c r="B21" s="550" t="n">
        <v>6914.86</v>
      </c>
      <c r="C21" s="194" t="n">
        <v>341792</v>
      </c>
      <c r="D21" s="348" t="n">
        <f aca="false">C21-C20</f>
        <v>-747</v>
      </c>
      <c r="E21" s="194" t="n">
        <f aca="false">C21-152000</f>
        <v>189792</v>
      </c>
      <c r="F21" s="564" t="n">
        <f aca="false">D21/$D$2</f>
        <v>-376.607007814469</v>
      </c>
      <c r="G21" s="187" t="n">
        <v>198</v>
      </c>
      <c r="H21" s="192" t="n">
        <v>0.67</v>
      </c>
      <c r="I21" s="187" t="n">
        <f aca="false">G21+H21</f>
        <v>198.67</v>
      </c>
      <c r="J21" s="195" t="n">
        <v>0</v>
      </c>
      <c r="K21" s="187" t="n">
        <f aca="false">I21+J21</f>
        <v>198.67</v>
      </c>
      <c r="L21" s="187" t="n">
        <f aca="false">F21-(I21-AC21)</f>
        <v>-6.2770078144693</v>
      </c>
      <c r="M21" s="565" t="n">
        <v>165</v>
      </c>
      <c r="N21" s="267" t="n">
        <f aca="false">2.1*1.03</f>
        <v>2.163</v>
      </c>
      <c r="O21" s="187" t="n">
        <f aca="false">(22+21)*1.05</f>
        <v>45.15</v>
      </c>
      <c r="P21" s="196" t="n">
        <f aca="false">2.24*1.02</f>
        <v>2.2848</v>
      </c>
      <c r="Q21" s="566" t="n">
        <v>3.86</v>
      </c>
      <c r="R21" s="567" t="n">
        <v>0</v>
      </c>
      <c r="S21" s="187" t="n">
        <v>120</v>
      </c>
      <c r="T21" s="187" t="n">
        <v>69</v>
      </c>
      <c r="U21" s="187" t="n">
        <f aca="false">M21-N21-O21-P21-Q21-R21+S21+T21</f>
        <v>300.5422</v>
      </c>
      <c r="V21" s="194" t="n">
        <f aca="false">V20</f>
        <v>0</v>
      </c>
      <c r="W21" s="194" t="n">
        <f aca="false">W20+AK21-(AL21/1.9835)+AM21</f>
        <v>9995.17585049358</v>
      </c>
      <c r="X21" s="187" t="n">
        <v>122</v>
      </c>
      <c r="Y21" s="269" t="n">
        <v>1.7</v>
      </c>
      <c r="Z21" s="270" t="n">
        <v>1.3</v>
      </c>
      <c r="AA21" s="187" t="n">
        <v>93</v>
      </c>
      <c r="AB21" s="194" t="n">
        <f aca="false">AB20-AA21</f>
        <v>10704.433072851</v>
      </c>
      <c r="AC21" s="31" t="n">
        <f aca="false">N21+O21+P21+Q21+R21+U21+X21+AA21</f>
        <v>569</v>
      </c>
      <c r="AD21" s="187" t="n">
        <f aca="false">IF(L21&lt;0,L21*-1,0)</f>
        <v>6.2770078144693</v>
      </c>
      <c r="AE21" s="187" t="n">
        <f aca="false">AC21+AD21</f>
        <v>575.277007814469</v>
      </c>
      <c r="AF21" s="357" t="n">
        <v>0.01</v>
      </c>
      <c r="AG21" s="348" t="n">
        <v>79</v>
      </c>
      <c r="AH21" s="549" t="n">
        <v>58</v>
      </c>
      <c r="AI21" s="244" t="n">
        <f aca="false">AI20</f>
        <v>16467.3080282</v>
      </c>
      <c r="AJ21" s="359"/>
      <c r="AK21" s="247" t="n">
        <f aca="false">(I21-P21-Q21-Y21)-U21</f>
        <v>-109.717</v>
      </c>
      <c r="AL21" s="39" t="n">
        <f aca="false">45.4*(V20*1.9835+W20*1.9835)/E21</f>
        <v>4.78376647112787</v>
      </c>
      <c r="AM21" s="569" t="n">
        <v>25</v>
      </c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95" hidden="false" customHeight="true" outlineLevel="0" collapsed="false">
      <c r="A22" s="172" t="n">
        <v>11</v>
      </c>
      <c r="B22" s="550" t="n">
        <v>6914.71</v>
      </c>
      <c r="C22" s="194" t="n">
        <v>341171</v>
      </c>
      <c r="D22" s="348" t="n">
        <f aca="false">C22-C21</f>
        <v>-621</v>
      </c>
      <c r="E22" s="194" t="n">
        <f aca="false">C22-152000</f>
        <v>189171</v>
      </c>
      <c r="F22" s="564" t="n">
        <f aca="false">D22/$D$2</f>
        <v>-313.082934207209</v>
      </c>
      <c r="G22" s="187" t="n">
        <v>181</v>
      </c>
      <c r="H22" s="192" t="n">
        <v>0.6</v>
      </c>
      <c r="I22" s="187" t="n">
        <f aca="false">G22+H22</f>
        <v>181.6</v>
      </c>
      <c r="J22" s="195" t="n">
        <f aca="false">IF(L22&gt;0,L22,0)</f>
        <v>77.3170657927905</v>
      </c>
      <c r="K22" s="187" t="n">
        <f aca="false">I22+J22</f>
        <v>258.91706579279</v>
      </c>
      <c r="L22" s="187" t="n">
        <f aca="false">F22-(I22-AC22)</f>
        <v>77.3170657927905</v>
      </c>
      <c r="M22" s="565" t="n">
        <v>153</v>
      </c>
      <c r="N22" s="267" t="n">
        <f aca="false">2.1*1.03</f>
        <v>2.163</v>
      </c>
      <c r="O22" s="187" t="n">
        <f aca="false">(27+28)*1.05</f>
        <v>57.75</v>
      </c>
      <c r="P22" s="196" t="n">
        <f aca="false">2.24*1.02</f>
        <v>2.2848</v>
      </c>
      <c r="Q22" s="566" t="n">
        <v>4.12</v>
      </c>
      <c r="R22" s="567" t="n">
        <v>0</v>
      </c>
      <c r="S22" s="187" t="n">
        <v>119</v>
      </c>
      <c r="T22" s="187" t="n">
        <v>68</v>
      </c>
      <c r="U22" s="187" t="n">
        <f aca="false">M22-N22-O22-P22-Q22-R22+S22+T22</f>
        <v>273.6822</v>
      </c>
      <c r="V22" s="194" t="n">
        <f aca="false">V21</f>
        <v>0</v>
      </c>
      <c r="W22" s="194" t="n">
        <f aca="false">W21+AK22-(AL22/1.9835)+AM22</f>
        <v>9917.59006323965</v>
      </c>
      <c r="X22" s="187" t="n">
        <v>146</v>
      </c>
      <c r="Y22" s="269" t="n">
        <v>1.7</v>
      </c>
      <c r="Z22" s="270" t="n">
        <v>1.3</v>
      </c>
      <c r="AA22" s="187" t="n">
        <v>86</v>
      </c>
      <c r="AB22" s="194" t="n">
        <f aca="false">AB21-AA22</f>
        <v>10618.433072851</v>
      </c>
      <c r="AC22" s="31" t="n">
        <f aca="false">N22+O22+P22+Q22+R22+U22+X22+AA22</f>
        <v>572</v>
      </c>
      <c r="AD22" s="187" t="n">
        <f aca="false">IF(L22&lt;0,L22*-1,0)</f>
        <v>0</v>
      </c>
      <c r="AE22" s="187" t="n">
        <f aca="false">AC22+AD22</f>
        <v>572</v>
      </c>
      <c r="AF22" s="357" t="n">
        <v>0.36</v>
      </c>
      <c r="AG22" s="348" t="n">
        <v>74</v>
      </c>
      <c r="AH22" s="549" t="n">
        <v>57</v>
      </c>
      <c r="AI22" s="244" t="n">
        <f aca="false">AI21</f>
        <v>16467.3080282</v>
      </c>
      <c r="AJ22" s="359"/>
      <c r="AK22" s="247" t="n">
        <f aca="false">(I22-P22-Q22-Y22)-U22</f>
        <v>-100.187</v>
      </c>
      <c r="AL22" s="39" t="n">
        <f aca="false">45.4*(V21*1.9835+W21*1.9835)/E22</f>
        <v>4.75799451816194</v>
      </c>
      <c r="AM22" s="569" t="n">
        <v>25</v>
      </c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2.95" hidden="false" customHeight="true" outlineLevel="0" collapsed="false">
      <c r="A23" s="172" t="n">
        <v>12</v>
      </c>
      <c r="B23" s="550" t="n">
        <v>6914.56</v>
      </c>
      <c r="C23" s="194" t="n">
        <v>340550</v>
      </c>
      <c r="D23" s="348" t="n">
        <f aca="false">C23-C22</f>
        <v>-621</v>
      </c>
      <c r="E23" s="194" t="n">
        <f aca="false">C23-152000</f>
        <v>188550</v>
      </c>
      <c r="F23" s="564" t="n">
        <f aca="false">D23/$D$2</f>
        <v>-313.082934207209</v>
      </c>
      <c r="G23" s="187" t="n">
        <v>230</v>
      </c>
      <c r="H23" s="192" t="n">
        <v>0.5</v>
      </c>
      <c r="I23" s="187" t="n">
        <f aca="false">G23+H23</f>
        <v>230.5</v>
      </c>
      <c r="J23" s="195" t="n">
        <f aca="false">IF(L23&gt;0,L23,0)</f>
        <v>3.41706579279054</v>
      </c>
      <c r="K23" s="187" t="n">
        <f aca="false">I23+J23</f>
        <v>233.917065792791</v>
      </c>
      <c r="L23" s="187" t="n">
        <f aca="false">F23-(I23-AC23)</f>
        <v>3.41706579279054</v>
      </c>
      <c r="M23" s="565" t="n">
        <v>162</v>
      </c>
      <c r="N23" s="267" t="n">
        <f aca="false">2.1*1.03</f>
        <v>2.163</v>
      </c>
      <c r="O23" s="187" t="n">
        <f aca="false">(36+37)*1.05</f>
        <v>76.65</v>
      </c>
      <c r="P23" s="196" t="n">
        <f aca="false">2.24*1.02</f>
        <v>2.2848</v>
      </c>
      <c r="Q23" s="566" t="n">
        <v>4.2</v>
      </c>
      <c r="R23" s="567" t="n">
        <v>0.78</v>
      </c>
      <c r="S23" s="187" t="n">
        <v>121</v>
      </c>
      <c r="T23" s="187" t="n">
        <v>65</v>
      </c>
      <c r="U23" s="187" t="n">
        <f aca="false">M23-N23-O23-P23-Q23-R23+S23+T23</f>
        <v>261.9222</v>
      </c>
      <c r="V23" s="194" t="n">
        <f aca="false">V22</f>
        <v>0</v>
      </c>
      <c r="W23" s="194" t="n">
        <f aca="false">W22+AK23-(AL23/1.9835)+AM23</f>
        <v>9900.59505693431</v>
      </c>
      <c r="X23" s="187" t="n">
        <v>127</v>
      </c>
      <c r="Y23" s="269" t="n">
        <v>1.7</v>
      </c>
      <c r="Z23" s="270" t="n">
        <v>1.3</v>
      </c>
      <c r="AA23" s="187" t="n">
        <v>72</v>
      </c>
      <c r="AB23" s="194" t="n">
        <f aca="false">AB22-AA23</f>
        <v>10546.433072851</v>
      </c>
      <c r="AC23" s="31" t="n">
        <f aca="false">N23+O23+P23+Q23+R23+U23+X23+AA23</f>
        <v>547</v>
      </c>
      <c r="AD23" s="187" t="n">
        <f aca="false">IF(L23&lt;0,L23*-1,0)</f>
        <v>0</v>
      </c>
      <c r="AE23" s="187" t="n">
        <f aca="false">AC23+AD23</f>
        <v>547</v>
      </c>
      <c r="AF23" s="357" t="n">
        <v>0</v>
      </c>
      <c r="AG23" s="348" t="n">
        <v>82</v>
      </c>
      <c r="AH23" s="549" t="n">
        <v>53</v>
      </c>
      <c r="AI23" s="244" t="n">
        <f aca="false">AI22</f>
        <v>16467.3080282</v>
      </c>
      <c r="AJ23" s="359"/>
      <c r="AK23" s="247" t="n">
        <f aca="false">(I23-P23-Q23-Y23)-U23</f>
        <v>-39.6069999999999</v>
      </c>
      <c r="AL23" s="39" t="n">
        <f aca="false">45.4*(V22*1.9835+W22*1.9835)/E23</f>
        <v>4.73661050663372</v>
      </c>
      <c r="AM23" s="569" t="n">
        <v>25</v>
      </c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2.95" hidden="false" customHeight="true" outlineLevel="0" collapsed="false">
      <c r="A24" s="172" t="n">
        <v>13</v>
      </c>
      <c r="B24" s="550" t="n">
        <v>6914.43</v>
      </c>
      <c r="C24" s="194" t="n">
        <v>340012</v>
      </c>
      <c r="D24" s="348" t="n">
        <f aca="false">C24-C23</f>
        <v>-538</v>
      </c>
      <c r="E24" s="194" t="n">
        <f aca="false">C24-152000</f>
        <v>188012</v>
      </c>
      <c r="F24" s="564" t="n">
        <f aca="false">D24/$D$2</f>
        <v>-271.237711116713</v>
      </c>
      <c r="G24" s="187" t="n">
        <v>194</v>
      </c>
      <c r="H24" s="192" t="n">
        <v>0.19</v>
      </c>
      <c r="I24" s="187" t="n">
        <f aca="false">G24+H24</f>
        <v>194.19</v>
      </c>
      <c r="J24" s="195" t="n">
        <f aca="false">IF(L24&gt;0,L24,0)</f>
        <v>59.5722888832871</v>
      </c>
      <c r="K24" s="187" t="n">
        <f aca="false">I24+J24</f>
        <v>253.762288883287</v>
      </c>
      <c r="L24" s="187" t="n">
        <f aca="false">F24-(I24-AC24)</f>
        <v>59.5722888832871</v>
      </c>
      <c r="M24" s="565" t="n">
        <v>131</v>
      </c>
      <c r="N24" s="267" t="n">
        <f aca="false">2.1*1.03</f>
        <v>2.163</v>
      </c>
      <c r="O24" s="187" t="n">
        <f aca="false">(28+30)*1.05</f>
        <v>60.9</v>
      </c>
      <c r="P24" s="196" t="n">
        <f aca="false">2.24*1.02</f>
        <v>2.2848</v>
      </c>
      <c r="Q24" s="566" t="n">
        <v>4.2</v>
      </c>
      <c r="R24" s="567" t="n">
        <v>1.44</v>
      </c>
      <c r="S24" s="187" t="n">
        <v>125</v>
      </c>
      <c r="T24" s="187" t="n">
        <v>62</v>
      </c>
      <c r="U24" s="187" t="n">
        <f aca="false">M24-N24-O24-P24-Q24-R24+S24+T24</f>
        <v>247.0122</v>
      </c>
      <c r="V24" s="194" t="n">
        <f aca="false">V23</f>
        <v>0</v>
      </c>
      <c r="W24" s="194" t="n">
        <f aca="false">W23+AK24-(AL24/1.9835)+AM24</f>
        <v>9862.1973211537</v>
      </c>
      <c r="X24" s="187" t="n">
        <v>140</v>
      </c>
      <c r="Y24" s="269" t="n">
        <v>1.7</v>
      </c>
      <c r="Z24" s="270" t="n">
        <v>1.3</v>
      </c>
      <c r="AA24" s="187" t="n">
        <v>67</v>
      </c>
      <c r="AB24" s="194" t="n">
        <f aca="false">AB23-AA24</f>
        <v>10479.433072851</v>
      </c>
      <c r="AC24" s="31" t="n">
        <f aca="false">N24+O24+P24+Q24+R24+U24+X24+AA24</f>
        <v>525</v>
      </c>
      <c r="AD24" s="187" t="n">
        <f aca="false">IF(L24&lt;0,L24*-1,0)</f>
        <v>0</v>
      </c>
      <c r="AE24" s="187" t="n">
        <f aca="false">AC24+AD24</f>
        <v>525</v>
      </c>
      <c r="AF24" s="357" t="n">
        <v>0.01</v>
      </c>
      <c r="AG24" s="348" t="n">
        <v>80</v>
      </c>
      <c r="AH24" s="549" t="n">
        <v>51</v>
      </c>
      <c r="AI24" s="244" t="n">
        <f aca="false">AI23</f>
        <v>16467.3080282</v>
      </c>
      <c r="AJ24" s="359"/>
      <c r="AK24" s="247" t="n">
        <f aca="false">(I24-P24-Q24-Y24)-U24</f>
        <v>-61.0069999999999</v>
      </c>
      <c r="AL24" s="39" t="n">
        <f aca="false">45.4*(V23*1.9835+W23*1.9835)/E24</f>
        <v>4.74202442084806</v>
      </c>
      <c r="AM24" s="569" t="n">
        <v>25</v>
      </c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2.95" hidden="false" customHeight="true" outlineLevel="0" collapsed="false">
      <c r="A25" s="172" t="n">
        <v>14</v>
      </c>
      <c r="B25" s="550" t="n">
        <v>6914.31</v>
      </c>
      <c r="C25" s="194" t="n">
        <v>339515</v>
      </c>
      <c r="D25" s="348" t="n">
        <f aca="false">C25-C24</f>
        <v>-497</v>
      </c>
      <c r="E25" s="194" t="n">
        <f aca="false">C25-152000</f>
        <v>187515</v>
      </c>
      <c r="F25" s="564" t="n">
        <f aca="false">D25/$D$2</f>
        <v>-250.567179228636</v>
      </c>
      <c r="G25" s="187" t="n">
        <v>180</v>
      </c>
      <c r="H25" s="192" t="n">
        <v>0.16</v>
      </c>
      <c r="I25" s="187" t="n">
        <f aca="false">G25+H25</f>
        <v>180.16</v>
      </c>
      <c r="J25" s="195" t="n">
        <f aca="false">IF(L25&gt;0,L25,0)</f>
        <v>46.2728207713638</v>
      </c>
      <c r="K25" s="187" t="n">
        <f aca="false">I25+J25</f>
        <v>226.432820771364</v>
      </c>
      <c r="L25" s="187" t="n">
        <f aca="false">F25-(I25-AC25)</f>
        <v>46.2728207713638</v>
      </c>
      <c r="M25" s="565" t="n">
        <v>133</v>
      </c>
      <c r="N25" s="267" t="n">
        <f aca="false">2.1*1.03</f>
        <v>2.163</v>
      </c>
      <c r="O25" s="187" t="n">
        <f aca="false">(22+23)*1.05</f>
        <v>47.25</v>
      </c>
      <c r="P25" s="196" t="n">
        <f aca="false">2.24*1.02</f>
        <v>2.2848</v>
      </c>
      <c r="Q25" s="566" t="n">
        <v>4.2</v>
      </c>
      <c r="R25" s="567" t="n">
        <v>1.12</v>
      </c>
      <c r="S25" s="187" t="n">
        <v>111</v>
      </c>
      <c r="T25" s="187" t="n">
        <v>63</v>
      </c>
      <c r="U25" s="187" t="n">
        <f aca="false">M25-N25-O25-P25-Q25-R25+S25+T25</f>
        <v>249.9822</v>
      </c>
      <c r="V25" s="194" t="n">
        <f aca="false">V24</f>
        <v>0</v>
      </c>
      <c r="W25" s="194" t="n">
        <f aca="false">W24+AK25-(AL25/1.9835)+AM25</f>
        <v>9806.80254546439</v>
      </c>
      <c r="X25" s="187" t="n">
        <v>103</v>
      </c>
      <c r="Y25" s="269" t="n">
        <v>1.7</v>
      </c>
      <c r="Z25" s="270" t="n">
        <v>1.3</v>
      </c>
      <c r="AA25" s="187" t="n">
        <v>67</v>
      </c>
      <c r="AB25" s="194" t="n">
        <f aca="false">AB24-AA25</f>
        <v>10412.433072851</v>
      </c>
      <c r="AC25" s="31" t="n">
        <f aca="false">N25+O25+P25+Q25+R25+U25+X25+AA25</f>
        <v>477</v>
      </c>
      <c r="AD25" s="187" t="n">
        <f aca="false">IF(L25&lt;0,L25*-1,0)</f>
        <v>0</v>
      </c>
      <c r="AE25" s="187" t="n">
        <f aca="false">AC25+AD25</f>
        <v>477</v>
      </c>
      <c r="AF25" s="357" t="n">
        <v>0.09</v>
      </c>
      <c r="AG25" s="348" t="n">
        <v>76</v>
      </c>
      <c r="AH25" s="549" t="n">
        <v>55</v>
      </c>
      <c r="AI25" s="244" t="n">
        <f aca="false">AI24</f>
        <v>16467.3080282</v>
      </c>
      <c r="AJ25" s="359"/>
      <c r="AK25" s="247" t="n">
        <f aca="false">(I25-P25-Q25-Y25)-U25</f>
        <v>-78.0069999999999</v>
      </c>
      <c r="AL25" s="39" t="n">
        <f aca="false">45.4*(V24*1.9835+W24*1.9835)/E25</f>
        <v>4.73615307974018</v>
      </c>
      <c r="AM25" s="569" t="n">
        <v>25</v>
      </c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2.95" hidden="false" customHeight="true" outlineLevel="0" collapsed="false">
      <c r="A26" s="172" t="n">
        <v>15</v>
      </c>
      <c r="B26" s="550" t="n">
        <v>6914.19</v>
      </c>
      <c r="C26" s="194" t="n">
        <v>339017</v>
      </c>
      <c r="D26" s="348" t="n">
        <f aca="false">C26-C25</f>
        <v>-498</v>
      </c>
      <c r="E26" s="194" t="n">
        <f aca="false">C26-152000</f>
        <v>187017</v>
      </c>
      <c r="F26" s="564" t="n">
        <f aca="false">D26/$D$2</f>
        <v>-251.07133854298</v>
      </c>
      <c r="G26" s="187" t="n">
        <v>176</v>
      </c>
      <c r="H26" s="192" t="n">
        <v>0.14</v>
      </c>
      <c r="I26" s="187" t="n">
        <f aca="false">G26+H26</f>
        <v>176.14</v>
      </c>
      <c r="J26" s="195" t="n">
        <f aca="false">IF(L26&gt;0,L26,0)</f>
        <v>30.7886614570204</v>
      </c>
      <c r="K26" s="187" t="n">
        <f aca="false">I26+J26</f>
        <v>206.92866145702</v>
      </c>
      <c r="L26" s="187" t="n">
        <f aca="false">F26-(I26-AC26)</f>
        <v>30.7886614570204</v>
      </c>
      <c r="M26" s="565" t="n">
        <v>107</v>
      </c>
      <c r="N26" s="267" t="n">
        <f aca="false">2.1*1.03</f>
        <v>2.163</v>
      </c>
      <c r="O26" s="187" t="n">
        <f aca="false">(18+19)*1.05</f>
        <v>38.85</v>
      </c>
      <c r="P26" s="196" t="n">
        <f aca="false">2.24*1.02</f>
        <v>2.2848</v>
      </c>
      <c r="Q26" s="566" t="n">
        <v>4.2</v>
      </c>
      <c r="R26" s="567" t="n">
        <v>1.4</v>
      </c>
      <c r="S26" s="187" t="n">
        <v>104</v>
      </c>
      <c r="T26" s="187" t="n">
        <v>63</v>
      </c>
      <c r="U26" s="187" t="n">
        <f aca="false">M26-N26-O26-P26-Q26-R26+S26+T26</f>
        <v>225.1022</v>
      </c>
      <c r="V26" s="194" t="n">
        <f aca="false">V25</f>
        <v>0</v>
      </c>
      <c r="W26" s="194" t="n">
        <f aca="false">W25+AK26-(AL26/1.9835)+AM26</f>
        <v>9772.27485902645</v>
      </c>
      <c r="X26" s="187" t="n">
        <v>117</v>
      </c>
      <c r="Y26" s="269" t="n">
        <v>1.7</v>
      </c>
      <c r="Z26" s="270" t="n">
        <v>1.3</v>
      </c>
      <c r="AA26" s="187" t="n">
        <v>67</v>
      </c>
      <c r="AB26" s="194" t="n">
        <f aca="false">AB25-AA26</f>
        <v>10345.433072851</v>
      </c>
      <c r="AC26" s="31" t="n">
        <f aca="false">N26+O26+P26+Q26+R26+U26+X26+AA26</f>
        <v>458</v>
      </c>
      <c r="AD26" s="187" t="n">
        <f aca="false">IF(L26&lt;0,L26*-1,0)</f>
        <v>0</v>
      </c>
      <c r="AE26" s="187" t="n">
        <f aca="false">AC26+AD26</f>
        <v>458</v>
      </c>
      <c r="AF26" s="357" t="n">
        <v>0</v>
      </c>
      <c r="AG26" s="348" t="n">
        <v>78</v>
      </c>
      <c r="AH26" s="549" t="n">
        <v>56</v>
      </c>
      <c r="AI26" s="244" t="n">
        <f aca="false">AI25</f>
        <v>16467.3080282</v>
      </c>
      <c r="AJ26" s="359"/>
      <c r="AK26" s="247" t="n">
        <f aca="false">(I26-P26-Q26-Y26)-U26</f>
        <v>-57.147</v>
      </c>
      <c r="AL26" s="39" t="n">
        <f aca="false">45.4*(V25*1.9835+W25*1.9835)/E26</f>
        <v>4.72209154965249</v>
      </c>
      <c r="AM26" s="569" t="n">
        <v>25</v>
      </c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2.95" hidden="false" customHeight="true" outlineLevel="0" collapsed="false">
      <c r="A27" s="172" t="n">
        <v>16</v>
      </c>
      <c r="B27" s="550" t="n">
        <v>6914.04</v>
      </c>
      <c r="C27" s="194" t="n">
        <v>338396</v>
      </c>
      <c r="D27" s="348" t="n">
        <f aca="false">C27-C26</f>
        <v>-621</v>
      </c>
      <c r="E27" s="194" t="n">
        <f aca="false">C27-152000</f>
        <v>186396</v>
      </c>
      <c r="F27" s="564" t="n">
        <f aca="false">D27/$D$2</f>
        <v>-313.082934207209</v>
      </c>
      <c r="G27" s="187" t="n">
        <v>178</v>
      </c>
      <c r="H27" s="192" t="n">
        <v>0.14</v>
      </c>
      <c r="I27" s="187" t="n">
        <f aca="false">G27+H27</f>
        <v>178.14</v>
      </c>
      <c r="J27" s="195" t="n">
        <f aca="false">IF(L27&gt;0,L27,0)</f>
        <v>0</v>
      </c>
      <c r="K27" s="187" t="n">
        <f aca="false">I27+J27</f>
        <v>178.14</v>
      </c>
      <c r="L27" s="187" t="n">
        <f aca="false">F27-(I27-AC27)</f>
        <v>-6.22293420720945</v>
      </c>
      <c r="M27" s="565" t="n">
        <v>119</v>
      </c>
      <c r="N27" s="267" t="n">
        <f aca="false">2.1*1.03</f>
        <v>2.163</v>
      </c>
      <c r="O27" s="187" t="n">
        <f aca="false">(19+23)*1.05</f>
        <v>44.1</v>
      </c>
      <c r="P27" s="196" t="n">
        <f aca="false">2.24*1.02</f>
        <v>2.2848</v>
      </c>
      <c r="Q27" s="566" t="n">
        <v>4.2</v>
      </c>
      <c r="R27" s="567" t="n">
        <v>0.72</v>
      </c>
      <c r="S27" s="187" t="n">
        <v>110</v>
      </c>
      <c r="T27" s="187" t="n">
        <v>62</v>
      </c>
      <c r="U27" s="187" t="n">
        <f aca="false">M27-N27-O27-P27-Q27-R27+S27+T27</f>
        <v>237.5322</v>
      </c>
      <c r="V27" s="194" t="n">
        <f aca="false">V26</f>
        <v>0</v>
      </c>
      <c r="W27" s="194" t="n">
        <f aca="false">W26+AK27-(AL27/1.9835)+AM27</f>
        <v>9727.31765087499</v>
      </c>
      <c r="X27" s="187" t="n">
        <v>127</v>
      </c>
      <c r="Y27" s="269" t="n">
        <v>1.7</v>
      </c>
      <c r="Z27" s="270" t="n">
        <v>1.3</v>
      </c>
      <c r="AA27" s="187" t="n">
        <v>67</v>
      </c>
      <c r="AB27" s="194" t="n">
        <f aca="false">AB26-AA27</f>
        <v>10278.433072851</v>
      </c>
      <c r="AC27" s="31" t="n">
        <f aca="false">N27+O27+P27+Q27+R27+U27+X27+AA27</f>
        <v>485</v>
      </c>
      <c r="AD27" s="187" t="n">
        <f aca="false">IF(L27&lt;0,L27*-1,0)</f>
        <v>6.22293420720945</v>
      </c>
      <c r="AE27" s="187" t="n">
        <f aca="false">AC27+AD27</f>
        <v>491.222934207209</v>
      </c>
      <c r="AF27" s="357" t="n">
        <v>0.09</v>
      </c>
      <c r="AG27" s="348" t="n">
        <v>78</v>
      </c>
      <c r="AH27" s="549" t="n">
        <v>55</v>
      </c>
      <c r="AI27" s="244" t="n">
        <f aca="false">AI26</f>
        <v>16467.3080282</v>
      </c>
      <c r="AJ27" s="359"/>
      <c r="AK27" s="247" t="n">
        <f aca="false">(I27-P27-Q27-Y27)-U27</f>
        <v>-67.577</v>
      </c>
      <c r="AL27" s="39" t="n">
        <f aca="false">45.4*(V26*1.9835+W26*1.9835)/E27</f>
        <v>4.72114286842371</v>
      </c>
      <c r="AM27" s="569" t="n">
        <v>25</v>
      </c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2.95" hidden="false" customHeight="true" outlineLevel="0" collapsed="false">
      <c r="A28" s="172" t="n">
        <v>17</v>
      </c>
      <c r="B28" s="550" t="n">
        <v>6913.85</v>
      </c>
      <c r="C28" s="194" t="n">
        <v>337614</v>
      </c>
      <c r="D28" s="348" t="n">
        <f aca="false">C28-C27</f>
        <v>-782</v>
      </c>
      <c r="E28" s="194" t="n">
        <f aca="false">C28-152000</f>
        <v>185614</v>
      </c>
      <c r="F28" s="564" t="n">
        <f aca="false">D28/$D$2</f>
        <v>-394.252583816486</v>
      </c>
      <c r="G28" s="187" t="n">
        <v>188</v>
      </c>
      <c r="H28" s="192" t="n">
        <v>0.11</v>
      </c>
      <c r="I28" s="187" t="n">
        <f aca="false">G28+H28</f>
        <v>188.11</v>
      </c>
      <c r="J28" s="195" t="n">
        <f aca="false">IF(L28&gt;0,L28,0)</f>
        <v>0</v>
      </c>
      <c r="K28" s="187" t="n">
        <f aca="false">I28+J28</f>
        <v>188.11</v>
      </c>
      <c r="L28" s="187" t="n">
        <f aca="false">F28-(I28-AC28)</f>
        <v>-34.362583816486</v>
      </c>
      <c r="M28" s="565" t="n">
        <v>161</v>
      </c>
      <c r="N28" s="267" t="n">
        <f aca="false">2.1*1.03</f>
        <v>2.163</v>
      </c>
      <c r="O28" s="187" t="n">
        <f aca="false">(29+31)*1.05</f>
        <v>63</v>
      </c>
      <c r="P28" s="196" t="n">
        <f aca="false">2.24*1.02</f>
        <v>2.2848</v>
      </c>
      <c r="Q28" s="566" t="n">
        <v>4.2</v>
      </c>
      <c r="R28" s="567" t="n">
        <v>1.27</v>
      </c>
      <c r="S28" s="187" t="n">
        <v>111</v>
      </c>
      <c r="T28" s="187" t="n">
        <v>61</v>
      </c>
      <c r="U28" s="187" t="n">
        <f aca="false">M28-N28-O28-P28-Q28-R28+S28+T28</f>
        <v>260.0822</v>
      </c>
      <c r="V28" s="194" t="n">
        <f aca="false">V27</f>
        <v>0</v>
      </c>
      <c r="W28" s="194" t="n">
        <f aca="false">W27+AK28-(AL28/1.9835)+AM28</f>
        <v>9669.78141104745</v>
      </c>
      <c r="X28" s="187" t="n">
        <v>148</v>
      </c>
      <c r="Y28" s="269" t="n">
        <v>1.7</v>
      </c>
      <c r="Z28" s="270" t="n">
        <v>1.3</v>
      </c>
      <c r="AA28" s="187" t="n">
        <v>67</v>
      </c>
      <c r="AB28" s="194" t="n">
        <f aca="false">AB27-AA28</f>
        <v>10211.433072851</v>
      </c>
      <c r="AC28" s="31" t="n">
        <f aca="false">N28+O28+P28+Q28+R28+U28+X28+AA28</f>
        <v>548</v>
      </c>
      <c r="AD28" s="187" t="n">
        <f aca="false">IF(L28&lt;0,L28*-1,0)</f>
        <v>34.362583816486</v>
      </c>
      <c r="AE28" s="187" t="n">
        <f aca="false">AC28+AD28</f>
        <v>582.362583816486</v>
      </c>
      <c r="AF28" s="357" t="n">
        <v>0</v>
      </c>
      <c r="AG28" s="348" t="n">
        <v>80</v>
      </c>
      <c r="AH28" s="549" t="n">
        <v>52</v>
      </c>
      <c r="AI28" s="244" t="n">
        <f aca="false">AI27</f>
        <v>16467.3080282</v>
      </c>
      <c r="AJ28" s="359"/>
      <c r="AK28" s="247" t="n">
        <f aca="false">(I28-P28-Q28-Y28)-U28</f>
        <v>-80.157</v>
      </c>
      <c r="AL28" s="39" t="n">
        <f aca="false">45.4*(V27*1.9835+W27*1.9835)/E28</f>
        <v>4.71922219793323</v>
      </c>
      <c r="AM28" s="569" t="n">
        <v>25</v>
      </c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2.95" hidden="false" customHeight="true" outlineLevel="0" collapsed="false">
      <c r="A29" s="172" t="n">
        <v>18</v>
      </c>
      <c r="B29" s="550" t="n">
        <v>6913.68</v>
      </c>
      <c r="C29" s="194" t="n">
        <v>336916</v>
      </c>
      <c r="D29" s="348" t="n">
        <f aca="false">C29-C28</f>
        <v>-698</v>
      </c>
      <c r="E29" s="194" t="n">
        <f aca="false">C29-152000</f>
        <v>184916</v>
      </c>
      <c r="F29" s="564" t="n">
        <f aca="false">D29/$D$2</f>
        <v>-351.903201411646</v>
      </c>
      <c r="G29" s="187" t="n">
        <v>162</v>
      </c>
      <c r="H29" s="192" t="n">
        <v>0.09</v>
      </c>
      <c r="I29" s="187" t="n">
        <f aca="false">G29+H29</f>
        <v>162.09</v>
      </c>
      <c r="J29" s="195" t="n">
        <f aca="false">IF(L29&gt;0,L29,0)</f>
        <v>34.0067985883539</v>
      </c>
      <c r="K29" s="187" t="n">
        <f aca="false">I29+J29</f>
        <v>196.096798588354</v>
      </c>
      <c r="L29" s="187" t="n">
        <f aca="false">F29-(I29-AC29)</f>
        <v>34.0067985883539</v>
      </c>
      <c r="M29" s="565" t="n">
        <v>174</v>
      </c>
      <c r="N29" s="267" t="n">
        <f aca="false">2.1*1.03</f>
        <v>2.163</v>
      </c>
      <c r="O29" s="187" t="n">
        <f aca="false">(40+44)*1.05</f>
        <v>88.2</v>
      </c>
      <c r="P29" s="196" t="n">
        <f aca="false">2.24*1.02</f>
        <v>2.2848</v>
      </c>
      <c r="Q29" s="566" t="n">
        <v>4.2</v>
      </c>
      <c r="R29" s="567" t="n">
        <v>0.63</v>
      </c>
      <c r="S29" s="187" t="n">
        <v>109</v>
      </c>
      <c r="T29" s="187" t="n">
        <v>60</v>
      </c>
      <c r="U29" s="187" t="n">
        <f aca="false">M29-N29-O29-P29-Q29-R29+S29+T29</f>
        <v>245.5222</v>
      </c>
      <c r="V29" s="194" t="n">
        <f aca="false">V28</f>
        <v>0</v>
      </c>
      <c r="W29" s="194" t="n">
        <f aca="false">W28+AK29-(AL29/1.9835)+AM29</f>
        <v>9600.79031645281</v>
      </c>
      <c r="X29" s="187" t="n">
        <v>138</v>
      </c>
      <c r="Y29" s="269" t="n">
        <v>1.7</v>
      </c>
      <c r="Z29" s="270" t="n">
        <v>1.3</v>
      </c>
      <c r="AA29" s="187" t="n">
        <v>67</v>
      </c>
      <c r="AB29" s="194" t="n">
        <f aca="false">AB28-AA29</f>
        <v>10144.433072851</v>
      </c>
      <c r="AC29" s="31" t="n">
        <f aca="false">N29+O29+P29+Q29+R29+U29+X29+AA29</f>
        <v>548</v>
      </c>
      <c r="AD29" s="187" t="n">
        <f aca="false">IF(L29&lt;0,L29*-1,0)</f>
        <v>0</v>
      </c>
      <c r="AE29" s="187" t="n">
        <f aca="false">AC29+AD29</f>
        <v>548</v>
      </c>
      <c r="AF29" s="357" t="n">
        <v>0</v>
      </c>
      <c r="AG29" s="348" t="n">
        <v>80</v>
      </c>
      <c r="AH29" s="549" t="n">
        <v>53</v>
      </c>
      <c r="AI29" s="244" t="n">
        <f aca="false">AI28</f>
        <v>16467.3080282</v>
      </c>
      <c r="AJ29" s="359"/>
      <c r="AK29" s="247" t="n">
        <f aca="false">(I29-P29-Q29-Y29)-U29</f>
        <v>-91.617</v>
      </c>
      <c r="AL29" s="39" t="n">
        <f aca="false">45.4*(V28*1.9835+W28*1.9835)/E29</f>
        <v>4.70901662845883</v>
      </c>
      <c r="AM29" s="569" t="n">
        <v>25</v>
      </c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2.95" hidden="false" customHeight="true" outlineLevel="0" collapsed="false">
      <c r="A30" s="172" t="n">
        <v>19</v>
      </c>
      <c r="B30" s="550" t="n">
        <v>6913.48</v>
      </c>
      <c r="C30" s="194" t="n">
        <v>336094</v>
      </c>
      <c r="D30" s="348" t="n">
        <f aca="false">C30-C29</f>
        <v>-822</v>
      </c>
      <c r="E30" s="194" t="n">
        <f aca="false">C30-152000</f>
        <v>184094</v>
      </c>
      <c r="F30" s="564" t="n">
        <f aca="false">D30/$D$2</f>
        <v>-414.418956390219</v>
      </c>
      <c r="G30" s="187" t="n">
        <v>144</v>
      </c>
      <c r="H30" s="192" t="n">
        <v>0.08</v>
      </c>
      <c r="I30" s="187" t="n">
        <f aca="false">G30+H30</f>
        <v>144.08</v>
      </c>
      <c r="J30" s="195" t="n">
        <f aca="false">IF(L30&gt;0,L30,0)</f>
        <v>0</v>
      </c>
      <c r="K30" s="187" t="n">
        <f aca="false">I30+J30</f>
        <v>144.08</v>
      </c>
      <c r="L30" s="187" t="n">
        <f aca="false">F30-(I30-AC30)</f>
        <v>-0.498956390219348</v>
      </c>
      <c r="M30" s="565" t="n">
        <v>181</v>
      </c>
      <c r="N30" s="267" t="n">
        <f aca="false">2.1*1.03</f>
        <v>2.163</v>
      </c>
      <c r="O30" s="187" t="n">
        <f aca="false">(38+38)*1.05</f>
        <v>79.8</v>
      </c>
      <c r="P30" s="196" t="n">
        <f aca="false">2.24*1.02</f>
        <v>2.2848</v>
      </c>
      <c r="Q30" s="566" t="n">
        <v>4.2</v>
      </c>
      <c r="R30" s="567" t="n">
        <v>1.16</v>
      </c>
      <c r="S30" s="187" t="n">
        <v>109</v>
      </c>
      <c r="T30" s="570" t="n">
        <v>60</v>
      </c>
      <c r="U30" s="187" t="n">
        <f aca="false">M30-N30-O30-P30-Q30-R30+S30+T30</f>
        <v>260.3922</v>
      </c>
      <c r="V30" s="194" t="n">
        <f aca="false">V29</f>
        <v>0</v>
      </c>
      <c r="W30" s="194" t="n">
        <f aca="false">W29+AK30-(AL30/1.9835)+AM30</f>
        <v>9498.92563537485</v>
      </c>
      <c r="X30" s="187" t="n">
        <v>140</v>
      </c>
      <c r="Y30" s="269" t="n">
        <v>1.7</v>
      </c>
      <c r="Z30" s="270" t="n">
        <v>1.3</v>
      </c>
      <c r="AA30" s="187" t="n">
        <v>68</v>
      </c>
      <c r="AB30" s="194" t="n">
        <f aca="false">AB29-AA30</f>
        <v>10076.433072851</v>
      </c>
      <c r="AC30" s="31" t="n">
        <f aca="false">N30+O30+P30+Q30+R30+U30+X30+AA30</f>
        <v>558</v>
      </c>
      <c r="AD30" s="187" t="n">
        <f aca="false">IF(L30&lt;0,L30*-1,0)</f>
        <v>0.498956390219348</v>
      </c>
      <c r="AE30" s="187" t="n">
        <f aca="false">AC30+AD30</f>
        <v>558.498956390219</v>
      </c>
      <c r="AF30" s="357" t="n">
        <v>0</v>
      </c>
      <c r="AG30" s="348" t="n">
        <v>80</v>
      </c>
      <c r="AH30" s="549" t="n">
        <v>50</v>
      </c>
      <c r="AI30" s="244" t="n">
        <f aca="false">AI29</f>
        <v>16467.3080282</v>
      </c>
      <c r="AJ30" s="359"/>
      <c r="AK30" s="247" t="n">
        <f aca="false">(I30-P30-Q30-Y30)-U30</f>
        <v>-124.497</v>
      </c>
      <c r="AL30" s="39" t="n">
        <f aca="false">45.4*(V29*1.9835+W29*1.9835)/E30</f>
        <v>4.69629541814432</v>
      </c>
      <c r="AM30" s="569" t="n">
        <v>25</v>
      </c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2.95" hidden="false" customHeight="true" outlineLevel="0" collapsed="false">
      <c r="A31" s="172" t="n">
        <v>20</v>
      </c>
      <c r="B31" s="550" t="n">
        <v>6913.28</v>
      </c>
      <c r="C31" s="194" t="n">
        <v>335272</v>
      </c>
      <c r="D31" s="348" t="n">
        <f aca="false">C31-C30</f>
        <v>-822</v>
      </c>
      <c r="E31" s="194" t="n">
        <f aca="false">C31-152000</f>
        <v>183272</v>
      </c>
      <c r="F31" s="564" t="n">
        <f aca="false">D31/$D$2</f>
        <v>-414.418956390219</v>
      </c>
      <c r="G31" s="187" t="n">
        <v>139</v>
      </c>
      <c r="H31" s="192" t="n">
        <v>0.06</v>
      </c>
      <c r="I31" s="187" t="n">
        <f aca="false">G31+H31</f>
        <v>139.06</v>
      </c>
      <c r="J31" s="195" t="n">
        <f aca="false">IF(L31&gt;0,L31,0)</f>
        <v>0</v>
      </c>
      <c r="K31" s="187" t="n">
        <f aca="false">I31+J31</f>
        <v>139.06</v>
      </c>
      <c r="L31" s="187" t="n">
        <f aca="false">F31-(I31-AC31)</f>
        <v>-20.4789563902193</v>
      </c>
      <c r="M31" s="565" t="n">
        <v>136</v>
      </c>
      <c r="N31" s="267" t="n">
        <f aca="false">2.1*1.03</f>
        <v>2.163</v>
      </c>
      <c r="O31" s="187" t="n">
        <f aca="false">(19+22)*1.05</f>
        <v>43.05</v>
      </c>
      <c r="P31" s="196" t="n">
        <f aca="false">2.24*1.02</f>
        <v>2.2848</v>
      </c>
      <c r="Q31" s="566" t="n">
        <v>4.2</v>
      </c>
      <c r="R31" s="567" t="n">
        <v>2.33</v>
      </c>
      <c r="S31" s="187" t="n">
        <v>108</v>
      </c>
      <c r="T31" s="570" t="n">
        <v>62</v>
      </c>
      <c r="U31" s="187" t="n">
        <f aca="false">M31-N31-O31-P31-Q31-R31+S31+T31</f>
        <v>251.9722</v>
      </c>
      <c r="V31" s="194" t="n">
        <f aca="false">V30</f>
        <v>0</v>
      </c>
      <c r="W31" s="194" t="n">
        <f aca="false">W30+AK31-(AL31/1.9835)+AM31</f>
        <v>9400.47556876431</v>
      </c>
      <c r="X31" s="187" t="n">
        <v>158</v>
      </c>
      <c r="Y31" s="269" t="n">
        <v>1.7</v>
      </c>
      <c r="Z31" s="270" t="n">
        <v>1.3</v>
      </c>
      <c r="AA31" s="187" t="n">
        <v>69</v>
      </c>
      <c r="AB31" s="194" t="n">
        <f aca="false">AB30-AA31</f>
        <v>10007.433072851</v>
      </c>
      <c r="AC31" s="31" t="n">
        <f aca="false">N31+O31+P31+Q31+R31+U31+X31+AA31</f>
        <v>533</v>
      </c>
      <c r="AD31" s="187" t="n">
        <f aca="false">IF(L31&lt;0,L31*-1,0)</f>
        <v>20.4789563902193</v>
      </c>
      <c r="AE31" s="187" t="n">
        <f aca="false">AC31+AD31</f>
        <v>553.478956390219</v>
      </c>
      <c r="AF31" s="357" t="n">
        <v>0</v>
      </c>
      <c r="AG31" s="348" t="n">
        <v>80</v>
      </c>
      <c r="AH31" s="549" t="n">
        <v>50</v>
      </c>
      <c r="AI31" s="244" t="n">
        <f aca="false">AI30</f>
        <v>16467.3080282</v>
      </c>
      <c r="AJ31" s="359"/>
      <c r="AK31" s="247" t="n">
        <f aca="false">(I31-P31-Q31-Y31)-U31</f>
        <v>-121.097</v>
      </c>
      <c r="AL31" s="39" t="n">
        <f aca="false">45.4*(V30*1.9835+W30*1.9835)/E31</f>
        <v>4.66730762199669</v>
      </c>
      <c r="AM31" s="569" t="n">
        <v>25</v>
      </c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2.95" hidden="false" customHeight="true" outlineLevel="0" collapsed="false">
      <c r="A32" s="172" t="n">
        <v>21</v>
      </c>
      <c r="B32" s="550" t="n">
        <v>6913.06</v>
      </c>
      <c r="C32" s="194" t="n">
        <v>334368</v>
      </c>
      <c r="D32" s="348" t="n">
        <f aca="false">C32-C31</f>
        <v>-904</v>
      </c>
      <c r="E32" s="194" t="n">
        <f aca="false">C32-152000</f>
        <v>182368</v>
      </c>
      <c r="F32" s="564" t="n">
        <f aca="false">D32/$D$2</f>
        <v>-455.760020166373</v>
      </c>
      <c r="G32" s="187" t="n">
        <v>136</v>
      </c>
      <c r="H32" s="192" t="n">
        <v>0.06</v>
      </c>
      <c r="I32" s="187" t="n">
        <f aca="false">G32+H32</f>
        <v>136.06</v>
      </c>
      <c r="J32" s="195" t="n">
        <f aca="false">IF(L32&gt;0,L32,0)</f>
        <v>0</v>
      </c>
      <c r="K32" s="187" t="n">
        <f aca="false">I32+J32</f>
        <v>136.06</v>
      </c>
      <c r="L32" s="187" t="n">
        <f aca="false">F32-(I32-AC32)</f>
        <v>-59.8200201663726</v>
      </c>
      <c r="M32" s="565" t="n">
        <v>148</v>
      </c>
      <c r="N32" s="267" t="n">
        <f aca="false">2.1*1.03</f>
        <v>2.163</v>
      </c>
      <c r="O32" s="187" t="n">
        <f aca="false">(16+17)*1.05</f>
        <v>34.65</v>
      </c>
      <c r="P32" s="196" t="n">
        <f aca="false">2.24*1.02</f>
        <v>2.2848</v>
      </c>
      <c r="Q32" s="566" t="n">
        <v>4.2</v>
      </c>
      <c r="R32" s="567" t="n">
        <v>2.33</v>
      </c>
      <c r="S32" s="187" t="n">
        <v>108</v>
      </c>
      <c r="T32" s="570" t="n">
        <v>63</v>
      </c>
      <c r="U32" s="187" t="n">
        <f aca="false">M32-N32-O32-P32-Q32-R32+S32+T32</f>
        <v>273.3722</v>
      </c>
      <c r="V32" s="194" t="n">
        <f aca="false">V31</f>
        <v>0</v>
      </c>
      <c r="W32" s="194" t="n">
        <f aca="false">W31+AK32-(AL32/1.9835)+AM32</f>
        <v>9277.63834684588</v>
      </c>
      <c r="X32" s="187" t="n">
        <v>144</v>
      </c>
      <c r="Y32" s="269" t="n">
        <v>1.7</v>
      </c>
      <c r="Z32" s="270" t="n">
        <v>1.3</v>
      </c>
      <c r="AA32" s="187" t="n">
        <v>69</v>
      </c>
      <c r="AB32" s="194" t="n">
        <f aca="false">AB31-AA32</f>
        <v>9938.43307285102</v>
      </c>
      <c r="AC32" s="31" t="n">
        <f aca="false">N32+O32+P32+Q32+R32+U32+X32+AA32</f>
        <v>532</v>
      </c>
      <c r="AD32" s="187" t="n">
        <f aca="false">IF(L32&lt;0,L32*-1,0)</f>
        <v>59.8200201663726</v>
      </c>
      <c r="AE32" s="187" t="n">
        <f aca="false">AC32+AD32</f>
        <v>591.820020166373</v>
      </c>
      <c r="AF32" s="357" t="n">
        <v>0</v>
      </c>
      <c r="AG32" s="348" t="n">
        <v>82</v>
      </c>
      <c r="AH32" s="549" t="n">
        <v>52</v>
      </c>
      <c r="AI32" s="244" t="n">
        <f aca="false">AI31</f>
        <v>16467.3080282</v>
      </c>
      <c r="AJ32" s="359"/>
      <c r="AK32" s="247" t="n">
        <f aca="false">(I32-P32-Q32-Y32)-U32</f>
        <v>-145.497</v>
      </c>
      <c r="AL32" s="39" t="n">
        <f aca="false">45.4*(V31*1.9835+W31*1.9835)/E32</f>
        <v>4.64183017522393</v>
      </c>
      <c r="AM32" s="569" t="n">
        <v>25</v>
      </c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2.95" hidden="false" customHeight="true" outlineLevel="0" collapsed="false">
      <c r="A33" s="172" t="n">
        <v>22</v>
      </c>
      <c r="B33" s="550" t="n">
        <v>6912.83</v>
      </c>
      <c r="C33" s="194" t="n">
        <v>333428</v>
      </c>
      <c r="D33" s="348" t="n">
        <f aca="false">C33-C32</f>
        <v>-940</v>
      </c>
      <c r="E33" s="194" t="n">
        <f aca="false">C33-152000</f>
        <v>181428</v>
      </c>
      <c r="F33" s="564" t="n">
        <f aca="false">D33/$D$2</f>
        <v>-473.909755482733</v>
      </c>
      <c r="G33" s="187" t="n">
        <v>126</v>
      </c>
      <c r="H33" s="192" t="n">
        <v>0.04</v>
      </c>
      <c r="I33" s="187" t="n">
        <f aca="false">G33+H33</f>
        <v>126.04</v>
      </c>
      <c r="J33" s="195" t="n">
        <f aca="false">IF(L33&gt;0,L33,0)</f>
        <v>20.0502445172675</v>
      </c>
      <c r="K33" s="187" t="n">
        <f aca="false">I33+J33</f>
        <v>146.090244517267</v>
      </c>
      <c r="L33" s="187" t="n">
        <f aca="false">F33-(I33-AC33)</f>
        <v>20.0502445172675</v>
      </c>
      <c r="M33" s="565" t="n">
        <v>187</v>
      </c>
      <c r="N33" s="267" t="n">
        <f aca="false">2.1*1.03</f>
        <v>2.163</v>
      </c>
      <c r="O33" s="187" t="n">
        <f aca="false">(31+32)*1.05</f>
        <v>66.15</v>
      </c>
      <c r="P33" s="196" t="n">
        <f aca="false">2.24*1.02</f>
        <v>2.2848</v>
      </c>
      <c r="Q33" s="566" t="n">
        <v>4.2</v>
      </c>
      <c r="R33" s="567" t="n">
        <v>4.01</v>
      </c>
      <c r="S33" s="187" t="n">
        <v>116</v>
      </c>
      <c r="T33" s="187" t="n">
        <v>63</v>
      </c>
      <c r="U33" s="187" t="n">
        <f aca="false">M33-N33-O33-P33-Q33-R33+S33+T33</f>
        <v>287.1922</v>
      </c>
      <c r="V33" s="194" t="n">
        <f aca="false">V32</f>
        <v>0</v>
      </c>
      <c r="W33" s="194" t="n">
        <f aca="false">W32+AK33-(AL33/1.9835)+AM33</f>
        <v>9130.9797383789</v>
      </c>
      <c r="X33" s="187" t="n">
        <v>185</v>
      </c>
      <c r="Y33" s="269" t="n">
        <v>1.7</v>
      </c>
      <c r="Z33" s="270" t="n">
        <v>1.3</v>
      </c>
      <c r="AA33" s="187" t="n">
        <v>69</v>
      </c>
      <c r="AB33" s="194" t="n">
        <f aca="false">AB32-AA33</f>
        <v>9869.43307285102</v>
      </c>
      <c r="AC33" s="31" t="n">
        <f aca="false">N33+O33+P33+Q33+R33+U33+X33+AA33</f>
        <v>620</v>
      </c>
      <c r="AD33" s="187" t="n">
        <f aca="false">IF(L33&lt;0,L33*-1,0)</f>
        <v>0</v>
      </c>
      <c r="AE33" s="187" t="n">
        <f aca="false">AC33+AD33</f>
        <v>620</v>
      </c>
      <c r="AF33" s="357" t="n">
        <v>0</v>
      </c>
      <c r="AG33" s="348" t="n">
        <v>83</v>
      </c>
      <c r="AH33" s="549" t="n">
        <v>52</v>
      </c>
      <c r="AI33" s="244" t="n">
        <f aca="false">AI32</f>
        <v>16467.3080282</v>
      </c>
      <c r="AJ33" s="359"/>
      <c r="AK33" s="247" t="n">
        <f aca="false">(I33-P33-Q33-Y33)-U33</f>
        <v>-169.337</v>
      </c>
      <c r="AL33" s="39" t="n">
        <f aca="false">45.4*(V32*1.9835+W32*1.9835)/E33</f>
        <v>4.60491039424997</v>
      </c>
      <c r="AM33" s="569" t="n">
        <v>25</v>
      </c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2.95" hidden="false" customHeight="true" outlineLevel="0" collapsed="false">
      <c r="A34" s="172" t="n">
        <v>23</v>
      </c>
      <c r="B34" s="550" t="n">
        <v>6912.54</v>
      </c>
      <c r="C34" s="194" t="n">
        <v>332246</v>
      </c>
      <c r="D34" s="348" t="n">
        <f aca="false">C34-C33</f>
        <v>-1182</v>
      </c>
      <c r="E34" s="194" t="n">
        <f aca="false">C34-152000</f>
        <v>180246</v>
      </c>
      <c r="F34" s="564" t="n">
        <f aca="false">D34/$D$2</f>
        <v>-595.916309553819</v>
      </c>
      <c r="G34" s="187" t="n">
        <v>120</v>
      </c>
      <c r="H34" s="192" t="n">
        <v>0.03</v>
      </c>
      <c r="I34" s="187" t="n">
        <f aca="false">G34+H34</f>
        <v>120.03</v>
      </c>
      <c r="J34" s="195" t="n">
        <f aca="false">IF(L34&gt;0,L34,0)</f>
        <v>0</v>
      </c>
      <c r="K34" s="187" t="n">
        <f aca="false">I34+J34</f>
        <v>120.03</v>
      </c>
      <c r="L34" s="187" t="n">
        <f aca="false">F34-(I34-AC34)</f>
        <v>-47.946309553819</v>
      </c>
      <c r="M34" s="565" t="n">
        <v>218</v>
      </c>
      <c r="N34" s="267" t="n">
        <f aca="false">2.1*1.03</f>
        <v>2.163</v>
      </c>
      <c r="O34" s="187" t="n">
        <f aca="false">(39+38)*1.05</f>
        <v>80.85</v>
      </c>
      <c r="P34" s="196" t="n">
        <f aca="false">2.24*1.02</f>
        <v>2.2848</v>
      </c>
      <c r="Q34" s="566" t="n">
        <v>4.2</v>
      </c>
      <c r="R34" s="567" t="n">
        <v>3.24</v>
      </c>
      <c r="S34" s="187" t="n">
        <v>125</v>
      </c>
      <c r="T34" s="187" t="n">
        <v>66</v>
      </c>
      <c r="U34" s="187" t="n">
        <f aca="false">M34-N34-O34-P34-Q34-R34+S34+T34</f>
        <v>316.2622</v>
      </c>
      <c r="V34" s="194" t="n">
        <f aca="false">V33</f>
        <v>0</v>
      </c>
      <c r="W34" s="194" t="n">
        <f aca="false">W33+AK34-(AL34/1.9835)+AM34</f>
        <v>8949.26284556506</v>
      </c>
      <c r="X34" s="187" t="n">
        <v>190</v>
      </c>
      <c r="Y34" s="269" t="n">
        <v>1.7</v>
      </c>
      <c r="Z34" s="270" t="n">
        <v>1.3</v>
      </c>
      <c r="AA34" s="187" t="n">
        <v>69</v>
      </c>
      <c r="AB34" s="194" t="n">
        <f aca="false">AB33-AA34</f>
        <v>9800.43307285102</v>
      </c>
      <c r="AC34" s="31" t="n">
        <f aca="false">N34+O34+P34+Q34+R34+U34+X34+AA34</f>
        <v>668</v>
      </c>
      <c r="AD34" s="187" t="n">
        <f aca="false">IF(L34&lt;0,L34*-1,0)</f>
        <v>47.946309553819</v>
      </c>
      <c r="AE34" s="187" t="n">
        <f aca="false">AC34+AD34</f>
        <v>715.946309553819</v>
      </c>
      <c r="AF34" s="357" t="n">
        <v>0</v>
      </c>
      <c r="AG34" s="348" t="n">
        <v>80</v>
      </c>
      <c r="AH34" s="549" t="n">
        <v>57</v>
      </c>
      <c r="AI34" s="244" t="n">
        <f aca="false">AI33</f>
        <v>16467.3080282</v>
      </c>
      <c r="AJ34" s="359"/>
      <c r="AK34" s="247" t="n">
        <f aca="false">(I34-P34-Q34-Y34)-U34</f>
        <v>-204.417</v>
      </c>
      <c r="AL34" s="39" t="n">
        <f aca="false">45.4*(V33*1.9835+W33*1.9835)/E34</f>
        <v>4.56183739624061</v>
      </c>
      <c r="AM34" s="569" t="n">
        <v>25</v>
      </c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2.95" hidden="false" customHeight="true" outlineLevel="0" collapsed="false">
      <c r="A35" s="172" t="n">
        <v>24</v>
      </c>
      <c r="B35" s="550" t="n">
        <v>6912.26</v>
      </c>
      <c r="C35" s="194" t="n">
        <v>331104</v>
      </c>
      <c r="D35" s="348" t="n">
        <f aca="false">C35-C34</f>
        <v>-1142</v>
      </c>
      <c r="E35" s="194" t="n">
        <f aca="false">C35-152000</f>
        <v>179104</v>
      </c>
      <c r="F35" s="564" t="n">
        <f aca="false">D35/$D$2</f>
        <v>-575.749936980086</v>
      </c>
      <c r="G35" s="187" t="n">
        <v>117</v>
      </c>
      <c r="H35" s="192" t="n">
        <v>0.03</v>
      </c>
      <c r="I35" s="187" t="n">
        <f aca="false">G35+H35</f>
        <v>117.03</v>
      </c>
      <c r="J35" s="195" t="n">
        <f aca="false">IF(L35&gt;0,L35,0)</f>
        <v>0</v>
      </c>
      <c r="K35" s="187" t="n">
        <f aca="false">I35+J35</f>
        <v>117.03</v>
      </c>
      <c r="L35" s="187" t="n">
        <f aca="false">F35-(I35-AC35)</f>
        <v>-26.7799369800857</v>
      </c>
      <c r="M35" s="565" t="n">
        <v>208</v>
      </c>
      <c r="N35" s="267" t="n">
        <f aca="false">2.1*1.03</f>
        <v>2.163</v>
      </c>
      <c r="O35" s="187" t="n">
        <f aca="false">(38+39)*1.05</f>
        <v>80.85</v>
      </c>
      <c r="P35" s="196" t="n">
        <f aca="false">2.24*1.02</f>
        <v>2.2848</v>
      </c>
      <c r="Q35" s="566" t="n">
        <v>4.2</v>
      </c>
      <c r="R35" s="567" t="n">
        <v>3.35</v>
      </c>
      <c r="S35" s="187" t="n">
        <v>122</v>
      </c>
      <c r="T35" s="187" t="n">
        <v>68</v>
      </c>
      <c r="U35" s="187" t="n">
        <f aca="false">M35-N35-O35-P35-Q35-R35+S35+T35</f>
        <v>305.1522</v>
      </c>
      <c r="V35" s="194" t="n">
        <f aca="false">V34</f>
        <v>0</v>
      </c>
      <c r="W35" s="194" t="n">
        <f aca="false">W34+AK35-(AL35/1.9835)+AM35</f>
        <v>8775.68735053877</v>
      </c>
      <c r="X35" s="187" t="n">
        <v>200</v>
      </c>
      <c r="Y35" s="269" t="n">
        <v>1.7</v>
      </c>
      <c r="Z35" s="270" t="n">
        <v>1.3</v>
      </c>
      <c r="AA35" s="187" t="n">
        <v>68</v>
      </c>
      <c r="AB35" s="194" t="n">
        <f aca="false">AB34-AA35</f>
        <v>9732.43307285102</v>
      </c>
      <c r="AC35" s="31" t="n">
        <f aca="false">N35+O35+P35+Q35+R35+U35+X35+AA35</f>
        <v>666</v>
      </c>
      <c r="AD35" s="187" t="n">
        <f aca="false">IF(L35&lt;0,L35*-1,0)</f>
        <v>26.7799369800857</v>
      </c>
      <c r="AE35" s="187" t="n">
        <f aca="false">AC35+AD35</f>
        <v>692.779936980086</v>
      </c>
      <c r="AF35" s="357" t="n">
        <v>0</v>
      </c>
      <c r="AG35" s="348" t="n">
        <v>81</v>
      </c>
      <c r="AH35" s="549" t="n">
        <v>50</v>
      </c>
      <c r="AI35" s="244" t="n">
        <f aca="false">AI34</f>
        <v>16467.3080282</v>
      </c>
      <c r="AJ35" s="359"/>
      <c r="AK35" s="247" t="n">
        <f aca="false">(I35-P35-Q35-Y35)-U35</f>
        <v>-196.307</v>
      </c>
      <c r="AL35" s="39" t="n">
        <f aca="false">45.4*(V34*1.9835+W34*1.9835)/E35</f>
        <v>4.49955988464632</v>
      </c>
      <c r="AM35" s="569" t="n">
        <v>25</v>
      </c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2.95" hidden="false" customHeight="true" outlineLevel="0" collapsed="false">
      <c r="A36" s="172" t="n">
        <v>25</v>
      </c>
      <c r="B36" s="550" t="n">
        <v>6912</v>
      </c>
      <c r="C36" s="194" t="n">
        <v>330044</v>
      </c>
      <c r="D36" s="348" t="n">
        <f aca="false">C36-C35</f>
        <v>-1060</v>
      </c>
      <c r="E36" s="194" t="n">
        <f aca="false">C36-152000</f>
        <v>178044</v>
      </c>
      <c r="F36" s="564" t="n">
        <f aca="false">D36/$D$2</f>
        <v>-534.408873203932</v>
      </c>
      <c r="G36" s="187" t="n">
        <v>110</v>
      </c>
      <c r="H36" s="192" t="n">
        <v>0.03</v>
      </c>
      <c r="I36" s="187" t="n">
        <f aca="false">G36+H36</f>
        <v>110.03</v>
      </c>
      <c r="J36" s="195" t="n">
        <f aca="false">IF(L36&gt;0,L36,0)</f>
        <v>1.56112679606758</v>
      </c>
      <c r="K36" s="187" t="n">
        <f aca="false">I36+J36</f>
        <v>111.591126796068</v>
      </c>
      <c r="L36" s="187" t="n">
        <f aca="false">F36-(I36-AC36)</f>
        <v>1.56112679606758</v>
      </c>
      <c r="M36" s="565" t="n">
        <v>209</v>
      </c>
      <c r="N36" s="267" t="n">
        <f aca="false">2.1*1.03</f>
        <v>2.163</v>
      </c>
      <c r="O36" s="187" t="n">
        <f aca="false">(39+39)*1.05</f>
        <v>81.9</v>
      </c>
      <c r="P36" s="196" t="n">
        <f aca="false">2.24*1.02</f>
        <v>2.2848</v>
      </c>
      <c r="Q36" s="566" t="n">
        <v>4.2</v>
      </c>
      <c r="R36" s="567" t="n">
        <v>3.35</v>
      </c>
      <c r="S36" s="187" t="n">
        <v>121</v>
      </c>
      <c r="T36" s="187" t="n">
        <v>67</v>
      </c>
      <c r="U36" s="187" t="n">
        <f aca="false">M36-N36-O36-P36-Q36-R36+S36+T36</f>
        <v>303.1022</v>
      </c>
      <c r="V36" s="194" t="n">
        <f aca="false">V35</f>
        <v>0</v>
      </c>
      <c r="W36" s="194" t="n">
        <f aca="false">W35+AK36-(AL36/1.9835)+AM36</f>
        <v>8597.19261039749</v>
      </c>
      <c r="X36" s="187" t="n">
        <v>182</v>
      </c>
      <c r="Y36" s="269" t="n">
        <v>1.7</v>
      </c>
      <c r="Z36" s="270" t="n">
        <v>1.3</v>
      </c>
      <c r="AA36" s="187" t="n">
        <v>67</v>
      </c>
      <c r="AB36" s="194" t="n">
        <f aca="false">AB35-AA36</f>
        <v>9665.43307285102</v>
      </c>
      <c r="AC36" s="31" t="n">
        <f aca="false">N36+O36+P36+Q36+R36+U36+X36+AA36</f>
        <v>646</v>
      </c>
      <c r="AD36" s="187" t="n">
        <f aca="false">IF(L36&lt;0,L36*-1,0)</f>
        <v>0</v>
      </c>
      <c r="AE36" s="187" t="n">
        <f aca="false">AC36+AD36</f>
        <v>646</v>
      </c>
      <c r="AF36" s="357" t="n">
        <v>0</v>
      </c>
      <c r="AG36" s="348" t="n">
        <v>82</v>
      </c>
      <c r="AH36" s="549" t="n">
        <v>55</v>
      </c>
      <c r="AI36" s="244" t="n">
        <f aca="false">AI35</f>
        <v>16467.3080282</v>
      </c>
      <c r="AJ36" s="359"/>
      <c r="AK36" s="247" t="n">
        <f aca="false">(I36-P36-Q36-Y36)-U36</f>
        <v>-201.257</v>
      </c>
      <c r="AL36" s="39" t="n">
        <f aca="false">45.4*(V35*1.9835+W35*1.9835)/E36</f>
        <v>4.43855757023338</v>
      </c>
      <c r="AM36" s="569" t="n">
        <v>25</v>
      </c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2.95" hidden="false" customHeight="true" outlineLevel="0" collapsed="false">
      <c r="A37" s="172" t="n">
        <v>26</v>
      </c>
      <c r="B37" s="550" t="n">
        <v>6911.73</v>
      </c>
      <c r="C37" s="194" t="n">
        <v>328952</v>
      </c>
      <c r="D37" s="348" t="n">
        <f aca="false">C37-C36</f>
        <v>-1092</v>
      </c>
      <c r="E37" s="194" t="n">
        <f aca="false">C37-152000</f>
        <v>176952</v>
      </c>
      <c r="F37" s="564" t="n">
        <f aca="false">D37/$D$2</f>
        <v>-550.541971262919</v>
      </c>
      <c r="G37" s="187" t="n">
        <v>107</v>
      </c>
      <c r="H37" s="192" t="n">
        <v>0.03</v>
      </c>
      <c r="I37" s="187" t="n">
        <f aca="false">G37+H37</f>
        <v>107.03</v>
      </c>
      <c r="J37" s="195" t="n">
        <f aca="false">IF(L37&gt;0,L37,0)</f>
        <v>0</v>
      </c>
      <c r="K37" s="187" t="n">
        <f aca="false">I37+J37</f>
        <v>107.03</v>
      </c>
      <c r="L37" s="187" t="n">
        <f aca="false">F37-(I37-AC37)</f>
        <v>-6.57197126291908</v>
      </c>
      <c r="M37" s="565" t="n">
        <v>195</v>
      </c>
      <c r="N37" s="267" t="n">
        <f aca="false">2.1*1.03</f>
        <v>2.163</v>
      </c>
      <c r="O37" s="187" t="n">
        <f aca="false">(31+31)*1.05</f>
        <v>65.1</v>
      </c>
      <c r="P37" s="196" t="n">
        <f aca="false">2.24*1.02</f>
        <v>2.2848</v>
      </c>
      <c r="Q37" s="566" t="n">
        <v>4.2</v>
      </c>
      <c r="R37" s="567" t="n">
        <v>4.65</v>
      </c>
      <c r="S37" s="187" t="n">
        <v>123</v>
      </c>
      <c r="T37" s="187" t="n">
        <v>68</v>
      </c>
      <c r="U37" s="187" t="n">
        <f aca="false">M37-N37-O37-P37-Q37-R37+S37+T37</f>
        <v>307.6022</v>
      </c>
      <c r="V37" s="194" t="n">
        <f aca="false">V36</f>
        <v>0</v>
      </c>
      <c r="W37" s="194" t="n">
        <f aca="false">W36+AK37-(AL37/1.9835)+AM37</f>
        <v>8396.32985660826</v>
      </c>
      <c r="X37" s="187" t="n">
        <v>198</v>
      </c>
      <c r="Y37" s="269" t="n">
        <v>1.7</v>
      </c>
      <c r="Z37" s="270" t="n">
        <v>1.3</v>
      </c>
      <c r="AA37" s="187" t="n">
        <v>67</v>
      </c>
      <c r="AB37" s="194" t="n">
        <f aca="false">AB36-AA37</f>
        <v>9598.43307285102</v>
      </c>
      <c r="AC37" s="31" t="n">
        <f aca="false">N37+O37+P37+Q37+R37+U37+X37+AA37</f>
        <v>651</v>
      </c>
      <c r="AD37" s="187" t="n">
        <f aca="false">IF(L37&lt;0,L37*-1,0)</f>
        <v>6.57197126291908</v>
      </c>
      <c r="AE37" s="187" t="n">
        <f aca="false">AC37+AD37</f>
        <v>657.571971262919</v>
      </c>
      <c r="AF37" s="357" t="n">
        <v>0</v>
      </c>
      <c r="AG37" s="348" t="n">
        <v>84</v>
      </c>
      <c r="AH37" s="549" t="n">
        <v>54</v>
      </c>
      <c r="AI37" s="244" t="n">
        <f aca="false">AI36</f>
        <v>16467.3080282</v>
      </c>
      <c r="AJ37" s="359"/>
      <c r="AK37" s="247" t="n">
        <f aca="false">(I37-P37-Q37-Y37)-U37</f>
        <v>-208.757</v>
      </c>
      <c r="AL37" s="39" t="n">
        <f aca="false">45.4*(V36*1.9835+W36*1.9835)/E37</f>
        <v>4.37511264094016</v>
      </c>
      <c r="AM37" s="569" t="n">
        <v>10.1</v>
      </c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2.95" hidden="false" customHeight="true" outlineLevel="0" collapsed="false">
      <c r="A38" s="172" t="n">
        <v>27</v>
      </c>
      <c r="B38" s="550" t="n">
        <v>6911.43</v>
      </c>
      <c r="C38" s="194" t="n">
        <v>327739</v>
      </c>
      <c r="D38" s="348" t="n">
        <f aca="false">C38-C37</f>
        <v>-1213</v>
      </c>
      <c r="E38" s="194" t="n">
        <f aca="false">C38-152000</f>
        <v>175739</v>
      </c>
      <c r="F38" s="564" t="n">
        <f aca="false">D38/$D$2</f>
        <v>-611.545248298462</v>
      </c>
      <c r="G38" s="187" t="n">
        <v>107</v>
      </c>
      <c r="H38" s="192" t="n">
        <v>0.02</v>
      </c>
      <c r="I38" s="187" t="n">
        <f aca="false">G38+H38</f>
        <v>107.02</v>
      </c>
      <c r="J38" s="195" t="n">
        <f aca="false">IF(L38&gt;0,L38,0)</f>
        <v>0</v>
      </c>
      <c r="K38" s="187" t="n">
        <f aca="false">I38+J38</f>
        <v>107.02</v>
      </c>
      <c r="L38" s="187" t="n">
        <f aca="false">F38-(I38-AC38)</f>
        <v>-68.5652482984623</v>
      </c>
      <c r="M38" s="565" t="n">
        <v>182</v>
      </c>
      <c r="N38" s="267" t="n">
        <f aca="false">2.1*1.03</f>
        <v>2.163</v>
      </c>
      <c r="O38" s="187" t="n">
        <f aca="false">(24+25)*1.05</f>
        <v>51.45</v>
      </c>
      <c r="P38" s="196" t="n">
        <f aca="false">2.24*1.02</f>
        <v>2.2848</v>
      </c>
      <c r="Q38" s="566" t="n">
        <v>4.2</v>
      </c>
      <c r="R38" s="567" t="n">
        <v>3.34</v>
      </c>
      <c r="S38" s="187" t="n">
        <v>122</v>
      </c>
      <c r="T38" s="187" t="n">
        <v>67</v>
      </c>
      <c r="U38" s="187" t="n">
        <f aca="false">M38-N38-O38-P38-Q38-R38+S38+T38</f>
        <v>307.5622</v>
      </c>
      <c r="V38" s="194" t="n">
        <f aca="false">V37</f>
        <v>0</v>
      </c>
      <c r="W38" s="194" t="n">
        <f aca="false">W37+AK38-(AL38/1.9835)+AM38</f>
        <v>8185.43376849754</v>
      </c>
      <c r="X38" s="187" t="n">
        <v>212</v>
      </c>
      <c r="Y38" s="269" t="n">
        <v>1.7</v>
      </c>
      <c r="Z38" s="270" t="n">
        <v>1.3</v>
      </c>
      <c r="AA38" s="187" t="n">
        <v>67</v>
      </c>
      <c r="AB38" s="194" t="n">
        <f aca="false">AB37-AA38</f>
        <v>9531.43307285102</v>
      </c>
      <c r="AC38" s="31" t="n">
        <f aca="false">N38+O38+P38+Q38+R38+U38+X38+AA38</f>
        <v>650</v>
      </c>
      <c r="AD38" s="187" t="n">
        <f aca="false">IF(L38&lt;0,L38*-1,0)</f>
        <v>68.5652482984623</v>
      </c>
      <c r="AE38" s="187" t="n">
        <f aca="false">AC38+AD38</f>
        <v>718.565248298462</v>
      </c>
      <c r="AF38" s="357" t="n">
        <v>0.01</v>
      </c>
      <c r="AG38" s="348" t="n">
        <v>81</v>
      </c>
      <c r="AH38" s="549" t="n">
        <v>52</v>
      </c>
      <c r="AI38" s="244" t="n">
        <f aca="false">AI37</f>
        <v>16467.3080282</v>
      </c>
      <c r="AJ38" s="359"/>
      <c r="AK38" s="247" t="n">
        <f aca="false">(I38-P38-Q38-Y38)-U38</f>
        <v>-208.727</v>
      </c>
      <c r="AL38" s="39" t="n">
        <f aca="false">45.4*(V37*1.9835+W37*1.9835)/E38</f>
        <v>4.3023862676153</v>
      </c>
      <c r="AM38" s="569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2.95" hidden="false" customHeight="true" outlineLevel="0" collapsed="false">
      <c r="A39" s="571" t="n">
        <v>28</v>
      </c>
      <c r="B39" s="572" t="n">
        <v>6911.15</v>
      </c>
      <c r="C39" s="573" t="n">
        <v>326606</v>
      </c>
      <c r="D39" s="574" t="n">
        <f aca="false">C39-C38</f>
        <v>-1133</v>
      </c>
      <c r="E39" s="573" t="n">
        <f aca="false">C39-152000</f>
        <v>174606</v>
      </c>
      <c r="F39" s="575" t="n">
        <f aca="false">D39/$D$2</f>
        <v>-571.212503150996</v>
      </c>
      <c r="G39" s="570" t="n">
        <v>105</v>
      </c>
      <c r="H39" s="192" t="n">
        <v>0.02</v>
      </c>
      <c r="I39" s="570" t="n">
        <f aca="false">G39+H39</f>
        <v>105.02</v>
      </c>
      <c r="J39" s="576" t="n">
        <f aca="false">IF(L39&gt;0,L39,0)</f>
        <v>0</v>
      </c>
      <c r="K39" s="570" t="n">
        <f aca="false">I39+J39</f>
        <v>105.02</v>
      </c>
      <c r="L39" s="570" t="n">
        <f aca="false">F39-(I39-AC39)</f>
        <v>-36.2325031509957</v>
      </c>
      <c r="M39" s="577" t="n">
        <v>192</v>
      </c>
      <c r="N39" s="267" t="n">
        <f aca="false">2.1*1.03</f>
        <v>2.163</v>
      </c>
      <c r="O39" s="570" t="n">
        <f aca="false">(24+25)*1.05</f>
        <v>51.45</v>
      </c>
      <c r="P39" s="196" t="n">
        <f aca="false">2.24*1.02</f>
        <v>2.2848</v>
      </c>
      <c r="Q39" s="566" t="n">
        <v>4.2</v>
      </c>
      <c r="R39" s="567" t="n">
        <v>2.91</v>
      </c>
      <c r="S39" s="570" t="n">
        <v>122</v>
      </c>
      <c r="T39" s="570" t="n">
        <v>67</v>
      </c>
      <c r="U39" s="187" t="n">
        <f aca="false">M39-N39-O39-P39-Q39-R39+S39+T39</f>
        <v>317.9922</v>
      </c>
      <c r="V39" s="194" t="n">
        <f aca="false">V38</f>
        <v>0</v>
      </c>
      <c r="W39" s="194" t="n">
        <f aca="false">W38+AK39-(AL39/1.9835)+AM39</f>
        <v>7962.14844133187</v>
      </c>
      <c r="X39" s="570" t="n">
        <v>192</v>
      </c>
      <c r="Y39" s="269" t="n">
        <v>1.7</v>
      </c>
      <c r="Z39" s="270" t="n">
        <v>1.3</v>
      </c>
      <c r="AA39" s="187" t="n">
        <v>67</v>
      </c>
      <c r="AB39" s="194" t="n">
        <f aca="false">AB38-AA39</f>
        <v>9464.43307285102</v>
      </c>
      <c r="AC39" s="31" t="n">
        <f aca="false">N39+O39+P39+Q39+R39+U39+X39+AA39</f>
        <v>640</v>
      </c>
      <c r="AD39" s="570" t="n">
        <f aca="false">IF(L39&lt;0,L39*-1,0)</f>
        <v>36.2325031509957</v>
      </c>
      <c r="AE39" s="570" t="n">
        <f aca="false">AC39+AD39</f>
        <v>676.232503150996</v>
      </c>
      <c r="AF39" s="578" t="n">
        <v>0</v>
      </c>
      <c r="AG39" s="574" t="n">
        <v>84</v>
      </c>
      <c r="AH39" s="579" t="n">
        <v>49</v>
      </c>
      <c r="AI39" s="244" t="n">
        <f aca="false">AI38</f>
        <v>16467.3080282</v>
      </c>
      <c r="AJ39" s="359"/>
      <c r="AK39" s="247" t="n">
        <f aca="false">(I39-P39-Q39-Y39)-U39</f>
        <v>-221.157</v>
      </c>
      <c r="AL39" s="39" t="n">
        <f aca="false">45.4*(V38*1.9835+W38*1.9835)/E39</f>
        <v>4.22153693311567</v>
      </c>
      <c r="AM39" s="569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2.95" hidden="false" customHeight="true" outlineLevel="0" collapsed="false">
      <c r="A40" s="571" t="n">
        <v>29</v>
      </c>
      <c r="B40" s="572" t="n">
        <v>6910.87</v>
      </c>
      <c r="C40" s="573" t="n">
        <v>325478</v>
      </c>
      <c r="D40" s="574" t="n">
        <f aca="false">C40-C39</f>
        <v>-1128</v>
      </c>
      <c r="E40" s="573" t="n">
        <f aca="false">C40-152000</f>
        <v>173478</v>
      </c>
      <c r="F40" s="575" t="n">
        <f aca="false">D40/$D$2</f>
        <v>-568.691706579279</v>
      </c>
      <c r="G40" s="570" t="n">
        <v>102</v>
      </c>
      <c r="H40" s="580" t="n">
        <v>0.01</v>
      </c>
      <c r="I40" s="570" t="n">
        <f aca="false">G40+H40</f>
        <v>102.01</v>
      </c>
      <c r="J40" s="576" t="n">
        <f aca="false">IF(L40&gt;0,L40,0)</f>
        <v>6.29829342072094</v>
      </c>
      <c r="K40" s="570" t="n">
        <f aca="false">I40+J40</f>
        <v>108.308293420721</v>
      </c>
      <c r="L40" s="570" t="n">
        <f aca="false">F40-(I40-AC40)</f>
        <v>6.29829342072094</v>
      </c>
      <c r="M40" s="577" t="n">
        <v>204</v>
      </c>
      <c r="N40" s="267" t="n">
        <f aca="false">2.1*1.03</f>
        <v>2.163</v>
      </c>
      <c r="O40" s="570" t="n">
        <f aca="false">(32+30)*1.05</f>
        <v>65.1</v>
      </c>
      <c r="P40" s="196" t="n">
        <f aca="false">2.24*1.02</f>
        <v>2.2848</v>
      </c>
      <c r="Q40" s="566" t="n">
        <v>4.2</v>
      </c>
      <c r="R40" s="567" t="n">
        <v>5.11</v>
      </c>
      <c r="S40" s="570" t="n">
        <v>122</v>
      </c>
      <c r="T40" s="570" t="n">
        <v>67</v>
      </c>
      <c r="U40" s="187" t="n">
        <f aca="false">M40-N40-O40-P40-Q40-R40+S40+T40</f>
        <v>314.1422</v>
      </c>
      <c r="V40" s="194" t="n">
        <f aca="false">V39</f>
        <v>0</v>
      </c>
      <c r="W40" s="194" t="n">
        <f aca="false">W39+AK40-(AL40/1.9835)+AM40</f>
        <v>7739.7477100274</v>
      </c>
      <c r="X40" s="570" t="n">
        <v>217</v>
      </c>
      <c r="Y40" s="269" t="n">
        <v>1.7</v>
      </c>
      <c r="Z40" s="270" t="n">
        <v>1.3</v>
      </c>
      <c r="AA40" s="187" t="n">
        <v>67</v>
      </c>
      <c r="AB40" s="194" t="n">
        <f aca="false">AB39-AA40</f>
        <v>9397.43307285102</v>
      </c>
      <c r="AC40" s="31" t="n">
        <f aca="false">N40+O40+P40+Q40+R40+U40+X40+AA40</f>
        <v>677</v>
      </c>
      <c r="AD40" s="570" t="n">
        <f aca="false">IF(L40&lt;0,L40*-1,0)</f>
        <v>0</v>
      </c>
      <c r="AE40" s="570" t="n">
        <f aca="false">AC40+AD40</f>
        <v>677</v>
      </c>
      <c r="AF40" s="578" t="n">
        <v>0</v>
      </c>
      <c r="AG40" s="574" t="n">
        <v>84</v>
      </c>
      <c r="AH40" s="579" t="n">
        <v>52</v>
      </c>
      <c r="AI40" s="244" t="n">
        <f aca="false">AI39</f>
        <v>16467.3080282</v>
      </c>
      <c r="AJ40" s="359"/>
      <c r="AK40" s="247" t="n">
        <f aca="false">(I40-P40-Q40-Y40)-U40</f>
        <v>-220.317</v>
      </c>
      <c r="AL40" s="39" t="n">
        <f aca="false">45.4*(V39*1.9835+W39*1.9835)/E40</f>
        <v>4.1330810424119</v>
      </c>
      <c r="AM40" s="569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12.95" hidden="false" customHeight="true" outlineLevel="0" collapsed="false">
      <c r="A41" s="571" t="n">
        <v>30</v>
      </c>
      <c r="B41" s="572" t="n">
        <v>6910.57</v>
      </c>
      <c r="C41" s="573" t="n">
        <v>324274</v>
      </c>
      <c r="D41" s="574" t="n">
        <f aca="false">C41-C40</f>
        <v>-1204</v>
      </c>
      <c r="E41" s="573" t="n">
        <f aca="false">C41-152000</f>
        <v>172274</v>
      </c>
      <c r="F41" s="575" t="n">
        <f aca="false">D41/$D$2</f>
        <v>-607.007814469372</v>
      </c>
      <c r="G41" s="570" t="n">
        <v>93</v>
      </c>
      <c r="H41" s="580" t="n">
        <v>0.01</v>
      </c>
      <c r="I41" s="570" t="n">
        <f aca="false">G41+H41</f>
        <v>93.01</v>
      </c>
      <c r="J41" s="576" t="n">
        <f aca="false">IF(L41&gt;0,L41,0)</f>
        <v>10.9821855306277</v>
      </c>
      <c r="K41" s="570" t="n">
        <f aca="false">I41+J41</f>
        <v>103.992185530628</v>
      </c>
      <c r="L41" s="570" t="n">
        <f aca="false">F41-(I41-AC41)</f>
        <v>10.9821855306277</v>
      </c>
      <c r="M41" s="577" t="n">
        <v>212</v>
      </c>
      <c r="N41" s="267" t="n">
        <f aca="false">2.1*1.03</f>
        <v>2.163</v>
      </c>
      <c r="O41" s="570" t="n">
        <f aca="false">(33+33)*1.05</f>
        <v>69.3</v>
      </c>
      <c r="P41" s="196" t="n">
        <f aca="false">2.24*1.02</f>
        <v>2.2848</v>
      </c>
      <c r="Q41" s="566" t="n">
        <v>4.2</v>
      </c>
      <c r="R41" s="567" t="n">
        <v>4.08</v>
      </c>
      <c r="S41" s="570" t="n">
        <v>122</v>
      </c>
      <c r="T41" s="570" t="n">
        <v>66</v>
      </c>
      <c r="U41" s="187" t="n">
        <f aca="false">M41-N41-O41-P41-Q41-R41+S41+T41</f>
        <v>317.9722</v>
      </c>
      <c r="V41" s="194" t="n">
        <f aca="false">V40</f>
        <v>0</v>
      </c>
      <c r="W41" s="194" t="n">
        <f aca="false">W40+AK41-(AL41/1.9835)+AM41</f>
        <v>7504.56102588449</v>
      </c>
      <c r="X41" s="570" t="n">
        <v>244</v>
      </c>
      <c r="Y41" s="269" t="n">
        <v>1.7</v>
      </c>
      <c r="Z41" s="270" t="n">
        <v>1.3</v>
      </c>
      <c r="AA41" s="187" t="n">
        <v>67</v>
      </c>
      <c r="AB41" s="194" t="n">
        <f aca="false">AB40-AA41</f>
        <v>9330.43307285102</v>
      </c>
      <c r="AC41" s="31" t="n">
        <f aca="false">N41+O41+P41+Q41+R41+U41+X41+AA41</f>
        <v>711</v>
      </c>
      <c r="AD41" s="570" t="n">
        <f aca="false">IF(L41&lt;0,L41*-1,0)</f>
        <v>0</v>
      </c>
      <c r="AE41" s="570" t="n">
        <f aca="false">AC41+AD41</f>
        <v>711</v>
      </c>
      <c r="AF41" s="578" t="n">
        <v>0</v>
      </c>
      <c r="AG41" s="574" t="n">
        <v>85</v>
      </c>
      <c r="AH41" s="579" t="n">
        <v>54</v>
      </c>
      <c r="AI41" s="244" t="n">
        <f aca="false">AI40</f>
        <v>16467.3080282</v>
      </c>
      <c r="AJ41" s="359"/>
      <c r="AK41" s="247" t="n">
        <f aca="false">(I41-P41-Q41-Y41)-U41</f>
        <v>-233.147</v>
      </c>
      <c r="AL41" s="39" t="n">
        <f aca="false">45.4*(V40*1.9835+W40*1.9835)/E41</f>
        <v>4.04571349745699</v>
      </c>
      <c r="AM41" s="569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</row>
    <row r="42" customFormat="false" ht="12.95" hidden="false" customHeight="true" outlineLevel="0" collapsed="false">
      <c r="A42" s="571" t="n">
        <v>31</v>
      </c>
      <c r="B42" s="572" t="n">
        <v>6910.25</v>
      </c>
      <c r="C42" s="573" t="n">
        <v>322990</v>
      </c>
      <c r="D42" s="574" t="n">
        <f aca="false">C42-C41</f>
        <v>-1284</v>
      </c>
      <c r="E42" s="573" t="n">
        <f aca="false">C42-152000</f>
        <v>170990</v>
      </c>
      <c r="F42" s="575" t="n">
        <f aca="false">D42/$D$2</f>
        <v>-647.340559616839</v>
      </c>
      <c r="G42" s="570" t="n">
        <v>86</v>
      </c>
      <c r="H42" s="580" t="n">
        <v>0.01</v>
      </c>
      <c r="I42" s="570" t="n">
        <f aca="false">G42+H42</f>
        <v>86.01</v>
      </c>
      <c r="J42" s="576" t="n">
        <f aca="false">IF(L42&gt;0,L42,0)</f>
        <v>0</v>
      </c>
      <c r="K42" s="570" t="n">
        <f aca="false">I42+J42</f>
        <v>86.01</v>
      </c>
      <c r="L42" s="570" t="n">
        <f aca="false">F42-(I42-AC42)</f>
        <v>-14.3505596168389</v>
      </c>
      <c r="M42" s="577" t="n">
        <v>215</v>
      </c>
      <c r="N42" s="267" t="n">
        <f aca="false">2.1*1.03</f>
        <v>2.163</v>
      </c>
      <c r="O42" s="570" t="n">
        <f aca="false">(32+34)*1.05</f>
        <v>69.3</v>
      </c>
      <c r="P42" s="196" t="n">
        <f aca="false">2.24*1.02</f>
        <v>2.2848</v>
      </c>
      <c r="Q42" s="566" t="n">
        <v>4.2</v>
      </c>
      <c r="R42" s="567" t="n">
        <v>3.03</v>
      </c>
      <c r="S42" s="570" t="n">
        <v>124</v>
      </c>
      <c r="T42" s="570" t="n">
        <v>67</v>
      </c>
      <c r="U42" s="187" t="n">
        <f aca="false">M42-N42-O42-P42-Q42-R42+S42+T42</f>
        <v>325.0222</v>
      </c>
      <c r="V42" s="194" t="n">
        <f aca="false">V41</f>
        <v>0</v>
      </c>
      <c r="W42" s="194" t="n">
        <f aca="false">W41+AK42-(AL42/1.9835)+AM42</f>
        <v>7255.37147035156</v>
      </c>
      <c r="X42" s="570" t="n">
        <v>246</v>
      </c>
      <c r="Y42" s="269" t="n">
        <v>1.7</v>
      </c>
      <c r="Z42" s="270" t="n">
        <v>1.3</v>
      </c>
      <c r="AA42" s="187" t="n">
        <v>67</v>
      </c>
      <c r="AB42" s="194" t="n">
        <f aca="false">AB41-AA42</f>
        <v>9263.43307285102</v>
      </c>
      <c r="AC42" s="31" t="n">
        <f aca="false">N42+O42+P42+Q42+R42+U42+X42+AA42</f>
        <v>719</v>
      </c>
      <c r="AD42" s="570" t="n">
        <f aca="false">IF(L42&lt;0,L42*-1,0)</f>
        <v>14.3505596168389</v>
      </c>
      <c r="AE42" s="570" t="n">
        <f aca="false">AC42+AD42</f>
        <v>733.350559616839</v>
      </c>
      <c r="AF42" s="578" t="n">
        <v>0</v>
      </c>
      <c r="AG42" s="574" t="n">
        <v>81</v>
      </c>
      <c r="AH42" s="579" t="n">
        <v>49</v>
      </c>
      <c r="AI42" s="244" t="n">
        <f aca="false">AI41</f>
        <v>16467.3080282</v>
      </c>
      <c r="AJ42" s="359"/>
      <c r="AK42" s="247" t="n">
        <f aca="false">(I42-P42-Q42-Y42)-U42</f>
        <v>-247.197</v>
      </c>
      <c r="AL42" s="39" t="n">
        <f aca="false">45.4*(V41*1.9835+W41*1.9835)/E42</f>
        <v>3.95223389956033</v>
      </c>
      <c r="AM42" s="569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</row>
    <row r="43" customFormat="false" ht="3" hidden="false" customHeight="true" outlineLevel="0" collapsed="false">
      <c r="A43" s="254"/>
      <c r="B43" s="581"/>
      <c r="C43" s="553"/>
      <c r="D43" s="386"/>
      <c r="E43" s="553"/>
      <c r="F43" s="554"/>
      <c r="G43" s="386"/>
      <c r="H43" s="555"/>
      <c r="I43" s="386"/>
      <c r="J43" s="386"/>
      <c r="K43" s="386"/>
      <c r="L43" s="386"/>
      <c r="M43" s="556"/>
      <c r="N43" s="386"/>
      <c r="O43" s="386"/>
      <c r="P43" s="557"/>
      <c r="Q43" s="557"/>
      <c r="R43" s="558"/>
      <c r="S43" s="386"/>
      <c r="T43" s="386"/>
      <c r="U43" s="386"/>
      <c r="V43" s="553"/>
      <c r="W43" s="553"/>
      <c r="X43" s="386"/>
      <c r="Y43" s="260"/>
      <c r="Z43" s="261"/>
      <c r="AA43" s="386"/>
      <c r="AB43" s="386"/>
      <c r="AC43" s="386"/>
      <c r="AD43" s="386"/>
      <c r="AE43" s="386"/>
      <c r="AF43" s="559"/>
      <c r="AG43" s="560"/>
      <c r="AH43" s="561"/>
      <c r="AI43" s="387"/>
      <c r="AJ43" s="387"/>
      <c r="AK43" s="387"/>
      <c r="AL43" s="562"/>
      <c r="AM43" s="563"/>
      <c r="AN43" s="563"/>
    </row>
    <row r="44" customFormat="false" ht="12.95" hidden="false" customHeight="true" outlineLevel="0" collapsed="false">
      <c r="A44" s="173" t="s">
        <v>75</v>
      </c>
      <c r="B44" s="544"/>
      <c r="C44" s="194"/>
      <c r="D44" s="194"/>
      <c r="E44" s="194"/>
      <c r="F44" s="545" t="n">
        <f aca="false">SUM(F12:F42)</f>
        <v>-13827.5775144946</v>
      </c>
      <c r="G44" s="194" t="n">
        <f aca="false">SUM(G12:G42)</f>
        <v>4686</v>
      </c>
      <c r="H44" s="194" t="n">
        <f aca="false">SUM(H12:H42)</f>
        <v>14.52</v>
      </c>
      <c r="I44" s="194" t="n">
        <f aca="false">SUM(I12:I42)</f>
        <v>4700.52</v>
      </c>
      <c r="J44" s="194" t="n">
        <f aca="false">SUM(J12:J42)</f>
        <v>630.322480463827</v>
      </c>
      <c r="K44" s="194" t="n">
        <f aca="false">SUM(K12:K42)</f>
        <v>5330.84248046383</v>
      </c>
      <c r="L44" s="194" t="n">
        <f aca="false">SUM(L12:L42)</f>
        <v>142.90248550542</v>
      </c>
      <c r="M44" s="546" t="n">
        <f aca="false">SUM(M12:M42)</f>
        <v>5686</v>
      </c>
      <c r="N44" s="194" t="n">
        <f aca="false">SUM(N12:N42)</f>
        <v>67.053</v>
      </c>
      <c r="O44" s="194" t="n">
        <f aca="false">SUM(O12:O42)</f>
        <v>2003.4</v>
      </c>
      <c r="P44" s="348" t="n">
        <f aca="false">SUM(P12:P42)</f>
        <v>70.8288</v>
      </c>
      <c r="Q44" s="348" t="n">
        <f aca="false">SUM(Q12:Q42)</f>
        <v>129.78</v>
      </c>
      <c r="R44" s="582" t="n">
        <f aca="false">SUM(R12:R42)</f>
        <v>74</v>
      </c>
      <c r="S44" s="194" t="n">
        <f aca="false">SUM(S12:S42)</f>
        <v>3448</v>
      </c>
      <c r="T44" s="194" t="n">
        <f aca="false">SUM(T12:T42)</f>
        <v>2073</v>
      </c>
      <c r="U44" s="194" t="n">
        <f aca="false">SUM(U12:U42)</f>
        <v>8861.9382</v>
      </c>
      <c r="V44" s="194"/>
      <c r="W44" s="194"/>
      <c r="X44" s="194" t="n">
        <f aca="false">SUM(X12:X42)</f>
        <v>5095</v>
      </c>
      <c r="Y44" s="546" t="n">
        <f aca="false">SUM(Y12:Y42)</f>
        <v>52.7</v>
      </c>
      <c r="Z44" s="548" t="n">
        <f aca="false">SUM(Z12:Z42)</f>
        <v>40.3</v>
      </c>
      <c r="AA44" s="194" t="n">
        <f aca="false">SUM(AA12:AA43)</f>
        <v>2369</v>
      </c>
      <c r="AB44" s="194"/>
      <c r="AC44" s="194" t="n">
        <f aca="false">SUM(AC12:AC42)</f>
        <v>18671</v>
      </c>
      <c r="AD44" s="194" t="n">
        <f aca="false">SUM(AD12:AD42)</f>
        <v>487.419994958407</v>
      </c>
      <c r="AE44" s="194" t="n">
        <f aca="false">SUM(AE12:AE42)</f>
        <v>19158.4199949584</v>
      </c>
      <c r="AF44" s="357" t="n">
        <f aca="false">SUM(AF12:AF42)</f>
        <v>1.06</v>
      </c>
      <c r="AG44" s="348" t="n">
        <f aca="false">AVERAGE(AG12:AG42)</f>
        <v>81.258064516129</v>
      </c>
      <c r="AH44" s="549" t="n">
        <f aca="false">AVERAGE(AH12:AH42)</f>
        <v>54.0967741935484</v>
      </c>
      <c r="AI44" s="359" t="s">
        <v>106</v>
      </c>
      <c r="AJ44" s="194" t="n">
        <f aca="false">SUM(AJ12:AJ42)</f>
        <v>0</v>
      </c>
      <c r="AK44" s="297"/>
      <c r="AL44" s="196"/>
      <c r="AM44" s="244" t="n">
        <f aca="false">SUM(AM12:AM42)</f>
        <v>635.1</v>
      </c>
      <c r="AN44" s="244" t="n">
        <f aca="false">SUM(AN12:AN42)</f>
        <v>0</v>
      </c>
    </row>
    <row r="45" customFormat="false" ht="12.95" hidden="false" customHeight="true" outlineLevel="0" collapsed="false">
      <c r="A45" s="173" t="s">
        <v>77</v>
      </c>
      <c r="B45" s="544"/>
      <c r="C45" s="194"/>
      <c r="D45" s="194" t="n">
        <f aca="false">SUM(D12:D42)</f>
        <v>-27427</v>
      </c>
      <c r="E45" s="194"/>
      <c r="F45" s="545" t="n">
        <f aca="false">F44*$D$2</f>
        <v>-27427</v>
      </c>
      <c r="G45" s="194" t="n">
        <f aca="false">G44*$D$2</f>
        <v>9294.681</v>
      </c>
      <c r="H45" s="194" t="n">
        <f aca="false">H44*$D$2</f>
        <v>28.80042</v>
      </c>
      <c r="I45" s="194" t="n">
        <f aca="false">I44*$D$2</f>
        <v>9323.48142</v>
      </c>
      <c r="J45" s="194" t="n">
        <f aca="false">J44*$D$2</f>
        <v>1250.24464</v>
      </c>
      <c r="K45" s="194" t="n">
        <f aca="false">K44*$D$2</f>
        <v>10573.72606</v>
      </c>
      <c r="L45" s="194" t="n">
        <f aca="false">L44*$D$2</f>
        <v>283.44708</v>
      </c>
      <c r="M45" s="546" t="n">
        <f aca="false">M44*$D$2</f>
        <v>11278.181</v>
      </c>
      <c r="N45" s="194" t="n">
        <f aca="false">N44*$D$2</f>
        <v>132.9996255</v>
      </c>
      <c r="O45" s="194" t="n">
        <f aca="false">O44*$D$2</f>
        <v>3973.7439</v>
      </c>
      <c r="P45" s="348" t="n">
        <f aca="false">P44*$D$2</f>
        <v>140.4889248</v>
      </c>
      <c r="Q45" s="348" t="n">
        <f aca="false">Q44*$D$2</f>
        <v>257.41863</v>
      </c>
      <c r="R45" s="582" t="n">
        <f aca="false">R44*$D$2</f>
        <v>146.779</v>
      </c>
      <c r="S45" s="194" t="n">
        <f aca="false">S44*$D$2</f>
        <v>6839.108</v>
      </c>
      <c r="T45" s="194" t="n">
        <f aca="false">T44*$D$2</f>
        <v>4111.7955</v>
      </c>
      <c r="U45" s="194" t="n">
        <f aca="false">U44*$D$2</f>
        <v>17577.6544197</v>
      </c>
      <c r="V45" s="194"/>
      <c r="W45" s="194"/>
      <c r="X45" s="194" t="n">
        <f aca="false">X44*$D$2</f>
        <v>10105.9325</v>
      </c>
      <c r="Y45" s="546" t="n">
        <f aca="false">Y44*$D$2</f>
        <v>104.53045</v>
      </c>
      <c r="Z45" s="548" t="n">
        <f aca="false">Z44*$D$2</f>
        <v>79.93505</v>
      </c>
      <c r="AA45" s="194" t="n">
        <f aca="false">AA44*$D$2</f>
        <v>4698.9115</v>
      </c>
      <c r="AB45" s="194"/>
      <c r="AC45" s="194" t="n">
        <f aca="false">AC44*$D$2</f>
        <v>37033.9285</v>
      </c>
      <c r="AD45" s="194" t="n">
        <f aca="false">AD44*$D$2</f>
        <v>966.79756</v>
      </c>
      <c r="AE45" s="194" t="n">
        <f aca="false">AE44*$D$2</f>
        <v>38000.72606</v>
      </c>
      <c r="AF45" s="357"/>
      <c r="AG45" s="348" t="n">
        <f aca="false">MAX(AG12:AG42)</f>
        <v>88</v>
      </c>
      <c r="AH45" s="549" t="n">
        <f aca="false">MAX(AH12:AH42)</f>
        <v>59</v>
      </c>
      <c r="AI45" s="359" t="s">
        <v>78</v>
      </c>
      <c r="AJ45" s="194" t="n">
        <f aca="false">AJ44*$D$2</f>
        <v>0</v>
      </c>
      <c r="AK45" s="297"/>
      <c r="AL45" s="196" t="n">
        <f aca="false">SUM(AL12:AL42)</f>
        <v>144.097272251386</v>
      </c>
      <c r="AM45" s="244" t="n">
        <f aca="false">AM44*$D$2</f>
        <v>1259.72085</v>
      </c>
      <c r="AN45" s="244" t="n">
        <f aca="false">AN44*$D$2</f>
        <v>0</v>
      </c>
    </row>
    <row r="46" customFormat="false" ht="3" hidden="false" customHeight="true" outlineLevel="0" collapsed="false">
      <c r="A46" s="275"/>
      <c r="B46" s="581"/>
      <c r="C46" s="553"/>
      <c r="D46" s="553"/>
      <c r="E46" s="553"/>
      <c r="F46" s="583"/>
      <c r="G46" s="553"/>
      <c r="H46" s="553"/>
      <c r="I46" s="553"/>
      <c r="J46" s="553"/>
      <c r="K46" s="553"/>
      <c r="L46" s="553"/>
      <c r="M46" s="584"/>
      <c r="N46" s="553"/>
      <c r="O46" s="553"/>
      <c r="P46" s="560"/>
      <c r="Q46" s="560"/>
      <c r="R46" s="585"/>
      <c r="S46" s="553"/>
      <c r="T46" s="553"/>
      <c r="U46" s="553"/>
      <c r="V46" s="553"/>
      <c r="W46" s="553"/>
      <c r="X46" s="553"/>
      <c r="Y46" s="584"/>
      <c r="Z46" s="586"/>
      <c r="AA46" s="553"/>
      <c r="AB46" s="386"/>
      <c r="AC46" s="553"/>
      <c r="AD46" s="553"/>
      <c r="AE46" s="553"/>
      <c r="AF46" s="587"/>
      <c r="AG46" s="553"/>
      <c r="AH46" s="583"/>
      <c r="AI46" s="553"/>
      <c r="AJ46" s="553"/>
      <c r="AK46" s="395"/>
      <c r="AL46" s="557"/>
      <c r="AM46" s="264"/>
      <c r="AN46" s="264"/>
    </row>
    <row r="47" customFormat="false" ht="12.95" hidden="false" customHeight="true" outlineLevel="0" collapsed="false">
      <c r="A47" s="173" t="s">
        <v>79</v>
      </c>
      <c r="B47" s="544"/>
      <c r="C47" s="194"/>
      <c r="D47" s="194"/>
      <c r="E47" s="194"/>
      <c r="F47" s="545" t="n">
        <f aca="false">F9+F44</f>
        <v>41930.4260146206</v>
      </c>
      <c r="G47" s="194" t="n">
        <f aca="false">G9+G44</f>
        <v>172487</v>
      </c>
      <c r="H47" s="194" t="n">
        <f aca="false">H9+H44</f>
        <v>12716.06</v>
      </c>
      <c r="I47" s="194" t="n">
        <f aca="false">I9+I44</f>
        <v>185203.06</v>
      </c>
      <c r="J47" s="194" t="n">
        <f aca="false">J9+J44</f>
        <v>36523.8920267205</v>
      </c>
      <c r="K47" s="194" t="n">
        <f aca="false">K9+K44</f>
        <v>221726.95202672</v>
      </c>
      <c r="L47" s="194" t="n">
        <f aca="false">L9+L44</f>
        <v>34777.8360146206</v>
      </c>
      <c r="M47" s="546" t="n">
        <f aca="false">M9+M44</f>
        <v>32307.5</v>
      </c>
      <c r="N47" s="194" t="n">
        <f aca="false">N9+N44</f>
        <v>266.049</v>
      </c>
      <c r="O47" s="194" t="n">
        <f aca="false">O9+O44</f>
        <v>10369.074</v>
      </c>
      <c r="P47" s="348"/>
      <c r="Q47" s="348"/>
      <c r="R47" s="582"/>
      <c r="S47" s="194" t="n">
        <f aca="false">S9+S44</f>
        <v>16186.25</v>
      </c>
      <c r="T47" s="194" t="n">
        <f aca="false">T9+T44</f>
        <v>8804.4</v>
      </c>
      <c r="U47" s="194" t="n">
        <f aca="false">U9+U44</f>
        <v>45005.5974</v>
      </c>
      <c r="V47" s="573"/>
      <c r="W47" s="194"/>
      <c r="X47" s="194" t="n">
        <f aca="false">X9+X44</f>
        <v>18394.8</v>
      </c>
      <c r="Y47" s="546" t="n">
        <f aca="false">Y9+Y44</f>
        <v>260.1</v>
      </c>
      <c r="Z47" s="548" t="n">
        <f aca="false">Z9+Z44</f>
        <v>198.9</v>
      </c>
      <c r="AA47" s="194"/>
      <c r="AB47" s="573"/>
      <c r="AC47" s="194" t="n">
        <f aca="false">AC9+AC44</f>
        <v>178050.47</v>
      </c>
      <c r="AD47" s="194" t="n">
        <f aca="false">AD9+AD44</f>
        <v>1746.05601209982</v>
      </c>
      <c r="AE47" s="194" t="n">
        <f aca="false">AE9+AE44</f>
        <v>179796.5260121</v>
      </c>
      <c r="AF47" s="357"/>
      <c r="AG47" s="348" t="n">
        <f aca="false">MIN(AG12:AG42)</f>
        <v>74</v>
      </c>
      <c r="AH47" s="549" t="n">
        <f aca="false">MIN(AH12:AH42)</f>
        <v>49</v>
      </c>
      <c r="AI47" s="359" t="s">
        <v>80</v>
      </c>
      <c r="AJ47" s="359"/>
      <c r="AK47" s="297"/>
      <c r="AL47" s="196"/>
      <c r="AM47" s="244" t="n">
        <f aca="false">AM9+AM44</f>
        <v>876.99</v>
      </c>
      <c r="AN47" s="244" t="n">
        <f aca="false">AN9+AN44</f>
        <v>303.01</v>
      </c>
    </row>
    <row r="48" customFormat="false" ht="12.95" hidden="false" customHeight="true" outlineLevel="0" collapsed="false">
      <c r="A48" s="173" t="s">
        <v>81</v>
      </c>
      <c r="B48" s="544"/>
      <c r="C48" s="194"/>
      <c r="D48" s="194"/>
      <c r="E48" s="194"/>
      <c r="F48" s="545" t="n">
        <f aca="false">F47*$D$2</f>
        <v>83169</v>
      </c>
      <c r="G48" s="194" t="n">
        <f aca="false">G47*$D$2</f>
        <v>342127.9645</v>
      </c>
      <c r="H48" s="194" t="n">
        <f aca="false">H47*$D$2</f>
        <v>25222.30501</v>
      </c>
      <c r="I48" s="194" t="n">
        <f aca="false">I47*$D$2</f>
        <v>367350.26951</v>
      </c>
      <c r="J48" s="194" t="n">
        <f aca="false">J47*$D$2</f>
        <v>72445.139835</v>
      </c>
      <c r="K48" s="194" t="n">
        <f aca="false">K47*$D$2</f>
        <v>439795.409345</v>
      </c>
      <c r="L48" s="194" t="n">
        <f aca="false">L47*$D$2</f>
        <v>68981.837735</v>
      </c>
      <c r="M48" s="546" t="n">
        <f aca="false">M47*$D$2</f>
        <v>64081.92625</v>
      </c>
      <c r="N48" s="194" t="n">
        <f aca="false">N47*$D$2</f>
        <v>527.7081915</v>
      </c>
      <c r="O48" s="194" t="n">
        <f aca="false">O47*$D$2</f>
        <v>20567.058279</v>
      </c>
      <c r="P48" s="348"/>
      <c r="Q48" s="348"/>
      <c r="R48" s="582"/>
      <c r="S48" s="194" t="n">
        <f aca="false">S47*$D$2</f>
        <v>32105.426875</v>
      </c>
      <c r="T48" s="194" t="n">
        <f aca="false">T47*$D$2</f>
        <v>17463.5274</v>
      </c>
      <c r="U48" s="194" t="n">
        <f aca="false">U47*$D$2</f>
        <v>89268.6024429</v>
      </c>
      <c r="V48" s="194"/>
      <c r="W48" s="194"/>
      <c r="X48" s="194" t="n">
        <f aca="false">X47*$D$2</f>
        <v>36486.0858</v>
      </c>
      <c r="Y48" s="546" t="n">
        <f aca="false">Y47*$D$2</f>
        <v>515.90835</v>
      </c>
      <c r="Z48" s="548" t="n">
        <f aca="false">Z47*$D$2</f>
        <v>394.51815</v>
      </c>
      <c r="AA48" s="194"/>
      <c r="AB48" s="194"/>
      <c r="AC48" s="194" t="n">
        <f aca="false">AC47*$D$2</f>
        <v>353163.107245</v>
      </c>
      <c r="AD48" s="194" t="n">
        <f aca="false">AD47*$D$2</f>
        <v>3463.3021</v>
      </c>
      <c r="AE48" s="194" t="n">
        <f aca="false">AE47*$D$2</f>
        <v>356626.409345</v>
      </c>
      <c r="AF48" s="357"/>
      <c r="AG48" s="348"/>
      <c r="AH48" s="549"/>
      <c r="AI48" s="359"/>
      <c r="AJ48" s="359"/>
      <c r="AK48" s="297"/>
      <c r="AL48" s="196" t="n">
        <f aca="false">AL9+AL45</f>
        <v>440.090159470134</v>
      </c>
      <c r="AM48" s="244" t="n">
        <f aca="false">AM47*$D$2</f>
        <v>1739.509665</v>
      </c>
      <c r="AN48" s="244" t="n">
        <f aca="false">AN47*$D$2</f>
        <v>601.020335</v>
      </c>
    </row>
    <row r="49" customFormat="false" ht="3" hidden="false" customHeight="true" outlineLevel="0" collapsed="false">
      <c r="A49" s="275"/>
      <c r="B49" s="581"/>
      <c r="C49" s="553"/>
      <c r="D49" s="553"/>
      <c r="E49" s="553"/>
      <c r="F49" s="583"/>
      <c r="G49" s="553"/>
      <c r="H49" s="560"/>
      <c r="I49" s="553"/>
      <c r="J49" s="553"/>
      <c r="K49" s="553"/>
      <c r="L49" s="553"/>
      <c r="M49" s="584"/>
      <c r="N49" s="553"/>
      <c r="O49" s="553"/>
      <c r="P49" s="560"/>
      <c r="Q49" s="560"/>
      <c r="R49" s="585"/>
      <c r="S49" s="553"/>
      <c r="T49" s="553"/>
      <c r="U49" s="553"/>
      <c r="V49" s="553"/>
      <c r="W49" s="553"/>
      <c r="X49" s="553"/>
      <c r="Y49" s="277"/>
      <c r="Z49" s="278"/>
      <c r="AA49" s="553"/>
      <c r="AB49" s="553"/>
      <c r="AC49" s="553"/>
      <c r="AD49" s="553"/>
      <c r="AE49" s="553"/>
      <c r="AF49" s="559"/>
      <c r="AG49" s="588"/>
      <c r="AH49" s="589"/>
      <c r="AI49" s="588"/>
      <c r="AJ49" s="588"/>
      <c r="AK49" s="590"/>
      <c r="AL49" s="557"/>
      <c r="AM49" s="387"/>
      <c r="AN49" s="387"/>
    </row>
    <row r="50" customFormat="false" ht="12.95" hidden="false" customHeight="true" outlineLevel="0" collapsed="false">
      <c r="A50" s="173" t="s">
        <v>82</v>
      </c>
      <c r="B50" s="544"/>
      <c r="C50" s="194"/>
      <c r="D50" s="194"/>
      <c r="E50" s="194"/>
      <c r="F50" s="545" t="n">
        <f aca="false">F10+F44</f>
        <v>58353.4156793547</v>
      </c>
      <c r="G50" s="194" t="n">
        <f aca="false">G10+G44</f>
        <v>188945</v>
      </c>
      <c r="H50" s="348" t="n">
        <f aca="false">H10+H44</f>
        <v>15105.6</v>
      </c>
      <c r="I50" s="194" t="n">
        <f aca="false">I10+I44</f>
        <v>204050.6</v>
      </c>
      <c r="J50" s="194" t="n">
        <f aca="false">J10+J44</f>
        <v>46985.3971313335</v>
      </c>
      <c r="K50" s="194" t="n">
        <f aca="false">K10+K44</f>
        <v>251035.997131333</v>
      </c>
      <c r="L50" s="194" t="n">
        <f aca="false">L10+L44</f>
        <v>44694.0856793547</v>
      </c>
      <c r="M50" s="546" t="n">
        <f aca="false">M10+M44</f>
        <v>33103.5</v>
      </c>
      <c r="N50" s="194" t="n">
        <f aca="false">N10+N44</f>
        <v>266.049</v>
      </c>
      <c r="O50" s="194" t="n">
        <f aca="false">O10+O44</f>
        <v>10369.074</v>
      </c>
      <c r="P50" s="348" t="n">
        <f aca="false">P10+P44</f>
        <v>551.7244</v>
      </c>
      <c r="Q50" s="348" t="n">
        <f aca="false">Q10+Q44</f>
        <v>972.2688</v>
      </c>
      <c r="R50" s="582" t="n">
        <f aca="false">R10+R44</f>
        <v>405.6</v>
      </c>
      <c r="S50" s="194" t="n">
        <f aca="false">S10+S44</f>
        <v>23655.25</v>
      </c>
      <c r="T50" s="194" t="n">
        <f aca="false">T10+T44</f>
        <v>8838.2</v>
      </c>
      <c r="U50" s="194" t="n">
        <f aca="false">U10+U44</f>
        <v>52720.7538</v>
      </c>
      <c r="V50" s="194"/>
      <c r="W50" s="194"/>
      <c r="X50" s="194"/>
      <c r="Y50" s="245"/>
      <c r="Z50" s="246"/>
      <c r="AA50" s="194" t="n">
        <f aca="false">AA10+AA44</f>
        <v>106711</v>
      </c>
      <c r="AB50" s="194" t="n">
        <f aca="false">AB42</f>
        <v>9263.43307285102</v>
      </c>
      <c r="AC50" s="194" t="n">
        <f aca="false">AC10+AC44</f>
        <v>190391.27</v>
      </c>
      <c r="AD50" s="194" t="n">
        <f aca="false">AD10+AD44</f>
        <v>2291.31145197882</v>
      </c>
      <c r="AE50" s="194" t="n">
        <f aca="false">AE10+AE44</f>
        <v>192682.581451979</v>
      </c>
      <c r="AF50" s="357" t="n">
        <f aca="false">AF10+AF44</f>
        <v>14.89</v>
      </c>
      <c r="AG50" s="348"/>
      <c r="AH50" s="549"/>
      <c r="AI50" s="359"/>
      <c r="AJ50" s="194" t="n">
        <f aca="false">AJ10+AJ44</f>
        <v>0</v>
      </c>
      <c r="AK50" s="297"/>
      <c r="AL50" s="196"/>
      <c r="AM50" s="348"/>
      <c r="AN50" s="348" t="n">
        <f aca="false">AN10+AN44</f>
        <v>0</v>
      </c>
    </row>
    <row r="51" customFormat="false" ht="12.95" hidden="false" customHeight="true" outlineLevel="0" collapsed="false">
      <c r="A51" s="173" t="s">
        <v>83</v>
      </c>
      <c r="B51" s="544"/>
      <c r="C51" s="194"/>
      <c r="D51" s="194" t="n">
        <f aca="false">D10+D45</f>
        <v>115744</v>
      </c>
      <c r="E51" s="194" t="n">
        <f aca="false">E42</f>
        <v>170990</v>
      </c>
      <c r="F51" s="545" t="n">
        <f aca="false">F50*$D$2</f>
        <v>115744</v>
      </c>
      <c r="G51" s="194" t="n">
        <f aca="false">G50*$D$2</f>
        <v>374772.4075</v>
      </c>
      <c r="H51" s="348" t="n">
        <f aca="false">H50*$D$2</f>
        <v>29961.9576</v>
      </c>
      <c r="I51" s="194" t="n">
        <f aca="false">I50*$D$2</f>
        <v>404734.3651</v>
      </c>
      <c r="J51" s="194" t="n">
        <f aca="false">J50*$D$2</f>
        <v>93195.53521</v>
      </c>
      <c r="K51" s="194" t="n">
        <f aca="false">K50*$D$2</f>
        <v>497929.90031</v>
      </c>
      <c r="L51" s="194" t="n">
        <f aca="false">L50*$D$2</f>
        <v>88650.718945</v>
      </c>
      <c r="M51" s="546" t="n">
        <f aca="false">M50*$D$2</f>
        <v>65660.79225</v>
      </c>
      <c r="N51" s="194" t="n">
        <f aca="false">N50*$D$2</f>
        <v>527.7081915</v>
      </c>
      <c r="O51" s="194" t="n">
        <f aca="false">O50*$D$2</f>
        <v>20567.058279</v>
      </c>
      <c r="P51" s="348" t="n">
        <f aca="false">P50*$D$2</f>
        <v>1094.3453474</v>
      </c>
      <c r="Q51" s="348" t="n">
        <f aca="false">Q50*$D$2</f>
        <v>1928.4951648</v>
      </c>
      <c r="R51" s="591" t="n">
        <f aca="false">R50*$D$2</f>
        <v>804.5076</v>
      </c>
      <c r="S51" s="194" t="n">
        <f aca="false">S50*$D$2</f>
        <v>46920.188375</v>
      </c>
      <c r="T51" s="194" t="n">
        <f aca="false">T50*$D$2</f>
        <v>17530.5697</v>
      </c>
      <c r="U51" s="194" t="n">
        <f aca="false">U50*$D$2</f>
        <v>104571.6151623</v>
      </c>
      <c r="V51" s="194"/>
      <c r="W51" s="194"/>
      <c r="X51" s="194"/>
      <c r="Y51" s="282"/>
      <c r="Z51" s="253"/>
      <c r="AA51" s="194" t="n">
        <f aca="false">AA50*$D$2</f>
        <v>211661.2685</v>
      </c>
      <c r="AB51" s="194" t="n">
        <f aca="false">AB50*$D$2</f>
        <v>18374.0195</v>
      </c>
      <c r="AC51" s="194" t="n">
        <f aca="false">AC50*$D$2</f>
        <v>377641.084045</v>
      </c>
      <c r="AD51" s="194" t="n">
        <f aca="false">AD50*$D$2</f>
        <v>4544.816265</v>
      </c>
      <c r="AE51" s="194" t="n">
        <f aca="false">AE50*$D$2</f>
        <v>382185.90031</v>
      </c>
      <c r="AF51" s="357"/>
      <c r="AG51" s="348"/>
      <c r="AH51" s="549"/>
      <c r="AI51" s="359" t="n">
        <f aca="false">AI42</f>
        <v>16467.3080282</v>
      </c>
      <c r="AJ51" s="194" t="n">
        <f aca="false">AJ50*$D$2</f>
        <v>0</v>
      </c>
      <c r="AK51" s="297"/>
      <c r="AL51" s="196" t="n">
        <f aca="false">AL10+AL45</f>
        <v>440.090159470134</v>
      </c>
      <c r="AM51" s="348"/>
      <c r="AN51" s="348" t="n">
        <f aca="false">AN50*$D$2</f>
        <v>0</v>
      </c>
    </row>
    <row r="52" customFormat="false" ht="3" hidden="false" customHeight="true" outlineLevel="0" collapsed="false">
      <c r="A52" s="254"/>
      <c r="B52" s="333"/>
      <c r="C52" s="320"/>
      <c r="D52" s="254"/>
      <c r="E52" s="320"/>
      <c r="F52" s="321"/>
      <c r="G52" s="254"/>
      <c r="H52" s="592"/>
      <c r="I52" s="254"/>
      <c r="J52" s="254"/>
      <c r="K52" s="593"/>
      <c r="L52" s="254"/>
      <c r="M52" s="532"/>
      <c r="N52" s="254"/>
      <c r="O52" s="254"/>
      <c r="P52" s="594"/>
      <c r="Q52" s="595"/>
      <c r="R52" s="594"/>
      <c r="S52" s="254"/>
      <c r="T52" s="254"/>
      <c r="U52" s="254"/>
      <c r="V52" s="320"/>
      <c r="W52" s="320"/>
      <c r="X52" s="254"/>
      <c r="Y52" s="260"/>
      <c r="Z52" s="261"/>
      <c r="AA52" s="254"/>
      <c r="AB52" s="320"/>
      <c r="AC52" s="254"/>
      <c r="AD52" s="254"/>
      <c r="AE52" s="254"/>
      <c r="AF52" s="333"/>
      <c r="AG52" s="254"/>
      <c r="AH52" s="321"/>
      <c r="AI52" s="254"/>
      <c r="AJ52" s="254"/>
      <c r="AK52" s="342"/>
      <c r="AL52" s="594"/>
      <c r="AM52" s="563"/>
      <c r="AN52" s="563"/>
    </row>
    <row r="53" customFormat="false" ht="11.1" hidden="false" customHeight="true" outlineLevel="0" collapsed="false">
      <c r="A53" s="596"/>
      <c r="B53" s="152"/>
      <c r="C53" s="10"/>
      <c r="D53" s="9"/>
      <c r="E53" s="505"/>
      <c r="F53" s="0"/>
      <c r="G53" s="0"/>
      <c r="H53" s="14"/>
      <c r="I53" s="9"/>
      <c r="J53" s="9"/>
      <c r="K53" s="506"/>
      <c r="L53" s="165"/>
      <c r="M53" s="9"/>
      <c r="N53" s="9"/>
      <c r="O53" s="9"/>
      <c r="P53" s="13"/>
      <c r="Q53" s="13"/>
      <c r="R53" s="13"/>
      <c r="S53" s="9"/>
      <c r="T53" s="9"/>
      <c r="U53" s="9"/>
      <c r="V53" s="507"/>
      <c r="W53" s="507"/>
      <c r="X53" s="9"/>
      <c r="Y53" s="9"/>
      <c r="Z53" s="9"/>
      <c r="AA53" s="9"/>
      <c r="AB53" s="505"/>
      <c r="AC53" s="505"/>
      <c r="AD53" s="164"/>
      <c r="AE53" s="164"/>
      <c r="AF53" s="169"/>
      <c r="AG53" s="171"/>
      <c r="AH53" s="171"/>
      <c r="AI53" s="172"/>
      <c r="AJ53" s="172"/>
      <c r="AK53" s="290"/>
      <c r="AL53" s="597"/>
      <c r="AM53" s="539"/>
    </row>
    <row r="54" customFormat="false" ht="11.1" hidden="false" customHeight="true" outlineLevel="0" collapsed="false">
      <c r="A54" s="164"/>
      <c r="B54" s="598"/>
      <c r="C54" s="10"/>
      <c r="D54" s="153"/>
      <c r="E54" s="484"/>
      <c r="F54" s="508"/>
      <c r="G54" s="0"/>
      <c r="H54" s="14"/>
      <c r="I54" s="11"/>
      <c r="J54" s="9"/>
      <c r="K54" s="154"/>
      <c r="L54" s="168"/>
      <c r="M54" s="9"/>
      <c r="N54" s="9"/>
      <c r="O54" s="10"/>
      <c r="P54" s="13"/>
      <c r="Q54" s="402"/>
      <c r="R54" s="402"/>
      <c r="S54" s="509"/>
      <c r="T54" s="124"/>
      <c r="U54" s="510"/>
      <c r="V54" s="165"/>
      <c r="W54" s="228"/>
      <c r="X54" s="38"/>
      <c r="Y54" s="38"/>
      <c r="Z54" s="38"/>
      <c r="AA54" s="9"/>
      <c r="AB54" s="10"/>
      <c r="AC54" s="10"/>
      <c r="AD54" s="164"/>
      <c r="AE54" s="169"/>
      <c r="AF54" s="171"/>
      <c r="AG54" s="171"/>
      <c r="AH54" s="171"/>
      <c r="AI54" s="599"/>
      <c r="AJ54" s="599"/>
      <c r="AK54" s="290"/>
      <c r="AL54" s="597"/>
      <c r="AM54" s="539"/>
    </row>
    <row r="55" customFormat="false" ht="11.1" hidden="false" customHeight="true" outlineLevel="0" collapsed="false">
      <c r="A55" s="285"/>
      <c r="B55" s="165"/>
      <c r="E55" s="484"/>
      <c r="F55" s="485"/>
      <c r="G55" s="0"/>
      <c r="H55" s="14"/>
      <c r="I55" s="153"/>
      <c r="J55" s="153"/>
      <c r="K55" s="511"/>
      <c r="L55" s="488"/>
      <c r="M55" s="122"/>
      <c r="N55" s="122"/>
      <c r="O55" s="484"/>
      <c r="P55" s="600"/>
      <c r="Q55" s="402"/>
      <c r="R55" s="402"/>
      <c r="S55" s="509"/>
      <c r="T55" s="124"/>
      <c r="U55" s="91"/>
      <c r="V55" s="165"/>
      <c r="W55" s="165"/>
      <c r="X55" s="165"/>
      <c r="Y55" s="165"/>
      <c r="Z55" s="165"/>
      <c r="AA55" s="10"/>
      <c r="AB55" s="509"/>
      <c r="AC55" s="509"/>
      <c r="AD55" s="285"/>
      <c r="AE55" s="169"/>
      <c r="AF55" s="171"/>
      <c r="AG55" s="171"/>
      <c r="AH55" s="172"/>
      <c r="AI55" s="343"/>
      <c r="AJ55" s="343"/>
      <c r="AK55" s="344"/>
      <c r="AL55" s="160"/>
      <c r="AM55" s="539"/>
    </row>
    <row r="56" customFormat="false" ht="11.1" hidden="false" customHeight="true" outlineLevel="0" collapsed="false">
      <c r="A56" s="285"/>
      <c r="B56" s="285"/>
      <c r="C56" s="165"/>
      <c r="D56" s="165"/>
      <c r="E56" s="484"/>
      <c r="F56" s="0"/>
      <c r="G56" s="0"/>
      <c r="H56" s="165"/>
      <c r="I56" s="0"/>
      <c r="J56" s="153"/>
      <c r="K56" s="511"/>
      <c r="L56" s="171"/>
      <c r="M56" s="122"/>
      <c r="N56" s="122"/>
      <c r="O56" s="171"/>
      <c r="P56" s="169"/>
      <c r="Q56" s="402"/>
      <c r="R56" s="402"/>
      <c r="S56" s="456"/>
      <c r="T56" s="456"/>
      <c r="U56" s="91"/>
      <c r="V56" s="171"/>
      <c r="W56" s="171"/>
      <c r="X56" s="165"/>
      <c r="Y56" s="165"/>
      <c r="Z56" s="165"/>
      <c r="AA56" s="10"/>
      <c r="AB56" s="165"/>
      <c r="AC56" s="165"/>
      <c r="AD56" s="285"/>
      <c r="AE56" s="487"/>
      <c r="AF56" s="171"/>
      <c r="AG56" s="171"/>
      <c r="AH56" s="172"/>
      <c r="AI56" s="343"/>
      <c r="AJ56" s="343"/>
      <c r="AK56" s="344"/>
      <c r="AL56" s="160"/>
      <c r="AM56" s="539"/>
    </row>
    <row r="57" customFormat="false" ht="11.1" hidden="false" customHeight="true" outlineLevel="0" collapsed="false">
      <c r="A57" s="285"/>
      <c r="B57" s="285"/>
      <c r="C57" s="165"/>
      <c r="D57" s="285"/>
      <c r="E57" s="165"/>
      <c r="F57" s="285"/>
      <c r="G57" s="286"/>
      <c r="H57" s="166"/>
      <c r="I57" s="285"/>
      <c r="J57" s="285"/>
      <c r="K57" s="285"/>
      <c r="L57" s="285"/>
      <c r="M57" s="168"/>
      <c r="N57" s="168"/>
      <c r="O57" s="168"/>
      <c r="P57" s="169"/>
      <c r="Q57" s="169"/>
      <c r="R57" s="169"/>
      <c r="S57" s="285"/>
      <c r="T57" s="285"/>
      <c r="U57" s="0"/>
      <c r="V57" s="165"/>
      <c r="W57" s="165"/>
      <c r="AA57" s="165"/>
      <c r="AB57" s="285"/>
      <c r="AC57" s="285"/>
      <c r="AD57" s="285"/>
      <c r="AE57" s="169"/>
      <c r="AF57" s="170"/>
      <c r="AG57" s="171"/>
      <c r="AH57" s="172"/>
      <c r="AI57" s="343"/>
      <c r="AJ57" s="343"/>
      <c r="AK57" s="344"/>
      <c r="AL57" s="160"/>
      <c r="AM57" s="539"/>
    </row>
    <row r="58" customFormat="false" ht="11.1" hidden="false" customHeight="true" outlineLevel="0" collapsed="false">
      <c r="P58" s="160"/>
      <c r="Q58" s="160"/>
      <c r="R58" s="160"/>
      <c r="S58" s="601"/>
      <c r="T58" s="156"/>
      <c r="U58" s="165"/>
      <c r="V58" s="165"/>
      <c r="W58" s="165"/>
      <c r="AA58" s="157"/>
      <c r="AC58" s="156"/>
      <c r="AD58" s="156"/>
      <c r="AE58" s="160"/>
      <c r="AF58" s="158"/>
      <c r="AG58" s="161"/>
      <c r="AH58" s="162"/>
      <c r="AI58" s="602"/>
      <c r="AJ58" s="602"/>
      <c r="AK58" s="163"/>
      <c r="AL58" s="160"/>
      <c r="AM58" s="539"/>
    </row>
    <row r="59" customFormat="false" ht="11.1" hidden="false" customHeight="true" outlineLevel="0" collapsed="false">
      <c r="P59" s="160"/>
      <c r="Q59" s="160"/>
      <c r="R59" s="160"/>
      <c r="S59" s="601"/>
      <c r="T59" s="156"/>
      <c r="U59" s="165"/>
      <c r="V59" s="165"/>
      <c r="W59" s="165"/>
      <c r="AA59" s="157"/>
      <c r="AC59" s="156"/>
      <c r="AD59" s="156"/>
      <c r="AE59" s="160"/>
      <c r="AF59" s="158"/>
      <c r="AG59" s="161"/>
      <c r="AH59" s="162"/>
      <c r="AI59" s="156"/>
      <c r="AJ59" s="156"/>
      <c r="AK59" s="163"/>
      <c r="AL59" s="160"/>
      <c r="AM59" s="539"/>
    </row>
    <row r="60" customFormat="false" ht="11.1" hidden="false" customHeight="true" outlineLevel="0" collapsed="false">
      <c r="T60" s="165"/>
      <c r="U60" s="165"/>
    </row>
  </sheetData>
  <mergeCells count="3">
    <mergeCell ref="K2:U2"/>
    <mergeCell ref="V2:W2"/>
    <mergeCell ref="M5:R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9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AE12" activeCellId="0" sqref="AE12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537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8" min="16" style="160" width="4.32"/>
    <col collapsed="false" customWidth="true" hidden="false" outlineLevel="0" max="19" min="19" style="156" width="5.49"/>
    <col collapsed="false" customWidth="true" hidden="false" outlineLevel="0" max="20" min="20" style="157" width="5.49"/>
    <col collapsed="false" customWidth="true" hidden="false" outlineLevel="0" max="21" min="21" style="156" width="6.32"/>
    <col collapsed="false" customWidth="true" hidden="false" outlineLevel="0" max="22" min="22" style="156" width="5.49"/>
    <col collapsed="false" customWidth="true" hidden="false" outlineLevel="0" max="23" min="23" style="157" width="5.49"/>
    <col collapsed="false" customWidth="true" hidden="false" outlineLevel="0" max="26" min="24" style="156" width="5.49"/>
    <col collapsed="false" customWidth="true" hidden="false" outlineLevel="0" max="27" min="27" style="156" width="6.49"/>
    <col collapsed="false" customWidth="true" hidden="false" outlineLevel="0" max="28" min="28" style="156" width="5.49"/>
    <col collapsed="false" customWidth="true" hidden="false" outlineLevel="0" max="29" min="29" style="160" width="6.32"/>
    <col collapsed="false" customWidth="true" hidden="false" outlineLevel="0" max="30" min="30" style="158" width="6.99"/>
    <col collapsed="false" customWidth="true" hidden="false" outlineLevel="0" max="31" min="31" style="161" width="6.99"/>
    <col collapsed="false" customWidth="true" hidden="false" outlineLevel="0" max="32" min="32" style="162" width="5.32"/>
    <col collapsed="false" customWidth="true" hidden="false" outlineLevel="0" max="33" min="33" style="156" width="3.82"/>
    <col collapsed="false" customWidth="true" hidden="false" outlineLevel="0" max="34" min="34" style="160" width="3.82"/>
    <col collapsed="false" customWidth="true" hidden="false" outlineLevel="0" max="36" min="35" style="156" width="5.49"/>
    <col collapsed="false" customWidth="true" hidden="false" outlineLevel="0" max="37" min="37" style="159" width="6.32"/>
    <col collapsed="false" customWidth="true" hidden="false" outlineLevel="0" max="38" min="38" style="160" width="6.32"/>
    <col collapsed="false" customWidth="true" hidden="false" outlineLevel="0" max="39" min="39" style="156" width="6.32"/>
    <col collapsed="false" customWidth="true" hidden="false" outlineLevel="0" max="40" min="40" style="156" width="6.49"/>
    <col collapsed="false" customWidth="false" hidden="false" outlineLevel="0" max="257" min="41" style="156" width="9.32"/>
  </cols>
  <sheetData>
    <row r="1" customFormat="false" ht="14.1" hidden="false" customHeight="true" outlineLevel="0" collapsed="false">
      <c r="A1" s="164"/>
      <c r="B1" s="164"/>
      <c r="C1" s="165"/>
      <c r="D1" s="164"/>
      <c r="E1" s="165"/>
      <c r="F1" s="164"/>
      <c r="G1" s="164"/>
      <c r="H1" s="166"/>
      <c r="I1" s="164"/>
      <c r="J1" s="164"/>
      <c r="K1" s="167" t="s">
        <v>0</v>
      </c>
      <c r="L1" s="164"/>
      <c r="M1" s="164"/>
      <c r="N1" s="164"/>
      <c r="O1" s="164"/>
      <c r="P1" s="169"/>
      <c r="Q1" s="169"/>
      <c r="R1" s="169"/>
      <c r="S1" s="164"/>
      <c r="T1" s="164"/>
      <c r="U1" s="165"/>
      <c r="V1" s="164"/>
      <c r="W1" s="164"/>
      <c r="X1" s="164"/>
      <c r="Y1" s="164"/>
      <c r="Z1" s="164"/>
      <c r="AA1" s="165"/>
      <c r="AB1" s="164"/>
      <c r="AC1" s="164"/>
      <c r="AD1" s="164"/>
      <c r="AE1" s="169"/>
      <c r="AF1" s="170"/>
      <c r="AG1" s="171"/>
      <c r="AH1" s="172"/>
      <c r="AI1" s="289"/>
      <c r="AJ1" s="289"/>
      <c r="AK1" s="536"/>
      <c r="AL1" s="457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166"/>
      <c r="I2" s="164"/>
      <c r="J2" s="164"/>
      <c r="K2" s="175" t="s">
        <v>120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64"/>
      <c r="Y2" s="164"/>
      <c r="Z2" s="164"/>
      <c r="AA2" s="165"/>
      <c r="AB2" s="164"/>
      <c r="AC2" s="164"/>
      <c r="AD2" s="164"/>
      <c r="AE2" s="169"/>
      <c r="AF2" s="170"/>
      <c r="AG2" s="171"/>
      <c r="AH2" s="172"/>
      <c r="AI2" s="289"/>
      <c r="AJ2" s="289"/>
      <c r="AK2" s="536"/>
      <c r="AL2" s="457"/>
    </row>
    <row r="3" customFormat="false" ht="14.1" hidden="false" customHeight="true" outlineLevel="0" collapsed="false">
      <c r="A3" s="176"/>
      <c r="B3" s="176"/>
      <c r="C3" s="177"/>
      <c r="D3" s="178"/>
      <c r="E3" s="177"/>
      <c r="F3" s="176"/>
      <c r="G3" s="176"/>
      <c r="H3" s="179"/>
      <c r="I3" s="176"/>
      <c r="J3" s="176"/>
      <c r="K3" s="176"/>
      <c r="L3" s="176"/>
      <c r="M3" s="176"/>
      <c r="N3" s="176"/>
      <c r="O3" s="176"/>
      <c r="P3" s="181"/>
      <c r="Q3" s="181"/>
      <c r="R3" s="181"/>
      <c r="S3" s="176"/>
      <c r="T3" s="176"/>
      <c r="U3" s="177"/>
      <c r="V3" s="176"/>
      <c r="W3" s="176"/>
      <c r="X3" s="176"/>
      <c r="Y3" s="176"/>
      <c r="Z3" s="176"/>
      <c r="AA3" s="177"/>
      <c r="AB3" s="176"/>
      <c r="AC3" s="176"/>
      <c r="AD3" s="176"/>
      <c r="AE3" s="181"/>
      <c r="AF3" s="182"/>
      <c r="AG3" s="183"/>
      <c r="AH3" s="184"/>
      <c r="AI3" s="292"/>
      <c r="AJ3" s="292"/>
      <c r="AK3" s="603"/>
      <c r="AL3" s="604"/>
      <c r="AM3" s="163"/>
    </row>
    <row r="4" s="200" customFormat="true" ht="14.1" hidden="false" customHeight="true" outlineLevel="0" collapsed="false">
      <c r="A4" s="187"/>
      <c r="B4" s="188"/>
      <c r="C4" s="189"/>
      <c r="D4" s="294" t="s">
        <v>3</v>
      </c>
      <c r="E4" s="189"/>
      <c r="F4" s="191"/>
      <c r="G4" s="187"/>
      <c r="H4" s="192"/>
      <c r="I4" s="187"/>
      <c r="J4" s="187"/>
      <c r="K4" s="187"/>
      <c r="L4" s="187"/>
      <c r="M4" s="187"/>
      <c r="N4" s="187"/>
      <c r="O4" s="187"/>
      <c r="P4" s="196"/>
      <c r="Q4" s="196"/>
      <c r="R4" s="196"/>
      <c r="S4" s="193" t="s">
        <v>4</v>
      </c>
      <c r="T4" s="187"/>
      <c r="U4" s="194"/>
      <c r="V4" s="187"/>
      <c r="W4" s="187"/>
      <c r="X4" s="187"/>
      <c r="Y4" s="187"/>
      <c r="Z4" s="187"/>
      <c r="AA4" s="194"/>
      <c r="AB4" s="187"/>
      <c r="AC4" s="187"/>
      <c r="AD4" s="187"/>
      <c r="AE4" s="196"/>
      <c r="AF4" s="197"/>
      <c r="AG4" s="198" t="s">
        <v>5</v>
      </c>
      <c r="AH4" s="199"/>
      <c r="AI4" s="187"/>
      <c r="AJ4" s="187"/>
      <c r="AK4" s="541" t="s">
        <v>6</v>
      </c>
      <c r="AL4" s="541"/>
      <c r="AM4" s="542"/>
      <c r="AN4" s="204"/>
    </row>
    <row r="5" s="520" customFormat="true" ht="12.95" hidden="false" customHeight="true" outlineLevel="0" collapsed="false">
      <c r="A5" s="233" t="s">
        <v>7</v>
      </c>
      <c r="B5" s="464" t="s">
        <v>8</v>
      </c>
      <c r="C5" s="229" t="s">
        <v>8</v>
      </c>
      <c r="D5" s="233" t="s">
        <v>9</v>
      </c>
      <c r="E5" s="229" t="s">
        <v>10</v>
      </c>
      <c r="F5" s="518" t="s">
        <v>11</v>
      </c>
      <c r="G5" s="233" t="s">
        <v>12</v>
      </c>
      <c r="H5" s="235" t="s">
        <v>13</v>
      </c>
      <c r="I5" s="233" t="s">
        <v>14</v>
      </c>
      <c r="J5" s="233" t="s">
        <v>15</v>
      </c>
      <c r="K5" s="233" t="s">
        <v>16</v>
      </c>
      <c r="L5" s="233" t="s">
        <v>15</v>
      </c>
      <c r="M5" s="210" t="s">
        <v>17</v>
      </c>
      <c r="N5" s="210"/>
      <c r="O5" s="210"/>
      <c r="P5" s="210"/>
      <c r="Q5" s="210"/>
      <c r="R5" s="210"/>
      <c r="S5" s="420" t="s">
        <v>18</v>
      </c>
      <c r="T5" s="420" t="s">
        <v>19</v>
      </c>
      <c r="U5" s="420" t="s">
        <v>16</v>
      </c>
      <c r="V5" s="79" t="s">
        <v>20</v>
      </c>
      <c r="W5" s="229" t="s">
        <v>20</v>
      </c>
      <c r="X5" s="420" t="s">
        <v>21</v>
      </c>
      <c r="Y5" s="53" t="s">
        <v>22</v>
      </c>
      <c r="Z5" s="54"/>
      <c r="AA5" s="420" t="s">
        <v>23</v>
      </c>
      <c r="AB5" s="229" t="s">
        <v>108</v>
      </c>
      <c r="AC5" s="233" t="s">
        <v>14</v>
      </c>
      <c r="AD5" s="233" t="s">
        <v>15</v>
      </c>
      <c r="AE5" s="233" t="s">
        <v>16</v>
      </c>
      <c r="AF5" s="519" t="s">
        <v>25</v>
      </c>
      <c r="AG5" s="224" t="s">
        <v>26</v>
      </c>
      <c r="AH5" s="351" t="s">
        <v>27</v>
      </c>
      <c r="AI5" s="67" t="s">
        <v>86</v>
      </c>
      <c r="AJ5" s="67" t="s">
        <v>20</v>
      </c>
      <c r="AK5" s="68" t="s">
        <v>87</v>
      </c>
      <c r="AL5" s="68" t="s">
        <v>87</v>
      </c>
      <c r="AM5" s="67" t="s">
        <v>29</v>
      </c>
      <c r="AN5" s="218" t="s">
        <v>30</v>
      </c>
    </row>
    <row r="6" s="520" customFormat="true" ht="12.95" hidden="false" customHeight="true" outlineLevel="0" collapsed="false">
      <c r="A6" s="468" t="s">
        <v>121</v>
      </c>
      <c r="B6" s="464" t="s">
        <v>32</v>
      </c>
      <c r="C6" s="229" t="s">
        <v>9</v>
      </c>
      <c r="D6" s="233" t="s">
        <v>33</v>
      </c>
      <c r="E6" s="229" t="s">
        <v>34</v>
      </c>
      <c r="F6" s="518" t="s">
        <v>35</v>
      </c>
      <c r="G6" s="233" t="s">
        <v>36</v>
      </c>
      <c r="H6" s="235" t="s">
        <v>37</v>
      </c>
      <c r="I6" s="233" t="s">
        <v>38</v>
      </c>
      <c r="J6" s="233" t="s">
        <v>38</v>
      </c>
      <c r="K6" s="233" t="s">
        <v>38</v>
      </c>
      <c r="L6" s="233" t="s">
        <v>39</v>
      </c>
      <c r="M6" s="469" t="s">
        <v>40</v>
      </c>
      <c r="N6" s="233" t="s">
        <v>41</v>
      </c>
      <c r="O6" s="233" t="s">
        <v>42</v>
      </c>
      <c r="P6" s="233" t="s">
        <v>43</v>
      </c>
      <c r="Q6" s="233" t="s">
        <v>44</v>
      </c>
      <c r="R6" s="234" t="s">
        <v>45</v>
      </c>
      <c r="S6" s="420" t="s">
        <v>46</v>
      </c>
      <c r="T6" s="420" t="s">
        <v>47</v>
      </c>
      <c r="U6" s="420" t="s">
        <v>20</v>
      </c>
      <c r="V6" s="79" t="s">
        <v>57</v>
      </c>
      <c r="W6" s="229" t="s">
        <v>49</v>
      </c>
      <c r="X6" s="420" t="s">
        <v>50</v>
      </c>
      <c r="Y6" s="63" t="s">
        <v>51</v>
      </c>
      <c r="Z6" s="65" t="s">
        <v>52</v>
      </c>
      <c r="AA6" s="420" t="s">
        <v>53</v>
      </c>
      <c r="AB6" s="229" t="s">
        <v>54</v>
      </c>
      <c r="AC6" s="233" t="s">
        <v>55</v>
      </c>
      <c r="AD6" s="233" t="s">
        <v>55</v>
      </c>
      <c r="AE6" s="233" t="s">
        <v>55</v>
      </c>
      <c r="AF6" s="521"/>
      <c r="AG6" s="224" t="s">
        <v>56</v>
      </c>
      <c r="AH6" s="351" t="s">
        <v>56</v>
      </c>
      <c r="AI6" s="67" t="s">
        <v>57</v>
      </c>
      <c r="AJ6" s="67" t="s">
        <v>58</v>
      </c>
      <c r="AK6" s="68" t="s">
        <v>59</v>
      </c>
      <c r="AL6" s="68" t="s">
        <v>59</v>
      </c>
      <c r="AM6" s="67" t="s">
        <v>60</v>
      </c>
      <c r="AN6" s="218" t="s">
        <v>61</v>
      </c>
    </row>
    <row r="7" s="520" customFormat="true" ht="12.95" hidden="false" customHeight="true" outlineLevel="0" collapsed="false">
      <c r="A7" s="233"/>
      <c r="B7" s="464"/>
      <c r="C7" s="229"/>
      <c r="D7" s="233"/>
      <c r="E7" s="229" t="s">
        <v>62</v>
      </c>
      <c r="F7" s="518"/>
      <c r="G7" s="233"/>
      <c r="H7" s="235"/>
      <c r="I7" s="233"/>
      <c r="J7" s="233"/>
      <c r="K7" s="233"/>
      <c r="L7" s="233"/>
      <c r="M7" s="469"/>
      <c r="N7" s="233" t="s">
        <v>63</v>
      </c>
      <c r="O7" s="233" t="s">
        <v>64</v>
      </c>
      <c r="P7" s="233"/>
      <c r="Q7" s="233"/>
      <c r="R7" s="234" t="s">
        <v>42</v>
      </c>
      <c r="S7" s="420"/>
      <c r="T7" s="420"/>
      <c r="U7" s="420"/>
      <c r="V7" s="79"/>
      <c r="W7" s="79" t="s">
        <v>91</v>
      </c>
      <c r="X7" s="420"/>
      <c r="Y7" s="77"/>
      <c r="Z7" s="80"/>
      <c r="AA7" s="420"/>
      <c r="AB7" s="79"/>
      <c r="AC7" s="420"/>
      <c r="AD7" s="420"/>
      <c r="AE7" s="420"/>
      <c r="AF7" s="521"/>
      <c r="AG7" s="224"/>
      <c r="AH7" s="351"/>
      <c r="AI7" s="67" t="s">
        <v>62</v>
      </c>
      <c r="AJ7" s="67" t="s">
        <v>66</v>
      </c>
      <c r="AK7" s="68" t="s">
        <v>105</v>
      </c>
      <c r="AL7" s="68" t="s">
        <v>92</v>
      </c>
      <c r="AM7" s="67" t="s">
        <v>69</v>
      </c>
      <c r="AN7" s="218" t="s">
        <v>70</v>
      </c>
    </row>
    <row r="8" s="520" customFormat="true" ht="12.95" hidden="false" customHeight="true" outlineLevel="0" collapsed="false">
      <c r="A8" s="233"/>
      <c r="B8" s="464"/>
      <c r="C8" s="229"/>
      <c r="D8" s="233"/>
      <c r="E8" s="229"/>
      <c r="F8" s="518"/>
      <c r="G8" s="233"/>
      <c r="H8" s="235"/>
      <c r="I8" s="233"/>
      <c r="J8" s="233"/>
      <c r="K8" s="233"/>
      <c r="L8" s="233"/>
      <c r="M8" s="469"/>
      <c r="N8" s="239" t="n">
        <v>1.03</v>
      </c>
      <c r="O8" s="239" t="n">
        <v>1.05</v>
      </c>
      <c r="P8" s="239" t="n">
        <v>1.02</v>
      </c>
      <c r="Q8" s="239" t="n">
        <v>1.04</v>
      </c>
      <c r="R8" s="234" t="s">
        <v>52</v>
      </c>
      <c r="S8" s="233"/>
      <c r="T8" s="233"/>
      <c r="U8" s="233"/>
      <c r="V8" s="229"/>
      <c r="W8" s="229" t="s">
        <v>71</v>
      </c>
      <c r="X8" s="233"/>
      <c r="Y8" s="77"/>
      <c r="Z8" s="80"/>
      <c r="AA8" s="233"/>
      <c r="AB8" s="229"/>
      <c r="AC8" s="233"/>
      <c r="AD8" s="233"/>
      <c r="AE8" s="233"/>
      <c r="AF8" s="521"/>
      <c r="AG8" s="224"/>
      <c r="AH8" s="351"/>
      <c r="AI8" s="67"/>
      <c r="AJ8" s="67"/>
      <c r="AK8" s="68"/>
      <c r="AL8" s="68" t="s">
        <v>66</v>
      </c>
      <c r="AM8" s="522"/>
    </row>
    <row r="9" customFormat="false" ht="12.95" hidden="false" customHeight="true" outlineLevel="0" collapsed="false">
      <c r="A9" s="173" t="s">
        <v>73</v>
      </c>
      <c r="B9" s="605"/>
      <c r="C9" s="606"/>
      <c r="D9" s="607"/>
      <c r="E9" s="607"/>
      <c r="F9" s="608" t="n">
        <f aca="false">AUG!F47</f>
        <v>41930.4260146206</v>
      </c>
      <c r="G9" s="607" t="n">
        <f aca="false">AUG!G47</f>
        <v>172487</v>
      </c>
      <c r="H9" s="607" t="n">
        <f aca="false">AUG!H47</f>
        <v>12716.06</v>
      </c>
      <c r="I9" s="607" t="n">
        <f aca="false">AUG!I47</f>
        <v>185203.06</v>
      </c>
      <c r="J9" s="607" t="n">
        <f aca="false">AUG!J47</f>
        <v>36523.8920267205</v>
      </c>
      <c r="K9" s="607" t="n">
        <f aca="false">AUG!K47</f>
        <v>221726.95202672</v>
      </c>
      <c r="L9" s="607" t="n">
        <f aca="false">AUG!L47</f>
        <v>34777.8360146206</v>
      </c>
      <c r="M9" s="609" t="n">
        <f aca="false">AUG!M47</f>
        <v>32307.5</v>
      </c>
      <c r="N9" s="607" t="n">
        <f aca="false">AUG!N47</f>
        <v>266.049</v>
      </c>
      <c r="O9" s="607" t="n">
        <f aca="false">AUG!O47</f>
        <v>10369.074</v>
      </c>
      <c r="P9" s="610"/>
      <c r="Q9" s="610"/>
      <c r="R9" s="611"/>
      <c r="S9" s="607" t="n">
        <f aca="false">AUG!S47</f>
        <v>16186.25</v>
      </c>
      <c r="T9" s="607" t="n">
        <f aca="false">AUG!T47</f>
        <v>8804.4</v>
      </c>
      <c r="U9" s="607" t="n">
        <f aca="false">AUG!U47</f>
        <v>45005.5974</v>
      </c>
      <c r="V9" s="607" t="n">
        <f aca="false">AUG!V47</f>
        <v>0</v>
      </c>
      <c r="W9" s="607" t="n">
        <f aca="false">AUG!W42</f>
        <v>7255.37147035156</v>
      </c>
      <c r="X9" s="607" t="n">
        <f aca="false">AUG!X47</f>
        <v>18394.8</v>
      </c>
      <c r="Y9" s="607" t="n">
        <f aca="false">AUG!Y47</f>
        <v>260.1</v>
      </c>
      <c r="Z9" s="607" t="n">
        <f aca="false">AUG!Z47</f>
        <v>198.9</v>
      </c>
      <c r="AA9" s="607"/>
      <c r="AB9" s="607"/>
      <c r="AC9" s="607" t="n">
        <f aca="false">AUG!AC47</f>
        <v>178050.47</v>
      </c>
      <c r="AD9" s="607" t="n">
        <f aca="false">AUG!AD47</f>
        <v>1746.05601209982</v>
      </c>
      <c r="AE9" s="607" t="n">
        <f aca="false">AUG!AE47</f>
        <v>179796.5260121</v>
      </c>
      <c r="AF9" s="612"/>
      <c r="AG9" s="613"/>
      <c r="AH9" s="614"/>
      <c r="AI9" s="613"/>
      <c r="AJ9" s="244"/>
      <c r="AK9" s="247"/>
      <c r="AL9" s="367" t="n">
        <f aca="false">AUG!AL48</f>
        <v>440.090159470134</v>
      </c>
      <c r="AM9" s="244" t="n">
        <f aca="false">AUG!AM47</f>
        <v>876.99</v>
      </c>
      <c r="AN9" s="244" t="n">
        <f aca="false">AUG!AN47</f>
        <v>303.01</v>
      </c>
    </row>
    <row r="10" s="157" customFormat="true" ht="12.95" hidden="false" customHeight="true" outlineLevel="0" collapsed="false">
      <c r="A10" s="251" t="s">
        <v>74</v>
      </c>
      <c r="B10" s="615" t="n">
        <f aca="false">AUG!B42</f>
        <v>6910.25</v>
      </c>
      <c r="C10" s="607" t="n">
        <f aca="false">AUG!C42</f>
        <v>322990</v>
      </c>
      <c r="D10" s="607" t="n">
        <f aca="false">AUG!D51</f>
        <v>115744</v>
      </c>
      <c r="E10" s="607" t="n">
        <f aca="false">AUG!E51</f>
        <v>170990</v>
      </c>
      <c r="F10" s="608" t="n">
        <f aca="false">AUG!F50</f>
        <v>58353.4156793547</v>
      </c>
      <c r="G10" s="607" t="n">
        <f aca="false">AUG!G50</f>
        <v>188945</v>
      </c>
      <c r="H10" s="607" t="n">
        <f aca="false">AUG!H50</f>
        <v>15105.6</v>
      </c>
      <c r="I10" s="607" t="n">
        <f aca="false">AUG!I50</f>
        <v>204050.6</v>
      </c>
      <c r="J10" s="607" t="n">
        <f aca="false">AUG!J50</f>
        <v>46985.3971313335</v>
      </c>
      <c r="K10" s="607" t="n">
        <f aca="false">AUG!K50</f>
        <v>251035.997131333</v>
      </c>
      <c r="L10" s="607" t="n">
        <f aca="false">AUG!L50</f>
        <v>44694.0856793547</v>
      </c>
      <c r="M10" s="609" t="n">
        <f aca="false">AUG!M50</f>
        <v>33103.5</v>
      </c>
      <c r="N10" s="607" t="n">
        <f aca="false">AUG!N50</f>
        <v>266.049</v>
      </c>
      <c r="O10" s="607" t="n">
        <f aca="false">AUG!O50</f>
        <v>10369.074</v>
      </c>
      <c r="P10" s="613" t="n">
        <f aca="false">AUG!P50</f>
        <v>551.7244</v>
      </c>
      <c r="Q10" s="613" t="n">
        <f aca="false">AUG!Q50</f>
        <v>972.2688</v>
      </c>
      <c r="R10" s="616" t="n">
        <f aca="false">AUG!R50</f>
        <v>405.6</v>
      </c>
      <c r="S10" s="607" t="n">
        <f aca="false">AUG!S50</f>
        <v>23655.25</v>
      </c>
      <c r="T10" s="607" t="n">
        <f aca="false">AUG!T50</f>
        <v>8838.2</v>
      </c>
      <c r="U10" s="607" t="n">
        <f aca="false">AUG!U50</f>
        <v>52720.7538</v>
      </c>
      <c r="V10" s="607"/>
      <c r="W10" s="607" t="n">
        <f aca="false">AUG!W50</f>
        <v>0</v>
      </c>
      <c r="X10" s="607" t="n">
        <f aca="false">AUG!X50</f>
        <v>0</v>
      </c>
      <c r="Y10" s="97"/>
      <c r="Z10" s="95"/>
      <c r="AA10" s="607" t="n">
        <f aca="false">AUG!AA50</f>
        <v>106711</v>
      </c>
      <c r="AB10" s="607" t="n">
        <f aca="false">AUG!AB50</f>
        <v>9263.43307285102</v>
      </c>
      <c r="AC10" s="607" t="n">
        <f aca="false">AUG!AC50</f>
        <v>190391.27</v>
      </c>
      <c r="AD10" s="607" t="n">
        <f aca="false">AUG!AD50</f>
        <v>2291.31145197882</v>
      </c>
      <c r="AE10" s="607" t="n">
        <f aca="false">AUG!AE50</f>
        <v>192682.581451979</v>
      </c>
      <c r="AF10" s="612" t="n">
        <f aca="false">AUG!AF50</f>
        <v>14.89</v>
      </c>
      <c r="AG10" s="613"/>
      <c r="AH10" s="614"/>
      <c r="AI10" s="244" t="n">
        <f aca="false">AUG!AI51</f>
        <v>16467.3080282</v>
      </c>
      <c r="AJ10" s="244" t="n">
        <f aca="false">AUG!AJ50</f>
        <v>0</v>
      </c>
      <c r="AK10" s="247"/>
      <c r="AL10" s="367" t="n">
        <f aca="false">AUG!AL51</f>
        <v>440.090159470134</v>
      </c>
      <c r="AM10" s="613" t="n">
        <f aca="false">AUG!AM50</f>
        <v>0</v>
      </c>
      <c r="AN10" s="613" t="n">
        <f aca="false">AUG!AN50</f>
        <v>0</v>
      </c>
    </row>
    <row r="11" customFormat="false" ht="3" hidden="false" customHeight="true" outlineLevel="0" collapsed="false">
      <c r="A11" s="254"/>
      <c r="B11" s="617"/>
      <c r="C11" s="618"/>
      <c r="D11" s="533"/>
      <c r="E11" s="618"/>
      <c r="F11" s="619"/>
      <c r="G11" s="533"/>
      <c r="H11" s="620"/>
      <c r="I11" s="533"/>
      <c r="J11" s="533"/>
      <c r="K11" s="533"/>
      <c r="L11" s="533"/>
      <c r="M11" s="621"/>
      <c r="N11" s="533"/>
      <c r="O11" s="533"/>
      <c r="P11" s="622"/>
      <c r="Q11" s="622"/>
      <c r="R11" s="623"/>
      <c r="S11" s="533"/>
      <c r="T11" s="533"/>
      <c r="U11" s="533"/>
      <c r="V11" s="618"/>
      <c r="W11" s="618"/>
      <c r="X11" s="533"/>
      <c r="Y11" s="115"/>
      <c r="Z11" s="113"/>
      <c r="AA11" s="533"/>
      <c r="AB11" s="618"/>
      <c r="AC11" s="533"/>
      <c r="AD11" s="533"/>
      <c r="AE11" s="533"/>
      <c r="AF11" s="624"/>
      <c r="AG11" s="535" t="n">
        <v>0</v>
      </c>
      <c r="AH11" s="625"/>
      <c r="AI11" s="535"/>
      <c r="AJ11" s="264"/>
      <c r="AK11" s="262"/>
      <c r="AL11" s="472" t="s">
        <v>122</v>
      </c>
      <c r="AM11" s="472" t="s">
        <v>122</v>
      </c>
      <c r="AN11" s="472" t="s">
        <v>122</v>
      </c>
    </row>
    <row r="12" customFormat="false" ht="12.95" hidden="false" customHeight="true" outlineLevel="0" collapsed="false">
      <c r="A12" s="172" t="n">
        <v>1</v>
      </c>
      <c r="B12" s="615" t="n">
        <v>6909.92</v>
      </c>
      <c r="C12" s="607" t="n">
        <v>321668</v>
      </c>
      <c r="D12" s="613" t="n">
        <f aca="false">C12-C10</f>
        <v>-1322</v>
      </c>
      <c r="E12" s="607" t="n">
        <f aca="false">C12-151978</f>
        <v>169690</v>
      </c>
      <c r="F12" s="626" t="n">
        <f aca="false">D12/$D$2</f>
        <v>-666.498613561886</v>
      </c>
      <c r="G12" s="627" t="n">
        <v>84</v>
      </c>
      <c r="H12" s="628" t="n">
        <v>0.01</v>
      </c>
      <c r="I12" s="627" t="n">
        <f aca="false">G12+H12</f>
        <v>84.01</v>
      </c>
      <c r="J12" s="629" t="n">
        <f aca="false">IF(L12&gt;0,L12,0)</f>
        <v>0</v>
      </c>
      <c r="K12" s="627" t="n">
        <f aca="false">I12+J12</f>
        <v>84.01</v>
      </c>
      <c r="L12" s="627" t="n">
        <f aca="false">F12-(I12-AC12)</f>
        <v>-44.5086135618856</v>
      </c>
      <c r="M12" s="630" t="n">
        <v>208</v>
      </c>
      <c r="N12" s="631" t="n">
        <f aca="false">2.1*1.03</f>
        <v>2.163</v>
      </c>
      <c r="O12" s="627" t="n">
        <f aca="false">(30+31)*1.05</f>
        <v>64.05</v>
      </c>
      <c r="P12" s="610" t="n">
        <f aca="false">1.92*1.02</f>
        <v>1.9584</v>
      </c>
      <c r="Q12" s="632" t="n">
        <v>4.2</v>
      </c>
      <c r="R12" s="633" t="n">
        <v>3.25</v>
      </c>
      <c r="S12" s="627" t="n">
        <v>122</v>
      </c>
      <c r="T12" s="627" t="n">
        <v>67</v>
      </c>
      <c r="U12" s="627" t="n">
        <f aca="false">M12-N12-O12-P12-Q12-R12+S12+T12</f>
        <v>321.3786</v>
      </c>
      <c r="V12" s="607" t="n">
        <v>0</v>
      </c>
      <c r="W12" s="607" t="n">
        <f aca="false">W9+AK12-(AL12/1.9835)+AM12</f>
        <v>7008.60095623712</v>
      </c>
      <c r="X12" s="627" t="n">
        <v>248</v>
      </c>
      <c r="Y12" s="128" t="n">
        <v>1.7</v>
      </c>
      <c r="Z12" s="129" t="n">
        <v>1.3</v>
      </c>
      <c r="AA12" s="627" t="n">
        <v>61</v>
      </c>
      <c r="AB12" s="607" t="n">
        <f aca="false">AB10-AA12</f>
        <v>9202.43307285102</v>
      </c>
      <c r="AC12" s="634" t="n">
        <f aca="false">N12+O12+P12+Q12+R12+U12+X12+AA12</f>
        <v>706</v>
      </c>
      <c r="AD12" s="627" t="n">
        <f aca="false">IF(L12&lt;0,L12*-1,0)</f>
        <v>44.5086135618856</v>
      </c>
      <c r="AE12" s="627" t="n">
        <f aca="false">AC12+AD12</f>
        <v>750.508613561886</v>
      </c>
      <c r="AF12" s="612" t="n">
        <v>0</v>
      </c>
      <c r="AG12" s="613" t="n">
        <v>81</v>
      </c>
      <c r="AH12" s="614" t="n">
        <v>51</v>
      </c>
      <c r="AI12" s="613" t="n">
        <f aca="false">AI10</f>
        <v>16467.3080282</v>
      </c>
      <c r="AJ12" s="244"/>
      <c r="AK12" s="247" t="n">
        <f aca="false">(I12-P12-Q12-Y12)-U12</f>
        <v>-245.227</v>
      </c>
      <c r="AL12" s="367" t="n">
        <f aca="false">36.1*(V9*1.9835+W9*1.9835)/E12</f>
        <v>3.06156024599604</v>
      </c>
      <c r="AM12" s="242"/>
    </row>
    <row r="13" customFormat="false" ht="12.95" hidden="false" customHeight="true" outlineLevel="0" collapsed="false">
      <c r="A13" s="172" t="n">
        <v>2</v>
      </c>
      <c r="B13" s="615" t="n">
        <v>6909.62</v>
      </c>
      <c r="C13" s="607" t="n">
        <v>320474</v>
      </c>
      <c r="D13" s="613" t="n">
        <f aca="false">C13-C12</f>
        <v>-1194</v>
      </c>
      <c r="E13" s="607" t="n">
        <f aca="false">C13-151978</f>
        <v>168496</v>
      </c>
      <c r="F13" s="626" t="n">
        <f aca="false">D13/$D$2</f>
        <v>-601.966221325939</v>
      </c>
      <c r="G13" s="627" t="n">
        <v>85</v>
      </c>
      <c r="H13" s="628" t="n">
        <v>0.01</v>
      </c>
      <c r="I13" s="627" t="n">
        <f aca="false">G13+H13</f>
        <v>85.01</v>
      </c>
      <c r="J13" s="629" t="n">
        <f aca="false">IF(L13&gt;0,L13,0)</f>
        <v>5.02377867406108</v>
      </c>
      <c r="K13" s="627" t="n">
        <f aca="false">I13+J13</f>
        <v>90.0337786740611</v>
      </c>
      <c r="L13" s="627" t="n">
        <f aca="false">F13-(I13-AC13)</f>
        <v>5.02377867406108</v>
      </c>
      <c r="M13" s="630" t="n">
        <v>210</v>
      </c>
      <c r="N13" s="631" t="n">
        <f aca="false">2.1*1.03</f>
        <v>2.163</v>
      </c>
      <c r="O13" s="627" t="n">
        <f aca="false">(29+30)*1.05</f>
        <v>61.95</v>
      </c>
      <c r="P13" s="610" t="n">
        <f aca="false">1.92*1.02</f>
        <v>1.9584</v>
      </c>
      <c r="Q13" s="632" t="n">
        <v>4.2</v>
      </c>
      <c r="R13" s="633" t="n">
        <v>3.02</v>
      </c>
      <c r="S13" s="627" t="n">
        <v>121</v>
      </c>
      <c r="T13" s="627" t="n">
        <v>66</v>
      </c>
      <c r="U13" s="627" t="n">
        <f aca="false">M13-N13-O13-P13-Q13-R13+S13+T13</f>
        <v>323.7086</v>
      </c>
      <c r="V13" s="607" t="n">
        <v>0</v>
      </c>
      <c r="W13" s="607" t="n">
        <f aca="false">W12+AK13-(AL13/1.9835)+AM13</f>
        <v>6760.54237462972</v>
      </c>
      <c r="X13" s="627" t="n">
        <v>239</v>
      </c>
      <c r="Y13" s="128" t="n">
        <v>1.7</v>
      </c>
      <c r="Z13" s="129" t="n">
        <v>1.3</v>
      </c>
      <c r="AA13" s="627" t="n">
        <v>56</v>
      </c>
      <c r="AB13" s="607" t="n">
        <f aca="false">AB12-AA13</f>
        <v>9146.43307285102</v>
      </c>
      <c r="AC13" s="634" t="n">
        <f aca="false">N13+O13+P13+Q13+R13+U13+X13+AA13</f>
        <v>692</v>
      </c>
      <c r="AD13" s="627" t="n">
        <f aca="false">IF(L13&lt;0,L13*-1,0)</f>
        <v>0</v>
      </c>
      <c r="AE13" s="627" t="n">
        <f aca="false">AC13+AD13</f>
        <v>692</v>
      </c>
      <c r="AF13" s="612" t="n">
        <v>0</v>
      </c>
      <c r="AG13" s="613" t="n">
        <v>81</v>
      </c>
      <c r="AH13" s="614" t="n">
        <v>55</v>
      </c>
      <c r="AI13" s="613" t="n">
        <f aca="false">AI12</f>
        <v>16467.3080282</v>
      </c>
      <c r="AJ13" s="244"/>
      <c r="AK13" s="247" t="n">
        <f aca="false">(I13-P13-Q13-Y13)-U13</f>
        <v>-246.557</v>
      </c>
      <c r="AL13" s="367" t="n">
        <f aca="false">36.1*(V12*1.9835+W12*1.9835)/E13</f>
        <v>2.97838711827425</v>
      </c>
      <c r="AM13" s="242"/>
    </row>
    <row r="14" customFormat="false" ht="12.95" hidden="false" customHeight="true" outlineLevel="0" collapsed="false">
      <c r="A14" s="172" t="n">
        <v>3</v>
      </c>
      <c r="B14" s="615" t="n">
        <v>6909.38</v>
      </c>
      <c r="C14" s="607" t="n">
        <v>319518</v>
      </c>
      <c r="D14" s="613" t="n">
        <f aca="false">C14-C13</f>
        <v>-956</v>
      </c>
      <c r="E14" s="607" t="n">
        <f aca="false">C14-151978</f>
        <v>167540</v>
      </c>
      <c r="F14" s="626" t="n">
        <f aca="false">D14/$D$2</f>
        <v>-481.976304512226</v>
      </c>
      <c r="G14" s="627" t="n">
        <v>95</v>
      </c>
      <c r="H14" s="628" t="n">
        <v>0.01</v>
      </c>
      <c r="I14" s="627" t="n">
        <f aca="false">G14+H14</f>
        <v>95.01</v>
      </c>
      <c r="J14" s="629" t="n">
        <f aca="false">IF(L14&gt;0,L14,0)</f>
        <v>102.013695487774</v>
      </c>
      <c r="K14" s="627" t="n">
        <f aca="false">I14+J14</f>
        <v>197.023695487774</v>
      </c>
      <c r="L14" s="627" t="n">
        <f aca="false">F14-(I14-AC14)</f>
        <v>102.013695487774</v>
      </c>
      <c r="M14" s="630" t="n">
        <v>210</v>
      </c>
      <c r="N14" s="631" t="n">
        <f aca="false">2.1*1.03</f>
        <v>2.163</v>
      </c>
      <c r="O14" s="627" t="n">
        <f aca="false">(27+28)*1.05</f>
        <v>57.75</v>
      </c>
      <c r="P14" s="610" t="n">
        <f aca="false">1.92*1.02</f>
        <v>1.9584</v>
      </c>
      <c r="Q14" s="632" t="n">
        <v>4.2</v>
      </c>
      <c r="R14" s="633" t="n">
        <v>3.41</v>
      </c>
      <c r="S14" s="627" t="n">
        <v>120</v>
      </c>
      <c r="T14" s="627" t="n">
        <v>67</v>
      </c>
      <c r="U14" s="627" t="n">
        <f aca="false">M14-N14-O14-P14-Q14-R14+S14+T14</f>
        <v>327.5186</v>
      </c>
      <c r="V14" s="607" t="n">
        <v>0</v>
      </c>
      <c r="W14" s="607" t="n">
        <f aca="false">W13+AK14-(AL14/1.9835)+AM14</f>
        <v>6518.71867426131</v>
      </c>
      <c r="X14" s="627" t="n">
        <v>225</v>
      </c>
      <c r="Y14" s="128" t="n">
        <v>1.7</v>
      </c>
      <c r="Z14" s="129" t="n">
        <v>1.3</v>
      </c>
      <c r="AA14" s="627" t="n">
        <v>57</v>
      </c>
      <c r="AB14" s="607" t="n">
        <f aca="false">AB13-AA14</f>
        <v>9089.43307285102</v>
      </c>
      <c r="AC14" s="634" t="n">
        <f aca="false">N14+O14+P14+Q14+R14+U14+X14+AA14</f>
        <v>679</v>
      </c>
      <c r="AD14" s="627" t="n">
        <f aca="false">IF(L14&lt;0,L14*-1,0)</f>
        <v>0</v>
      </c>
      <c r="AE14" s="627" t="n">
        <f aca="false">AC14+AD14</f>
        <v>679</v>
      </c>
      <c r="AF14" s="612" t="n">
        <v>0.54</v>
      </c>
      <c r="AG14" s="613" t="n">
        <v>49</v>
      </c>
      <c r="AH14" s="614" t="n">
        <v>54</v>
      </c>
      <c r="AI14" s="613" t="n">
        <f aca="false">AI13</f>
        <v>16467.3080282</v>
      </c>
      <c r="AJ14" s="244"/>
      <c r="AK14" s="247" t="n">
        <f aca="false">(I14-P14-Q14-Y14)-U14</f>
        <v>-240.367</v>
      </c>
      <c r="AL14" s="367" t="n">
        <f aca="false">36.1*(V13*1.9835+W13*1.9835)/E14</f>
        <v>2.88936518074978</v>
      </c>
      <c r="AM14" s="242"/>
    </row>
    <row r="15" customFormat="false" ht="12.95" hidden="false" customHeight="true" outlineLevel="0" collapsed="false">
      <c r="A15" s="172" t="n">
        <v>4</v>
      </c>
      <c r="B15" s="615" t="n">
        <v>6909.13</v>
      </c>
      <c r="C15" s="607" t="n">
        <v>318523</v>
      </c>
      <c r="D15" s="613" t="n">
        <f aca="false">C15-C14</f>
        <v>-995</v>
      </c>
      <c r="E15" s="607" t="n">
        <f aca="false">C15-151978</f>
        <v>166545</v>
      </c>
      <c r="F15" s="626" t="n">
        <f aca="false">D15/$D$2</f>
        <v>-501.638517771616</v>
      </c>
      <c r="G15" s="627" t="n">
        <v>119</v>
      </c>
      <c r="H15" s="628" t="n">
        <v>0.01</v>
      </c>
      <c r="I15" s="627" t="n">
        <f aca="false">G15+H15</f>
        <v>119.01</v>
      </c>
      <c r="J15" s="629" t="n">
        <f aca="false">IF(L15&gt;0,L15,0)</f>
        <v>0</v>
      </c>
      <c r="K15" s="627" t="n">
        <f aca="false">I15+J15</f>
        <v>119.01</v>
      </c>
      <c r="L15" s="627" t="n">
        <f aca="false">F15-(I15-AC15)</f>
        <v>-41.6485177716158</v>
      </c>
      <c r="M15" s="630" t="n">
        <v>196</v>
      </c>
      <c r="N15" s="631" t="n">
        <f aca="false">2.1*1.03</f>
        <v>2.163</v>
      </c>
      <c r="O15" s="627" t="n">
        <f aca="false">(27+29)*1.05</f>
        <v>58.8</v>
      </c>
      <c r="P15" s="610" t="n">
        <f aca="false">1.92*1.02</f>
        <v>1.9584</v>
      </c>
      <c r="Q15" s="632" t="n">
        <v>4.2</v>
      </c>
      <c r="R15" s="633" t="n">
        <v>2.25</v>
      </c>
      <c r="S15" s="627" t="n">
        <v>121</v>
      </c>
      <c r="T15" s="627" t="n">
        <v>68</v>
      </c>
      <c r="U15" s="627" t="n">
        <f aca="false">M15-N15-O15-P15-Q15-R15+S15+T15</f>
        <v>315.6286</v>
      </c>
      <c r="V15" s="607" t="n">
        <v>0</v>
      </c>
      <c r="W15" s="607" t="n">
        <f aca="false">W14+AK15-(AL15/1.9835)+AM15</f>
        <v>6312.82868831672</v>
      </c>
      <c r="X15" s="627" t="n">
        <v>138</v>
      </c>
      <c r="Y15" s="128" t="n">
        <v>1.7</v>
      </c>
      <c r="Z15" s="129" t="n">
        <v>1.3</v>
      </c>
      <c r="AA15" s="627" t="n">
        <v>56</v>
      </c>
      <c r="AB15" s="607" t="n">
        <f aca="false">AB14-AA15</f>
        <v>9033.43307285102</v>
      </c>
      <c r="AC15" s="634" t="n">
        <f aca="false">N15+O15+P15+Q15+R15+U15+X15+AA15</f>
        <v>579</v>
      </c>
      <c r="AD15" s="627" t="n">
        <f aca="false">IF(L15&lt;0,L15*-1,0)</f>
        <v>41.6485177716158</v>
      </c>
      <c r="AE15" s="627" t="n">
        <f aca="false">AC15+AD15</f>
        <v>620.648517771616</v>
      </c>
      <c r="AF15" s="612" t="n">
        <v>0</v>
      </c>
      <c r="AG15" s="613" t="n">
        <v>77</v>
      </c>
      <c r="AH15" s="614" t="n">
        <v>52</v>
      </c>
      <c r="AI15" s="613" t="n">
        <f aca="false">AI14</f>
        <v>16467.3080282</v>
      </c>
      <c r="AJ15" s="244"/>
      <c r="AK15" s="247" t="n">
        <f aca="false">(I15-P15-Q15-Y15)-U15</f>
        <v>-204.477</v>
      </c>
      <c r="AL15" s="367" t="n">
        <f aca="false">36.1*(V14*1.9835+W14*1.9835)/E15</f>
        <v>2.80265762108345</v>
      </c>
      <c r="AM15" s="242"/>
    </row>
    <row r="16" customFormat="false" ht="12.95" hidden="false" customHeight="true" outlineLevel="0" collapsed="false">
      <c r="A16" s="172" t="n">
        <v>5</v>
      </c>
      <c r="B16" s="615" t="n">
        <v>6908.88</v>
      </c>
      <c r="C16" s="607" t="n">
        <v>317531</v>
      </c>
      <c r="D16" s="613" t="n">
        <f aca="false">C16-C15</f>
        <v>-992</v>
      </c>
      <c r="E16" s="607" t="n">
        <f aca="false">C16-151978</f>
        <v>165553</v>
      </c>
      <c r="F16" s="626" t="n">
        <f aca="false">D16/$D$2</f>
        <v>-500.126039828586</v>
      </c>
      <c r="G16" s="627" t="n">
        <v>122</v>
      </c>
      <c r="H16" s="628" t="n">
        <v>0.01</v>
      </c>
      <c r="I16" s="627" t="n">
        <f aca="false">G16+H16</f>
        <v>122.01</v>
      </c>
      <c r="J16" s="629" t="n">
        <f aca="false">IF(L16&gt;0,L16,0)</f>
        <v>0</v>
      </c>
      <c r="K16" s="627" t="n">
        <f aca="false">I16+J16</f>
        <v>122.01</v>
      </c>
      <c r="L16" s="627" t="n">
        <f aca="false">F16-(I16-AC16)</f>
        <v>-20.1360398285858</v>
      </c>
      <c r="M16" s="630" t="n">
        <v>163</v>
      </c>
      <c r="N16" s="631" t="n">
        <f aca="false">2.1*1.03</f>
        <v>2.163</v>
      </c>
      <c r="O16" s="627" t="n">
        <f aca="false">(23+23)*1.05</f>
        <v>48.3</v>
      </c>
      <c r="P16" s="610" t="n">
        <f aca="false">1.92*1.02</f>
        <v>1.9584</v>
      </c>
      <c r="Q16" s="632" t="n">
        <v>4.2</v>
      </c>
      <c r="R16" s="633" t="n">
        <v>2.4</v>
      </c>
      <c r="S16" s="627" t="n">
        <v>120</v>
      </c>
      <c r="T16" s="627" t="n">
        <v>69</v>
      </c>
      <c r="U16" s="627" t="n">
        <f aca="false">M16-N16-O16-P16-Q16-R16+S16+T16</f>
        <v>292.9786</v>
      </c>
      <c r="V16" s="607" t="n">
        <v>0</v>
      </c>
      <c r="W16" s="607" t="n">
        <f aca="false">W15+AK16-(AL16/1.9835)+AM16</f>
        <v>6132.62513146998</v>
      </c>
      <c r="X16" s="627" t="n">
        <v>194</v>
      </c>
      <c r="Y16" s="128" t="n">
        <v>1.7</v>
      </c>
      <c r="Z16" s="129" t="n">
        <v>1.3</v>
      </c>
      <c r="AA16" s="627" t="n">
        <v>56</v>
      </c>
      <c r="AB16" s="607" t="n">
        <f aca="false">AB15-AA16</f>
        <v>8977.43307285102</v>
      </c>
      <c r="AC16" s="634" t="n">
        <f aca="false">N16+O16+P16+Q16+R16+U16+X16+AA16</f>
        <v>602</v>
      </c>
      <c r="AD16" s="627" t="n">
        <f aca="false">IF(L16&lt;0,L16*-1,0)</f>
        <v>20.1360398285858</v>
      </c>
      <c r="AE16" s="627" t="n">
        <f aca="false">AC16+AD16</f>
        <v>622.136039828586</v>
      </c>
      <c r="AF16" s="612" t="n">
        <v>0</v>
      </c>
      <c r="AG16" s="613" t="n">
        <v>79</v>
      </c>
      <c r="AH16" s="614" t="n">
        <v>55</v>
      </c>
      <c r="AI16" s="613" t="n">
        <f aca="false">AI15</f>
        <v>16467.3080282</v>
      </c>
      <c r="AJ16" s="244"/>
      <c r="AK16" s="247" t="n">
        <f aca="false">(I16-P16-Q16-Y16)-U16</f>
        <v>-178.827</v>
      </c>
      <c r="AL16" s="367" t="n">
        <f aca="false">36.1*(V15*1.9835+W15*1.9835)/E16</f>
        <v>2.73040050550743</v>
      </c>
      <c r="AM16" s="242"/>
    </row>
    <row r="17" customFormat="false" ht="12.95" hidden="false" customHeight="true" outlineLevel="0" collapsed="false">
      <c r="A17" s="172" t="n">
        <v>6</v>
      </c>
      <c r="B17" s="615" t="n">
        <v>6908.6</v>
      </c>
      <c r="C17" s="607" t="n">
        <v>316426</v>
      </c>
      <c r="D17" s="613" t="n">
        <f aca="false">C17-C16</f>
        <v>-1105</v>
      </c>
      <c r="E17" s="607" t="n">
        <f aca="false">C17-151978</f>
        <v>164448</v>
      </c>
      <c r="F17" s="626" t="n">
        <f aca="false">D17/$D$2</f>
        <v>-557.096042349382</v>
      </c>
      <c r="G17" s="627" t="n">
        <v>105</v>
      </c>
      <c r="H17" s="628" t="n">
        <v>0.01</v>
      </c>
      <c r="I17" s="627" t="n">
        <f aca="false">G17+H17</f>
        <v>105.01</v>
      </c>
      <c r="J17" s="629" t="n">
        <f aca="false">IF(L17&gt;0,L17,0)</f>
        <v>1.89395765061761</v>
      </c>
      <c r="K17" s="627" t="n">
        <f aca="false">I17+J17</f>
        <v>106.903957650618</v>
      </c>
      <c r="L17" s="627" t="n">
        <f aca="false">F17-(I17-AC17)</f>
        <v>1.89395765061761</v>
      </c>
      <c r="M17" s="630" t="n">
        <v>206</v>
      </c>
      <c r="N17" s="631" t="n">
        <f aca="false">2.1*1.03</f>
        <v>2.163</v>
      </c>
      <c r="O17" s="627" t="n">
        <f aca="false">(26+26)*1.05</f>
        <v>54.6</v>
      </c>
      <c r="P17" s="610" t="n">
        <f aca="false">1.92*1.02</f>
        <v>1.9584</v>
      </c>
      <c r="Q17" s="632" t="n">
        <v>4.2</v>
      </c>
      <c r="R17" s="633" t="n">
        <v>3.16</v>
      </c>
      <c r="S17" s="627" t="n">
        <v>119</v>
      </c>
      <c r="T17" s="627" t="n">
        <v>71</v>
      </c>
      <c r="U17" s="627" t="n">
        <f aca="false">M17-N17-O17-P17-Q17-R17+S17+T17</f>
        <v>329.9186</v>
      </c>
      <c r="V17" s="607" t="n">
        <v>0</v>
      </c>
      <c r="W17" s="607" t="n">
        <f aca="false">W16+AK17-(AL17/1.9835)+AM17</f>
        <v>5898.51188361506</v>
      </c>
      <c r="X17" s="627" t="n">
        <v>212</v>
      </c>
      <c r="Y17" s="128" t="n">
        <v>1.7</v>
      </c>
      <c r="Z17" s="129" t="n">
        <v>1.3</v>
      </c>
      <c r="AA17" s="627" t="n">
        <v>56</v>
      </c>
      <c r="AB17" s="607" t="n">
        <f aca="false">AB16-AA17</f>
        <v>8921.43307285102</v>
      </c>
      <c r="AC17" s="634" t="n">
        <f aca="false">N17+O17+P17+Q17+R17+U17+X17+AA17</f>
        <v>664</v>
      </c>
      <c r="AD17" s="627" t="n">
        <f aca="false">IF(L17&lt;0,L17*-1,0)</f>
        <v>0</v>
      </c>
      <c r="AE17" s="627" t="n">
        <f aca="false">AC17+AD17</f>
        <v>664</v>
      </c>
      <c r="AF17" s="612" t="n">
        <v>0</v>
      </c>
      <c r="AG17" s="613" t="n">
        <v>76</v>
      </c>
      <c r="AH17" s="614" t="n">
        <v>57</v>
      </c>
      <c r="AI17" s="613" t="n">
        <f aca="false">AI16</f>
        <v>16467.3080282</v>
      </c>
      <c r="AJ17" s="244"/>
      <c r="AK17" s="247" t="n">
        <f aca="false">(I17-P17-Q17-Y17)-U17</f>
        <v>-232.767</v>
      </c>
      <c r="AL17" s="367" t="n">
        <f aca="false">36.1*(V16*1.9835+W16*1.9835)/E17</f>
        <v>2.67028262023602</v>
      </c>
      <c r="AM17" s="242"/>
    </row>
    <row r="18" customFormat="false" ht="12.95" hidden="false" customHeight="true" outlineLevel="0" collapsed="false">
      <c r="A18" s="172" t="n">
        <v>7</v>
      </c>
      <c r="B18" s="615" t="n">
        <v>6908.33</v>
      </c>
      <c r="C18" s="607" t="n">
        <v>315359</v>
      </c>
      <c r="D18" s="613" t="n">
        <f aca="false">C18-C17</f>
        <v>-1067</v>
      </c>
      <c r="E18" s="607" t="n">
        <f aca="false">C18-151978</f>
        <v>163381</v>
      </c>
      <c r="F18" s="626" t="n">
        <f aca="false">D18/$D$2</f>
        <v>-537.937988404336</v>
      </c>
      <c r="G18" s="627" t="n">
        <v>102</v>
      </c>
      <c r="H18" s="628" t="n">
        <v>0.01</v>
      </c>
      <c r="I18" s="627" t="n">
        <f aca="false">G18+H18</f>
        <v>102.01</v>
      </c>
      <c r="J18" s="629" t="n">
        <f aca="false">IF(L18&gt;0,L18,0)</f>
        <v>14.0520115956642</v>
      </c>
      <c r="K18" s="627" t="n">
        <f aca="false">I18+J18</f>
        <v>116.062011595664</v>
      </c>
      <c r="L18" s="627" t="n">
        <f aca="false">F18-(I18-AC18)</f>
        <v>14.0520115956642</v>
      </c>
      <c r="M18" s="630" t="n">
        <v>187</v>
      </c>
      <c r="N18" s="631" t="n">
        <f aca="false">2.1*1.03</f>
        <v>2.163</v>
      </c>
      <c r="O18" s="627" t="n">
        <f aca="false">(33+35)*1.05</f>
        <v>71.4</v>
      </c>
      <c r="P18" s="610" t="n">
        <f aca="false">1.92*1.02</f>
        <v>1.9584</v>
      </c>
      <c r="Q18" s="632" t="n">
        <v>4.2</v>
      </c>
      <c r="R18" s="633" t="n">
        <v>3.32</v>
      </c>
      <c r="S18" s="627" t="n">
        <v>125</v>
      </c>
      <c r="T18" s="627" t="n">
        <v>70</v>
      </c>
      <c r="U18" s="627" t="n">
        <f aca="false">M18-N18-O18-P18-Q18-R18+S18+T18</f>
        <v>298.9586</v>
      </c>
      <c r="V18" s="607" t="n">
        <v>0</v>
      </c>
      <c r="W18" s="607" t="n">
        <f aca="false">W17+AK18-(AL18/1.9835)+AM18</f>
        <v>5692.40157246506</v>
      </c>
      <c r="X18" s="627" t="n">
        <v>215</v>
      </c>
      <c r="Y18" s="128" t="n">
        <v>1.7</v>
      </c>
      <c r="Z18" s="129" t="n">
        <v>1.3</v>
      </c>
      <c r="AA18" s="627" t="n">
        <v>57</v>
      </c>
      <c r="AB18" s="607" t="n">
        <f aca="false">AB17-AA18</f>
        <v>8864.43307285102</v>
      </c>
      <c r="AC18" s="634" t="n">
        <f aca="false">N18+O18+P18+Q18+R18+U18+X18+AA18</f>
        <v>654</v>
      </c>
      <c r="AD18" s="627" t="n">
        <f aca="false">IF(L18&lt;0,L18*-1,0)</f>
        <v>0</v>
      </c>
      <c r="AE18" s="627" t="n">
        <f aca="false">AC18+AD18</f>
        <v>654</v>
      </c>
      <c r="AF18" s="612" t="n">
        <v>0.03</v>
      </c>
      <c r="AG18" s="613" t="n">
        <v>80</v>
      </c>
      <c r="AH18" s="614" t="n">
        <v>57</v>
      </c>
      <c r="AI18" s="613" t="n">
        <f aca="false">AI17</f>
        <v>16467.3080282</v>
      </c>
      <c r="AJ18" s="244"/>
      <c r="AK18" s="247" t="n">
        <f aca="false">(I18-P18-Q18-Y18)-U18</f>
        <v>-204.807</v>
      </c>
      <c r="AL18" s="367" t="n">
        <f aca="false">36.1*(V17*1.9835+W17*1.9835)/E18</f>
        <v>2.5851176660293</v>
      </c>
      <c r="AM18" s="242"/>
    </row>
    <row r="19" customFormat="false" ht="12.95" hidden="false" customHeight="true" outlineLevel="0" collapsed="false">
      <c r="A19" s="172" t="n">
        <v>8</v>
      </c>
      <c r="B19" s="615" t="n">
        <v>6908.09</v>
      </c>
      <c r="C19" s="607" t="n">
        <v>314411</v>
      </c>
      <c r="D19" s="613" t="n">
        <f aca="false">C19-C18</f>
        <v>-948</v>
      </c>
      <c r="E19" s="607" t="n">
        <f aca="false">C19-151978</f>
        <v>162433</v>
      </c>
      <c r="F19" s="626" t="n">
        <f aca="false">D19/$D$2</f>
        <v>-477.943029997479</v>
      </c>
      <c r="G19" s="627" t="n">
        <v>109</v>
      </c>
      <c r="H19" s="628" t="n">
        <v>0.02</v>
      </c>
      <c r="I19" s="627" t="n">
        <f aca="false">G19+H19</f>
        <v>109.02</v>
      </c>
      <c r="J19" s="629" t="n">
        <f aca="false">IF(L19&gt;0,L19,0)</f>
        <v>27.0369700025208</v>
      </c>
      <c r="K19" s="627" t="n">
        <f aca="false">I19+J19</f>
        <v>136.056970002521</v>
      </c>
      <c r="L19" s="627" t="n">
        <f aca="false">F19-(I19-AC19)</f>
        <v>27.0369700025208</v>
      </c>
      <c r="M19" s="630" t="n">
        <v>179</v>
      </c>
      <c r="N19" s="631" t="n">
        <f aca="false">2.1*1.03</f>
        <v>2.163</v>
      </c>
      <c r="O19" s="627" t="n">
        <f aca="false">(32+34)*1.05</f>
        <v>69.3</v>
      </c>
      <c r="P19" s="610" t="n">
        <f aca="false">1.92*1.02</f>
        <v>1.9584</v>
      </c>
      <c r="Q19" s="632" t="n">
        <v>4.2</v>
      </c>
      <c r="R19" s="633" t="n">
        <v>2.77</v>
      </c>
      <c r="S19" s="627" t="n">
        <v>129</v>
      </c>
      <c r="T19" s="627" t="n">
        <v>70</v>
      </c>
      <c r="U19" s="627" t="n">
        <f aca="false">M19-N19-O19-P19-Q19-R19+S19+T19</f>
        <v>297.6086</v>
      </c>
      <c r="V19" s="607" t="n">
        <v>0</v>
      </c>
      <c r="W19" s="607" t="n">
        <f aca="false">W18+AK19-(AL19/1.9835)+AM19</f>
        <v>5494.68946194709</v>
      </c>
      <c r="X19" s="627" t="n">
        <v>179</v>
      </c>
      <c r="Y19" s="128" t="n">
        <v>1.7</v>
      </c>
      <c r="Z19" s="129" t="n">
        <v>1.3</v>
      </c>
      <c r="AA19" s="627" t="n">
        <v>57</v>
      </c>
      <c r="AB19" s="607" t="n">
        <f aca="false">AB18-AA19</f>
        <v>8807.43307285102</v>
      </c>
      <c r="AC19" s="634" t="n">
        <f aca="false">N19+O19+P19+Q19+R19+U19+X19+AA19</f>
        <v>614</v>
      </c>
      <c r="AD19" s="627" t="n">
        <f aca="false">IF(L19&lt;0,L19*-1,0)</f>
        <v>0</v>
      </c>
      <c r="AE19" s="627" t="n">
        <f aca="false">AC19+AD19</f>
        <v>614</v>
      </c>
      <c r="AF19" s="612" t="n">
        <v>0.12</v>
      </c>
      <c r="AG19" s="613" t="n">
        <v>76</v>
      </c>
      <c r="AH19" s="614" t="n">
        <v>56</v>
      </c>
      <c r="AI19" s="613" t="n">
        <f aca="false">AI18</f>
        <v>16467.3080282</v>
      </c>
      <c r="AJ19" s="244"/>
      <c r="AK19" s="247" t="n">
        <f aca="false">(I19-P19-Q19-Y19)-U19</f>
        <v>-196.447</v>
      </c>
      <c r="AL19" s="367" t="n">
        <f aca="false">36.1*(V18*1.9835+W18*1.9835)/E19</f>
        <v>2.50934671240043</v>
      </c>
      <c r="AM19" s="242"/>
    </row>
    <row r="20" customFormat="false" ht="12.95" hidden="false" customHeight="true" outlineLevel="0" collapsed="false">
      <c r="A20" s="172" t="n">
        <v>9</v>
      </c>
      <c r="B20" s="615" t="n">
        <v>6907.87</v>
      </c>
      <c r="C20" s="607" t="n">
        <v>313547</v>
      </c>
      <c r="D20" s="613" t="n">
        <f aca="false">C20-C19</f>
        <v>-864</v>
      </c>
      <c r="E20" s="607" t="n">
        <f aca="false">C20-151978</f>
        <v>161569</v>
      </c>
      <c r="F20" s="626" t="n">
        <f aca="false">D20/$D$2</f>
        <v>-435.593647592639</v>
      </c>
      <c r="G20" s="627" t="n">
        <v>154</v>
      </c>
      <c r="H20" s="628" t="n">
        <v>0.02</v>
      </c>
      <c r="I20" s="627" t="n">
        <f aca="false">G20+H20</f>
        <v>154.02</v>
      </c>
      <c r="J20" s="629" t="n">
        <f aca="false">IF(L20&gt;0,L20,0)</f>
        <v>0</v>
      </c>
      <c r="K20" s="627" t="n">
        <f aca="false">I20+J20</f>
        <v>154.02</v>
      </c>
      <c r="L20" s="627" t="n">
        <f aca="false">F20-(I20-AC20)</f>
        <v>-21.6136475926393</v>
      </c>
      <c r="M20" s="630" t="n">
        <v>157</v>
      </c>
      <c r="N20" s="631" t="n">
        <f aca="false">2.1*1.03</f>
        <v>2.163</v>
      </c>
      <c r="O20" s="627" t="n">
        <f aca="false">(30+31)*1.05</f>
        <v>64.05</v>
      </c>
      <c r="P20" s="610" t="n">
        <f aca="false">1.92*1.02</f>
        <v>1.9584</v>
      </c>
      <c r="Q20" s="632" t="n">
        <v>3.27</v>
      </c>
      <c r="R20" s="633" t="n">
        <v>0</v>
      </c>
      <c r="S20" s="627" t="n">
        <v>129</v>
      </c>
      <c r="T20" s="627" t="n">
        <v>69</v>
      </c>
      <c r="U20" s="627" t="n">
        <f aca="false">M20-N20-O20-P20-Q20-R20+S20+T20</f>
        <v>283.5586</v>
      </c>
      <c r="V20" s="607" t="n">
        <v>0</v>
      </c>
      <c r="W20" s="607" t="n">
        <f aca="false">W19+AK20-(AL20/1.9835)+AM20</f>
        <v>5356.99476177208</v>
      </c>
      <c r="X20" s="627" t="n">
        <v>157</v>
      </c>
      <c r="Y20" s="128" t="n">
        <v>1.7</v>
      </c>
      <c r="Z20" s="129" t="n">
        <v>1.3</v>
      </c>
      <c r="AA20" s="627" t="n">
        <v>56</v>
      </c>
      <c r="AB20" s="607" t="n">
        <f aca="false">AB19-AA20</f>
        <v>8751.43307285102</v>
      </c>
      <c r="AC20" s="634" t="n">
        <f aca="false">N20+O20+P20+Q20+R20+U20+X20+AA20</f>
        <v>568</v>
      </c>
      <c r="AD20" s="627" t="n">
        <f aca="false">IF(L20&lt;0,L20*-1,0)</f>
        <v>21.6136475926393</v>
      </c>
      <c r="AE20" s="627" t="n">
        <f aca="false">AC20+AD20</f>
        <v>589.613647592639</v>
      </c>
      <c r="AF20" s="612" t="n">
        <v>0.26</v>
      </c>
      <c r="AG20" s="613" t="n">
        <v>74</v>
      </c>
      <c r="AH20" s="614" t="n">
        <v>55</v>
      </c>
      <c r="AI20" s="613" t="n">
        <f aca="false">AI19</f>
        <v>16467.3080282</v>
      </c>
      <c r="AJ20" s="244"/>
      <c r="AK20" s="247" t="n">
        <f aca="false">(I20-P20-Q20-Y20)-U20</f>
        <v>-136.467</v>
      </c>
      <c r="AL20" s="367" t="n">
        <f aca="false">36.1*(V19*1.9835+W19*1.9835)/E20</f>
        <v>2.43514329713355</v>
      </c>
      <c r="AM20" s="242"/>
    </row>
    <row r="21" customFormat="false" ht="12.95" hidden="false" customHeight="true" outlineLevel="0" collapsed="false">
      <c r="A21" s="172" t="n">
        <v>10</v>
      </c>
      <c r="B21" s="615" t="n">
        <v>6907.79</v>
      </c>
      <c r="C21" s="607" t="n">
        <v>313233</v>
      </c>
      <c r="D21" s="613" t="n">
        <f aca="false">C21-C20</f>
        <v>-314</v>
      </c>
      <c r="E21" s="607" t="n">
        <f aca="false">C21-151978</f>
        <v>161255</v>
      </c>
      <c r="F21" s="626" t="n">
        <f aca="false">D21/$D$2</f>
        <v>-158.306024703806</v>
      </c>
      <c r="G21" s="627" t="n">
        <v>166</v>
      </c>
      <c r="H21" s="628" t="n">
        <v>0.02</v>
      </c>
      <c r="I21" s="627" t="n">
        <f aca="false">G21+H21</f>
        <v>166.02</v>
      </c>
      <c r="J21" s="629" t="n">
        <f aca="false">IF(L21&gt;0,L21,0)</f>
        <v>146.673975296194</v>
      </c>
      <c r="K21" s="627" t="n">
        <f aca="false">I21+J21</f>
        <v>312.693975296194</v>
      </c>
      <c r="L21" s="627" t="n">
        <f aca="false">F21-(I21-AC21)</f>
        <v>146.673975296194</v>
      </c>
      <c r="M21" s="630" t="n">
        <v>130</v>
      </c>
      <c r="N21" s="631" t="n">
        <f aca="false">2.1*1.03</f>
        <v>2.163</v>
      </c>
      <c r="O21" s="627" t="n">
        <f aca="false">(25+26)*1.05</f>
        <v>53.55</v>
      </c>
      <c r="P21" s="610" t="n">
        <f aca="false">1.92*1.02</f>
        <v>1.9584</v>
      </c>
      <c r="Q21" s="632" t="n">
        <v>4.2</v>
      </c>
      <c r="R21" s="633" t="n">
        <v>2.23</v>
      </c>
      <c r="S21" s="627" t="n">
        <v>117</v>
      </c>
      <c r="T21" s="627" t="n">
        <v>68</v>
      </c>
      <c r="U21" s="627" t="n">
        <f aca="false">M21-N21-O21-P21-Q21-R21+S21+T21</f>
        <v>250.8986</v>
      </c>
      <c r="V21" s="607" t="n">
        <v>0</v>
      </c>
      <c r="W21" s="607" t="n">
        <f aca="false">W20+AK21-(AL21/1.9835)+AM21</f>
        <v>5263.05849656542</v>
      </c>
      <c r="X21" s="627" t="n">
        <v>100</v>
      </c>
      <c r="Y21" s="128" t="n">
        <v>1.7</v>
      </c>
      <c r="Z21" s="129" t="n">
        <v>1.3</v>
      </c>
      <c r="AA21" s="627" t="n">
        <v>56</v>
      </c>
      <c r="AB21" s="607" t="n">
        <f aca="false">AB20-AA21</f>
        <v>8695.43307285102</v>
      </c>
      <c r="AC21" s="634" t="n">
        <f aca="false">N21+O21+P21+Q21+R21+U21+X21+AA21</f>
        <v>471</v>
      </c>
      <c r="AD21" s="627" t="n">
        <f aca="false">IF(L21&lt;0,L21*-1,0)</f>
        <v>0</v>
      </c>
      <c r="AE21" s="627" t="n">
        <f aca="false">AC21+AD21</f>
        <v>471</v>
      </c>
      <c r="AF21" s="612" t="n">
        <v>0</v>
      </c>
      <c r="AG21" s="613" t="n">
        <v>72</v>
      </c>
      <c r="AH21" s="614" t="n">
        <v>52</v>
      </c>
      <c r="AI21" s="613" t="n">
        <f aca="false">AI20</f>
        <v>16467.3080282</v>
      </c>
      <c r="AJ21" s="244"/>
      <c r="AK21" s="247" t="n">
        <f aca="false">(I21-P21-Q21-Y21)-U21</f>
        <v>-92.737</v>
      </c>
      <c r="AL21" s="367" t="n">
        <f aca="false">36.1*(V20*1.9835+W20*1.9835)/E21</f>
        <v>2.37874253741028</v>
      </c>
      <c r="AM21" s="242"/>
    </row>
    <row r="22" customFormat="false" ht="12.95" hidden="false" customHeight="true" outlineLevel="0" collapsed="false">
      <c r="A22" s="172" t="n">
        <v>11</v>
      </c>
      <c r="B22" s="615" t="n">
        <v>6907.59</v>
      </c>
      <c r="C22" s="607" t="n">
        <v>312449</v>
      </c>
      <c r="D22" s="613" t="n">
        <f aca="false">C22-C21</f>
        <v>-784</v>
      </c>
      <c r="E22" s="607" t="n">
        <f aca="false">C22-151978</f>
        <v>160471</v>
      </c>
      <c r="F22" s="626" t="n">
        <f aca="false">D22/$D$2</f>
        <v>-395.260902445173</v>
      </c>
      <c r="G22" s="627" t="n">
        <v>146</v>
      </c>
      <c r="H22" s="628" t="n">
        <v>0.02</v>
      </c>
      <c r="I22" s="627" t="n">
        <f aca="false">G22+H22</f>
        <v>146.02</v>
      </c>
      <c r="J22" s="629" t="n">
        <f aca="false">IF(L22&gt;0,L22,0)</f>
        <v>0</v>
      </c>
      <c r="K22" s="627" t="n">
        <f aca="false">I22+J22</f>
        <v>146.02</v>
      </c>
      <c r="L22" s="627" t="n">
        <f aca="false">F22-(I22-AC22)</f>
        <v>-53.2809024451728</v>
      </c>
      <c r="M22" s="630" t="n">
        <v>146</v>
      </c>
      <c r="N22" s="631" t="n">
        <f aca="false">2.1*1.03</f>
        <v>2.163</v>
      </c>
      <c r="O22" s="627" t="n">
        <f aca="false">(25+24)*1.05</f>
        <v>51.45</v>
      </c>
      <c r="P22" s="610" t="n">
        <f aca="false">1.92*1.02</f>
        <v>1.9584</v>
      </c>
      <c r="Q22" s="632" t="n">
        <v>4.2</v>
      </c>
      <c r="R22" s="633" t="n">
        <v>1.3</v>
      </c>
      <c r="S22" s="627" t="n">
        <v>111</v>
      </c>
      <c r="T22" s="627" t="n">
        <v>66</v>
      </c>
      <c r="U22" s="627" t="n">
        <f aca="false">M22-N22-O22-P22-Q22-R22+S22+T22</f>
        <v>261.9286</v>
      </c>
      <c r="V22" s="607" t="n">
        <v>0</v>
      </c>
      <c r="W22" s="607" t="n">
        <f aca="false">W21+AK22-(AL22/1.9835)+AM22</f>
        <v>5138.10750436916</v>
      </c>
      <c r="X22" s="627" t="n">
        <v>109</v>
      </c>
      <c r="Y22" s="128" t="n">
        <v>1.7</v>
      </c>
      <c r="Z22" s="129" t="n">
        <v>1.3</v>
      </c>
      <c r="AA22" s="627" t="n">
        <v>56</v>
      </c>
      <c r="AB22" s="607" t="n">
        <f aca="false">AB21-AA22</f>
        <v>8639.43307285102</v>
      </c>
      <c r="AC22" s="634" t="n">
        <f aca="false">N22+O22+P22+Q22+R22+U22+X22+AA22</f>
        <v>488</v>
      </c>
      <c r="AD22" s="627" t="n">
        <f aca="false">IF(L22&lt;0,L22*-1,0)</f>
        <v>53.2809024451728</v>
      </c>
      <c r="AE22" s="627" t="n">
        <f aca="false">AC22+AD22</f>
        <v>541.280902445173</v>
      </c>
      <c r="AF22" s="612" t="n">
        <v>0</v>
      </c>
      <c r="AG22" s="613" t="n">
        <v>75</v>
      </c>
      <c r="AH22" s="614" t="n">
        <v>50</v>
      </c>
      <c r="AI22" s="613" t="n">
        <f aca="false">AI21</f>
        <v>16467.3080282</v>
      </c>
      <c r="AJ22" s="244"/>
      <c r="AK22" s="247" t="n">
        <f aca="false">(I22-P22-Q22-Y22)-U22</f>
        <v>-123.767</v>
      </c>
      <c r="AL22" s="367" t="n">
        <f aca="false">36.1*(V21*1.9835+W21*1.9835)/E22</f>
        <v>2.34844852128138</v>
      </c>
      <c r="AM22" s="242"/>
    </row>
    <row r="23" customFormat="false" ht="12.95" hidden="false" customHeight="true" outlineLevel="0" collapsed="false">
      <c r="A23" s="172" t="n">
        <v>12</v>
      </c>
      <c r="B23" s="615" t="n">
        <v>6907.37</v>
      </c>
      <c r="C23" s="607" t="n">
        <v>311627</v>
      </c>
      <c r="D23" s="613" t="n">
        <f aca="false">C23-C22</f>
        <v>-822</v>
      </c>
      <c r="E23" s="607" t="n">
        <f aca="false">C23-151978</f>
        <v>159649</v>
      </c>
      <c r="F23" s="626" t="n">
        <f aca="false">D23/$D$2</f>
        <v>-414.418956390219</v>
      </c>
      <c r="G23" s="627" t="n">
        <v>122</v>
      </c>
      <c r="H23" s="628" t="n">
        <v>0.02</v>
      </c>
      <c r="I23" s="627" t="n">
        <f aca="false">G23+H23</f>
        <v>122.02</v>
      </c>
      <c r="J23" s="629" t="n">
        <f aca="false">IF(L23&gt;0,L23,0)</f>
        <v>0</v>
      </c>
      <c r="K23" s="627" t="n">
        <f aca="false">I23+J23</f>
        <v>122.02</v>
      </c>
      <c r="L23" s="627" t="n">
        <f aca="false">F23-(I23-AC23)</f>
        <v>-31.4389563902193</v>
      </c>
      <c r="M23" s="630" t="n">
        <v>161</v>
      </c>
      <c r="N23" s="631" t="n">
        <f aca="false">2.1*1.03</f>
        <v>2.163</v>
      </c>
      <c r="O23" s="627" t="n">
        <f aca="false">(25+25)*1.05</f>
        <v>52.5</v>
      </c>
      <c r="P23" s="610" t="n">
        <f aca="false">1.92*1.02</f>
        <v>1.9584</v>
      </c>
      <c r="Q23" s="632" t="n">
        <v>4.2</v>
      </c>
      <c r="R23" s="633" t="n">
        <v>1.26</v>
      </c>
      <c r="S23" s="627" t="n">
        <v>108</v>
      </c>
      <c r="T23" s="627" t="n">
        <v>63</v>
      </c>
      <c r="U23" s="627" t="n">
        <f aca="false">M23-N23-O23-P23-Q23-R23+S23+T23</f>
        <v>269.9186</v>
      </c>
      <c r="V23" s="607" t="n">
        <v>0</v>
      </c>
      <c r="W23" s="607" t="n">
        <f aca="false">W22+AK23-(AL23/1.9835)+AM23</f>
        <v>4981.18867008953</v>
      </c>
      <c r="X23" s="627" t="n">
        <v>117</v>
      </c>
      <c r="Y23" s="128" t="n">
        <v>1.7</v>
      </c>
      <c r="Z23" s="129" t="n">
        <v>1.3</v>
      </c>
      <c r="AA23" s="627" t="n">
        <v>56</v>
      </c>
      <c r="AB23" s="607" t="n">
        <f aca="false">AB22-AA23</f>
        <v>8583.43307285102</v>
      </c>
      <c r="AC23" s="634" t="n">
        <f aca="false">N23+O23+P23+Q23+R23+U23+X23+AA23</f>
        <v>505</v>
      </c>
      <c r="AD23" s="627" t="n">
        <f aca="false">IF(L23&lt;0,L23*-1,0)</f>
        <v>31.4389563902193</v>
      </c>
      <c r="AE23" s="627" t="n">
        <f aca="false">AC23+AD23</f>
        <v>536.438956390219</v>
      </c>
      <c r="AF23" s="612" t="n">
        <v>0</v>
      </c>
      <c r="AG23" s="613" t="n">
        <v>73</v>
      </c>
      <c r="AH23" s="614" t="n">
        <v>48</v>
      </c>
      <c r="AI23" s="613" t="n">
        <f aca="false">AI22</f>
        <v>16467.3080282</v>
      </c>
      <c r="AJ23" s="244"/>
      <c r="AK23" s="247" t="n">
        <f aca="false">(I23-P23-Q23-Y23)-U23</f>
        <v>-155.757</v>
      </c>
      <c r="AL23" s="367" t="n">
        <f aca="false">36.1*(V22*1.9835+W22*1.9835)/E23</f>
        <v>2.30449829363463</v>
      </c>
      <c r="AM23" s="242"/>
    </row>
    <row r="24" customFormat="false" ht="12.95" hidden="false" customHeight="true" outlineLevel="0" collapsed="false">
      <c r="A24" s="172" t="n">
        <v>13</v>
      </c>
      <c r="B24" s="615" t="n">
        <v>6907.14</v>
      </c>
      <c r="C24" s="607" t="n">
        <v>310686</v>
      </c>
      <c r="D24" s="613" t="n">
        <f aca="false">C24-C23</f>
        <v>-941</v>
      </c>
      <c r="E24" s="607" t="n">
        <f aca="false">C24-151978</f>
        <v>158708</v>
      </c>
      <c r="F24" s="626" t="n">
        <f aca="false">D24/$D$2</f>
        <v>-474.413914797076</v>
      </c>
      <c r="G24" s="627" t="n">
        <v>110</v>
      </c>
      <c r="H24" s="628" t="n">
        <v>0.01</v>
      </c>
      <c r="I24" s="627" t="n">
        <f aca="false">G24+H24</f>
        <v>110.01</v>
      </c>
      <c r="J24" s="629" t="n">
        <f aca="false">IF(L24&gt;0,L24,0)</f>
        <v>0</v>
      </c>
      <c r="K24" s="627" t="n">
        <f aca="false">I24+J24</f>
        <v>110.01</v>
      </c>
      <c r="L24" s="627" t="n">
        <f aca="false">F24-(I24-AC24)</f>
        <v>-61.4239147970758</v>
      </c>
      <c r="M24" s="630" t="n">
        <v>148</v>
      </c>
      <c r="N24" s="631" t="n">
        <f aca="false">2.1*1.03</f>
        <v>2.163</v>
      </c>
      <c r="O24" s="627" t="n">
        <f aca="false">(26+26)*1.05</f>
        <v>54.6</v>
      </c>
      <c r="P24" s="610" t="n">
        <f aca="false">1.92*1.02</f>
        <v>1.9584</v>
      </c>
      <c r="Q24" s="632" t="n">
        <v>4.2</v>
      </c>
      <c r="R24" s="633" t="n">
        <v>2.6</v>
      </c>
      <c r="S24" s="627" t="n">
        <v>104</v>
      </c>
      <c r="T24" s="627" t="n">
        <v>62</v>
      </c>
      <c r="U24" s="627" t="n">
        <f aca="false">M24-N24-O24-P24-Q24-R24+S24+T24</f>
        <v>248.4786</v>
      </c>
      <c r="V24" s="607" t="n">
        <v>0</v>
      </c>
      <c r="W24" s="607" t="n">
        <f aca="false">W23+AK24-(AL24/1.9835)+AM24</f>
        <v>4833.72864017932</v>
      </c>
      <c r="X24" s="627" t="n">
        <v>153</v>
      </c>
      <c r="Y24" s="128" t="n">
        <v>1.7</v>
      </c>
      <c r="Z24" s="129" t="n">
        <v>1.3</v>
      </c>
      <c r="AA24" s="627" t="n">
        <v>56</v>
      </c>
      <c r="AB24" s="607" t="n">
        <f aca="false">AB23-AA24</f>
        <v>8527.43307285102</v>
      </c>
      <c r="AC24" s="634" t="n">
        <f aca="false">N24+O24+P24+Q24+R24+U24+X24+AA24</f>
        <v>523</v>
      </c>
      <c r="AD24" s="627" t="n">
        <f aca="false">IF(L24&lt;0,L24*-1,0)</f>
        <v>61.4239147970758</v>
      </c>
      <c r="AE24" s="627" t="n">
        <f aca="false">AC24+AD24</f>
        <v>584.423914797076</v>
      </c>
      <c r="AF24" s="612" t="n">
        <v>0</v>
      </c>
      <c r="AG24" s="613" t="n">
        <v>71</v>
      </c>
      <c r="AH24" s="614" t="n">
        <v>44</v>
      </c>
      <c r="AI24" s="613" t="n">
        <f aca="false">AI23</f>
        <v>16467.3080282</v>
      </c>
      <c r="AJ24" s="244"/>
      <c r="AK24" s="247" t="n">
        <f aca="false">(I24-P24-Q24-Y24)-U24</f>
        <v>-146.327</v>
      </c>
      <c r="AL24" s="367" t="n">
        <f aca="false">36.1*(V23*1.9835+W23*1.9835)/E24</f>
        <v>2.24736482690933</v>
      </c>
      <c r="AM24" s="242"/>
    </row>
    <row r="25" customFormat="false" ht="12.95" hidden="false" customHeight="true" outlineLevel="0" collapsed="false">
      <c r="A25" s="172" t="n">
        <v>14</v>
      </c>
      <c r="B25" s="615" t="n">
        <v>6906.97</v>
      </c>
      <c r="C25" s="607" t="n">
        <v>310021</v>
      </c>
      <c r="D25" s="613" t="n">
        <f aca="false">C25-C24</f>
        <v>-665</v>
      </c>
      <c r="E25" s="607" t="n">
        <f aca="false">C25-151978</f>
        <v>158043</v>
      </c>
      <c r="F25" s="626" t="n">
        <f aca="false">D25/$D$2</f>
        <v>-335.265944038316</v>
      </c>
      <c r="G25" s="627" t="n">
        <v>101</v>
      </c>
      <c r="H25" s="628" t="n">
        <v>0.01</v>
      </c>
      <c r="I25" s="627" t="n">
        <f aca="false">G25+H25</f>
        <v>101.01</v>
      </c>
      <c r="J25" s="629" t="n">
        <f aca="false">IF(L25&gt;0,L25,0)</f>
        <v>68.7240559616839</v>
      </c>
      <c r="K25" s="627" t="n">
        <f aca="false">I25+J25</f>
        <v>169.734055961684</v>
      </c>
      <c r="L25" s="627" t="n">
        <f aca="false">F25-(I25-AC25)</f>
        <v>68.7240559616839</v>
      </c>
      <c r="M25" s="630" t="n">
        <v>152</v>
      </c>
      <c r="N25" s="631" t="n">
        <f aca="false">2.1*1.03</f>
        <v>2.163</v>
      </c>
      <c r="O25" s="627" t="n">
        <f aca="false">(25+25)*1.05</f>
        <v>52.5</v>
      </c>
      <c r="P25" s="610" t="n">
        <f aca="false">1.92*1.02</f>
        <v>1.9584</v>
      </c>
      <c r="Q25" s="632" t="n">
        <v>4.2</v>
      </c>
      <c r="R25" s="633" t="n">
        <v>2.27</v>
      </c>
      <c r="S25" s="627" t="n">
        <v>104</v>
      </c>
      <c r="T25" s="627" t="n">
        <v>63</v>
      </c>
      <c r="U25" s="627" t="n">
        <f aca="false">M25-N25-O25-P25-Q25-R25+S25+T25</f>
        <v>255.9086</v>
      </c>
      <c r="V25" s="607" t="n">
        <v>0</v>
      </c>
      <c r="W25" s="607" t="n">
        <f aca="false">W24+AK25-(AL25/1.9835)+AM25</f>
        <v>4669.86752545162</v>
      </c>
      <c r="X25" s="627" t="n">
        <v>130</v>
      </c>
      <c r="Y25" s="128" t="n">
        <v>1.7</v>
      </c>
      <c r="Z25" s="129" t="n">
        <v>1.3</v>
      </c>
      <c r="AA25" s="627" t="n">
        <v>56</v>
      </c>
      <c r="AB25" s="607" t="n">
        <f aca="false">AB24-AA25</f>
        <v>8471.43307285102</v>
      </c>
      <c r="AC25" s="634" t="n">
        <f aca="false">N25+O25+P25+Q25+R25+U25+X25+AA25</f>
        <v>505</v>
      </c>
      <c r="AD25" s="627" t="n">
        <f aca="false">IF(L25&lt;0,L25*-1,0)</f>
        <v>0</v>
      </c>
      <c r="AE25" s="627" t="n">
        <f aca="false">AC25+AD25</f>
        <v>505</v>
      </c>
      <c r="AF25" s="612" t="n">
        <v>0</v>
      </c>
      <c r="AG25" s="613" t="n">
        <v>69</v>
      </c>
      <c r="AH25" s="614" t="n">
        <v>43</v>
      </c>
      <c r="AI25" s="613" t="n">
        <f aca="false">AI24</f>
        <v>16467.3080282</v>
      </c>
      <c r="AJ25" s="244"/>
      <c r="AK25" s="247" t="n">
        <f aca="false">(I25-P25-Q25-Y25)-U25</f>
        <v>-162.757</v>
      </c>
      <c r="AL25" s="367" t="n">
        <f aca="false">36.1*(V24*1.9835+W24*1.9835)/E25</f>
        <v>2.19001156240026</v>
      </c>
      <c r="AM25" s="242"/>
    </row>
    <row r="26" customFormat="false" ht="12.95" hidden="false" customHeight="true" outlineLevel="0" collapsed="false">
      <c r="A26" s="172" t="n">
        <v>15</v>
      </c>
      <c r="B26" s="615" t="n">
        <v>6906.72</v>
      </c>
      <c r="C26" s="607" t="n">
        <v>309050</v>
      </c>
      <c r="D26" s="613" t="n">
        <f aca="false">C26-C25</f>
        <v>-971</v>
      </c>
      <c r="E26" s="607" t="n">
        <f aca="false">C26-151978</f>
        <v>157072</v>
      </c>
      <c r="F26" s="626" t="n">
        <f aca="false">D26/$D$2</f>
        <v>-489.538694227376</v>
      </c>
      <c r="G26" s="627" t="n">
        <v>97</v>
      </c>
      <c r="H26" s="628" t="n">
        <v>0</v>
      </c>
      <c r="I26" s="627" t="n">
        <f aca="false">G26+H26</f>
        <v>97</v>
      </c>
      <c r="J26" s="629" t="n">
        <f aca="false">IF(L26&gt;0,L26,0)</f>
        <v>0</v>
      </c>
      <c r="K26" s="627" t="n">
        <f aca="false">I26+J26</f>
        <v>97</v>
      </c>
      <c r="L26" s="627" t="n">
        <f aca="false">F26-(I26-AC26)</f>
        <v>-80.5386942273759</v>
      </c>
      <c r="M26" s="630" t="n">
        <v>158</v>
      </c>
      <c r="N26" s="631" t="n">
        <f aca="false">2.1*1.03</f>
        <v>2.163</v>
      </c>
      <c r="O26" s="627" t="n">
        <f aca="false">(28+29)*1.05</f>
        <v>59.85</v>
      </c>
      <c r="P26" s="610" t="n">
        <f aca="false">1.92*1.02</f>
        <v>1.9584</v>
      </c>
      <c r="Q26" s="632" t="n">
        <v>4.2</v>
      </c>
      <c r="R26" s="633" t="n">
        <v>2.98</v>
      </c>
      <c r="S26" s="627" t="n">
        <v>103</v>
      </c>
      <c r="T26" s="627" t="n">
        <v>63</v>
      </c>
      <c r="U26" s="627" t="n">
        <f aca="false">M26-N26-O26-P26-Q26-R26+S26+T26</f>
        <v>252.8486</v>
      </c>
      <c r="V26" s="607" t="n">
        <v>0</v>
      </c>
      <c r="W26" s="607" t="n">
        <f aca="false">W25+AK26-(AL26/1.9835)+AM26</f>
        <v>4505.08724556934</v>
      </c>
      <c r="X26" s="627" t="n">
        <v>126</v>
      </c>
      <c r="Y26" s="128" t="n">
        <v>1.7</v>
      </c>
      <c r="Z26" s="129" t="n">
        <v>1.3</v>
      </c>
      <c r="AA26" s="627" t="n">
        <v>56</v>
      </c>
      <c r="AB26" s="607" t="n">
        <f aca="false">AB25-AA26</f>
        <v>8415.43307285102</v>
      </c>
      <c r="AC26" s="634" t="n">
        <f aca="false">N26+O26+P26+Q26+R26+U26+X26+AA26</f>
        <v>506</v>
      </c>
      <c r="AD26" s="627" t="n">
        <f aca="false">IF(L26&lt;0,L26*-1,0)</f>
        <v>80.5386942273759</v>
      </c>
      <c r="AE26" s="627" t="n">
        <f aca="false">AC26+AD26</f>
        <v>586.538694227376</v>
      </c>
      <c r="AF26" s="612" t="n">
        <v>0</v>
      </c>
      <c r="AG26" s="613" t="n">
        <v>72</v>
      </c>
      <c r="AH26" s="614" t="n">
        <v>42</v>
      </c>
      <c r="AI26" s="613" t="n">
        <f aca="false">AI25</f>
        <v>16467.3080282</v>
      </c>
      <c r="AJ26" s="244"/>
      <c r="AK26" s="247" t="n">
        <f aca="false">(I26-P26-Q26-Y26)-U26</f>
        <v>-163.707</v>
      </c>
      <c r="AL26" s="367" t="n">
        <f aca="false">36.1*(V25*1.9835+W25*1.9835)/E26</f>
        <v>2.12885064649378</v>
      </c>
      <c r="AM26" s="242"/>
    </row>
    <row r="27" customFormat="false" ht="12.95" hidden="false" customHeight="true" outlineLevel="0" collapsed="false">
      <c r="A27" s="172" t="n">
        <v>16</v>
      </c>
      <c r="B27" s="615" t="n">
        <v>6906.5</v>
      </c>
      <c r="C27" s="607" t="n">
        <v>308194</v>
      </c>
      <c r="D27" s="613" t="n">
        <f aca="false">C27-C26</f>
        <v>-856</v>
      </c>
      <c r="E27" s="607" t="n">
        <f aca="false">C27-151978</f>
        <v>156216</v>
      </c>
      <c r="F27" s="626" t="n">
        <f aca="false">D27/$D$2</f>
        <v>-431.560373077893</v>
      </c>
      <c r="G27" s="627" t="n">
        <v>93</v>
      </c>
      <c r="H27" s="628" t="n">
        <v>0</v>
      </c>
      <c r="I27" s="627" t="n">
        <f aca="false">G27+H27</f>
        <v>93</v>
      </c>
      <c r="J27" s="629" t="n">
        <f aca="false">IF(L27&gt;0,L27,0)</f>
        <v>0</v>
      </c>
      <c r="K27" s="627" t="n">
        <f aca="false">I27+J27</f>
        <v>93</v>
      </c>
      <c r="L27" s="627" t="n">
        <f aca="false">F27-(I27-AC27)</f>
        <v>-78.5603730778926</v>
      </c>
      <c r="M27" s="630" t="n">
        <v>134</v>
      </c>
      <c r="N27" s="631" t="n">
        <f aca="false">2.1*1.03</f>
        <v>2.163</v>
      </c>
      <c r="O27" s="627" t="n">
        <f aca="false">(20+20)*1.05</f>
        <v>42</v>
      </c>
      <c r="P27" s="610" t="n">
        <f aca="false">1.92*1.02</f>
        <v>1.9584</v>
      </c>
      <c r="Q27" s="632" t="n">
        <v>4.2</v>
      </c>
      <c r="R27" s="633" t="n">
        <v>2.37</v>
      </c>
      <c r="S27" s="627" t="n">
        <v>104</v>
      </c>
      <c r="T27" s="627" t="n">
        <v>62</v>
      </c>
      <c r="U27" s="627" t="n">
        <f aca="false">M27-N27-O27-P27-Q27-R27+S27+T27</f>
        <v>247.3086</v>
      </c>
      <c r="V27" s="607" t="n">
        <v>0</v>
      </c>
      <c r="W27" s="607" t="n">
        <f aca="false">W26+AK27-(AL27/1.9835)+AM27</f>
        <v>4341.8791636727</v>
      </c>
      <c r="X27" s="627" t="n">
        <v>91</v>
      </c>
      <c r="Y27" s="128" t="n">
        <v>1.7</v>
      </c>
      <c r="Z27" s="129" t="n">
        <v>1.3</v>
      </c>
      <c r="AA27" s="627" t="n">
        <v>55</v>
      </c>
      <c r="AB27" s="607" t="n">
        <f aca="false">AB26-AA27</f>
        <v>8360.43307285102</v>
      </c>
      <c r="AC27" s="634" t="n">
        <f aca="false">N27+O27+P27+Q27+R27+U27+X27+AA27</f>
        <v>446</v>
      </c>
      <c r="AD27" s="627" t="n">
        <f aca="false">IF(L27&lt;0,L27*-1,0)</f>
        <v>78.5603730778926</v>
      </c>
      <c r="AE27" s="627" t="n">
        <f aca="false">AC27+AD27</f>
        <v>524.560373077893</v>
      </c>
      <c r="AF27" s="612" t="n">
        <v>0</v>
      </c>
      <c r="AG27" s="613" t="n">
        <v>76</v>
      </c>
      <c r="AH27" s="614" t="n">
        <v>42</v>
      </c>
      <c r="AI27" s="613" t="n">
        <f aca="false">AI26</f>
        <v>16467.3080282</v>
      </c>
      <c r="AJ27" s="244"/>
      <c r="AK27" s="247" t="n">
        <f aca="false">(I27-P27-Q27-Y27)-U27</f>
        <v>-162.167</v>
      </c>
      <c r="AL27" s="367" t="n">
        <f aca="false">36.1*(V26*1.9835+W26*1.9835)/E27</f>
        <v>2.06498594197959</v>
      </c>
      <c r="AM27" s="242"/>
    </row>
    <row r="28" customFormat="false" ht="12.95" hidden="false" customHeight="true" outlineLevel="0" collapsed="false">
      <c r="A28" s="172" t="n">
        <v>17</v>
      </c>
      <c r="B28" s="615" t="n">
        <v>6906.3</v>
      </c>
      <c r="C28" s="607" t="n">
        <v>307417</v>
      </c>
      <c r="D28" s="613" t="n">
        <f aca="false">C28-C27</f>
        <v>-777</v>
      </c>
      <c r="E28" s="607" t="n">
        <f aca="false">C28-151978</f>
        <v>155439</v>
      </c>
      <c r="F28" s="626" t="n">
        <f aca="false">D28/$D$2</f>
        <v>-391.731787244769</v>
      </c>
      <c r="G28" s="627" t="n">
        <v>89</v>
      </c>
      <c r="H28" s="628" t="n">
        <v>0</v>
      </c>
      <c r="I28" s="627" t="n">
        <f aca="false">G28+H28</f>
        <v>89</v>
      </c>
      <c r="J28" s="629" t="n">
        <f aca="false">IF(L28&gt;0,L28,0)</f>
        <v>0</v>
      </c>
      <c r="K28" s="627" t="n">
        <f aca="false">I28+J28</f>
        <v>89</v>
      </c>
      <c r="L28" s="627" t="n">
        <f aca="false">F28-(I28-AC28)</f>
        <v>-26.7317872447693</v>
      </c>
      <c r="M28" s="630" t="n">
        <v>129</v>
      </c>
      <c r="N28" s="631" t="n">
        <f aca="false">2.1*1.03</f>
        <v>2.163</v>
      </c>
      <c r="O28" s="627" t="n">
        <f aca="false">(14+14)*1.05</f>
        <v>29.4</v>
      </c>
      <c r="P28" s="610" t="n">
        <f aca="false">1.92*1.02</f>
        <v>1.9584</v>
      </c>
      <c r="Q28" s="632" t="n">
        <v>4.2</v>
      </c>
      <c r="R28" s="633" t="n">
        <v>3.03</v>
      </c>
      <c r="S28" s="627" t="n">
        <v>105</v>
      </c>
      <c r="T28" s="627" t="n">
        <v>63</v>
      </c>
      <c r="U28" s="627" t="n">
        <f aca="false">M28-N28-O28-P28-Q28-R28+S28+T28</f>
        <v>256.2486</v>
      </c>
      <c r="V28" s="607" t="n">
        <v>0</v>
      </c>
      <c r="W28" s="607" t="n">
        <f aca="false">W27+AK28-(AL28/1.9835)+AM28</f>
        <v>4165.76378200653</v>
      </c>
      <c r="X28" s="627" t="n">
        <v>101</v>
      </c>
      <c r="Y28" s="128" t="n">
        <v>1.7</v>
      </c>
      <c r="Z28" s="129" t="n">
        <v>1.3</v>
      </c>
      <c r="AA28" s="627" t="n">
        <v>56</v>
      </c>
      <c r="AB28" s="607" t="n">
        <f aca="false">AB27-AA28</f>
        <v>8304.43307285102</v>
      </c>
      <c r="AC28" s="634" t="n">
        <f aca="false">N28+O28+P28+Q28+R28+U28+X28+AA28</f>
        <v>454</v>
      </c>
      <c r="AD28" s="627" t="n">
        <f aca="false">IF(L28&lt;0,L28*-1,0)</f>
        <v>26.7317872447693</v>
      </c>
      <c r="AE28" s="627" t="n">
        <f aca="false">AC28+AD28</f>
        <v>480.731787244769</v>
      </c>
      <c r="AF28" s="612" t="n">
        <v>0</v>
      </c>
      <c r="AG28" s="613" t="n">
        <v>75</v>
      </c>
      <c r="AH28" s="614" t="n">
        <v>42</v>
      </c>
      <c r="AI28" s="613" t="n">
        <f aca="false">AI27</f>
        <v>16467.3080282</v>
      </c>
      <c r="AJ28" s="244"/>
      <c r="AK28" s="247" t="n">
        <f aca="false">(I28-P28-Q28-Y28)-U28</f>
        <v>-175.107</v>
      </c>
      <c r="AL28" s="367" t="n">
        <f aca="false">36.1*(V27*1.9835+W27*1.9835)/E28</f>
        <v>2.00012503485822</v>
      </c>
      <c r="AM28" s="242"/>
    </row>
    <row r="29" customFormat="false" ht="12.95" hidden="false" customHeight="true" outlineLevel="0" collapsed="false">
      <c r="A29" s="172" t="n">
        <v>18</v>
      </c>
      <c r="B29" s="615" t="n">
        <v>6906.14</v>
      </c>
      <c r="C29" s="607" t="n">
        <v>306795</v>
      </c>
      <c r="D29" s="613" t="n">
        <f aca="false">C29-C28</f>
        <v>-622</v>
      </c>
      <c r="E29" s="607" t="n">
        <f aca="false">C29-151978</f>
        <v>154817</v>
      </c>
      <c r="F29" s="626" t="n">
        <f aca="false">D29/$D$2</f>
        <v>-313.587093521553</v>
      </c>
      <c r="G29" s="627" t="n">
        <v>83</v>
      </c>
      <c r="H29" s="628" t="n">
        <v>0</v>
      </c>
      <c r="I29" s="627" t="n">
        <f aca="false">G29+H29</f>
        <v>83</v>
      </c>
      <c r="J29" s="629" t="n">
        <f aca="false">IF(L29&gt;0,L29,0)</f>
        <v>49.4129064784472</v>
      </c>
      <c r="K29" s="627" t="n">
        <f aca="false">I29+J29</f>
        <v>132.412906478447</v>
      </c>
      <c r="L29" s="627" t="n">
        <f aca="false">F29-(I29-AC29)</f>
        <v>49.4129064784472</v>
      </c>
      <c r="M29" s="630" t="n">
        <v>139</v>
      </c>
      <c r="N29" s="631" t="n">
        <f aca="false">2.1*1.03</f>
        <v>2.163</v>
      </c>
      <c r="O29" s="627" t="n">
        <f aca="false">(13+13)*1.05</f>
        <v>27.3</v>
      </c>
      <c r="P29" s="610" t="n">
        <f aca="false">1.92*1.02</f>
        <v>1.9584</v>
      </c>
      <c r="Q29" s="632" t="n">
        <v>4.2</v>
      </c>
      <c r="R29" s="633" t="n">
        <v>2.31</v>
      </c>
      <c r="S29" s="627" t="n">
        <v>105</v>
      </c>
      <c r="T29" s="627" t="n">
        <v>64</v>
      </c>
      <c r="U29" s="627" t="n">
        <f aca="false">M29-N29-O29-P29-Q29-R29+S29+T29</f>
        <v>270.0686</v>
      </c>
      <c r="V29" s="607" t="n">
        <v>0</v>
      </c>
      <c r="W29" s="607" t="n">
        <f aca="false">W28+AK29-(AL29/1.9835)+AM29</f>
        <v>3969.8654153444</v>
      </c>
      <c r="X29" s="627" t="n">
        <v>82</v>
      </c>
      <c r="Y29" s="128" t="n">
        <v>1.7</v>
      </c>
      <c r="Z29" s="129" t="n">
        <v>1.3</v>
      </c>
      <c r="AA29" s="627" t="n">
        <v>56</v>
      </c>
      <c r="AB29" s="607" t="n">
        <f aca="false">AB28-AA29</f>
        <v>8248.43307285102</v>
      </c>
      <c r="AC29" s="634" t="n">
        <f aca="false">N29+O29+P29+Q29+R29+U29+X29+AA29</f>
        <v>446</v>
      </c>
      <c r="AD29" s="627" t="n">
        <f aca="false">IF(L29&lt;0,L29*-1,0)</f>
        <v>0</v>
      </c>
      <c r="AE29" s="627" t="n">
        <f aca="false">AC29+AD29</f>
        <v>446</v>
      </c>
      <c r="AF29" s="612" t="n">
        <v>0</v>
      </c>
      <c r="AG29" s="613" t="n">
        <v>76</v>
      </c>
      <c r="AH29" s="614" t="n">
        <v>45</v>
      </c>
      <c r="AI29" s="613" t="n">
        <f aca="false">AI28</f>
        <v>16467.3080282</v>
      </c>
      <c r="AJ29" s="244"/>
      <c r="AK29" s="247" t="n">
        <f aca="false">(I29-P29-Q29-Y29)-U29</f>
        <v>-194.927</v>
      </c>
      <c r="AL29" s="367" t="n">
        <f aca="false">36.1*(V28*1.9835+W28*1.9835)/E29</f>
        <v>1.92670577432788</v>
      </c>
      <c r="AM29" s="242"/>
    </row>
    <row r="30" customFormat="false" ht="12.95" hidden="false" customHeight="true" outlineLevel="0" collapsed="false">
      <c r="A30" s="172" t="n">
        <v>19</v>
      </c>
      <c r="B30" s="615" t="n">
        <v>6905.94</v>
      </c>
      <c r="C30" s="607" t="n">
        <v>306020</v>
      </c>
      <c r="D30" s="613" t="n">
        <f aca="false">C30-C29</f>
        <v>-775</v>
      </c>
      <c r="E30" s="607" t="n">
        <f aca="false">C30-151978</f>
        <v>154042</v>
      </c>
      <c r="F30" s="626" t="n">
        <f aca="false">D30/$D$2</f>
        <v>-390.723468616083</v>
      </c>
      <c r="G30" s="627" t="n">
        <v>80</v>
      </c>
      <c r="H30" s="628" t="n">
        <v>0</v>
      </c>
      <c r="I30" s="627" t="n">
        <f aca="false">G30+H30</f>
        <v>80</v>
      </c>
      <c r="J30" s="629" t="n">
        <f aca="false">IF(L30&gt;0,L30,0)</f>
        <v>0</v>
      </c>
      <c r="K30" s="627" t="n">
        <f aca="false">I30+J30</f>
        <v>80</v>
      </c>
      <c r="L30" s="627" t="n">
        <f aca="false">F30-(I30-AC30)</f>
        <v>-54.7234686160827</v>
      </c>
      <c r="M30" s="630" t="n">
        <v>134</v>
      </c>
      <c r="N30" s="631" t="n">
        <f aca="false">2.1*1.03</f>
        <v>2.163</v>
      </c>
      <c r="O30" s="627" t="n">
        <f aca="false">(16+17)*1.05</f>
        <v>34.65</v>
      </c>
      <c r="P30" s="610" t="n">
        <f aca="false">1.92*1.02</f>
        <v>1.9584</v>
      </c>
      <c r="Q30" s="632" t="n">
        <v>4.2</v>
      </c>
      <c r="R30" s="633" t="n">
        <v>2.87</v>
      </c>
      <c r="S30" s="627" t="n">
        <v>104</v>
      </c>
      <c r="T30" s="627" t="n">
        <v>63</v>
      </c>
      <c r="U30" s="627" t="n">
        <f aca="false">M30-N30-O30-P30-Q30-R30+S30+T30</f>
        <v>255.1586</v>
      </c>
      <c r="V30" s="607" t="n">
        <v>0</v>
      </c>
      <c r="W30" s="607" t="n">
        <f aca="false">W29+AK30-(AL30/1.9835)+AM30</f>
        <v>3785.91807075335</v>
      </c>
      <c r="X30" s="627" t="n">
        <v>73</v>
      </c>
      <c r="Y30" s="128" t="n">
        <v>1.7</v>
      </c>
      <c r="Z30" s="129" t="n">
        <v>1.3</v>
      </c>
      <c r="AA30" s="627" t="n">
        <v>42</v>
      </c>
      <c r="AB30" s="607" t="n">
        <f aca="false">AB29-AA30</f>
        <v>8206.43307285102</v>
      </c>
      <c r="AC30" s="634" t="n">
        <f aca="false">N30+O30+P30+Q30+R30+U30+X30+AA30</f>
        <v>416</v>
      </c>
      <c r="AD30" s="627" t="n">
        <f aca="false">IF(L30&lt;0,L30*-1,0)</f>
        <v>54.7234686160827</v>
      </c>
      <c r="AE30" s="627" t="n">
        <f aca="false">AC30+AD30</f>
        <v>470.723468616083</v>
      </c>
      <c r="AF30" s="612" t="n">
        <v>0</v>
      </c>
      <c r="AG30" s="613" t="n">
        <v>79</v>
      </c>
      <c r="AH30" s="614" t="n">
        <v>44</v>
      </c>
      <c r="AI30" s="613" t="n">
        <f aca="false">AI29</f>
        <v>16467.3080282</v>
      </c>
      <c r="AJ30" s="244"/>
      <c r="AK30" s="247" t="n">
        <f aca="false">(I30-P30-Q30-Y30)-U30</f>
        <v>-183.017</v>
      </c>
      <c r="AL30" s="367" t="n">
        <f aca="false">36.1*(V29*1.9835+W29*1.9835)/E30</f>
        <v>1.84533849634006</v>
      </c>
      <c r="AM30" s="242"/>
    </row>
    <row r="31" customFormat="false" ht="12.95" hidden="false" customHeight="true" outlineLevel="0" collapsed="false">
      <c r="A31" s="172" t="n">
        <v>20</v>
      </c>
      <c r="B31" s="615" t="n">
        <v>6905.74</v>
      </c>
      <c r="C31" s="607" t="n">
        <v>305249</v>
      </c>
      <c r="D31" s="613" t="n">
        <f aca="false">C31-C30</f>
        <v>-771</v>
      </c>
      <c r="E31" s="607" t="n">
        <f aca="false">C31-151978</f>
        <v>153271</v>
      </c>
      <c r="F31" s="626" t="n">
        <f aca="false">D31/$D$2</f>
        <v>-388.706831358709</v>
      </c>
      <c r="G31" s="627" t="n">
        <v>77</v>
      </c>
      <c r="H31" s="628" t="n">
        <v>0</v>
      </c>
      <c r="I31" s="627" t="n">
        <f aca="false">G31+H31</f>
        <v>77</v>
      </c>
      <c r="J31" s="629" t="n">
        <f aca="false">IF(L31&gt;0,L31,0)</f>
        <v>0</v>
      </c>
      <c r="K31" s="627" t="n">
        <f aca="false">I31+J31</f>
        <v>77</v>
      </c>
      <c r="L31" s="627" t="n">
        <f aca="false">F31-(I31-AC31)</f>
        <v>-56.7068313587093</v>
      </c>
      <c r="M31" s="630" t="n">
        <v>150</v>
      </c>
      <c r="N31" s="631" t="n">
        <f aca="false">2.1*1.03</f>
        <v>2.163</v>
      </c>
      <c r="O31" s="627" t="n">
        <f aca="false">(21+19)*1.05</f>
        <v>42</v>
      </c>
      <c r="P31" s="610" t="n">
        <f aca="false">1.92*1.02</f>
        <v>1.9584</v>
      </c>
      <c r="Q31" s="632" t="n">
        <v>4.2</v>
      </c>
      <c r="R31" s="633" t="n">
        <v>3.77</v>
      </c>
      <c r="S31" s="627" t="n">
        <v>104</v>
      </c>
      <c r="T31" s="627" t="n">
        <v>63</v>
      </c>
      <c r="U31" s="627" t="n">
        <f aca="false">M31-N31-O31-P31-Q31-R31+S31+T31</f>
        <v>262.9086</v>
      </c>
      <c r="V31" s="607" t="n">
        <v>0</v>
      </c>
      <c r="W31" s="607" t="n">
        <f aca="false">W30+AK31-(AL31/1.9835)+AM31</f>
        <v>3591.25937146024</v>
      </c>
      <c r="X31" s="627" t="n">
        <v>55</v>
      </c>
      <c r="Y31" s="128" t="n">
        <v>1.7</v>
      </c>
      <c r="Z31" s="129" t="n">
        <v>1.3</v>
      </c>
      <c r="AA31" s="627" t="n">
        <v>37</v>
      </c>
      <c r="AB31" s="607" t="n">
        <f aca="false">AB30-AA31</f>
        <v>8169.43307285102</v>
      </c>
      <c r="AC31" s="634" t="n">
        <f aca="false">N31+O31+P31+Q31+R31+U31+X31+AA31</f>
        <v>409</v>
      </c>
      <c r="AD31" s="627" t="n">
        <f aca="false">IF(L31&lt;0,L31*-1,0)</f>
        <v>56.7068313587093</v>
      </c>
      <c r="AE31" s="627" t="n">
        <f aca="false">AC31+AD31</f>
        <v>465.706831358709</v>
      </c>
      <c r="AF31" s="612" t="n">
        <v>0</v>
      </c>
      <c r="AG31" s="613" t="n">
        <v>78</v>
      </c>
      <c r="AH31" s="614" t="n">
        <v>51</v>
      </c>
      <c r="AI31" s="613" t="n">
        <f aca="false">AI30</f>
        <v>16467.3080282</v>
      </c>
      <c r="AJ31" s="244"/>
      <c r="AK31" s="247" t="n">
        <f aca="false">(I31-P31-Q31-Y31)-U31</f>
        <v>-193.767</v>
      </c>
      <c r="AL31" s="367" t="n">
        <f aca="false">36.1*(V30*1.9835+W30*1.9835)/E31</f>
        <v>1.76868554788282</v>
      </c>
      <c r="AM31" s="242"/>
    </row>
    <row r="32" customFormat="false" ht="12.95" hidden="false" customHeight="true" outlineLevel="0" collapsed="false">
      <c r="A32" s="172" t="n">
        <v>21</v>
      </c>
      <c r="B32" s="615" t="n">
        <v>6905.56</v>
      </c>
      <c r="C32" s="607" t="n">
        <v>304555</v>
      </c>
      <c r="D32" s="613" t="n">
        <f aca="false">C32-C31</f>
        <v>-694</v>
      </c>
      <c r="E32" s="607" t="n">
        <f aca="false">C32-151978</f>
        <v>152577</v>
      </c>
      <c r="F32" s="626" t="n">
        <f aca="false">D32/$D$2</f>
        <v>-349.886564154273</v>
      </c>
      <c r="G32" s="627" t="n">
        <v>78</v>
      </c>
      <c r="H32" s="628" t="n">
        <v>0</v>
      </c>
      <c r="I32" s="627" t="n">
        <f aca="false">G32+H32</f>
        <v>78</v>
      </c>
      <c r="J32" s="629" t="n">
        <f aca="false">IF(L32&gt;0,L32,0)</f>
        <v>1.11343584572728</v>
      </c>
      <c r="K32" s="627" t="n">
        <f aca="false">I32+J32</f>
        <v>79.1134358457273</v>
      </c>
      <c r="L32" s="627" t="n">
        <f aca="false">F32-(I32-AC32)</f>
        <v>1.11343584572728</v>
      </c>
      <c r="M32" s="630" t="n">
        <v>164</v>
      </c>
      <c r="N32" s="631" t="n">
        <f aca="false">2.1*1.03</f>
        <v>2.163</v>
      </c>
      <c r="O32" s="627" t="n">
        <f aca="false">(30+35)*1.05</f>
        <v>68.25</v>
      </c>
      <c r="P32" s="610" t="n">
        <f aca="false">1.92*1.02</f>
        <v>1.9584</v>
      </c>
      <c r="Q32" s="632" t="n">
        <v>4.2</v>
      </c>
      <c r="R32" s="633" t="n">
        <v>3.2</v>
      </c>
      <c r="S32" s="627" t="n">
        <v>103</v>
      </c>
      <c r="T32" s="627" t="n">
        <v>63</v>
      </c>
      <c r="U32" s="627" t="n">
        <f aca="false">M32-N32-O32-P32-Q32-R32+S32+T32</f>
        <v>250.2286</v>
      </c>
      <c r="V32" s="607" t="n">
        <v>0</v>
      </c>
      <c r="W32" s="607" t="n">
        <f aca="false">W31+AK32-(AL32/1.9835)+AM32</f>
        <v>3410.32267286013</v>
      </c>
      <c r="X32" s="627" t="n">
        <v>62</v>
      </c>
      <c r="Y32" s="128" t="n">
        <v>1.7</v>
      </c>
      <c r="Z32" s="129" t="n">
        <v>1.3</v>
      </c>
      <c r="AA32" s="627" t="n">
        <v>37</v>
      </c>
      <c r="AB32" s="607" t="n">
        <f aca="false">AB31-AA32</f>
        <v>8132.43307285102</v>
      </c>
      <c r="AC32" s="634" t="n">
        <f aca="false">N32+O32+P32+Q32+R32+U32+X32+AA32</f>
        <v>429</v>
      </c>
      <c r="AD32" s="627" t="n">
        <f aca="false">IF(L32&lt;0,L32*-1,0)</f>
        <v>0</v>
      </c>
      <c r="AE32" s="627" t="n">
        <f aca="false">AC32+AD32</f>
        <v>429</v>
      </c>
      <c r="AF32" s="612" t="n">
        <v>0.06</v>
      </c>
      <c r="AG32" s="613" t="n">
        <v>73</v>
      </c>
      <c r="AH32" s="614" t="n">
        <v>55</v>
      </c>
      <c r="AI32" s="613" t="n">
        <f aca="false">AI31</f>
        <v>16467.3080282</v>
      </c>
      <c r="AJ32" s="244"/>
      <c r="AK32" s="247" t="n">
        <f aca="false">(I32-P32-Q32-Y32)-U32</f>
        <v>-180.087</v>
      </c>
      <c r="AL32" s="367" t="n">
        <f aca="false">36.1*(V31*1.9835+W31*1.9835)/E32</f>
        <v>1.68537717332769</v>
      </c>
      <c r="AM32" s="242"/>
    </row>
    <row r="33" customFormat="false" ht="12.95" hidden="false" customHeight="true" outlineLevel="0" collapsed="false">
      <c r="A33" s="172" t="n">
        <v>22</v>
      </c>
      <c r="B33" s="615" t="n">
        <v>6905.37</v>
      </c>
      <c r="C33" s="607" t="n">
        <v>303822</v>
      </c>
      <c r="D33" s="613" t="n">
        <f aca="false">C33-C32</f>
        <v>-733</v>
      </c>
      <c r="E33" s="607" t="n">
        <f aca="false">C33-151978</f>
        <v>151844</v>
      </c>
      <c r="F33" s="626" t="n">
        <f aca="false">D33/$D$2</f>
        <v>-369.548777413663</v>
      </c>
      <c r="G33" s="627" t="n">
        <v>85</v>
      </c>
      <c r="H33" s="628" t="n">
        <v>0</v>
      </c>
      <c r="I33" s="627" t="n">
        <f aca="false">G33+H33</f>
        <v>85</v>
      </c>
      <c r="J33" s="629" t="n">
        <f aca="false">IF(L33&gt;0,L33,0)</f>
        <v>0</v>
      </c>
      <c r="K33" s="627" t="n">
        <f aca="false">I33+J33</f>
        <v>85</v>
      </c>
      <c r="L33" s="627" t="n">
        <f aca="false">F33-(I33-AC33)</f>
        <v>-75.5487774136627</v>
      </c>
      <c r="M33" s="630" t="n">
        <v>139</v>
      </c>
      <c r="N33" s="631" t="n">
        <f aca="false">2.1*1.03</f>
        <v>2.163</v>
      </c>
      <c r="O33" s="627" t="n">
        <f aca="false">(25+27)*1.05</f>
        <v>54.6</v>
      </c>
      <c r="P33" s="610" t="n">
        <f aca="false">1.92*1.02</f>
        <v>1.9584</v>
      </c>
      <c r="Q33" s="632" t="n">
        <v>4.2</v>
      </c>
      <c r="R33" s="633" t="n">
        <v>3.16</v>
      </c>
      <c r="S33" s="627" t="n">
        <v>104</v>
      </c>
      <c r="T33" s="627" t="n">
        <v>63</v>
      </c>
      <c r="U33" s="627" t="n">
        <f aca="false">M33-N33-O33-P33-Q33-R33+S33+T33</f>
        <v>239.9186</v>
      </c>
      <c r="V33" s="607" t="n">
        <v>0</v>
      </c>
      <c r="W33" s="607" t="n">
        <f aca="false">W32+AK33-(AL33/1.9835)+AM33</f>
        <v>3246.73488910516</v>
      </c>
      <c r="X33" s="627" t="n">
        <v>36</v>
      </c>
      <c r="Y33" s="128" t="n">
        <v>1.7</v>
      </c>
      <c r="Z33" s="129" t="n">
        <v>1.3</v>
      </c>
      <c r="AA33" s="627" t="n">
        <v>37</v>
      </c>
      <c r="AB33" s="607" t="n">
        <f aca="false">AB32-AA33</f>
        <v>8095.43307285102</v>
      </c>
      <c r="AC33" s="634" t="n">
        <f aca="false">N33+O33+P33+Q33+R33+U33+X33+AA33</f>
        <v>379</v>
      </c>
      <c r="AD33" s="627" t="n">
        <f aca="false">IF(L33&lt;0,L33*-1,0)</f>
        <v>75.5487774136627</v>
      </c>
      <c r="AE33" s="627" t="n">
        <f aca="false">AC33+AD33</f>
        <v>454.548777413663</v>
      </c>
      <c r="AF33" s="612" t="n">
        <v>0.07</v>
      </c>
      <c r="AG33" s="613" t="n">
        <v>74</v>
      </c>
      <c r="AH33" s="614" t="n">
        <v>52</v>
      </c>
      <c r="AI33" s="613" t="n">
        <f aca="false">AI32</f>
        <v>16467.3080282</v>
      </c>
      <c r="AJ33" s="244"/>
      <c r="AK33" s="247" t="n">
        <f aca="false">(I33-P33-Q33-Y33)-U33</f>
        <v>-162.777</v>
      </c>
      <c r="AL33" s="367" t="n">
        <f aca="false">36.1*(V32*1.9835+W32*1.9835)/E33</f>
        <v>1.60818957799065</v>
      </c>
      <c r="AM33" s="242"/>
    </row>
    <row r="34" customFormat="false" ht="12.95" hidden="false" customHeight="true" outlineLevel="0" collapsed="false">
      <c r="A34" s="172" t="n">
        <v>23</v>
      </c>
      <c r="B34" s="615" t="n">
        <v>6905.24</v>
      </c>
      <c r="C34" s="607" t="n">
        <v>303321</v>
      </c>
      <c r="D34" s="613" t="n">
        <f aca="false">C34-C33</f>
        <v>-501</v>
      </c>
      <c r="E34" s="607" t="n">
        <f aca="false">C34-151978</f>
        <v>151343</v>
      </c>
      <c r="F34" s="626" t="n">
        <f aca="false">D34/$D$2</f>
        <v>-252.58381648601</v>
      </c>
      <c r="G34" s="627" t="n">
        <v>122</v>
      </c>
      <c r="H34" s="628" t="n">
        <v>0</v>
      </c>
      <c r="I34" s="627" t="n">
        <f aca="false">G34+H34</f>
        <v>122</v>
      </c>
      <c r="J34" s="629" t="n">
        <f aca="false">IF(L34&gt;0,L34,0)</f>
        <v>0</v>
      </c>
      <c r="K34" s="627" t="n">
        <f aca="false">I34+J34</f>
        <v>122</v>
      </c>
      <c r="L34" s="627" t="n">
        <f aca="false">F34-(I34-AC34)</f>
        <v>-17.5838164860096</v>
      </c>
      <c r="M34" s="630" t="n">
        <v>124</v>
      </c>
      <c r="N34" s="631" t="n">
        <f aca="false">2.1*1.03</f>
        <v>2.163</v>
      </c>
      <c r="O34" s="627" t="n">
        <f aca="false">(20+21)*1.05</f>
        <v>43.05</v>
      </c>
      <c r="P34" s="610" t="n">
        <f aca="false">1.92*1.02</f>
        <v>1.9584</v>
      </c>
      <c r="Q34" s="632" t="n">
        <v>4.2</v>
      </c>
      <c r="R34" s="633" t="n">
        <v>1.69</v>
      </c>
      <c r="S34" s="627" t="n">
        <v>100</v>
      </c>
      <c r="T34" s="627" t="n">
        <v>61</v>
      </c>
      <c r="U34" s="627" t="n">
        <f aca="false">M34-N34-O34-P34-Q34-R34+S34+T34</f>
        <v>231.9386</v>
      </c>
      <c r="V34" s="607" t="n">
        <v>0</v>
      </c>
      <c r="W34" s="607" t="n">
        <f aca="false">W33+AK34-(AL34/1.9835)+AM34</f>
        <v>3128.16344212382</v>
      </c>
      <c r="X34" s="627" t="n">
        <v>35</v>
      </c>
      <c r="Y34" s="128" t="n">
        <v>1.7</v>
      </c>
      <c r="Z34" s="129" t="n">
        <v>1.3</v>
      </c>
      <c r="AA34" s="627" t="n">
        <v>37</v>
      </c>
      <c r="AB34" s="607" t="n">
        <f aca="false">AB33-AA34</f>
        <v>8058.43307285102</v>
      </c>
      <c r="AC34" s="634" t="n">
        <f aca="false">N34+O34+P34+Q34+R34+U34+X34+AA34</f>
        <v>357</v>
      </c>
      <c r="AD34" s="627" t="n">
        <f aca="false">IF(L34&lt;0,L34*-1,0)</f>
        <v>17.5838164860096</v>
      </c>
      <c r="AE34" s="627" t="n">
        <f aca="false">AC34+AD34</f>
        <v>374.58381648601</v>
      </c>
      <c r="AF34" s="612" t="n">
        <v>0</v>
      </c>
      <c r="AG34" s="613" t="n">
        <v>76</v>
      </c>
      <c r="AH34" s="614" t="n">
        <v>49</v>
      </c>
      <c r="AI34" s="613" t="n">
        <f aca="false">AI33</f>
        <v>16467.3080282</v>
      </c>
      <c r="AJ34" s="244"/>
      <c r="AK34" s="247" t="n">
        <f aca="false">(I34-P34-Q34-Y34)-U34</f>
        <v>-117.797</v>
      </c>
      <c r="AL34" s="367" t="n">
        <f aca="false">36.1*(V33*1.9835+W33*1.9835)/E34</f>
        <v>1.5361155874847</v>
      </c>
      <c r="AM34" s="242"/>
    </row>
    <row r="35" customFormat="false" ht="12.95" hidden="false" customHeight="true" outlineLevel="0" collapsed="false">
      <c r="A35" s="172" t="n">
        <v>24</v>
      </c>
      <c r="B35" s="615" t="n">
        <v>6905.07</v>
      </c>
      <c r="C35" s="607" t="n">
        <v>302666</v>
      </c>
      <c r="D35" s="613" t="n">
        <f aca="false">C35-C34</f>
        <v>-655</v>
      </c>
      <c r="E35" s="607" t="n">
        <f aca="false">C35-151978</f>
        <v>150688</v>
      </c>
      <c r="F35" s="626" t="n">
        <f aca="false">D35/$D$2</f>
        <v>-330.224350894883</v>
      </c>
      <c r="G35" s="627" t="n">
        <v>112</v>
      </c>
      <c r="H35" s="628" t="n">
        <v>0</v>
      </c>
      <c r="I35" s="627" t="n">
        <f aca="false">G35+H35</f>
        <v>112</v>
      </c>
      <c r="J35" s="629" t="n">
        <f aca="false">IF(L35&gt;0,L35,0)</f>
        <v>0</v>
      </c>
      <c r="K35" s="627" t="n">
        <f aca="false">I35+J35</f>
        <v>112</v>
      </c>
      <c r="L35" s="627" t="n">
        <f aca="false">F35-(I35-AC35)</f>
        <v>-83.2243508948828</v>
      </c>
      <c r="M35" s="630" t="n">
        <v>120</v>
      </c>
      <c r="N35" s="631" t="n">
        <f aca="false">2.1*1.03</f>
        <v>2.163</v>
      </c>
      <c r="O35" s="627" t="n">
        <f aca="false">(15+16)*1.05</f>
        <v>32.55</v>
      </c>
      <c r="P35" s="610" t="n">
        <f aca="false">1.92*1.02</f>
        <v>1.9584</v>
      </c>
      <c r="Q35" s="632" t="n">
        <v>4.2</v>
      </c>
      <c r="R35" s="633" t="n">
        <v>0.56</v>
      </c>
      <c r="S35" s="627" t="n">
        <v>97</v>
      </c>
      <c r="T35" s="627" t="n">
        <v>60</v>
      </c>
      <c r="U35" s="627" t="n">
        <f aca="false">M35-N35-O35-P35-Q35-R35+S35+T35</f>
        <v>235.5686</v>
      </c>
      <c r="V35" s="607" t="n">
        <v>0</v>
      </c>
      <c r="W35" s="607" t="n">
        <f aca="false">W34+AK35-(AL35/1.9835)+AM35</f>
        <v>2995.98703473729</v>
      </c>
      <c r="X35" s="627" t="n">
        <v>39</v>
      </c>
      <c r="Y35" s="128" t="n">
        <v>1.7</v>
      </c>
      <c r="Z35" s="129" t="n">
        <v>1.3</v>
      </c>
      <c r="AA35" s="627" t="n">
        <v>43</v>
      </c>
      <c r="AB35" s="607" t="n">
        <f aca="false">AB34-AA35</f>
        <v>8015.43307285102</v>
      </c>
      <c r="AC35" s="634" t="n">
        <f aca="false">N35+O35+P35+Q35+R35+U35+X35+AA35</f>
        <v>359</v>
      </c>
      <c r="AD35" s="627" t="n">
        <f aca="false">IF(L35&lt;0,L35*-1,0)</f>
        <v>83.2243508948828</v>
      </c>
      <c r="AE35" s="627" t="n">
        <f aca="false">AC35+AD35</f>
        <v>442.224350894883</v>
      </c>
      <c r="AF35" s="612" t="n">
        <v>0</v>
      </c>
      <c r="AG35" s="613" t="n">
        <v>78</v>
      </c>
      <c r="AH35" s="614" t="n">
        <v>52</v>
      </c>
      <c r="AI35" s="613" t="n">
        <f aca="false">AI34</f>
        <v>16467.3080282</v>
      </c>
      <c r="AJ35" s="244"/>
      <c r="AK35" s="247" t="n">
        <f aca="false">(I35-P35-Q35-Y35)-U35</f>
        <v>-131.427</v>
      </c>
      <c r="AL35" s="367" t="n">
        <f aca="false">36.1*(V34*1.9835+W34*1.9835)/E35</f>
        <v>1.48644955117221</v>
      </c>
      <c r="AM35" s="242"/>
    </row>
    <row r="36" customFormat="false" ht="12.95" hidden="false" customHeight="true" outlineLevel="0" collapsed="false">
      <c r="A36" s="172" t="n">
        <v>25</v>
      </c>
      <c r="B36" s="615" t="n">
        <v>6904.99</v>
      </c>
      <c r="C36" s="607" t="n">
        <v>302357</v>
      </c>
      <c r="D36" s="613" t="n">
        <f aca="false">C36-C35</f>
        <v>-309</v>
      </c>
      <c r="E36" s="607" t="n">
        <f aca="false">C36-151978</f>
        <v>150379</v>
      </c>
      <c r="F36" s="626" t="n">
        <f aca="false">D36/$D$2</f>
        <v>-155.78522813209</v>
      </c>
      <c r="G36" s="627" t="n">
        <v>92</v>
      </c>
      <c r="H36" s="628" t="n">
        <v>0</v>
      </c>
      <c r="I36" s="627" t="n">
        <f aca="false">G36+H36</f>
        <v>92</v>
      </c>
      <c r="J36" s="629" t="n">
        <f aca="false">IF(L36&gt;0,L36,0)</f>
        <v>101.21477186791</v>
      </c>
      <c r="K36" s="627" t="n">
        <f aca="false">I36+J36</f>
        <v>193.21477186791</v>
      </c>
      <c r="L36" s="627" t="n">
        <f aca="false">F36-(I36-AC36)</f>
        <v>101.21477186791</v>
      </c>
      <c r="M36" s="630" t="n">
        <v>120</v>
      </c>
      <c r="N36" s="631" t="n">
        <f aca="false">2.1*1.03</f>
        <v>2.163</v>
      </c>
      <c r="O36" s="627" t="n">
        <f aca="false">(8.2+10)*1.05</f>
        <v>19.11</v>
      </c>
      <c r="P36" s="610" t="n">
        <f aca="false">1.92*1.02</f>
        <v>1.9584</v>
      </c>
      <c r="Q36" s="632" t="n">
        <v>4.2</v>
      </c>
      <c r="R36" s="633" t="n">
        <v>1.2</v>
      </c>
      <c r="S36" s="627" t="n">
        <v>97</v>
      </c>
      <c r="T36" s="627" t="n">
        <v>60</v>
      </c>
      <c r="U36" s="627" t="n">
        <f aca="false">M36-N36-O36-P36-Q36-R36+S36+T36</f>
        <v>248.3686</v>
      </c>
      <c r="V36" s="607" t="n">
        <v>0</v>
      </c>
      <c r="W36" s="607" t="n">
        <f aca="false">W35+AK36-(AL36/1.9835)+AM36</f>
        <v>2831.04081774586</v>
      </c>
      <c r="X36" s="627" t="n">
        <v>27</v>
      </c>
      <c r="Y36" s="128" t="n">
        <v>1.7</v>
      </c>
      <c r="Z36" s="129" t="n">
        <v>1.3</v>
      </c>
      <c r="AA36" s="627" t="n">
        <v>45</v>
      </c>
      <c r="AB36" s="607" t="n">
        <f aca="false">AB35-AA36</f>
        <v>7970.43307285102</v>
      </c>
      <c r="AC36" s="634" t="n">
        <f aca="false">N36+O36+P36+Q36+R36+U36+X36+AA36</f>
        <v>349</v>
      </c>
      <c r="AD36" s="627" t="n">
        <f aca="false">IF(L36&lt;0,L36*-1,0)</f>
        <v>0</v>
      </c>
      <c r="AE36" s="627" t="n">
        <f aca="false">AC36+AD36</f>
        <v>349</v>
      </c>
      <c r="AF36" s="612" t="n">
        <v>0</v>
      </c>
      <c r="AG36" s="613" t="n">
        <v>73</v>
      </c>
      <c r="AH36" s="614" t="n">
        <v>43</v>
      </c>
      <c r="AI36" s="613" t="n">
        <f aca="false">AI35</f>
        <v>16467.3080282</v>
      </c>
      <c r="AJ36" s="244"/>
      <c r="AK36" s="247" t="n">
        <f aca="false">(I36-P36-Q36-Y36)-U36</f>
        <v>-164.227</v>
      </c>
      <c r="AL36" s="367" t="n">
        <f aca="false">36.1*(V35*1.9835+W35*1.9835)/E36</f>
        <v>1.4265669024983</v>
      </c>
      <c r="AM36" s="242"/>
    </row>
    <row r="37" customFormat="false" ht="12.95" hidden="false" customHeight="true" outlineLevel="0" collapsed="false">
      <c r="A37" s="172" t="n">
        <v>26</v>
      </c>
      <c r="B37" s="615" t="n">
        <v>6904.74</v>
      </c>
      <c r="C37" s="607" t="n">
        <v>301401</v>
      </c>
      <c r="D37" s="613" t="n">
        <f aca="false">C37-C36</f>
        <v>-956</v>
      </c>
      <c r="E37" s="607" t="n">
        <f aca="false">C37-151978</f>
        <v>149423</v>
      </c>
      <c r="F37" s="626" t="n">
        <f aca="false">D37/$D$2</f>
        <v>-481.976304512226</v>
      </c>
      <c r="G37" s="627" t="n">
        <v>85</v>
      </c>
      <c r="H37" s="628" t="n">
        <v>0</v>
      </c>
      <c r="I37" s="627" t="n">
        <f aca="false">G37+H37</f>
        <v>85</v>
      </c>
      <c r="J37" s="629" t="n">
        <f aca="false">IF(L37&gt;0,L37,0)</f>
        <v>0</v>
      </c>
      <c r="K37" s="627" t="n">
        <f aca="false">I37+J37</f>
        <v>85</v>
      </c>
      <c r="L37" s="627" t="n">
        <f aca="false">F37-(I37-AC37)</f>
        <v>-133.976304512226</v>
      </c>
      <c r="M37" s="630" t="n">
        <v>171</v>
      </c>
      <c r="N37" s="631" t="n">
        <f aca="false">2.1*1.03</f>
        <v>2.163</v>
      </c>
      <c r="O37" s="627" t="n">
        <f aca="false">(18+20)*1.05</f>
        <v>39.9</v>
      </c>
      <c r="P37" s="610" t="n">
        <f aca="false">1.92*1.02</f>
        <v>1.9584</v>
      </c>
      <c r="Q37" s="632" t="n">
        <v>4.2</v>
      </c>
      <c r="R37" s="633" t="n">
        <v>2.94</v>
      </c>
      <c r="S37" s="627" t="n">
        <v>121</v>
      </c>
      <c r="T37" s="627" t="n">
        <v>59</v>
      </c>
      <c r="U37" s="627" t="n">
        <f aca="false">M37-N37-O37-P37-Q37-R37+S37+T37</f>
        <v>299.8386</v>
      </c>
      <c r="V37" s="607" t="n">
        <v>0</v>
      </c>
      <c r="W37" s="607" t="n">
        <f aca="false">W36+AK37-(AL37/1.9835)+AM37</f>
        <v>2607.65984959156</v>
      </c>
      <c r="X37" s="627" t="n">
        <v>36</v>
      </c>
      <c r="Y37" s="128" t="n">
        <v>1.7</v>
      </c>
      <c r="Z37" s="129" t="n">
        <v>1.3</v>
      </c>
      <c r="AA37" s="627" t="n">
        <v>46</v>
      </c>
      <c r="AB37" s="607" t="n">
        <f aca="false">AB36-AA37</f>
        <v>7924.43307285102</v>
      </c>
      <c r="AC37" s="634" t="n">
        <f aca="false">N37+O37+P37+Q37+R37+U37+X37+AA37</f>
        <v>433</v>
      </c>
      <c r="AD37" s="627" t="n">
        <f aca="false">IF(L37&lt;0,L37*-1,0)</f>
        <v>133.976304512226</v>
      </c>
      <c r="AE37" s="627" t="n">
        <f aca="false">AC37+AD37</f>
        <v>566.976304512226</v>
      </c>
      <c r="AF37" s="612" t="n">
        <v>0</v>
      </c>
      <c r="AG37" s="613" t="n">
        <v>79</v>
      </c>
      <c r="AH37" s="614" t="n">
        <v>44</v>
      </c>
      <c r="AI37" s="613" t="n">
        <f aca="false">AI36</f>
        <v>16467.3080282</v>
      </c>
      <c r="AJ37" s="244"/>
      <c r="AK37" s="247" t="n">
        <f aca="false">(I37-P37-Q37-Y37)-U37</f>
        <v>-222.697</v>
      </c>
      <c r="AL37" s="367" t="n">
        <f aca="false">36.1*(V36*1.9835+W36*1.9835)/E37</f>
        <v>1.35665083406277</v>
      </c>
      <c r="AM37" s="242"/>
    </row>
    <row r="38" customFormat="false" ht="12.95" hidden="false" customHeight="true" outlineLevel="0" collapsed="false">
      <c r="A38" s="172" t="n">
        <v>27</v>
      </c>
      <c r="B38" s="615" t="n">
        <v>6904.51</v>
      </c>
      <c r="C38" s="607" t="n">
        <v>300560</v>
      </c>
      <c r="D38" s="613" t="n">
        <f aca="false">C38-C37</f>
        <v>-841</v>
      </c>
      <c r="E38" s="607" t="n">
        <f aca="false">C38-151978</f>
        <v>148582</v>
      </c>
      <c r="F38" s="626" t="n">
        <f aca="false">D38/$D$2</f>
        <v>-423.997983362743</v>
      </c>
      <c r="G38" s="627" t="n">
        <v>74</v>
      </c>
      <c r="H38" s="628" t="n">
        <v>0</v>
      </c>
      <c r="I38" s="627" t="n">
        <f aca="false">G38+H38</f>
        <v>74</v>
      </c>
      <c r="J38" s="629" t="n">
        <f aca="false">IF(L38&gt;0,L38,0)</f>
        <v>0</v>
      </c>
      <c r="K38" s="627" t="n">
        <f aca="false">I38+J38</f>
        <v>74</v>
      </c>
      <c r="L38" s="627" t="n">
        <f aca="false">F38-(I38-AC38)</f>
        <v>-29.9979833627426</v>
      </c>
      <c r="M38" s="630" t="n">
        <v>190</v>
      </c>
      <c r="N38" s="631" t="n">
        <f aca="false">2.1*1.03</f>
        <v>2.163</v>
      </c>
      <c r="O38" s="627" t="n">
        <f aca="false">(34+36)*1.05</f>
        <v>73.5</v>
      </c>
      <c r="P38" s="610" t="n">
        <f aca="false">1.92*1.02</f>
        <v>1.9584</v>
      </c>
      <c r="Q38" s="632" t="n">
        <v>4.2</v>
      </c>
      <c r="R38" s="633" t="n">
        <v>2.89</v>
      </c>
      <c r="S38" s="627" t="n">
        <v>142</v>
      </c>
      <c r="T38" s="627" t="n">
        <v>59</v>
      </c>
      <c r="U38" s="627" t="n">
        <f aca="false">M38-N38-O38-P38-Q38-R38+S38+T38</f>
        <v>306.2886</v>
      </c>
      <c r="V38" s="607" t="n">
        <v>0</v>
      </c>
      <c r="W38" s="607" t="n">
        <f aca="false">W37+AK38-(AL38/1.9835)+AM38</f>
        <v>2366.87928347608</v>
      </c>
      <c r="X38" s="627" t="n">
        <v>28</v>
      </c>
      <c r="Y38" s="128" t="n">
        <v>1.7</v>
      </c>
      <c r="Z38" s="129" t="n">
        <v>1.3</v>
      </c>
      <c r="AA38" s="627" t="n">
        <v>49</v>
      </c>
      <c r="AB38" s="607" t="n">
        <f aca="false">AB37-AA38</f>
        <v>7875.43307285102</v>
      </c>
      <c r="AC38" s="634" t="n">
        <f aca="false">N38+O38+P38+Q38+R38+U38+X38+AA38</f>
        <v>468</v>
      </c>
      <c r="AD38" s="627" t="n">
        <f aca="false">IF(L38&lt;0,L38*-1,0)</f>
        <v>29.9979833627426</v>
      </c>
      <c r="AE38" s="627" t="n">
        <f aca="false">AC38+AD38</f>
        <v>497.997983362743</v>
      </c>
      <c r="AF38" s="612" t="n">
        <v>0</v>
      </c>
      <c r="AG38" s="613" t="n">
        <v>71</v>
      </c>
      <c r="AH38" s="614" t="n">
        <v>46</v>
      </c>
      <c r="AI38" s="613" t="n">
        <f aca="false">AI37</f>
        <v>16467.3080282</v>
      </c>
      <c r="AJ38" s="244"/>
      <c r="AK38" s="247" t="n">
        <f aca="false">(I38-P38-Q38-Y38)-U38</f>
        <v>-240.147</v>
      </c>
      <c r="AL38" s="367" t="n">
        <f aca="false">36.1*(V37*1.9835+W37*1.9835)/E38</f>
        <v>1.25667839005466</v>
      </c>
      <c r="AM38" s="242"/>
    </row>
    <row r="39" customFormat="false" ht="12.95" hidden="false" customHeight="true" outlineLevel="0" collapsed="false">
      <c r="A39" s="172" t="n">
        <v>28</v>
      </c>
      <c r="B39" s="615" t="n">
        <v>6904.32</v>
      </c>
      <c r="C39" s="607" t="n">
        <v>299795</v>
      </c>
      <c r="D39" s="613" t="n">
        <f aca="false">C39-C38</f>
        <v>-765</v>
      </c>
      <c r="E39" s="607" t="n">
        <f aca="false">C39-151978</f>
        <v>147817</v>
      </c>
      <c r="F39" s="626" t="n">
        <f aca="false">D39/$D$2</f>
        <v>-385.681875472649</v>
      </c>
      <c r="G39" s="627" t="n">
        <v>75</v>
      </c>
      <c r="H39" s="628" t="n">
        <v>0</v>
      </c>
      <c r="I39" s="627" t="n">
        <f aca="false">G39+H39</f>
        <v>75</v>
      </c>
      <c r="J39" s="629" t="n">
        <f aca="false">IF(L39&gt;0,L39,0)</f>
        <v>0</v>
      </c>
      <c r="K39" s="627" t="n">
        <f aca="false">I39+J39</f>
        <v>75</v>
      </c>
      <c r="L39" s="627" t="n">
        <f aca="false">F39-(I39-AC39)</f>
        <v>-38.6818754726493</v>
      </c>
      <c r="M39" s="630" t="n">
        <v>159</v>
      </c>
      <c r="N39" s="631" t="n">
        <f aca="false">2.1*1.03</f>
        <v>2.163</v>
      </c>
      <c r="O39" s="627" t="n">
        <f aca="false">(27+28)*1.05</f>
        <v>57.75</v>
      </c>
      <c r="P39" s="610" t="n">
        <f aca="false">1.92*1.02</f>
        <v>1.9584</v>
      </c>
      <c r="Q39" s="632" t="n">
        <v>4.2</v>
      </c>
      <c r="R39" s="633" t="n">
        <v>1.06</v>
      </c>
      <c r="S39" s="627" t="n">
        <v>142</v>
      </c>
      <c r="T39" s="627" t="n">
        <v>58</v>
      </c>
      <c r="U39" s="627" t="n">
        <f aca="false">M39-N39-O39-P39-Q39-R39+S39+T39</f>
        <v>291.8686</v>
      </c>
      <c r="V39" s="607" t="n">
        <v>0</v>
      </c>
      <c r="W39" s="607" t="n">
        <f aca="false">W38+AK39-(AL39/1.9835)+AM39</f>
        <v>2141.57424209969</v>
      </c>
      <c r="X39" s="627" t="n">
        <v>11</v>
      </c>
      <c r="Y39" s="128" t="n">
        <v>1.7</v>
      </c>
      <c r="Z39" s="129" t="n">
        <v>1.3</v>
      </c>
      <c r="AA39" s="627" t="n">
        <v>52</v>
      </c>
      <c r="AB39" s="607" t="n">
        <f aca="false">AB38-AA39</f>
        <v>7823.43307285102</v>
      </c>
      <c r="AC39" s="634" t="n">
        <f aca="false">N39+O39+P39+Q39+R39+U39+X39+AA39</f>
        <v>422</v>
      </c>
      <c r="AD39" s="627" t="n">
        <f aca="false">IF(L39&lt;0,L39*-1,0)</f>
        <v>38.6818754726493</v>
      </c>
      <c r="AE39" s="627" t="n">
        <f aca="false">AC39+AD39</f>
        <v>460.681875472649</v>
      </c>
      <c r="AF39" s="612" t="n">
        <v>0.2</v>
      </c>
      <c r="AG39" s="613" t="n">
        <v>68</v>
      </c>
      <c r="AH39" s="614" t="n">
        <v>48</v>
      </c>
      <c r="AI39" s="613" t="n">
        <f aca="false">AI38</f>
        <v>16467.3080282</v>
      </c>
      <c r="AJ39" s="244"/>
      <c r="AK39" s="247" t="n">
        <f aca="false">(I39-P39-Q39-Y39)-U39</f>
        <v>-224.727</v>
      </c>
      <c r="AL39" s="367" t="n">
        <f aca="false">36.1*(V38*1.9835+W38*1.9835)/E39</f>
        <v>1.14654507006481</v>
      </c>
      <c r="AM39" s="242"/>
    </row>
    <row r="40" customFormat="false" ht="12.95" hidden="false" customHeight="true" outlineLevel="0" collapsed="false">
      <c r="A40" s="172" t="n">
        <v>29</v>
      </c>
      <c r="B40" s="615" t="n">
        <v>6904.56</v>
      </c>
      <c r="C40" s="607" t="n">
        <v>300713</v>
      </c>
      <c r="D40" s="613" t="n">
        <f aca="false">C40-C39</f>
        <v>918</v>
      </c>
      <c r="E40" s="607" t="n">
        <f aca="false">C40-151978</f>
        <v>148735</v>
      </c>
      <c r="F40" s="626" t="n">
        <f aca="false">D40/$D$2</f>
        <v>462.818250567179</v>
      </c>
      <c r="G40" s="627" t="n">
        <v>119</v>
      </c>
      <c r="H40" s="628" t="n">
        <v>0.03</v>
      </c>
      <c r="I40" s="627" t="n">
        <f aca="false">G40+H40</f>
        <v>119.03</v>
      </c>
      <c r="J40" s="629" t="n">
        <f aca="false">IF(L40&gt;0,L40,0)</f>
        <v>533.788250567179</v>
      </c>
      <c r="K40" s="627" t="n">
        <f aca="false">I40+J40</f>
        <v>652.818250567179</v>
      </c>
      <c r="L40" s="627" t="n">
        <f aca="false">F40-(I40-AC40)</f>
        <v>533.788250567179</v>
      </c>
      <c r="M40" s="630" t="n">
        <v>68</v>
      </c>
      <c r="N40" s="631" t="n">
        <f aca="false">2.1*1.03</f>
        <v>2.163</v>
      </c>
      <c r="O40" s="627" t="n">
        <f aca="false">(17+17)*1.05</f>
        <v>35.7</v>
      </c>
      <c r="P40" s="610" t="n">
        <f aca="false">1.92*1.02</f>
        <v>1.9584</v>
      </c>
      <c r="Q40" s="632" t="n">
        <v>3.88</v>
      </c>
      <c r="R40" s="633" t="n">
        <v>0</v>
      </c>
      <c r="S40" s="627" t="n">
        <v>53</v>
      </c>
      <c r="T40" s="627" t="n">
        <v>27</v>
      </c>
      <c r="U40" s="627" t="n">
        <f aca="false">M40-N40-O40-P40-Q40-R40+S40+T40</f>
        <v>104.2986</v>
      </c>
      <c r="V40" s="607" t="n">
        <v>0</v>
      </c>
      <c r="W40" s="607" t="n">
        <f aca="false">W39+AK40-(AL40/1.9835)+AM40</f>
        <v>2141.05445301078</v>
      </c>
      <c r="X40" s="627" t="n">
        <v>0</v>
      </c>
      <c r="Y40" s="128" t="n">
        <v>1.7</v>
      </c>
      <c r="Z40" s="129" t="n">
        <v>1.3</v>
      </c>
      <c r="AA40" s="627" t="n">
        <v>42</v>
      </c>
      <c r="AB40" s="607" t="n">
        <f aca="false">AB39-AA40</f>
        <v>7781.43307285102</v>
      </c>
      <c r="AC40" s="634" t="n">
        <f aca="false">N40+O40+P40+Q40+R40+U40+X40+AA40</f>
        <v>190</v>
      </c>
      <c r="AD40" s="627" t="n">
        <f aca="false">IF(L40&lt;0,L40*-1,0)</f>
        <v>0</v>
      </c>
      <c r="AE40" s="627" t="n">
        <f aca="false">AC40+AD40</f>
        <v>190</v>
      </c>
      <c r="AF40" s="612" t="n">
        <v>3.59</v>
      </c>
      <c r="AG40" s="613" t="n">
        <v>59</v>
      </c>
      <c r="AH40" s="614" t="n">
        <v>47</v>
      </c>
      <c r="AI40" s="613" t="n">
        <f aca="false">AI39</f>
        <v>16467.3080282</v>
      </c>
      <c r="AJ40" s="244"/>
      <c r="AK40" s="247" t="n">
        <v>0</v>
      </c>
      <c r="AL40" s="367" t="n">
        <f aca="false">36.1*(V39*1.9835+W39*1.9835)/E40</f>
        <v>1.03100165786325</v>
      </c>
      <c r="AM40" s="242"/>
    </row>
    <row r="41" customFormat="false" ht="12.95" hidden="false" customHeight="true" outlineLevel="0" collapsed="false">
      <c r="A41" s="172" t="n">
        <v>30</v>
      </c>
      <c r="B41" s="615" t="n">
        <v>6904.64</v>
      </c>
      <c r="C41" s="607" t="n">
        <v>301019</v>
      </c>
      <c r="D41" s="613" t="n">
        <f aca="false">C41-C40</f>
        <v>306</v>
      </c>
      <c r="E41" s="607" t="n">
        <f aca="false">C41-151978</f>
        <v>149041</v>
      </c>
      <c r="F41" s="626" t="n">
        <f aca="false">D41/$D$2</f>
        <v>154.27275018906</v>
      </c>
      <c r="G41" s="627" t="n">
        <v>180</v>
      </c>
      <c r="H41" s="628" t="n">
        <v>0</v>
      </c>
      <c r="I41" s="627" t="n">
        <f aca="false">G41+H41</f>
        <v>180</v>
      </c>
      <c r="J41" s="629" t="n">
        <f aca="false">IF(L41&gt;0,L41,0)</f>
        <v>78.1727501890597</v>
      </c>
      <c r="K41" s="627" t="n">
        <f aca="false">I41+J41</f>
        <v>258.17275018906</v>
      </c>
      <c r="L41" s="627" t="n">
        <f aca="false">F41-(I41-AC41)</f>
        <v>78.1727501890597</v>
      </c>
      <c r="M41" s="630" t="n">
        <v>34</v>
      </c>
      <c r="N41" s="631" t="n">
        <f aca="false">2.1*1.03</f>
        <v>2.163</v>
      </c>
      <c r="O41" s="627" t="n">
        <f aca="false">(4.8+5.9)*1.05</f>
        <v>11.235</v>
      </c>
      <c r="P41" s="610" t="n">
        <f aca="false">1.92*1.02</f>
        <v>1.9584</v>
      </c>
      <c r="Q41" s="632" t="n">
        <v>3.78</v>
      </c>
      <c r="R41" s="633" t="n">
        <v>0</v>
      </c>
      <c r="S41" s="627" t="n">
        <v>25</v>
      </c>
      <c r="T41" s="627" t="n">
        <v>3.9</v>
      </c>
      <c r="U41" s="627" t="n">
        <f aca="false">M41-N41-O41-P41-Q41-R41+S41+T41</f>
        <v>43.7636</v>
      </c>
      <c r="V41" s="607" t="n">
        <v>0</v>
      </c>
      <c r="W41" s="607" t="n">
        <f aca="false">W40+AK41-(AL41/1.9835)+AM41</f>
        <v>2140.53585701536</v>
      </c>
      <c r="X41" s="627" t="n">
        <v>0</v>
      </c>
      <c r="Y41" s="128" t="n">
        <v>1.7</v>
      </c>
      <c r="Z41" s="129" t="n">
        <v>1.3</v>
      </c>
      <c r="AA41" s="627" t="n">
        <v>41</v>
      </c>
      <c r="AB41" s="607" t="n">
        <f aca="false">AB40-AA41</f>
        <v>7740.43307285102</v>
      </c>
      <c r="AC41" s="634" t="n">
        <f aca="false">N41+O41+P41+Q41+R41+U41+X41+AA41</f>
        <v>103.9</v>
      </c>
      <c r="AD41" s="627" t="n">
        <f aca="false">IF(L41&lt;0,L41*-1,0)</f>
        <v>0</v>
      </c>
      <c r="AE41" s="627" t="n">
        <f aca="false">AC41+AD41</f>
        <v>103.9</v>
      </c>
      <c r="AF41" s="612" t="n">
        <v>0</v>
      </c>
      <c r="AG41" s="635" t="n">
        <v>71</v>
      </c>
      <c r="AH41" s="614" t="n">
        <v>40</v>
      </c>
      <c r="AI41" s="613" t="n">
        <f aca="false">AI40</f>
        <v>16467.3080282</v>
      </c>
      <c r="AJ41" s="244"/>
      <c r="AK41" s="247" t="n">
        <v>0</v>
      </c>
      <c r="AL41" s="367" t="n">
        <f aca="false">36.1*(V40*1.9835+W40*1.9835)/E41</f>
        <v>1.02863515691952</v>
      </c>
      <c r="AM41" s="242"/>
    </row>
    <row r="42" customFormat="false" ht="3" hidden="false" customHeight="true" outlineLevel="0" collapsed="false">
      <c r="A42" s="254"/>
      <c r="B42" s="636"/>
      <c r="C42" s="618"/>
      <c r="D42" s="533"/>
      <c r="E42" s="618"/>
      <c r="F42" s="619"/>
      <c r="G42" s="533"/>
      <c r="H42" s="620"/>
      <c r="I42" s="533"/>
      <c r="J42" s="533"/>
      <c r="K42" s="533"/>
      <c r="L42" s="533"/>
      <c r="M42" s="621"/>
      <c r="N42" s="533"/>
      <c r="O42" s="533"/>
      <c r="P42" s="622"/>
      <c r="Q42" s="622"/>
      <c r="R42" s="623"/>
      <c r="S42" s="533"/>
      <c r="T42" s="533"/>
      <c r="U42" s="533"/>
      <c r="V42" s="618"/>
      <c r="W42" s="618"/>
      <c r="X42" s="533"/>
      <c r="Y42" s="115"/>
      <c r="Z42" s="113"/>
      <c r="AA42" s="533"/>
      <c r="AB42" s="533"/>
      <c r="AC42" s="533"/>
      <c r="AD42" s="533"/>
      <c r="AE42" s="533"/>
      <c r="AF42" s="624"/>
      <c r="AG42" s="535"/>
      <c r="AH42" s="625"/>
      <c r="AI42" s="535"/>
      <c r="AJ42" s="264"/>
      <c r="AK42" s="262"/>
      <c r="AL42" s="472"/>
      <c r="AM42" s="472"/>
      <c r="AN42" s="472"/>
    </row>
    <row r="43" customFormat="false" ht="12.95" hidden="false" customHeight="true" outlineLevel="0" collapsed="false">
      <c r="A43" s="173" t="s">
        <v>75</v>
      </c>
      <c r="B43" s="605"/>
      <c r="C43" s="607"/>
      <c r="D43" s="607"/>
      <c r="E43" s="607"/>
      <c r="F43" s="608" t="n">
        <f aca="false">SUM(F12:F41)</f>
        <v>-11076.8842954374</v>
      </c>
      <c r="G43" s="607" t="n">
        <f aca="false">SUM(G12:G41)</f>
        <v>3161</v>
      </c>
      <c r="H43" s="607" t="n">
        <f aca="false">SUM(H12:H41)</f>
        <v>0.22</v>
      </c>
      <c r="I43" s="607" t="n">
        <f aca="false">SUM(I12:I41)</f>
        <v>3161.22</v>
      </c>
      <c r="J43" s="607" t="n">
        <f aca="false">SUM(J12:J41)</f>
        <v>1129.12055961684</v>
      </c>
      <c r="K43" s="607" t="n">
        <f aca="false">SUM(K12:K41)</f>
        <v>4290.34055961684</v>
      </c>
      <c r="L43" s="607" t="n">
        <f aca="false">SUM(L12:L41)</f>
        <v>178.795704562642</v>
      </c>
      <c r="M43" s="609" t="n">
        <f aca="false">SUM(M12:M41)</f>
        <v>4586</v>
      </c>
      <c r="N43" s="607" t="n">
        <f aca="false">SUM(N12:N41)</f>
        <v>64.89</v>
      </c>
      <c r="O43" s="607" t="n">
        <f aca="false">SUM(O12:O41)</f>
        <v>1485.645</v>
      </c>
      <c r="P43" s="613" t="n">
        <f aca="false">SUM(P12:P41)</f>
        <v>58.752</v>
      </c>
      <c r="Q43" s="613" t="n">
        <f aca="false">SUM(Q12:Q41)</f>
        <v>124.33</v>
      </c>
      <c r="R43" s="616" t="n">
        <f aca="false">SUM(R12:R41)</f>
        <v>67.27</v>
      </c>
      <c r="S43" s="607" t="n">
        <f aca="false">SUM(S12:S41)</f>
        <v>3259</v>
      </c>
      <c r="T43" s="607" t="n">
        <f aca="false">SUM(T12:T41)</f>
        <v>1830.9</v>
      </c>
      <c r="U43" s="607" t="n">
        <f aca="false">SUM(U12:U41)</f>
        <v>7875.013</v>
      </c>
      <c r="V43" s="607"/>
      <c r="W43" s="607"/>
      <c r="X43" s="607" t="n">
        <f aca="false">SUM(X12:X41)</f>
        <v>3218</v>
      </c>
      <c r="Y43" s="607" t="n">
        <f aca="false">SUM(Y12:Y41)</f>
        <v>51</v>
      </c>
      <c r="Z43" s="607" t="n">
        <f aca="false">SUM(Z12:Z41)</f>
        <v>39</v>
      </c>
      <c r="AA43" s="607" t="n">
        <f aca="false">SUM(AA12:AA41)</f>
        <v>1523</v>
      </c>
      <c r="AB43" s="607"/>
      <c r="AC43" s="607" t="n">
        <f aca="false">SUM(AC12:AC41)</f>
        <v>14416.9</v>
      </c>
      <c r="AD43" s="607" t="n">
        <f aca="false">SUM(AD12:AD41)</f>
        <v>950.324855054197</v>
      </c>
      <c r="AE43" s="607" t="n">
        <f aca="false">SUM(AE12:AE41)</f>
        <v>15367.2248550542</v>
      </c>
      <c r="AF43" s="612" t="n">
        <f aca="false">SUM(AF12:AF41)</f>
        <v>4.87</v>
      </c>
      <c r="AG43" s="613" t="n">
        <f aca="false">AVERAGE(AG12:AG41)</f>
        <v>73.7</v>
      </c>
      <c r="AH43" s="614" t="n">
        <f aca="false">AVERAGE(AH12:AH41)</f>
        <v>49.0333333333333</v>
      </c>
      <c r="AI43" s="613" t="s">
        <v>106</v>
      </c>
      <c r="AJ43" s="607" t="n">
        <f aca="false">SUM(AJ12:AJ41)</f>
        <v>0</v>
      </c>
      <c r="AK43" s="247"/>
      <c r="AL43" s="367"/>
      <c r="AM43" s="244" t="n">
        <f aca="false">SUM(AM12:AM41)</f>
        <v>0</v>
      </c>
      <c r="AN43" s="244" t="n">
        <f aca="false">SUM(AN12:AN41)</f>
        <v>0</v>
      </c>
    </row>
    <row r="44" customFormat="false" ht="12.95" hidden="false" customHeight="true" outlineLevel="0" collapsed="false">
      <c r="A44" s="173" t="s">
        <v>77</v>
      </c>
      <c r="B44" s="605"/>
      <c r="C44" s="607"/>
      <c r="D44" s="607" t="n">
        <f aca="false">SUM(D12:D41)</f>
        <v>-21971</v>
      </c>
      <c r="E44" s="607"/>
      <c r="F44" s="608" t="n">
        <f aca="false">F43*$D$2</f>
        <v>-21971</v>
      </c>
      <c r="G44" s="607" t="n">
        <f aca="false">G43*$D$2</f>
        <v>6269.8435</v>
      </c>
      <c r="H44" s="607" t="n">
        <f aca="false">H43*$D$2</f>
        <v>0.43637</v>
      </c>
      <c r="I44" s="607" t="n">
        <f aca="false">I43*$D$2</f>
        <v>6270.27987</v>
      </c>
      <c r="J44" s="607" t="n">
        <f aca="false">J43*$D$2</f>
        <v>2239.61063</v>
      </c>
      <c r="K44" s="607" t="n">
        <f aca="false">K43*$D$2</f>
        <v>8509.8905</v>
      </c>
      <c r="L44" s="607" t="n">
        <f aca="false">L43*$D$2</f>
        <v>354.641280000001</v>
      </c>
      <c r="M44" s="609" t="n">
        <f aca="false">M43*$D$2</f>
        <v>9096.331</v>
      </c>
      <c r="N44" s="607" t="n">
        <f aca="false">N43*$D$2</f>
        <v>128.709315</v>
      </c>
      <c r="O44" s="607" t="n">
        <f aca="false">O43*$D$2</f>
        <v>2946.7768575</v>
      </c>
      <c r="P44" s="613" t="n">
        <f aca="false">P43*$D$2</f>
        <v>116.534592</v>
      </c>
      <c r="Q44" s="613" t="n">
        <f aca="false">Q43*$D$2</f>
        <v>246.608555</v>
      </c>
      <c r="R44" s="616" t="n">
        <f aca="false">R43*$D$2</f>
        <v>133.430045</v>
      </c>
      <c r="S44" s="607" t="n">
        <f aca="false">S43*$D$2</f>
        <v>6464.2265</v>
      </c>
      <c r="T44" s="607" t="n">
        <f aca="false">T43*$D$2</f>
        <v>3631.59015</v>
      </c>
      <c r="U44" s="607" t="n">
        <f aca="false">U43*$D$2</f>
        <v>15620.0882855</v>
      </c>
      <c r="V44" s="607"/>
      <c r="W44" s="607"/>
      <c r="X44" s="607" t="n">
        <f aca="false">X43*$D$2</f>
        <v>6382.903</v>
      </c>
      <c r="Y44" s="607" t="n">
        <f aca="false">Y43*$D$2</f>
        <v>101.1585</v>
      </c>
      <c r="Z44" s="607" t="n">
        <f aca="false">Z43*$D$2</f>
        <v>77.3565</v>
      </c>
      <c r="AA44" s="607" t="n">
        <f aca="false">AA43*$D$2</f>
        <v>3020.8705</v>
      </c>
      <c r="AB44" s="607"/>
      <c r="AC44" s="607" t="n">
        <f aca="false">AC43*$D$2</f>
        <v>28595.92115</v>
      </c>
      <c r="AD44" s="607" t="n">
        <f aca="false">AD43*$D$2</f>
        <v>1884.96935</v>
      </c>
      <c r="AE44" s="607" t="n">
        <f aca="false">AE43*$D$2</f>
        <v>30480.8905</v>
      </c>
      <c r="AF44" s="612"/>
      <c r="AG44" s="613" t="n">
        <f aca="false">MAX(AG12:AG41)</f>
        <v>81</v>
      </c>
      <c r="AH44" s="614" t="n">
        <f aca="false">MAX(AH12:AH41)</f>
        <v>57</v>
      </c>
      <c r="AI44" s="613" t="s">
        <v>78</v>
      </c>
      <c r="AJ44" s="607" t="n">
        <f aca="false">AJ43*$D$2</f>
        <v>0</v>
      </c>
      <c r="AK44" s="247"/>
      <c r="AL44" s="367" t="n">
        <f aca="false">SUM(AL12:AL41)</f>
        <v>61.428228052367</v>
      </c>
      <c r="AM44" s="244" t="n">
        <f aca="false">AM43*$D$2</f>
        <v>0</v>
      </c>
      <c r="AN44" s="244" t="n">
        <f aca="false">AN43*$D$2</f>
        <v>0</v>
      </c>
    </row>
    <row r="45" customFormat="false" ht="3" hidden="false" customHeight="true" outlineLevel="0" collapsed="false">
      <c r="A45" s="275"/>
      <c r="B45" s="636"/>
      <c r="C45" s="618"/>
      <c r="D45" s="618"/>
      <c r="E45" s="618"/>
      <c r="F45" s="637"/>
      <c r="G45" s="618"/>
      <c r="H45" s="618"/>
      <c r="I45" s="618"/>
      <c r="J45" s="618"/>
      <c r="K45" s="618"/>
      <c r="L45" s="618"/>
      <c r="M45" s="638"/>
      <c r="N45" s="618"/>
      <c r="O45" s="618"/>
      <c r="P45" s="535"/>
      <c r="Q45" s="535"/>
      <c r="R45" s="639"/>
      <c r="S45" s="618"/>
      <c r="T45" s="618"/>
      <c r="U45" s="618"/>
      <c r="V45" s="618"/>
      <c r="W45" s="618"/>
      <c r="X45" s="618"/>
      <c r="Y45" s="618"/>
      <c r="Z45" s="618"/>
      <c r="AA45" s="618"/>
      <c r="AB45" s="533"/>
      <c r="AC45" s="618"/>
      <c r="AD45" s="618"/>
      <c r="AE45" s="618"/>
      <c r="AF45" s="640"/>
      <c r="AG45" s="618"/>
      <c r="AH45" s="637"/>
      <c r="AI45" s="618"/>
      <c r="AJ45" s="256"/>
      <c r="AK45" s="262"/>
      <c r="AL45" s="472"/>
      <c r="AM45" s="264"/>
      <c r="AN45" s="264"/>
    </row>
    <row r="46" customFormat="false" ht="12.95" hidden="false" customHeight="true" outlineLevel="0" collapsed="false">
      <c r="A46" s="173" t="s">
        <v>79</v>
      </c>
      <c r="B46" s="605"/>
      <c r="C46" s="607"/>
      <c r="D46" s="607"/>
      <c r="E46" s="607"/>
      <c r="F46" s="608" t="n">
        <f aca="false">F9+F43</f>
        <v>30853.5417191833</v>
      </c>
      <c r="G46" s="607" t="n">
        <f aca="false">G9+G43</f>
        <v>175648</v>
      </c>
      <c r="H46" s="607" t="n">
        <f aca="false">H9+H43</f>
        <v>12716.28</v>
      </c>
      <c r="I46" s="607" t="n">
        <f aca="false">I9+I43</f>
        <v>188364.28</v>
      </c>
      <c r="J46" s="607" t="n">
        <f aca="false">J9+J43</f>
        <v>37653.0125863373</v>
      </c>
      <c r="K46" s="607" t="n">
        <f aca="false">K9+K43</f>
        <v>226017.292586337</v>
      </c>
      <c r="L46" s="607" t="n">
        <f aca="false">L9+L43</f>
        <v>34956.6317191833</v>
      </c>
      <c r="M46" s="609" t="n">
        <f aca="false">M9+M43</f>
        <v>36893.5</v>
      </c>
      <c r="N46" s="607" t="n">
        <f aca="false">N9+N43</f>
        <v>330.939</v>
      </c>
      <c r="O46" s="607" t="n">
        <f aca="false">O9+O43</f>
        <v>11854.719</v>
      </c>
      <c r="P46" s="613"/>
      <c r="Q46" s="613"/>
      <c r="R46" s="616"/>
      <c r="S46" s="607" t="n">
        <f aca="false">S9+S43</f>
        <v>19445.25</v>
      </c>
      <c r="T46" s="607" t="n">
        <f aca="false">T9+T43</f>
        <v>10635.3</v>
      </c>
      <c r="U46" s="607" t="n">
        <f aca="false">U9+U43</f>
        <v>52880.6104</v>
      </c>
      <c r="V46" s="607"/>
      <c r="W46" s="607"/>
      <c r="X46" s="607" t="n">
        <f aca="false">X9+X43</f>
        <v>21612.8</v>
      </c>
      <c r="Y46" s="607" t="n">
        <f aca="false">Y9+Y43</f>
        <v>311.1</v>
      </c>
      <c r="Z46" s="607" t="n">
        <f aca="false">Z9+Z43</f>
        <v>237.9</v>
      </c>
      <c r="AA46" s="607"/>
      <c r="AB46" s="607"/>
      <c r="AC46" s="607" t="n">
        <f aca="false">AC9+AC43</f>
        <v>192467.37</v>
      </c>
      <c r="AD46" s="607" t="n">
        <f aca="false">AD9+AD43</f>
        <v>2696.38086715402</v>
      </c>
      <c r="AE46" s="607" t="n">
        <f aca="false">AE9+AE43</f>
        <v>195163.750867154</v>
      </c>
      <c r="AF46" s="612"/>
      <c r="AG46" s="613" t="n">
        <f aca="false">MIN(AG12:AG41)</f>
        <v>49</v>
      </c>
      <c r="AH46" s="614" t="n">
        <f aca="false">MIN(AH12:AH41)</f>
        <v>40</v>
      </c>
      <c r="AI46" s="613" t="s">
        <v>80</v>
      </c>
      <c r="AJ46" s="244"/>
      <c r="AK46" s="247"/>
      <c r="AL46" s="367"/>
      <c r="AM46" s="244" t="n">
        <f aca="false">AM9+AM43</f>
        <v>876.99</v>
      </c>
      <c r="AN46" s="244" t="n">
        <f aca="false">AN9+AN43</f>
        <v>303.01</v>
      </c>
    </row>
    <row r="47" customFormat="false" ht="12.95" hidden="false" customHeight="true" outlineLevel="0" collapsed="false">
      <c r="A47" s="173" t="s">
        <v>81</v>
      </c>
      <c r="B47" s="605"/>
      <c r="C47" s="607"/>
      <c r="D47" s="607"/>
      <c r="E47" s="607"/>
      <c r="F47" s="608" t="n">
        <f aca="false">F46*$D$2</f>
        <v>61198</v>
      </c>
      <c r="G47" s="607" t="n">
        <f aca="false">G46*$D$2</f>
        <v>348397.808</v>
      </c>
      <c r="H47" s="607" t="n">
        <f aca="false">H46*$D$2</f>
        <v>25222.74138</v>
      </c>
      <c r="I47" s="607" t="n">
        <f aca="false">I46*$D$2</f>
        <v>373620.54938</v>
      </c>
      <c r="J47" s="607" t="n">
        <f aca="false">J46*$D$2</f>
        <v>74684.750465</v>
      </c>
      <c r="K47" s="607" t="n">
        <f aca="false">K46*$D$2</f>
        <v>448305.299845</v>
      </c>
      <c r="L47" s="607" t="n">
        <f aca="false">L46*$D$2</f>
        <v>69336.479015</v>
      </c>
      <c r="M47" s="609" t="n">
        <f aca="false">M46*$D$2</f>
        <v>73178.25725</v>
      </c>
      <c r="N47" s="607" t="n">
        <f aca="false">N46*$D$2</f>
        <v>656.4175065</v>
      </c>
      <c r="O47" s="607" t="n">
        <f aca="false">O46*$D$2</f>
        <v>23513.8351365</v>
      </c>
      <c r="P47" s="613"/>
      <c r="Q47" s="613"/>
      <c r="R47" s="616"/>
      <c r="S47" s="607" t="n">
        <f aca="false">S46*$D$2</f>
        <v>38569.653375</v>
      </c>
      <c r="T47" s="607" t="n">
        <f aca="false">T46*$D$2</f>
        <v>21095.11755</v>
      </c>
      <c r="U47" s="607" t="n">
        <f aca="false">U46*$D$2</f>
        <v>104888.6907284</v>
      </c>
      <c r="V47" s="607"/>
      <c r="W47" s="607"/>
      <c r="X47" s="607" t="n">
        <f aca="false">X46*$D$2</f>
        <v>42868.9888</v>
      </c>
      <c r="Y47" s="607" t="n">
        <f aca="false">Y46*$D$2</f>
        <v>617.06685</v>
      </c>
      <c r="Z47" s="607" t="n">
        <f aca="false">Z46*$D$2</f>
        <v>471.87465</v>
      </c>
      <c r="AA47" s="607"/>
      <c r="AB47" s="607"/>
      <c r="AC47" s="607" t="n">
        <f aca="false">AC46*$D$2</f>
        <v>381759.028395</v>
      </c>
      <c r="AD47" s="607" t="n">
        <f aca="false">AD46*$D$2</f>
        <v>5348.27145</v>
      </c>
      <c r="AE47" s="607" t="n">
        <f aca="false">AE46*$D$2</f>
        <v>387107.299845</v>
      </c>
      <c r="AF47" s="612"/>
      <c r="AG47" s="613"/>
      <c r="AH47" s="614"/>
      <c r="AI47" s="613"/>
      <c r="AJ47" s="244"/>
      <c r="AK47" s="247"/>
      <c r="AL47" s="367" t="n">
        <f aca="false">AL9+AL44</f>
        <v>501.518387522501</v>
      </c>
      <c r="AM47" s="244" t="n">
        <f aca="false">AM46*$D$2</f>
        <v>1739.509665</v>
      </c>
      <c r="AN47" s="244" t="n">
        <f aca="false">AN46*$D$2</f>
        <v>601.020335</v>
      </c>
    </row>
    <row r="48" customFormat="false" ht="3" hidden="false" customHeight="true" outlineLevel="0" collapsed="false">
      <c r="A48" s="275"/>
      <c r="B48" s="636"/>
      <c r="C48" s="618"/>
      <c r="D48" s="618"/>
      <c r="E48" s="618"/>
      <c r="F48" s="637"/>
      <c r="G48" s="618"/>
      <c r="H48" s="535"/>
      <c r="I48" s="618"/>
      <c r="J48" s="618"/>
      <c r="K48" s="618"/>
      <c r="L48" s="618"/>
      <c r="M48" s="638"/>
      <c r="N48" s="618"/>
      <c r="O48" s="618"/>
      <c r="P48" s="535"/>
      <c r="Q48" s="535"/>
      <c r="R48" s="639"/>
      <c r="S48" s="618"/>
      <c r="T48" s="618"/>
      <c r="U48" s="618"/>
      <c r="V48" s="618"/>
      <c r="W48" s="618"/>
      <c r="X48" s="618"/>
      <c r="Y48" s="142"/>
      <c r="Z48" s="141"/>
      <c r="AA48" s="618"/>
      <c r="AB48" s="618"/>
      <c r="AC48" s="618"/>
      <c r="AD48" s="618"/>
      <c r="AE48" s="618"/>
      <c r="AF48" s="624"/>
      <c r="AG48" s="641"/>
      <c r="AH48" s="642"/>
      <c r="AI48" s="641"/>
      <c r="AJ48" s="280"/>
      <c r="AK48" s="262"/>
      <c r="AL48" s="472"/>
      <c r="AM48" s="264"/>
      <c r="AN48" s="264"/>
    </row>
    <row r="49" customFormat="false" ht="12.95" hidden="false" customHeight="true" outlineLevel="0" collapsed="false">
      <c r="A49" s="173" t="s">
        <v>82</v>
      </c>
      <c r="B49" s="605"/>
      <c r="C49" s="607"/>
      <c r="D49" s="607"/>
      <c r="E49" s="607"/>
      <c r="F49" s="608" t="n">
        <f aca="false">F10+F43</f>
        <v>47276.5313839173</v>
      </c>
      <c r="G49" s="607" t="n">
        <f aca="false">G10+G43</f>
        <v>192106</v>
      </c>
      <c r="H49" s="613" t="n">
        <f aca="false">H10+H43</f>
        <v>15105.82</v>
      </c>
      <c r="I49" s="607" t="n">
        <f aca="false">I10+I43</f>
        <v>207211.82</v>
      </c>
      <c r="J49" s="607" t="n">
        <f aca="false">J10+J43</f>
        <v>48114.5176909504</v>
      </c>
      <c r="K49" s="607" t="n">
        <f aca="false">K10+K43</f>
        <v>255326.33769095</v>
      </c>
      <c r="L49" s="607" t="n">
        <f aca="false">L10+L43</f>
        <v>44872.8813839173</v>
      </c>
      <c r="M49" s="609" t="n">
        <f aca="false">M10+M43</f>
        <v>37689.5</v>
      </c>
      <c r="N49" s="607" t="n">
        <f aca="false">N10+N43</f>
        <v>330.939</v>
      </c>
      <c r="O49" s="607" t="n">
        <f aca="false">O10+O43</f>
        <v>11854.719</v>
      </c>
      <c r="P49" s="613" t="n">
        <f aca="false">P10+P43</f>
        <v>610.4764</v>
      </c>
      <c r="Q49" s="613" t="n">
        <f aca="false">Q10+Q43</f>
        <v>1096.5988</v>
      </c>
      <c r="R49" s="616" t="n">
        <f aca="false">R10+R43</f>
        <v>472.87</v>
      </c>
      <c r="S49" s="607" t="n">
        <f aca="false">S10+S43</f>
        <v>26914.25</v>
      </c>
      <c r="T49" s="607" t="n">
        <f aca="false">T10+T43</f>
        <v>10669.1</v>
      </c>
      <c r="U49" s="607" t="n">
        <f aca="false">U10+U43</f>
        <v>60595.7668</v>
      </c>
      <c r="V49" s="607"/>
      <c r="W49" s="607"/>
      <c r="X49" s="607"/>
      <c r="Y49" s="97"/>
      <c r="Z49" s="95"/>
      <c r="AA49" s="607" t="n">
        <f aca="false">AA10+AA43</f>
        <v>108234</v>
      </c>
      <c r="AB49" s="607" t="n">
        <f aca="false">AB41</f>
        <v>7740.43307285102</v>
      </c>
      <c r="AC49" s="607" t="n">
        <f aca="false">AC10+AC43</f>
        <v>204808.17</v>
      </c>
      <c r="AD49" s="607" t="n">
        <f aca="false">AD10+AD43</f>
        <v>3241.63630703302</v>
      </c>
      <c r="AE49" s="607" t="n">
        <f aca="false">AE10+AE43</f>
        <v>208049.806307033</v>
      </c>
      <c r="AF49" s="612" t="n">
        <f aca="false">AF10+AF43</f>
        <v>19.76</v>
      </c>
      <c r="AG49" s="613"/>
      <c r="AH49" s="614"/>
      <c r="AI49" s="613"/>
      <c r="AJ49" s="607" t="n">
        <f aca="false">AJ10+AJ43</f>
        <v>0</v>
      </c>
      <c r="AK49" s="247"/>
      <c r="AL49" s="367"/>
      <c r="AM49" s="613" t="n">
        <f aca="false">AM10+AM43</f>
        <v>0</v>
      </c>
      <c r="AN49" s="613"/>
    </row>
    <row r="50" customFormat="false" ht="12.95" hidden="false" customHeight="true" outlineLevel="0" collapsed="false">
      <c r="A50" s="173" t="s">
        <v>83</v>
      </c>
      <c r="B50" s="605"/>
      <c r="C50" s="607"/>
      <c r="D50" s="607" t="n">
        <f aca="false">D10+D44</f>
        <v>93773</v>
      </c>
      <c r="E50" s="607" t="n">
        <f aca="false">E41</f>
        <v>149041</v>
      </c>
      <c r="F50" s="608" t="n">
        <f aca="false">F49*$D$2</f>
        <v>93773</v>
      </c>
      <c r="G50" s="607" t="n">
        <f aca="false">G49*$D$2</f>
        <v>381042.251</v>
      </c>
      <c r="H50" s="613" t="n">
        <f aca="false">H49*$D$2</f>
        <v>29962.39397</v>
      </c>
      <c r="I50" s="607" t="n">
        <f aca="false">I49*$D$2</f>
        <v>411004.64497</v>
      </c>
      <c r="J50" s="607" t="n">
        <f aca="false">J49*$D$2</f>
        <v>95435.14584</v>
      </c>
      <c r="K50" s="607" t="n">
        <f aca="false">K49*$D$2</f>
        <v>506439.79081</v>
      </c>
      <c r="L50" s="607" t="n">
        <f aca="false">L49*$D$2</f>
        <v>89005.360225</v>
      </c>
      <c r="M50" s="609" t="n">
        <f aca="false">M49*$D$2</f>
        <v>74757.12325</v>
      </c>
      <c r="N50" s="607" t="n">
        <f aca="false">N49*$D$2</f>
        <v>656.4175065</v>
      </c>
      <c r="O50" s="607" t="n">
        <f aca="false">O49*$D$2</f>
        <v>23513.8351365</v>
      </c>
      <c r="P50" s="613" t="n">
        <f aca="false">P49*$D$2</f>
        <v>1210.8799394</v>
      </c>
      <c r="Q50" s="613" t="n">
        <f aca="false">Q49*$D$2</f>
        <v>2175.1037198</v>
      </c>
      <c r="R50" s="616" t="n">
        <f aca="false">R49*$D$2</f>
        <v>937.937645</v>
      </c>
      <c r="S50" s="607" t="n">
        <f aca="false">S49*$D$2</f>
        <v>53384.414875</v>
      </c>
      <c r="T50" s="607" t="n">
        <f aca="false">T49*$D$2</f>
        <v>21162.15985</v>
      </c>
      <c r="U50" s="607" t="n">
        <f aca="false">U49*$D$2</f>
        <v>120191.7034478</v>
      </c>
      <c r="V50" s="607"/>
      <c r="W50" s="607"/>
      <c r="X50" s="607"/>
      <c r="Y50" s="97"/>
      <c r="Z50" s="95"/>
      <c r="AA50" s="607" t="n">
        <f aca="false">AA49*$D$2</f>
        <v>214682.139</v>
      </c>
      <c r="AB50" s="607" t="n">
        <f aca="false">AB49*$D$2</f>
        <v>15353.149</v>
      </c>
      <c r="AC50" s="607" t="n">
        <f aca="false">AC49*$D$2</f>
        <v>406237.005195</v>
      </c>
      <c r="AD50" s="607" t="n">
        <f aca="false">AD49*$D$2</f>
        <v>6429.785615</v>
      </c>
      <c r="AE50" s="607" t="n">
        <f aca="false">AE49*$D$2</f>
        <v>412666.79081</v>
      </c>
      <c r="AF50" s="612"/>
      <c r="AG50" s="613"/>
      <c r="AH50" s="614"/>
      <c r="AI50" s="613" t="n">
        <f aca="false">AI41</f>
        <v>16467.3080282</v>
      </c>
      <c r="AJ50" s="607" t="n">
        <f aca="false">AJ49*$D$2</f>
        <v>0</v>
      </c>
      <c r="AK50" s="247"/>
      <c r="AL50" s="367" t="n">
        <f aca="false">AL10+AL44</f>
        <v>501.518387522501</v>
      </c>
      <c r="AM50" s="613" t="n">
        <f aca="false">AM49*$D$2</f>
        <v>0</v>
      </c>
      <c r="AN50" s="613"/>
    </row>
    <row r="51" customFormat="false" ht="3" hidden="false" customHeight="true" outlineLevel="0" collapsed="false">
      <c r="A51" s="254"/>
      <c r="B51" s="636"/>
      <c r="C51" s="618"/>
      <c r="D51" s="533"/>
      <c r="E51" s="618"/>
      <c r="F51" s="619"/>
      <c r="G51" s="533"/>
      <c r="H51" s="620"/>
      <c r="I51" s="533"/>
      <c r="J51" s="533"/>
      <c r="K51" s="533"/>
      <c r="L51" s="533"/>
      <c r="M51" s="621"/>
      <c r="N51" s="533"/>
      <c r="O51" s="533"/>
      <c r="P51" s="622"/>
      <c r="Q51" s="622"/>
      <c r="R51" s="623"/>
      <c r="S51" s="533"/>
      <c r="T51" s="533"/>
      <c r="U51" s="533"/>
      <c r="V51" s="618"/>
      <c r="W51" s="618"/>
      <c r="X51" s="533"/>
      <c r="Y51" s="111"/>
      <c r="Z51" s="146"/>
      <c r="AA51" s="533"/>
      <c r="AB51" s="618"/>
      <c r="AC51" s="533"/>
      <c r="AD51" s="533"/>
      <c r="AE51" s="533"/>
      <c r="AF51" s="636"/>
      <c r="AG51" s="533"/>
      <c r="AH51" s="619"/>
      <c r="AI51" s="533"/>
      <c r="AJ51" s="257"/>
      <c r="AK51" s="262"/>
      <c r="AL51" s="472"/>
      <c r="AM51" s="472"/>
      <c r="AN51" s="472"/>
    </row>
    <row r="52" customFormat="false" ht="11.1" hidden="false" customHeight="true" outlineLevel="0" collapsed="false">
      <c r="A52" s="285"/>
      <c r="B52" s="285"/>
      <c r="C52" s="165"/>
      <c r="D52" s="285"/>
      <c r="E52" s="165"/>
      <c r="F52" s="285"/>
      <c r="G52" s="166"/>
      <c r="I52" s="154"/>
      <c r="J52" s="285"/>
      <c r="K52" s="285"/>
      <c r="L52" s="285"/>
      <c r="M52" s="168"/>
      <c r="N52" s="10"/>
      <c r="O52" s="168"/>
      <c r="P52" s="169"/>
      <c r="Q52" s="169"/>
      <c r="R52" s="169"/>
      <c r="S52" s="285"/>
      <c r="T52" s="285"/>
      <c r="U52" s="0"/>
      <c r="V52" s="165"/>
      <c r="W52" s="165"/>
      <c r="X52" s="159"/>
      <c r="Y52" s="159"/>
      <c r="Z52" s="159"/>
      <c r="AA52" s="165"/>
      <c r="AB52" s="285"/>
      <c r="AC52" s="285"/>
      <c r="AD52" s="285"/>
      <c r="AE52" s="169"/>
      <c r="AF52" s="170"/>
      <c r="AG52" s="171"/>
      <c r="AH52" s="172"/>
      <c r="AI52" s="343"/>
      <c r="AJ52" s="343"/>
      <c r="AK52" s="536"/>
      <c r="AL52" s="457"/>
    </row>
    <row r="53" customFormat="false" ht="11.1" hidden="false" customHeight="true" outlineLevel="0" collapsed="false">
      <c r="A53" s="164"/>
      <c r="B53" s="598"/>
      <c r="C53" s="10"/>
      <c r="D53" s="153"/>
      <c r="E53" s="484"/>
      <c r="F53" s="508"/>
      <c r="G53" s="0"/>
      <c r="H53" s="14"/>
      <c r="I53" s="11"/>
      <c r="J53" s="9"/>
      <c r="K53" s="154"/>
      <c r="L53" s="168"/>
      <c r="M53" s="9"/>
      <c r="N53" s="9"/>
      <c r="O53" s="9"/>
      <c r="P53" s="13"/>
      <c r="Q53" s="402"/>
      <c r="R53" s="402"/>
      <c r="S53" s="509"/>
      <c r="T53" s="124"/>
      <c r="U53" s="510"/>
      <c r="V53" s="165"/>
      <c r="W53" s="228"/>
      <c r="X53" s="643"/>
      <c r="Y53" s="643"/>
      <c r="Z53" s="643"/>
      <c r="AA53" s="9"/>
      <c r="AB53" s="10"/>
      <c r="AC53" s="10"/>
      <c r="AD53" s="164"/>
      <c r="AE53" s="169"/>
      <c r="AF53" s="171"/>
      <c r="AG53" s="171"/>
      <c r="AH53" s="171"/>
      <c r="AI53" s="599"/>
      <c r="AJ53" s="599"/>
      <c r="AK53" s="536"/>
      <c r="AL53" s="597"/>
      <c r="AM53" s="538"/>
    </row>
    <row r="54" customFormat="false" ht="11.1" hidden="false" customHeight="true" outlineLevel="0" collapsed="false">
      <c r="A54" s="285"/>
      <c r="B54" s="165"/>
      <c r="E54" s="484"/>
      <c r="F54" s="485"/>
      <c r="G54" s="0"/>
      <c r="H54" s="14"/>
      <c r="I54" s="153"/>
      <c r="J54" s="153"/>
      <c r="K54" s="511"/>
      <c r="L54" s="488"/>
      <c r="M54" s="122"/>
      <c r="N54" s="122"/>
      <c r="O54" s="484"/>
      <c r="P54" s="600"/>
      <c r="Q54" s="402"/>
      <c r="R54" s="402"/>
      <c r="S54" s="509"/>
      <c r="T54" s="124"/>
      <c r="U54" s="91"/>
      <c r="V54" s="165"/>
      <c r="W54" s="165"/>
      <c r="X54" s="165"/>
      <c r="Y54" s="165"/>
      <c r="Z54" s="165"/>
      <c r="AA54" s="10"/>
      <c r="AB54" s="509"/>
      <c r="AC54" s="509"/>
      <c r="AD54" s="285"/>
      <c r="AE54" s="169"/>
      <c r="AF54" s="171"/>
      <c r="AG54" s="171"/>
      <c r="AH54" s="172"/>
      <c r="AI54" s="343"/>
      <c r="AJ54" s="343"/>
      <c r="AK54" s="536"/>
      <c r="AM54" s="538"/>
    </row>
    <row r="55" customFormat="false" ht="11.1" hidden="false" customHeight="true" outlineLevel="0" collapsed="false">
      <c r="A55" s="285"/>
      <c r="B55" s="285"/>
      <c r="C55" s="165"/>
      <c r="D55" s="165"/>
      <c r="E55" s="484"/>
      <c r="F55" s="0"/>
      <c r="G55" s="0"/>
      <c r="H55" s="165"/>
      <c r="I55" s="0"/>
      <c r="J55" s="153"/>
      <c r="K55" s="511"/>
      <c r="L55" s="171"/>
      <c r="M55" s="122"/>
      <c r="N55" s="122"/>
      <c r="O55" s="171"/>
      <c r="P55" s="169"/>
      <c r="Q55" s="402"/>
      <c r="R55" s="402"/>
      <c r="S55" s="456"/>
      <c r="T55" s="456"/>
      <c r="U55" s="91"/>
      <c r="V55" s="171"/>
      <c r="W55" s="171"/>
      <c r="X55" s="165"/>
      <c r="Y55" s="165"/>
      <c r="Z55" s="165"/>
      <c r="AA55" s="10"/>
      <c r="AB55" s="165"/>
      <c r="AC55" s="165"/>
      <c r="AD55" s="285"/>
      <c r="AE55" s="487"/>
      <c r="AF55" s="171"/>
      <c r="AG55" s="171"/>
      <c r="AH55" s="172"/>
      <c r="AI55" s="343"/>
      <c r="AJ55" s="343"/>
      <c r="AK55" s="536"/>
      <c r="AM55" s="538"/>
    </row>
    <row r="56" customFormat="false" ht="11.1" hidden="false" customHeight="true" outlineLevel="0" collapsed="false">
      <c r="A56" s="285"/>
      <c r="B56" s="285"/>
      <c r="C56" s="165"/>
      <c r="D56" s="285"/>
      <c r="E56" s="165"/>
      <c r="F56" s="285"/>
      <c r="G56" s="286"/>
      <c r="H56" s="166"/>
      <c r="I56" s="285"/>
      <c r="J56" s="285"/>
      <c r="K56" s="285"/>
      <c r="L56" s="285"/>
      <c r="M56" s="168"/>
      <c r="N56" s="168"/>
      <c r="O56" s="168"/>
      <c r="P56" s="169"/>
      <c r="Q56" s="169"/>
      <c r="R56" s="169"/>
      <c r="S56" s="285"/>
      <c r="T56" s="285"/>
      <c r="U56" s="0"/>
      <c r="V56" s="165"/>
      <c r="W56" s="165"/>
      <c r="AA56" s="165"/>
      <c r="AB56" s="285"/>
      <c r="AC56" s="285"/>
      <c r="AD56" s="285"/>
      <c r="AE56" s="169"/>
      <c r="AF56" s="170"/>
      <c r="AG56" s="171"/>
      <c r="AH56" s="172"/>
      <c r="AI56" s="343"/>
      <c r="AJ56" s="343"/>
      <c r="AK56" s="536"/>
      <c r="AM56" s="538"/>
    </row>
    <row r="57" customFormat="false" ht="11.1" hidden="false" customHeight="true" outlineLevel="0" collapsed="false">
      <c r="S57" s="601"/>
      <c r="T57" s="156"/>
      <c r="U57" s="165"/>
      <c r="V57" s="165"/>
      <c r="W57" s="165"/>
      <c r="AA57" s="157"/>
      <c r="AC57" s="156"/>
      <c r="AD57" s="156"/>
      <c r="AE57" s="160"/>
      <c r="AF57" s="158"/>
      <c r="AG57" s="161"/>
      <c r="AH57" s="162"/>
      <c r="AI57" s="602"/>
      <c r="AJ57" s="602"/>
      <c r="AM57" s="538"/>
    </row>
    <row r="58" customFormat="false" ht="11.1" hidden="false" customHeight="true" outlineLevel="0" collapsed="false">
      <c r="T58" s="156"/>
      <c r="U58" s="157"/>
      <c r="W58" s="156"/>
      <c r="AA58" s="157"/>
      <c r="AC58" s="156"/>
      <c r="AD58" s="156"/>
      <c r="AE58" s="160"/>
      <c r="AF58" s="158"/>
      <c r="AG58" s="161"/>
      <c r="AH58" s="162"/>
      <c r="AL58" s="457"/>
    </row>
    <row r="59" customFormat="false" ht="11.1" hidden="false" customHeight="true" outlineLevel="0" collapsed="false">
      <c r="Q59" s="644"/>
      <c r="R59" s="644"/>
    </row>
    <row r="60" customFormat="false" ht="11.1" hidden="false" customHeight="true" outlineLevel="0" collapsed="false">
      <c r="Q60" s="644"/>
      <c r="R60" s="644"/>
    </row>
  </sheetData>
  <mergeCells count="2">
    <mergeCell ref="K2:W2"/>
    <mergeCell ref="M5:R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9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E12" activeCellId="0" sqref="AE12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645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8" min="16" style="156" width="4.32"/>
    <col collapsed="false" customWidth="true" hidden="false" outlineLevel="0" max="19" min="19" style="156" width="5.49"/>
    <col collapsed="false" customWidth="true" hidden="false" outlineLevel="0" max="20" min="20" style="157" width="5.49"/>
    <col collapsed="false" customWidth="true" hidden="false" outlineLevel="0" max="21" min="21" style="156" width="6.32"/>
    <col collapsed="false" customWidth="true" hidden="false" outlineLevel="0" max="22" min="22" style="156" width="5.49"/>
    <col collapsed="false" customWidth="true" hidden="false" outlineLevel="0" max="23" min="23" style="157" width="5.49"/>
    <col collapsed="false" customWidth="true" hidden="false" outlineLevel="0" max="26" min="24" style="156" width="5.49"/>
    <col collapsed="false" customWidth="true" hidden="false" outlineLevel="0" max="27" min="27" style="156" width="6.32"/>
    <col collapsed="false" customWidth="true" hidden="false" outlineLevel="0" max="28" min="28" style="156" width="5.49"/>
    <col collapsed="false" customWidth="true" hidden="false" outlineLevel="0" max="29" min="29" style="160" width="6.32"/>
    <col collapsed="false" customWidth="true" hidden="false" outlineLevel="0" max="31" min="30" style="161" width="6.99"/>
    <col collapsed="false" customWidth="true" hidden="false" outlineLevel="0" max="32" min="32" style="162" width="5.32"/>
    <col collapsed="false" customWidth="true" hidden="false" outlineLevel="0" max="33" min="33" style="156" width="3.82"/>
    <col collapsed="false" customWidth="true" hidden="false" outlineLevel="0" max="34" min="34" style="160" width="3.82"/>
    <col collapsed="false" customWidth="true" hidden="false" outlineLevel="0" max="36" min="35" style="156" width="5.49"/>
    <col collapsed="false" customWidth="true" hidden="false" outlineLevel="0" max="37" min="37" style="159" width="6.32"/>
    <col collapsed="false" customWidth="true" hidden="false" outlineLevel="0" max="38" min="38" style="160" width="6.32"/>
    <col collapsed="false" customWidth="true" hidden="false" outlineLevel="0" max="39" min="39" style="156" width="6.32"/>
    <col collapsed="false" customWidth="true" hidden="false" outlineLevel="0" max="40" min="40" style="156" width="6.49"/>
    <col collapsed="false" customWidth="false" hidden="false" outlineLevel="0" max="257" min="41" style="156" width="9.32"/>
  </cols>
  <sheetData>
    <row r="1" customFormat="false" ht="14.1" hidden="false" customHeight="true" outlineLevel="0" collapsed="false">
      <c r="A1" s="164"/>
      <c r="B1" s="164"/>
      <c r="C1" s="165"/>
      <c r="D1" s="164"/>
      <c r="E1" s="165"/>
      <c r="F1" s="164"/>
      <c r="G1" s="164"/>
      <c r="H1" s="646"/>
      <c r="I1" s="164"/>
      <c r="J1" s="164"/>
      <c r="K1" s="167" t="s">
        <v>0</v>
      </c>
      <c r="L1" s="164"/>
      <c r="M1" s="164"/>
      <c r="N1" s="164"/>
      <c r="O1" s="164"/>
      <c r="P1" s="164"/>
      <c r="Q1" s="164"/>
      <c r="R1" s="164"/>
      <c r="S1" s="164"/>
      <c r="T1" s="164"/>
      <c r="U1" s="165"/>
      <c r="V1" s="164"/>
      <c r="W1" s="164"/>
      <c r="X1" s="164"/>
      <c r="Y1" s="164"/>
      <c r="Z1" s="164"/>
      <c r="AA1" s="165"/>
      <c r="AB1" s="164"/>
      <c r="AC1" s="164"/>
      <c r="AD1" s="164"/>
      <c r="AE1" s="169"/>
      <c r="AF1" s="171"/>
      <c r="AG1" s="171"/>
      <c r="AH1" s="172"/>
      <c r="AI1" s="289"/>
      <c r="AJ1" s="289"/>
      <c r="AK1" s="536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646"/>
      <c r="I2" s="164"/>
      <c r="J2" s="164"/>
      <c r="K2" s="175" t="s">
        <v>123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64"/>
      <c r="Y2" s="164"/>
      <c r="Z2" s="164"/>
      <c r="AA2" s="165"/>
      <c r="AB2" s="164"/>
      <c r="AC2" s="164"/>
      <c r="AD2" s="164"/>
      <c r="AE2" s="169"/>
      <c r="AF2" s="171"/>
      <c r="AG2" s="171"/>
      <c r="AH2" s="172"/>
      <c r="AI2" s="289"/>
      <c r="AJ2" s="289"/>
      <c r="AK2" s="536"/>
    </row>
    <row r="3" customFormat="false" ht="14.1" hidden="false" customHeight="true" outlineLevel="0" collapsed="false">
      <c r="A3" s="176"/>
      <c r="B3" s="176"/>
      <c r="C3" s="177"/>
      <c r="D3" s="178"/>
      <c r="E3" s="177"/>
      <c r="F3" s="176"/>
      <c r="G3" s="176"/>
      <c r="H3" s="647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7"/>
      <c r="V3" s="176"/>
      <c r="W3" s="176"/>
      <c r="X3" s="176"/>
      <c r="Y3" s="176"/>
      <c r="Z3" s="176"/>
      <c r="AA3" s="177"/>
      <c r="AB3" s="176"/>
      <c r="AC3" s="176"/>
      <c r="AD3" s="176"/>
      <c r="AE3" s="181"/>
      <c r="AF3" s="183"/>
      <c r="AG3" s="183"/>
      <c r="AH3" s="184"/>
      <c r="AI3" s="292"/>
      <c r="AJ3" s="292"/>
      <c r="AK3" s="603"/>
      <c r="AL3" s="540"/>
    </row>
    <row r="4" s="200" customFormat="true" ht="14.1" hidden="false" customHeight="true" outlineLevel="0" collapsed="false">
      <c r="A4" s="187"/>
      <c r="B4" s="188"/>
      <c r="C4" s="189"/>
      <c r="D4" s="294" t="s">
        <v>3</v>
      </c>
      <c r="E4" s="189"/>
      <c r="F4" s="191"/>
      <c r="G4" s="187"/>
      <c r="H4" s="192"/>
      <c r="I4" s="187"/>
      <c r="J4" s="187"/>
      <c r="K4" s="187"/>
      <c r="L4" s="187"/>
      <c r="M4" s="187"/>
      <c r="N4" s="187"/>
      <c r="O4" s="187"/>
      <c r="P4" s="196"/>
      <c r="Q4" s="196"/>
      <c r="R4" s="196"/>
      <c r="S4" s="193" t="s">
        <v>4</v>
      </c>
      <c r="T4" s="187"/>
      <c r="U4" s="194"/>
      <c r="V4" s="187"/>
      <c r="W4" s="187"/>
      <c r="X4" s="187"/>
      <c r="Y4" s="187"/>
      <c r="Z4" s="187"/>
      <c r="AA4" s="194"/>
      <c r="AB4" s="187"/>
      <c r="AC4" s="187"/>
      <c r="AD4" s="187"/>
      <c r="AE4" s="196"/>
      <c r="AF4" s="197"/>
      <c r="AG4" s="198" t="s">
        <v>5</v>
      </c>
      <c r="AH4" s="199"/>
      <c r="AI4" s="187"/>
      <c r="AJ4" s="187"/>
      <c r="AK4" s="541" t="s">
        <v>6</v>
      </c>
      <c r="AL4" s="541"/>
      <c r="AM4" s="542"/>
      <c r="AN4" s="204"/>
    </row>
    <row r="5" s="520" customFormat="true" ht="12.95" hidden="false" customHeight="true" outlineLevel="0" collapsed="false">
      <c r="A5" s="233" t="s">
        <v>7</v>
      </c>
      <c r="B5" s="464" t="s">
        <v>8</v>
      </c>
      <c r="C5" s="229" t="s">
        <v>8</v>
      </c>
      <c r="D5" s="233" t="s">
        <v>9</v>
      </c>
      <c r="E5" s="229" t="s">
        <v>10</v>
      </c>
      <c r="F5" s="518" t="s">
        <v>11</v>
      </c>
      <c r="G5" s="233" t="s">
        <v>12</v>
      </c>
      <c r="H5" s="235" t="s">
        <v>13</v>
      </c>
      <c r="I5" s="233" t="s">
        <v>14</v>
      </c>
      <c r="J5" s="233" t="s">
        <v>15</v>
      </c>
      <c r="K5" s="233" t="s">
        <v>16</v>
      </c>
      <c r="L5" s="233" t="s">
        <v>15</v>
      </c>
      <c r="M5" s="210" t="s">
        <v>17</v>
      </c>
      <c r="N5" s="210"/>
      <c r="O5" s="210"/>
      <c r="P5" s="210"/>
      <c r="Q5" s="210"/>
      <c r="R5" s="210"/>
      <c r="S5" s="420" t="s">
        <v>18</v>
      </c>
      <c r="T5" s="420" t="s">
        <v>19</v>
      </c>
      <c r="U5" s="420" t="s">
        <v>16</v>
      </c>
      <c r="V5" s="79" t="s">
        <v>20</v>
      </c>
      <c r="W5" s="229" t="s">
        <v>20</v>
      </c>
      <c r="X5" s="420" t="s">
        <v>21</v>
      </c>
      <c r="Y5" s="212" t="s">
        <v>85</v>
      </c>
      <c r="Z5" s="213"/>
      <c r="AA5" s="420" t="s">
        <v>23</v>
      </c>
      <c r="AB5" s="229" t="s">
        <v>108</v>
      </c>
      <c r="AC5" s="233" t="s">
        <v>14</v>
      </c>
      <c r="AD5" s="233" t="s">
        <v>15</v>
      </c>
      <c r="AE5" s="233" t="s">
        <v>16</v>
      </c>
      <c r="AF5" s="519" t="s">
        <v>25</v>
      </c>
      <c r="AG5" s="224" t="s">
        <v>26</v>
      </c>
      <c r="AH5" s="351" t="s">
        <v>27</v>
      </c>
      <c r="AI5" s="67" t="s">
        <v>86</v>
      </c>
      <c r="AJ5" s="67" t="s">
        <v>20</v>
      </c>
      <c r="AK5" s="68" t="s">
        <v>87</v>
      </c>
      <c r="AL5" s="68" t="s">
        <v>87</v>
      </c>
      <c r="AM5" s="67" t="s">
        <v>29</v>
      </c>
      <c r="AN5" s="218" t="s">
        <v>30</v>
      </c>
    </row>
    <row r="6" s="520" customFormat="true" ht="12.95" hidden="false" customHeight="true" outlineLevel="0" collapsed="false">
      <c r="A6" s="468" t="s">
        <v>124</v>
      </c>
      <c r="B6" s="464" t="s">
        <v>32</v>
      </c>
      <c r="C6" s="229" t="s">
        <v>9</v>
      </c>
      <c r="D6" s="233" t="s">
        <v>33</v>
      </c>
      <c r="E6" s="229" t="s">
        <v>34</v>
      </c>
      <c r="F6" s="518" t="s">
        <v>35</v>
      </c>
      <c r="G6" s="233" t="s">
        <v>36</v>
      </c>
      <c r="H6" s="235" t="s">
        <v>37</v>
      </c>
      <c r="I6" s="233" t="s">
        <v>38</v>
      </c>
      <c r="J6" s="233" t="s">
        <v>38</v>
      </c>
      <c r="K6" s="233" t="s">
        <v>38</v>
      </c>
      <c r="L6" s="233" t="s">
        <v>39</v>
      </c>
      <c r="M6" s="469" t="s">
        <v>40</v>
      </c>
      <c r="N6" s="233" t="s">
        <v>41</v>
      </c>
      <c r="O6" s="233" t="s">
        <v>42</v>
      </c>
      <c r="P6" s="233" t="s">
        <v>43</v>
      </c>
      <c r="Q6" s="233" t="s">
        <v>44</v>
      </c>
      <c r="R6" s="234" t="s">
        <v>45</v>
      </c>
      <c r="S6" s="420" t="s">
        <v>46</v>
      </c>
      <c r="T6" s="420" t="s">
        <v>47</v>
      </c>
      <c r="U6" s="420" t="s">
        <v>20</v>
      </c>
      <c r="V6" s="79" t="s">
        <v>57</v>
      </c>
      <c r="W6" s="229" t="s">
        <v>49</v>
      </c>
      <c r="X6" s="420" t="s">
        <v>50</v>
      </c>
      <c r="Y6" s="221"/>
      <c r="Z6" s="222"/>
      <c r="AA6" s="420" t="s">
        <v>53</v>
      </c>
      <c r="AB6" s="229" t="s">
        <v>54</v>
      </c>
      <c r="AC6" s="233" t="s">
        <v>55</v>
      </c>
      <c r="AD6" s="233" t="s">
        <v>55</v>
      </c>
      <c r="AE6" s="233" t="s">
        <v>55</v>
      </c>
      <c r="AF6" s="521"/>
      <c r="AG6" s="224" t="s">
        <v>56</v>
      </c>
      <c r="AH6" s="351" t="s">
        <v>56</v>
      </c>
      <c r="AI6" s="67" t="s">
        <v>57</v>
      </c>
      <c r="AJ6" s="67" t="s">
        <v>58</v>
      </c>
      <c r="AK6" s="68" t="s">
        <v>59</v>
      </c>
      <c r="AL6" s="68" t="s">
        <v>59</v>
      </c>
      <c r="AM6" s="67" t="s">
        <v>60</v>
      </c>
      <c r="AN6" s="218" t="s">
        <v>61</v>
      </c>
    </row>
    <row r="7" s="520" customFormat="true" ht="12.95" hidden="false" customHeight="true" outlineLevel="0" collapsed="false">
      <c r="A7" s="233"/>
      <c r="B7" s="464"/>
      <c r="C7" s="229"/>
      <c r="D7" s="233"/>
      <c r="E7" s="229" t="s">
        <v>62</v>
      </c>
      <c r="F7" s="518"/>
      <c r="G7" s="233"/>
      <c r="H7" s="235"/>
      <c r="I7" s="233"/>
      <c r="J7" s="233"/>
      <c r="K7" s="233"/>
      <c r="L7" s="233"/>
      <c r="M7" s="469"/>
      <c r="N7" s="233" t="s">
        <v>63</v>
      </c>
      <c r="O7" s="233" t="s">
        <v>64</v>
      </c>
      <c r="P7" s="233"/>
      <c r="Q7" s="233"/>
      <c r="R7" s="234" t="s">
        <v>42</v>
      </c>
      <c r="S7" s="420"/>
      <c r="T7" s="420"/>
      <c r="U7" s="420"/>
      <c r="V7" s="79"/>
      <c r="W7" s="79" t="s">
        <v>91</v>
      </c>
      <c r="X7" s="420"/>
      <c r="Y7" s="232"/>
      <c r="Z7" s="236"/>
      <c r="AA7" s="420"/>
      <c r="AB7" s="79"/>
      <c r="AC7" s="420"/>
      <c r="AD7" s="420"/>
      <c r="AE7" s="420"/>
      <c r="AF7" s="521"/>
      <c r="AG7" s="224"/>
      <c r="AH7" s="351"/>
      <c r="AI7" s="67" t="s">
        <v>62</v>
      </c>
      <c r="AJ7" s="67" t="s">
        <v>66</v>
      </c>
      <c r="AK7" s="68" t="s">
        <v>105</v>
      </c>
      <c r="AL7" s="68" t="s">
        <v>92</v>
      </c>
      <c r="AM7" s="67" t="s">
        <v>69</v>
      </c>
      <c r="AN7" s="218" t="s">
        <v>70</v>
      </c>
    </row>
    <row r="8" s="520" customFormat="true" ht="12.95" hidden="false" customHeight="true" outlineLevel="0" collapsed="false">
      <c r="A8" s="233"/>
      <c r="B8" s="464"/>
      <c r="C8" s="229"/>
      <c r="D8" s="233"/>
      <c r="E8" s="229"/>
      <c r="F8" s="518"/>
      <c r="G8" s="233"/>
      <c r="H8" s="235"/>
      <c r="I8" s="233"/>
      <c r="J8" s="233"/>
      <c r="K8" s="233"/>
      <c r="L8" s="233"/>
      <c r="M8" s="469"/>
      <c r="N8" s="239" t="n">
        <v>1.03</v>
      </c>
      <c r="O8" s="239" t="n">
        <v>1.05</v>
      </c>
      <c r="P8" s="239" t="n">
        <v>1.02</v>
      </c>
      <c r="Q8" s="239" t="n">
        <v>1.04</v>
      </c>
      <c r="R8" s="234" t="s">
        <v>52</v>
      </c>
      <c r="S8" s="233"/>
      <c r="T8" s="233"/>
      <c r="U8" s="233"/>
      <c r="V8" s="229"/>
      <c r="W8" s="229" t="s">
        <v>71</v>
      </c>
      <c r="X8" s="233"/>
      <c r="Y8" s="232"/>
      <c r="Z8" s="236"/>
      <c r="AA8" s="233"/>
      <c r="AB8" s="229"/>
      <c r="AC8" s="233"/>
      <c r="AD8" s="233"/>
      <c r="AE8" s="233"/>
      <c r="AF8" s="521"/>
      <c r="AG8" s="224"/>
      <c r="AH8" s="351"/>
      <c r="AI8" s="67"/>
      <c r="AJ8" s="67"/>
      <c r="AK8" s="68"/>
      <c r="AL8" s="68" t="s">
        <v>66</v>
      </c>
      <c r="AM8" s="522"/>
    </row>
    <row r="9" customFormat="false" ht="12.95" hidden="false" customHeight="true" outlineLevel="0" collapsed="false">
      <c r="A9" s="173" t="s">
        <v>73</v>
      </c>
      <c r="B9" s="241"/>
      <c r="C9" s="242"/>
      <c r="D9" s="242"/>
      <c r="E9" s="242"/>
      <c r="F9" s="243" t="n">
        <f aca="false">SEP!F46</f>
        <v>30853.5417191833</v>
      </c>
      <c r="G9" s="242" t="n">
        <f aca="false">SEP!G46</f>
        <v>175648</v>
      </c>
      <c r="H9" s="648" t="n">
        <f aca="false">SEP!H46</f>
        <v>12716.28</v>
      </c>
      <c r="I9" s="242" t="n">
        <f aca="false">SEP!I46</f>
        <v>188364.28</v>
      </c>
      <c r="J9" s="242" t="n">
        <f aca="false">SEP!J46</f>
        <v>37653.0125863373</v>
      </c>
      <c r="K9" s="242" t="n">
        <f aca="false">SEP!K46</f>
        <v>226017.292586337</v>
      </c>
      <c r="L9" s="242" t="n">
        <f aca="false">SEP!L46</f>
        <v>34956.6317191833</v>
      </c>
      <c r="M9" s="245" t="n">
        <f aca="false">SEP!M46</f>
        <v>36893.5</v>
      </c>
      <c r="N9" s="242" t="n">
        <f aca="false">SEP!N46</f>
        <v>330.939</v>
      </c>
      <c r="O9" s="242" t="n">
        <f aca="false">SEP!O46</f>
        <v>11854.719</v>
      </c>
      <c r="P9" s="242"/>
      <c r="Q9" s="242"/>
      <c r="R9" s="246"/>
      <c r="S9" s="242" t="n">
        <f aca="false">SEP!S46</f>
        <v>19445.25</v>
      </c>
      <c r="T9" s="242" t="n">
        <f aca="false">SEP!T46</f>
        <v>10635.3</v>
      </c>
      <c r="U9" s="242" t="n">
        <f aca="false">SEP!U46</f>
        <v>52880.6104</v>
      </c>
      <c r="V9" s="242" t="n">
        <f aca="false">SEP!V46</f>
        <v>0</v>
      </c>
      <c r="W9" s="242" t="n">
        <f aca="false">SEP!W41</f>
        <v>2140.53585701536</v>
      </c>
      <c r="X9" s="242" t="n">
        <f aca="false">SEP!X46</f>
        <v>21612.8</v>
      </c>
      <c r="Y9" s="242" t="n">
        <f aca="false">SEP!Y46</f>
        <v>311.1</v>
      </c>
      <c r="Z9" s="242" t="n">
        <f aca="false">SEP!Z46</f>
        <v>237.9</v>
      </c>
      <c r="AA9" s="242"/>
      <c r="AB9" s="242"/>
      <c r="AC9" s="242" t="n">
        <f aca="false">SEP!AC46</f>
        <v>192467.37</v>
      </c>
      <c r="AD9" s="242" t="n">
        <f aca="false">SEP!AD46</f>
        <v>2696.38086715402</v>
      </c>
      <c r="AE9" s="242" t="n">
        <f aca="false">SEP!AE46</f>
        <v>195163.750867154</v>
      </c>
      <c r="AF9" s="380"/>
      <c r="AG9" s="244"/>
      <c r="AH9" s="249"/>
      <c r="AI9" s="244"/>
      <c r="AJ9" s="244"/>
      <c r="AK9" s="247"/>
      <c r="AL9" s="367" t="n">
        <f aca="false">SEP!AL47</f>
        <v>501.518387522501</v>
      </c>
      <c r="AM9" s="244" t="n">
        <f aca="false">SEP!AM46</f>
        <v>876.99</v>
      </c>
      <c r="AN9" s="244" t="n">
        <f aca="false">SEP!AN46</f>
        <v>303.01</v>
      </c>
    </row>
    <row r="10" s="157" customFormat="true" ht="12.95" hidden="false" customHeight="true" outlineLevel="0" collapsed="false">
      <c r="A10" s="251" t="s">
        <v>74</v>
      </c>
      <c r="B10" s="252" t="n">
        <f aca="false">SEP!B41</f>
        <v>6904.64</v>
      </c>
      <c r="C10" s="242" t="n">
        <f aca="false">SEP!C41</f>
        <v>301019</v>
      </c>
      <c r="D10" s="242" t="n">
        <f aca="false">SEP!D50</f>
        <v>93773</v>
      </c>
      <c r="E10" s="242" t="n">
        <f aca="false">SEP!E50</f>
        <v>149041</v>
      </c>
      <c r="F10" s="243" t="n">
        <f aca="false">SEP!F49</f>
        <v>47276.5313839173</v>
      </c>
      <c r="G10" s="242" t="n">
        <f aca="false">SEP!G49</f>
        <v>192106</v>
      </c>
      <c r="H10" s="648" t="n">
        <f aca="false">SEP!H49</f>
        <v>15105.82</v>
      </c>
      <c r="I10" s="242" t="n">
        <f aca="false">SEP!I49</f>
        <v>207211.82</v>
      </c>
      <c r="J10" s="242" t="n">
        <f aca="false">SEP!J49</f>
        <v>48114.5176909504</v>
      </c>
      <c r="K10" s="242" t="n">
        <f aca="false">SEP!K49</f>
        <v>255326.33769095</v>
      </c>
      <c r="L10" s="242" t="n">
        <f aca="false">SEP!L49</f>
        <v>44872.8813839173</v>
      </c>
      <c r="M10" s="245" t="n">
        <f aca="false">SEP!M49</f>
        <v>37689.5</v>
      </c>
      <c r="N10" s="242" t="n">
        <f aca="false">SEP!N49</f>
        <v>330.939</v>
      </c>
      <c r="O10" s="242" t="n">
        <f aca="false">SEP!O49</f>
        <v>11854.719</v>
      </c>
      <c r="P10" s="242" t="n">
        <f aca="false">SEP!P49</f>
        <v>610.4764</v>
      </c>
      <c r="Q10" s="244" t="n">
        <f aca="false">SEP!Q49</f>
        <v>1096.5988</v>
      </c>
      <c r="R10" s="246" t="n">
        <f aca="false">SEP!R49</f>
        <v>472.87</v>
      </c>
      <c r="S10" s="242" t="n">
        <f aca="false">SEP!S49</f>
        <v>26914.25</v>
      </c>
      <c r="T10" s="242" t="n">
        <f aca="false">SEP!T49</f>
        <v>10669.1</v>
      </c>
      <c r="U10" s="242" t="n">
        <f aca="false">SEP!U49</f>
        <v>60595.7668</v>
      </c>
      <c r="V10" s="242"/>
      <c r="W10" s="242" t="n">
        <f aca="false">SEP!W49</f>
        <v>0</v>
      </c>
      <c r="X10" s="242" t="n">
        <f aca="false">SEP!X49</f>
        <v>0</v>
      </c>
      <c r="Y10" s="245"/>
      <c r="Z10" s="246"/>
      <c r="AA10" s="242" t="n">
        <f aca="false">SEP!AA49</f>
        <v>108234</v>
      </c>
      <c r="AB10" s="242" t="n">
        <f aca="false">SEP!AB49</f>
        <v>7740.43307285102</v>
      </c>
      <c r="AC10" s="242" t="n">
        <f aca="false">SEP!AC49</f>
        <v>204808.17</v>
      </c>
      <c r="AD10" s="242" t="n">
        <f aca="false">SEP!AD49</f>
        <v>3241.63630703302</v>
      </c>
      <c r="AE10" s="242" t="n">
        <f aca="false">SEP!AE49</f>
        <v>208049.806307033</v>
      </c>
      <c r="AF10" s="380" t="n">
        <f aca="false">SEP!AF49</f>
        <v>19.76</v>
      </c>
      <c r="AG10" s="244"/>
      <c r="AH10" s="249"/>
      <c r="AI10" s="244" t="n">
        <f aca="false">SEP!AI50</f>
        <v>16467.3080282</v>
      </c>
      <c r="AJ10" s="244" t="n">
        <f aca="false">SEP!AJ49</f>
        <v>0</v>
      </c>
      <c r="AK10" s="247"/>
      <c r="AL10" s="367" t="n">
        <f aca="false">SEP!AL50</f>
        <v>501.518387522501</v>
      </c>
      <c r="AM10" s="244" t="n">
        <f aca="false">SEP!AM49</f>
        <v>0</v>
      </c>
      <c r="AN10" s="244" t="n">
        <f aca="false">SEP!AN49</f>
        <v>0</v>
      </c>
    </row>
    <row r="11" customFormat="false" ht="3" hidden="false" customHeight="true" outlineLevel="0" collapsed="false">
      <c r="A11" s="254"/>
      <c r="B11" s="255"/>
      <c r="C11" s="256"/>
      <c r="D11" s="257"/>
      <c r="E11" s="256"/>
      <c r="F11" s="258"/>
      <c r="G11" s="257"/>
      <c r="H11" s="649"/>
      <c r="I11" s="257"/>
      <c r="J11" s="257"/>
      <c r="K11" s="257"/>
      <c r="L11" s="257"/>
      <c r="M11" s="260"/>
      <c r="N11" s="257"/>
      <c r="O11" s="257"/>
      <c r="P11" s="257"/>
      <c r="Q11" s="257"/>
      <c r="R11" s="261"/>
      <c r="S11" s="257"/>
      <c r="T11" s="257"/>
      <c r="U11" s="257"/>
      <c r="V11" s="256"/>
      <c r="W11" s="256"/>
      <c r="X11" s="257"/>
      <c r="Y11" s="260"/>
      <c r="Z11" s="261"/>
      <c r="AA11" s="257"/>
      <c r="AB11" s="256"/>
      <c r="AC11" s="257"/>
      <c r="AD11" s="257"/>
      <c r="AE11" s="257"/>
      <c r="AF11" s="524"/>
      <c r="AG11" s="264"/>
      <c r="AH11" s="265"/>
      <c r="AI11" s="264"/>
      <c r="AJ11" s="264"/>
      <c r="AK11" s="262"/>
      <c r="AL11" s="472"/>
      <c r="AM11" s="472"/>
      <c r="AN11" s="472"/>
    </row>
    <row r="12" customFormat="false" ht="12.95" hidden="false" customHeight="true" outlineLevel="0" collapsed="false">
      <c r="A12" s="172" t="n">
        <v>1</v>
      </c>
      <c r="B12" s="252" t="n">
        <v>6904.64</v>
      </c>
      <c r="C12" s="242" t="n">
        <v>301019</v>
      </c>
      <c r="D12" s="244" t="n">
        <f aca="false">C12-C10</f>
        <v>0</v>
      </c>
      <c r="E12" s="242" t="n">
        <f aca="false">C12-152000</f>
        <v>149019</v>
      </c>
      <c r="F12" s="266" t="n">
        <f aca="false">D12/$D$2</f>
        <v>0</v>
      </c>
      <c r="G12" s="267" t="n">
        <v>157</v>
      </c>
      <c r="H12" s="650" t="n">
        <v>0</v>
      </c>
      <c r="I12" s="267" t="n">
        <f aca="false">G12+H12</f>
        <v>157</v>
      </c>
      <c r="J12" s="247" t="n">
        <f aca="false">IF(L12&gt;0,L12,0)</f>
        <v>0</v>
      </c>
      <c r="K12" s="267" t="n">
        <f aca="false">I12+J12</f>
        <v>157</v>
      </c>
      <c r="L12" s="267" t="n">
        <f aca="false">F12-(I12-AC12)</f>
        <v>-15</v>
      </c>
      <c r="M12" s="269" t="n">
        <v>57</v>
      </c>
      <c r="N12" s="631" t="n">
        <f aca="false">2.1*1.03</f>
        <v>2.163</v>
      </c>
      <c r="O12" s="267" t="n">
        <f aca="false">(0.89+0.83)*1.05</f>
        <v>1.806</v>
      </c>
      <c r="P12" s="389" t="n">
        <f aca="false">1.51*1.02</f>
        <v>1.5402</v>
      </c>
      <c r="Q12" s="125" t="n">
        <f aca="false">3.44*1.04</f>
        <v>3.5776</v>
      </c>
      <c r="R12" s="132" t="n">
        <v>0</v>
      </c>
      <c r="S12" s="267" t="n">
        <v>30</v>
      </c>
      <c r="T12" s="267" t="n">
        <v>13</v>
      </c>
      <c r="U12" s="267" t="n">
        <f aca="false">M12-N12-O12-P12-Q12-R12+S12+T12</f>
        <v>90.9132</v>
      </c>
      <c r="V12" s="242" t="n">
        <v>0</v>
      </c>
      <c r="W12" s="607" t="n">
        <f aca="false">W9+AK12-(AL12/1.9835)+AM12</f>
        <v>2140.24857339957</v>
      </c>
      <c r="X12" s="267" t="n">
        <v>0</v>
      </c>
      <c r="Y12" s="128" t="n">
        <v>1.7</v>
      </c>
      <c r="Z12" s="129" t="n">
        <v>1.3</v>
      </c>
      <c r="AA12" s="267" t="n">
        <v>42</v>
      </c>
      <c r="AB12" s="242" t="n">
        <f aca="false">AB10-AA12</f>
        <v>7698.43307285102</v>
      </c>
      <c r="AC12" s="634" t="n">
        <f aca="false">N12+O12+P12+Q12+R12+U12+X12+AA12</f>
        <v>142</v>
      </c>
      <c r="AD12" s="267" t="n">
        <f aca="false">IF(L12&lt;0,L12*-1,0)</f>
        <v>15</v>
      </c>
      <c r="AE12" s="267" t="n">
        <f aca="false">AC12+AD12</f>
        <v>157</v>
      </c>
      <c r="AF12" s="380" t="n">
        <v>0</v>
      </c>
      <c r="AG12" s="244" t="n">
        <v>72</v>
      </c>
      <c r="AH12" s="249" t="n">
        <v>44</v>
      </c>
      <c r="AI12" s="244" t="n">
        <f aca="false">AI10</f>
        <v>16467.3080282</v>
      </c>
      <c r="AJ12" s="244"/>
      <c r="AK12" s="247" t="n">
        <v>0</v>
      </c>
      <c r="AL12" s="367" t="n">
        <f aca="false">20*(V9*1.9835+W9*1.9835)/E12</f>
        <v>0.569827051904785</v>
      </c>
      <c r="AM12" s="242"/>
    </row>
    <row r="13" customFormat="false" ht="12.95" hidden="false" customHeight="true" outlineLevel="0" collapsed="false">
      <c r="A13" s="172" t="n">
        <f aca="false">A12+1</f>
        <v>2</v>
      </c>
      <c r="B13" s="252" t="n">
        <v>6904.61</v>
      </c>
      <c r="C13" s="242" t="n">
        <v>300904</v>
      </c>
      <c r="D13" s="244" t="n">
        <f aca="false">C13-C12</f>
        <v>-115</v>
      </c>
      <c r="E13" s="242" t="n">
        <f aca="false">C13-152000</f>
        <v>148904</v>
      </c>
      <c r="F13" s="266" t="n">
        <f aca="false">D13/$D$2</f>
        <v>-57.9783211494832</v>
      </c>
      <c r="G13" s="267" t="n">
        <v>143</v>
      </c>
      <c r="H13" s="650" t="n">
        <v>0</v>
      </c>
      <c r="I13" s="267" t="n">
        <f aca="false">G13+H13</f>
        <v>143</v>
      </c>
      <c r="J13" s="247" t="n">
        <f aca="false">IF(L13&gt;0,L13,0)</f>
        <v>0</v>
      </c>
      <c r="K13" s="267" t="n">
        <f aca="false">I13+J13</f>
        <v>143</v>
      </c>
      <c r="L13" s="267" t="n">
        <f aca="false">F13-(I13-AC13)</f>
        <v>-36.9783211494832</v>
      </c>
      <c r="M13" s="269" t="n">
        <v>61</v>
      </c>
      <c r="N13" s="631" t="n">
        <f aca="false">2.1*1.03</f>
        <v>2.163</v>
      </c>
      <c r="O13" s="267" t="n">
        <f aca="false">(2.2+3.6)*1.05</f>
        <v>6.09</v>
      </c>
      <c r="P13" s="389" t="n">
        <f aca="false">1.51*1.02</f>
        <v>1.5402</v>
      </c>
      <c r="Q13" s="125" t="n">
        <f aca="false">2.67*1.04</f>
        <v>2.7768</v>
      </c>
      <c r="R13" s="132" t="n">
        <v>0</v>
      </c>
      <c r="S13" s="267" t="n">
        <v>42</v>
      </c>
      <c r="T13" s="267" t="n">
        <v>19</v>
      </c>
      <c r="U13" s="267" t="n">
        <f aca="false">M13-N13-O13-P13-Q13-R13+S13+T13</f>
        <v>109.43</v>
      </c>
      <c r="V13" s="242" t="n">
        <v>0</v>
      </c>
      <c r="W13" s="607" t="n">
        <f aca="false">W12+AK13-(AL13/1.9835)+AM13</f>
        <v>2139.96110649829</v>
      </c>
      <c r="X13" s="267" t="n">
        <v>0</v>
      </c>
      <c r="Y13" s="128" t="n">
        <v>1.7</v>
      </c>
      <c r="Z13" s="129" t="n">
        <v>1.3</v>
      </c>
      <c r="AA13" s="267" t="n">
        <v>42</v>
      </c>
      <c r="AB13" s="242" t="n">
        <f aca="false">AB12-AA13</f>
        <v>7656.43307285102</v>
      </c>
      <c r="AC13" s="634" t="n">
        <f aca="false">N13+O13+P13+Q13+R13+U13+X13+AA13</f>
        <v>164</v>
      </c>
      <c r="AD13" s="267" t="n">
        <f aca="false">IF(L13&lt;0,L13*-1,0)</f>
        <v>36.9783211494832</v>
      </c>
      <c r="AE13" s="267" t="n">
        <f aca="false">AC13+AD13</f>
        <v>200.978321149483</v>
      </c>
      <c r="AF13" s="380" t="n">
        <v>0</v>
      </c>
      <c r="AG13" s="244" t="n">
        <v>72</v>
      </c>
      <c r="AH13" s="249" t="n">
        <v>44</v>
      </c>
      <c r="AI13" s="244" t="n">
        <f aca="false">AI12</f>
        <v>16467.3080282</v>
      </c>
      <c r="AJ13" s="244"/>
      <c r="AK13" s="247" t="n">
        <v>0</v>
      </c>
      <c r="AL13" s="367" t="n">
        <f aca="false">20*(V12*1.9835+W12*1.9835)/E13</f>
        <v>0.57019059868614</v>
      </c>
      <c r="AM13" s="242"/>
    </row>
    <row r="14" customFormat="false" ht="12.95" hidden="false" customHeight="true" outlineLevel="0" collapsed="false">
      <c r="A14" s="172" t="n">
        <f aca="false">A13+1</f>
        <v>3</v>
      </c>
      <c r="B14" s="252" t="n">
        <v>6904.54</v>
      </c>
      <c r="C14" s="242" t="n">
        <v>300636</v>
      </c>
      <c r="D14" s="244" t="n">
        <f aca="false">C14-C13</f>
        <v>-268</v>
      </c>
      <c r="E14" s="242" t="n">
        <f aca="false">C14-152000</f>
        <v>148636</v>
      </c>
      <c r="F14" s="266" t="n">
        <f aca="false">D14/$D$2</f>
        <v>-135.114696244013</v>
      </c>
      <c r="G14" s="267" t="n">
        <v>128</v>
      </c>
      <c r="H14" s="650" t="n">
        <v>0</v>
      </c>
      <c r="I14" s="267" t="n">
        <f aca="false">G14+H14</f>
        <v>128</v>
      </c>
      <c r="J14" s="247" t="n">
        <f aca="false">IF(L14&gt;0,L14,0)</f>
        <v>0</v>
      </c>
      <c r="K14" s="267" t="n">
        <f aca="false">I14+J14</f>
        <v>128</v>
      </c>
      <c r="L14" s="267" t="n">
        <f aca="false">F14-(I14-AC14)</f>
        <v>-58.1146962440131</v>
      </c>
      <c r="M14" s="269" t="n">
        <v>88</v>
      </c>
      <c r="N14" s="631" t="n">
        <f aca="false">2.1*1.03</f>
        <v>2.163</v>
      </c>
      <c r="O14" s="267" t="n">
        <f aca="false">(6.5+7.4)*1.05</f>
        <v>14.595</v>
      </c>
      <c r="P14" s="389" t="n">
        <f aca="false">1.51*1.02</f>
        <v>1.5402</v>
      </c>
      <c r="Q14" s="125" t="n">
        <v>4.2</v>
      </c>
      <c r="R14" s="132" t="n">
        <v>1.94</v>
      </c>
      <c r="S14" s="267" t="n">
        <v>53</v>
      </c>
      <c r="T14" s="267" t="n">
        <v>22</v>
      </c>
      <c r="U14" s="267" t="n">
        <f aca="false">M14-N14-O14-P14-Q14-R14+S14+T14</f>
        <v>138.5618</v>
      </c>
      <c r="V14" s="242" t="n">
        <v>0</v>
      </c>
      <c r="W14" s="607" t="n">
        <f aca="false">W13+AK14-(AL14/1.9835)+AM14</f>
        <v>2139.67315995688</v>
      </c>
      <c r="X14" s="267" t="n">
        <v>0</v>
      </c>
      <c r="Y14" s="128" t="n">
        <v>1.7</v>
      </c>
      <c r="Z14" s="129" t="n">
        <v>1.3</v>
      </c>
      <c r="AA14" s="267" t="n">
        <v>42</v>
      </c>
      <c r="AB14" s="242" t="n">
        <f aca="false">AB13-AA14</f>
        <v>7614.43307285102</v>
      </c>
      <c r="AC14" s="634" t="n">
        <f aca="false">N14+O14+P14+Q14+R14+U14+X14+AA14</f>
        <v>205</v>
      </c>
      <c r="AD14" s="267" t="n">
        <f aca="false">IF(L14&lt;0,L14*-1,0)</f>
        <v>58.1146962440131</v>
      </c>
      <c r="AE14" s="267" t="n">
        <f aca="false">AC14+AD14</f>
        <v>263.114696244013</v>
      </c>
      <c r="AF14" s="380" t="n">
        <v>0</v>
      </c>
      <c r="AG14" s="244" t="n">
        <v>75</v>
      </c>
      <c r="AH14" s="249" t="n">
        <v>52</v>
      </c>
      <c r="AI14" s="244" t="n">
        <f aca="false">AI13</f>
        <v>16467.3080282</v>
      </c>
      <c r="AJ14" s="244"/>
      <c r="AK14" s="247" t="n">
        <v>0</v>
      </c>
      <c r="AL14" s="367" t="n">
        <f aca="false">20*(V13*1.9835+W13*1.9835)/E14</f>
        <v>0.571141964899401</v>
      </c>
      <c r="AM14" s="242"/>
    </row>
    <row r="15" customFormat="false" ht="12.95" hidden="false" customHeight="true" outlineLevel="0" collapsed="false">
      <c r="A15" s="172" t="n">
        <f aca="false">A14+1</f>
        <v>4</v>
      </c>
      <c r="B15" s="252" t="n">
        <v>6904.56</v>
      </c>
      <c r="C15" s="242" t="n">
        <v>300713</v>
      </c>
      <c r="D15" s="244" t="n">
        <f aca="false">C15-C14</f>
        <v>77</v>
      </c>
      <c r="E15" s="242" t="n">
        <f aca="false">C15-152000</f>
        <v>148713</v>
      </c>
      <c r="F15" s="266" t="n">
        <f aca="false">D15/$D$2</f>
        <v>38.8202672044366</v>
      </c>
      <c r="G15" s="267" t="n">
        <v>122</v>
      </c>
      <c r="H15" s="650" t="n">
        <v>0</v>
      </c>
      <c r="I15" s="267" t="n">
        <f aca="false">G15+H15</f>
        <v>122</v>
      </c>
      <c r="J15" s="247" t="n">
        <f aca="false">IF(L15&gt;0,L15,0)</f>
        <v>124.820267204437</v>
      </c>
      <c r="K15" s="267" t="n">
        <f aca="false">I15+J15</f>
        <v>246.820267204437</v>
      </c>
      <c r="L15" s="267" t="n">
        <f aca="false">F15-(I15-AC15)</f>
        <v>124.820267204437</v>
      </c>
      <c r="M15" s="269" t="n">
        <v>85</v>
      </c>
      <c r="N15" s="631" t="n">
        <f aca="false">2.1*1.03</f>
        <v>2.163</v>
      </c>
      <c r="O15" s="267" t="n">
        <f aca="false">(14+13)*1.05</f>
        <v>28.35</v>
      </c>
      <c r="P15" s="389" t="n">
        <f aca="false">1.51*1.02</f>
        <v>1.5402</v>
      </c>
      <c r="Q15" s="125" t="n">
        <v>4.2</v>
      </c>
      <c r="R15" s="132" t="n">
        <v>0.47</v>
      </c>
      <c r="S15" s="267" t="n">
        <v>57</v>
      </c>
      <c r="T15" s="267" t="n">
        <v>23</v>
      </c>
      <c r="U15" s="267" t="n">
        <f aca="false">M15-N15-O15-P15-Q15-R15+S15+T15</f>
        <v>128.2768</v>
      </c>
      <c r="V15" s="242" t="n">
        <v>0</v>
      </c>
      <c r="W15" s="607" t="n">
        <f aca="false">W14+AK15-(AL15/1.9835)+AM15</f>
        <v>2139.38540123236</v>
      </c>
      <c r="X15" s="267" t="n">
        <v>0</v>
      </c>
      <c r="Y15" s="128" t="n">
        <v>1.7</v>
      </c>
      <c r="Z15" s="129" t="n">
        <v>1.3</v>
      </c>
      <c r="AA15" s="267" t="n">
        <v>43</v>
      </c>
      <c r="AB15" s="242" t="n">
        <f aca="false">AB14-AA15</f>
        <v>7571.43307285102</v>
      </c>
      <c r="AC15" s="634" t="n">
        <f aca="false">N15+O15+P15+Q15+R15+U15+X15+AA15</f>
        <v>208</v>
      </c>
      <c r="AD15" s="267" t="n">
        <f aca="false">IF(L15&lt;0,L15*-1,0)</f>
        <v>0</v>
      </c>
      <c r="AE15" s="267" t="n">
        <f aca="false">AC15+AD15</f>
        <v>208</v>
      </c>
      <c r="AF15" s="380" t="n">
        <v>0.24</v>
      </c>
      <c r="AG15" s="244" t="n">
        <v>69</v>
      </c>
      <c r="AH15" s="249" t="n">
        <v>40</v>
      </c>
      <c r="AI15" s="244" t="n">
        <f aca="false">AI14</f>
        <v>16467.3080282</v>
      </c>
      <c r="AJ15" s="244"/>
      <c r="AK15" s="247" t="n">
        <v>0</v>
      </c>
      <c r="AL15" s="367" t="n">
        <f aca="false">20*(V14*1.9835+W14*1.9835)/E15</f>
        <v>0.570769430080015</v>
      </c>
      <c r="AM15" s="242"/>
    </row>
    <row r="16" customFormat="false" ht="12.95" hidden="false" customHeight="true" outlineLevel="0" collapsed="false">
      <c r="A16" s="172" t="n">
        <f aca="false">A15+1</f>
        <v>5</v>
      </c>
      <c r="B16" s="252" t="n">
        <v>6904.49</v>
      </c>
      <c r="C16" s="242" t="n">
        <v>300445</v>
      </c>
      <c r="D16" s="244" t="n">
        <f aca="false">C16-C15</f>
        <v>-268</v>
      </c>
      <c r="E16" s="242" t="n">
        <f aca="false">C16-152000</f>
        <v>148445</v>
      </c>
      <c r="F16" s="266" t="n">
        <f aca="false">D16/$D$2</f>
        <v>-135.114696244013</v>
      </c>
      <c r="G16" s="267" t="n">
        <v>149</v>
      </c>
      <c r="H16" s="650" t="n">
        <v>0</v>
      </c>
      <c r="I16" s="267" t="n">
        <f aca="false">G16+H16</f>
        <v>149</v>
      </c>
      <c r="J16" s="247" t="n">
        <f aca="false">IF(L16&gt;0,L16,0)</f>
        <v>0</v>
      </c>
      <c r="K16" s="267" t="n">
        <f aca="false">I16+J16</f>
        <v>149</v>
      </c>
      <c r="L16" s="267" t="n">
        <f aca="false">F16-(I16-AC16)</f>
        <v>-63.1146962440131</v>
      </c>
      <c r="M16" s="269" t="n">
        <v>97</v>
      </c>
      <c r="N16" s="631" t="n">
        <f aca="false">2.1*1.03</f>
        <v>2.163</v>
      </c>
      <c r="O16" s="267" t="n">
        <f aca="false">(15+16)*1.05</f>
        <v>32.55</v>
      </c>
      <c r="P16" s="389" t="n">
        <f aca="false">1.51*1.02</f>
        <v>1.5402</v>
      </c>
      <c r="Q16" s="125" t="n">
        <f aca="false">4.04*1.04</f>
        <v>4.2016</v>
      </c>
      <c r="R16" s="132" t="n">
        <v>0</v>
      </c>
      <c r="S16" s="267" t="n">
        <v>57</v>
      </c>
      <c r="T16" s="267" t="n">
        <v>22</v>
      </c>
      <c r="U16" s="267" t="n">
        <f aca="false">M16-N16-O16-P16-Q16-R16+S16+T16</f>
        <v>135.5452</v>
      </c>
      <c r="V16" s="242" t="n">
        <v>0</v>
      </c>
      <c r="W16" s="607" t="n">
        <f aca="false">W15+AK16-(AL16/1.9835)+AM16</f>
        <v>2139.09716176303</v>
      </c>
      <c r="X16" s="267" t="n">
        <v>0</v>
      </c>
      <c r="Y16" s="128" t="n">
        <v>1.7</v>
      </c>
      <c r="Z16" s="129" t="n">
        <v>1.3</v>
      </c>
      <c r="AA16" s="267" t="n">
        <v>45</v>
      </c>
      <c r="AB16" s="242" t="n">
        <f aca="false">AB15-AA16</f>
        <v>7526.43307285102</v>
      </c>
      <c r="AC16" s="634" t="n">
        <f aca="false">N16+O16+P16+Q16+R16+U16+X16+AA16</f>
        <v>221</v>
      </c>
      <c r="AD16" s="267" t="n">
        <f aca="false">IF(L16&lt;0,L16*-1,0)</f>
        <v>63.1146962440131</v>
      </c>
      <c r="AE16" s="267" t="n">
        <f aca="false">AC16+AD16</f>
        <v>284.114696244013</v>
      </c>
      <c r="AF16" s="380" t="n">
        <v>0</v>
      </c>
      <c r="AG16" s="244" t="n">
        <v>61</v>
      </c>
      <c r="AH16" s="249" t="n">
        <v>30</v>
      </c>
      <c r="AI16" s="244" t="n">
        <f aca="false">AI15</f>
        <v>16467.3080282</v>
      </c>
      <c r="AJ16" s="244"/>
      <c r="AK16" s="247" t="n">
        <v>0</v>
      </c>
      <c r="AL16" s="367" t="n">
        <f aca="false">20*(V15*1.9835+W15*1.9835)/E16</f>
        <v>0.571722987415459</v>
      </c>
      <c r="AM16" s="242"/>
    </row>
    <row r="17" customFormat="false" ht="12.95" hidden="false" customHeight="true" outlineLevel="0" collapsed="false">
      <c r="A17" s="172" t="n">
        <f aca="false">A16+1</f>
        <v>6</v>
      </c>
      <c r="B17" s="252" t="n">
        <v>6904.41</v>
      </c>
      <c r="C17" s="242" t="n">
        <v>300139</v>
      </c>
      <c r="D17" s="244" t="n">
        <f aca="false">C17-C16</f>
        <v>-306</v>
      </c>
      <c r="E17" s="242" t="n">
        <f aca="false">C17-152000</f>
        <v>148139</v>
      </c>
      <c r="F17" s="266" t="n">
        <f aca="false">D17/$D$2</f>
        <v>-154.27275018906</v>
      </c>
      <c r="G17" s="267" t="n">
        <v>134</v>
      </c>
      <c r="H17" s="650" t="n">
        <v>0</v>
      </c>
      <c r="I17" s="267" t="n">
        <f aca="false">G17+H17</f>
        <v>134</v>
      </c>
      <c r="J17" s="247" t="n">
        <f aca="false">IF(L17&gt;0,L17,0)</f>
        <v>0</v>
      </c>
      <c r="K17" s="267" t="n">
        <f aca="false">I17+J17</f>
        <v>134</v>
      </c>
      <c r="L17" s="267" t="n">
        <f aca="false">F17-(I17-AC17)</f>
        <v>-45.2727501890597</v>
      </c>
      <c r="M17" s="269" t="n">
        <v>119</v>
      </c>
      <c r="N17" s="631" t="n">
        <f aca="false">2.1*1.03</f>
        <v>2.163</v>
      </c>
      <c r="O17" s="267" t="n">
        <f aca="false">(24+24)*1.05</f>
        <v>50.4</v>
      </c>
      <c r="P17" s="389" t="n">
        <f aca="false">1.51*1.02</f>
        <v>1.5402</v>
      </c>
      <c r="Q17" s="125" t="n">
        <v>4.2</v>
      </c>
      <c r="R17" s="132" t="n">
        <v>0.43</v>
      </c>
      <c r="S17" s="267" t="n">
        <v>57</v>
      </c>
      <c r="T17" s="267" t="n">
        <v>22</v>
      </c>
      <c r="U17" s="267" t="n">
        <f aca="false">M17-N17-O17-P17-Q17-R17+S17+T17</f>
        <v>139.2668</v>
      </c>
      <c r="V17" s="242" t="n">
        <v>0</v>
      </c>
      <c r="W17" s="607" t="n">
        <f aca="false">W16+AK17-(AL17/1.9835)+AM17</f>
        <v>2127.80136581304</v>
      </c>
      <c r="X17" s="267" t="n">
        <v>0</v>
      </c>
      <c r="Y17" s="128" t="n">
        <v>1.7</v>
      </c>
      <c r="Z17" s="129" t="n">
        <v>1.3</v>
      </c>
      <c r="AA17" s="267" t="n">
        <v>45</v>
      </c>
      <c r="AB17" s="242" t="n">
        <f aca="false">AB16-AA17</f>
        <v>7481.43307285102</v>
      </c>
      <c r="AC17" s="634" t="n">
        <f aca="false">N17+O17+P17+Q17+R17+U17+X17+AA17</f>
        <v>243</v>
      </c>
      <c r="AD17" s="267" t="n">
        <f aca="false">IF(L17&lt;0,L17*-1,0)</f>
        <v>45.2727501890597</v>
      </c>
      <c r="AE17" s="267" t="n">
        <f aca="false">AC17+AD17</f>
        <v>288.27275018906</v>
      </c>
      <c r="AF17" s="380" t="n">
        <v>0</v>
      </c>
      <c r="AG17" s="244" t="n">
        <v>66</v>
      </c>
      <c r="AH17" s="249" t="n">
        <v>41</v>
      </c>
      <c r="AI17" s="244" t="n">
        <f aca="false">AI16</f>
        <v>16467.3080282</v>
      </c>
      <c r="AJ17" s="244"/>
      <c r="AK17" s="247" t="n">
        <f aca="false">(I17-P17-Q17)-U17</f>
        <v>-11.007</v>
      </c>
      <c r="AL17" s="367" t="n">
        <f aca="false">20*(V16*1.9835+W16*1.9835)/E17</f>
        <v>0.572826766801041</v>
      </c>
      <c r="AM17" s="242"/>
    </row>
    <row r="18" customFormat="false" ht="12.95" hidden="false" customHeight="true" outlineLevel="0" collapsed="false">
      <c r="A18" s="172" t="n">
        <f aca="false">A17+1</f>
        <v>7</v>
      </c>
      <c r="B18" s="252" t="n">
        <v>6904.34</v>
      </c>
      <c r="C18" s="242" t="n">
        <v>299871</v>
      </c>
      <c r="D18" s="244" t="n">
        <f aca="false">C18-C17</f>
        <v>-268</v>
      </c>
      <c r="E18" s="242" t="n">
        <f aca="false">C18-152000</f>
        <v>147871</v>
      </c>
      <c r="F18" s="266" t="n">
        <f aca="false">D18/$D$2</f>
        <v>-135.114696244013</v>
      </c>
      <c r="G18" s="267" t="n">
        <v>115</v>
      </c>
      <c r="H18" s="650" t="n">
        <v>0</v>
      </c>
      <c r="I18" s="267" t="n">
        <f aca="false">G18+H18</f>
        <v>115</v>
      </c>
      <c r="J18" s="247" t="n">
        <f aca="false">IF(L18&gt;0,L18,0)</f>
        <v>0</v>
      </c>
      <c r="K18" s="267" t="n">
        <f aca="false">I18+J18</f>
        <v>115</v>
      </c>
      <c r="L18" s="267" t="n">
        <f aca="false">F18-(I18-AC18)</f>
        <v>-18.1146962440131</v>
      </c>
      <c r="M18" s="269" t="n">
        <v>108</v>
      </c>
      <c r="N18" s="631" t="n">
        <f aca="false">2.1*1.03</f>
        <v>2.163</v>
      </c>
      <c r="O18" s="267" t="n">
        <f aca="false">(17+20)*1.05</f>
        <v>38.85</v>
      </c>
      <c r="P18" s="389" t="n">
        <f aca="false">1.51*1.02</f>
        <v>1.5402</v>
      </c>
      <c r="Q18" s="125" t="n">
        <f aca="false">3.68*1.04</f>
        <v>3.8272</v>
      </c>
      <c r="R18" s="132" t="n">
        <v>0</v>
      </c>
      <c r="S18" s="267" t="n">
        <v>57</v>
      </c>
      <c r="T18" s="267" t="n">
        <v>22</v>
      </c>
      <c r="U18" s="267" t="n">
        <f aca="false">M18-N18-O18-P18-Q18-R18+S18+T18</f>
        <v>140.6196</v>
      </c>
      <c r="V18" s="242" t="n">
        <v>0</v>
      </c>
      <c r="W18" s="607" t="n">
        <f aca="false">W17+AK18-(AL18/1.9835)+AM18</f>
        <v>2096.52657424258</v>
      </c>
      <c r="X18" s="267" t="n">
        <v>0</v>
      </c>
      <c r="Y18" s="128" t="n">
        <v>1.7</v>
      </c>
      <c r="Z18" s="129" t="n">
        <v>1.3</v>
      </c>
      <c r="AA18" s="267" t="n">
        <v>45</v>
      </c>
      <c r="AB18" s="242" t="n">
        <f aca="false">AB17-AA18</f>
        <v>7436.43307285102</v>
      </c>
      <c r="AC18" s="634" t="n">
        <f aca="false">N18+O18+P18+Q18+R18+U18+X18+AA18</f>
        <v>232</v>
      </c>
      <c r="AD18" s="267" t="n">
        <f aca="false">IF(L18&lt;0,L18*-1,0)</f>
        <v>18.1146962440131</v>
      </c>
      <c r="AE18" s="267" t="n">
        <f aca="false">AC18+AD18</f>
        <v>250.114696244013</v>
      </c>
      <c r="AF18" s="380" t="n">
        <v>0</v>
      </c>
      <c r="AG18" s="244" t="n">
        <v>69</v>
      </c>
      <c r="AH18" s="249" t="n">
        <v>42</v>
      </c>
      <c r="AI18" s="244" t="n">
        <f aca="false">AI17</f>
        <v>16467.3080282</v>
      </c>
      <c r="AJ18" s="244"/>
      <c r="AK18" s="247" t="n">
        <f aca="false">(I18-P18-Q18)-U18</f>
        <v>-30.987</v>
      </c>
      <c r="AL18" s="367" t="n">
        <f aca="false">20*(V17*1.9835+W17*1.9835)/E18</f>
        <v>0.570834580017741</v>
      </c>
      <c r="AM18" s="242"/>
    </row>
    <row r="19" customFormat="false" ht="12.95" hidden="false" customHeight="true" outlineLevel="0" collapsed="false">
      <c r="A19" s="172" t="n">
        <f aca="false">A18+1</f>
        <v>8</v>
      </c>
      <c r="B19" s="252" t="n">
        <v>6904.31</v>
      </c>
      <c r="C19" s="242" t="n">
        <v>299757</v>
      </c>
      <c r="D19" s="244" t="n">
        <f aca="false">C19-C18</f>
        <v>-114</v>
      </c>
      <c r="E19" s="242" t="n">
        <f aca="false">C19-152000</f>
        <v>147757</v>
      </c>
      <c r="F19" s="266" t="n">
        <f aca="false">D19/$D$2</f>
        <v>-57.4741618351399</v>
      </c>
      <c r="G19" s="267" t="n">
        <v>106</v>
      </c>
      <c r="H19" s="650" t="n">
        <v>0</v>
      </c>
      <c r="I19" s="267" t="n">
        <f aca="false">G19+H19</f>
        <v>106</v>
      </c>
      <c r="J19" s="247" t="n">
        <f aca="false">IF(L19&gt;0,L19,0)</f>
        <v>42.5258381648601</v>
      </c>
      <c r="K19" s="267" t="n">
        <f aca="false">I19+J19</f>
        <v>148.52583816486</v>
      </c>
      <c r="L19" s="267" t="n">
        <f aca="false">F19-(I19-AC19)</f>
        <v>42.5258381648601</v>
      </c>
      <c r="M19" s="269" t="n">
        <v>82</v>
      </c>
      <c r="N19" s="631" t="n">
        <f aca="false">2.1*1.03</f>
        <v>2.163</v>
      </c>
      <c r="O19" s="267" t="n">
        <f aca="false">(6.7+8.4)*1.05</f>
        <v>15.855</v>
      </c>
      <c r="P19" s="389" t="n">
        <f aca="false">1.51*1.02</f>
        <v>1.5402</v>
      </c>
      <c r="Q19" s="125" t="n">
        <v>4.2</v>
      </c>
      <c r="R19" s="132" t="n">
        <v>0.44</v>
      </c>
      <c r="S19" s="267" t="n">
        <v>57</v>
      </c>
      <c r="T19" s="267" t="n">
        <v>22</v>
      </c>
      <c r="U19" s="267" t="n">
        <f aca="false">M19-N19-O19-P19-Q19-R19+S19+T19</f>
        <v>136.8018</v>
      </c>
      <c r="V19" s="242" t="n">
        <v>0</v>
      </c>
      <c r="W19" s="607" t="n">
        <f aca="false">W18+AK19-(AL19/1.9835)+AM19</f>
        <v>2059.70079390402</v>
      </c>
      <c r="X19" s="267" t="n">
        <v>0</v>
      </c>
      <c r="Y19" s="128" t="n">
        <v>1.7</v>
      </c>
      <c r="Z19" s="129" t="n">
        <v>1.3</v>
      </c>
      <c r="AA19" s="267" t="n">
        <v>45</v>
      </c>
      <c r="AB19" s="242" t="n">
        <f aca="false">AB18-AA19</f>
        <v>7391.43307285102</v>
      </c>
      <c r="AC19" s="634" t="n">
        <f aca="false">N19+O19+P19+Q19+R19+U19+X19+AA19</f>
        <v>206</v>
      </c>
      <c r="AD19" s="267" t="n">
        <f aca="false">IF(L19&lt;0,L19*-1,0)</f>
        <v>0</v>
      </c>
      <c r="AE19" s="267" t="n">
        <f aca="false">AC19+AD19</f>
        <v>206</v>
      </c>
      <c r="AF19" s="380" t="n">
        <v>0.26</v>
      </c>
      <c r="AG19" s="244" t="n">
        <v>72</v>
      </c>
      <c r="AH19" s="249" t="n">
        <v>45</v>
      </c>
      <c r="AI19" s="244" t="n">
        <f aca="false">AI18</f>
        <v>16467.3080282</v>
      </c>
      <c r="AJ19" s="244"/>
      <c r="AK19" s="247" t="n">
        <f aca="false">(I19-P19-Q19)-U19</f>
        <v>-36.542</v>
      </c>
      <c r="AL19" s="367" t="n">
        <f aca="false">20*(V18*1.9835+W18*1.9835)/E19</f>
        <v>0.562878301537004</v>
      </c>
      <c r="AM19" s="242"/>
    </row>
    <row r="20" customFormat="false" ht="12.95" hidden="false" customHeight="true" outlineLevel="0" collapsed="false">
      <c r="A20" s="172" t="n">
        <f aca="false">A19+1</f>
        <v>9</v>
      </c>
      <c r="B20" s="252" t="n">
        <v>6904.39</v>
      </c>
      <c r="C20" s="242" t="n">
        <v>300063</v>
      </c>
      <c r="D20" s="244" t="n">
        <f aca="false">C20-C19</f>
        <v>306</v>
      </c>
      <c r="E20" s="242" t="n">
        <f aca="false">C20-152000</f>
        <v>148063</v>
      </c>
      <c r="F20" s="266" t="n">
        <f aca="false">D20/$D$2</f>
        <v>154.27275018906</v>
      </c>
      <c r="G20" s="267" t="n">
        <v>174</v>
      </c>
      <c r="H20" s="650" t="n">
        <v>0.04</v>
      </c>
      <c r="I20" s="267" t="n">
        <f aca="false">G20+H20</f>
        <v>174.04</v>
      </c>
      <c r="J20" s="247" t="n">
        <f aca="false">IF(L20&gt;0,L20,0)</f>
        <v>145.23275018906</v>
      </c>
      <c r="K20" s="267" t="n">
        <f aca="false">I20+J20</f>
        <v>319.27275018906</v>
      </c>
      <c r="L20" s="267" t="n">
        <f aca="false">F20-(I20-AC20)</f>
        <v>145.23275018906</v>
      </c>
      <c r="M20" s="269" t="n">
        <v>65</v>
      </c>
      <c r="N20" s="631" t="n">
        <f aca="false">2.1*1.03</f>
        <v>2.163</v>
      </c>
      <c r="O20" s="267" t="n">
        <f aca="false">(1.4+1.3)*1.05</f>
        <v>2.835</v>
      </c>
      <c r="P20" s="389" t="n">
        <f aca="false">1.51*1.02</f>
        <v>1.5402</v>
      </c>
      <c r="Q20" s="125" t="n">
        <f aca="false">2.65*1.04</f>
        <v>2.756</v>
      </c>
      <c r="R20" s="132" t="n">
        <v>0</v>
      </c>
      <c r="S20" s="267" t="n">
        <v>37</v>
      </c>
      <c r="T20" s="267" t="n">
        <v>18</v>
      </c>
      <c r="U20" s="267" t="n">
        <f aca="false">M20-N20-O20-P20-Q20-R20+S20+T20</f>
        <v>110.7058</v>
      </c>
      <c r="V20" s="242" t="n">
        <v>0</v>
      </c>
      <c r="W20" s="607" t="n">
        <f aca="false">W19+AK20-(AL20/1.9835)+AM20</f>
        <v>2059.42257439017</v>
      </c>
      <c r="X20" s="267" t="n">
        <v>0</v>
      </c>
      <c r="Y20" s="128" t="n">
        <v>1.7</v>
      </c>
      <c r="Z20" s="129" t="n">
        <v>1.3</v>
      </c>
      <c r="AA20" s="267" t="n">
        <v>45</v>
      </c>
      <c r="AB20" s="242" t="n">
        <f aca="false">AB19-AA20</f>
        <v>7346.43307285102</v>
      </c>
      <c r="AC20" s="634" t="n">
        <f aca="false">N20+O20+P20+Q20+R20+U20+X20+AA20</f>
        <v>165</v>
      </c>
      <c r="AD20" s="267" t="n">
        <f aca="false">IF(L20&lt;0,L20*-1,0)</f>
        <v>0</v>
      </c>
      <c r="AE20" s="267" t="n">
        <f aca="false">AC20+AD20</f>
        <v>165</v>
      </c>
      <c r="AF20" s="380" t="n">
        <v>0.58</v>
      </c>
      <c r="AG20" s="250" t="n">
        <v>54</v>
      </c>
      <c r="AH20" s="249" t="n">
        <v>41</v>
      </c>
      <c r="AI20" s="244" t="n">
        <f aca="false">AI19</f>
        <v>16467.3080282</v>
      </c>
      <c r="AJ20" s="244"/>
      <c r="AK20" s="247" t="n">
        <v>0</v>
      </c>
      <c r="AL20" s="367" t="n">
        <f aca="false">20*(V19*1.9835+W19*1.9835)/E20</f>
        <v>0.551848405706843</v>
      </c>
      <c r="AM20" s="242"/>
    </row>
    <row r="21" customFormat="false" ht="12.95" hidden="false" customHeight="true" outlineLevel="0" collapsed="false">
      <c r="A21" s="172" t="n">
        <f aca="false">A20+1</f>
        <v>10</v>
      </c>
      <c r="B21" s="252" t="n">
        <v>6904.44</v>
      </c>
      <c r="C21" s="242" t="n">
        <v>300254</v>
      </c>
      <c r="D21" s="244" t="n">
        <f aca="false">C21-C20</f>
        <v>191</v>
      </c>
      <c r="E21" s="242" t="n">
        <f aca="false">C21-152000</f>
        <v>148254</v>
      </c>
      <c r="F21" s="266" t="n">
        <f aca="false">D21/$D$2</f>
        <v>96.2944290395765</v>
      </c>
      <c r="G21" s="267" t="n">
        <v>193</v>
      </c>
      <c r="H21" s="650" t="n">
        <v>0.02</v>
      </c>
      <c r="I21" s="267" t="n">
        <f aca="false">G21+H21</f>
        <v>193.02</v>
      </c>
      <c r="J21" s="247" t="n">
        <f aca="false">IF(L21&gt;0,L21,0)</f>
        <v>52.2744290395765</v>
      </c>
      <c r="K21" s="267" t="n">
        <f aca="false">I21+J21</f>
        <v>245.294429039576</v>
      </c>
      <c r="L21" s="267" t="n">
        <f aca="false">F21-(I21-AC21)</f>
        <v>52.2744290395765</v>
      </c>
      <c r="M21" s="269" t="n">
        <v>64</v>
      </c>
      <c r="N21" s="631" t="n">
        <f aca="false">2.1*1.03</f>
        <v>2.163</v>
      </c>
      <c r="O21" s="267" t="n">
        <f aca="false">(3.9+0)*1.05</f>
        <v>4.095</v>
      </c>
      <c r="P21" s="389" t="n">
        <f aca="false">1.51*1.02</f>
        <v>1.5402</v>
      </c>
      <c r="Q21" s="125" t="n">
        <f aca="false">3.5*1.04</f>
        <v>3.64</v>
      </c>
      <c r="R21" s="132" t="n">
        <v>0</v>
      </c>
      <c r="S21" s="267" t="n">
        <v>24</v>
      </c>
      <c r="T21" s="267" t="n">
        <v>15</v>
      </c>
      <c r="U21" s="267" t="n">
        <f aca="false">M21-N21-O21-P21-Q21-R21+S21+T21</f>
        <v>91.5618</v>
      </c>
      <c r="V21" s="242" t="n">
        <v>0</v>
      </c>
      <c r="W21" s="607" t="n">
        <f aca="false">W20+AK21-(AL21/1.9835)+AM21</f>
        <v>2059.14475084755</v>
      </c>
      <c r="X21" s="267" t="n">
        <v>0</v>
      </c>
      <c r="Y21" s="128" t="n">
        <v>1.7</v>
      </c>
      <c r="Z21" s="129" t="n">
        <v>1.3</v>
      </c>
      <c r="AA21" s="267" t="n">
        <v>46</v>
      </c>
      <c r="AB21" s="242" t="n">
        <f aca="false">AB20-AA21</f>
        <v>7300.43307285102</v>
      </c>
      <c r="AC21" s="634" t="n">
        <f aca="false">N21+O21+P21+Q21+R21+U21+X21+AA21</f>
        <v>149</v>
      </c>
      <c r="AD21" s="267" t="n">
        <f aca="false">IF(L21&lt;0,L21*-1,0)</f>
        <v>0</v>
      </c>
      <c r="AE21" s="267" t="n">
        <f aca="false">AC21+AD21</f>
        <v>149</v>
      </c>
      <c r="AF21" s="380" t="n">
        <v>0</v>
      </c>
      <c r="AG21" s="244" t="n">
        <v>53</v>
      </c>
      <c r="AH21" s="249" t="n">
        <v>35</v>
      </c>
      <c r="AI21" s="244" t="n">
        <f aca="false">AI20</f>
        <v>16467.3080282</v>
      </c>
      <c r="AJ21" s="244"/>
      <c r="AK21" s="247" t="n">
        <v>0</v>
      </c>
      <c r="AL21" s="367" t="n">
        <f aca="false">20*(V20*1.9835+W20*1.9835)/E21</f>
        <v>0.551062996789687</v>
      </c>
      <c r="AM21" s="242"/>
    </row>
    <row r="22" customFormat="false" ht="12.95" hidden="false" customHeight="true" outlineLevel="0" collapsed="false">
      <c r="A22" s="172" t="n">
        <f aca="false">A21+1</f>
        <v>11</v>
      </c>
      <c r="B22" s="252" t="n">
        <v>6904.4</v>
      </c>
      <c r="C22" s="242" t="n">
        <v>300101</v>
      </c>
      <c r="D22" s="244" t="n">
        <f aca="false">C22-C21</f>
        <v>-153</v>
      </c>
      <c r="E22" s="242" t="n">
        <f aca="false">C22-152000</f>
        <v>148101</v>
      </c>
      <c r="F22" s="266" t="n">
        <f aca="false">D22/$D$2</f>
        <v>-77.1363750945299</v>
      </c>
      <c r="G22" s="267" t="n">
        <v>157</v>
      </c>
      <c r="H22" s="650" t="n">
        <v>0.02</v>
      </c>
      <c r="I22" s="267" t="n">
        <f aca="false">G22+H22</f>
        <v>157.02</v>
      </c>
      <c r="J22" s="247" t="n">
        <f aca="false">IF(L22&gt;0,L22,0)</f>
        <v>69.8436249054701</v>
      </c>
      <c r="K22" s="267" t="n">
        <f aca="false">I22+J22</f>
        <v>226.86362490547</v>
      </c>
      <c r="L22" s="267" t="n">
        <f aca="false">F22-(I22-AC22)</f>
        <v>69.8436249054701</v>
      </c>
      <c r="M22" s="269" t="n">
        <v>63</v>
      </c>
      <c r="N22" s="631" t="n">
        <f aca="false">2.1*1.03</f>
        <v>2.163</v>
      </c>
      <c r="O22" s="267" t="n">
        <f aca="false">(1.4+0)*1.05</f>
        <v>1.47</v>
      </c>
      <c r="P22" s="389" t="n">
        <f aca="false">1.51*1.02</f>
        <v>1.5402</v>
      </c>
      <c r="Q22" s="125" t="n">
        <f aca="false">3.5*1.04</f>
        <v>3.64</v>
      </c>
      <c r="R22" s="132" t="n">
        <v>0</v>
      </c>
      <c r="S22" s="267" t="n">
        <v>24</v>
      </c>
      <c r="T22" s="267" t="n">
        <v>14</v>
      </c>
      <c r="U22" s="267" t="n">
        <f aca="false">M22-N22-O22-P22-Q22-R22+S22+T22</f>
        <v>92.1868</v>
      </c>
      <c r="V22" s="242" t="n">
        <v>0</v>
      </c>
      <c r="W22" s="607" t="n">
        <f aca="false">W21+AK22-(AL22/1.9835)+AM22</f>
        <v>2058.86667780944</v>
      </c>
      <c r="X22" s="267" t="n">
        <v>0</v>
      </c>
      <c r="Y22" s="128" t="n">
        <v>1.7</v>
      </c>
      <c r="Z22" s="129" t="n">
        <v>1.3</v>
      </c>
      <c r="AA22" s="267" t="n">
        <v>203</v>
      </c>
      <c r="AB22" s="242" t="n">
        <f aca="false">AB21-AA22</f>
        <v>7097.43307285102</v>
      </c>
      <c r="AC22" s="634" t="n">
        <f aca="false">N22+O22+P22+Q22+R22+U22+X22+AA22</f>
        <v>304</v>
      </c>
      <c r="AD22" s="267" t="n">
        <f aca="false">IF(L22&lt;0,L22*-1,0)</f>
        <v>0</v>
      </c>
      <c r="AE22" s="267" t="n">
        <f aca="false">AC22+AD22</f>
        <v>304</v>
      </c>
      <c r="AF22" s="380" t="n">
        <v>0</v>
      </c>
      <c r="AG22" s="244" t="n">
        <v>54</v>
      </c>
      <c r="AH22" s="249" t="n">
        <v>30</v>
      </c>
      <c r="AI22" s="244" t="n">
        <f aca="false">AI21</f>
        <v>16467.3080282</v>
      </c>
      <c r="AJ22" s="244"/>
      <c r="AK22" s="247" t="n">
        <v>0</v>
      </c>
      <c r="AL22" s="367" t="n">
        <f aca="false">20*(V21*1.9835+W21*1.9835)/E22</f>
        <v>0.5515578710888</v>
      </c>
      <c r="AM22" s="242"/>
      <c r="AN22" s="651"/>
    </row>
    <row r="23" customFormat="false" ht="12.95" hidden="false" customHeight="true" outlineLevel="0" collapsed="false">
      <c r="A23" s="172" t="n">
        <f aca="false">A22+1</f>
        <v>12</v>
      </c>
      <c r="B23" s="252" t="n">
        <v>6904.37</v>
      </c>
      <c r="C23" s="242" t="n">
        <v>299986</v>
      </c>
      <c r="D23" s="244" t="n">
        <f aca="false">C23-C22</f>
        <v>-115</v>
      </c>
      <c r="E23" s="242" t="n">
        <f aca="false">C23-152000</f>
        <v>147986</v>
      </c>
      <c r="F23" s="266" t="n">
        <f aca="false">D23/$D$2</f>
        <v>-57.9783211494832</v>
      </c>
      <c r="G23" s="267" t="n">
        <v>137</v>
      </c>
      <c r="H23" s="650" t="n">
        <v>0.02</v>
      </c>
      <c r="I23" s="267" t="n">
        <f aca="false">G23+H23</f>
        <v>137.02</v>
      </c>
      <c r="J23" s="247" t="n">
        <f aca="false">IF(L23&gt;0,L23,0)</f>
        <v>0</v>
      </c>
      <c r="K23" s="267" t="n">
        <f aca="false">I23+J23</f>
        <v>137.02</v>
      </c>
      <c r="L23" s="267" t="n">
        <f aca="false">F23-(I23-AC23)</f>
        <v>-41.9983211494832</v>
      </c>
      <c r="M23" s="269" t="n">
        <v>70</v>
      </c>
      <c r="N23" s="631" t="n">
        <f aca="false">2.1*1.03</f>
        <v>2.163</v>
      </c>
      <c r="O23" s="267" t="n">
        <f aca="false">(6.3+5.1)*1.05</f>
        <v>11.97</v>
      </c>
      <c r="P23" s="389" t="n">
        <f aca="false">1.51*1.02</f>
        <v>1.5402</v>
      </c>
      <c r="Q23" s="125" t="n">
        <f aca="false">2.53*1.04</f>
        <v>2.6312</v>
      </c>
      <c r="R23" s="132" t="n">
        <v>0</v>
      </c>
      <c r="S23" s="267" t="n">
        <v>24</v>
      </c>
      <c r="T23" s="267" t="n">
        <v>11</v>
      </c>
      <c r="U23" s="267" t="n">
        <f aca="false">M23-N23-O23-P23-Q23-R23+S23+T23</f>
        <v>86.6956</v>
      </c>
      <c r="V23" s="242" t="n">
        <v>0</v>
      </c>
      <c r="W23" s="607" t="n">
        <f aca="false">W22+AK23-(AL23/1.9835)+AM23</f>
        <v>2058.58842626162</v>
      </c>
      <c r="X23" s="267" t="n">
        <v>0</v>
      </c>
      <c r="Y23" s="128" t="n">
        <v>1.7</v>
      </c>
      <c r="Z23" s="129" t="n">
        <v>1.3</v>
      </c>
      <c r="AA23" s="267" t="n">
        <v>48</v>
      </c>
      <c r="AB23" s="242" t="n">
        <f aca="false">AB22-AA23</f>
        <v>7049.43307285102</v>
      </c>
      <c r="AC23" s="634" t="n">
        <f aca="false">N23+O23+P23+Q23+R23+U23+X23+AA23</f>
        <v>153</v>
      </c>
      <c r="AD23" s="267" t="n">
        <f aca="false">IF(L23&lt;0,L23*-1,0)</f>
        <v>41.9983211494832</v>
      </c>
      <c r="AE23" s="267" t="n">
        <f aca="false">AC23+AD23</f>
        <v>194.998321149483</v>
      </c>
      <c r="AF23" s="380" t="n">
        <v>0</v>
      </c>
      <c r="AG23" s="244" t="n">
        <v>61</v>
      </c>
      <c r="AH23" s="249" t="n">
        <v>34</v>
      </c>
      <c r="AI23" s="244" t="n">
        <f aca="false">AI22</f>
        <v>16467.3080282</v>
      </c>
      <c r="AJ23" s="244"/>
      <c r="AK23" s="247" t="n">
        <v>0</v>
      </c>
      <c r="AL23" s="367" t="n">
        <f aca="false">20*(V22*1.9835+W22*1.9835)/E23</f>
        <v>0.55191194510765</v>
      </c>
      <c r="AM23" s="242"/>
    </row>
    <row r="24" customFormat="false" ht="12.95" hidden="false" customHeight="true" outlineLevel="0" collapsed="false">
      <c r="A24" s="172" t="n">
        <f aca="false">A23+1</f>
        <v>13</v>
      </c>
      <c r="B24" s="252" t="n">
        <v>6904.34</v>
      </c>
      <c r="C24" s="242" t="n">
        <v>299871</v>
      </c>
      <c r="D24" s="244" t="n">
        <f aca="false">C24-C23</f>
        <v>-115</v>
      </c>
      <c r="E24" s="242" t="n">
        <f aca="false">C24-152000</f>
        <v>147871</v>
      </c>
      <c r="F24" s="266" t="n">
        <f aca="false">D24/$D$2</f>
        <v>-57.9783211494832</v>
      </c>
      <c r="G24" s="267" t="n">
        <v>128</v>
      </c>
      <c r="H24" s="650" t="n">
        <v>0.02</v>
      </c>
      <c r="I24" s="267" t="n">
        <f aca="false">G24+H24</f>
        <v>128.02</v>
      </c>
      <c r="J24" s="247" t="n">
        <f aca="false">IF(L24&gt;0,L24,0)</f>
        <v>0</v>
      </c>
      <c r="K24" s="267" t="n">
        <f aca="false">I24+J24</f>
        <v>128.02</v>
      </c>
      <c r="L24" s="267" t="n">
        <f aca="false">F24-(I24-AC24)</f>
        <v>-33.9983211494832</v>
      </c>
      <c r="M24" s="269" t="n">
        <v>73</v>
      </c>
      <c r="N24" s="631" t="n">
        <f aca="false">2.1*1.03</f>
        <v>2.163</v>
      </c>
      <c r="O24" s="267" t="n">
        <f aca="false">(8.1+8.1)*1.05</f>
        <v>17.01</v>
      </c>
      <c r="P24" s="389" t="n">
        <f aca="false">1.51*1.02</f>
        <v>1.5402</v>
      </c>
      <c r="Q24" s="125" t="n">
        <f aca="false">3.65*1.04</f>
        <v>3.796</v>
      </c>
      <c r="R24" s="132" t="n">
        <v>0</v>
      </c>
      <c r="S24" s="267" t="n">
        <v>24</v>
      </c>
      <c r="T24" s="267" t="n">
        <v>11</v>
      </c>
      <c r="U24" s="267" t="n">
        <f aca="false">M24-N24-O24-P24-Q24-R24+S24+T24</f>
        <v>83.4908</v>
      </c>
      <c r="V24" s="242" t="n">
        <v>0</v>
      </c>
      <c r="W24" s="607" t="n">
        <f aca="false">W23+AK24-(AL24/1.9835)+AM24</f>
        <v>2058.30999595057</v>
      </c>
      <c r="X24" s="267" t="n">
        <v>0</v>
      </c>
      <c r="Y24" s="128" t="n">
        <v>1.7</v>
      </c>
      <c r="Z24" s="129" t="n">
        <v>1.3</v>
      </c>
      <c r="AA24" s="267" t="n">
        <v>44</v>
      </c>
      <c r="AB24" s="242" t="n">
        <f aca="false">AB23-AA24</f>
        <v>7005.43307285102</v>
      </c>
      <c r="AC24" s="634" t="n">
        <f aca="false">N24+O24+P24+Q24+R24+U24+X24+AA24</f>
        <v>152</v>
      </c>
      <c r="AD24" s="267" t="n">
        <f aca="false">IF(L24&lt;0,L24*-1,0)</f>
        <v>33.9983211494832</v>
      </c>
      <c r="AE24" s="267" t="n">
        <f aca="false">AC24+AD24</f>
        <v>185.998321149483</v>
      </c>
      <c r="AF24" s="380" t="n">
        <v>0</v>
      </c>
      <c r="AG24" s="244" t="n">
        <v>64</v>
      </c>
      <c r="AH24" s="249" t="n">
        <v>36</v>
      </c>
      <c r="AI24" s="244" t="n">
        <f aca="false">AI23</f>
        <v>16467.3080282</v>
      </c>
      <c r="AJ24" s="244"/>
      <c r="AK24" s="247" t="n">
        <v>0</v>
      </c>
      <c r="AL24" s="367" t="n">
        <f aca="false">20*(V23*1.9835+W23*1.9835)/E24</f>
        <v>0.55226652196711</v>
      </c>
      <c r="AM24" s="242"/>
    </row>
    <row r="25" customFormat="false" ht="12.95" hidden="false" customHeight="true" outlineLevel="0" collapsed="false">
      <c r="A25" s="172" t="n">
        <f aca="false">A24+1</f>
        <v>14</v>
      </c>
      <c r="B25" s="252" t="n">
        <v>6904.31</v>
      </c>
      <c r="C25" s="242" t="n">
        <v>299757</v>
      </c>
      <c r="D25" s="244" t="n">
        <f aca="false">C25-C24</f>
        <v>-114</v>
      </c>
      <c r="E25" s="242" t="n">
        <f aca="false">C25-152000</f>
        <v>147757</v>
      </c>
      <c r="F25" s="266" t="n">
        <f aca="false">D25/$D$2</f>
        <v>-57.4741618351399</v>
      </c>
      <c r="G25" s="267" t="n">
        <v>124</v>
      </c>
      <c r="H25" s="650" t="n">
        <v>0.02</v>
      </c>
      <c r="I25" s="267" t="n">
        <f aca="false">G25+H25</f>
        <v>124.02</v>
      </c>
      <c r="J25" s="247" t="n">
        <f aca="false">IF(L25&gt;0,L25,0)</f>
        <v>0</v>
      </c>
      <c r="K25" s="267" t="n">
        <f aca="false">I25+J25</f>
        <v>124.02</v>
      </c>
      <c r="L25" s="267" t="n">
        <f aca="false">F25-(I25-AC25)</f>
        <v>-38.4941618351399</v>
      </c>
      <c r="M25" s="269" t="n">
        <v>53</v>
      </c>
      <c r="N25" s="631" t="n">
        <f aca="false">2.1*1.03</f>
        <v>2.163</v>
      </c>
      <c r="O25" s="267" t="n">
        <f aca="false">(5.4+5.1)*1.05</f>
        <v>11.025</v>
      </c>
      <c r="P25" s="389" t="n">
        <f aca="false">1.51*1.02</f>
        <v>1.5402</v>
      </c>
      <c r="Q25" s="125" t="n">
        <f aca="false">3.35*1.04</f>
        <v>3.484</v>
      </c>
      <c r="R25" s="132" t="n">
        <v>0</v>
      </c>
      <c r="S25" s="267" t="n">
        <v>27</v>
      </c>
      <c r="T25" s="393" t="n">
        <v>18</v>
      </c>
      <c r="U25" s="267" t="n">
        <f aca="false">M25-N25-O25-P25-Q25-R25+S25+T25</f>
        <v>79.7878</v>
      </c>
      <c r="V25" s="242" t="n">
        <v>0</v>
      </c>
      <c r="W25" s="607" t="n">
        <f aca="false">W24+AK25-(AL25/1.9835)+AM25</f>
        <v>2058.03138850782</v>
      </c>
      <c r="X25" s="267" t="n">
        <v>0</v>
      </c>
      <c r="Y25" s="128" t="n">
        <v>1.7</v>
      </c>
      <c r="Z25" s="129" t="n">
        <v>1.3</v>
      </c>
      <c r="AA25" s="267" t="n">
        <v>45</v>
      </c>
      <c r="AB25" s="242" t="n">
        <f aca="false">AB24-AA25</f>
        <v>6960.43307285102</v>
      </c>
      <c r="AC25" s="634" t="n">
        <f aca="false">N25+O25+P25+Q25+R25+U25+X25+AA25</f>
        <v>143</v>
      </c>
      <c r="AD25" s="267" t="n">
        <f aca="false">IF(L25&lt;0,L25*-1,0)</f>
        <v>38.4941618351399</v>
      </c>
      <c r="AE25" s="267" t="n">
        <f aca="false">AC25+AD25</f>
        <v>181.49416183514</v>
      </c>
      <c r="AF25" s="380" t="n">
        <v>0</v>
      </c>
      <c r="AG25" s="250" t="n">
        <v>68</v>
      </c>
      <c r="AH25" s="249" t="n">
        <v>40</v>
      </c>
      <c r="AI25" s="244" t="n">
        <f aca="false">AI24</f>
        <v>16467.3080282</v>
      </c>
      <c r="AJ25" s="244"/>
      <c r="AK25" s="247" t="n">
        <v>0</v>
      </c>
      <c r="AL25" s="367" t="n">
        <f aca="false">20*(V24*1.9835+W24*1.9835)/E25</f>
        <v>0.552617862702675</v>
      </c>
      <c r="AM25" s="242"/>
    </row>
    <row r="26" customFormat="false" ht="12.95" hidden="false" customHeight="true" outlineLevel="0" collapsed="false">
      <c r="A26" s="172" t="n">
        <f aca="false">A25+1</f>
        <v>15</v>
      </c>
      <c r="B26" s="252" t="n">
        <v>6904.28</v>
      </c>
      <c r="C26" s="242" t="n">
        <v>299642</v>
      </c>
      <c r="D26" s="244" t="n">
        <f aca="false">C26-C25</f>
        <v>-115</v>
      </c>
      <c r="E26" s="242" t="n">
        <f aca="false">C26-152000</f>
        <v>147642</v>
      </c>
      <c r="F26" s="266" t="n">
        <f aca="false">D26/$D$2</f>
        <v>-57.9783211494832</v>
      </c>
      <c r="G26" s="267" t="n">
        <v>126</v>
      </c>
      <c r="H26" s="650" t="n">
        <v>0.02</v>
      </c>
      <c r="I26" s="267" t="n">
        <f aca="false">G26+H26</f>
        <v>126.02</v>
      </c>
      <c r="J26" s="247" t="n">
        <f aca="false">IF(L26&gt;0,L26,0)</f>
        <v>0</v>
      </c>
      <c r="K26" s="267" t="n">
        <f aca="false">I26+J26</f>
        <v>126.02</v>
      </c>
      <c r="L26" s="267" t="n">
        <f aca="false">F26-(I26-AC26)</f>
        <v>-53.9983211494832</v>
      </c>
      <c r="M26" s="269" t="n">
        <v>38</v>
      </c>
      <c r="N26" s="631" t="n">
        <f aca="false">2.1*1.03</f>
        <v>2.163</v>
      </c>
      <c r="O26" s="267" t="n">
        <f aca="false">(0.21+0)*1.05</f>
        <v>0.2205</v>
      </c>
      <c r="P26" s="389" t="n">
        <f aca="false">1.51*1.02</f>
        <v>1.5402</v>
      </c>
      <c r="Q26" s="125" t="n">
        <f aca="false">2.58*1.04</f>
        <v>2.6832</v>
      </c>
      <c r="R26" s="132" t="n">
        <v>0</v>
      </c>
      <c r="S26" s="267" t="n">
        <v>29</v>
      </c>
      <c r="T26" s="393" t="n">
        <v>18</v>
      </c>
      <c r="U26" s="267" t="n">
        <f aca="false">M26-N26-O26-P26-Q26-R26+S26+T26</f>
        <v>78.3931</v>
      </c>
      <c r="V26" s="242" t="n">
        <v>0</v>
      </c>
      <c r="W26" s="607" t="n">
        <f aca="false">W25+AK26-(AL26/1.9835)+AM26</f>
        <v>2057.75260179557</v>
      </c>
      <c r="X26" s="267" t="n">
        <v>0</v>
      </c>
      <c r="Y26" s="128" t="n">
        <v>1.7</v>
      </c>
      <c r="Z26" s="129" t="n">
        <v>1.3</v>
      </c>
      <c r="AA26" s="267" t="n">
        <v>45</v>
      </c>
      <c r="AB26" s="242" t="n">
        <f aca="false">AB25-AA26</f>
        <v>6915.43307285102</v>
      </c>
      <c r="AC26" s="634" t="n">
        <f aca="false">N26+O26+P26+Q26+R26+U26+X26+AA26</f>
        <v>130</v>
      </c>
      <c r="AD26" s="267" t="n">
        <f aca="false">IF(L26&lt;0,L26*-1,0)</f>
        <v>53.9983211494832</v>
      </c>
      <c r="AE26" s="267" t="n">
        <f aca="false">AC26+AD26</f>
        <v>183.998321149483</v>
      </c>
      <c r="AF26" s="380" t="n">
        <v>0</v>
      </c>
      <c r="AG26" s="250" t="n">
        <v>62</v>
      </c>
      <c r="AH26" s="249" t="n">
        <v>41</v>
      </c>
      <c r="AI26" s="244" t="n">
        <f aca="false">AI25</f>
        <v>16467.3080282</v>
      </c>
      <c r="AJ26" s="244"/>
      <c r="AK26" s="247" t="n">
        <v>0</v>
      </c>
      <c r="AL26" s="367" t="n">
        <f aca="false">20*(V25*1.9835+W25*1.9835)/E26</f>
        <v>0.55297344374978</v>
      </c>
      <c r="AM26" s="242"/>
    </row>
    <row r="27" customFormat="false" ht="12.95" hidden="false" customHeight="true" outlineLevel="0" collapsed="false">
      <c r="A27" s="172" t="n">
        <f aca="false">A26+1</f>
        <v>16</v>
      </c>
      <c r="B27" s="252" t="n">
        <v>6904.31</v>
      </c>
      <c r="C27" s="242" t="n">
        <v>299757</v>
      </c>
      <c r="D27" s="244" t="n">
        <f aca="false">C27-C26</f>
        <v>115</v>
      </c>
      <c r="E27" s="242" t="n">
        <f aca="false">C27-152000</f>
        <v>147757</v>
      </c>
      <c r="F27" s="266" t="n">
        <f aca="false">D27/$D$2</f>
        <v>57.9783211494832</v>
      </c>
      <c r="G27" s="267" t="n">
        <v>126</v>
      </c>
      <c r="H27" s="650" t="n">
        <v>0.02</v>
      </c>
      <c r="I27" s="267" t="n">
        <f aca="false">G27+H27</f>
        <v>126.02</v>
      </c>
      <c r="J27" s="247" t="n">
        <f aca="false">IF(L27&gt;0,L27,0)</f>
        <v>67.9583211494832</v>
      </c>
      <c r="K27" s="267" t="n">
        <f aca="false">I27+J27</f>
        <v>193.978321149483</v>
      </c>
      <c r="L27" s="267" t="n">
        <f aca="false">F27-(I27-AC27)</f>
        <v>67.9583211494832</v>
      </c>
      <c r="M27" s="269" t="n">
        <v>44</v>
      </c>
      <c r="N27" s="631" t="n">
        <f aca="false">2.1*1.03</f>
        <v>2.163</v>
      </c>
      <c r="O27" s="267" t="n">
        <v>0</v>
      </c>
      <c r="P27" s="389" t="n">
        <f aca="false">1.51*1.02</f>
        <v>1.5402</v>
      </c>
      <c r="Q27" s="125" t="n">
        <f aca="false">3.29*1.04</f>
        <v>3.4216</v>
      </c>
      <c r="R27" s="132" t="n">
        <v>0</v>
      </c>
      <c r="S27" s="267" t="n">
        <v>29</v>
      </c>
      <c r="T27" s="267" t="n">
        <v>18</v>
      </c>
      <c r="U27" s="267" t="n">
        <f aca="false">M27-N27-O27-P27-Q27-R27+S27+T27</f>
        <v>83.8752</v>
      </c>
      <c r="V27" s="242" t="n">
        <v>0</v>
      </c>
      <c r="W27" s="242" t="n">
        <v>0</v>
      </c>
      <c r="X27" s="267" t="n">
        <v>0</v>
      </c>
      <c r="Y27" s="128" t="n">
        <v>1.7</v>
      </c>
      <c r="Z27" s="129" t="n">
        <v>1.3</v>
      </c>
      <c r="AA27" s="267" t="n">
        <v>45</v>
      </c>
      <c r="AB27" s="242" t="n">
        <f aca="false">AB26-AA27</f>
        <v>6870.43307285102</v>
      </c>
      <c r="AC27" s="634" t="n">
        <f aca="false">N27+O27+P27+Q27+R27+U27+X27+AA27</f>
        <v>136</v>
      </c>
      <c r="AD27" s="267" t="n">
        <f aca="false">IF(L27&lt;0,L27*-1,0)</f>
        <v>0</v>
      </c>
      <c r="AE27" s="267" t="n">
        <f aca="false">AC27+AD27</f>
        <v>136</v>
      </c>
      <c r="AF27" s="380" t="n">
        <v>0</v>
      </c>
      <c r="AG27" s="250" t="n">
        <v>64</v>
      </c>
      <c r="AH27" s="249" t="n">
        <v>44</v>
      </c>
      <c r="AI27" s="244" t="n">
        <f aca="false">AI26</f>
        <v>16467.3080282</v>
      </c>
      <c r="AJ27" s="244"/>
      <c r="AK27" s="247" t="n">
        <v>0</v>
      </c>
      <c r="AL27" s="367" t="n">
        <v>0</v>
      </c>
      <c r="AM27" s="242"/>
    </row>
    <row r="28" customFormat="false" ht="12.95" hidden="false" customHeight="true" outlineLevel="0" collapsed="false">
      <c r="A28" s="172" t="n">
        <f aca="false">A27+1</f>
        <v>17</v>
      </c>
      <c r="B28" s="252" t="n">
        <v>6904.25</v>
      </c>
      <c r="C28" s="242" t="n">
        <v>299527</v>
      </c>
      <c r="D28" s="244" t="n">
        <f aca="false">C28-C27</f>
        <v>-230</v>
      </c>
      <c r="E28" s="242" t="n">
        <f aca="false">C28-152000</f>
        <v>147527</v>
      </c>
      <c r="F28" s="266" t="n">
        <f aca="false">D28/$D$2</f>
        <v>-115.956642298966</v>
      </c>
      <c r="G28" s="267" t="n">
        <v>121</v>
      </c>
      <c r="H28" s="650" t="n">
        <v>0.02</v>
      </c>
      <c r="I28" s="267" t="n">
        <f aca="false">G28+H28</f>
        <v>121.02</v>
      </c>
      <c r="J28" s="247" t="n">
        <f aca="false">IF(L28&gt;0,L28,0)</f>
        <v>0</v>
      </c>
      <c r="K28" s="267" t="n">
        <f aca="false">I28+J28</f>
        <v>121.02</v>
      </c>
      <c r="L28" s="267" t="n">
        <f aca="false">F28-(I28-AC28)</f>
        <v>-57.9766422989665</v>
      </c>
      <c r="M28" s="269" t="n">
        <v>86</v>
      </c>
      <c r="N28" s="631" t="n">
        <f aca="false">2.1*1.03</f>
        <v>2.163</v>
      </c>
      <c r="O28" s="267" t="n">
        <f aca="false">(8.3+8.6)*1.05</f>
        <v>17.745</v>
      </c>
      <c r="P28" s="389" t="n">
        <f aca="false">1.51*1.02</f>
        <v>1.5402</v>
      </c>
      <c r="Q28" s="125" t="n">
        <f aca="false">3.3*1.04</f>
        <v>3.432</v>
      </c>
      <c r="R28" s="132" t="n">
        <v>0</v>
      </c>
      <c r="S28" s="267" t="n">
        <v>29</v>
      </c>
      <c r="T28" s="267" t="n">
        <v>19</v>
      </c>
      <c r="U28" s="267" t="n">
        <f aca="false">M28-N28-O28-P28-Q28-R28+S28+T28</f>
        <v>109.1198</v>
      </c>
      <c r="V28" s="242" t="n">
        <v>0</v>
      </c>
      <c r="W28" s="242" t="n">
        <v>0</v>
      </c>
      <c r="X28" s="267" t="n">
        <v>0</v>
      </c>
      <c r="Y28" s="128" t="n">
        <v>1.7</v>
      </c>
      <c r="Z28" s="129" t="n">
        <v>1.3</v>
      </c>
      <c r="AA28" s="267" t="n">
        <v>45</v>
      </c>
      <c r="AB28" s="242" t="n">
        <f aca="false">AB27-AA28</f>
        <v>6825.43307285102</v>
      </c>
      <c r="AC28" s="634" t="n">
        <f aca="false">N28+O28+P28+Q28+R28+U28+X28+AA28</f>
        <v>179</v>
      </c>
      <c r="AD28" s="267" t="n">
        <f aca="false">IF(L28&lt;0,L28*-1,0)</f>
        <v>57.9766422989665</v>
      </c>
      <c r="AE28" s="267" t="n">
        <f aca="false">AC28+AD28</f>
        <v>236.976642298966</v>
      </c>
      <c r="AF28" s="380" t="n">
        <v>0</v>
      </c>
      <c r="AG28" s="250" t="n">
        <v>66</v>
      </c>
      <c r="AH28" s="249" t="n">
        <v>36</v>
      </c>
      <c r="AI28" s="244" t="n">
        <f aca="false">AI27</f>
        <v>16467.3080282</v>
      </c>
      <c r="AJ28" s="244"/>
      <c r="AK28" s="247" t="n">
        <v>0</v>
      </c>
      <c r="AL28" s="367" t="n">
        <v>0</v>
      </c>
      <c r="AM28" s="242"/>
    </row>
    <row r="29" customFormat="false" ht="12.95" hidden="false" customHeight="true" outlineLevel="0" collapsed="false">
      <c r="A29" s="172" t="n">
        <f aca="false">A28+1</f>
        <v>18</v>
      </c>
      <c r="B29" s="252" t="n">
        <v>6904.18</v>
      </c>
      <c r="C29" s="242" t="n">
        <v>299260</v>
      </c>
      <c r="D29" s="244" t="n">
        <f aca="false">C29-C28</f>
        <v>-267</v>
      </c>
      <c r="E29" s="242" t="n">
        <f aca="false">C29-152000</f>
        <v>147260</v>
      </c>
      <c r="F29" s="266" t="n">
        <f aca="false">D29/$D$2</f>
        <v>-134.61053692967</v>
      </c>
      <c r="G29" s="267" t="n">
        <v>120</v>
      </c>
      <c r="H29" s="650" t="n">
        <v>0.03</v>
      </c>
      <c r="I29" s="267" t="n">
        <f aca="false">G29+H29</f>
        <v>120.03</v>
      </c>
      <c r="J29" s="247" t="n">
        <f aca="false">IF(L29&gt;0,L29,0)</f>
        <v>0</v>
      </c>
      <c r="K29" s="267" t="n">
        <f aca="false">I29+J29</f>
        <v>120.03</v>
      </c>
      <c r="L29" s="267" t="n">
        <f aca="false">F29-(I29-AC29)</f>
        <v>-43.6405369296698</v>
      </c>
      <c r="M29" s="269" t="n">
        <v>117</v>
      </c>
      <c r="N29" s="631" t="n">
        <f aca="false">2.1*1.03</f>
        <v>2.163</v>
      </c>
      <c r="O29" s="267" t="n">
        <f aca="false">(28+29)*1.05</f>
        <v>59.85</v>
      </c>
      <c r="P29" s="389" t="n">
        <f aca="false">1.51*1.02</f>
        <v>1.5402</v>
      </c>
      <c r="Q29" s="125" t="n">
        <f aca="false">2.54*1.04</f>
        <v>2.6416</v>
      </c>
      <c r="R29" s="132" t="n">
        <v>0</v>
      </c>
      <c r="S29" s="267" t="n">
        <v>29</v>
      </c>
      <c r="T29" s="267" t="n">
        <v>20</v>
      </c>
      <c r="U29" s="267" t="n">
        <f aca="false">M29-N29-O29-P29-Q29-R29+S29+T29</f>
        <v>99.8052</v>
      </c>
      <c r="V29" s="242" t="n">
        <v>0</v>
      </c>
      <c r="W29" s="242" t="n">
        <v>0</v>
      </c>
      <c r="X29" s="267" t="n">
        <v>0</v>
      </c>
      <c r="Y29" s="128" t="n">
        <v>1.7</v>
      </c>
      <c r="Z29" s="129" t="n">
        <v>1.3</v>
      </c>
      <c r="AA29" s="267" t="n">
        <v>45</v>
      </c>
      <c r="AB29" s="242" t="n">
        <f aca="false">AB28-AA29</f>
        <v>6780.43307285102</v>
      </c>
      <c r="AC29" s="634" t="n">
        <f aca="false">N29+O29+P29+Q29+R29+U29+X29+AA29</f>
        <v>211</v>
      </c>
      <c r="AD29" s="267" t="n">
        <f aca="false">IF(L29&lt;0,L29*-1,0)</f>
        <v>43.6405369296698</v>
      </c>
      <c r="AE29" s="267" t="n">
        <f aca="false">AC29+AD29</f>
        <v>254.64053692967</v>
      </c>
      <c r="AF29" s="380" t="n">
        <v>0.34</v>
      </c>
      <c r="AG29" s="250" t="n">
        <v>63</v>
      </c>
      <c r="AH29" s="249" t="n">
        <v>41</v>
      </c>
      <c r="AI29" s="244" t="n">
        <f aca="false">AI28</f>
        <v>16467.3080282</v>
      </c>
      <c r="AJ29" s="244"/>
      <c r="AK29" s="247" t="n">
        <v>0</v>
      </c>
      <c r="AL29" s="367" t="n">
        <v>0</v>
      </c>
      <c r="AM29" s="242"/>
    </row>
    <row r="30" customFormat="false" ht="12.95" hidden="false" customHeight="true" outlineLevel="0" collapsed="false">
      <c r="A30" s="172" t="n">
        <f aca="false">A29+1</f>
        <v>19</v>
      </c>
      <c r="B30" s="252" t="n">
        <v>6904.22</v>
      </c>
      <c r="C30" s="370" t="n">
        <v>299412</v>
      </c>
      <c r="D30" s="244" t="n">
        <f aca="false">C30-C29</f>
        <v>152</v>
      </c>
      <c r="E30" s="242" t="n">
        <f aca="false">C30-152000</f>
        <v>147412</v>
      </c>
      <c r="F30" s="266" t="n">
        <f aca="false">D30/$D$2</f>
        <v>76.6322157801865</v>
      </c>
      <c r="G30" s="267" t="n">
        <v>179</v>
      </c>
      <c r="H30" s="650" t="n">
        <v>0.04</v>
      </c>
      <c r="I30" s="267" t="n">
        <f aca="false">G30+H30</f>
        <v>179.04</v>
      </c>
      <c r="J30" s="247" t="n">
        <f aca="false">IF(L30&gt;0,L30,0)</f>
        <v>87.5922157801866</v>
      </c>
      <c r="K30" s="267" t="n">
        <f aca="false">I30+J30</f>
        <v>266.632215780187</v>
      </c>
      <c r="L30" s="267" t="n">
        <f aca="false">F30-(I30-AC30)</f>
        <v>87.5922157801866</v>
      </c>
      <c r="M30" s="269" t="n">
        <v>100</v>
      </c>
      <c r="N30" s="631" t="n">
        <f aca="false">2.1*1.03</f>
        <v>2.163</v>
      </c>
      <c r="O30" s="267" t="n">
        <f aca="false">(27+27)*1.05</f>
        <v>56.7</v>
      </c>
      <c r="P30" s="389" t="n">
        <f aca="false">1.51*1.02</f>
        <v>1.5402</v>
      </c>
      <c r="Q30" s="125" t="n">
        <f aca="false">3.17*1.04</f>
        <v>3.2968</v>
      </c>
      <c r="R30" s="132" t="n">
        <v>0</v>
      </c>
      <c r="S30" s="267" t="n">
        <v>26</v>
      </c>
      <c r="T30" s="267" t="n">
        <v>19</v>
      </c>
      <c r="U30" s="267" t="n">
        <f aca="false">M30-N30-O30-P30-Q30-R30+S30+T30</f>
        <v>81.3</v>
      </c>
      <c r="V30" s="242" t="n">
        <v>0</v>
      </c>
      <c r="W30" s="242" t="n">
        <v>0</v>
      </c>
      <c r="X30" s="267" t="n">
        <v>0</v>
      </c>
      <c r="Y30" s="128" t="n">
        <v>1.7</v>
      </c>
      <c r="Z30" s="129" t="n">
        <v>1.3</v>
      </c>
      <c r="AA30" s="267" t="n">
        <v>45</v>
      </c>
      <c r="AB30" s="242" t="n">
        <f aca="false">AB29-AA30</f>
        <v>6735.43307285102</v>
      </c>
      <c r="AC30" s="634" t="n">
        <f aca="false">N30+O30+P30+Q30+R30+U30+X30+AA30</f>
        <v>190</v>
      </c>
      <c r="AD30" s="267" t="n">
        <f aca="false">IF(L30&lt;0,L30*-1,0)</f>
        <v>0</v>
      </c>
      <c r="AE30" s="267" t="n">
        <f aca="false">AC30+AD30</f>
        <v>190</v>
      </c>
      <c r="AF30" s="380" t="n">
        <v>0.04</v>
      </c>
      <c r="AG30" s="250" t="n">
        <v>49</v>
      </c>
      <c r="AH30" s="249" t="n">
        <v>36</v>
      </c>
      <c r="AI30" s="244" t="n">
        <f aca="false">AI29</f>
        <v>16467.3080282</v>
      </c>
      <c r="AJ30" s="244"/>
      <c r="AK30" s="247" t="n">
        <v>0</v>
      </c>
      <c r="AL30" s="367" t="n">
        <v>0</v>
      </c>
      <c r="AM30" s="242"/>
    </row>
    <row r="31" customFormat="false" ht="12.95" hidden="false" customHeight="true" outlineLevel="0" collapsed="false">
      <c r="A31" s="172" t="n">
        <f aca="false">A30+1</f>
        <v>20</v>
      </c>
      <c r="B31" s="252" t="n">
        <v>6904.26</v>
      </c>
      <c r="C31" s="242" t="n">
        <v>299565</v>
      </c>
      <c r="D31" s="244" t="n">
        <f aca="false">C31-C30</f>
        <v>153</v>
      </c>
      <c r="E31" s="242" t="n">
        <f aca="false">C31-152000</f>
        <v>147565</v>
      </c>
      <c r="F31" s="266" t="n">
        <f aca="false">D31/$D$2</f>
        <v>77.1363750945299</v>
      </c>
      <c r="G31" s="267" t="n">
        <v>188</v>
      </c>
      <c r="H31" s="650" t="n">
        <v>0.03</v>
      </c>
      <c r="I31" s="267" t="n">
        <f aca="false">G31+H31</f>
        <v>188.03</v>
      </c>
      <c r="J31" s="247" t="n">
        <f aca="false">IF(L31&gt;0,L31,0)</f>
        <v>26.1063750945299</v>
      </c>
      <c r="K31" s="267" t="n">
        <f aca="false">I31+J31</f>
        <v>214.13637509453</v>
      </c>
      <c r="L31" s="267" t="n">
        <f aca="false">F31-(I31-AC31)</f>
        <v>26.1063750945299</v>
      </c>
      <c r="M31" s="269" t="n">
        <v>50</v>
      </c>
      <c r="N31" s="631" t="n">
        <f aca="false">2.1*1.03</f>
        <v>2.163</v>
      </c>
      <c r="O31" s="267" t="n">
        <f aca="false">(15+16)*1.05</f>
        <v>32.55</v>
      </c>
      <c r="P31" s="389" t="n">
        <f aca="false">1.51*1.02</f>
        <v>1.5402</v>
      </c>
      <c r="Q31" s="125" t="n">
        <f aca="false">3.31*1.04</f>
        <v>3.4424</v>
      </c>
      <c r="R31" s="132" t="n">
        <v>0</v>
      </c>
      <c r="S31" s="267" t="n">
        <v>24</v>
      </c>
      <c r="T31" s="267" t="n">
        <v>18</v>
      </c>
      <c r="U31" s="267" t="n">
        <f aca="false">M31-N31-O31-P31-Q31-R31+S31+T31</f>
        <v>52.3044</v>
      </c>
      <c r="V31" s="242" t="n">
        <v>0</v>
      </c>
      <c r="W31" s="242" t="n">
        <v>0</v>
      </c>
      <c r="X31" s="267" t="n">
        <v>0</v>
      </c>
      <c r="Y31" s="128" t="n">
        <v>1.7</v>
      </c>
      <c r="Z31" s="129" t="n">
        <v>1.3</v>
      </c>
      <c r="AA31" s="267" t="n">
        <v>45</v>
      </c>
      <c r="AB31" s="242" t="n">
        <f aca="false">AB30-AA31</f>
        <v>6690.43307285102</v>
      </c>
      <c r="AC31" s="634" t="n">
        <f aca="false">N31+O31+P31+Q31+R31+U31+X31+AA31</f>
        <v>137</v>
      </c>
      <c r="AD31" s="267" t="n">
        <f aca="false">IF(L31&lt;0,L31*-1,0)</f>
        <v>0</v>
      </c>
      <c r="AE31" s="267" t="n">
        <f aca="false">AC31+AD31</f>
        <v>137</v>
      </c>
      <c r="AF31" s="380" t="n">
        <v>0</v>
      </c>
      <c r="AG31" s="250" t="n">
        <v>61</v>
      </c>
      <c r="AH31" s="249" t="n">
        <v>35</v>
      </c>
      <c r="AI31" s="244" t="n">
        <f aca="false">AI30</f>
        <v>16467.3080282</v>
      </c>
      <c r="AJ31" s="244"/>
      <c r="AK31" s="247" t="n">
        <v>0</v>
      </c>
      <c r="AL31" s="367" t="n">
        <v>0</v>
      </c>
      <c r="AM31" s="242"/>
    </row>
    <row r="32" customFormat="false" ht="12.95" hidden="false" customHeight="true" outlineLevel="0" collapsed="false">
      <c r="A32" s="172" t="n">
        <f aca="false">A31+1</f>
        <v>21</v>
      </c>
      <c r="B32" s="252" t="n">
        <v>6904.26</v>
      </c>
      <c r="C32" s="242" t="n">
        <v>299565</v>
      </c>
      <c r="D32" s="244" t="n">
        <f aca="false">C32-C31</f>
        <v>0</v>
      </c>
      <c r="E32" s="242" t="n">
        <f aca="false">C32-152000</f>
        <v>147565</v>
      </c>
      <c r="F32" s="266" t="n">
        <f aca="false">D32/$D$2</f>
        <v>0</v>
      </c>
      <c r="G32" s="267" t="n">
        <v>170</v>
      </c>
      <c r="H32" s="650" t="n">
        <v>0.03</v>
      </c>
      <c r="I32" s="267" t="n">
        <f aca="false">G32+H32</f>
        <v>170.03</v>
      </c>
      <c r="J32" s="247" t="n">
        <f aca="false">IF(L32&gt;0,L32,0)</f>
        <v>0</v>
      </c>
      <c r="K32" s="267" t="n">
        <f aca="false">I32+J32</f>
        <v>170.03</v>
      </c>
      <c r="L32" s="267" t="n">
        <f aca="false">F32-(I32-AC32)</f>
        <v>-48.03</v>
      </c>
      <c r="M32" s="269" t="n">
        <v>37</v>
      </c>
      <c r="N32" s="631" t="n">
        <f aca="false">2.1*1.03</f>
        <v>2.163</v>
      </c>
      <c r="O32" s="267" t="n">
        <f aca="false">(2.7+8.1)*1.05</f>
        <v>11.34</v>
      </c>
      <c r="P32" s="389" t="n">
        <f aca="false">1.51*1.02</f>
        <v>1.5402</v>
      </c>
      <c r="Q32" s="125" t="n">
        <f aca="false">2.56*1.04</f>
        <v>2.6624</v>
      </c>
      <c r="R32" s="132" t="n">
        <v>0</v>
      </c>
      <c r="S32" s="267" t="n">
        <v>24</v>
      </c>
      <c r="T32" s="267" t="n">
        <v>16</v>
      </c>
      <c r="U32" s="267" t="n">
        <f aca="false">M32-N32-O32-P32-Q32-R32+S32+T32</f>
        <v>59.2944</v>
      </c>
      <c r="V32" s="242" t="n">
        <v>0</v>
      </c>
      <c r="W32" s="242" t="n">
        <v>0</v>
      </c>
      <c r="X32" s="267" t="n">
        <v>0</v>
      </c>
      <c r="Y32" s="128" t="n">
        <v>1.7</v>
      </c>
      <c r="Z32" s="129" t="n">
        <v>1.3</v>
      </c>
      <c r="AA32" s="267" t="n">
        <v>45</v>
      </c>
      <c r="AB32" s="242" t="n">
        <f aca="false">AB31-AA32</f>
        <v>6645.43307285102</v>
      </c>
      <c r="AC32" s="634" t="n">
        <f aca="false">N32+O32+P32+Q32+R32+U32+X32+AA32</f>
        <v>122</v>
      </c>
      <c r="AD32" s="267" t="n">
        <f aca="false">IF(L32&lt;0,L32*-1,0)</f>
        <v>48.03</v>
      </c>
      <c r="AE32" s="267" t="n">
        <f aca="false">AC32+AD32</f>
        <v>170.03</v>
      </c>
      <c r="AF32" s="380" t="n">
        <v>0</v>
      </c>
      <c r="AG32" s="244" t="n">
        <v>64</v>
      </c>
      <c r="AH32" s="249" t="n">
        <v>38</v>
      </c>
      <c r="AI32" s="244" t="n">
        <f aca="false">AI31</f>
        <v>16467.3080282</v>
      </c>
      <c r="AJ32" s="244"/>
      <c r="AK32" s="247" t="n">
        <v>0</v>
      </c>
      <c r="AL32" s="367" t="n">
        <v>0</v>
      </c>
      <c r="AM32" s="242"/>
    </row>
    <row r="33" customFormat="false" ht="12.95" hidden="false" customHeight="true" outlineLevel="0" collapsed="false">
      <c r="A33" s="172" t="n">
        <f aca="false">A32+1</f>
        <v>22</v>
      </c>
      <c r="B33" s="252" t="n">
        <v>6904.27</v>
      </c>
      <c r="C33" s="242" t="n">
        <v>299604</v>
      </c>
      <c r="D33" s="244" t="n">
        <f aca="false">C33-C32</f>
        <v>39</v>
      </c>
      <c r="E33" s="242" t="n">
        <f aca="false">C33-152000</f>
        <v>147604</v>
      </c>
      <c r="F33" s="266" t="n">
        <f aca="false">D33/$D$2</f>
        <v>19.66221325939</v>
      </c>
      <c r="G33" s="267" t="n">
        <v>159</v>
      </c>
      <c r="H33" s="650" t="n">
        <v>1.7</v>
      </c>
      <c r="I33" s="267" t="n">
        <f aca="false">G33+H33</f>
        <v>160.7</v>
      </c>
      <c r="J33" s="247" t="n">
        <f aca="false">IF(L33&gt;0,L33,0)</f>
        <v>0</v>
      </c>
      <c r="K33" s="267" t="n">
        <f aca="false">I33+J33</f>
        <v>160.7</v>
      </c>
      <c r="L33" s="267" t="n">
        <f aca="false">F33-(I33-AC33)</f>
        <v>-24.03778674061</v>
      </c>
      <c r="M33" s="269" t="n">
        <v>34</v>
      </c>
      <c r="N33" s="631" t="n">
        <f aca="false">2.1*1.03</f>
        <v>2.163</v>
      </c>
      <c r="O33" s="267" t="n">
        <f aca="false">(0+6.1)*1.053</f>
        <v>6.4233</v>
      </c>
      <c r="P33" s="389" t="n">
        <f aca="false">1.51*1.02</f>
        <v>1.5402</v>
      </c>
      <c r="Q33" s="125" t="n">
        <f aca="false">2.45*1.04</f>
        <v>2.548</v>
      </c>
      <c r="R33" s="132" t="n">
        <v>0</v>
      </c>
      <c r="S33" s="267" t="n">
        <v>23</v>
      </c>
      <c r="T33" s="267" t="n">
        <v>15</v>
      </c>
      <c r="U33" s="267" t="n">
        <f aca="false">M33-N33-O33-P33-Q33-R33+S33+T33</f>
        <v>59.3255</v>
      </c>
      <c r="V33" s="242" t="n">
        <v>0</v>
      </c>
      <c r="W33" s="242" t="n">
        <v>0</v>
      </c>
      <c r="X33" s="267" t="n">
        <v>0</v>
      </c>
      <c r="Y33" s="128" t="n">
        <v>1.7</v>
      </c>
      <c r="Z33" s="129" t="n">
        <v>1.3</v>
      </c>
      <c r="AA33" s="267" t="n">
        <v>45</v>
      </c>
      <c r="AB33" s="242" t="n">
        <f aca="false">AB32-AA33</f>
        <v>6600.43307285102</v>
      </c>
      <c r="AC33" s="634" t="n">
        <f aca="false">N33+O33+P33+Q33+R33+U33+X33+AA33</f>
        <v>117</v>
      </c>
      <c r="AD33" s="267" t="n">
        <f aca="false">IF(L33&lt;0,L33*-1,0)</f>
        <v>24.03778674061</v>
      </c>
      <c r="AE33" s="267" t="n">
        <f aca="false">AC33+AD33</f>
        <v>141.03778674061</v>
      </c>
      <c r="AF33" s="380" t="n">
        <v>0</v>
      </c>
      <c r="AG33" s="244" t="n">
        <v>64</v>
      </c>
      <c r="AH33" s="249" t="n">
        <v>38</v>
      </c>
      <c r="AI33" s="244" t="n">
        <f aca="false">AI32</f>
        <v>16467.3080282</v>
      </c>
      <c r="AJ33" s="244"/>
      <c r="AK33" s="247" t="n">
        <v>0</v>
      </c>
      <c r="AL33" s="367" t="n">
        <v>0</v>
      </c>
      <c r="AM33" s="242"/>
      <c r="AN33" s="651"/>
    </row>
    <row r="34" customFormat="false" ht="12.95" hidden="false" customHeight="true" outlineLevel="0" collapsed="false">
      <c r="A34" s="172" t="n">
        <f aca="false">A33+1</f>
        <v>23</v>
      </c>
      <c r="B34" s="252" t="n">
        <v>6904.28</v>
      </c>
      <c r="C34" s="242" t="n">
        <v>299642</v>
      </c>
      <c r="D34" s="244" t="n">
        <f aca="false">C34-C33</f>
        <v>38</v>
      </c>
      <c r="E34" s="242" t="n">
        <f aca="false">C34-152000</f>
        <v>147642</v>
      </c>
      <c r="F34" s="266" t="n">
        <f aca="false">D34/$D$2</f>
        <v>19.1580539450466</v>
      </c>
      <c r="G34" s="267" t="n">
        <v>147</v>
      </c>
      <c r="H34" s="650" t="n">
        <v>2.1</v>
      </c>
      <c r="I34" s="267" t="n">
        <f aca="false">G34+H34</f>
        <v>149.1</v>
      </c>
      <c r="J34" s="247" t="n">
        <f aca="false">IF(L34&gt;0,L34,0)</f>
        <v>0</v>
      </c>
      <c r="K34" s="267" t="n">
        <f aca="false">I34+J34</f>
        <v>149.1</v>
      </c>
      <c r="L34" s="267" t="n">
        <f aca="false">F34-(I34-AC34)</f>
        <v>-11.9419460549534</v>
      </c>
      <c r="M34" s="269" t="n">
        <v>36</v>
      </c>
      <c r="N34" s="631" t="n">
        <f aca="false">2.1*1.03</f>
        <v>2.163</v>
      </c>
      <c r="O34" s="267" t="n">
        <f aca="false">(0+7.7)*1.05</f>
        <v>8.085</v>
      </c>
      <c r="P34" s="389" t="n">
        <f aca="false">1.51*1.02</f>
        <v>1.5402</v>
      </c>
      <c r="Q34" s="125" t="n">
        <f aca="false">2.47*1.04</f>
        <v>2.5688</v>
      </c>
      <c r="R34" s="132" t="n">
        <v>0</v>
      </c>
      <c r="S34" s="267" t="n">
        <v>22</v>
      </c>
      <c r="T34" s="267" t="n">
        <v>15</v>
      </c>
      <c r="U34" s="267" t="n">
        <f aca="false">M34-N34-O34-P34-Q34-R34+S34+T34</f>
        <v>58.643</v>
      </c>
      <c r="V34" s="242" t="n">
        <v>0</v>
      </c>
      <c r="W34" s="242" t="n">
        <v>0</v>
      </c>
      <c r="X34" s="267" t="n">
        <v>0</v>
      </c>
      <c r="Y34" s="128" t="n">
        <v>1.7</v>
      </c>
      <c r="Z34" s="129" t="n">
        <v>1.3</v>
      </c>
      <c r="AA34" s="267" t="n">
        <v>45</v>
      </c>
      <c r="AB34" s="242" t="n">
        <f aca="false">AB33-AA34</f>
        <v>6555.43307285102</v>
      </c>
      <c r="AC34" s="634" t="n">
        <f aca="false">N34+O34+P34+Q34+R34+U34+X34+AA34</f>
        <v>118</v>
      </c>
      <c r="AD34" s="267" t="n">
        <f aca="false">IF(L34&lt;0,L34*-1,0)</f>
        <v>11.9419460549534</v>
      </c>
      <c r="AE34" s="267" t="n">
        <f aca="false">AC34+AD34</f>
        <v>129.941946054953</v>
      </c>
      <c r="AF34" s="380" t="n">
        <v>0</v>
      </c>
      <c r="AG34" s="244" t="n">
        <v>66</v>
      </c>
      <c r="AH34" s="271" t="n">
        <v>41</v>
      </c>
      <c r="AI34" s="244" t="n">
        <f aca="false">AI33</f>
        <v>16467.3080282</v>
      </c>
      <c r="AJ34" s="244"/>
      <c r="AK34" s="247" t="n">
        <v>0</v>
      </c>
      <c r="AL34" s="367" t="n">
        <v>0</v>
      </c>
      <c r="AM34" s="242"/>
      <c r="AN34" s="601" t="s">
        <v>93</v>
      </c>
    </row>
    <row r="35" customFormat="false" ht="12.95" hidden="false" customHeight="true" outlineLevel="0" collapsed="false">
      <c r="A35" s="172" t="n">
        <f aca="false">A34+1</f>
        <v>24</v>
      </c>
      <c r="B35" s="252" t="n">
        <v>6904.26</v>
      </c>
      <c r="C35" s="242" t="n">
        <v>299565</v>
      </c>
      <c r="D35" s="244" t="n">
        <f aca="false">C35-C34</f>
        <v>-77</v>
      </c>
      <c r="E35" s="242" t="n">
        <f aca="false">C35-152000</f>
        <v>147565</v>
      </c>
      <c r="F35" s="266" t="n">
        <f aca="false">D35/$D$2</f>
        <v>-38.8202672044366</v>
      </c>
      <c r="G35" s="267" t="n">
        <v>137</v>
      </c>
      <c r="H35" s="650" t="n">
        <v>2</v>
      </c>
      <c r="I35" s="267" t="n">
        <f aca="false">G35+H35</f>
        <v>139</v>
      </c>
      <c r="J35" s="247" t="n">
        <f aca="false">IF(L35&gt;0,L35,0)</f>
        <v>0</v>
      </c>
      <c r="K35" s="267" t="n">
        <f aca="false">I35+J35</f>
        <v>139</v>
      </c>
      <c r="L35" s="267" t="n">
        <f aca="false">F35-(I35-AC35)</f>
        <v>-21.8202672044366</v>
      </c>
      <c r="M35" s="269" t="n">
        <v>75</v>
      </c>
      <c r="N35" s="631" t="n">
        <f aca="false">2.1*1.03</f>
        <v>2.163</v>
      </c>
      <c r="O35" s="267" t="n">
        <f aca="false">(8.9+14)*1.05</f>
        <v>24.045</v>
      </c>
      <c r="P35" s="389" t="n">
        <f aca="false">1.51*1.02</f>
        <v>1.5402</v>
      </c>
      <c r="Q35" s="125" t="n">
        <f aca="false">2.55*1.04</f>
        <v>2.652</v>
      </c>
      <c r="R35" s="132" t="n">
        <v>0</v>
      </c>
      <c r="S35" s="267" t="n">
        <v>21</v>
      </c>
      <c r="T35" s="267" t="n">
        <v>15</v>
      </c>
      <c r="U35" s="267" t="n">
        <f aca="false">M35-N35-O35-P35-Q35-R35+S35+T35</f>
        <v>80.5998</v>
      </c>
      <c r="V35" s="242" t="n">
        <v>0</v>
      </c>
      <c r="W35" s="242" t="n">
        <v>0</v>
      </c>
      <c r="X35" s="267" t="n">
        <v>0</v>
      </c>
      <c r="Y35" s="128" t="n">
        <v>1.7</v>
      </c>
      <c r="Z35" s="129" t="n">
        <v>1.3</v>
      </c>
      <c r="AA35" s="267" t="n">
        <v>45</v>
      </c>
      <c r="AB35" s="242" t="n">
        <f aca="false">AB34-AA35</f>
        <v>6510.43307285102</v>
      </c>
      <c r="AC35" s="634" t="n">
        <f aca="false">N35+O35+P35+Q35+R35+U35+X35+AA35</f>
        <v>156</v>
      </c>
      <c r="AD35" s="267" t="n">
        <f aca="false">IF(L35&lt;0,L35*-1,0)</f>
        <v>21.8202672044366</v>
      </c>
      <c r="AE35" s="267" t="n">
        <f aca="false">AC35+AD35</f>
        <v>177.820267204437</v>
      </c>
      <c r="AF35" s="380" t="n">
        <v>0</v>
      </c>
      <c r="AG35" s="244" t="n">
        <v>64</v>
      </c>
      <c r="AH35" s="271" t="n">
        <v>37</v>
      </c>
      <c r="AI35" s="244" t="n">
        <f aca="false">AI34</f>
        <v>16467.3080282</v>
      </c>
      <c r="AJ35" s="244"/>
      <c r="AK35" s="247" t="n">
        <v>0</v>
      </c>
      <c r="AL35" s="367" t="n">
        <v>0</v>
      </c>
      <c r="AM35" s="242"/>
    </row>
    <row r="36" customFormat="false" ht="12.95" hidden="false" customHeight="true" outlineLevel="0" collapsed="false">
      <c r="A36" s="172" t="n">
        <v>25</v>
      </c>
      <c r="B36" s="252" t="n">
        <v>6904.22</v>
      </c>
      <c r="C36" s="242" t="n">
        <v>299412</v>
      </c>
      <c r="D36" s="244" t="n">
        <f aca="false">C36-C35</f>
        <v>-153</v>
      </c>
      <c r="E36" s="242" t="n">
        <f aca="false">C36-152000</f>
        <v>147412</v>
      </c>
      <c r="F36" s="266" t="n">
        <f aca="false">D36/$D$2</f>
        <v>-77.1363750945299</v>
      </c>
      <c r="G36" s="267" t="n">
        <v>128</v>
      </c>
      <c r="H36" s="650" t="n">
        <v>1.8</v>
      </c>
      <c r="I36" s="267" t="n">
        <f aca="false">G36+H36</f>
        <v>129.8</v>
      </c>
      <c r="J36" s="247" t="n">
        <f aca="false">IF(L36&gt;0,L36,0)</f>
        <v>0</v>
      </c>
      <c r="K36" s="267" t="n">
        <f aca="false">I36+J36</f>
        <v>129.8</v>
      </c>
      <c r="L36" s="267" t="n">
        <f aca="false">F36-(I36-AC36)</f>
        <v>-11.9363750945299</v>
      </c>
      <c r="M36" s="269" t="n">
        <v>116</v>
      </c>
      <c r="N36" s="631" t="n">
        <f aca="false">2.1*1.03</f>
        <v>2.163</v>
      </c>
      <c r="O36" s="267" t="n">
        <f aca="false">(25+25)*1.05</f>
        <v>52.5</v>
      </c>
      <c r="P36" s="389" t="n">
        <f aca="false">1.51*1.02</f>
        <v>1.5402</v>
      </c>
      <c r="Q36" s="125" t="n">
        <f aca="false">2.4*1.04</f>
        <v>2.496</v>
      </c>
      <c r="R36" s="132" t="n">
        <v>0</v>
      </c>
      <c r="S36" s="267" t="n">
        <v>21</v>
      </c>
      <c r="T36" s="267" t="n">
        <v>13</v>
      </c>
      <c r="U36" s="267" t="n">
        <f aca="false">M36-N36-O36-P36-Q36-R36+S36+T36</f>
        <v>91.3008</v>
      </c>
      <c r="V36" s="242" t="n">
        <v>0</v>
      </c>
      <c r="W36" s="242" t="n">
        <v>0</v>
      </c>
      <c r="X36" s="267" t="n">
        <v>0</v>
      </c>
      <c r="Y36" s="128" t="n">
        <v>1.7</v>
      </c>
      <c r="Z36" s="129" t="n">
        <v>1.3</v>
      </c>
      <c r="AA36" s="267" t="n">
        <v>45</v>
      </c>
      <c r="AB36" s="242" t="n">
        <f aca="false">AB35-AA36</f>
        <v>6465.43307285102</v>
      </c>
      <c r="AC36" s="634" t="n">
        <f aca="false">N36+O36+P36+Q36+R36+U36+X36+AA36</f>
        <v>195</v>
      </c>
      <c r="AD36" s="267" t="n">
        <f aca="false">IF(L36&lt;0,L36*-1,0)</f>
        <v>11.9363750945299</v>
      </c>
      <c r="AE36" s="267" t="n">
        <f aca="false">AC36+AD36</f>
        <v>206.93637509453</v>
      </c>
      <c r="AF36" s="380" t="n">
        <v>0.03</v>
      </c>
      <c r="AG36" s="244" t="n">
        <v>66</v>
      </c>
      <c r="AH36" s="271" t="n">
        <v>39</v>
      </c>
      <c r="AI36" s="244" t="n">
        <f aca="false">AI35</f>
        <v>16467.3080282</v>
      </c>
      <c r="AJ36" s="244"/>
      <c r="AK36" s="247" t="n">
        <v>0</v>
      </c>
      <c r="AL36" s="367" t="n">
        <v>0</v>
      </c>
      <c r="AM36" s="242"/>
    </row>
    <row r="37" customFormat="false" ht="12.95" hidden="false" customHeight="true" outlineLevel="0" collapsed="false">
      <c r="A37" s="172" t="n">
        <v>26</v>
      </c>
      <c r="B37" s="252" t="n">
        <v>6904.21</v>
      </c>
      <c r="C37" s="242" t="n">
        <v>299374</v>
      </c>
      <c r="D37" s="244" t="n">
        <f aca="false">C37-C36</f>
        <v>-38</v>
      </c>
      <c r="E37" s="242" t="n">
        <f aca="false">C37-152000</f>
        <v>147374</v>
      </c>
      <c r="F37" s="266" t="n">
        <f aca="false">D37/$D$2</f>
        <v>-19.1580539450466</v>
      </c>
      <c r="G37" s="267" t="n">
        <v>126</v>
      </c>
      <c r="H37" s="650" t="n">
        <v>1.8</v>
      </c>
      <c r="I37" s="267" t="n">
        <f aca="false">G37+H37</f>
        <v>127.8</v>
      </c>
      <c r="J37" s="247" t="n">
        <f aca="false">IF(L37&gt;0,L37,0)</f>
        <v>42.0419460549534</v>
      </c>
      <c r="K37" s="267" t="n">
        <f aca="false">I37+J37</f>
        <v>169.841946054953</v>
      </c>
      <c r="L37" s="267" t="n">
        <f aca="false">F37-(I37-AC37)</f>
        <v>42.0419460549534</v>
      </c>
      <c r="M37" s="269" t="n">
        <v>110</v>
      </c>
      <c r="N37" s="631" t="n">
        <f aca="false">2.1*1.03</f>
        <v>2.163</v>
      </c>
      <c r="O37" s="267" t="n">
        <f aca="false">(25+28)*1.05</f>
        <v>55.65</v>
      </c>
      <c r="P37" s="389" t="n">
        <f aca="false">1.51*1.02</f>
        <v>1.5402</v>
      </c>
      <c r="Q37" s="125" t="n">
        <f aca="false">2.43*1.04</f>
        <v>2.5272</v>
      </c>
      <c r="R37" s="132" t="n">
        <v>0</v>
      </c>
      <c r="S37" s="267" t="n">
        <v>21</v>
      </c>
      <c r="T37" s="267" t="n">
        <v>13</v>
      </c>
      <c r="U37" s="267" t="n">
        <f aca="false">M37-N37-O37-P37-Q37-R37+S37+T37</f>
        <v>82.1196</v>
      </c>
      <c r="V37" s="242" t="n">
        <v>0</v>
      </c>
      <c r="W37" s="242" t="n">
        <v>0</v>
      </c>
      <c r="X37" s="267" t="n">
        <v>0</v>
      </c>
      <c r="Y37" s="128" t="n">
        <v>1.7</v>
      </c>
      <c r="Z37" s="129" t="n">
        <v>1.3</v>
      </c>
      <c r="AA37" s="267" t="n">
        <v>45</v>
      </c>
      <c r="AB37" s="242" t="n">
        <f aca="false">AB36-AA37</f>
        <v>6420.43307285102</v>
      </c>
      <c r="AC37" s="634" t="n">
        <f aca="false">N37+O37+P37+Q37+R37+U37+X37+AA37</f>
        <v>189</v>
      </c>
      <c r="AD37" s="267" t="n">
        <f aca="false">IF(L37&lt;0,L37*-1,0)</f>
        <v>0</v>
      </c>
      <c r="AE37" s="267" t="n">
        <f aca="false">AC37+AD37</f>
        <v>189</v>
      </c>
      <c r="AF37" s="380" t="n">
        <v>0.01</v>
      </c>
      <c r="AG37" s="244" t="n">
        <v>63</v>
      </c>
      <c r="AH37" s="271" t="n">
        <v>37</v>
      </c>
      <c r="AI37" s="244" t="n">
        <f aca="false">AI36</f>
        <v>16467.3080282</v>
      </c>
      <c r="AJ37" s="244"/>
      <c r="AK37" s="247" t="n">
        <v>0</v>
      </c>
      <c r="AL37" s="367" t="n">
        <v>0</v>
      </c>
      <c r="AM37" s="242"/>
    </row>
    <row r="38" customFormat="false" ht="12.95" hidden="false" customHeight="true" outlineLevel="0" collapsed="false">
      <c r="A38" s="172" t="n">
        <v>27</v>
      </c>
      <c r="B38" s="252" t="n">
        <v>6904.22</v>
      </c>
      <c r="C38" s="242" t="n">
        <v>299412</v>
      </c>
      <c r="D38" s="244" t="n">
        <f aca="false">C38-C37</f>
        <v>38</v>
      </c>
      <c r="E38" s="242" t="n">
        <f aca="false">C38-152000</f>
        <v>147412</v>
      </c>
      <c r="F38" s="266" t="n">
        <f aca="false">D38/$D$2</f>
        <v>19.1580539450466</v>
      </c>
      <c r="G38" s="267" t="n">
        <v>127</v>
      </c>
      <c r="H38" s="650" t="n">
        <v>2.7</v>
      </c>
      <c r="I38" s="267" t="n">
        <f aca="false">G38+H38</f>
        <v>129.7</v>
      </c>
      <c r="J38" s="247" t="n">
        <f aca="false">IF(L38&gt;0,L38,0)</f>
        <v>33.4580539450466</v>
      </c>
      <c r="K38" s="267" t="n">
        <f aca="false">I38+J38</f>
        <v>163.158053945047</v>
      </c>
      <c r="L38" s="267" t="n">
        <f aca="false">F38-(I38-AC38)</f>
        <v>33.4580539450466</v>
      </c>
      <c r="M38" s="269" t="n">
        <v>65</v>
      </c>
      <c r="N38" s="631" t="n">
        <f aca="false">2.1*1.03</f>
        <v>2.163</v>
      </c>
      <c r="O38" s="267" t="n">
        <f aca="false">(20+23)*1.05</f>
        <v>45.15</v>
      </c>
      <c r="P38" s="389" t="n">
        <f aca="false">1.51*1.02</f>
        <v>1.5402</v>
      </c>
      <c r="Q38" s="125" t="n">
        <f aca="false">2.54*1.04</f>
        <v>2.6416</v>
      </c>
      <c r="R38" s="132" t="n">
        <v>0</v>
      </c>
      <c r="S38" s="267" t="n">
        <v>21</v>
      </c>
      <c r="T38" s="267" t="n">
        <v>13</v>
      </c>
      <c r="U38" s="267" t="n">
        <f aca="false">M38-N38-O38-P38-Q38-R38+S38+T38</f>
        <v>47.5052</v>
      </c>
      <c r="V38" s="242" t="n">
        <v>0</v>
      </c>
      <c r="W38" s="242" t="n">
        <v>0</v>
      </c>
      <c r="X38" s="267" t="n">
        <v>0</v>
      </c>
      <c r="Y38" s="128" t="n">
        <v>1.7</v>
      </c>
      <c r="Z38" s="129" t="n">
        <v>1.3</v>
      </c>
      <c r="AA38" s="267" t="n">
        <v>45</v>
      </c>
      <c r="AB38" s="242" t="n">
        <f aca="false">AB37-AA38</f>
        <v>6375.43307285102</v>
      </c>
      <c r="AC38" s="634" t="n">
        <f aca="false">N38+O38+P38+Q38+R38+U38+X38+AA38</f>
        <v>144</v>
      </c>
      <c r="AD38" s="267" t="n">
        <f aca="false">IF(L38&lt;0,L38*-1,0)</f>
        <v>0</v>
      </c>
      <c r="AE38" s="267" t="n">
        <f aca="false">AC38+AD38</f>
        <v>144</v>
      </c>
      <c r="AF38" s="380" t="n">
        <v>0</v>
      </c>
      <c r="AG38" s="244" t="n">
        <v>62</v>
      </c>
      <c r="AH38" s="271" t="n">
        <v>39</v>
      </c>
      <c r="AI38" s="244" t="n">
        <f aca="false">AI37</f>
        <v>16467.3080282</v>
      </c>
      <c r="AJ38" s="244"/>
      <c r="AK38" s="247" t="n">
        <v>0</v>
      </c>
      <c r="AL38" s="367" t="n">
        <v>0</v>
      </c>
      <c r="AM38" s="242"/>
    </row>
    <row r="39" customFormat="false" ht="12.95" hidden="false" customHeight="true" outlineLevel="0" collapsed="false">
      <c r="A39" s="172" t="n">
        <v>28</v>
      </c>
      <c r="B39" s="252" t="n">
        <v>6904.21</v>
      </c>
      <c r="C39" s="242" t="n">
        <v>299374</v>
      </c>
      <c r="D39" s="244" t="n">
        <f aca="false">C39-C38</f>
        <v>-38</v>
      </c>
      <c r="E39" s="242" t="n">
        <f aca="false">C39-152000</f>
        <v>147374</v>
      </c>
      <c r="F39" s="266" t="n">
        <f aca="false">D39/$D$2</f>
        <v>-19.1580539450466</v>
      </c>
      <c r="G39" s="267" t="n">
        <v>119</v>
      </c>
      <c r="H39" s="650" t="n">
        <v>2.5</v>
      </c>
      <c r="I39" s="267" t="n">
        <f aca="false">G39+H39</f>
        <v>121.5</v>
      </c>
      <c r="J39" s="247" t="n">
        <f aca="false">IF(L39&gt;0,L39,0)</f>
        <v>0</v>
      </c>
      <c r="K39" s="267" t="n">
        <f aca="false">I39+J39</f>
        <v>121.5</v>
      </c>
      <c r="L39" s="267" t="n">
        <f aca="false">F39-(I39-AC39)</f>
        <v>-20.6580539450466</v>
      </c>
      <c r="M39" s="269" t="n">
        <v>41</v>
      </c>
      <c r="N39" s="631" t="n">
        <f aca="false">2.1*1.03</f>
        <v>2.163</v>
      </c>
      <c r="O39" s="267" t="n">
        <f aca="false">(8+9.8)*1.05</f>
        <v>18.69</v>
      </c>
      <c r="P39" s="389" t="n">
        <f aca="false">1.51*1.02</f>
        <v>1.5402</v>
      </c>
      <c r="Q39" s="125" t="n">
        <f aca="false">2.4*1.04</f>
        <v>2.496</v>
      </c>
      <c r="R39" s="132" t="n">
        <v>0</v>
      </c>
      <c r="S39" s="267" t="n">
        <v>21</v>
      </c>
      <c r="T39" s="267" t="n">
        <v>13</v>
      </c>
      <c r="U39" s="267" t="n">
        <f aca="false">M39-N39-O39-P39-Q39-R39+S39+T39</f>
        <v>50.1108</v>
      </c>
      <c r="V39" s="242" t="n">
        <v>0</v>
      </c>
      <c r="W39" s="242" t="n">
        <v>0</v>
      </c>
      <c r="X39" s="267" t="n">
        <v>0</v>
      </c>
      <c r="Y39" s="128" t="n">
        <v>1.7</v>
      </c>
      <c r="Z39" s="129" t="n">
        <v>1.3</v>
      </c>
      <c r="AA39" s="267" t="n">
        <v>45</v>
      </c>
      <c r="AB39" s="242" t="n">
        <f aca="false">AB38-AA39</f>
        <v>6330.43307285102</v>
      </c>
      <c r="AC39" s="634" t="n">
        <f aca="false">N39+O39+P39+Q39+R39+U39+X39+AA39</f>
        <v>120</v>
      </c>
      <c r="AD39" s="267" t="n">
        <f aca="false">IF(L39&lt;0,L39*-1,0)</f>
        <v>20.6580539450466</v>
      </c>
      <c r="AE39" s="267" t="n">
        <f aca="false">AC39+AD39</f>
        <v>140.658053945047</v>
      </c>
      <c r="AF39" s="380" t="n">
        <v>0.15</v>
      </c>
      <c r="AG39" s="244" t="n">
        <v>58</v>
      </c>
      <c r="AH39" s="271" t="n">
        <v>42</v>
      </c>
      <c r="AI39" s="244" t="n">
        <f aca="false">AI38</f>
        <v>16467.3080282</v>
      </c>
      <c r="AJ39" s="244"/>
      <c r="AK39" s="247" t="n">
        <v>0</v>
      </c>
      <c r="AL39" s="367" t="n">
        <v>0</v>
      </c>
      <c r="AM39" s="242"/>
    </row>
    <row r="40" customFormat="false" ht="12.95" hidden="false" customHeight="true" outlineLevel="0" collapsed="false">
      <c r="A40" s="172" t="n">
        <v>29</v>
      </c>
      <c r="B40" s="252" t="n">
        <v>6904.23</v>
      </c>
      <c r="C40" s="242" t="n">
        <v>299451</v>
      </c>
      <c r="D40" s="244" t="n">
        <f aca="false">C40-C39</f>
        <v>77</v>
      </c>
      <c r="E40" s="242" t="n">
        <f aca="false">C40-152000</f>
        <v>147451</v>
      </c>
      <c r="F40" s="266" t="n">
        <f aca="false">D40/$D$2</f>
        <v>38.8202672044366</v>
      </c>
      <c r="G40" s="267" t="n">
        <v>127</v>
      </c>
      <c r="H40" s="650" t="n">
        <v>2.6</v>
      </c>
      <c r="I40" s="267" t="n">
        <f aca="false">G40+H40</f>
        <v>129.6</v>
      </c>
      <c r="J40" s="247" t="n">
        <f aca="false">IF(L40&gt;0,L40,0)</f>
        <v>31.2202672044366</v>
      </c>
      <c r="K40" s="267" t="n">
        <f aca="false">I40+J40</f>
        <v>160.820267204437</v>
      </c>
      <c r="L40" s="267" t="n">
        <f aca="false">F40-(I40-AC40)</f>
        <v>31.2202672044366</v>
      </c>
      <c r="M40" s="269" t="n">
        <v>43</v>
      </c>
      <c r="N40" s="631" t="n">
        <f aca="false">2.1*1.03</f>
        <v>2.163</v>
      </c>
      <c r="O40" s="267" t="n">
        <f aca="false">(8.6+10)*1.05</f>
        <v>19.53</v>
      </c>
      <c r="P40" s="389" t="n">
        <f aca="false">1.51*1.02</f>
        <v>1.5402</v>
      </c>
      <c r="Q40" s="125" t="n">
        <f aca="false">2.5*1.04</f>
        <v>2.6</v>
      </c>
      <c r="R40" s="132" t="n">
        <v>0</v>
      </c>
      <c r="S40" s="267" t="n">
        <v>21</v>
      </c>
      <c r="T40" s="267" t="n">
        <v>13</v>
      </c>
      <c r="U40" s="267" t="n">
        <f aca="false">M40-N40-O40-P40-Q40-R40+S40+T40</f>
        <v>51.1668</v>
      </c>
      <c r="V40" s="242" t="n">
        <v>0</v>
      </c>
      <c r="W40" s="242" t="n">
        <v>0</v>
      </c>
      <c r="X40" s="267" t="n">
        <v>0</v>
      </c>
      <c r="Y40" s="128" t="n">
        <v>1.7</v>
      </c>
      <c r="Z40" s="129" t="n">
        <v>1.3</v>
      </c>
      <c r="AA40" s="267" t="n">
        <v>45</v>
      </c>
      <c r="AB40" s="242" t="n">
        <f aca="false">AB39-AA40</f>
        <v>6285.43307285102</v>
      </c>
      <c r="AC40" s="634" t="n">
        <f aca="false">N40+O40+P40+Q40+R40+U40+X40+AA40</f>
        <v>122</v>
      </c>
      <c r="AD40" s="267" t="n">
        <f aca="false">IF(L40&lt;0,L40*-1,0)</f>
        <v>0</v>
      </c>
      <c r="AE40" s="267" t="n">
        <f aca="false">AC40+AD40</f>
        <v>122</v>
      </c>
      <c r="AF40" s="380" t="n">
        <v>0.08</v>
      </c>
      <c r="AG40" s="244" t="n">
        <v>54</v>
      </c>
      <c r="AH40" s="271" t="n">
        <v>37</v>
      </c>
      <c r="AI40" s="244" t="n">
        <f aca="false">AI39</f>
        <v>16467.3080282</v>
      </c>
      <c r="AJ40" s="244"/>
      <c r="AK40" s="247" t="n">
        <v>0</v>
      </c>
      <c r="AL40" s="367" t="n">
        <v>0</v>
      </c>
      <c r="AM40" s="242"/>
    </row>
    <row r="41" customFormat="false" ht="12.95" hidden="false" customHeight="true" outlineLevel="0" collapsed="false">
      <c r="A41" s="172" t="n">
        <v>30</v>
      </c>
      <c r="B41" s="252" t="n">
        <v>6904.22</v>
      </c>
      <c r="C41" s="242" t="n">
        <v>299412</v>
      </c>
      <c r="D41" s="244" t="n">
        <f aca="false">C41-C40</f>
        <v>-39</v>
      </c>
      <c r="E41" s="242" t="n">
        <f aca="false">C41-152000</f>
        <v>147412</v>
      </c>
      <c r="F41" s="266" t="n">
        <f aca="false">D41/$D$2</f>
        <v>-19.66221325939</v>
      </c>
      <c r="G41" s="267" t="n">
        <v>126</v>
      </c>
      <c r="H41" s="650" t="n">
        <v>2.5</v>
      </c>
      <c r="I41" s="267" t="n">
        <f aca="false">G41+H41</f>
        <v>128.5</v>
      </c>
      <c r="J41" s="247" t="n">
        <f aca="false">IF(L41&gt;0,L41,0)</f>
        <v>1.83778674061003</v>
      </c>
      <c r="K41" s="267" t="n">
        <f aca="false">I41+J41</f>
        <v>130.33778674061</v>
      </c>
      <c r="L41" s="267" t="n">
        <f aca="false">F41-(I41-AC41)</f>
        <v>1.83778674061003</v>
      </c>
      <c r="M41" s="269" t="n">
        <v>71</v>
      </c>
      <c r="N41" s="631" t="n">
        <f aca="false">2.1*1.03</f>
        <v>2.163</v>
      </c>
      <c r="O41" s="267" t="n">
        <f aca="false">(9.4+11)*1.05</f>
        <v>21.42</v>
      </c>
      <c r="P41" s="389" t="n">
        <f aca="false">1.51*1.02</f>
        <v>1.5402</v>
      </c>
      <c r="Q41" s="125" t="n">
        <f aca="false">2.19*1.04</f>
        <v>2.2776</v>
      </c>
      <c r="R41" s="132" t="n">
        <v>0</v>
      </c>
      <c r="S41" s="267" t="n">
        <v>21</v>
      </c>
      <c r="T41" s="267" t="n">
        <v>13</v>
      </c>
      <c r="U41" s="267" t="n">
        <f aca="false">M41-N41-O41-P41-Q41-R41+S41+T41</f>
        <v>77.5992</v>
      </c>
      <c r="V41" s="242" t="n">
        <v>0</v>
      </c>
      <c r="W41" s="242" t="n">
        <v>0</v>
      </c>
      <c r="X41" s="267" t="n">
        <v>0</v>
      </c>
      <c r="Y41" s="128" t="n">
        <v>1.7</v>
      </c>
      <c r="Z41" s="129" t="n">
        <v>1.3</v>
      </c>
      <c r="AA41" s="267" t="n">
        <v>45</v>
      </c>
      <c r="AB41" s="242" t="n">
        <f aca="false">AB40-AA41</f>
        <v>6240.43307285102</v>
      </c>
      <c r="AC41" s="634" t="n">
        <f aca="false">N41+O41+P41+Q41+R41+U41+X41+AA41</f>
        <v>150</v>
      </c>
      <c r="AD41" s="267" t="n">
        <f aca="false">IF(L41&lt;0,L41*-1,0)</f>
        <v>0</v>
      </c>
      <c r="AE41" s="267" t="n">
        <f aca="false">AC41+AD41</f>
        <v>150</v>
      </c>
      <c r="AF41" s="380" t="n">
        <v>0.01</v>
      </c>
      <c r="AG41" s="244" t="n">
        <v>54</v>
      </c>
      <c r="AH41" s="271" t="n">
        <v>33</v>
      </c>
      <c r="AI41" s="244" t="n">
        <f aca="false">AI40</f>
        <v>16467.3080282</v>
      </c>
      <c r="AJ41" s="244"/>
      <c r="AK41" s="247" t="n">
        <v>0</v>
      </c>
      <c r="AL41" s="367" t="n">
        <v>0</v>
      </c>
      <c r="AM41" s="242"/>
    </row>
    <row r="42" customFormat="false" ht="12.95" hidden="false" customHeight="true" outlineLevel="0" collapsed="false">
      <c r="A42" s="172" t="n">
        <v>31</v>
      </c>
      <c r="B42" s="252" t="n">
        <v>6904.21</v>
      </c>
      <c r="C42" s="242" t="n">
        <v>299374</v>
      </c>
      <c r="D42" s="244" t="n">
        <f aca="false">C42-C41</f>
        <v>-38</v>
      </c>
      <c r="E42" s="242" t="n">
        <f aca="false">C42-152000</f>
        <v>147374</v>
      </c>
      <c r="F42" s="266" t="n">
        <f aca="false">D42/$D$2</f>
        <v>-19.1580539450466</v>
      </c>
      <c r="G42" s="267" t="n">
        <v>110</v>
      </c>
      <c r="H42" s="650" t="n">
        <v>2.4</v>
      </c>
      <c r="I42" s="267" t="n">
        <f aca="false">G42+H42</f>
        <v>112.4</v>
      </c>
      <c r="J42" s="247" t="n">
        <f aca="false">IF(L42&gt;0,L42,0)</f>
        <v>0</v>
      </c>
      <c r="K42" s="267" t="n">
        <f aca="false">I42+J42</f>
        <v>112.4</v>
      </c>
      <c r="L42" s="267" t="n">
        <f aca="false">F42-(I42-AC42)</f>
        <v>-13.5580539450466</v>
      </c>
      <c r="M42" s="269" t="n">
        <v>39</v>
      </c>
      <c r="N42" s="631" t="n">
        <f aca="false">2.1*1.03</f>
        <v>2.163</v>
      </c>
      <c r="O42" s="267" t="n">
        <f aca="false">(6.5+8.8)*1.05</f>
        <v>16.065</v>
      </c>
      <c r="P42" s="389" t="n">
        <f aca="false">1.51*1.02</f>
        <v>1.5402</v>
      </c>
      <c r="Q42" s="125" t="n">
        <f aca="false">2.45*1.04</f>
        <v>2.548</v>
      </c>
      <c r="R42" s="132" t="n">
        <v>0</v>
      </c>
      <c r="S42" s="267" t="n">
        <v>21</v>
      </c>
      <c r="T42" s="267" t="n">
        <v>13</v>
      </c>
      <c r="U42" s="267" t="n">
        <f aca="false">M42-N42-O42-P42-Q42-R42+S42+T42</f>
        <v>50.6838</v>
      </c>
      <c r="V42" s="242" t="n">
        <v>0</v>
      </c>
      <c r="W42" s="242" t="n">
        <v>0</v>
      </c>
      <c r="X42" s="267" t="n">
        <v>0</v>
      </c>
      <c r="Y42" s="269" t="n">
        <v>1.7</v>
      </c>
      <c r="Z42" s="270" t="n">
        <v>1.3</v>
      </c>
      <c r="AA42" s="267" t="n">
        <v>45</v>
      </c>
      <c r="AB42" s="242" t="n">
        <f aca="false">AB41-AA42</f>
        <v>6195.43307285102</v>
      </c>
      <c r="AC42" s="634" t="n">
        <f aca="false">N42+O42+P42+Q42+R42+U42+X42+AA42</f>
        <v>118</v>
      </c>
      <c r="AD42" s="267" t="n">
        <f aca="false">IF(L42&lt;0,L42*-1,0)</f>
        <v>13.5580539450466</v>
      </c>
      <c r="AE42" s="267" t="n">
        <f aca="false">AC42+AD42</f>
        <v>131.558053945047</v>
      </c>
      <c r="AF42" s="380" t="n">
        <v>0</v>
      </c>
      <c r="AG42" s="244" t="n">
        <v>55</v>
      </c>
      <c r="AH42" s="271" t="n">
        <v>30</v>
      </c>
      <c r="AI42" s="244" t="n">
        <f aca="false">AI41</f>
        <v>16467.3080282</v>
      </c>
      <c r="AJ42" s="244"/>
      <c r="AK42" s="247" t="n">
        <v>0</v>
      </c>
      <c r="AL42" s="367" t="n">
        <v>0</v>
      </c>
      <c r="AM42" s="242"/>
    </row>
    <row r="43" customFormat="false" ht="3" hidden="false" customHeight="true" outlineLevel="0" collapsed="false">
      <c r="A43" s="254"/>
      <c r="B43" s="272"/>
      <c r="C43" s="256"/>
      <c r="D43" s="257"/>
      <c r="E43" s="256"/>
      <c r="F43" s="258"/>
      <c r="G43" s="257"/>
      <c r="H43" s="649"/>
      <c r="I43" s="257"/>
      <c r="J43" s="257"/>
      <c r="K43" s="257"/>
      <c r="L43" s="257"/>
      <c r="M43" s="260" t="n">
        <v>0</v>
      </c>
      <c r="N43" s="257"/>
      <c r="O43" s="257"/>
      <c r="P43" s="257"/>
      <c r="Q43" s="257"/>
      <c r="R43" s="261"/>
      <c r="S43" s="257"/>
      <c r="T43" s="257" t="n">
        <v>0</v>
      </c>
      <c r="U43" s="257"/>
      <c r="V43" s="256"/>
      <c r="W43" s="256"/>
      <c r="X43" s="257"/>
      <c r="Y43" s="260"/>
      <c r="Z43" s="261"/>
      <c r="AA43" s="257"/>
      <c r="AB43" s="257"/>
      <c r="AC43" s="257"/>
      <c r="AD43" s="257"/>
      <c r="AE43" s="257"/>
      <c r="AF43" s="524"/>
      <c r="AG43" s="264"/>
      <c r="AH43" s="265"/>
      <c r="AI43" s="264"/>
      <c r="AJ43" s="264"/>
      <c r="AK43" s="262"/>
      <c r="AL43" s="472"/>
      <c r="AM43" s="264"/>
      <c r="AN43" s="264"/>
    </row>
    <row r="44" customFormat="false" ht="12.95" hidden="false" customHeight="true" outlineLevel="0" collapsed="false">
      <c r="A44" s="173" t="s">
        <v>75</v>
      </c>
      <c r="B44" s="241"/>
      <c r="C44" s="242"/>
      <c r="D44" s="242"/>
      <c r="E44" s="242"/>
      <c r="F44" s="243" t="n">
        <f aca="false">SUM(F12:F42)</f>
        <v>-829.342072094782</v>
      </c>
      <c r="G44" s="242" t="n">
        <f aca="false">SUM(G12:G42)</f>
        <v>4303</v>
      </c>
      <c r="H44" s="244" t="n">
        <f aca="false">SUM(H12:H42)</f>
        <v>22.43</v>
      </c>
      <c r="I44" s="242" t="n">
        <f aca="false">SUM(I12:I42)</f>
        <v>4325.43</v>
      </c>
      <c r="J44" s="242" t="n">
        <f aca="false">SUM(J12:J42)</f>
        <v>724.911875472649</v>
      </c>
      <c r="K44" s="242" t="n">
        <f aca="false">SUM(K12:K42)</f>
        <v>5050.34187547265</v>
      </c>
      <c r="L44" s="242" t="n">
        <f aca="false">SUM(L12:L42)</f>
        <v>66.2279279052181</v>
      </c>
      <c r="M44" s="245" t="n">
        <f aca="false">SUM(M12:M42)</f>
        <v>2187</v>
      </c>
      <c r="N44" s="242" t="n">
        <f aca="false">SUM(N12:N42)</f>
        <v>67.053</v>
      </c>
      <c r="O44" s="242" t="n">
        <f aca="false">SUM(O12:O42)</f>
        <v>682.8648</v>
      </c>
      <c r="P44" s="242" t="n">
        <f aca="false">SUM(P12:P42)</f>
        <v>47.7462</v>
      </c>
      <c r="Q44" s="242" t="n">
        <f aca="false">SUM(Q12:Q42)</f>
        <v>98.0656</v>
      </c>
      <c r="R44" s="246" t="n">
        <f aca="false">SUM(R12:R42)</f>
        <v>3.28</v>
      </c>
      <c r="S44" s="242" t="n">
        <f aca="false">SUM(S12:S42)</f>
        <v>973</v>
      </c>
      <c r="T44" s="242" t="n">
        <f aca="false">SUM(T12:T42)</f>
        <v>516</v>
      </c>
      <c r="U44" s="242" t="n">
        <f aca="false">SUM(U12:U42)</f>
        <v>2776.9904</v>
      </c>
      <c r="V44" s="242"/>
      <c r="W44" s="242"/>
      <c r="X44" s="242" t="n">
        <f aca="false">SUM(X12:X42)</f>
        <v>0</v>
      </c>
      <c r="Y44" s="245"/>
      <c r="Z44" s="246"/>
      <c r="AA44" s="242" t="n">
        <f aca="false">SUM(AA12:AA42)</f>
        <v>1545</v>
      </c>
      <c r="AB44" s="242"/>
      <c r="AC44" s="242" t="n">
        <f aca="false">SUM(AC12:AC42)</f>
        <v>5221</v>
      </c>
      <c r="AD44" s="242" t="n">
        <f aca="false">SUM(AD12:AD42)</f>
        <v>658.683947567431</v>
      </c>
      <c r="AE44" s="242" t="n">
        <f aca="false">SUM(AE12:AE42)</f>
        <v>5879.68394756743</v>
      </c>
      <c r="AF44" s="380" t="n">
        <f aca="false">SUM(AF12:AF42)</f>
        <v>1.74</v>
      </c>
      <c r="AG44" s="244" t="n">
        <f aca="false">AVERAGE(AG12:AG42)</f>
        <v>62.741935483871</v>
      </c>
      <c r="AH44" s="249" t="n">
        <f aca="false">AVERAGE(AH12:AH42)</f>
        <v>38.6451612903226</v>
      </c>
      <c r="AI44" s="244" t="s">
        <v>106</v>
      </c>
      <c r="AJ44" s="242" t="n">
        <f aca="false">SUM(AJ12:AJ42)</f>
        <v>0</v>
      </c>
      <c r="AK44" s="247"/>
      <c r="AL44" s="367"/>
      <c r="AM44" s="244" t="n">
        <f aca="false">SUM(AM12:AM42)</f>
        <v>0</v>
      </c>
    </row>
    <row r="45" customFormat="false" ht="12.95" hidden="false" customHeight="true" outlineLevel="0" collapsed="false">
      <c r="A45" s="173" t="s">
        <v>77</v>
      </c>
      <c r="B45" s="241"/>
      <c r="C45" s="242"/>
      <c r="D45" s="242" t="n">
        <f aca="false">SUM(D12:D42)</f>
        <v>-1645</v>
      </c>
      <c r="E45" s="242"/>
      <c r="F45" s="243" t="n">
        <f aca="false">F44*$D$2</f>
        <v>-1645</v>
      </c>
      <c r="G45" s="242" t="n">
        <f aca="false">G44*$D$2</f>
        <v>8535.0005</v>
      </c>
      <c r="H45" s="244" t="n">
        <f aca="false">H44*$D$2</f>
        <v>44.489905</v>
      </c>
      <c r="I45" s="242" t="n">
        <f aca="false">I44*$D$2</f>
        <v>8579.490405</v>
      </c>
      <c r="J45" s="242" t="n">
        <f aca="false">J44*$D$2</f>
        <v>1437.862705</v>
      </c>
      <c r="K45" s="242" t="n">
        <f aca="false">K44*$D$2</f>
        <v>10017.35311</v>
      </c>
      <c r="L45" s="242" t="n">
        <f aca="false">L44*$D$2</f>
        <v>131.363095</v>
      </c>
      <c r="M45" s="245" t="n">
        <f aca="false">M44*$D$2</f>
        <v>4337.9145</v>
      </c>
      <c r="N45" s="242" t="n">
        <f aca="false">N44*$D$2</f>
        <v>132.9996255</v>
      </c>
      <c r="O45" s="242" t="n">
        <f aca="false">O44*$D$2</f>
        <v>1354.4623308</v>
      </c>
      <c r="P45" s="242" t="n">
        <f aca="false">P44*$D$2</f>
        <v>94.7045877</v>
      </c>
      <c r="Q45" s="242" t="n">
        <f aca="false">Q44*$D$2</f>
        <v>194.5131176</v>
      </c>
      <c r="R45" s="246" t="n">
        <f aca="false">R44*$D$2</f>
        <v>6.50588</v>
      </c>
      <c r="S45" s="242" t="n">
        <f aca="false">S44*$D$2</f>
        <v>1929.9455</v>
      </c>
      <c r="T45" s="242" t="n">
        <f aca="false">T44*$D$2</f>
        <v>1023.486</v>
      </c>
      <c r="U45" s="242" t="n">
        <f aca="false">U44*$D$2</f>
        <v>5508.1604584</v>
      </c>
      <c r="V45" s="242"/>
      <c r="W45" s="242"/>
      <c r="X45" s="242" t="n">
        <f aca="false">X44*$D$2</f>
        <v>0</v>
      </c>
      <c r="Y45" s="245"/>
      <c r="Z45" s="246"/>
      <c r="AA45" s="242" t="n">
        <f aca="false">AA44*$D$2</f>
        <v>3064.5075</v>
      </c>
      <c r="AB45" s="242"/>
      <c r="AC45" s="242" t="n">
        <f aca="false">AC44*$D$2</f>
        <v>10355.8535</v>
      </c>
      <c r="AD45" s="242" t="n">
        <f aca="false">AD44*$D$2</f>
        <v>1306.49961</v>
      </c>
      <c r="AE45" s="242" t="n">
        <f aca="false">AE44*$D$2</f>
        <v>11662.35311</v>
      </c>
      <c r="AF45" s="380"/>
      <c r="AG45" s="244" t="n">
        <f aca="false">MAX(AG12:AG42)</f>
        <v>75</v>
      </c>
      <c r="AH45" s="249" t="n">
        <f aca="false">MAX(AH12:AH42)</f>
        <v>52</v>
      </c>
      <c r="AI45" s="244" t="s">
        <v>78</v>
      </c>
      <c r="AJ45" s="242" t="n">
        <f aca="false">AJ44*$D$2</f>
        <v>0</v>
      </c>
      <c r="AK45" s="247"/>
      <c r="AL45" s="367" t="n">
        <f aca="false">SUM(AL12:AL42)</f>
        <v>8.42443072845413</v>
      </c>
      <c r="AM45" s="244" t="n">
        <f aca="false">AM44*$D$2</f>
        <v>0</v>
      </c>
    </row>
    <row r="46" customFormat="false" ht="3" hidden="false" customHeight="true" outlineLevel="0" collapsed="false">
      <c r="A46" s="275"/>
      <c r="B46" s="272"/>
      <c r="C46" s="256"/>
      <c r="D46" s="256"/>
      <c r="E46" s="256"/>
      <c r="F46" s="276"/>
      <c r="G46" s="256"/>
      <c r="H46" s="264"/>
      <c r="I46" s="256"/>
      <c r="J46" s="256"/>
      <c r="K46" s="256"/>
      <c r="L46" s="256"/>
      <c r="M46" s="277"/>
      <c r="N46" s="256"/>
      <c r="O46" s="256"/>
      <c r="P46" s="256"/>
      <c r="Q46" s="256"/>
      <c r="R46" s="278"/>
      <c r="S46" s="256"/>
      <c r="T46" s="256"/>
      <c r="U46" s="256"/>
      <c r="V46" s="256"/>
      <c r="W46" s="256"/>
      <c r="X46" s="256"/>
      <c r="Y46" s="277"/>
      <c r="Z46" s="278"/>
      <c r="AA46" s="256"/>
      <c r="AB46" s="257"/>
      <c r="AC46" s="256"/>
      <c r="AD46" s="256"/>
      <c r="AE46" s="256"/>
      <c r="AF46" s="279"/>
      <c r="AG46" s="256"/>
      <c r="AH46" s="276"/>
      <c r="AI46" s="256"/>
      <c r="AJ46" s="256"/>
      <c r="AK46" s="262"/>
      <c r="AL46" s="472"/>
      <c r="AM46" s="264"/>
      <c r="AN46" s="264"/>
    </row>
    <row r="47" customFormat="false" ht="12.95" hidden="false" customHeight="true" outlineLevel="0" collapsed="false">
      <c r="A47" s="173" t="s">
        <v>79</v>
      </c>
      <c r="B47" s="241"/>
      <c r="C47" s="242"/>
      <c r="D47" s="242"/>
      <c r="E47" s="242"/>
      <c r="F47" s="243" t="n">
        <f aca="false">F9+F44</f>
        <v>30024.1996470885</v>
      </c>
      <c r="G47" s="242" t="n">
        <f aca="false">G9+G44</f>
        <v>179951</v>
      </c>
      <c r="H47" s="244" t="n">
        <f aca="false">H9+H44</f>
        <v>12738.71</v>
      </c>
      <c r="I47" s="242" t="n">
        <f aca="false">I9+I44</f>
        <v>192689.71</v>
      </c>
      <c r="J47" s="242" t="n">
        <f aca="false">J9+J44</f>
        <v>38377.9244618099</v>
      </c>
      <c r="K47" s="242" t="n">
        <f aca="false">K9+K44</f>
        <v>231067.63446181</v>
      </c>
      <c r="L47" s="242" t="n">
        <f aca="false">L9+L44</f>
        <v>35022.8596470885</v>
      </c>
      <c r="M47" s="245" t="n">
        <f aca="false">M9+M44</f>
        <v>39080.5</v>
      </c>
      <c r="N47" s="242" t="n">
        <f aca="false">N9+N44</f>
        <v>397.992</v>
      </c>
      <c r="O47" s="242" t="n">
        <f aca="false">O9+O44</f>
        <v>12537.5838</v>
      </c>
      <c r="P47" s="242"/>
      <c r="Q47" s="242"/>
      <c r="R47" s="246"/>
      <c r="S47" s="242" t="n">
        <f aca="false">S9+S44</f>
        <v>20418.25</v>
      </c>
      <c r="T47" s="242" t="n">
        <f aca="false">T9+T44</f>
        <v>11151.3</v>
      </c>
      <c r="U47" s="242" t="n">
        <f aca="false">U9+U44</f>
        <v>55657.6008</v>
      </c>
      <c r="V47" s="242" t="n">
        <f aca="false">V26</f>
        <v>0</v>
      </c>
      <c r="W47" s="242"/>
      <c r="X47" s="242" t="n">
        <f aca="false">X9+X44</f>
        <v>21612.8</v>
      </c>
      <c r="Y47" s="245"/>
      <c r="Z47" s="246"/>
      <c r="AA47" s="242"/>
      <c r="AB47" s="242"/>
      <c r="AC47" s="242" t="n">
        <f aca="false">AC9+AC44</f>
        <v>197688.37</v>
      </c>
      <c r="AD47" s="242" t="n">
        <f aca="false">AD9+AD44</f>
        <v>3355.06481472145</v>
      </c>
      <c r="AE47" s="242" t="n">
        <f aca="false">AE9+AE44</f>
        <v>201043.434814721</v>
      </c>
      <c r="AF47" s="380"/>
      <c r="AG47" s="244" t="n">
        <f aca="false">MIN(AG12:AG42)</f>
        <v>49</v>
      </c>
      <c r="AH47" s="249" t="n">
        <f aca="false">MIN(AH12:AH42)</f>
        <v>30</v>
      </c>
      <c r="AI47" s="244" t="s">
        <v>80</v>
      </c>
      <c r="AJ47" s="244"/>
      <c r="AK47" s="247"/>
      <c r="AL47" s="367"/>
      <c r="AM47" s="244" t="n">
        <f aca="false">AM9+AM44</f>
        <v>876.99</v>
      </c>
      <c r="AN47" s="244" t="n">
        <f aca="false">AN9+AN44</f>
        <v>303.01</v>
      </c>
    </row>
    <row r="48" customFormat="false" ht="12.95" hidden="false" customHeight="true" outlineLevel="0" collapsed="false">
      <c r="A48" s="173" t="s">
        <v>81</v>
      </c>
      <c r="B48" s="241"/>
      <c r="C48" s="242"/>
      <c r="D48" s="242"/>
      <c r="E48" s="242"/>
      <c r="F48" s="243" t="n">
        <f aca="false">F47*$D$2</f>
        <v>59553</v>
      </c>
      <c r="G48" s="242" t="n">
        <f aca="false">G47*$D$2</f>
        <v>356932.8085</v>
      </c>
      <c r="H48" s="244" t="n">
        <f aca="false">H47*$D$2</f>
        <v>25267.231285</v>
      </c>
      <c r="I48" s="242" t="n">
        <f aca="false">I47*$D$2</f>
        <v>382200.039785</v>
      </c>
      <c r="J48" s="242" t="n">
        <f aca="false">J47*$D$2</f>
        <v>76122.61317</v>
      </c>
      <c r="K48" s="242" t="n">
        <f aca="false">K47*$D$2</f>
        <v>458322.652955</v>
      </c>
      <c r="L48" s="242" t="n">
        <f aca="false">L47*$D$2</f>
        <v>69467.84211</v>
      </c>
      <c r="M48" s="245" t="n">
        <f aca="false">M47*$D$2</f>
        <v>77516.17175</v>
      </c>
      <c r="N48" s="242" t="n">
        <f aca="false">N47*$D$2</f>
        <v>789.417132</v>
      </c>
      <c r="O48" s="242" t="n">
        <f aca="false">O47*$D$2</f>
        <v>24868.2974673</v>
      </c>
      <c r="P48" s="242"/>
      <c r="Q48" s="242"/>
      <c r="R48" s="246"/>
      <c r="S48" s="242" t="n">
        <f aca="false">S47*$D$2</f>
        <v>40499.598875</v>
      </c>
      <c r="T48" s="242" t="n">
        <f aca="false">T47*$D$2</f>
        <v>22118.60355</v>
      </c>
      <c r="U48" s="242" t="n">
        <f aca="false">U47*$D$2</f>
        <v>110396.8511868</v>
      </c>
      <c r="V48" s="242" t="n">
        <f aca="false">V47*$D$2</f>
        <v>0</v>
      </c>
      <c r="W48" s="242"/>
      <c r="X48" s="242" t="n">
        <f aca="false">X47*$D$2</f>
        <v>42868.9888</v>
      </c>
      <c r="Y48" s="245"/>
      <c r="Z48" s="246"/>
      <c r="AA48" s="242"/>
      <c r="AB48" s="242"/>
      <c r="AC48" s="242" t="n">
        <f aca="false">AC47*$D$2</f>
        <v>392114.881895</v>
      </c>
      <c r="AD48" s="242" t="n">
        <f aca="false">AD47*$D$2</f>
        <v>6654.77106</v>
      </c>
      <c r="AE48" s="242" t="n">
        <f aca="false">AE47*$D$2</f>
        <v>398769.652955</v>
      </c>
      <c r="AF48" s="380"/>
      <c r="AG48" s="244"/>
      <c r="AH48" s="249"/>
      <c r="AI48" s="244"/>
      <c r="AJ48" s="244"/>
      <c r="AK48" s="247"/>
      <c r="AL48" s="367" t="n">
        <f aca="false">AL9+AL45</f>
        <v>509.942818250955</v>
      </c>
      <c r="AM48" s="244" t="n">
        <f aca="false">AM47*$D$2</f>
        <v>1739.509665</v>
      </c>
      <c r="AN48" s="244" t="n">
        <f aca="false">AN47*$D$2</f>
        <v>601.020335</v>
      </c>
    </row>
    <row r="49" customFormat="false" ht="3" hidden="false" customHeight="true" outlineLevel="0" collapsed="false">
      <c r="A49" s="275"/>
      <c r="B49" s="272"/>
      <c r="C49" s="256"/>
      <c r="D49" s="256"/>
      <c r="E49" s="256"/>
      <c r="F49" s="276"/>
      <c r="G49" s="256"/>
      <c r="H49" s="264"/>
      <c r="I49" s="256"/>
      <c r="J49" s="256"/>
      <c r="K49" s="256"/>
      <c r="L49" s="256"/>
      <c r="M49" s="277"/>
      <c r="N49" s="256"/>
      <c r="O49" s="256"/>
      <c r="P49" s="256"/>
      <c r="Q49" s="256"/>
      <c r="R49" s="278"/>
      <c r="S49" s="256"/>
      <c r="T49" s="256"/>
      <c r="U49" s="256"/>
      <c r="V49" s="256"/>
      <c r="W49" s="256"/>
      <c r="X49" s="256"/>
      <c r="Y49" s="277"/>
      <c r="Z49" s="278"/>
      <c r="AA49" s="256"/>
      <c r="AB49" s="256"/>
      <c r="AC49" s="256"/>
      <c r="AD49" s="256"/>
      <c r="AE49" s="256"/>
      <c r="AF49" s="524"/>
      <c r="AG49" s="472"/>
      <c r="AH49" s="652"/>
      <c r="AI49" s="472"/>
      <c r="AJ49" s="472"/>
      <c r="AK49" s="262"/>
      <c r="AL49" s="472"/>
      <c r="AM49" s="264"/>
      <c r="AN49" s="264"/>
    </row>
    <row r="50" customFormat="false" ht="12.95" hidden="false" customHeight="true" outlineLevel="0" collapsed="false">
      <c r="A50" s="173" t="s">
        <v>82</v>
      </c>
      <c r="B50" s="241"/>
      <c r="C50" s="242"/>
      <c r="D50" s="242"/>
      <c r="E50" s="242"/>
      <c r="F50" s="243" t="n">
        <f aca="false">F10+F44</f>
        <v>46447.1893118225</v>
      </c>
      <c r="G50" s="242" t="n">
        <f aca="false">G10+G44</f>
        <v>196409</v>
      </c>
      <c r="H50" s="244" t="n">
        <f aca="false">H10+H44</f>
        <v>15128.25</v>
      </c>
      <c r="I50" s="242" t="n">
        <f aca="false">I10+I44</f>
        <v>211537.25</v>
      </c>
      <c r="J50" s="242" t="n">
        <f aca="false">J10+J44</f>
        <v>48839.429566423</v>
      </c>
      <c r="K50" s="242" t="n">
        <f aca="false">K10+K44</f>
        <v>260376.679566423</v>
      </c>
      <c r="L50" s="242" t="n">
        <f aca="false">L10+L44</f>
        <v>44939.1093118225</v>
      </c>
      <c r="M50" s="245" t="n">
        <f aca="false">M10+M44</f>
        <v>39876.5</v>
      </c>
      <c r="N50" s="242" t="n">
        <f aca="false">N10+N44</f>
        <v>397.992</v>
      </c>
      <c r="O50" s="242" t="n">
        <f aca="false">O10+O44</f>
        <v>12537.5838</v>
      </c>
      <c r="P50" s="242" t="n">
        <f aca="false">P10+P44</f>
        <v>658.2226</v>
      </c>
      <c r="Q50" s="244" t="n">
        <f aca="false">Q10+Q44</f>
        <v>1194.6644</v>
      </c>
      <c r="R50" s="246" t="n">
        <f aca="false">R10+R44</f>
        <v>476.15</v>
      </c>
      <c r="S50" s="242" t="n">
        <f aca="false">S10+S44</f>
        <v>27887.25</v>
      </c>
      <c r="T50" s="242" t="n">
        <f aca="false">T10+T44</f>
        <v>11185.1</v>
      </c>
      <c r="U50" s="242" t="n">
        <f aca="false">U10+U44</f>
        <v>63372.7572</v>
      </c>
      <c r="V50" s="242"/>
      <c r="W50" s="242"/>
      <c r="X50" s="242"/>
      <c r="Y50" s="245"/>
      <c r="Z50" s="246"/>
      <c r="AA50" s="242" t="n">
        <f aca="false">AA10+AA44</f>
        <v>109779</v>
      </c>
      <c r="AB50" s="242" t="n">
        <f aca="false">AB42</f>
        <v>6195.43307285102</v>
      </c>
      <c r="AC50" s="242" t="n">
        <f aca="false">AC10+AC44</f>
        <v>210029.17</v>
      </c>
      <c r="AD50" s="242" t="n">
        <f aca="false">AD10+AD44</f>
        <v>3900.32025460045</v>
      </c>
      <c r="AE50" s="242" t="n">
        <f aca="false">AE10+AE44</f>
        <v>213929.4902546</v>
      </c>
      <c r="AF50" s="523" t="n">
        <f aca="false">AF10+AF44</f>
        <v>21.5</v>
      </c>
      <c r="AG50" s="244"/>
      <c r="AH50" s="249"/>
      <c r="AI50" s="244"/>
      <c r="AJ50" s="242" t="n">
        <f aca="false">AJ10+AJ44</f>
        <v>0</v>
      </c>
      <c r="AK50" s="247"/>
      <c r="AL50" s="367"/>
      <c r="AM50" s="244" t="n">
        <f aca="false">AM10+AM44</f>
        <v>0</v>
      </c>
      <c r="AN50" s="244"/>
    </row>
    <row r="51" customFormat="false" ht="12.95" hidden="false" customHeight="true" outlineLevel="0" collapsed="false">
      <c r="A51" s="173" t="s">
        <v>83</v>
      </c>
      <c r="B51" s="241"/>
      <c r="C51" s="242"/>
      <c r="D51" s="242" t="n">
        <f aca="false">D10+D45</f>
        <v>92128</v>
      </c>
      <c r="E51" s="242" t="n">
        <f aca="false">E42</f>
        <v>147374</v>
      </c>
      <c r="F51" s="243" t="n">
        <f aca="false">F50*$D$2</f>
        <v>92128</v>
      </c>
      <c r="G51" s="242" t="n">
        <f aca="false">G50*$D$2</f>
        <v>389577.2515</v>
      </c>
      <c r="H51" s="244" t="n">
        <f aca="false">H50*$D$2</f>
        <v>30006.883875</v>
      </c>
      <c r="I51" s="242" t="n">
        <f aca="false">I50*$D$2</f>
        <v>419584.135375</v>
      </c>
      <c r="J51" s="242" t="n">
        <f aca="false">J50*$D$2</f>
        <v>96873.008545</v>
      </c>
      <c r="K51" s="242" t="n">
        <f aca="false">K50*$D$2</f>
        <v>516457.14392</v>
      </c>
      <c r="L51" s="242" t="n">
        <f aca="false">L50*$D$2</f>
        <v>89136.72332</v>
      </c>
      <c r="M51" s="245" t="n">
        <f aca="false">M50*$D$2</f>
        <v>79095.03775</v>
      </c>
      <c r="N51" s="242" t="n">
        <f aca="false">N50*$D$2</f>
        <v>789.417132</v>
      </c>
      <c r="O51" s="242" t="n">
        <f aca="false">O50*$D$2</f>
        <v>24868.2974673</v>
      </c>
      <c r="P51" s="244" t="n">
        <f aca="false">P50*$D$2</f>
        <v>1305.5845271</v>
      </c>
      <c r="Q51" s="244" t="n">
        <f aca="false">Q50*$D$2</f>
        <v>2369.6168374</v>
      </c>
      <c r="R51" s="253" t="n">
        <f aca="false">R50*$D$2</f>
        <v>944.443525</v>
      </c>
      <c r="S51" s="242" t="n">
        <f aca="false">S50*$D$2</f>
        <v>55314.360375</v>
      </c>
      <c r="T51" s="242" t="n">
        <f aca="false">T50*$D$2</f>
        <v>22185.64585</v>
      </c>
      <c r="U51" s="242" t="n">
        <f aca="false">U50*$D$2</f>
        <v>125699.8639062</v>
      </c>
      <c r="V51" s="242"/>
      <c r="W51" s="242"/>
      <c r="X51" s="242"/>
      <c r="Y51" s="282"/>
      <c r="Z51" s="253"/>
      <c r="AA51" s="242" t="n">
        <f aca="false">AA50*$D$2</f>
        <v>217746.6465</v>
      </c>
      <c r="AB51" s="242" t="n">
        <f aca="false">AB50*$D$2</f>
        <v>12288.6415</v>
      </c>
      <c r="AC51" s="242" t="n">
        <f aca="false">AC50*$D$2</f>
        <v>416592.858695</v>
      </c>
      <c r="AD51" s="242" t="n">
        <f aca="false">AD50*$D$2</f>
        <v>7736.285225</v>
      </c>
      <c r="AE51" s="242" t="n">
        <f aca="false">AE50*$D$2</f>
        <v>424329.14392</v>
      </c>
      <c r="AF51" s="380"/>
      <c r="AG51" s="244"/>
      <c r="AH51" s="249"/>
      <c r="AI51" s="244" t="n">
        <f aca="false">AI42</f>
        <v>16467.3080282</v>
      </c>
      <c r="AJ51" s="242" t="n">
        <f aca="false">AJ50*$D$2</f>
        <v>0</v>
      </c>
      <c r="AK51" s="247"/>
      <c r="AL51" s="367" t="n">
        <f aca="false">AL10+AL45</f>
        <v>509.942818250955</v>
      </c>
      <c r="AM51" s="244" t="n">
        <f aca="false">AM50*$D$2</f>
        <v>0</v>
      </c>
      <c r="AN51" s="244"/>
    </row>
    <row r="52" customFormat="false" ht="3" hidden="false" customHeight="true" outlineLevel="0" collapsed="false">
      <c r="A52" s="254"/>
      <c r="B52" s="333"/>
      <c r="C52" s="320"/>
      <c r="D52" s="254"/>
      <c r="E52" s="320"/>
      <c r="F52" s="321"/>
      <c r="G52" s="254"/>
      <c r="H52" s="653"/>
      <c r="I52" s="254"/>
      <c r="J52" s="254"/>
      <c r="K52" s="254"/>
      <c r="L52" s="254"/>
      <c r="M52" s="532"/>
      <c r="N52" s="254"/>
      <c r="O52" s="254"/>
      <c r="P52" s="254"/>
      <c r="Q52" s="324"/>
      <c r="R52" s="254"/>
      <c r="S52" s="254"/>
      <c r="T52" s="254"/>
      <c r="U52" s="254"/>
      <c r="V52" s="320"/>
      <c r="W52" s="320"/>
      <c r="X52" s="254"/>
      <c r="Y52" s="260"/>
      <c r="Z52" s="261"/>
      <c r="AA52" s="254"/>
      <c r="AB52" s="320"/>
      <c r="AC52" s="254"/>
      <c r="AD52" s="254"/>
      <c r="AE52" s="254"/>
      <c r="AF52" s="333"/>
      <c r="AG52" s="254"/>
      <c r="AH52" s="321"/>
      <c r="AI52" s="254"/>
      <c r="AJ52" s="254"/>
      <c r="AK52" s="531"/>
      <c r="AL52" s="594"/>
      <c r="AM52" s="254"/>
      <c r="AN52" s="254"/>
    </row>
    <row r="53" customFormat="false" ht="11.1" hidden="false" customHeight="true" outlineLevel="0" collapsed="false">
      <c r="A53" s="285"/>
      <c r="B53" s="285"/>
      <c r="C53" s="165"/>
      <c r="D53" s="285"/>
      <c r="E53" s="165"/>
      <c r="F53" s="285"/>
      <c r="G53" s="166"/>
      <c r="H53" s="654"/>
      <c r="I53" s="154"/>
      <c r="J53" s="285"/>
      <c r="K53" s="285"/>
      <c r="L53" s="285"/>
      <c r="M53" s="168"/>
      <c r="N53" s="10"/>
      <c r="O53" s="168"/>
      <c r="P53" s="168"/>
      <c r="Q53" s="285"/>
      <c r="R53" s="285"/>
      <c r="S53" s="285"/>
      <c r="T53" s="285"/>
      <c r="U53" s="0"/>
      <c r="V53" s="165"/>
      <c r="W53" s="165"/>
      <c r="X53" s="159"/>
      <c r="Y53" s="159"/>
      <c r="Z53" s="159"/>
      <c r="AA53" s="165"/>
      <c r="AB53" s="285"/>
      <c r="AC53" s="285"/>
      <c r="AD53" s="285"/>
      <c r="AE53" s="169"/>
      <c r="AF53" s="170"/>
      <c r="AG53" s="171"/>
      <c r="AH53" s="172"/>
      <c r="AI53" s="343"/>
      <c r="AJ53" s="343"/>
      <c r="AK53" s="536"/>
      <c r="AL53" s="457"/>
    </row>
    <row r="54" customFormat="false" ht="11.1" hidden="false" customHeight="true" outlineLevel="0" collapsed="false">
      <c r="A54" s="164"/>
      <c r="B54" s="598"/>
      <c r="C54" s="10"/>
      <c r="D54" s="153"/>
      <c r="E54" s="484"/>
      <c r="F54" s="508"/>
      <c r="G54" s="0"/>
      <c r="H54" s="655"/>
      <c r="I54" s="11"/>
      <c r="J54" s="9"/>
      <c r="K54" s="154"/>
      <c r="L54" s="9"/>
      <c r="M54" s="9"/>
      <c r="N54" s="9"/>
      <c r="O54" s="15"/>
      <c r="P54" s="15"/>
      <c r="Q54" s="402"/>
      <c r="R54" s="402"/>
      <c r="S54" s="509"/>
      <c r="T54" s="124"/>
      <c r="U54" s="510"/>
      <c r="V54" s="165"/>
      <c r="W54" s="228"/>
      <c r="X54" s="38"/>
      <c r="Y54" s="38"/>
      <c r="Z54" s="38"/>
      <c r="AA54" s="9"/>
      <c r="AB54" s="10"/>
      <c r="AC54" s="10"/>
      <c r="AD54" s="164"/>
      <c r="AE54" s="169"/>
      <c r="AF54" s="171"/>
      <c r="AG54" s="171"/>
      <c r="AH54" s="171"/>
      <c r="AI54" s="599"/>
      <c r="AJ54" s="599"/>
      <c r="AK54" s="536"/>
      <c r="AL54" s="597"/>
      <c r="AM54" s="538"/>
    </row>
    <row r="55" customFormat="false" ht="11.1" hidden="false" customHeight="true" outlineLevel="0" collapsed="false">
      <c r="A55" s="285"/>
      <c r="B55" s="165"/>
      <c r="E55" s="484"/>
      <c r="F55" s="485"/>
      <c r="G55" s="0"/>
      <c r="H55" s="655"/>
      <c r="I55" s="153"/>
      <c r="J55" s="153"/>
      <c r="K55" s="511"/>
      <c r="L55" s="122"/>
      <c r="M55" s="122"/>
      <c r="N55" s="122"/>
      <c r="O55" s="484"/>
      <c r="P55" s="600"/>
      <c r="Q55" s="402"/>
      <c r="R55" s="402"/>
      <c r="S55" s="509"/>
      <c r="T55" s="124"/>
      <c r="U55" s="91"/>
      <c r="V55" s="165"/>
      <c r="W55" s="165"/>
      <c r="X55" s="165"/>
      <c r="Y55" s="165"/>
      <c r="Z55" s="165"/>
      <c r="AA55" s="10"/>
      <c r="AB55" s="509"/>
      <c r="AC55" s="509"/>
      <c r="AD55" s="285"/>
      <c r="AE55" s="169"/>
      <c r="AF55" s="171"/>
      <c r="AG55" s="171"/>
      <c r="AH55" s="172"/>
      <c r="AI55" s="343"/>
      <c r="AJ55" s="343"/>
      <c r="AK55" s="536"/>
      <c r="AM55" s="538"/>
    </row>
    <row r="56" customFormat="false" ht="11.1" hidden="false" customHeight="true" outlineLevel="0" collapsed="false">
      <c r="A56" s="285"/>
      <c r="B56" s="285"/>
      <c r="C56" s="165"/>
      <c r="D56" s="165"/>
      <c r="E56" s="484"/>
      <c r="F56" s="0"/>
      <c r="G56" s="0"/>
      <c r="H56" s="228"/>
      <c r="I56" s="0"/>
      <c r="J56" s="153"/>
      <c r="K56" s="511"/>
      <c r="L56" s="171"/>
      <c r="M56" s="122"/>
      <c r="N56" s="122"/>
      <c r="O56" s="171"/>
      <c r="P56" s="169"/>
      <c r="Q56" s="402"/>
      <c r="R56" s="402"/>
      <c r="S56" s="456"/>
      <c r="T56" s="456"/>
      <c r="U56" s="91"/>
      <c r="V56" s="171"/>
      <c r="W56" s="171"/>
      <c r="X56" s="165"/>
      <c r="Y56" s="165"/>
      <c r="Z56" s="165"/>
      <c r="AA56" s="10"/>
      <c r="AB56" s="165"/>
      <c r="AC56" s="165"/>
      <c r="AD56" s="285"/>
      <c r="AE56" s="487"/>
      <c r="AF56" s="171"/>
      <c r="AG56" s="171"/>
      <c r="AH56" s="172"/>
      <c r="AI56" s="343"/>
      <c r="AJ56" s="343"/>
      <c r="AK56" s="536"/>
      <c r="AM56" s="538"/>
    </row>
    <row r="57" customFormat="false" ht="11.1" hidden="false" customHeight="true" outlineLevel="0" collapsed="false">
      <c r="A57" s="285"/>
      <c r="B57" s="285"/>
      <c r="C57" s="165"/>
      <c r="D57" s="285"/>
      <c r="E57" s="165"/>
      <c r="F57" s="285"/>
      <c r="G57" s="286"/>
      <c r="H57" s="231"/>
      <c r="I57" s="285"/>
      <c r="J57" s="285"/>
      <c r="K57" s="285"/>
      <c r="L57" s="285"/>
      <c r="M57" s="168"/>
      <c r="N57" s="168"/>
      <c r="O57" s="168"/>
      <c r="P57" s="169"/>
      <c r="Q57" s="169"/>
      <c r="R57" s="169"/>
      <c r="S57" s="285"/>
      <c r="T57" s="285"/>
      <c r="U57" s="0"/>
      <c r="V57" s="165"/>
      <c r="W57" s="165"/>
      <c r="AA57" s="165"/>
      <c r="AB57" s="285"/>
      <c r="AC57" s="285"/>
      <c r="AD57" s="285"/>
      <c r="AE57" s="169"/>
      <c r="AF57" s="170"/>
      <c r="AG57" s="171"/>
      <c r="AH57" s="172"/>
      <c r="AI57" s="343"/>
      <c r="AJ57" s="343"/>
      <c r="AK57" s="536"/>
      <c r="AM57" s="538"/>
    </row>
    <row r="58" customFormat="false" ht="11.1" hidden="false" customHeight="true" outlineLevel="0" collapsed="false">
      <c r="H58" s="654"/>
      <c r="P58" s="160"/>
      <c r="Q58" s="160"/>
      <c r="R58" s="160"/>
      <c r="S58" s="601"/>
      <c r="T58" s="156"/>
      <c r="U58" s="165"/>
      <c r="V58" s="165"/>
      <c r="W58" s="165"/>
      <c r="AA58" s="157"/>
      <c r="AC58" s="156"/>
      <c r="AD58" s="156"/>
      <c r="AE58" s="160"/>
      <c r="AF58" s="158"/>
      <c r="AG58" s="161"/>
      <c r="AH58" s="162"/>
      <c r="AI58" s="602"/>
      <c r="AJ58" s="602"/>
      <c r="AM58" s="538"/>
    </row>
    <row r="59" customFormat="false" ht="11.1" hidden="false" customHeight="true" outlineLevel="0" collapsed="false">
      <c r="H59" s="654"/>
      <c r="P59" s="159"/>
      <c r="T59" s="156"/>
      <c r="U59" s="157"/>
      <c r="W59" s="156"/>
      <c r="AA59" s="157"/>
      <c r="AC59" s="156"/>
      <c r="AD59" s="156"/>
      <c r="AE59" s="160"/>
      <c r="AF59" s="158"/>
      <c r="AG59" s="161"/>
      <c r="AH59" s="162"/>
      <c r="AL59" s="457"/>
    </row>
  </sheetData>
  <mergeCells count="2">
    <mergeCell ref="K2:W2"/>
    <mergeCell ref="M5:R5"/>
  </mergeCells>
  <printOptions headings="true" gridLines="true" gridLinesSet="true" horizontalCentered="true" verticalCentered="false"/>
  <pageMargins left="0.25" right="0.25" top="0.25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7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LaVon Millard</cp:lastModifiedBy>
  <cp:lastPrinted>2012-12-02T13:02:14Z</cp:lastPrinted>
  <dcterms:modified xsi:type="dcterms:W3CDTF">2012-12-02T13:02:22Z</dcterms:modified>
  <cp:revision>0</cp:revision>
  <dc:subject>MCPHEE IN/OUT FLOW</dc:subject>
  <dc:title>RIVER</dc:title>
</cp:coreProperties>
</file>