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drawings/vmlDrawing8.vml" ContentType="application/vnd.openxmlformats-officedocument.vmlDrawing"/>
  <Override PartName="/xl/drawings/vmlDrawing12.vml" ContentType="application/vnd.openxmlformats-officedocument.vmlDrawing"/>
  <Override PartName="/xl/drawings/vmlDrawing7.vml" ContentType="application/vnd.openxmlformats-officedocument.vmlDrawing"/>
  <Override PartName="/xl/drawings/vmlDrawing11.vml" ContentType="application/vnd.openxmlformats-officedocument.vmlDrawing"/>
  <Override PartName="/xl/drawings/vmlDrawing6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9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APR!$A$1:$AZ$56</definedName>
    <definedName function="false" hidden="false" localSheetId="9" name="_xlnm.Print_Area" vbProcedure="false">AUG!$A$1:$AZ$60</definedName>
    <definedName function="false" hidden="false" localSheetId="1" name="_xlnm.Print_Area" vbProcedure="false">DEC!$A$1:$AZ$60</definedName>
    <definedName function="false" hidden="false" localSheetId="3" name="_xlnm.Print_Area" vbProcedure="false">FEB!$A$1:$AZ$60</definedName>
    <definedName function="false" hidden="false" localSheetId="2" name="_xlnm.Print_Area" vbProcedure="false">JAN!$A$1:$AZ$60</definedName>
    <definedName function="false" hidden="false" localSheetId="8" name="_xlnm.Print_Area" vbProcedure="false">JUL!$A$1:$AZ$59</definedName>
    <definedName function="false" hidden="false" localSheetId="7" name="_xlnm.Print_Area" vbProcedure="false">JUN!$A$1:$AZ$56</definedName>
    <definedName function="false" hidden="false" localSheetId="4" name="_xlnm.Print_Area" vbProcedure="false">MAR!$A$1:$AZ$60</definedName>
    <definedName function="false" hidden="false" localSheetId="6" name="_xlnm.Print_Area" vbProcedure="false">MAY!$A$1:$AZ$60</definedName>
    <definedName function="false" hidden="false" localSheetId="11" name="_xlnm.Print_Area" vbProcedure="false">OCT!$A$1:$AZ$70</definedName>
    <definedName function="false" hidden="false" localSheetId="10" name="_xlnm.Print_Area" vbProcedure="false">SEP!$A$1:$AZ$60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Froze USGS Estimated</t>
        </r>
      </text>
    </comment>
    <comment ref="H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Stream froze USGS estimated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 cfs/day.</t>
        </r>
      </text>
    </comment>
    <comment ref="V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5.2 cfs of this went for stock water</t>
        </r>
      </text>
    </comment>
    <comment ref="V2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7.7 cfs of this went for stock water</t>
        </r>
      </text>
    </comment>
    <comment ref="V2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5 cfs of this went for stock water
</t>
        </r>
      </text>
    </comment>
    <comment ref="V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5 cfs of this went for stock water</t>
        </r>
      </text>
    </comment>
    <comment ref="V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1.6 cfs of this went for stock water</t>
        </r>
      </text>
    </comment>
    <comment ref="AC1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We're storing the Totten Exchange water when there is still water available to MVIC and these numbers come from the MVIC"S Water (Oct16th-March 31th) worksheet.</t>
        </r>
      </text>
    </comment>
    <comment ref="AI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  <comment ref="AO2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Started a stock water run</t>
        </r>
      </text>
    </comment>
    <comment ref="AO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</text>
    </comment>
    <comment ref="AU16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U17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U18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U19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  <comment ref="AU20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This water was in Reach 2 of Towaoc Canal, not diverted from the Reservoir this water year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 cfs/day.</t>
        </r>
      </text>
    </comment>
    <comment ref="AI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 cfs/day.</t>
        </r>
      </text>
    </comment>
    <comment ref="AI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 cfs/day.</t>
        </r>
      </text>
    </comment>
    <comment ref="V2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Brad Reed called and had us shut the Lone pine gate.</t>
        </r>
      </text>
    </comment>
    <comment ref="AI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  <comment ref="AN2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Brad Reed called and had us shut the Lone Pine gate.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unthawed</t>
        </r>
      </text>
    </comment>
    <comment ref="H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unthawed</t>
        </r>
      </text>
    </commen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  <comment ref="V3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started filling Narr.Res.on up.</t>
        </r>
      </text>
    </comment>
    <comment ref="V4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Turned off the Lone Pine Canal @ 7:10 AM as Narr. Res is full</t>
        </r>
      </text>
    </comment>
    <comment ref="AC1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Totten Exchange storage completed.</t>
        </r>
      </text>
    </comment>
    <comment ref="AI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  <comment ref="AN4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Narr res Full.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Of the 800 Ac. Ft. of Fish &amp; Wildlife water 400 Ac. Ft.goes into the Wetlands &amp; 400 Ac. ft. goes into Totten.</t>
        </r>
      </text>
    </commen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  <comment ref="AI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April 1st to March 31th as according to contract.</t>
        </r>
      </text>
    </comment>
    <comment ref="AO2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stock water in the East &amp; West Laterals along with the U-lateral.</t>
        </r>
      </text>
    </comment>
    <comment ref="AO2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Began stock water in the Lone Pine Canal</t>
        </r>
      </text>
    </comment>
    <comment ref="AO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Turned off all stock water</t>
        </r>
      </text>
    </comment>
    <comment ref="AT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Of the 800 Ac. Ft. of Fish &amp; Wildlife water 400 Ac. Ft. goes into Totten.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  <comment ref="AB3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Part of MVIC second fill righ twhich is over and above their 72,000 Ac. Ft.</t>
        </r>
      </text>
    </comment>
    <comment ref="AB3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Part of MVIC second fill right which is over and above their 72,000 Ac. Ft.</t>
        </r>
      </text>
    </comment>
    <comment ref="AB3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second fill right is over and above their 72,000 Ac. Ft.</t>
        </r>
      </text>
    </comment>
    <comment ref="AI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Fish pool not charges 2 days equal to 800 cfs release.</t>
        </r>
      </text>
    </comment>
    <comment ref="AI2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Fish pool not charged 2 days equqal to 800 cfs release.</t>
        </r>
      </text>
    </comment>
    <comment ref="AJ2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Started a small spill for Fish &amp; Wildlife. 55 cfs charged to fish pool.</t>
        </r>
      </text>
    </comment>
    <comment ref="AJ2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55 cfs charged to fish pool</t>
        </r>
      </text>
    </comment>
    <comment ref="AJ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55 cfs charged to fish pool.</t>
        </r>
      </text>
    </comment>
    <comment ref="AJ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for Fish &amp; Wildlife is over.</t>
        </r>
      </text>
    </comment>
    <comment ref="AJ3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Regular spill have begun.</t>
        </r>
      </text>
    </comment>
    <comment ref="AN3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had A pipeline blow up so some water went into Narr. We are calling this part of their second fill right.</t>
        </r>
      </text>
    </comment>
    <comment ref="AN3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had A pipeline blow up so some water went into Narr. We are calling this part of their second fill right.</t>
        </r>
      </text>
    </comment>
    <comment ref="AN3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began again filling Narr again under their second fill right. 1653 Ac. Ft.</t>
        </r>
      </text>
    </comment>
    <comment ref="AT2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2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2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3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Turned off until spill begins.</t>
        </r>
      </text>
    </comment>
    <comment ref="AT3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in process. So filling Totten on up. </t>
        </r>
      </text>
    </comment>
    <comment ref="AT4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4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4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4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4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2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Ajustment to the elevation sensor probe to match the water level probe reading. It was off by .08 so the cal. Inflow shown a higher reading.</t>
        </r>
      </text>
    </commen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  <comment ref="AJ3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over.</t>
        </r>
      </text>
    </comment>
    <comment ref="AJ4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Only call water over the 75 as spill water.</t>
        </r>
      </text>
    </comment>
    <comment ref="AJ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Only call water over the 75 as spill water.</t>
        </r>
      </text>
    </comment>
    <comment ref="AN1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second fill is over. 1365 AC. Ft.</t>
        </r>
      </text>
    </comment>
    <comment ref="AP2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2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2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3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4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4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43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Reservior full-no room to store water.</t>
        </r>
      </text>
    </comment>
    <comment ref="AP4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Only room to store 44.87 cfs.</t>
        </r>
      </text>
    </comment>
    <comment ref="AT1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Filling above the restriction with approval from Matt for the survey.Spill water</t>
        </r>
      </text>
    </comment>
    <comment ref="AT1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1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1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</t>
        </r>
      </text>
    </comment>
    <comment ref="AT2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Water.</t>
        </r>
      </text>
    </comment>
    <comment ref="AT2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Spill Water.</t>
        </r>
      </text>
    </comment>
    <comment ref="AT5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201.85 Ac. ft. of Fish &amp; Wildlife water left as of 7/1/11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U/S Exchange water started at 12:00 noon-69.14 CFS.</t>
        </r>
      </text>
    </commen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  <comment ref="AC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Added the total u/s users exchange water 1468.6 Ac. Ft. or 740.4 Cfs.</t>
        </r>
      </text>
    </comment>
    <comment ref="AD1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is the amount of Project Water calculated on Nov 28tht. Using the calculation work sheet.</t>
        </r>
      </text>
    </comment>
    <comment ref="AI1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A valve misfunctioned in power plant, so charged only 75 cfs to fish pool.</t>
        </r>
      </text>
    </comment>
    <comment ref="AP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After June 30th Mivic can not store water in Narr. by contact, so this column only shows what the river produced in relationship to what Mvic used.</t>
        </r>
      </text>
    </comment>
    <comment ref="AS2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Started the u/s exchange -will be a total of 1468.6 Ac. Ft.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4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USGS approved to here</t>
        </r>
      </text>
    </commen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  <comment ref="AC1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making more water than MVIC is using so no reduction</t>
        </r>
      </text>
    </comment>
    <comment ref="AP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After June 30th Mivic can not store water in Narr. by contact, so this column only shows what the river produced in relationship to what Mvic used.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Ute Farm &amp; Ranch allocation.</t>
        </r>
      </text>
    </comment>
    <comment ref="O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Started using DWCD lease water. 33.8 cfs of the 34 cfs.</t>
        </r>
      </text>
    </commen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3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Towaoc East Flowmeter is not working right, so using the west reading and doubling it.</t>
        </r>
      </text>
    </comment>
    <comment ref="O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47.8 cfs added here is the water that was drained out of Reach 2 of Towaoc, not diverted from the Reservoir.</t>
        </r>
      </text>
    </comment>
    <comment ref="R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If the formula =(daily reading/325851/1.9835-Col T #)*1.04 gives you more than 4.20, you need to enter the following formula in the Cortez Project column. =((daily reading/325851/1.9835-col T #)*1.04)-4.20.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Cortez Non-project water is limited to 4.20 cfs/day.</t>
        </r>
      </text>
    </comment>
    <comment ref="V3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started using river water to fill Narr. Res.</t>
        </r>
      </text>
    </comment>
    <comment ref="X2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Lone Pine, U-Lateral, East Leteral &amp; West Lateral was turned off at midnight (Thursday) at MVIC request. And they were shutting the headgates on the Towaoc Canal  today.</t>
        </r>
      </text>
    </comment>
    <comment ref="X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47.8 cfs that was substracted here is the water that the Utes took in draining Towaoc Canal Reach 2 , that had been charged to MVIC.</t>
        </r>
      </text>
    </comment>
    <comment ref="Y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47.8 cfs that was substracted here is the water that the Utes took in draining Towaoc Canal Reach 2 , that had been charged to MVIC.</t>
        </r>
      </text>
    </comment>
    <comment ref="AD16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Inserted new MVIC Project Water number that was calculated on 10/3/011 on July 1st.</t>
        </r>
      </text>
    </comment>
    <comment ref="AD1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Inserted new MVIC Project Water number that was calculated on 10/3/011 on July 1st.</t>
        </r>
      </text>
    </comment>
    <comment ref="AD1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Inserted new MVIC Project Water number that was calculated on 10/3/011 on July 1st.</t>
        </r>
      </text>
    </comment>
    <comment ref="AD19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Inserted new MVIC Project Water number that was calculated on 10/6/011 on July 1st.(STOCK WATER)</t>
        </r>
      </text>
    </comment>
    <comment ref="AD2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MVIC used, so no reduction.</t>
        </r>
      </text>
    </comment>
    <comment ref="AD2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made more than MVIC used, so no reduction.</t>
        </r>
      </text>
    </comment>
    <comment ref="AN3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started using River water to fill Narr. Res.</t>
        </r>
      </text>
    </comment>
    <comment ref="AV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47.8 cfs added here is the water that was drained out of Reach 2 of Towaoc, not diverted from the Reservoir.</t>
        </r>
      </text>
    </comment>
  </commentList>
</comments>
</file>

<file path=xl/sharedStrings.xml><?xml version="1.0" encoding="utf-8"?>
<sst xmlns="http://schemas.openxmlformats.org/spreadsheetml/2006/main" count="2217" uniqueCount="149">
  <si>
    <t xml:space="preserve">MCPHEE  RESERVOIR  INFLOW/OUTFLOW  TABULATION</t>
  </si>
  <si>
    <t xml:space="preserve">AF/cfs  CONVERT FACTOR</t>
  </si>
  <si>
    <t xml:space="preserve">                     NOVEMBER  "2010"</t>
  </si>
  <si>
    <t xml:space="preserve">RESERVOIR</t>
  </si>
  <si>
    <t xml:space="preserve">      INFLOW</t>
  </si>
  <si>
    <t xml:space="preserve">OUTFLOW </t>
  </si>
  <si>
    <t xml:space="preserve">ADJUSTMENTS</t>
  </si>
  <si>
    <t xml:space="preserve">WEATHER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</si>
  <si>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</si>
  <si>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</si>
  <si>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</si>
  <si>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</si>
  <si>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</si>
  <si>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</si>
  <si>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</si>
  <si>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</si>
  <si>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</si>
  <si>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</si>
  <si>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</si>
  <si>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</si>
  <si>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</si>
  <si>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</si>
  <si>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TO EX &amp;</t>
  </si>
  <si>
    <t xml:space="preserve">DV  CR</t>
  </si>
  <si>
    <t xml:space="preserve">       D/S SENIOR </t>
  </si>
  <si>
    <t xml:space="preserve">BELOW</t>
  </si>
  <si>
    <t xml:space="preserve">FISH</t>
  </si>
  <si>
    <t xml:space="preserve">SPILL</t>
  </si>
  <si>
    <t xml:space="preserve">NAR</t>
  </si>
  <si>
    <t xml:space="preserve">MVI </t>
  </si>
  <si>
    <t xml:space="preserve">DIST.</t>
  </si>
  <si>
    <t xml:space="preserve">U/S</t>
  </si>
  <si>
    <t xml:space="preserve">TOTTEN</t>
  </si>
  <si>
    <t xml:space="preserve">UTES</t>
  </si>
  <si>
    <t xml:space="preserve">RAIN</t>
  </si>
  <si>
    <t xml:space="preserve">MAX</t>
  </si>
  <si>
    <t xml:space="preserve">MIN</t>
  </si>
  <si>
    <t xml:space="preserve">NOV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</si>
  <si>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</si>
  <si>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</si>
  <si>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</si>
  <si>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</si>
  <si>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</si>
  <si>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</t>
  </si>
  <si>
    <t xml:space="preserve">INFLOW</t>
  </si>
  <si>
    <t xml:space="preserve">INF/OTF</t>
  </si>
  <si>
    <t xml:space="preserve">TOT DIV</t>
  </si>
  <si>
    <t xml:space="preserve">WET</t>
  </si>
  <si>
    <t xml:space="preserve">UTE</t>
  </si>
  <si>
    <t xml:space="preserve">QUEST</t>
  </si>
  <si>
    <t xml:space="preserve">MWC</t>
  </si>
  <si>
    <t xml:space="preserve">         CORTEZ</t>
  </si>
  <si>
    <t xml:space="preserve">F-BAY</t>
  </si>
  <si>
    <t xml:space="preserve">PINE</t>
  </si>
  <si>
    <t xml:space="preserve">LAT</t>
  </si>
  <si>
    <t xml:space="preserve">CALL</t>
  </si>
  <si>
    <t xml:space="preserve">APR-</t>
  </si>
  <si>
    <t xml:space="preserve">U/S EX</t>
  </si>
  <si>
    <t xml:space="preserve">PROJ </t>
  </si>
  <si>
    <t xml:space="preserve">CANAL</t>
  </si>
  <si>
    <t xml:space="preserve">MVIC</t>
  </si>
  <si>
    <t xml:space="preserve">PROJ</t>
  </si>
  <si>
    <t xml:space="preserve">MCP</t>
  </si>
  <si>
    <t xml:space="preserve">LEFT</t>
  </si>
  <si>
    <t xml:space="preserve">OTF</t>
  </si>
  <si>
    <t xml:space="preserve">FILL</t>
  </si>
  <si>
    <t xml:space="preserve">STOCK</t>
  </si>
  <si>
    <t xml:space="preserve">STORED</t>
  </si>
  <si>
    <t xml:space="preserve">CLASS</t>
  </si>
  <si>
    <t xml:space="preserve">USERS</t>
  </si>
  <si>
    <t xml:space="preserve">(FRESH</t>
  </si>
  <si>
    <t xml:space="preserve">FROM</t>
  </si>
  <si>
    <t xml:space="preserve">TMP</t>
  </si>
  <si>
    <t xml:space="preserve">TUNNEL</t>
  </si>
  <si>
    <t xml:space="preserve">LAND</t>
  </si>
  <si>
    <t xml:space="preserve">F&amp;R</t>
  </si>
  <si>
    <t xml:space="preserve">NON -</t>
  </si>
  <si>
    <t xml:space="preserve">BAL</t>
  </si>
  <si>
    <t xml:space="preserve">WATER</t>
  </si>
  <si>
    <t xml:space="preserve">IRRIG.</t>
  </si>
  <si>
    <t xml:space="preserve">STOR</t>
  </si>
  <si>
    <t xml:space="preserve">SPILLED</t>
  </si>
  <si>
    <t xml:space="preserve">JUNE</t>
  </si>
  <si>
    <t xml:space="preserve">Apr - Jun</t>
  </si>
  <si>
    <t xml:space="preserve">EVAP</t>
  </si>
  <si>
    <t xml:space="preserve">"B"</t>
  </si>
  <si>
    <t xml:space="preserve">EXCH</t>
  </si>
  <si>
    <t xml:space="preserve">WATER)</t>
  </si>
  <si>
    <t xml:space="preserve">DWCD</t>
  </si>
  <si>
    <t xml:space="preserve">Misc.</t>
  </si>
  <si>
    <t xml:space="preserve">USED</t>
  </si>
  <si>
    <t xml:space="preserve">OR </t>
  </si>
  <si>
    <t xml:space="preserve">(DIV+</t>
  </si>
  <si>
    <t xml:space="preserve">CALL)</t>
  </si>
  <si>
    <t xml:space="preserve">AC. Ft.</t>
  </si>
  <si>
    <t xml:space="preserve">AC FT</t>
  </si>
  <si>
    <t xml:space="preserve">AC.FT.</t>
  </si>
  <si>
    <t xml:space="preserve">Outflow </t>
  </si>
  <si>
    <t xml:space="preserve">Ac. Ft.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</si>
  <si>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</si>
  <si>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</si>
  <si>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</si>
  <si>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</si>
  <si>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</si>
  <si>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</si>
  <si>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</si>
  <si>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</si>
  <si>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</si>
  <si>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</si>
  <si>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</si>
  <si>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"2010"</t>
  </si>
  <si>
    <t xml:space="preserve">       INFLOW</t>
  </si>
  <si>
    <t xml:space="preserve">DEC</t>
  </si>
  <si>
    <t xml:space="preserve">FILLL</t>
  </si>
  <si>
    <t xml:space="preserve"> </t>
  </si>
  <si>
    <t xml:space="preserve">JANUARY  "2011"</t>
  </si>
  <si>
    <t xml:space="preserve">FEBRUARY  "2011"</t>
  </si>
  <si>
    <t xml:space="preserve">OUTFLOW</t>
  </si>
  <si>
    <t xml:space="preserve">FEB</t>
  </si>
  <si>
    <t xml:space="preserve">AVE</t>
  </si>
  <si>
    <t xml:space="preserve">MARCH  "2011"</t>
  </si>
  <si>
    <t xml:space="preserve">MAR</t>
  </si>
  <si>
    <t xml:space="preserve">                                    Apr  "2011"</t>
  </si>
  <si>
    <t xml:space="preserve">     INFLOW</t>
  </si>
  <si>
    <t xml:space="preserve">APR</t>
  </si>
  <si>
    <t xml:space="preserve">AVG</t>
  </si>
  <si>
    <t xml:space="preserve">                                  MAY  "2011"</t>
  </si>
  <si>
    <t xml:space="preserve">       D/S SENIOR</t>
  </si>
  <si>
    <t xml:space="preserve">FISH </t>
  </si>
  <si>
    <t xml:space="preserve">MAY</t>
  </si>
  <si>
    <t xml:space="preserve">                                    JUNE  "2011"</t>
  </si>
  <si>
    <t xml:space="preserve">JUN</t>
  </si>
  <si>
    <t xml:space="preserve">.</t>
  </si>
  <si>
    <t xml:space="preserve">                                            JULY  "2011"</t>
  </si>
  <si>
    <t xml:space="preserve">         INFLOW</t>
  </si>
  <si>
    <t xml:space="preserve">JUL</t>
  </si>
  <si>
    <t xml:space="preserve">AUGUST  "2011"</t>
  </si>
  <si>
    <t xml:space="preserve">AUG</t>
  </si>
  <si>
    <t xml:space="preserve">                                   SEPTEMBER  "2011"</t>
  </si>
  <si>
    <t xml:space="preserve">SEPT</t>
  </si>
  <si>
    <t xml:space="preserve">c</t>
  </si>
  <si>
    <t xml:space="preserve">OCTOBER  "2011"</t>
  </si>
  <si>
    <t xml:space="preserve">OCT</t>
  </si>
  <si>
    <t xml:space="preserve">Carry-</t>
  </si>
  <si>
    <t xml:space="preserve">over</t>
  </si>
  <si>
    <t xml:space="preserve">Total</t>
  </si>
  <si>
    <t xml:space="preserve">Totals</t>
  </si>
  <si>
    <t xml:space="preserve">Provisional</t>
  </si>
  <si>
    <t xml:space="preserve">Delta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</si>
</sst>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0_);\(0.00\)"/>
    <numFmt numFmtId="167" formatCode="0.0"/>
    <numFmt numFmtId="168" formatCode="0.00"/>
    <numFmt numFmtId="169" formatCode="0"/>
    <numFmt numFmtId="170" formatCode="#,##0.0"/>
    <numFmt numFmtId="171" formatCode="##0.0"/>
    <numFmt numFmtId="172" formatCode="0.0000"/>
    <numFmt numFmtId="173" formatCode="0.000"/>
    <numFmt numFmtId="174" formatCode="#,##0.0_);\(#,##0.0\)"/>
    <numFmt numFmtId="175" formatCode="#,##0.00"/>
    <numFmt numFmtId="176" formatCode="[$-409]d\-mmm"/>
    <numFmt numFmtId="177" formatCode="0%"/>
    <numFmt numFmtId="178" formatCode="0.0_);\(0.0\)"/>
    <numFmt numFmtId="179" formatCode="0_);\(0\)"/>
    <numFmt numFmtId="180" formatCode="[$-409]mmm\-yy"/>
    <numFmt numFmtId="181" formatCode="#,##0.0000"/>
    <numFmt numFmtId="182" formatCode="0.00_);[RED]\(0.00\)"/>
    <numFmt numFmtId="183" formatCode="0_);[RED]\(0\)"/>
  </numFmts>
  <fonts count="32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00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0000"/>
      <name val="Calibri"/>
      <family val="2"/>
    </font>
    <font>
      <sz val="11"/>
      <color rgb="FF808000"/>
      <name val="Calibri"/>
      <family val="2"/>
    </font>
    <font>
      <b val="true"/>
      <sz val="11"/>
      <color rgb="FF424242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8"/>
      <name val="Arial Narrow"/>
      <family val="2"/>
    </font>
    <font>
      <b val="true"/>
      <i val="true"/>
      <sz val="12"/>
      <name val="Arial Narrow"/>
      <family val="2"/>
    </font>
    <font>
      <sz val="6"/>
      <name val="Arial Narrow"/>
      <family val="2"/>
    </font>
    <font>
      <b val="true"/>
      <sz val="8"/>
      <name val="Arial Narrow"/>
      <family val="2"/>
    </font>
    <font>
      <b val="true"/>
      <sz val="6"/>
      <name val="Arial Narrow"/>
      <family val="2"/>
    </font>
    <font>
      <b val="true"/>
      <sz val="9"/>
      <name val="Arial Narrow"/>
      <family val="2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LinePrinter"/>
      <family val="0"/>
    </font>
    <font>
      <sz val="8"/>
      <color rgb="FF000000"/>
      <name val="LinePrinter"/>
      <family val="0"/>
    </font>
    <font>
      <b val="true"/>
      <sz val="12"/>
      <name val="Arial Narrow"/>
      <family val="2"/>
    </font>
    <font>
      <sz val="8"/>
      <color rgb="FF00000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A6CAF0"/>
        <bgColor rgb="FFA0E0E0"/>
      </patternFill>
    </fill>
    <fill>
      <patternFill patternType="solid">
        <fgColor rgb="FFFF8080"/>
        <bgColor rgb="FFCC9CCC"/>
      </patternFill>
    </fill>
    <fill>
      <patternFill patternType="solid">
        <fgColor rgb="FFFFFFC0"/>
        <bgColor rgb="FFFFFF99"/>
      </patternFill>
    </fill>
    <fill>
      <patternFill patternType="solid">
        <fgColor rgb="FFE3E3E3"/>
        <bgColor rgb="FFEEEEEC"/>
      </patternFill>
    </fill>
    <fill>
      <patternFill patternType="solid">
        <fgColor rgb="FFA0E0E0"/>
        <bgColor rgb="FFA6CAF0"/>
      </patternFill>
    </fill>
    <fill>
      <patternFill patternType="solid">
        <fgColor rgb="FFFFFF99"/>
        <bgColor rgb="FFFFFFC0"/>
      </patternFill>
    </fill>
    <fill>
      <patternFill patternType="solid">
        <fgColor rgb="FFCC9CCC"/>
        <bgColor rgb="FFCC99FF"/>
      </patternFill>
    </fill>
    <fill>
      <patternFill patternType="solid">
        <fgColor rgb="FF996666"/>
        <bgColor rgb="FF808080"/>
      </patternFill>
    </fill>
    <fill>
      <patternFill patternType="solid">
        <fgColor rgb="FF999933"/>
        <bgColor rgb="FF808000"/>
      </patternFill>
    </fill>
    <fill>
      <patternFill patternType="solid">
        <fgColor rgb="FF3333CC"/>
        <bgColor rgb="FF333399"/>
      </patternFill>
    </fill>
    <fill>
      <patternFill patternType="solid">
        <fgColor rgb="FF666699"/>
        <bgColor rgb="FF808080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CC99FF"/>
        <bgColor rgb="FFCC9CCC"/>
      </patternFill>
    </fill>
    <fill>
      <patternFill patternType="solid">
        <fgColor rgb="FFFFFFFF"/>
        <bgColor rgb="FFEEEEEC"/>
      </patternFill>
    </fill>
    <fill>
      <patternFill patternType="solid">
        <fgColor rgb="FF969696"/>
        <bgColor rgb="FF808080"/>
      </patternFill>
    </fill>
    <fill>
      <patternFill patternType="solid">
        <fgColor rgb="FF464648"/>
        <bgColor rgb="FF424242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424242"/>
      </left>
      <right style="double">
        <color rgb="FF424242"/>
      </right>
      <top style="double">
        <color rgb="FF424242"/>
      </top>
      <bottom style="double">
        <color rgb="FF424242"/>
      </bottom>
      <diagonal/>
    </border>
    <border diagonalUp="false" diagonalDown="false">
      <left/>
      <right/>
      <top/>
      <bottom style="thick">
        <color rgb="FF3333CC"/>
      </bottom>
      <diagonal/>
    </border>
    <border diagonalUp="false" diagonalDown="false">
      <left/>
      <right/>
      <top/>
      <bottom style="thick">
        <color rgb="FFA0E0E0"/>
      </bottom>
      <diagonal/>
    </border>
    <border diagonalUp="false" diagonalDown="false">
      <left/>
      <right/>
      <top/>
      <bottom style="medium">
        <color rgb="FFA0E0E0"/>
      </bottom>
      <diagonal/>
    </border>
    <border diagonalUp="false" diagonalDown="false">
      <left/>
      <right/>
      <top/>
      <bottom style="double">
        <color rgb="FFFF00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 diagonalUp="false" diagonalDown="false">
      <left/>
      <right/>
      <top style="thin">
        <color rgb="FF3333CC"/>
      </top>
      <bottom style="double">
        <color rgb="FF3333CC"/>
      </bottom>
      <diagonal/>
    </border>
    <border diagonalUp="false" diagonalDown="false">
      <left/>
      <right/>
      <top/>
      <bottom style="thick">
        <color rgb="FFEEEEEC"/>
      </bottom>
      <diagonal/>
    </border>
    <border diagonalUp="false" diagonalDown="false">
      <left/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 style="thick">
        <color rgb="FFEEEEEC"/>
      </top>
      <bottom/>
      <diagonal/>
    </border>
    <border diagonalUp="false" diagonalDown="false">
      <left/>
      <right/>
      <top style="thick">
        <color rgb="FFEEEEEC"/>
      </top>
      <bottom/>
      <diagonal/>
    </border>
    <border diagonalUp="false" diagonalDown="false">
      <left/>
      <right style="medium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/>
      <bottom/>
      <diagonal/>
    </border>
    <border diagonalUp="false" diagonalDown="false">
      <left/>
      <right style="thick">
        <color rgb="FFEEEEEC"/>
      </right>
      <top/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/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/>
      <bottom style="thin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medium">
        <color rgb="FFEEEEEC"/>
      </top>
      <bottom/>
      <diagonal/>
    </border>
    <border diagonalUp="false" diagonalDown="false">
      <left/>
      <right style="medium">
        <color rgb="FFEEEEEC"/>
      </right>
      <top/>
      <bottom style="thin">
        <color rgb="FFEEEEEC"/>
      </bottom>
      <diagonal/>
    </border>
    <border diagonalUp="false" diagonalDown="false">
      <left style="medium">
        <color rgb="FFEEEEEC"/>
      </left>
      <right/>
      <top/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/>
      <diagonal/>
    </border>
    <border diagonalUp="false" diagonalDown="false">
      <left/>
      <right style="medium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/>
      <bottom style="thin">
        <color rgb="FFEEEEEC"/>
      </bottom>
      <diagonal/>
    </border>
    <border diagonalUp="false" diagonalDown="false">
      <left/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hair">
        <color rgb="FFEEEEEC"/>
      </top>
      <bottom style="hair">
        <color rgb="FFEEEEEC"/>
      </bottom>
      <diagonal/>
    </border>
  </borders>
  <cellStyleXfs count="6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7" fontId="0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4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6" fillId="15" borderId="0" applyFont="true" applyBorder="false" applyAlignment="false" applyProtection="false"/>
    <xf numFmtId="164" fontId="7" fillId="16" borderId="1" applyFont="true" applyBorder="true" applyAlignment="false" applyProtection="false"/>
    <xf numFmtId="164" fontId="8" fillId="17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6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7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7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applyFont="true" applyBorder="true" applyAlignment="false" applyProtection="false"/>
    <xf numFmtId="164" fontId="17" fillId="16" borderId="8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9" applyFont="true" applyBorder="true" applyAlignment="false" applyProtection="false"/>
    <xf numFmtId="164" fontId="15" fillId="0" borderId="0" applyFont="true" applyBorder="false" applyAlignment="false" applyProtection="false"/>
  </cellStyleXfs>
  <cellXfs count="5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8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8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3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3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3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3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3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3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3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3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2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7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18" borderId="3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2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3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3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38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3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9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4" fillId="0" borderId="18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9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3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4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8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2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2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3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7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39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39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4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2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3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9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8" borderId="2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3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7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2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3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8" borderId="4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IVER054" xfId="56"/>
    <cellStyle name="Note 1" xfId="57"/>
    <cellStyle name="Output" xfId="58"/>
    <cellStyle name="Title" xfId="59"/>
    <cellStyle name="Total" xfId="60"/>
    <cellStyle name="Warning Text" xfId="6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6666"/>
      <rgbColor rgb="FFFFFFC0"/>
      <rgbColor rgb="FFEEEEEC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0E0E0"/>
      <rgbColor rgb="FFFFFF99"/>
      <rgbColor rgb="FFA6CAF0"/>
      <rgbColor rgb="FFCC9CCC"/>
      <rgbColor rgb="FFCC99FF"/>
      <rgbColor rgb="FFFFCC99"/>
      <rgbColor rgb="FF3333CC"/>
      <rgbColor rgb="FF33CCCC"/>
      <rgbColor rgb="FF9999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33</xdr:row>
      <xdr:rowOff>0</xdr:rowOff>
    </xdr:from>
    <xdr:to>
      <xdr:col>7</xdr:col>
      <xdr:colOff>21600</xdr:colOff>
      <xdr:row>34</xdr:row>
      <xdr:rowOff>28800</xdr:rowOff>
    </xdr:to>
    <xdr:sp>
      <xdr:nvSpPr>
        <xdr:cNvPr id="0" name="Text 1"/>
        <xdr:cNvSpPr/>
      </xdr:nvSpPr>
      <xdr:spPr>
        <a:xfrm>
          <a:off x="2500560" y="5359320"/>
          <a:ext cx="463680" cy="193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rIns="0" tIns="22680" bIns="0" anchor="t">
          <a:noAutofit/>
        </a:bodyPr>
        <a:p>
          <a:r>
            <a:rPr b="0" lang="en-US" sz="800" spc="-1" strike="noStrike">
              <a:solidFill>
                <a:srgbClr val="000000"/>
              </a:solidFill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" name="Rectangle 1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2" name="Rectangle 2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3" name="Rectangle 3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4" name="Rectangle 4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5" name="Rectangle 5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124200</xdr:rowOff>
    </xdr:from>
    <xdr:to>
      <xdr:col>14</xdr:col>
      <xdr:colOff>11160</xdr:colOff>
      <xdr:row>39</xdr:row>
      <xdr:rowOff>164520</xdr:rowOff>
    </xdr:to>
    <xdr:sp>
      <xdr:nvSpPr>
        <xdr:cNvPr id="6" name="Rectangle 6"/>
        <xdr:cNvSpPr/>
      </xdr:nvSpPr>
      <xdr:spPr>
        <a:xfrm>
          <a:off x="5626080" y="6470280"/>
          <a:ext cx="11160" cy="403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7" name="Rectangle 7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8" name="Rectangle 8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9" name="Rectangle 9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0" name="Rectangle 1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1" name="Rectangle 3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2" name="Rectangle 4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3" name="Rectangle 6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4" name="Rectangle 8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124200</xdr:rowOff>
    </xdr:from>
    <xdr:to>
      <xdr:col>14</xdr:col>
      <xdr:colOff>11160</xdr:colOff>
      <xdr:row>39</xdr:row>
      <xdr:rowOff>164520</xdr:rowOff>
    </xdr:to>
    <xdr:sp>
      <xdr:nvSpPr>
        <xdr:cNvPr id="15" name="Rectangle 10"/>
        <xdr:cNvSpPr/>
      </xdr:nvSpPr>
      <xdr:spPr>
        <a:xfrm>
          <a:off x="5626080" y="6470280"/>
          <a:ext cx="11160" cy="403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6" name="Rectangle 11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17" name="Rectangle 12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18" name="Rectangle 13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36" activePane="bottomRight" state="frozen"/>
      <selection pane="topLeft" activeCell="A1" activeCellId="0" sqref="A1"/>
      <selection pane="topRight" activeCell="B1" activeCellId="0" sqref="B1"/>
      <selection pane="bottomLeft" activeCell="A36" activeCellId="0" sqref="A36"/>
      <selection pane="bottomRight" activeCell="AR32" activeCellId="0" sqref="AR32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3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6" width="5.16"/>
    <col collapsed="false" customWidth="true" hidden="false" outlineLevel="0" max="23" min="22" style="1" width="5.49"/>
    <col collapsed="false" customWidth="true" hidden="false" outlineLevel="0" max="24" min="24" style="2" width="6.32"/>
    <col collapsed="false" customWidth="true" hidden="false" outlineLevel="0" max="25" min="25" style="4" width="6.32"/>
    <col collapsed="false" customWidth="true" hidden="false" outlineLevel="0" max="26" min="26" style="1" width="5.49"/>
    <col collapsed="false" customWidth="true" hidden="false" outlineLevel="0" max="27" min="27" style="4" width="6.32"/>
    <col collapsed="false" customWidth="true" hidden="false" outlineLevel="0" max="28" min="28" style="1" width="5.49"/>
    <col collapsed="false" customWidth="true" hidden="false" outlineLevel="0" max="29" min="29" style="1" width="5.82"/>
    <col collapsed="false" customWidth="true" hidden="false" outlineLevel="0" max="31" min="30" style="1" width="5.49"/>
    <col collapsed="false" customWidth="true" hidden="false" outlineLevel="0" max="33" min="32" style="2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7" min="36" style="1" width="6.32"/>
    <col collapsed="false" customWidth="true" hidden="false" outlineLevel="0" max="38" min="38" style="1" width="6.82"/>
    <col collapsed="false" customWidth="true" hidden="false" outlineLevel="0" max="39" min="39" style="3" width="6.82"/>
    <col collapsed="false" customWidth="true" hidden="false" outlineLevel="0" max="41" min="40" style="4" width="5.49"/>
    <col collapsed="false" customWidth="true" hidden="false" outlineLevel="0" max="42" min="42" style="1" width="6.32"/>
    <col collapsed="false" customWidth="true" hidden="false" outlineLevel="0" max="43" min="43" style="7" width="6.32"/>
    <col collapsed="false" customWidth="true" hidden="false" outlineLevel="0" max="44" min="44" style="7" width="5.49"/>
    <col collapsed="false" customWidth="true" hidden="false" outlineLevel="0" max="45" min="45" style="1" width="5.32"/>
    <col collapsed="false" customWidth="true" hidden="false" outlineLevel="0" max="46" min="46" style="1" width="5.82"/>
    <col collapsed="false" customWidth="true" hidden="false" outlineLevel="0" max="47" min="47" style="8" width="4.99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1" min="50" style="10" width="3.82"/>
    <col collapsed="false" customWidth="true" hidden="false" outlineLevel="0" max="52" min="52" style="4" width="5.49"/>
  </cols>
  <sheetData>
    <row r="1" customFormat="false" ht="14.1" hidden="false" customHeight="true" outlineLevel="0" collapsed="false">
      <c r="A1" s="11"/>
      <c r="B1" s="11"/>
      <c r="D1" s="11"/>
      <c r="F1" s="11"/>
      <c r="G1" s="11"/>
      <c r="H1" s="12"/>
      <c r="I1" s="11"/>
      <c r="J1" s="11"/>
      <c r="K1" s="13" t="s">
        <v>0</v>
      </c>
      <c r="L1" s="11"/>
      <c r="M1" s="11"/>
      <c r="N1" s="11"/>
      <c r="O1" s="11"/>
      <c r="Q1" s="11"/>
      <c r="R1" s="11"/>
      <c r="S1" s="11"/>
      <c r="T1" s="11"/>
      <c r="V1" s="11"/>
      <c r="W1" s="11"/>
      <c r="Z1" s="11"/>
      <c r="AB1" s="11"/>
      <c r="AC1" s="11"/>
      <c r="AD1" s="11"/>
      <c r="AE1" s="11"/>
      <c r="AI1" s="11"/>
      <c r="AJ1" s="11"/>
      <c r="AK1" s="11"/>
      <c r="AL1" s="11"/>
      <c r="AM1" s="5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H2" s="12"/>
      <c r="I2" s="11"/>
      <c r="J2" s="11"/>
      <c r="K2" s="11"/>
      <c r="L2" s="13" t="s">
        <v>2</v>
      </c>
      <c r="M2" s="11"/>
      <c r="N2" s="11"/>
      <c r="O2" s="11"/>
      <c r="Q2" s="11"/>
      <c r="R2" s="11"/>
      <c r="S2" s="11"/>
      <c r="T2" s="11"/>
      <c r="V2" s="11"/>
      <c r="W2" s="11"/>
      <c r="Z2" s="11"/>
      <c r="AB2" s="11"/>
      <c r="AC2" s="11"/>
      <c r="AD2" s="11"/>
      <c r="AE2" s="11"/>
      <c r="AI2" s="11"/>
      <c r="AJ2" s="11"/>
      <c r="AK2" s="11"/>
      <c r="AL2" s="11"/>
      <c r="AM2" s="5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19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16"/>
      <c r="U3" s="21"/>
      <c r="V3" s="16"/>
      <c r="W3" s="16"/>
      <c r="X3" s="17"/>
      <c r="Y3" s="22"/>
      <c r="Z3" s="16"/>
      <c r="AA3" s="22"/>
      <c r="AB3" s="16"/>
      <c r="AC3" s="16"/>
      <c r="AD3" s="16"/>
      <c r="AE3" s="16"/>
      <c r="AF3" s="17"/>
      <c r="AG3" s="17"/>
      <c r="AH3" s="17"/>
      <c r="AI3" s="16"/>
      <c r="AJ3" s="16"/>
      <c r="AK3" s="16"/>
      <c r="AL3" s="16"/>
      <c r="AM3" s="20"/>
      <c r="AN3" s="22"/>
      <c r="AO3" s="22"/>
      <c r="AP3" s="23"/>
      <c r="AQ3" s="24"/>
      <c r="AR3" s="25"/>
      <c r="AS3" s="26"/>
      <c r="AV3" s="27"/>
      <c r="AW3" s="28"/>
      <c r="AX3" s="29"/>
      <c r="AY3" s="30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4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50"/>
      <c r="AV4" s="51"/>
      <c r="AW4" s="52" t="s">
        <v>7</v>
      </c>
      <c r="AX4" s="53"/>
      <c r="AY4" s="53"/>
      <c r="AZ4" s="54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55" t="s">
        <v>16</v>
      </c>
      <c r="M5" s="60" t="s">
        <v>18</v>
      </c>
      <c r="N5" s="60"/>
      <c r="O5" s="60"/>
      <c r="P5" s="60"/>
      <c r="Q5" s="60"/>
      <c r="R5" s="60"/>
      <c r="S5" s="60"/>
      <c r="T5" s="60"/>
      <c r="U5" s="60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69" t="s">
        <v>33</v>
      </c>
      <c r="AV5" s="70" t="s">
        <v>34</v>
      </c>
      <c r="AW5" s="71" t="s">
        <v>35</v>
      </c>
      <c r="AX5" s="71" t="s">
        <v>36</v>
      </c>
      <c r="AY5" s="71"/>
      <c r="AZ5" s="72" t="s">
        <v>17</v>
      </c>
    </row>
    <row r="6" customFormat="false" ht="12.95" hidden="false" customHeight="true" outlineLevel="0" collapsed="false">
      <c r="A6" s="73" t="s">
        <v>37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55" t="s">
        <v>45</v>
      </c>
      <c r="M6" s="74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69" t="s">
        <v>71</v>
      </c>
      <c r="AV6" s="78"/>
      <c r="AW6" s="71" t="s">
        <v>72</v>
      </c>
      <c r="AX6" s="71" t="s">
        <v>72</v>
      </c>
      <c r="AY6" s="71"/>
      <c r="AZ6" s="72" t="s">
        <v>73</v>
      </c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69" t="s">
        <v>88</v>
      </c>
      <c r="AV7" s="78"/>
      <c r="AW7" s="71"/>
      <c r="AX7" s="71"/>
      <c r="AY7" s="71"/>
      <c r="AZ7" s="72" t="s">
        <v>89</v>
      </c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69"/>
      <c r="AV8" s="78"/>
      <c r="AW8" s="71"/>
      <c r="AX8" s="71"/>
      <c r="AY8" s="71"/>
      <c r="AZ8" s="72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69"/>
      <c r="AV9" s="78"/>
      <c r="AW9" s="71"/>
      <c r="AX9" s="71"/>
      <c r="AY9" s="71"/>
      <c r="AZ9" s="72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7" t="s">
        <v>41</v>
      </c>
      <c r="AV10" s="78"/>
      <c r="AW10" s="71"/>
      <c r="AX10" s="71"/>
      <c r="AY10" s="71"/>
      <c r="AZ10" s="72" t="s">
        <v>97</v>
      </c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8"/>
      <c r="AV11" s="78"/>
      <c r="AW11" s="71"/>
      <c r="AX11" s="71"/>
      <c r="AY11" s="71"/>
      <c r="AZ11" s="72" t="s">
        <v>41</v>
      </c>
    </row>
    <row r="12" customFormat="false" ht="12.95" hidden="false" customHeight="true" outlineLevel="0" collapsed="false">
      <c r="A12" s="14" t="s">
        <v>99</v>
      </c>
      <c r="B12" s="89"/>
      <c r="C12" s="90"/>
      <c r="D12" s="90"/>
      <c r="E12" s="90"/>
      <c r="F12" s="91"/>
      <c r="G12" s="2"/>
      <c r="H12" s="9"/>
      <c r="I12" s="2"/>
      <c r="J12" s="2"/>
      <c r="K12" s="2"/>
      <c r="L12" s="2"/>
      <c r="M12" s="92"/>
      <c r="N12" s="90"/>
      <c r="O12" s="90"/>
      <c r="P12" s="93"/>
      <c r="Q12" s="94"/>
      <c r="R12" s="95"/>
      <c r="S12" s="94"/>
      <c r="T12" s="94"/>
      <c r="U12" s="96"/>
      <c r="V12" s="80"/>
      <c r="W12" s="80"/>
      <c r="X12" s="80"/>
      <c r="Y12" s="97"/>
      <c r="Z12" s="80"/>
      <c r="AA12" s="97"/>
      <c r="AB12" s="80"/>
      <c r="AC12" s="80"/>
      <c r="AD12" s="80"/>
      <c r="AE12" s="80"/>
      <c r="AF12" s="98"/>
      <c r="AG12" s="99"/>
      <c r="AH12" s="80"/>
      <c r="AI12" s="86"/>
      <c r="AJ12" s="86"/>
      <c r="AK12" s="80"/>
      <c r="AL12" s="80"/>
      <c r="AM12" s="80"/>
      <c r="AN12" s="100"/>
      <c r="AO12" s="97"/>
      <c r="AP12" s="101"/>
      <c r="AQ12" s="101"/>
      <c r="AR12" s="101"/>
      <c r="AS12" s="101"/>
      <c r="AV12" s="102"/>
      <c r="AW12" s="103"/>
      <c r="AX12" s="103"/>
      <c r="AY12" s="103"/>
      <c r="AZ12" s="104"/>
    </row>
    <row r="13" s="108" customFormat="true" ht="12.95" hidden="false" customHeight="true" outlineLevel="0" collapsed="false">
      <c r="A13" s="105" t="s">
        <v>100</v>
      </c>
      <c r="B13" s="106" t="n">
        <v>6898.31</v>
      </c>
      <c r="C13" s="107" t="n">
        <v>277391</v>
      </c>
      <c r="D13" s="90"/>
      <c r="E13" s="90"/>
      <c r="F13" s="91"/>
      <c r="G13" s="2"/>
      <c r="H13" s="9"/>
      <c r="I13" s="2"/>
      <c r="J13" s="2"/>
      <c r="K13" s="2"/>
      <c r="L13" s="2"/>
      <c r="M13" s="92"/>
      <c r="N13" s="90"/>
      <c r="O13" s="90"/>
      <c r="P13" s="93"/>
      <c r="Q13" s="94"/>
      <c r="R13" s="94"/>
      <c r="S13" s="94"/>
      <c r="T13" s="94"/>
      <c r="U13" s="96"/>
      <c r="V13" s="80"/>
      <c r="W13" s="80"/>
      <c r="X13" s="80"/>
      <c r="Y13" s="97"/>
      <c r="Z13" s="80"/>
      <c r="AA13" s="97"/>
      <c r="AB13" s="80"/>
      <c r="AC13" s="80"/>
      <c r="AD13" s="80"/>
      <c r="AE13" s="80"/>
      <c r="AF13" s="98"/>
      <c r="AG13" s="99"/>
      <c r="AH13" s="107"/>
      <c r="AI13" s="107" t="n">
        <v>5264</v>
      </c>
      <c r="AJ13" s="107"/>
      <c r="AK13" s="80"/>
      <c r="AL13" s="80"/>
      <c r="AM13" s="80"/>
      <c r="AN13" s="100"/>
      <c r="AO13" s="97" t="n">
        <v>0</v>
      </c>
      <c r="AP13" s="80"/>
      <c r="AQ13" s="80"/>
      <c r="AR13" s="80"/>
      <c r="AS13" s="80"/>
      <c r="AT13" s="2"/>
      <c r="AU13" s="8"/>
      <c r="AV13" s="102"/>
      <c r="AW13" s="103"/>
      <c r="AX13" s="103"/>
      <c r="AY13" s="103"/>
      <c r="AZ13" s="104"/>
    </row>
    <row r="14" customFormat="false" ht="3" hidden="false" customHeight="true" outlineLevel="0" collapsed="false">
      <c r="A14" s="109"/>
      <c r="B14" s="110"/>
      <c r="C14" s="111"/>
      <c r="D14" s="109"/>
      <c r="E14" s="111"/>
      <c r="F14" s="112"/>
      <c r="G14" s="109"/>
      <c r="H14" s="113"/>
      <c r="I14" s="109"/>
      <c r="J14" s="109"/>
      <c r="K14" s="109"/>
      <c r="L14" s="109"/>
      <c r="M14" s="114"/>
      <c r="N14" s="109"/>
      <c r="O14" s="109"/>
      <c r="P14" s="115"/>
      <c r="Q14" s="116"/>
      <c r="R14" s="116"/>
      <c r="S14" s="116"/>
      <c r="T14" s="116"/>
      <c r="U14" s="117"/>
      <c r="V14" s="116"/>
      <c r="W14" s="116"/>
      <c r="X14" s="116"/>
      <c r="Y14" s="118"/>
      <c r="Z14" s="119"/>
      <c r="AA14" s="118"/>
      <c r="AB14" s="119"/>
      <c r="AC14" s="119"/>
      <c r="AD14" s="119"/>
      <c r="AE14" s="116"/>
      <c r="AF14" s="120"/>
      <c r="AG14" s="121"/>
      <c r="AH14" s="116"/>
      <c r="AI14" s="119"/>
      <c r="AJ14" s="119"/>
      <c r="AK14" s="116"/>
      <c r="AL14" s="116"/>
      <c r="AM14" s="116"/>
      <c r="AN14" s="122"/>
      <c r="AO14" s="118"/>
      <c r="AP14" s="123"/>
      <c r="AQ14" s="123"/>
      <c r="AR14" s="123"/>
      <c r="AS14" s="123"/>
      <c r="AT14" s="123"/>
      <c r="AU14" s="124"/>
      <c r="AV14" s="125"/>
      <c r="AW14" s="123"/>
      <c r="AX14" s="123"/>
      <c r="AY14" s="123"/>
      <c r="AZ14" s="118"/>
    </row>
    <row r="15" customFormat="false" ht="12.95" hidden="false" customHeight="true" outlineLevel="0" collapsed="false">
      <c r="A15" s="10" t="n">
        <v>1</v>
      </c>
      <c r="B15" s="126" t="n">
        <v>6898.32</v>
      </c>
      <c r="C15" s="90" t="n">
        <v>277427</v>
      </c>
      <c r="D15" s="127" t="n">
        <f aca="false">C15-C13</f>
        <v>36</v>
      </c>
      <c r="E15" s="90" t="n">
        <f aca="false">C15-152000</f>
        <v>125427</v>
      </c>
      <c r="F15" s="128" t="n">
        <f aca="false">D15/$D$2</f>
        <v>18.14973531636</v>
      </c>
      <c r="G15" s="11" t="n">
        <v>85</v>
      </c>
      <c r="H15" s="12" t="n">
        <v>0.62</v>
      </c>
      <c r="I15" s="11" t="n">
        <f aca="false">G15+H15</f>
        <v>85.62</v>
      </c>
      <c r="J15" s="4" t="n">
        <f aca="false">IF(L15&gt;0,L15,0)</f>
        <v>0</v>
      </c>
      <c r="K15" s="11" t="n">
        <f aca="false">I15+J15</f>
        <v>85.62</v>
      </c>
      <c r="L15" s="11" t="n">
        <f aca="false">F15-(I15-AK15)</f>
        <v>-26.37026468364</v>
      </c>
      <c r="M15" s="129" t="n">
        <v>6.1</v>
      </c>
      <c r="N15" s="130" t="n">
        <v>0</v>
      </c>
      <c r="O15" s="130" t="n">
        <v>0</v>
      </c>
      <c r="P15" s="93" t="n">
        <v>0</v>
      </c>
      <c r="Q15" s="131" t="n">
        <f aca="false">1107300/325851/1.9835*1.02</f>
        <v>1.74748802657601</v>
      </c>
      <c r="R15" s="131" t="n">
        <f aca="false">(1396020/325851/1.9835-T15)*1.04</f>
        <v>1.48780474436439</v>
      </c>
      <c r="S15" s="132" t="n">
        <v>0</v>
      </c>
      <c r="T15" s="133" t="n">
        <f aca="false">0.7013*1.04</f>
        <v>0.729352</v>
      </c>
      <c r="U15" s="96" t="n">
        <f aca="false">M15-(Q15+R15+S15+T15)</f>
        <v>2.1353552290596</v>
      </c>
      <c r="V15" s="134" t="n">
        <v>0</v>
      </c>
      <c r="W15" s="134" t="n">
        <v>0</v>
      </c>
      <c r="X15" s="135" t="n">
        <f aca="false">M15-N15-P15-O15-Q15-R15-S15-T15-U15+V15+W15</f>
        <v>0</v>
      </c>
      <c r="Y15" s="136" t="n">
        <f aca="false">X15-AO15</f>
        <v>0</v>
      </c>
      <c r="Z15" s="80"/>
      <c r="AA15" s="136"/>
      <c r="AB15" s="80"/>
      <c r="AC15" s="134" t="n">
        <v>82.4</v>
      </c>
      <c r="AD15" s="80"/>
      <c r="AE15" s="134" t="n">
        <v>0</v>
      </c>
      <c r="AF15" s="137"/>
      <c r="AG15" s="138"/>
      <c r="AH15" s="134" t="n">
        <v>35</v>
      </c>
      <c r="AI15" s="80" t="n">
        <f aca="false">AI13-AH15</f>
        <v>5229</v>
      </c>
      <c r="AJ15" s="80"/>
      <c r="AK15" s="134" t="n">
        <f aca="false">N15+O15+P15+Q15+R15+S15+T15+U15+X15+AE15+AH15</f>
        <v>41.1</v>
      </c>
      <c r="AL15" s="134" t="n">
        <f aca="false">IF(L15&lt;0,L15*-1,0)</f>
        <v>26.37026468364</v>
      </c>
      <c r="AM15" s="134" t="n">
        <f aca="false">AK15+AL15</f>
        <v>67.47026468364</v>
      </c>
      <c r="AN15" s="100"/>
      <c r="AO15" s="97"/>
      <c r="AP15" s="101"/>
      <c r="AQ15" s="101"/>
      <c r="AR15" s="101"/>
      <c r="AS15" s="101"/>
      <c r="AU15" s="5"/>
      <c r="AV15" s="139" t="n">
        <v>0</v>
      </c>
      <c r="AW15" s="103" t="n">
        <v>56</v>
      </c>
      <c r="AX15" s="103" t="n">
        <v>32</v>
      </c>
      <c r="AY15" s="103"/>
      <c r="AZ15" s="104" t="n">
        <f aca="false">SUM(N15,P15:U15)</f>
        <v>6.1</v>
      </c>
    </row>
    <row r="16" customFormat="false" ht="12.95" hidden="false" customHeight="true" outlineLevel="0" collapsed="false">
      <c r="A16" s="10" t="n">
        <f aca="false">A15+1</f>
        <v>2</v>
      </c>
      <c r="B16" s="140" t="n">
        <v>6898.33</v>
      </c>
      <c r="C16" s="90" t="n">
        <v>277464</v>
      </c>
      <c r="D16" s="127" t="n">
        <f aca="false">C16-C15</f>
        <v>37</v>
      </c>
      <c r="E16" s="90" t="n">
        <f aca="false">C16-152000</f>
        <v>125464</v>
      </c>
      <c r="F16" s="128" t="n">
        <f aca="false">D16/$D$2</f>
        <v>18.6538946307033</v>
      </c>
      <c r="G16" s="11" t="n">
        <v>79</v>
      </c>
      <c r="H16" s="12" t="n">
        <v>0.53</v>
      </c>
      <c r="I16" s="11" t="n">
        <f aca="false">G16+H16</f>
        <v>79.53</v>
      </c>
      <c r="J16" s="4" t="n">
        <f aca="false">IF(L16&gt;0,L16,0)</f>
        <v>0</v>
      </c>
      <c r="K16" s="11" t="n">
        <f aca="false">I16+J16</f>
        <v>79.53</v>
      </c>
      <c r="L16" s="11" t="n">
        <f aca="false">F16-(I16-AK16)</f>
        <v>-27.0761053692967</v>
      </c>
      <c r="M16" s="129" t="n">
        <v>4.8</v>
      </c>
      <c r="N16" s="130" t="n">
        <v>0</v>
      </c>
      <c r="O16" s="130" t="n">
        <v>0</v>
      </c>
      <c r="P16" s="93" t="n">
        <v>0</v>
      </c>
      <c r="Q16" s="131" t="n">
        <f aca="false">1055000/325851/1.9835*1.02</f>
        <v>1.6649506620046</v>
      </c>
      <c r="R16" s="131" t="n">
        <f aca="false">(1442953/325851/1.9835-T16)*1.04</f>
        <v>1.56332446799292</v>
      </c>
      <c r="S16" s="131" t="n">
        <v>0</v>
      </c>
      <c r="T16" s="133" t="n">
        <f aca="false">0.7013*1.04</f>
        <v>0.729352</v>
      </c>
      <c r="U16" s="96" t="n">
        <f aca="false">M16-(Q16+R16+S16+T16)</f>
        <v>0.842372870002482</v>
      </c>
      <c r="V16" s="134" t="n">
        <v>0</v>
      </c>
      <c r="W16" s="134" t="n">
        <v>0</v>
      </c>
      <c r="X16" s="135" t="n">
        <f aca="false">M16-N16-P16-O16-Q16-R16-S16-T16-U16+V16+W16</f>
        <v>0</v>
      </c>
      <c r="Y16" s="136" t="n">
        <f aca="false">X16-AO16</f>
        <v>0</v>
      </c>
      <c r="Z16" s="80"/>
      <c r="AA16" s="136"/>
      <c r="AB16" s="80"/>
      <c r="AC16" s="134" t="n">
        <v>76.3</v>
      </c>
      <c r="AD16" s="80"/>
      <c r="AE16" s="134" t="n">
        <v>0</v>
      </c>
      <c r="AF16" s="137"/>
      <c r="AG16" s="138"/>
      <c r="AH16" s="134" t="n">
        <v>29</v>
      </c>
      <c r="AI16" s="80" t="n">
        <f aca="false">AI15-AH16</f>
        <v>5200</v>
      </c>
      <c r="AJ16" s="80"/>
      <c r="AK16" s="134" t="n">
        <f aca="false">N16+O16+P16+Q16+R16+S16+T16+U16+X16+AE16+AH16</f>
        <v>33.8</v>
      </c>
      <c r="AL16" s="134" t="n">
        <f aca="false">IF(L16&lt;0,L16*-1,0)</f>
        <v>27.0761053692967</v>
      </c>
      <c r="AM16" s="134" t="n">
        <f aca="false">AK16+AL16</f>
        <v>60.8761053692967</v>
      </c>
      <c r="AN16" s="100"/>
      <c r="AO16" s="97"/>
      <c r="AP16" s="101"/>
      <c r="AQ16" s="101"/>
      <c r="AR16" s="101"/>
      <c r="AS16" s="101"/>
      <c r="AU16" s="5" t="n">
        <f aca="false">(4.2)*1.05</f>
        <v>4.41</v>
      </c>
      <c r="AV16" s="102" t="n">
        <v>0</v>
      </c>
      <c r="AW16" s="103" t="n">
        <v>66</v>
      </c>
      <c r="AX16" s="103" t="n">
        <v>33</v>
      </c>
      <c r="AY16" s="103"/>
      <c r="AZ16" s="104" t="n">
        <f aca="false">SUM(N16,P16:U16)</f>
        <v>4.8</v>
      </c>
    </row>
    <row r="17" customFormat="false" ht="12.95" hidden="false" customHeight="true" outlineLevel="0" collapsed="false">
      <c r="A17" s="10" t="n">
        <f aca="false">A16+1</f>
        <v>3</v>
      </c>
      <c r="B17" s="126" t="n">
        <v>6898.35</v>
      </c>
      <c r="C17" s="90" t="n">
        <v>277537</v>
      </c>
      <c r="D17" s="127" t="n">
        <f aca="false">C17-C16</f>
        <v>73</v>
      </c>
      <c r="E17" s="90" t="n">
        <f aca="false">C17-152000</f>
        <v>125537</v>
      </c>
      <c r="F17" s="128" t="n">
        <f aca="false">D17/$D$2</f>
        <v>36.8036299470633</v>
      </c>
      <c r="G17" s="11" t="n">
        <v>76</v>
      </c>
      <c r="H17" s="12" t="n">
        <v>0.62</v>
      </c>
      <c r="I17" s="11" t="n">
        <f aca="false">G17+H17</f>
        <v>76.62</v>
      </c>
      <c r="J17" s="4" t="n">
        <f aca="false">IF(L17&gt;0,L17,0)</f>
        <v>0</v>
      </c>
      <c r="K17" s="11" t="n">
        <f aca="false">I17+J17</f>
        <v>76.62</v>
      </c>
      <c r="L17" s="11" t="n">
        <f aca="false">F17-(I17-AK17)</f>
        <v>-5.81637005293673</v>
      </c>
      <c r="M17" s="129" t="n">
        <v>5</v>
      </c>
      <c r="N17" s="130" t="n">
        <v>0</v>
      </c>
      <c r="O17" s="130" t="n">
        <v>0</v>
      </c>
      <c r="P17" s="93" t="n">
        <v>0</v>
      </c>
      <c r="Q17" s="131" t="n">
        <f aca="false">1042200/325851/1.9835*1.02</f>
        <v>1.64475031274047</v>
      </c>
      <c r="R17" s="131" t="n">
        <f aca="false">(1417984/325851/1.9835-T17)*1.04</f>
        <v>1.52314693876443</v>
      </c>
      <c r="S17" s="131" t="n">
        <v>0</v>
      </c>
      <c r="T17" s="133" t="n">
        <f aca="false">0.7013*1.04</f>
        <v>0.729352</v>
      </c>
      <c r="U17" s="96" t="n">
        <f aca="false">M17-(Q17+R17+S17+T17)</f>
        <v>1.1027507484951</v>
      </c>
      <c r="V17" s="134" t="n">
        <v>0</v>
      </c>
      <c r="W17" s="134" t="n">
        <v>0</v>
      </c>
      <c r="X17" s="135" t="n">
        <f aca="false">M17-N17-P17-O17-Q17-R17-S17-T17-U17+V17+W17</f>
        <v>0</v>
      </c>
      <c r="Y17" s="136" t="n">
        <f aca="false">X17-AO17</f>
        <v>0</v>
      </c>
      <c r="Z17" s="80"/>
      <c r="AA17" s="136"/>
      <c r="AB17" s="80"/>
      <c r="AC17" s="134" t="n">
        <v>73.4</v>
      </c>
      <c r="AD17" s="80"/>
      <c r="AE17" s="134" t="n">
        <v>0</v>
      </c>
      <c r="AF17" s="137"/>
      <c r="AG17" s="138"/>
      <c r="AH17" s="134" t="n">
        <v>29</v>
      </c>
      <c r="AI17" s="80" t="n">
        <f aca="false">AI16-AH17</f>
        <v>5171</v>
      </c>
      <c r="AJ17" s="80"/>
      <c r="AK17" s="134" t="n">
        <f aca="false">N17+O17+P17+Q17+R17+S17+T17+U17+X17+AE17+AH17</f>
        <v>34</v>
      </c>
      <c r="AL17" s="134" t="n">
        <f aca="false">IF(L17&lt;0,L17*-1,0)</f>
        <v>5.81637005293673</v>
      </c>
      <c r="AM17" s="134" t="n">
        <f aca="false">AK17+AL17</f>
        <v>39.8163700529367</v>
      </c>
      <c r="AN17" s="100"/>
      <c r="AO17" s="97"/>
      <c r="AP17" s="101"/>
      <c r="AQ17" s="101"/>
      <c r="AR17" s="101"/>
      <c r="AS17" s="101"/>
      <c r="AU17" s="5" t="n">
        <f aca="false">9.7*1.05</f>
        <v>10.185</v>
      </c>
      <c r="AV17" s="102" t="n">
        <v>0</v>
      </c>
      <c r="AW17" s="103" t="n">
        <v>67</v>
      </c>
      <c r="AX17" s="103" t="n">
        <v>40</v>
      </c>
      <c r="AY17" s="103"/>
      <c r="AZ17" s="104" t="n">
        <f aca="false">SUM(N17,P17:U17)</f>
        <v>5</v>
      </c>
    </row>
    <row r="18" customFormat="false" ht="12.95" hidden="false" customHeight="true" outlineLevel="0" collapsed="false">
      <c r="A18" s="10" t="n">
        <f aca="false">A17+1</f>
        <v>4</v>
      </c>
      <c r="B18" s="126" t="n">
        <v>6898.37</v>
      </c>
      <c r="C18" s="90" t="n">
        <v>277610</v>
      </c>
      <c r="D18" s="127" t="n">
        <f aca="false">C18-C17</f>
        <v>73</v>
      </c>
      <c r="E18" s="90" t="n">
        <f aca="false">C18-152000</f>
        <v>125610</v>
      </c>
      <c r="F18" s="128" t="n">
        <f aca="false">D18/$D$2</f>
        <v>36.8036299470633</v>
      </c>
      <c r="G18" s="11" t="n">
        <v>82</v>
      </c>
      <c r="H18" s="12" t="n">
        <v>1</v>
      </c>
      <c r="I18" s="11" t="n">
        <f aca="false">G18+H18</f>
        <v>83</v>
      </c>
      <c r="J18" s="4" t="n">
        <f aca="false">IF(L18&gt;0,L18,0)</f>
        <v>0</v>
      </c>
      <c r="K18" s="11" t="n">
        <f aca="false">I18+J18</f>
        <v>83</v>
      </c>
      <c r="L18" s="11" t="n">
        <f aca="false">F18-(I18-AK18)</f>
        <v>-10.2963700529367</v>
      </c>
      <c r="M18" s="129" t="n">
        <v>3.9</v>
      </c>
      <c r="N18" s="130" t="n">
        <v>0</v>
      </c>
      <c r="O18" s="130" t="n">
        <v>0</v>
      </c>
      <c r="P18" s="93" t="n">
        <v>0</v>
      </c>
      <c r="Q18" s="131" t="n">
        <f aca="false">1210500/325851/1.9835*1.02</f>
        <v>1.91035334251807</v>
      </c>
      <c r="R18" s="131" t="n">
        <f aca="false">(1401636/325851/1.9835-T18)*1.04</f>
        <v>1.4968414300205</v>
      </c>
      <c r="S18" s="131" t="n">
        <v>0</v>
      </c>
      <c r="T18" s="133" t="n">
        <f aca="false">0.7013*1.04</f>
        <v>0.729352</v>
      </c>
      <c r="U18" s="96" t="n">
        <f aca="false">M18-(Q18+R18+S18+T18)</f>
        <v>-0.236546772538567</v>
      </c>
      <c r="V18" s="134" t="n">
        <v>0</v>
      </c>
      <c r="W18" s="134" t="n">
        <v>0</v>
      </c>
      <c r="X18" s="135" t="n">
        <f aca="false">M18-N18-P18-O18-Q18-R18-S18-T18-U18+V18+W18</f>
        <v>0</v>
      </c>
      <c r="Y18" s="136" t="n">
        <f aca="false">X18-AO18</f>
        <v>0</v>
      </c>
      <c r="Z18" s="80"/>
      <c r="AA18" s="136"/>
      <c r="AB18" s="80"/>
      <c r="AC18" s="134" t="n">
        <v>79.6</v>
      </c>
      <c r="AD18" s="80"/>
      <c r="AE18" s="134" t="n">
        <v>0</v>
      </c>
      <c r="AF18" s="137"/>
      <c r="AG18" s="138"/>
      <c r="AH18" s="134" t="n">
        <v>32</v>
      </c>
      <c r="AI18" s="80" t="n">
        <f aca="false">AI17-AH18</f>
        <v>5139</v>
      </c>
      <c r="AJ18" s="80"/>
      <c r="AK18" s="134" t="n">
        <f aca="false">N18+O18+P18+Q18+R18+S18+T18+U18+X18+AE18+AH18</f>
        <v>35.9</v>
      </c>
      <c r="AL18" s="134" t="n">
        <f aca="false">IF(L18&lt;0,L18*-1,0)</f>
        <v>10.2963700529367</v>
      </c>
      <c r="AM18" s="134" t="n">
        <f aca="false">AK18+AL18</f>
        <v>46.1963700529367</v>
      </c>
      <c r="AN18" s="100"/>
      <c r="AO18" s="97"/>
      <c r="AP18" s="101"/>
      <c r="AQ18" s="101"/>
      <c r="AR18" s="101"/>
      <c r="AS18" s="101"/>
      <c r="AU18" s="5" t="n">
        <f aca="false">9.8*1.05</f>
        <v>10.29</v>
      </c>
      <c r="AV18" s="102" t="n">
        <v>0</v>
      </c>
      <c r="AW18" s="103" t="n">
        <v>63</v>
      </c>
      <c r="AX18" s="103" t="n">
        <v>36</v>
      </c>
      <c r="AY18" s="103"/>
      <c r="AZ18" s="104" t="n">
        <f aca="false">SUM(N18,P18:U18)</f>
        <v>3.9</v>
      </c>
    </row>
    <row r="19" customFormat="false" ht="12.95" hidden="false" customHeight="true" outlineLevel="0" collapsed="false">
      <c r="A19" s="10" t="n">
        <f aca="false">A18+1</f>
        <v>5</v>
      </c>
      <c r="B19" s="126" t="n">
        <v>6898.4</v>
      </c>
      <c r="C19" s="90" t="n">
        <v>277719</v>
      </c>
      <c r="D19" s="127" t="n">
        <f aca="false">C19-C18</f>
        <v>109</v>
      </c>
      <c r="E19" s="90" t="n">
        <f aca="false">C19-152000</f>
        <v>125719</v>
      </c>
      <c r="F19" s="128" t="n">
        <f aca="false">D19/$D$2</f>
        <v>54.9533652634232</v>
      </c>
      <c r="G19" s="11" t="n">
        <v>83</v>
      </c>
      <c r="H19" s="12" t="n">
        <v>1.4</v>
      </c>
      <c r="I19" s="11" t="n">
        <f aca="false">G19+H19</f>
        <v>84.4</v>
      </c>
      <c r="J19" s="4" t="n">
        <f aca="false">IF(L19&gt;0,L19,0)</f>
        <v>8.55336526342324</v>
      </c>
      <c r="K19" s="11" t="n">
        <f aca="false">I19+J19</f>
        <v>92.9533652634233</v>
      </c>
      <c r="L19" s="11" t="n">
        <f aca="false">F19-(I19-AK19)</f>
        <v>8.55336526342324</v>
      </c>
      <c r="M19" s="129" t="n">
        <v>4</v>
      </c>
      <c r="N19" s="130" t="n">
        <v>0</v>
      </c>
      <c r="O19" s="130" t="n">
        <v>0</v>
      </c>
      <c r="P19" s="93" t="n">
        <v>0</v>
      </c>
      <c r="Q19" s="131" t="n">
        <f aca="false">995700/325851/1.9835*1.02</f>
        <v>1.57136623142936</v>
      </c>
      <c r="R19" s="131" t="n">
        <f aca="false">(1482628/325851/1.9835-T19)*1.04</f>
        <v>1.62327160959652</v>
      </c>
      <c r="S19" s="131" t="n">
        <v>0</v>
      </c>
      <c r="T19" s="133" t="n">
        <f aca="false">0.7049*1.04</f>
        <v>0.733096</v>
      </c>
      <c r="U19" s="96" t="n">
        <f aca="false">M19-(Q19+R19+S19+T19)</f>
        <v>0.0722661589741183</v>
      </c>
      <c r="V19" s="134" t="n">
        <v>0</v>
      </c>
      <c r="W19" s="134" t="n">
        <v>0</v>
      </c>
      <c r="X19" s="135" t="n">
        <f aca="false">M19-N19-P19-O19-Q19-R19-S19-T19-U19+V19+W19</f>
        <v>-6.66133814775094E-016</v>
      </c>
      <c r="Y19" s="136" t="n">
        <f aca="false">X19-AO19</f>
        <v>-6.66133814775094E-016</v>
      </c>
      <c r="Z19" s="80"/>
      <c r="AA19" s="136"/>
      <c r="AB19" s="80"/>
      <c r="AC19" s="134" t="n">
        <v>81.2</v>
      </c>
      <c r="AD19" s="80"/>
      <c r="AE19" s="134" t="n">
        <v>0</v>
      </c>
      <c r="AF19" s="137"/>
      <c r="AG19" s="138"/>
      <c r="AH19" s="134" t="n">
        <v>34</v>
      </c>
      <c r="AI19" s="80" t="n">
        <f aca="false">AI18-AH19</f>
        <v>5105</v>
      </c>
      <c r="AJ19" s="80"/>
      <c r="AK19" s="134" t="n">
        <f aca="false">N19+O19+P19+Q19+R19+S19+T19+U19+X19+AE19+AH19</f>
        <v>38</v>
      </c>
      <c r="AL19" s="134" t="n">
        <f aca="false">IF(L19&lt;0,L19*-1,0)</f>
        <v>0</v>
      </c>
      <c r="AM19" s="134" t="n">
        <f aca="false">AK19+AL19</f>
        <v>38</v>
      </c>
      <c r="AN19" s="100"/>
      <c r="AO19" s="97"/>
      <c r="AP19" s="101"/>
      <c r="AQ19" s="101"/>
      <c r="AR19" s="101"/>
      <c r="AS19" s="101"/>
      <c r="AU19" s="5" t="n">
        <f aca="false">4.2*1.05</f>
        <v>4.41</v>
      </c>
      <c r="AV19" s="102" t="n">
        <v>0</v>
      </c>
      <c r="AW19" s="103" t="n">
        <v>61</v>
      </c>
      <c r="AX19" s="103" t="n">
        <v>36</v>
      </c>
      <c r="AY19" s="103"/>
      <c r="AZ19" s="104" t="n">
        <f aca="false">SUM(N19,P19:U19)</f>
        <v>4</v>
      </c>
    </row>
    <row r="20" customFormat="false" ht="12.95" hidden="false" customHeight="true" outlineLevel="0" collapsed="false">
      <c r="A20" s="10" t="n">
        <f aca="false">A19+1</f>
        <v>6</v>
      </c>
      <c r="B20" s="126" t="n">
        <v>6898.42</v>
      </c>
      <c r="C20" s="90" t="n">
        <v>277792</v>
      </c>
      <c r="D20" s="127" t="n">
        <f aca="false">C20-C19</f>
        <v>73</v>
      </c>
      <c r="E20" s="90" t="n">
        <f aca="false">C20-152000</f>
        <v>125792</v>
      </c>
      <c r="F20" s="128" t="n">
        <f aca="false">D20/$D$2</f>
        <v>36.8036299470633</v>
      </c>
      <c r="G20" s="11" t="n">
        <v>82</v>
      </c>
      <c r="H20" s="12" t="n">
        <v>1.6</v>
      </c>
      <c r="I20" s="11" t="n">
        <f aca="false">G20+H20</f>
        <v>83.6</v>
      </c>
      <c r="J20" s="4" t="n">
        <f aca="false">IF(L20&gt;0,L20,0)</f>
        <v>0</v>
      </c>
      <c r="K20" s="11" t="n">
        <f aca="false">I20+J20</f>
        <v>83.6</v>
      </c>
      <c r="L20" s="11" t="n">
        <f aca="false">F20-(I20-AK20)</f>
        <v>-8.69637005293672</v>
      </c>
      <c r="M20" s="129" t="n">
        <v>4.1</v>
      </c>
      <c r="N20" s="130" t="n">
        <v>0</v>
      </c>
      <c r="O20" s="130" t="n">
        <v>0</v>
      </c>
      <c r="P20" s="93" t="n">
        <v>0</v>
      </c>
      <c r="Q20" s="131" t="n">
        <f aca="false">1124800/325851/1.9835*1.02</f>
        <v>1.77510569158557</v>
      </c>
      <c r="R20" s="131" t="n">
        <f aca="false">(1595253/325851/1.9835-T20)*1.04</f>
        <v>1.80449609713541</v>
      </c>
      <c r="S20" s="131" t="n">
        <v>0</v>
      </c>
      <c r="T20" s="133" t="n">
        <f aca="false">0.7049*1.04</f>
        <v>0.733096</v>
      </c>
      <c r="U20" s="96" t="n">
        <f aca="false">M20-(Q20+R20+S20+T20)</f>
        <v>-0.212697788720973</v>
      </c>
      <c r="V20" s="134" t="n">
        <v>0</v>
      </c>
      <c r="W20" s="134" t="n">
        <v>0</v>
      </c>
      <c r="X20" s="135" t="n">
        <f aca="false">M20-N20-P20-O20-Q20-R20-S20-T20-U20+V20+W20</f>
        <v>0</v>
      </c>
      <c r="Y20" s="136" t="n">
        <f aca="false">X20-AO20</f>
        <v>0</v>
      </c>
      <c r="Z20" s="80"/>
      <c r="AA20" s="136"/>
      <c r="AB20" s="80"/>
      <c r="AC20" s="134" t="n">
        <v>80</v>
      </c>
      <c r="AD20" s="80"/>
      <c r="AE20" s="134" t="n">
        <v>0</v>
      </c>
      <c r="AF20" s="137"/>
      <c r="AG20" s="138"/>
      <c r="AH20" s="134" t="n">
        <v>34</v>
      </c>
      <c r="AI20" s="80" t="n">
        <f aca="false">AI19-AH20</f>
        <v>5071</v>
      </c>
      <c r="AJ20" s="80"/>
      <c r="AK20" s="134" t="n">
        <f aca="false">N20+O20+P20+Q20+R20+S20+T20+U20+X20+AE20+AH20</f>
        <v>38.1</v>
      </c>
      <c r="AL20" s="134" t="n">
        <f aca="false">IF(L20&lt;0,L20*-1,0)</f>
        <v>8.69637005293672</v>
      </c>
      <c r="AM20" s="134" t="n">
        <f aca="false">AK20+AL20</f>
        <v>46.7963700529367</v>
      </c>
      <c r="AN20" s="100"/>
      <c r="AO20" s="97"/>
      <c r="AP20" s="101"/>
      <c r="AQ20" s="101"/>
      <c r="AR20" s="101"/>
      <c r="AS20" s="101"/>
      <c r="AU20" s="5" t="n">
        <f aca="false">2.2*1.05</f>
        <v>2.31</v>
      </c>
      <c r="AV20" s="102" t="n">
        <v>0</v>
      </c>
      <c r="AW20" s="103" t="n">
        <v>67</v>
      </c>
      <c r="AX20" s="103" t="n">
        <v>37</v>
      </c>
      <c r="AY20" s="103"/>
      <c r="AZ20" s="104" t="n">
        <f aca="false">SUM(N20,P20:U20)</f>
        <v>4.1</v>
      </c>
    </row>
    <row r="21" customFormat="false" ht="12.75" hidden="false" customHeight="true" outlineLevel="0" collapsed="false">
      <c r="A21" s="10" t="n">
        <f aca="false">A20+1</f>
        <v>7</v>
      </c>
      <c r="B21" s="126" t="n">
        <v>6898.44</v>
      </c>
      <c r="C21" s="90" t="n">
        <v>277865</v>
      </c>
      <c r="D21" s="127" t="n">
        <f aca="false">C21-C20</f>
        <v>73</v>
      </c>
      <c r="E21" s="90" t="n">
        <f aca="false">C21-152000</f>
        <v>125865</v>
      </c>
      <c r="F21" s="128" t="n">
        <f aca="false">D21/$D$2</f>
        <v>36.8036299470633</v>
      </c>
      <c r="G21" s="11" t="n">
        <v>82</v>
      </c>
      <c r="H21" s="12" t="n">
        <v>1.8</v>
      </c>
      <c r="I21" s="11" t="n">
        <f aca="false">G21+H21</f>
        <v>83.8</v>
      </c>
      <c r="J21" s="4" t="n">
        <f aca="false">IF(L21&gt;0,L21,0)</f>
        <v>0</v>
      </c>
      <c r="K21" s="11" t="n">
        <f aca="false">I21+J21</f>
        <v>83.8</v>
      </c>
      <c r="L21" s="11" t="n">
        <f aca="false">F21-(I21-AK21)</f>
        <v>-9.59637005293673</v>
      </c>
      <c r="M21" s="129" t="n">
        <v>3.4</v>
      </c>
      <c r="N21" s="130" t="n">
        <v>0</v>
      </c>
      <c r="O21" s="130" t="n">
        <v>0</v>
      </c>
      <c r="P21" s="93" t="n">
        <v>0</v>
      </c>
      <c r="Q21" s="131" t="n">
        <f aca="false">1195100/325851/1.9835*1.02</f>
        <v>1.88604979730966</v>
      </c>
      <c r="R21" s="131" t="n">
        <f aca="false">(1473905/325851/1.9835-T21)*1.04</f>
        <v>1.6092354612742</v>
      </c>
      <c r="S21" s="131" t="n">
        <v>0</v>
      </c>
      <c r="T21" s="133" t="n">
        <f aca="false">0.7049*1.04</f>
        <v>0.733096</v>
      </c>
      <c r="U21" s="96" t="n">
        <f aca="false">M21-(Q21+R21+S21+T21)</f>
        <v>-0.828381258583858</v>
      </c>
      <c r="V21" s="134" t="n">
        <v>0</v>
      </c>
      <c r="W21" s="134" t="n">
        <v>0</v>
      </c>
      <c r="X21" s="135" t="n">
        <f aca="false">M21-N21-P21-O21-Q21-R21-S21-T21-U21+V21+W21</f>
        <v>0</v>
      </c>
      <c r="Y21" s="136" t="n">
        <f aca="false">X21-AO21</f>
        <v>0</v>
      </c>
      <c r="Z21" s="80"/>
      <c r="AA21" s="136"/>
      <c r="AB21" s="80"/>
      <c r="AC21" s="134" t="n">
        <v>80.3</v>
      </c>
      <c r="AD21" s="80"/>
      <c r="AE21" s="134" t="n">
        <v>0</v>
      </c>
      <c r="AF21" s="137"/>
      <c r="AG21" s="138"/>
      <c r="AH21" s="134" t="n">
        <v>34</v>
      </c>
      <c r="AI21" s="80" t="n">
        <f aca="false">AI20-AH21</f>
        <v>5037</v>
      </c>
      <c r="AJ21" s="80"/>
      <c r="AK21" s="134" t="n">
        <f aca="false">N21+O21+P21+Q21+R21+S21+T21+U21+X21+AE21+AH21</f>
        <v>37.4</v>
      </c>
      <c r="AL21" s="134" t="n">
        <f aca="false">IF(L21&lt;0,L21*-1,0)</f>
        <v>9.59637005293673</v>
      </c>
      <c r="AM21" s="134" t="n">
        <f aca="false">AK21+AL21</f>
        <v>46.9963700529367</v>
      </c>
      <c r="AN21" s="100"/>
      <c r="AO21" s="97"/>
      <c r="AP21" s="101"/>
      <c r="AQ21" s="101"/>
      <c r="AR21" s="101"/>
      <c r="AS21" s="101"/>
      <c r="AU21" s="5"/>
      <c r="AV21" s="102" t="n">
        <v>0</v>
      </c>
      <c r="AW21" s="103" t="n">
        <v>58</v>
      </c>
      <c r="AX21" s="103" t="n">
        <v>38</v>
      </c>
      <c r="AY21" s="103"/>
      <c r="AZ21" s="104" t="n">
        <f aca="false">SUM(N21,P21:U21)</f>
        <v>3.4</v>
      </c>
    </row>
    <row r="22" customFormat="false" ht="12.75" hidden="false" customHeight="true" outlineLevel="0" collapsed="false">
      <c r="A22" s="10" t="n">
        <f aca="false">A21+1</f>
        <v>8</v>
      </c>
      <c r="B22" s="126" t="n">
        <v>6898.46</v>
      </c>
      <c r="C22" s="90" t="n">
        <v>277938</v>
      </c>
      <c r="D22" s="127" t="n">
        <f aca="false">C22-C21</f>
        <v>73</v>
      </c>
      <c r="E22" s="90" t="n">
        <f aca="false">C22-152000</f>
        <v>125938</v>
      </c>
      <c r="F22" s="128" t="n">
        <f aca="false">D22/$D$2</f>
        <v>36.8036299470633</v>
      </c>
      <c r="G22" s="11" t="n">
        <v>81</v>
      </c>
      <c r="H22" s="12" t="n">
        <v>2.1</v>
      </c>
      <c r="I22" s="11" t="n">
        <f aca="false">G22+H22</f>
        <v>83.1</v>
      </c>
      <c r="J22" s="4" t="n">
        <f aca="false">IF(L22&gt;0,L22,0)</f>
        <v>25.4036299470633</v>
      </c>
      <c r="K22" s="11" t="n">
        <f aca="false">I22+J22</f>
        <v>108.503629947063</v>
      </c>
      <c r="L22" s="11" t="n">
        <f aca="false">F22-(I22-AK22)</f>
        <v>25.4036299470633</v>
      </c>
      <c r="M22" s="129" t="n">
        <v>3.7</v>
      </c>
      <c r="N22" s="130" t="n">
        <v>0</v>
      </c>
      <c r="O22" s="130" t="n">
        <v>0</v>
      </c>
      <c r="P22" s="93" t="n">
        <v>0</v>
      </c>
      <c r="Q22" s="131" t="n">
        <f aca="false">1135100/325851/1.9835*1.02</f>
        <v>1.79136066013405</v>
      </c>
      <c r="R22" s="131" t="n">
        <f aca="false">(1517727/325851/1.9835-T22)*1.04</f>
        <v>1.6797492858507</v>
      </c>
      <c r="S22" s="131" t="n">
        <v>0</v>
      </c>
      <c r="T22" s="133" t="n">
        <f aca="false">0.7049*1.04</f>
        <v>0.733096</v>
      </c>
      <c r="U22" s="96" t="n">
        <f aca="false">M22-(Q22+R22+S22+T22)</f>
        <v>-0.504205945984749</v>
      </c>
      <c r="V22" s="134" t="n">
        <v>34</v>
      </c>
      <c r="W22" s="134" t="n">
        <v>0</v>
      </c>
      <c r="X22" s="135" t="n">
        <f aca="false">M22-N22-P22-O22-Q22-R22-S22-T22-U22+V22+W22</f>
        <v>34</v>
      </c>
      <c r="Y22" s="136" t="n">
        <f aca="false">X22-AO22</f>
        <v>34</v>
      </c>
      <c r="Z22" s="80"/>
      <c r="AA22" s="136"/>
      <c r="AB22" s="80"/>
      <c r="AC22" s="134" t="n">
        <v>45.2</v>
      </c>
      <c r="AD22" s="80"/>
      <c r="AE22" s="134" t="n">
        <v>0</v>
      </c>
      <c r="AF22" s="137"/>
      <c r="AG22" s="138"/>
      <c r="AH22" s="134" t="n">
        <v>34</v>
      </c>
      <c r="AI22" s="80" t="n">
        <f aca="false">AI21-AH22</f>
        <v>5003</v>
      </c>
      <c r="AJ22" s="80"/>
      <c r="AK22" s="134" t="n">
        <f aca="false">N22+O22+P22+Q22+R22+S22+T22+U22+X22+AE22+AH22</f>
        <v>71.7</v>
      </c>
      <c r="AL22" s="134" t="n">
        <f aca="false">IF(L22&lt;0,L22*-1,0)</f>
        <v>0</v>
      </c>
      <c r="AM22" s="134" t="n">
        <f aca="false">AK22+AL22</f>
        <v>71.7</v>
      </c>
      <c r="AN22" s="100" t="n">
        <f aca="false">V22</f>
        <v>34</v>
      </c>
      <c r="AO22" s="97"/>
      <c r="AP22" s="101"/>
      <c r="AQ22" s="101"/>
      <c r="AR22" s="101"/>
      <c r="AS22" s="101"/>
      <c r="AU22" s="5"/>
      <c r="AV22" s="102" t="n">
        <v>0</v>
      </c>
      <c r="AW22" s="103" t="n">
        <v>56</v>
      </c>
      <c r="AX22" s="103" t="n">
        <v>32</v>
      </c>
      <c r="AY22" s="103"/>
      <c r="AZ22" s="104" t="n">
        <f aca="false">SUM(N22,P22:U22)</f>
        <v>3.7</v>
      </c>
    </row>
    <row r="23" customFormat="false" ht="12.75" hidden="false" customHeight="true" outlineLevel="0" collapsed="false">
      <c r="A23" s="10" t="n">
        <f aca="false">A22+1</f>
        <v>9</v>
      </c>
      <c r="B23" s="126" t="n">
        <v>6898.45</v>
      </c>
      <c r="C23" s="90" t="n">
        <v>277901</v>
      </c>
      <c r="D23" s="127" t="n">
        <f aca="false">C23-C22</f>
        <v>-37</v>
      </c>
      <c r="E23" s="90" t="n">
        <f aca="false">C23-152000</f>
        <v>125901</v>
      </c>
      <c r="F23" s="128" t="n">
        <f aca="false">D23/$D$2</f>
        <v>-18.6538946307033</v>
      </c>
      <c r="G23" s="11" t="n">
        <v>85</v>
      </c>
      <c r="H23" s="12" t="n">
        <v>2.3</v>
      </c>
      <c r="I23" s="11" t="n">
        <f aca="false">G23+H23</f>
        <v>87.3</v>
      </c>
      <c r="J23" s="4" t="n">
        <f aca="false">IF(L23&gt;0,L23,0)</f>
        <v>0</v>
      </c>
      <c r="K23" s="11" t="n">
        <f aca="false">I23+J23</f>
        <v>87.3</v>
      </c>
      <c r="L23" s="11" t="n">
        <f aca="false">F23-(I23-AK23)</f>
        <v>-17.1538946307033</v>
      </c>
      <c r="M23" s="129" t="n">
        <v>3.8</v>
      </c>
      <c r="N23" s="130" t="n">
        <v>0</v>
      </c>
      <c r="O23" s="130" t="n">
        <v>0</v>
      </c>
      <c r="P23" s="93" t="n">
        <v>0</v>
      </c>
      <c r="Q23" s="131" t="n">
        <f aca="false">968000/325851/1.9835*1.02</f>
        <v>1.52765141309995</v>
      </c>
      <c r="R23" s="131" t="n">
        <f aca="false">(1437436/325851/1.9835-T23)*1.04</f>
        <v>1.55055332288524</v>
      </c>
      <c r="S23" s="131" t="n">
        <v>0</v>
      </c>
      <c r="T23" s="133" t="n">
        <f aca="false">0.7049*1.04</f>
        <v>0.733096</v>
      </c>
      <c r="U23" s="96" t="n">
        <f aca="false">M23-(Q23+R23+S23+T23)</f>
        <v>-0.0113007359851967</v>
      </c>
      <c r="V23" s="134" t="n">
        <v>51</v>
      </c>
      <c r="W23" s="134" t="n">
        <v>0</v>
      </c>
      <c r="X23" s="135" t="n">
        <f aca="false">M23-N23-P23-O23-Q23-R23-S23-T23-U23+V23+W23</f>
        <v>51</v>
      </c>
      <c r="Y23" s="136" t="n">
        <f aca="false">X23-AO23</f>
        <v>51</v>
      </c>
      <c r="Z23" s="80"/>
      <c r="AA23" s="136"/>
      <c r="AB23" s="80"/>
      <c r="AC23" s="134" t="n">
        <v>33.2</v>
      </c>
      <c r="AD23" s="80"/>
      <c r="AE23" s="134" t="n">
        <v>0</v>
      </c>
      <c r="AF23" s="137"/>
      <c r="AG23" s="138"/>
      <c r="AH23" s="134" t="n">
        <v>34</v>
      </c>
      <c r="AI23" s="80" t="n">
        <f aca="false">AI22-AH23</f>
        <v>4969</v>
      </c>
      <c r="AJ23" s="80"/>
      <c r="AK23" s="134" t="n">
        <f aca="false">N23+O23+P23+Q23+R23+S23+T23+U23+X23+AE23+AH23</f>
        <v>88.8</v>
      </c>
      <c r="AL23" s="134" t="n">
        <f aca="false">IF(L23&lt;0,L23*-1,0)</f>
        <v>17.1538946307033</v>
      </c>
      <c r="AM23" s="134" t="n">
        <f aca="false">AK23+AL23</f>
        <v>105.953894630703</v>
      </c>
      <c r="AN23" s="100" t="n">
        <f aca="false">V23</f>
        <v>51</v>
      </c>
      <c r="AO23" s="97"/>
      <c r="AP23" s="101"/>
      <c r="AQ23" s="101"/>
      <c r="AR23" s="101"/>
      <c r="AS23" s="101"/>
      <c r="AU23" s="5"/>
      <c r="AV23" s="102" t="n">
        <v>0.05</v>
      </c>
      <c r="AW23" s="103" t="n">
        <v>39</v>
      </c>
      <c r="AX23" s="141" t="n">
        <v>23</v>
      </c>
      <c r="AY23" s="141"/>
      <c r="AZ23" s="104" t="n">
        <f aca="false">SUM(N23,P23:U23)</f>
        <v>3.8</v>
      </c>
    </row>
    <row r="24" customFormat="false" ht="12.95" hidden="false" customHeight="true" outlineLevel="0" collapsed="false">
      <c r="A24" s="10" t="n">
        <f aca="false">A23+1</f>
        <v>10</v>
      </c>
      <c r="B24" s="126" t="n">
        <v>6898.41</v>
      </c>
      <c r="C24" s="90" t="n">
        <v>277792</v>
      </c>
      <c r="D24" s="127" t="n">
        <f aca="false">C24-C23</f>
        <v>-109</v>
      </c>
      <c r="E24" s="90" t="n">
        <f aca="false">C24-152000</f>
        <v>125792</v>
      </c>
      <c r="F24" s="128" t="n">
        <f aca="false">D24/$D$2</f>
        <v>-54.9533652634232</v>
      </c>
      <c r="G24" s="11" t="n">
        <v>70</v>
      </c>
      <c r="H24" s="12" t="n">
        <v>1.8</v>
      </c>
      <c r="I24" s="11" t="n">
        <f aca="false">G24+H24</f>
        <v>71.8</v>
      </c>
      <c r="J24" s="4" t="n">
        <f aca="false">IF(L24&gt;0,L24,0)</f>
        <v>0</v>
      </c>
      <c r="K24" s="11" t="n">
        <f aca="false">I24+J24</f>
        <v>71.8</v>
      </c>
      <c r="L24" s="11" t="n">
        <f aca="false">F24-(I24-AK24)</f>
        <v>-17.3433652634232</v>
      </c>
      <c r="M24" s="129" t="n">
        <v>17</v>
      </c>
      <c r="N24" s="130" t="n">
        <v>0</v>
      </c>
      <c r="O24" s="130" t="n">
        <v>0</v>
      </c>
      <c r="P24" s="93" t="n">
        <v>0</v>
      </c>
      <c r="Q24" s="131" t="n">
        <f aca="false">1019900/325851/1.9835*1.02</f>
        <v>1.60955751675686</v>
      </c>
      <c r="R24" s="131" t="n">
        <f aca="false">(1440521/325851/1.9835-T24)*1.04</f>
        <v>1.55551738542959</v>
      </c>
      <c r="S24" s="131" t="n">
        <v>0</v>
      </c>
      <c r="T24" s="133" t="n">
        <f aca="false">0.7049*1.04</f>
        <v>0.733096</v>
      </c>
      <c r="U24" s="96" t="n">
        <v>0</v>
      </c>
      <c r="V24" s="134" t="n">
        <v>51</v>
      </c>
      <c r="W24" s="134" t="n">
        <v>7.41</v>
      </c>
      <c r="X24" s="135" t="n">
        <f aca="false">M24-N24-P24-O24-Q24-R24-S24-T24-U24+V24+W24</f>
        <v>71.5118290978135</v>
      </c>
      <c r="Y24" s="136" t="n">
        <f aca="false">X24-AO24</f>
        <v>51</v>
      </c>
      <c r="Z24" s="80"/>
      <c r="AA24" s="136"/>
      <c r="AB24" s="80"/>
      <c r="AC24" s="134"/>
      <c r="AD24" s="80"/>
      <c r="AE24" s="134" t="n">
        <v>0</v>
      </c>
      <c r="AF24" s="137"/>
      <c r="AG24" s="138"/>
      <c r="AH24" s="134" t="n">
        <v>34</v>
      </c>
      <c r="AI24" s="80" t="n">
        <f aca="false">AI23-AH24</f>
        <v>4935</v>
      </c>
      <c r="AJ24" s="80"/>
      <c r="AK24" s="134" t="n">
        <f aca="false">N24+O24+P24+Q24+R24+S24+T24+U24+X24+AE24+AH24</f>
        <v>109.41</v>
      </c>
      <c r="AL24" s="134" t="n">
        <f aca="false">IF(L24&lt;0,L24*-1,0)</f>
        <v>17.3433652634232</v>
      </c>
      <c r="AM24" s="134" t="n">
        <f aca="false">AK24+AL24</f>
        <v>126.753365263423</v>
      </c>
      <c r="AN24" s="100" t="n">
        <f aca="false">V24</f>
        <v>51</v>
      </c>
      <c r="AO24" s="97" t="n">
        <f aca="false">X24-V24</f>
        <v>20.5118290978135</v>
      </c>
      <c r="AP24" s="101"/>
      <c r="AQ24" s="101"/>
      <c r="AR24" s="101"/>
      <c r="AS24" s="101"/>
      <c r="AU24" s="5"/>
      <c r="AV24" s="102" t="n">
        <v>0.03</v>
      </c>
      <c r="AW24" s="103" t="n">
        <v>43</v>
      </c>
      <c r="AX24" s="103" t="n">
        <v>20</v>
      </c>
      <c r="AY24" s="103"/>
      <c r="AZ24" s="104" t="n">
        <f aca="false">SUM(N24,P24:U24)</f>
        <v>3.89817090218646</v>
      </c>
    </row>
    <row r="25" customFormat="false" ht="12.95" hidden="false" customHeight="true" outlineLevel="0" collapsed="false">
      <c r="A25" s="10" t="n">
        <f aca="false">A24+1</f>
        <v>11</v>
      </c>
      <c r="B25" s="126" t="n">
        <v>6898.39</v>
      </c>
      <c r="C25" s="90" t="n">
        <v>277683</v>
      </c>
      <c r="D25" s="127" t="n">
        <f aca="false">C25-C24</f>
        <v>-109</v>
      </c>
      <c r="E25" s="90" t="n">
        <f aca="false">C25-152000</f>
        <v>125683</v>
      </c>
      <c r="F25" s="128" t="n">
        <f aca="false">D25/$D$2</f>
        <v>-54.9533652634232</v>
      </c>
      <c r="G25" s="11" t="n">
        <v>71</v>
      </c>
      <c r="H25" s="12" t="n">
        <v>0.81</v>
      </c>
      <c r="I25" s="11" t="n">
        <f aca="false">G25+H25</f>
        <v>71.81</v>
      </c>
      <c r="J25" s="4" t="n">
        <f aca="false">IF(L25&gt;0,L25,0)</f>
        <v>0</v>
      </c>
      <c r="K25" s="11" t="n">
        <f aca="false">I25+J25</f>
        <v>71.81</v>
      </c>
      <c r="L25" s="11" t="n">
        <f aca="false">F25-(I25-AK25)</f>
        <v>-1.76336526342325</v>
      </c>
      <c r="M25" s="129" t="n">
        <v>26</v>
      </c>
      <c r="N25" s="130" t="n">
        <v>0</v>
      </c>
      <c r="O25" s="130" t="n">
        <v>0</v>
      </c>
      <c r="P25" s="93" t="n">
        <v>0</v>
      </c>
      <c r="Q25" s="131" t="n">
        <f aca="false">869300/325851/1.9835*1.02</f>
        <v>1.37188778244606</v>
      </c>
      <c r="R25" s="131" t="n">
        <f aca="false">(1451364/325851/1.9835-T25)*1.04</f>
        <v>1.57296481822324</v>
      </c>
      <c r="S25" s="131" t="n">
        <v>0</v>
      </c>
      <c r="T25" s="133" t="n">
        <f aca="false">0.7049*1.04</f>
        <v>0.733096</v>
      </c>
      <c r="U25" s="96" t="n">
        <v>0</v>
      </c>
      <c r="V25" s="134" t="n">
        <v>54</v>
      </c>
      <c r="W25" s="134" t="n">
        <v>11</v>
      </c>
      <c r="X25" s="135" t="n">
        <f aca="false">M25-N25-P25-O25-Q25-R25-S25-T25-U25+V25+W25</f>
        <v>87.3220513993307</v>
      </c>
      <c r="Y25" s="136" t="n">
        <f aca="false">X25-AO25</f>
        <v>48.8</v>
      </c>
      <c r="Z25" s="80"/>
      <c r="AA25" s="136"/>
      <c r="AB25" s="80"/>
      <c r="AC25" s="134"/>
      <c r="AD25" s="80"/>
      <c r="AE25" s="134" t="n">
        <v>0</v>
      </c>
      <c r="AF25" s="137"/>
      <c r="AG25" s="138"/>
      <c r="AH25" s="134" t="n">
        <v>34</v>
      </c>
      <c r="AI25" s="80" t="n">
        <f aca="false">AI24-AH25</f>
        <v>4901</v>
      </c>
      <c r="AJ25" s="80"/>
      <c r="AK25" s="134" t="n">
        <f aca="false">N25+O25+P25+Q25+R25+S25+T25+U25+X25+AE25+AH25</f>
        <v>125</v>
      </c>
      <c r="AL25" s="134" t="n">
        <f aca="false">IF(L25&lt;0,L25*-1,0)</f>
        <v>1.76336526342325</v>
      </c>
      <c r="AM25" s="134" t="n">
        <f aca="false">AK25+AL25</f>
        <v>126.763365263423</v>
      </c>
      <c r="AN25" s="100" t="n">
        <f aca="false">V25-5.2</f>
        <v>48.8</v>
      </c>
      <c r="AO25" s="97" t="n">
        <f aca="false">X25-V25+5.2</f>
        <v>38.5220513993307</v>
      </c>
      <c r="AP25" s="101"/>
      <c r="AQ25" s="101"/>
      <c r="AR25" s="101"/>
      <c r="AS25" s="101"/>
      <c r="AU25" s="5"/>
      <c r="AV25" s="102" t="n">
        <v>0.02</v>
      </c>
      <c r="AW25" s="103" t="n">
        <v>39</v>
      </c>
      <c r="AX25" s="103" t="n">
        <v>25</v>
      </c>
      <c r="AY25" s="103"/>
      <c r="AZ25" s="104" t="n">
        <f aca="false">SUM(N25,P25:U25)</f>
        <v>3.6779486006693</v>
      </c>
    </row>
    <row r="26" customFormat="false" ht="12.95" hidden="false" customHeight="true" outlineLevel="0" collapsed="false">
      <c r="A26" s="10" t="n">
        <f aca="false">A25+1</f>
        <v>12</v>
      </c>
      <c r="B26" s="126" t="n">
        <v>6898.35</v>
      </c>
      <c r="C26" s="90" t="n">
        <v>277537</v>
      </c>
      <c r="D26" s="127" t="n">
        <f aca="false">C26-C25</f>
        <v>-146</v>
      </c>
      <c r="E26" s="90" t="n">
        <f aca="false">C26-152000</f>
        <v>125537</v>
      </c>
      <c r="F26" s="128" t="n">
        <f aca="false">D26/$D$2</f>
        <v>-73.6072598941265</v>
      </c>
      <c r="G26" s="11" t="n">
        <v>57</v>
      </c>
      <c r="H26" s="12" t="n">
        <v>1.7</v>
      </c>
      <c r="I26" s="11" t="n">
        <f aca="false">G26+H26</f>
        <v>58.7</v>
      </c>
      <c r="J26" s="4" t="n">
        <f aca="false">IF(L26&gt;0,L26,0)</f>
        <v>3.69274010587345</v>
      </c>
      <c r="K26" s="11" t="n">
        <f aca="false">I26+J26</f>
        <v>62.3927401058735</v>
      </c>
      <c r="L26" s="11" t="n">
        <f aca="false">F26-(I26-AK26)</f>
        <v>3.69274010587345</v>
      </c>
      <c r="M26" s="129" t="n">
        <v>29</v>
      </c>
      <c r="N26" s="130" t="n">
        <v>0</v>
      </c>
      <c r="O26" s="130" t="n">
        <v>0</v>
      </c>
      <c r="P26" s="93" t="n">
        <v>0</v>
      </c>
      <c r="Q26" s="131" t="n">
        <f aca="false">1123600/325851/1.9835*1.02</f>
        <v>1.77321190884205</v>
      </c>
      <c r="R26" s="131" t="n">
        <f aca="false">(1364072/325851/1.9835-T26)*1.04</f>
        <v>1.49902197102018</v>
      </c>
      <c r="S26" s="131" t="n">
        <v>0</v>
      </c>
      <c r="T26" s="131" t="n">
        <f aca="false">0.6434*1.04</f>
        <v>0.669136</v>
      </c>
      <c r="U26" s="96" t="n">
        <v>0</v>
      </c>
      <c r="V26" s="134" t="n">
        <v>61</v>
      </c>
      <c r="W26" s="134" t="n">
        <v>12</v>
      </c>
      <c r="X26" s="135" t="n">
        <f aca="false">M26-N26-P26-O26-Q26-R26-S26-T26-U26+V26+W26</f>
        <v>98.0586301201378</v>
      </c>
      <c r="Y26" s="136" t="n">
        <f aca="false">X26-AO26</f>
        <v>53.3</v>
      </c>
      <c r="Z26" s="80"/>
      <c r="AA26" s="136"/>
      <c r="AB26" s="80"/>
      <c r="AC26" s="134"/>
      <c r="AD26" s="80"/>
      <c r="AE26" s="134" t="n">
        <v>0</v>
      </c>
      <c r="AF26" s="137"/>
      <c r="AG26" s="138"/>
      <c r="AH26" s="134" t="n">
        <v>34</v>
      </c>
      <c r="AI26" s="80" t="n">
        <f aca="false">AI25-AH26</f>
        <v>4867</v>
      </c>
      <c r="AJ26" s="80"/>
      <c r="AK26" s="134" t="n">
        <f aca="false">N26+O26+P26+Q26+R26+S26+T26+U26+X26+AE26+AH26</f>
        <v>136</v>
      </c>
      <c r="AL26" s="134" t="n">
        <f aca="false">IF(L26&lt;0,L26*-1,0)</f>
        <v>0</v>
      </c>
      <c r="AM26" s="134" t="n">
        <f aca="false">AK26+AL26</f>
        <v>136</v>
      </c>
      <c r="AN26" s="100" t="n">
        <f aca="false">V26-7.7</f>
        <v>53.3</v>
      </c>
      <c r="AO26" s="97" t="n">
        <f aca="false">X26-V26+7.7</f>
        <v>44.7586301201378</v>
      </c>
      <c r="AP26" s="101"/>
      <c r="AQ26" s="101"/>
      <c r="AR26" s="101"/>
      <c r="AS26" s="101"/>
      <c r="AU26" s="5"/>
      <c r="AV26" s="102" t="n">
        <v>0</v>
      </c>
      <c r="AW26" s="103" t="n">
        <v>43</v>
      </c>
      <c r="AX26" s="103" t="n">
        <v>17</v>
      </c>
      <c r="AY26" s="103"/>
      <c r="AZ26" s="104" t="n">
        <f aca="false">SUM(N26,P26:U26)</f>
        <v>3.94136987986223</v>
      </c>
    </row>
    <row r="27" customFormat="false" ht="12.95" hidden="false" customHeight="true" outlineLevel="0" collapsed="false">
      <c r="A27" s="10" t="n">
        <f aca="false">A26+1</f>
        <v>13</v>
      </c>
      <c r="B27" s="126" t="n">
        <v>6898.29</v>
      </c>
      <c r="C27" s="90" t="n">
        <v>277318</v>
      </c>
      <c r="D27" s="127" t="n">
        <f aca="false">C27-C26</f>
        <v>-219</v>
      </c>
      <c r="E27" s="90" t="n">
        <f aca="false">C27-152000</f>
        <v>125318</v>
      </c>
      <c r="F27" s="128" t="n">
        <f aca="false">D27/$D$2</f>
        <v>-110.41088984119</v>
      </c>
      <c r="G27" s="11" t="n">
        <v>53</v>
      </c>
      <c r="H27" s="12" t="n">
        <v>1.2</v>
      </c>
      <c r="I27" s="11" t="n">
        <f aca="false">G27+H27</f>
        <v>54.2</v>
      </c>
      <c r="J27" s="4" t="n">
        <f aca="false">IF(L27&gt;0,L27,0)</f>
        <v>0</v>
      </c>
      <c r="K27" s="11" t="n">
        <f aca="false">I27+J27</f>
        <v>54.2</v>
      </c>
      <c r="L27" s="11" t="n">
        <f aca="false">F27-(I27-AK27)</f>
        <v>-28.6108898411898</v>
      </c>
      <c r="M27" s="129" t="n">
        <v>29</v>
      </c>
      <c r="N27" s="130" t="n">
        <v>0</v>
      </c>
      <c r="O27" s="130" t="n">
        <v>0</v>
      </c>
      <c r="P27" s="93" t="n">
        <v>0</v>
      </c>
      <c r="Q27" s="131" t="n">
        <f aca="false">947600/325851/1.9835*1.02</f>
        <v>1.49545710646024</v>
      </c>
      <c r="R27" s="131" t="n">
        <f aca="false">(1355237/325851/1.9835-T27)*1.04</f>
        <v>1.48480560389559</v>
      </c>
      <c r="S27" s="131" t="n">
        <v>0</v>
      </c>
      <c r="T27" s="131" t="n">
        <f aca="false">0.6434*1.04</f>
        <v>0.669136</v>
      </c>
      <c r="U27" s="96" t="n">
        <v>0</v>
      </c>
      <c r="V27" s="134" t="n">
        <v>61</v>
      </c>
      <c r="W27" s="134" t="n">
        <v>12</v>
      </c>
      <c r="X27" s="135" t="n">
        <f aca="false">M27-N27-P27-O27-Q27-R27-S27-T27-U27+V27+W27</f>
        <v>98.3506012896442</v>
      </c>
      <c r="Y27" s="136" t="n">
        <f aca="false">X27-AO27</f>
        <v>56</v>
      </c>
      <c r="Z27" s="80"/>
      <c r="AA27" s="136"/>
      <c r="AB27" s="80"/>
      <c r="AC27" s="134"/>
      <c r="AD27" s="80"/>
      <c r="AE27" s="134" t="n">
        <v>0</v>
      </c>
      <c r="AF27" s="137"/>
      <c r="AG27" s="138"/>
      <c r="AH27" s="134" t="n">
        <v>34</v>
      </c>
      <c r="AI27" s="80" t="n">
        <f aca="false">AI26-AH27</f>
        <v>4833</v>
      </c>
      <c r="AJ27" s="80"/>
      <c r="AK27" s="134" t="n">
        <f aca="false">N27+O27+P27+Q27+R27+S27+T27+U27+X27+AE27+AH27</f>
        <v>136</v>
      </c>
      <c r="AL27" s="134" t="n">
        <f aca="false">IF(L27&lt;0,L27*-1,0)</f>
        <v>28.6108898411898</v>
      </c>
      <c r="AM27" s="134" t="n">
        <f aca="false">AK27+AL27</f>
        <v>164.61088984119</v>
      </c>
      <c r="AN27" s="100" t="n">
        <f aca="false">V27-5</f>
        <v>56</v>
      </c>
      <c r="AO27" s="97" t="n">
        <f aca="false">X27-V27+5</f>
        <v>42.3506012896442</v>
      </c>
      <c r="AP27" s="101"/>
      <c r="AQ27" s="101"/>
      <c r="AR27" s="101"/>
      <c r="AS27" s="101"/>
      <c r="AU27" s="5"/>
      <c r="AV27" s="102" t="n">
        <v>0</v>
      </c>
      <c r="AW27" s="103" t="n">
        <v>42</v>
      </c>
      <c r="AX27" s="103" t="n">
        <v>21</v>
      </c>
      <c r="AY27" s="103"/>
      <c r="AZ27" s="104" t="n">
        <f aca="false">SUM(N27,P27:U27)</f>
        <v>3.64939871035584</v>
      </c>
    </row>
    <row r="28" customFormat="false" ht="12.95" hidden="false" customHeight="true" outlineLevel="0" collapsed="false">
      <c r="A28" s="10" t="n">
        <f aca="false">A27+1</f>
        <v>14</v>
      </c>
      <c r="B28" s="126" t="n">
        <v>6898.25</v>
      </c>
      <c r="C28" s="90" t="n">
        <v>277172</v>
      </c>
      <c r="D28" s="127" t="n">
        <f aca="false">C28-C27</f>
        <v>-146</v>
      </c>
      <c r="E28" s="90" t="n">
        <f aca="false">C28-152000</f>
        <v>125172</v>
      </c>
      <c r="F28" s="128" t="n">
        <f aca="false">D28/$D$2</f>
        <v>-73.6072598941265</v>
      </c>
      <c r="G28" s="11" t="n">
        <v>61</v>
      </c>
      <c r="H28" s="12" t="n">
        <v>1.3</v>
      </c>
      <c r="I28" s="11" t="n">
        <f aca="false">G28+H28</f>
        <v>62.3</v>
      </c>
      <c r="J28" s="4" t="n">
        <f aca="false">IF(L28&gt;0,L28,0)</f>
        <v>0.0927401058734603</v>
      </c>
      <c r="K28" s="11" t="n">
        <f aca="false">I28+J28</f>
        <v>62.3927401058735</v>
      </c>
      <c r="L28" s="11" t="n">
        <f aca="false">F28-(I28-AK28)</f>
        <v>0.0927401058734603</v>
      </c>
      <c r="M28" s="129" t="n">
        <v>29</v>
      </c>
      <c r="N28" s="130" t="n">
        <v>0</v>
      </c>
      <c r="O28" s="130" t="n">
        <v>0</v>
      </c>
      <c r="P28" s="93" t="n">
        <v>0</v>
      </c>
      <c r="Q28" s="131" t="n">
        <f aca="false">1166200/325851/1.9835*1.02</f>
        <v>1.84044119623674</v>
      </c>
      <c r="R28" s="131" t="n">
        <f aca="false">(1313865/325851/1.9835-T28)*1.04</f>
        <v>1.41823406561849</v>
      </c>
      <c r="S28" s="131" t="n">
        <v>0</v>
      </c>
      <c r="T28" s="131" t="n">
        <f aca="false">0.6434*1.04</f>
        <v>0.669136</v>
      </c>
      <c r="U28" s="96" t="n">
        <v>0</v>
      </c>
      <c r="V28" s="134" t="n">
        <v>61</v>
      </c>
      <c r="W28" s="134" t="n">
        <v>12</v>
      </c>
      <c r="X28" s="135" t="n">
        <f aca="false">M28-N28-P28-O28-Q28-R28-S28-T28-U28+V28+W28</f>
        <v>98.0721887381448</v>
      </c>
      <c r="Y28" s="136" t="n">
        <f aca="false">X28-AO28</f>
        <v>56</v>
      </c>
      <c r="Z28" s="80"/>
      <c r="AA28" s="136"/>
      <c r="AB28" s="80"/>
      <c r="AC28" s="134"/>
      <c r="AD28" s="80"/>
      <c r="AE28" s="134" t="n">
        <v>0</v>
      </c>
      <c r="AF28" s="137"/>
      <c r="AG28" s="138"/>
      <c r="AH28" s="134" t="n">
        <v>34</v>
      </c>
      <c r="AI28" s="80" t="n">
        <f aca="false">AI27-AH28</f>
        <v>4799</v>
      </c>
      <c r="AJ28" s="80"/>
      <c r="AK28" s="134" t="n">
        <f aca="false">N28+O28+P28+Q28+R28+S28+T28+U28+X28+AE28+AH28</f>
        <v>136</v>
      </c>
      <c r="AL28" s="134" t="n">
        <f aca="false">IF(L28&lt;0,L28*-1,0)</f>
        <v>0</v>
      </c>
      <c r="AM28" s="134" t="n">
        <f aca="false">AK28+AL28</f>
        <v>136</v>
      </c>
      <c r="AN28" s="100" t="n">
        <f aca="false">V28-5</f>
        <v>56</v>
      </c>
      <c r="AO28" s="97" t="n">
        <f aca="false">X28-V28+5</f>
        <v>42.0721887381448</v>
      </c>
      <c r="AP28" s="101"/>
      <c r="AQ28" s="101"/>
      <c r="AR28" s="101"/>
      <c r="AS28" s="101"/>
      <c r="AU28" s="5"/>
      <c r="AV28" s="102" t="n">
        <v>0</v>
      </c>
      <c r="AW28" s="103" t="n">
        <v>44</v>
      </c>
      <c r="AX28" s="103" t="n">
        <v>21</v>
      </c>
      <c r="AY28" s="103"/>
      <c r="AZ28" s="104" t="n">
        <f aca="false">SUM(N28,P28:U28)</f>
        <v>3.92781126185523</v>
      </c>
    </row>
    <row r="29" customFormat="false" ht="12.95" hidden="false" customHeight="true" outlineLevel="0" collapsed="false">
      <c r="A29" s="10" t="n">
        <f aca="false">A28+1</f>
        <v>15</v>
      </c>
      <c r="B29" s="126" t="n">
        <v>6898.22</v>
      </c>
      <c r="C29" s="90" t="n">
        <v>277063</v>
      </c>
      <c r="D29" s="127" t="n">
        <f aca="false">C29-C28</f>
        <v>-109</v>
      </c>
      <c r="E29" s="90" t="n">
        <f aca="false">C29-152000</f>
        <v>125063</v>
      </c>
      <c r="F29" s="128" t="n">
        <f aca="false">D29/$D$2</f>
        <v>-54.9533652634232</v>
      </c>
      <c r="G29" s="11" t="n">
        <v>73</v>
      </c>
      <c r="H29" s="12" t="n">
        <v>1.8</v>
      </c>
      <c r="I29" s="11" t="n">
        <f aca="false">G29+H29</f>
        <v>74.8</v>
      </c>
      <c r="J29" s="4" t="n">
        <f aca="false">IF(L29&gt;0,L29,0)</f>
        <v>0</v>
      </c>
      <c r="K29" s="11" t="n">
        <f aca="false">I29+J29</f>
        <v>74.8</v>
      </c>
      <c r="L29" s="11" t="n">
        <f aca="false">F29-(I29-AK29)</f>
        <v>-18.8833652634232</v>
      </c>
      <c r="M29" s="129" t="n">
        <v>12</v>
      </c>
      <c r="N29" s="130" t="n">
        <v>0</v>
      </c>
      <c r="O29" s="130" t="n">
        <v>0</v>
      </c>
      <c r="P29" s="93" t="n">
        <v>0</v>
      </c>
      <c r="Q29" s="131" t="n">
        <f aca="false">1102100/325851/1.9835*1.02</f>
        <v>1.73928163468746</v>
      </c>
      <c r="R29" s="131" t="n">
        <f aca="false">(1350792/325851/1.9835-T29)*1.04</f>
        <v>1.47765317018096</v>
      </c>
      <c r="S29" s="131" t="n">
        <v>0</v>
      </c>
      <c r="T29" s="131" t="n">
        <f aca="false">0.6434*1.04</f>
        <v>0.669136</v>
      </c>
      <c r="U29" s="96" t="n">
        <v>0</v>
      </c>
      <c r="V29" s="134" t="n">
        <v>61</v>
      </c>
      <c r="W29" s="134" t="n">
        <v>3.87</v>
      </c>
      <c r="X29" s="135" t="n">
        <f aca="false">M29-N29-P29-O29-Q29-R29-S29-T29-U29+V29+W29</f>
        <v>72.9839291951316</v>
      </c>
      <c r="Y29" s="136" t="n">
        <f aca="false">X29-AO29</f>
        <v>59.4</v>
      </c>
      <c r="Z29" s="80"/>
      <c r="AA29" s="136"/>
      <c r="AB29" s="80"/>
      <c r="AC29" s="134"/>
      <c r="AD29" s="80"/>
      <c r="AE29" s="134" t="n">
        <v>0</v>
      </c>
      <c r="AF29" s="137"/>
      <c r="AG29" s="138"/>
      <c r="AH29" s="134" t="n">
        <v>34</v>
      </c>
      <c r="AI29" s="80" t="n">
        <f aca="false">AI28-AH29</f>
        <v>4765</v>
      </c>
      <c r="AJ29" s="80"/>
      <c r="AK29" s="134" t="n">
        <f aca="false">N29+O29+P29+Q29+R29+S29+T29+U29+X29+AE29+AH29</f>
        <v>110.87</v>
      </c>
      <c r="AL29" s="134" t="n">
        <f aca="false">IF(L29&lt;0,L29*-1,0)</f>
        <v>18.8833652634232</v>
      </c>
      <c r="AM29" s="134" t="n">
        <f aca="false">AK29+AL29</f>
        <v>129.753365263423</v>
      </c>
      <c r="AN29" s="100" t="n">
        <f aca="false">V29-1.6</f>
        <v>59.4</v>
      </c>
      <c r="AO29" s="97" t="n">
        <f aca="false">X29-V29+1.6</f>
        <v>13.5839291951316</v>
      </c>
      <c r="AP29" s="101"/>
      <c r="AQ29" s="101"/>
      <c r="AR29" s="101"/>
      <c r="AS29" s="101"/>
      <c r="AU29" s="5"/>
      <c r="AV29" s="102" t="n">
        <v>0.09</v>
      </c>
      <c r="AW29" s="103" t="n">
        <v>41</v>
      </c>
      <c r="AX29" s="103" t="n">
        <v>23</v>
      </c>
      <c r="AY29" s="103"/>
      <c r="AZ29" s="104" t="n">
        <f aca="false">SUM(N29,P29:U29)</f>
        <v>3.88607080486842</v>
      </c>
    </row>
    <row r="30" customFormat="false" ht="12.95" hidden="false" customHeight="true" outlineLevel="0" collapsed="false">
      <c r="A30" s="10" t="n">
        <f aca="false">A29+1</f>
        <v>16</v>
      </c>
      <c r="B30" s="126" t="n">
        <v>6898.18</v>
      </c>
      <c r="C30" s="90" t="n">
        <v>276917</v>
      </c>
      <c r="D30" s="127" t="n">
        <f aca="false">C30-C29</f>
        <v>-146</v>
      </c>
      <c r="E30" s="90" t="n">
        <f aca="false">C30-152000</f>
        <v>124917</v>
      </c>
      <c r="F30" s="128" t="n">
        <f aca="false">D30/$D$2</f>
        <v>-73.6072598941265</v>
      </c>
      <c r="G30" s="11" t="n">
        <v>68</v>
      </c>
      <c r="H30" s="12" t="n">
        <v>1.8</v>
      </c>
      <c r="I30" s="11" t="n">
        <f aca="false">G30+H30</f>
        <v>69.8</v>
      </c>
      <c r="J30" s="4" t="n">
        <f aca="false">IF(L30&gt;0,L30,0)</f>
        <v>0</v>
      </c>
      <c r="K30" s="11" t="n">
        <f aca="false">I30+J30</f>
        <v>69.8</v>
      </c>
      <c r="L30" s="11" t="n">
        <f aca="false">F30-(I30-AK30)</f>
        <v>-45.1072598941265</v>
      </c>
      <c r="M30" s="129" t="n">
        <v>3.3</v>
      </c>
      <c r="N30" s="130" t="n">
        <v>0</v>
      </c>
      <c r="O30" s="130" t="n">
        <v>0</v>
      </c>
      <c r="P30" s="93" t="n">
        <v>0</v>
      </c>
      <c r="Q30" s="131" t="n">
        <f aca="false">1252800/325851/1.9835*1.02</f>
        <v>1.97710918422688</v>
      </c>
      <c r="R30" s="131" t="n">
        <f aca="false">(1312127/325851/1.9835-T30)*1.04</f>
        <v>1.41543745599059</v>
      </c>
      <c r="S30" s="131" t="n">
        <v>0</v>
      </c>
      <c r="T30" s="131" t="n">
        <f aca="false">0.6434*1.04</f>
        <v>0.669136</v>
      </c>
      <c r="U30" s="96" t="n">
        <f aca="false">M30-(Q30+R30+S30+T30)</f>
        <v>-0.761682640217469</v>
      </c>
      <c r="V30" s="134" t="n">
        <v>61</v>
      </c>
      <c r="W30" s="134" t="n">
        <v>0</v>
      </c>
      <c r="X30" s="135" t="n">
        <f aca="false">M30-N30-P30-O30-Q30-R30-S30-T30-U30+V30+W30</f>
        <v>61</v>
      </c>
      <c r="Y30" s="136" t="n">
        <f aca="false">X30-AO30</f>
        <v>61</v>
      </c>
      <c r="Z30" s="80"/>
      <c r="AA30" s="136"/>
      <c r="AB30" s="80"/>
      <c r="AC30" s="134" t="n">
        <v>5.3</v>
      </c>
      <c r="AD30" s="80"/>
      <c r="AE30" s="134" t="n">
        <v>0</v>
      </c>
      <c r="AF30" s="137"/>
      <c r="AG30" s="138"/>
      <c r="AH30" s="134" t="n">
        <v>34</v>
      </c>
      <c r="AI30" s="80" t="n">
        <f aca="false">AI29-AH30</f>
        <v>4731</v>
      </c>
      <c r="AJ30" s="80"/>
      <c r="AK30" s="134" t="n">
        <f aca="false">N30+O30+P30+Q30+R30+S30+T30+U30+X30+AE30+AH30</f>
        <v>98.3</v>
      </c>
      <c r="AL30" s="134" t="n">
        <f aca="false">IF(L30&lt;0,L30*-1,0)</f>
        <v>45.1072598941265</v>
      </c>
      <c r="AM30" s="134" t="n">
        <f aca="false">AK30+AL30</f>
        <v>143.407259894127</v>
      </c>
      <c r="AN30" s="100" t="n">
        <f aca="false">V30</f>
        <v>61</v>
      </c>
      <c r="AO30" s="97"/>
      <c r="AP30" s="101"/>
      <c r="AQ30" s="101"/>
      <c r="AR30" s="101"/>
      <c r="AS30" s="101"/>
      <c r="AU30" s="5"/>
      <c r="AV30" s="102" t="n">
        <v>0</v>
      </c>
      <c r="AW30" s="103" t="n">
        <v>48</v>
      </c>
      <c r="AX30" s="103" t="n">
        <v>23</v>
      </c>
      <c r="AY30" s="103"/>
      <c r="AZ30" s="104" t="n">
        <f aca="false">SUM(N30,P30:U30)</f>
        <v>3.3</v>
      </c>
    </row>
    <row r="31" customFormat="false" ht="12.95" hidden="false" customHeight="true" outlineLevel="0" collapsed="false">
      <c r="A31" s="10" t="n">
        <f aca="false">A30+1</f>
        <v>17</v>
      </c>
      <c r="B31" s="126" t="n">
        <v>6898.14</v>
      </c>
      <c r="C31" s="90" t="n">
        <v>276771</v>
      </c>
      <c r="D31" s="127" t="n">
        <f aca="false">C31-C30</f>
        <v>-146</v>
      </c>
      <c r="E31" s="90" t="n">
        <f aca="false">C31-152000</f>
        <v>124771</v>
      </c>
      <c r="F31" s="128" t="n">
        <f aca="false">D31/$D$2</f>
        <v>-73.6072598941265</v>
      </c>
      <c r="G31" s="11" t="n">
        <v>70</v>
      </c>
      <c r="H31" s="12" t="n">
        <v>1.9</v>
      </c>
      <c r="I31" s="11" t="n">
        <f aca="false">G31+H31</f>
        <v>71.9</v>
      </c>
      <c r="J31" s="4" t="n">
        <f aca="false">IF(L31&gt;0,L31,0)</f>
        <v>0</v>
      </c>
      <c r="K31" s="11" t="n">
        <f aca="false">I31+J31</f>
        <v>71.9</v>
      </c>
      <c r="L31" s="11" t="n">
        <f aca="false">F31-(I31-AK31)</f>
        <v>-46.6072598941265</v>
      </c>
      <c r="M31" s="129" t="n">
        <v>3.9</v>
      </c>
      <c r="N31" s="130" t="n">
        <v>0</v>
      </c>
      <c r="O31" s="130" t="n">
        <v>0</v>
      </c>
      <c r="P31" s="93" t="n">
        <v>0</v>
      </c>
      <c r="Q31" s="131" t="n">
        <f aca="false">929600/325851/1.9835*1.02</f>
        <v>1.46705036530756</v>
      </c>
      <c r="R31" s="131" t="n">
        <f aca="false">(1497490/325851/1.9835-T31)*1.04</f>
        <v>1.71370440101763</v>
      </c>
      <c r="S31" s="131" t="n">
        <v>0</v>
      </c>
      <c r="T31" s="131" t="n">
        <f aca="false">0.6434*1.04</f>
        <v>0.669136</v>
      </c>
      <c r="U31" s="96" t="n">
        <f aca="false">M31-(Q31+R31+S31+T31)</f>
        <v>0.0501092336748079</v>
      </c>
      <c r="V31" s="134" t="n">
        <v>61</v>
      </c>
      <c r="W31" s="134" t="n">
        <v>0</v>
      </c>
      <c r="X31" s="135" t="n">
        <f aca="false">M31-N31-P31-O31-Q31-R31-S31-T31-U31+V31+W31</f>
        <v>61</v>
      </c>
      <c r="Y31" s="136" t="n">
        <f aca="false">X31-AO31</f>
        <v>61</v>
      </c>
      <c r="Z31" s="80"/>
      <c r="AA31" s="136"/>
      <c r="AB31" s="80"/>
      <c r="AC31" s="134" t="n">
        <v>7.5</v>
      </c>
      <c r="AD31" s="80"/>
      <c r="AE31" s="134" t="n">
        <v>0</v>
      </c>
      <c r="AF31" s="137"/>
      <c r="AG31" s="138"/>
      <c r="AH31" s="134" t="n">
        <v>34</v>
      </c>
      <c r="AI31" s="80" t="n">
        <f aca="false">AI30-AH31</f>
        <v>4697</v>
      </c>
      <c r="AJ31" s="80"/>
      <c r="AK31" s="134" t="n">
        <f aca="false">N31+O31+P31+Q31+R31+S31+T31+U31+X31+AE31+AH31</f>
        <v>98.9</v>
      </c>
      <c r="AL31" s="134" t="n">
        <f aca="false">IF(L31&lt;0,L31*-1,0)</f>
        <v>46.6072598941265</v>
      </c>
      <c r="AM31" s="134" t="n">
        <f aca="false">AK31+AL31</f>
        <v>145.507259894127</v>
      </c>
      <c r="AN31" s="100" t="n">
        <f aca="false">V31</f>
        <v>61</v>
      </c>
      <c r="AO31" s="97"/>
      <c r="AP31" s="101"/>
      <c r="AQ31" s="101"/>
      <c r="AR31" s="101"/>
      <c r="AS31" s="101"/>
      <c r="AU31" s="5"/>
      <c r="AV31" s="102" t="n">
        <v>0</v>
      </c>
      <c r="AW31" s="103" t="n">
        <v>46</v>
      </c>
      <c r="AX31" s="103" t="n">
        <v>21</v>
      </c>
      <c r="AY31" s="103"/>
      <c r="AZ31" s="104" t="n">
        <f aca="false">SUM(N31,P31:U31)</f>
        <v>3.9</v>
      </c>
    </row>
    <row r="32" customFormat="false" ht="12.95" hidden="false" customHeight="true" outlineLevel="0" collapsed="false">
      <c r="A32" s="10" t="n">
        <f aca="false">A31+1</f>
        <v>18</v>
      </c>
      <c r="B32" s="126" t="n">
        <v>6898.11</v>
      </c>
      <c r="C32" s="90" t="n">
        <v>276662</v>
      </c>
      <c r="D32" s="127" t="n">
        <f aca="false">C32-C31</f>
        <v>-109</v>
      </c>
      <c r="E32" s="90" t="n">
        <f aca="false">C32-152000</f>
        <v>124662</v>
      </c>
      <c r="F32" s="128" t="n">
        <f aca="false">D32/$D$2</f>
        <v>-54.9533652634232</v>
      </c>
      <c r="G32" s="11" t="n">
        <v>60</v>
      </c>
      <c r="H32" s="12" t="n">
        <v>1.1</v>
      </c>
      <c r="I32" s="11" t="n">
        <f aca="false">G32+H32</f>
        <v>61.1</v>
      </c>
      <c r="J32" s="4" t="n">
        <f aca="false">IF(L32&gt;0,L32,0)</f>
        <v>0</v>
      </c>
      <c r="K32" s="11" t="n">
        <f aca="false">I32+J32</f>
        <v>61.1</v>
      </c>
      <c r="L32" s="11" t="n">
        <f aca="false">F32-(I32-AK32)</f>
        <v>-18.5533652634232</v>
      </c>
      <c r="M32" s="129" t="n">
        <v>3.5</v>
      </c>
      <c r="N32" s="130" t="n">
        <v>0</v>
      </c>
      <c r="O32" s="130" t="n">
        <v>0</v>
      </c>
      <c r="P32" s="93" t="n">
        <v>0</v>
      </c>
      <c r="Q32" s="131" t="n">
        <f aca="false">990400/325851/1.9835*1.02</f>
        <v>1.56300202431218</v>
      </c>
      <c r="R32" s="131" t="n">
        <f aca="false">(1472293/325851/1.9835-T32)*1.04</f>
        <v>1.67315999779883</v>
      </c>
      <c r="S32" s="131" t="n">
        <v>0</v>
      </c>
      <c r="T32" s="131" t="n">
        <f aca="false">0.6434*1.04</f>
        <v>0.669136</v>
      </c>
      <c r="U32" s="96" t="n">
        <f aca="false">M32-(Q32+R32+S32+T32)</f>
        <v>-0.405298022111016</v>
      </c>
      <c r="V32" s="134" t="n">
        <v>61</v>
      </c>
      <c r="W32" s="134" t="n">
        <v>0</v>
      </c>
      <c r="X32" s="135" t="n">
        <f aca="false">M32-N32-P32-O32-Q32-R32-S32-T32-U32+V32+W32</f>
        <v>61</v>
      </c>
      <c r="Y32" s="136" t="n">
        <f aca="false">X32-AO32</f>
        <v>61</v>
      </c>
      <c r="Z32" s="80"/>
      <c r="AA32" s="136"/>
      <c r="AB32" s="80"/>
      <c r="AC32" s="134"/>
      <c r="AD32" s="80"/>
      <c r="AE32" s="134" t="n">
        <v>0</v>
      </c>
      <c r="AF32" s="137"/>
      <c r="AG32" s="138"/>
      <c r="AH32" s="134" t="n">
        <v>33</v>
      </c>
      <c r="AI32" s="80" t="n">
        <f aca="false">AI31-AH32</f>
        <v>4664</v>
      </c>
      <c r="AJ32" s="80"/>
      <c r="AK32" s="134" t="n">
        <f aca="false">N32+O32+P32+Q32+R32+S32+T32+U32+X32+AE32+AH32</f>
        <v>97.5</v>
      </c>
      <c r="AL32" s="134" t="n">
        <f aca="false">IF(L32&lt;0,L32*-1,0)</f>
        <v>18.5533652634232</v>
      </c>
      <c r="AM32" s="134" t="n">
        <f aca="false">AK32+AL32</f>
        <v>116.053365263423</v>
      </c>
      <c r="AN32" s="100" t="n">
        <f aca="false">V32</f>
        <v>61</v>
      </c>
      <c r="AO32" s="97"/>
      <c r="AP32" s="101"/>
      <c r="AQ32" s="101"/>
      <c r="AR32" s="101"/>
      <c r="AS32" s="101"/>
      <c r="AU32" s="5"/>
      <c r="AV32" s="102" t="n">
        <v>0</v>
      </c>
      <c r="AW32" s="103" t="n">
        <v>54</v>
      </c>
      <c r="AX32" s="103" t="n">
        <v>24</v>
      </c>
      <c r="AY32" s="103"/>
      <c r="AZ32" s="104" t="n">
        <f aca="false">SUM(N32,P32:U32)</f>
        <v>3.5</v>
      </c>
    </row>
    <row r="33" customFormat="false" ht="12.95" hidden="false" customHeight="true" outlineLevel="0" collapsed="false">
      <c r="A33" s="10" t="n">
        <f aca="false">A32+1</f>
        <v>19</v>
      </c>
      <c r="B33" s="126" t="n">
        <v>6898.09</v>
      </c>
      <c r="C33" s="90" t="n">
        <v>276589</v>
      </c>
      <c r="D33" s="127" t="n">
        <f aca="false">C33-C32</f>
        <v>-73</v>
      </c>
      <c r="E33" s="90" t="n">
        <f aca="false">C33-152000</f>
        <v>124589</v>
      </c>
      <c r="F33" s="128" t="n">
        <f aca="false">D33/$D$2</f>
        <v>-36.8036299470633</v>
      </c>
      <c r="G33" s="11" t="n">
        <v>60</v>
      </c>
      <c r="H33" s="12" t="n">
        <v>1.2</v>
      </c>
      <c r="I33" s="11" t="n">
        <f aca="false">G33+H33</f>
        <v>61.2</v>
      </c>
      <c r="J33" s="4" t="n">
        <f aca="false">IF(L33&gt;0,L33,0)</f>
        <v>0</v>
      </c>
      <c r="K33" s="11" t="n">
        <f aca="false">I33+J33</f>
        <v>61.2</v>
      </c>
      <c r="L33" s="11" t="n">
        <f aca="false">F33-(I33-AK33)</f>
        <v>-1.10362994706327</v>
      </c>
      <c r="M33" s="129" t="n">
        <v>2.9</v>
      </c>
      <c r="N33" s="130" t="n">
        <v>0</v>
      </c>
      <c r="O33" s="130" t="n">
        <v>0</v>
      </c>
      <c r="P33" s="93" t="n">
        <v>0</v>
      </c>
      <c r="Q33" s="131" t="n">
        <f aca="false">1132000/325851/1.9835*1.02</f>
        <v>1.78646838804664</v>
      </c>
      <c r="R33" s="131" t="n">
        <f aca="false">(1477438/325851/1.9835-T33)*1.04</f>
        <v>1.66564743902758</v>
      </c>
      <c r="S33" s="131" t="n">
        <v>0</v>
      </c>
      <c r="T33" s="131" t="n">
        <f aca="false">0.658*1.04</f>
        <v>0.68432</v>
      </c>
      <c r="U33" s="96" t="n">
        <f aca="false">M33-(Q33+R33+S33+T33)</f>
        <v>-1.23643582707422</v>
      </c>
      <c r="V33" s="134" t="n">
        <v>61</v>
      </c>
      <c r="W33" s="134" t="n">
        <v>0</v>
      </c>
      <c r="X33" s="135" t="n">
        <f aca="false">M33-N33-P33-O33-Q33-R33-S33-T33-U33+V33+W33</f>
        <v>61</v>
      </c>
      <c r="Y33" s="136" t="n">
        <f aca="false">X33-AO33</f>
        <v>61</v>
      </c>
      <c r="Z33" s="80"/>
      <c r="AA33" s="136"/>
      <c r="AB33" s="80"/>
      <c r="AC33" s="134"/>
      <c r="AD33" s="80"/>
      <c r="AE33" s="134" t="n">
        <v>0</v>
      </c>
      <c r="AF33" s="137"/>
      <c r="AG33" s="138"/>
      <c r="AH33" s="134" t="n">
        <v>33</v>
      </c>
      <c r="AI33" s="80" t="n">
        <f aca="false">AI32-AH33</f>
        <v>4631</v>
      </c>
      <c r="AJ33" s="80"/>
      <c r="AK33" s="134" t="n">
        <f aca="false">N33+O33+P33+Q33+R33+S33+T33+U33+X33+AE33+AH33</f>
        <v>96.9</v>
      </c>
      <c r="AL33" s="134" t="n">
        <f aca="false">IF(L33&lt;0,L33*-1,0)</f>
        <v>1.10362994706327</v>
      </c>
      <c r="AM33" s="134" t="n">
        <f aca="false">AK33+AL33</f>
        <v>98.0036299470633</v>
      </c>
      <c r="AN33" s="100" t="n">
        <f aca="false">V33</f>
        <v>61</v>
      </c>
      <c r="AO33" s="97"/>
      <c r="AP33" s="101"/>
      <c r="AQ33" s="101"/>
      <c r="AR33" s="101"/>
      <c r="AS33" s="101"/>
      <c r="AU33" s="5"/>
      <c r="AV33" s="102" t="n">
        <v>0</v>
      </c>
      <c r="AW33" s="103" t="n">
        <v>54</v>
      </c>
      <c r="AX33" s="103" t="n">
        <v>30</v>
      </c>
      <c r="AY33" s="103"/>
      <c r="AZ33" s="104" t="n">
        <f aca="false">SUM(N33,P33:U33)</f>
        <v>2.9</v>
      </c>
    </row>
    <row r="34" customFormat="false" ht="12.95" hidden="false" customHeight="true" outlineLevel="0" collapsed="false">
      <c r="A34" s="10" t="n">
        <f aca="false">A33+1</f>
        <v>20</v>
      </c>
      <c r="B34" s="126" t="n">
        <v>6898.07</v>
      </c>
      <c r="C34" s="90" t="n">
        <v>276516</v>
      </c>
      <c r="D34" s="127" t="n">
        <f aca="false">C34-C33</f>
        <v>-73</v>
      </c>
      <c r="E34" s="90" t="n">
        <f aca="false">C34-152000</f>
        <v>124516</v>
      </c>
      <c r="F34" s="128" t="n">
        <f aca="false">D34/$D$2</f>
        <v>-36.8036299470633</v>
      </c>
      <c r="G34" s="11" t="n">
        <v>70</v>
      </c>
      <c r="H34" s="12" t="n">
        <v>1.6</v>
      </c>
      <c r="I34" s="11" t="n">
        <f aca="false">G34+H34</f>
        <v>71.6</v>
      </c>
      <c r="J34" s="4" t="n">
        <f aca="false">IF(L34&gt;0,L34,0)</f>
        <v>0</v>
      </c>
      <c r="K34" s="11" t="n">
        <f aca="false">I34+J34</f>
        <v>71.6</v>
      </c>
      <c r="L34" s="11" t="n">
        <f aca="false">F34-(I34-AK34)</f>
        <v>-10.3036299470633</v>
      </c>
      <c r="M34" s="129" t="n">
        <v>4.1</v>
      </c>
      <c r="N34" s="130" t="n">
        <v>0</v>
      </c>
      <c r="O34" s="130" t="n">
        <v>0</v>
      </c>
      <c r="P34" s="93" t="n">
        <v>0</v>
      </c>
      <c r="Q34" s="131" t="n">
        <f aca="false">1019700/325851/1.9835*1.02</f>
        <v>1.60924188629961</v>
      </c>
      <c r="R34" s="131" t="n">
        <f aca="false">(1490704/325851/1.9835-T34)*1.04</f>
        <v>1.68699371251651</v>
      </c>
      <c r="S34" s="131" t="n">
        <v>0</v>
      </c>
      <c r="T34" s="131" t="n">
        <f aca="false">0.658*1.04</f>
        <v>0.68432</v>
      </c>
      <c r="U34" s="96" t="n">
        <f aca="false">M34-(Q34+R34+S34+T34)</f>
        <v>0.119444401183879</v>
      </c>
      <c r="V34" s="134" t="n">
        <v>61</v>
      </c>
      <c r="W34" s="134" t="n">
        <v>0</v>
      </c>
      <c r="X34" s="135" t="n">
        <f aca="false">M34-N34-P34-O34-Q34-R34-S34-T34-U34+V34+W34</f>
        <v>61</v>
      </c>
      <c r="Y34" s="136" t="n">
        <f aca="false">X34-AO34</f>
        <v>61</v>
      </c>
      <c r="Z34" s="80"/>
      <c r="AA34" s="136"/>
      <c r="AB34" s="80"/>
      <c r="AC34" s="134" t="n">
        <v>7.2</v>
      </c>
      <c r="AD34" s="80"/>
      <c r="AE34" s="134" t="n">
        <v>0</v>
      </c>
      <c r="AF34" s="137"/>
      <c r="AG34" s="138"/>
      <c r="AH34" s="134" t="n">
        <v>33</v>
      </c>
      <c r="AI34" s="80" t="n">
        <f aca="false">AI33-AH34</f>
        <v>4598</v>
      </c>
      <c r="AJ34" s="80"/>
      <c r="AK34" s="134" t="n">
        <f aca="false">N34+O34+P34+Q34+R34+S34+T34+U34+X34+AE34+AH34</f>
        <v>98.1</v>
      </c>
      <c r="AL34" s="134" t="n">
        <f aca="false">IF(L34&lt;0,L34*-1,0)</f>
        <v>10.3036299470633</v>
      </c>
      <c r="AM34" s="134" t="n">
        <f aca="false">AK34+AL34</f>
        <v>108.403629947063</v>
      </c>
      <c r="AN34" s="100" t="n">
        <f aca="false">V34</f>
        <v>61</v>
      </c>
      <c r="AO34" s="97"/>
      <c r="AP34" s="101"/>
      <c r="AQ34" s="101"/>
      <c r="AR34" s="101"/>
      <c r="AS34" s="101"/>
      <c r="AU34" s="5"/>
      <c r="AV34" s="102" t="n">
        <v>0</v>
      </c>
      <c r="AW34" s="103" t="n">
        <v>51</v>
      </c>
      <c r="AX34" s="103" t="n">
        <v>37</v>
      </c>
      <c r="AY34" s="103"/>
      <c r="AZ34" s="104" t="n">
        <f aca="false">SUM(N34,P34:U34)</f>
        <v>4.1</v>
      </c>
    </row>
    <row r="35" customFormat="false" ht="12.95" hidden="false" customHeight="true" outlineLevel="0" collapsed="false">
      <c r="A35" s="10" t="n">
        <f aca="false">A34+1</f>
        <v>21</v>
      </c>
      <c r="B35" s="126" t="n">
        <v>6898.05</v>
      </c>
      <c r="C35" s="90" t="n">
        <v>276443</v>
      </c>
      <c r="D35" s="127" t="n">
        <f aca="false">C35-C34</f>
        <v>-73</v>
      </c>
      <c r="E35" s="90" t="n">
        <f aca="false">C35-152000</f>
        <v>124443</v>
      </c>
      <c r="F35" s="128" t="n">
        <f aca="false">D35/$D$2</f>
        <v>-36.8036299470633</v>
      </c>
      <c r="G35" s="11" t="n">
        <v>71</v>
      </c>
      <c r="H35" s="12" t="n">
        <v>1.7</v>
      </c>
      <c r="I35" s="11" t="n">
        <f aca="false">G35+H35</f>
        <v>72.7</v>
      </c>
      <c r="J35" s="4" t="n">
        <f aca="false">IF(L35&gt;0,L35,0)</f>
        <v>0</v>
      </c>
      <c r="K35" s="11" t="n">
        <f aca="false">I35+J35</f>
        <v>72.7</v>
      </c>
      <c r="L35" s="11" t="n">
        <f aca="false">F35-(I35-AK35)</f>
        <v>-10.3036299470633</v>
      </c>
      <c r="M35" s="129" t="n">
        <v>4.2</v>
      </c>
      <c r="N35" s="130" t="n">
        <v>0</v>
      </c>
      <c r="O35" s="130" t="n">
        <v>0</v>
      </c>
      <c r="P35" s="93" t="n">
        <v>0</v>
      </c>
      <c r="Q35" s="131" t="n">
        <f aca="false">1223400/325851/1.9835*1.02</f>
        <v>1.93071150701083</v>
      </c>
      <c r="R35" s="131" t="n">
        <f aca="false">(1422192/325851/1.9835-T35)*1.04</f>
        <v>1.57675129662071</v>
      </c>
      <c r="S35" s="131" t="n">
        <v>0</v>
      </c>
      <c r="T35" s="131" t="n">
        <f aca="false">0.658*1.04</f>
        <v>0.68432</v>
      </c>
      <c r="U35" s="96" t="n">
        <f aca="false">M35-(Q35+R35+S35+T35)</f>
        <v>0.00821719636845852</v>
      </c>
      <c r="V35" s="134" t="n">
        <v>61</v>
      </c>
      <c r="W35" s="134" t="n">
        <v>0</v>
      </c>
      <c r="X35" s="135" t="n">
        <f aca="false">M35-N35-P35-O35-Q35-R35-S35-T35-U35+V35+W35</f>
        <v>61</v>
      </c>
      <c r="Y35" s="136" t="n">
        <f aca="false">X35-AO35</f>
        <v>61</v>
      </c>
      <c r="Z35" s="80"/>
      <c r="AA35" s="136"/>
      <c r="AB35" s="80"/>
      <c r="AC35" s="134" t="n">
        <v>8</v>
      </c>
      <c r="AD35" s="80"/>
      <c r="AE35" s="134" t="n">
        <v>0</v>
      </c>
      <c r="AF35" s="137"/>
      <c r="AG35" s="138"/>
      <c r="AH35" s="134" t="n">
        <v>34</v>
      </c>
      <c r="AI35" s="80" t="n">
        <f aca="false">AI34-AH35</f>
        <v>4564</v>
      </c>
      <c r="AJ35" s="80"/>
      <c r="AK35" s="134" t="n">
        <f aca="false">N35+O35+P35+Q35+R35+S35+T35+U35+X35+AE35+AH35</f>
        <v>99.2</v>
      </c>
      <c r="AL35" s="134" t="n">
        <f aca="false">IF(L35&lt;0,L35*-1,0)</f>
        <v>10.3036299470633</v>
      </c>
      <c r="AM35" s="134" t="n">
        <f aca="false">AK35+AL35</f>
        <v>109.503629947063</v>
      </c>
      <c r="AN35" s="100" t="n">
        <f aca="false">V35</f>
        <v>61</v>
      </c>
      <c r="AO35" s="97"/>
      <c r="AP35" s="101"/>
      <c r="AQ35" s="101"/>
      <c r="AR35" s="101"/>
      <c r="AS35" s="101"/>
      <c r="AU35" s="5"/>
      <c r="AV35" s="102" t="n">
        <v>0.06</v>
      </c>
      <c r="AW35" s="103" t="n">
        <v>44</v>
      </c>
      <c r="AX35" s="103" t="n">
        <v>24</v>
      </c>
      <c r="AY35" s="103"/>
      <c r="AZ35" s="104" t="n">
        <f aca="false">SUM(N35,P35:U35)</f>
        <v>4.2</v>
      </c>
    </row>
    <row r="36" customFormat="false" ht="12.95" hidden="false" customHeight="true" outlineLevel="0" collapsed="false">
      <c r="A36" s="10" t="n">
        <f aca="false">A35+1</f>
        <v>22</v>
      </c>
      <c r="B36" s="126" t="n">
        <v>6898.03</v>
      </c>
      <c r="C36" s="90" t="n">
        <v>276370</v>
      </c>
      <c r="D36" s="127" t="n">
        <f aca="false">C36-C35</f>
        <v>-73</v>
      </c>
      <c r="E36" s="90" t="n">
        <f aca="false">C36-152000</f>
        <v>124370</v>
      </c>
      <c r="F36" s="128" t="n">
        <f aca="false">D36/$D$2</f>
        <v>-36.8036299470633</v>
      </c>
      <c r="G36" s="11" t="n">
        <v>66</v>
      </c>
      <c r="H36" s="11" t="n">
        <v>1.2</v>
      </c>
      <c r="I36" s="11" t="n">
        <f aca="false">G36+H36</f>
        <v>67.2</v>
      </c>
      <c r="J36" s="4" t="n">
        <f aca="false">IF(L36&gt;0,L36,0)</f>
        <v>0</v>
      </c>
      <c r="K36" s="11" t="n">
        <f aca="false">I36+J36</f>
        <v>67.2</v>
      </c>
      <c r="L36" s="11" t="n">
        <f aca="false">F36-(I36-AK36)</f>
        <v>-6.20362994706328</v>
      </c>
      <c r="M36" s="129" t="n">
        <v>2.8</v>
      </c>
      <c r="N36" s="130" t="n">
        <v>0</v>
      </c>
      <c r="O36" s="130" t="n">
        <v>0</v>
      </c>
      <c r="P36" s="93" t="n">
        <v>0</v>
      </c>
      <c r="Q36" s="131" t="n">
        <f aca="false">1069800/325851/1.9835*1.02</f>
        <v>1.68830731584125</v>
      </c>
      <c r="R36" s="131" t="n">
        <f aca="false">(1344035/325851/1.9835-T36)*1.04</f>
        <v>1.45098914547685</v>
      </c>
      <c r="S36" s="131" t="n">
        <v>0</v>
      </c>
      <c r="T36" s="131" t="n">
        <f aca="false">0.658*1.04</f>
        <v>0.68432</v>
      </c>
      <c r="U36" s="96" t="n">
        <f aca="false">M36-(Q36+R36+S36+T36)</f>
        <v>-1.0236164613181</v>
      </c>
      <c r="V36" s="134" t="n">
        <v>61</v>
      </c>
      <c r="W36" s="134" t="n">
        <v>0</v>
      </c>
      <c r="X36" s="135" t="n">
        <f aca="false">M36-N36-P36-O36-Q36-R36-S36-T36-U36+V36+W36</f>
        <v>61</v>
      </c>
      <c r="Y36" s="136" t="n">
        <f aca="false">X36-AO36</f>
        <v>61</v>
      </c>
      <c r="Z36" s="80"/>
      <c r="AA36" s="136"/>
      <c r="AB36" s="80"/>
      <c r="AC36" s="134" t="n">
        <v>3</v>
      </c>
      <c r="AD36" s="80"/>
      <c r="AE36" s="134" t="n">
        <v>0</v>
      </c>
      <c r="AF36" s="137"/>
      <c r="AG36" s="138"/>
      <c r="AH36" s="134" t="n">
        <v>34</v>
      </c>
      <c r="AI36" s="80" t="n">
        <f aca="false">AI35-AH36</f>
        <v>4530</v>
      </c>
      <c r="AJ36" s="80"/>
      <c r="AK36" s="134" t="n">
        <f aca="false">N36+O36+P36+Q36+R36+S36+T36+U36+X36+AE36+AH36</f>
        <v>97.8</v>
      </c>
      <c r="AL36" s="134" t="n">
        <f aca="false">IF(L36&lt;0,L36*-1,0)</f>
        <v>6.20362994706328</v>
      </c>
      <c r="AM36" s="134" t="n">
        <f aca="false">AK36+AL36</f>
        <v>104.003629947063</v>
      </c>
      <c r="AN36" s="100" t="n">
        <f aca="false">V36</f>
        <v>61</v>
      </c>
      <c r="AO36" s="97"/>
      <c r="AP36" s="101"/>
      <c r="AQ36" s="101"/>
      <c r="AR36" s="101"/>
      <c r="AS36" s="101"/>
      <c r="AU36" s="5"/>
      <c r="AV36" s="102" t="n">
        <v>0.01</v>
      </c>
      <c r="AW36" s="103" t="n">
        <v>35</v>
      </c>
      <c r="AX36" s="103" t="n">
        <v>19</v>
      </c>
      <c r="AY36" s="103"/>
      <c r="AZ36" s="104" t="n">
        <f aca="false">SUM(N36,P36:U36)</f>
        <v>2.8</v>
      </c>
    </row>
    <row r="37" customFormat="false" ht="12.95" hidden="false" customHeight="true" outlineLevel="0" collapsed="false">
      <c r="A37" s="10" t="n">
        <f aca="false">A36+1</f>
        <v>23</v>
      </c>
      <c r="B37" s="126" t="n">
        <v>6898.01</v>
      </c>
      <c r="C37" s="90" t="n">
        <v>276297</v>
      </c>
      <c r="D37" s="127" t="n">
        <f aca="false">C37-C36</f>
        <v>-73</v>
      </c>
      <c r="E37" s="90" t="n">
        <f aca="false">C37-152000</f>
        <v>124297</v>
      </c>
      <c r="F37" s="128" t="n">
        <f aca="false">D37/$D$2</f>
        <v>-36.8036299470633</v>
      </c>
      <c r="G37" s="11" t="n">
        <v>56</v>
      </c>
      <c r="H37" s="12" t="n">
        <v>0.81</v>
      </c>
      <c r="I37" s="11" t="n">
        <f aca="false">G37+H37</f>
        <v>56.81</v>
      </c>
      <c r="J37" s="4" t="n">
        <f aca="false">IF(L37&gt;0,L37,0)</f>
        <v>5.58637005293673</v>
      </c>
      <c r="K37" s="11" t="n">
        <f aca="false">I37+J37</f>
        <v>62.3963700529367</v>
      </c>
      <c r="L37" s="11" t="n">
        <f aca="false">F37-(I37-AK37)</f>
        <v>5.58637005293673</v>
      </c>
      <c r="M37" s="129" t="n">
        <v>4.2</v>
      </c>
      <c r="N37" s="130" t="n">
        <v>0</v>
      </c>
      <c r="O37" s="130" t="n">
        <v>0</v>
      </c>
      <c r="P37" s="93" t="n">
        <v>0</v>
      </c>
      <c r="Q37" s="131" t="n">
        <f aca="false">821400/325851/1.9835*1.02</f>
        <v>1.2962942879342</v>
      </c>
      <c r="R37" s="131" t="n">
        <f aca="false">(1415179/325851/1.9835-T37)*1.04</f>
        <v>1.56546670322573</v>
      </c>
      <c r="S37" s="131" t="n">
        <v>0</v>
      </c>
      <c r="T37" s="131" t="n">
        <f aca="false">0.658*1.04</f>
        <v>0.68432</v>
      </c>
      <c r="U37" s="96" t="n">
        <f aca="false">M37-(Q37+R37+S37+T37)</f>
        <v>0.653919008840078</v>
      </c>
      <c r="V37" s="134" t="n">
        <v>61</v>
      </c>
      <c r="W37" s="134" t="n">
        <v>0</v>
      </c>
      <c r="X37" s="135" t="n">
        <f aca="false">M37-N37-P37-O37-Q37-R37-S37-T37-U37+V37+W37</f>
        <v>61</v>
      </c>
      <c r="Y37" s="136" t="n">
        <f aca="false">X37-AO37</f>
        <v>61</v>
      </c>
      <c r="Z37" s="80"/>
      <c r="AA37" s="136"/>
      <c r="AB37" s="80"/>
      <c r="AC37" s="134"/>
      <c r="AD37" s="80"/>
      <c r="AE37" s="134" t="n">
        <v>0</v>
      </c>
      <c r="AF37" s="137"/>
      <c r="AG37" s="138"/>
      <c r="AH37" s="134" t="n">
        <v>34</v>
      </c>
      <c r="AI37" s="80" t="n">
        <f aca="false">AI36-AH37</f>
        <v>4496</v>
      </c>
      <c r="AJ37" s="80"/>
      <c r="AK37" s="134" t="n">
        <f aca="false">N37+O37+P37+Q37+R37+S37+T37+U37+X37+AE37+AH37</f>
        <v>99.2</v>
      </c>
      <c r="AL37" s="134" t="n">
        <f aca="false">IF(L37&lt;0,L37*-1,0)</f>
        <v>0</v>
      </c>
      <c r="AM37" s="134" t="n">
        <f aca="false">AK37+AL37</f>
        <v>99.2</v>
      </c>
      <c r="AN37" s="100" t="n">
        <f aca="false">V37</f>
        <v>61</v>
      </c>
      <c r="AO37" s="97"/>
      <c r="AP37" s="101"/>
      <c r="AQ37" s="101"/>
      <c r="AR37" s="101"/>
      <c r="AS37" s="101"/>
      <c r="AU37" s="5"/>
      <c r="AV37" s="102" t="n">
        <v>0</v>
      </c>
      <c r="AW37" s="103" t="n">
        <v>41</v>
      </c>
      <c r="AX37" s="141" t="n">
        <v>19</v>
      </c>
      <c r="AY37" s="141"/>
      <c r="AZ37" s="104" t="n">
        <f aca="false">SUM(N37,P37:U37)</f>
        <v>4.2</v>
      </c>
    </row>
    <row r="38" customFormat="false" ht="12.95" hidden="false" customHeight="true" outlineLevel="0" collapsed="false">
      <c r="A38" s="10" t="n">
        <f aca="false">A37+1</f>
        <v>24</v>
      </c>
      <c r="B38" s="126" t="n">
        <v>6897.98</v>
      </c>
      <c r="C38" s="90" t="n">
        <v>276188</v>
      </c>
      <c r="D38" s="127" t="n">
        <f aca="false">C38-C37</f>
        <v>-109</v>
      </c>
      <c r="E38" s="90" t="n">
        <f aca="false">C38-152000</f>
        <v>124188</v>
      </c>
      <c r="F38" s="128" t="n">
        <f aca="false">D38/$D$2</f>
        <v>-54.9533652634232</v>
      </c>
      <c r="G38" s="11" t="n">
        <v>61</v>
      </c>
      <c r="H38" s="11" t="n">
        <v>1.4</v>
      </c>
      <c r="I38" s="11" t="n">
        <f aca="false">G38+H38</f>
        <v>62.4</v>
      </c>
      <c r="J38" s="4" t="n">
        <f aca="false">IF(L38&gt;0,L38,0)</f>
        <v>0</v>
      </c>
      <c r="K38" s="11" t="n">
        <f aca="false">I38+J38</f>
        <v>62.4</v>
      </c>
      <c r="L38" s="11" t="n">
        <f aca="false">F38-(I38-AK38)</f>
        <v>-19.5533652634232</v>
      </c>
      <c r="M38" s="129" t="n">
        <v>2.8</v>
      </c>
      <c r="N38" s="130" t="n">
        <v>0</v>
      </c>
      <c r="O38" s="130" t="n">
        <v>0</v>
      </c>
      <c r="P38" s="93" t="n">
        <v>0</v>
      </c>
      <c r="Q38" s="131" t="n">
        <f aca="false">1266700/325851/1.9835*1.02</f>
        <v>1.9990455010059</v>
      </c>
      <c r="R38" s="131" t="n">
        <f aca="false">(1515090/325851/1.9835-T38)*1.04</f>
        <v>1.72623313851539</v>
      </c>
      <c r="S38" s="131" t="n">
        <v>0</v>
      </c>
      <c r="T38" s="131" t="n">
        <f aca="false">0.658*1.04</f>
        <v>0.68432</v>
      </c>
      <c r="U38" s="96" t="n">
        <f aca="false">M38-(Q38+R38+S38+T38)</f>
        <v>-1.60959863952129</v>
      </c>
      <c r="V38" s="134" t="n">
        <v>61</v>
      </c>
      <c r="W38" s="134" t="n">
        <v>0</v>
      </c>
      <c r="X38" s="135" t="n">
        <f aca="false">M38-N38-P38-O38-Q38-R38-S38-T38-U38+V38+W38</f>
        <v>61</v>
      </c>
      <c r="Y38" s="136" t="n">
        <f aca="false">X38-AO38</f>
        <v>61</v>
      </c>
      <c r="Z38" s="80"/>
      <c r="AA38" s="136"/>
      <c r="AB38" s="80"/>
      <c r="AC38" s="134"/>
      <c r="AD38" s="80"/>
      <c r="AE38" s="134" t="n">
        <v>0</v>
      </c>
      <c r="AF38" s="137"/>
      <c r="AG38" s="138"/>
      <c r="AH38" s="134" t="n">
        <v>34</v>
      </c>
      <c r="AI38" s="80" t="n">
        <f aca="false">AI37-AH38</f>
        <v>4462</v>
      </c>
      <c r="AJ38" s="80"/>
      <c r="AK38" s="134" t="n">
        <f aca="false">N38+O38+P38+Q38+R38+S38+T38+U38+X38+AE38+AH38</f>
        <v>97.8</v>
      </c>
      <c r="AL38" s="134" t="n">
        <f aca="false">IF(L38&lt;0,L38*-1,0)</f>
        <v>19.5533652634232</v>
      </c>
      <c r="AM38" s="134" t="n">
        <f aca="false">AK38+AL38</f>
        <v>117.353365263423</v>
      </c>
      <c r="AN38" s="100" t="n">
        <f aca="false">V38</f>
        <v>61</v>
      </c>
      <c r="AO38" s="97"/>
      <c r="AP38" s="101"/>
      <c r="AQ38" s="101"/>
      <c r="AR38" s="101"/>
      <c r="AS38" s="101"/>
      <c r="AU38" s="5"/>
      <c r="AV38" s="102" t="n">
        <v>0</v>
      </c>
      <c r="AW38" s="103" t="n">
        <v>33</v>
      </c>
      <c r="AX38" s="141" t="n">
        <v>4</v>
      </c>
      <c r="AY38" s="141"/>
      <c r="AZ38" s="104" t="n">
        <f aca="false">SUM(N38,P38:U38)</f>
        <v>2.8</v>
      </c>
    </row>
    <row r="39" customFormat="false" ht="12.95" hidden="false" customHeight="true" outlineLevel="0" collapsed="false">
      <c r="A39" s="10" t="n">
        <f aca="false">A38+1</f>
        <v>25</v>
      </c>
      <c r="B39" s="126" t="n">
        <v>6897.95</v>
      </c>
      <c r="C39" s="90" t="n">
        <v>276080</v>
      </c>
      <c r="D39" s="127" t="n">
        <f aca="false">C39-C38</f>
        <v>-108</v>
      </c>
      <c r="E39" s="90" t="n">
        <f aca="false">C39-152000</f>
        <v>124080</v>
      </c>
      <c r="F39" s="128" t="n">
        <f aca="false">D39/$D$2</f>
        <v>-54.4492059490799</v>
      </c>
      <c r="G39" s="11" t="n">
        <v>51</v>
      </c>
      <c r="H39" s="12" t="n">
        <v>0.58</v>
      </c>
      <c r="I39" s="11" t="n">
        <f aca="false">G39+H39</f>
        <v>51.58</v>
      </c>
      <c r="J39" s="4" t="n">
        <f aca="false">IF(L39&gt;0,L39,0)</f>
        <v>0</v>
      </c>
      <c r="K39" s="11" t="n">
        <f aca="false">I39+J39</f>
        <v>51.58</v>
      </c>
      <c r="L39" s="11" t="n">
        <f aca="false">F39-(I39-AK39)</f>
        <v>-7.72920594907991</v>
      </c>
      <c r="M39" s="129" t="n">
        <v>3.3</v>
      </c>
      <c r="N39" s="130" t="n">
        <v>0</v>
      </c>
      <c r="O39" s="130" t="n">
        <v>0</v>
      </c>
      <c r="P39" s="93" t="n">
        <v>0</v>
      </c>
      <c r="Q39" s="131" t="n">
        <f aca="false">968700/325851/1.9835*1.02</f>
        <v>1.52875611970034</v>
      </c>
      <c r="R39" s="131" t="n">
        <f aca="false">(1517339/325851/1.9835-T39)*1.04</f>
        <v>1.72985199642859</v>
      </c>
      <c r="S39" s="131" t="n">
        <v>0</v>
      </c>
      <c r="T39" s="131" t="n">
        <f aca="false">0.658*1.04</f>
        <v>0.68432</v>
      </c>
      <c r="U39" s="96" t="n">
        <f aca="false">M39-(Q39+R39+S39+T39)</f>
        <v>-0.642928116128929</v>
      </c>
      <c r="V39" s="134" t="n">
        <v>61</v>
      </c>
      <c r="W39" s="134" t="n">
        <v>0</v>
      </c>
      <c r="X39" s="135" t="n">
        <f aca="false">M39-N39-P39-O39-Q39-R39-S39-T39-U39+V39+W39</f>
        <v>61</v>
      </c>
      <c r="Y39" s="136" t="n">
        <f aca="false">X39-AO39</f>
        <v>61</v>
      </c>
      <c r="Z39" s="80"/>
      <c r="AA39" s="136"/>
      <c r="AB39" s="80"/>
      <c r="AC39" s="134"/>
      <c r="AD39" s="80"/>
      <c r="AE39" s="134" t="n">
        <v>0</v>
      </c>
      <c r="AF39" s="137"/>
      <c r="AG39" s="138"/>
      <c r="AH39" s="134" t="n">
        <v>34</v>
      </c>
      <c r="AI39" s="80" t="n">
        <f aca="false">AI38-AH39</f>
        <v>4428</v>
      </c>
      <c r="AJ39" s="80"/>
      <c r="AK39" s="134" t="n">
        <f aca="false">N39+O39+P39+Q39+R39+S39+T39+U39+X39+AE39+AH39</f>
        <v>98.3</v>
      </c>
      <c r="AL39" s="134" t="n">
        <f aca="false">IF(L39&lt;0,L39*-1,0)</f>
        <v>7.72920594907991</v>
      </c>
      <c r="AM39" s="134" t="n">
        <f aca="false">AK39+AL39</f>
        <v>106.02920594908</v>
      </c>
      <c r="AN39" s="100" t="n">
        <f aca="false">V39</f>
        <v>61</v>
      </c>
      <c r="AO39" s="97"/>
      <c r="AP39" s="101"/>
      <c r="AQ39" s="101"/>
      <c r="AR39" s="101"/>
      <c r="AS39" s="101"/>
      <c r="AU39" s="5"/>
      <c r="AV39" s="102" t="n">
        <v>0</v>
      </c>
      <c r="AW39" s="103" t="n">
        <v>32</v>
      </c>
      <c r="AX39" s="141" t="n">
        <v>2</v>
      </c>
      <c r="AY39" s="141"/>
      <c r="AZ39" s="104" t="n">
        <f aca="false">SUM(N39,P39:U39)</f>
        <v>3.3</v>
      </c>
    </row>
    <row r="40" customFormat="false" ht="12.95" hidden="false" customHeight="true" outlineLevel="0" collapsed="false">
      <c r="A40" s="10" t="n">
        <f aca="false">A39+1</f>
        <v>26</v>
      </c>
      <c r="B40" s="126" t="n">
        <v>6897.92</v>
      </c>
      <c r="C40" s="90" t="n">
        <v>275971</v>
      </c>
      <c r="D40" s="127" t="n">
        <f aca="false">C40-C39</f>
        <v>-109</v>
      </c>
      <c r="E40" s="90" t="n">
        <f aca="false">C40-152000</f>
        <v>123971</v>
      </c>
      <c r="F40" s="128" t="n">
        <f aca="false">D40/$D$2</f>
        <v>-54.9533652634232</v>
      </c>
      <c r="G40" s="11" t="n">
        <v>48</v>
      </c>
      <c r="H40" s="12" t="n">
        <v>0.73</v>
      </c>
      <c r="I40" s="11" t="n">
        <f aca="false">G40+H40</f>
        <v>48.73</v>
      </c>
      <c r="J40" s="4" t="n">
        <f aca="false">IF(L40&gt;0,L40,0)</f>
        <v>0</v>
      </c>
      <c r="K40" s="11" t="n">
        <f aca="false">I40+J40</f>
        <v>48.73</v>
      </c>
      <c r="L40" s="11" t="n">
        <f aca="false">F40-(I40-AK40)</f>
        <v>-5.08336526342325</v>
      </c>
      <c r="M40" s="129" t="n">
        <v>3.6</v>
      </c>
      <c r="N40" s="130" t="n">
        <v>0</v>
      </c>
      <c r="O40" s="130" t="n">
        <v>0</v>
      </c>
      <c r="P40" s="93" t="n">
        <v>0</v>
      </c>
      <c r="Q40" s="131" t="n">
        <f aca="false">1114900/325851/1.9835*1.04</f>
        <v>1.79398163069574</v>
      </c>
      <c r="R40" s="131" t="n">
        <f aca="false">(1457422/325851/1.9835-T40)*1.04</f>
        <v>1.58574120450968</v>
      </c>
      <c r="S40" s="131" t="n">
        <v>0</v>
      </c>
      <c r="T40" s="131" t="n">
        <f aca="false">0.7021*1.04</f>
        <v>0.730184</v>
      </c>
      <c r="U40" s="96" t="n">
        <f aca="false">M40-(Q40+R40+S40+T40)</f>
        <v>-0.509906835205418</v>
      </c>
      <c r="V40" s="134" t="n">
        <v>61</v>
      </c>
      <c r="W40" s="134" t="n">
        <v>0</v>
      </c>
      <c r="X40" s="135" t="n">
        <f aca="false">M40-N40-P40-O40-Q40-R40-S40-T40-U40+V40+W40</f>
        <v>61</v>
      </c>
      <c r="Y40" s="136" t="n">
        <f aca="false">X40-AO40</f>
        <v>61</v>
      </c>
      <c r="Z40" s="80"/>
      <c r="AA40" s="136"/>
      <c r="AB40" s="80"/>
      <c r="AC40" s="134"/>
      <c r="AD40" s="80"/>
      <c r="AE40" s="134" t="n">
        <v>0</v>
      </c>
      <c r="AF40" s="137"/>
      <c r="AG40" s="138"/>
      <c r="AH40" s="134" t="n">
        <v>34</v>
      </c>
      <c r="AI40" s="80" t="n">
        <f aca="false">AI39-AH40</f>
        <v>4394</v>
      </c>
      <c r="AJ40" s="80"/>
      <c r="AK40" s="134" t="n">
        <f aca="false">N40+O40+P40+Q40+R40+S40+T40+U40+X40+AE40+AH40</f>
        <v>98.6</v>
      </c>
      <c r="AL40" s="134" t="n">
        <f aca="false">IF(L40&lt;0,L40*-1,0)</f>
        <v>5.08336526342325</v>
      </c>
      <c r="AM40" s="134" t="n">
        <f aca="false">AK40+AL40</f>
        <v>103.683365263423</v>
      </c>
      <c r="AN40" s="100" t="n">
        <f aca="false">V40</f>
        <v>61</v>
      </c>
      <c r="AO40" s="97"/>
      <c r="AP40" s="101"/>
      <c r="AQ40" s="101"/>
      <c r="AR40" s="101"/>
      <c r="AS40" s="101"/>
      <c r="AU40" s="5"/>
      <c r="AV40" s="102" t="n">
        <v>0</v>
      </c>
      <c r="AW40" s="103" t="n">
        <v>38</v>
      </c>
      <c r="AX40" s="103" t="n">
        <v>10</v>
      </c>
      <c r="AY40" s="103"/>
      <c r="AZ40" s="104" t="n">
        <f aca="false">SUM(N40,P40:U40)</f>
        <v>3.6</v>
      </c>
    </row>
    <row r="41" customFormat="false" ht="12.95" hidden="false" customHeight="true" outlineLevel="0" collapsed="false">
      <c r="A41" s="10" t="n">
        <f aca="false">A40+1</f>
        <v>27</v>
      </c>
      <c r="B41" s="126" t="n">
        <v>6897.89</v>
      </c>
      <c r="C41" s="90" t="n">
        <v>275863</v>
      </c>
      <c r="D41" s="127" t="n">
        <f aca="false">C41-C40</f>
        <v>-108</v>
      </c>
      <c r="E41" s="90" t="n">
        <f aca="false">C41-152000</f>
        <v>123863</v>
      </c>
      <c r="F41" s="128" t="n">
        <f aca="false">D41/$D$2</f>
        <v>-54.4492059490799</v>
      </c>
      <c r="G41" s="11" t="n">
        <v>51</v>
      </c>
      <c r="H41" s="12" t="n">
        <v>0.76</v>
      </c>
      <c r="I41" s="11" t="n">
        <f aca="false">G41+H41</f>
        <v>51.76</v>
      </c>
      <c r="J41" s="4" t="n">
        <f aca="false">IF(L41&gt;0,L41,0)</f>
        <v>0</v>
      </c>
      <c r="K41" s="11" t="n">
        <f aca="false">I41+J41</f>
        <v>51.76</v>
      </c>
      <c r="L41" s="11" t="n">
        <f aca="false">F41-(I41-AK41)</f>
        <v>-7.3092059490799</v>
      </c>
      <c r="M41" s="129" t="n">
        <v>3.9</v>
      </c>
      <c r="N41" s="130" t="n">
        <v>0</v>
      </c>
      <c r="O41" s="130" t="n">
        <v>0</v>
      </c>
      <c r="P41" s="93" t="n">
        <v>0</v>
      </c>
      <c r="Q41" s="131" t="n">
        <f aca="false">1158100/325851/1.9835*1.02</f>
        <v>1.82765816271803</v>
      </c>
      <c r="R41" s="131" t="n">
        <f aca="false">(1431028/325851/1.9835-T41)*1.04</f>
        <v>1.54327071284174</v>
      </c>
      <c r="S41" s="131" t="n">
        <v>0</v>
      </c>
      <c r="T41" s="131" t="n">
        <f aca="false">0.7021*1.04</f>
        <v>0.730184</v>
      </c>
      <c r="U41" s="96" t="n">
        <f aca="false">M41-(Q41+R41+S41+T41)</f>
        <v>-0.201112875559776</v>
      </c>
      <c r="V41" s="134" t="n">
        <v>61</v>
      </c>
      <c r="W41" s="134" t="n">
        <v>0</v>
      </c>
      <c r="X41" s="135" t="n">
        <f aca="false">M41-N41-P41-O41-Q41-R41-S41-T41-U41+V41+W41</f>
        <v>61</v>
      </c>
      <c r="Y41" s="136" t="n">
        <f aca="false">X41-AO41</f>
        <v>61</v>
      </c>
      <c r="Z41" s="80"/>
      <c r="AA41" s="136"/>
      <c r="AB41" s="80"/>
      <c r="AC41" s="134"/>
      <c r="AD41" s="80"/>
      <c r="AE41" s="134" t="n">
        <v>0</v>
      </c>
      <c r="AF41" s="137"/>
      <c r="AG41" s="138"/>
      <c r="AH41" s="134" t="n">
        <v>34</v>
      </c>
      <c r="AI41" s="80" t="n">
        <f aca="false">AI40-AH41</f>
        <v>4360</v>
      </c>
      <c r="AJ41" s="80"/>
      <c r="AK41" s="134" t="n">
        <f aca="false">N41+O41+P41+Q41+R41+S41+T41+U41+X41+AE41+AH41</f>
        <v>98.9</v>
      </c>
      <c r="AL41" s="134" t="n">
        <f aca="false">IF(L41&lt;0,L41*-1,0)</f>
        <v>7.3092059490799</v>
      </c>
      <c r="AM41" s="134" t="n">
        <f aca="false">AK41+AL41</f>
        <v>106.20920594908</v>
      </c>
      <c r="AN41" s="100" t="n">
        <f aca="false">V41</f>
        <v>61</v>
      </c>
      <c r="AO41" s="97"/>
      <c r="AP41" s="101"/>
      <c r="AQ41" s="101"/>
      <c r="AR41" s="101"/>
      <c r="AS41" s="101"/>
      <c r="AU41" s="5"/>
      <c r="AV41" s="102" t="n">
        <v>0</v>
      </c>
      <c r="AW41" s="103" t="n">
        <v>48</v>
      </c>
      <c r="AX41" s="103" t="n">
        <v>18</v>
      </c>
      <c r="AY41" s="103"/>
      <c r="AZ41" s="104" t="n">
        <f aca="false">SUM(N41,P41:U41)</f>
        <v>3.9</v>
      </c>
    </row>
    <row r="42" customFormat="false" ht="12.95" hidden="false" customHeight="true" outlineLevel="0" collapsed="false">
      <c r="A42" s="10" t="n">
        <f aca="false">A41+1</f>
        <v>28</v>
      </c>
      <c r="B42" s="126" t="n">
        <v>6897.86</v>
      </c>
      <c r="C42" s="90" t="n">
        <v>275754</v>
      </c>
      <c r="D42" s="127" t="n">
        <f aca="false">C42-C41</f>
        <v>-109</v>
      </c>
      <c r="E42" s="90" t="n">
        <f aca="false">C42-152000</f>
        <v>123754</v>
      </c>
      <c r="F42" s="128" t="n">
        <f aca="false">D42/$D$2</f>
        <v>-54.9533652634232</v>
      </c>
      <c r="G42" s="11" t="n">
        <v>54</v>
      </c>
      <c r="H42" s="12" t="n">
        <v>0.88</v>
      </c>
      <c r="I42" s="11" t="n">
        <f aca="false">G42+H42</f>
        <v>54.88</v>
      </c>
      <c r="J42" s="4" t="n">
        <f aca="false">IF(L42&gt;0,L42,0)</f>
        <v>0</v>
      </c>
      <c r="K42" s="11" t="n">
        <f aca="false">I42+J42</f>
        <v>54.88</v>
      </c>
      <c r="L42" s="11" t="n">
        <f aca="false">F42-(I42-AK42)</f>
        <v>-10.3333652634232</v>
      </c>
      <c r="M42" s="129" t="n">
        <v>4.5</v>
      </c>
      <c r="N42" s="130" t="n">
        <v>0</v>
      </c>
      <c r="O42" s="130" t="n">
        <v>0</v>
      </c>
      <c r="P42" s="93" t="n">
        <v>0</v>
      </c>
      <c r="Q42" s="131" t="n">
        <f aca="false">1460800/325851/1.9835*1.02</f>
        <v>2.30536485976902</v>
      </c>
      <c r="R42" s="131" t="n">
        <f aca="false">(1402011/325851/1.9835-T42)*1.04</f>
        <v>1.49657956118877</v>
      </c>
      <c r="S42" s="131" t="n">
        <v>0</v>
      </c>
      <c r="T42" s="131" t="n">
        <f aca="false">0.7021*1.04</f>
        <v>0.730184</v>
      </c>
      <c r="U42" s="96" t="n">
        <f aca="false">M42-(Q42+R42+S42+T42)</f>
        <v>-0.0321284209577914</v>
      </c>
      <c r="V42" s="134" t="n">
        <v>61</v>
      </c>
      <c r="W42" s="134" t="n">
        <v>0</v>
      </c>
      <c r="X42" s="135" t="n">
        <f aca="false">M42-N42-P42-O42-Q42-R42-S42-T42-U42+V42+W42</f>
        <v>61</v>
      </c>
      <c r="Y42" s="136" t="n">
        <f aca="false">X42-AO42</f>
        <v>61</v>
      </c>
      <c r="Z42" s="80"/>
      <c r="AA42" s="136"/>
      <c r="AB42" s="80"/>
      <c r="AC42" s="134"/>
      <c r="AD42" s="80"/>
      <c r="AE42" s="134" t="n">
        <v>0</v>
      </c>
      <c r="AF42" s="137"/>
      <c r="AG42" s="138"/>
      <c r="AH42" s="134" t="n">
        <v>34</v>
      </c>
      <c r="AI42" s="80" t="n">
        <f aca="false">AI41-AH42</f>
        <v>4326</v>
      </c>
      <c r="AJ42" s="80"/>
      <c r="AK42" s="134" t="n">
        <f aca="false">N42+O42+P42+Q42+R42+S42+T42+U42+X42+AE42+AH42</f>
        <v>99.5</v>
      </c>
      <c r="AL42" s="134" t="n">
        <f aca="false">IF(L42&lt;0,L42*-1,0)</f>
        <v>10.3333652634232</v>
      </c>
      <c r="AM42" s="134" t="n">
        <f aca="false">AK42+AL42</f>
        <v>109.833365263423</v>
      </c>
      <c r="AN42" s="100" t="n">
        <f aca="false">V42</f>
        <v>61</v>
      </c>
      <c r="AO42" s="97"/>
      <c r="AP42" s="101"/>
      <c r="AQ42" s="101"/>
      <c r="AR42" s="101"/>
      <c r="AS42" s="101"/>
      <c r="AU42" s="5"/>
      <c r="AV42" s="102" t="n">
        <v>0.3</v>
      </c>
      <c r="AW42" s="103" t="n">
        <v>36</v>
      </c>
      <c r="AX42" s="103" t="n">
        <v>20</v>
      </c>
      <c r="AY42" s="103"/>
      <c r="AZ42" s="104" t="n">
        <f aca="false">SUM(N42,P42:U42)</f>
        <v>4.5</v>
      </c>
    </row>
    <row r="43" customFormat="false" ht="12.95" hidden="false" customHeight="true" outlineLevel="0" collapsed="false">
      <c r="A43" s="10" t="n">
        <f aca="false">A42+1</f>
        <v>29</v>
      </c>
      <c r="B43" s="126" t="n">
        <v>6897.83</v>
      </c>
      <c r="C43" s="90" t="n">
        <v>275646</v>
      </c>
      <c r="D43" s="127" t="n">
        <f aca="false">C43-C42</f>
        <v>-108</v>
      </c>
      <c r="E43" s="90" t="n">
        <f aca="false">C43-152000</f>
        <v>123646</v>
      </c>
      <c r="F43" s="128" t="n">
        <f aca="false">D43/$D$2</f>
        <v>-54.4492059490799</v>
      </c>
      <c r="G43" s="11" t="n">
        <v>63</v>
      </c>
      <c r="H43" s="12" t="n">
        <v>0.95</v>
      </c>
      <c r="I43" s="11" t="n">
        <f aca="false">G43+H43</f>
        <v>63.95</v>
      </c>
      <c r="J43" s="4" t="n">
        <f aca="false">IF(L43&gt;0,L43,0)</f>
        <v>0</v>
      </c>
      <c r="K43" s="11" t="n">
        <f aca="false">I43+J43</f>
        <v>63.95</v>
      </c>
      <c r="L43" s="11" t="n">
        <f aca="false">F43-(I43-AK43)</f>
        <v>-18.6992059490799</v>
      </c>
      <c r="M43" s="129" t="n">
        <v>4.7</v>
      </c>
      <c r="N43" s="130" t="n">
        <v>0</v>
      </c>
      <c r="O43" s="130" t="n">
        <v>0</v>
      </c>
      <c r="P43" s="93" t="n">
        <v>0</v>
      </c>
      <c r="Q43" s="131" t="n">
        <f aca="false">1453400/325851/1.9835*1.02</f>
        <v>2.29368653285069</v>
      </c>
      <c r="R43" s="131" t="n">
        <f aca="false">(1369475/325851/1.9835-T43)*1.04</f>
        <v>1.4442259991327</v>
      </c>
      <c r="S43" s="131" t="n">
        <v>0</v>
      </c>
      <c r="T43" s="131" t="n">
        <f aca="false">0.7021*1.04</f>
        <v>0.730184</v>
      </c>
      <c r="U43" s="96" t="n">
        <f aca="false">M43-(Q43+R43+S43+T43)</f>
        <v>0.231903468016609</v>
      </c>
      <c r="V43" s="134" t="n">
        <v>61</v>
      </c>
      <c r="W43" s="134" t="n">
        <v>0</v>
      </c>
      <c r="X43" s="135" t="n">
        <f aca="false">M43-N43-P43-O43-Q43-R43-S43-T43-U43+V43+W43</f>
        <v>61</v>
      </c>
      <c r="Y43" s="136" t="n">
        <f aca="false">X43-AO43</f>
        <v>61</v>
      </c>
      <c r="Z43" s="80"/>
      <c r="AA43" s="136"/>
      <c r="AB43" s="80"/>
      <c r="AC43" s="134"/>
      <c r="AD43" s="80"/>
      <c r="AE43" s="134" t="n">
        <v>0</v>
      </c>
      <c r="AF43" s="137"/>
      <c r="AG43" s="138"/>
      <c r="AH43" s="134" t="n">
        <v>34</v>
      </c>
      <c r="AI43" s="80" t="n">
        <f aca="false">AI42-AH43</f>
        <v>4292</v>
      </c>
      <c r="AJ43" s="80"/>
      <c r="AK43" s="134" t="n">
        <f aca="false">N43+O43+P43+Q43+R43+S43+T43+U43+X43+AE43+AH43</f>
        <v>99.7</v>
      </c>
      <c r="AL43" s="134" t="n">
        <f aca="false">IF(L43&lt;0,L43*-1,0)</f>
        <v>18.6992059490799</v>
      </c>
      <c r="AM43" s="134" t="n">
        <f aca="false">AK43+AL43</f>
        <v>118.39920594908</v>
      </c>
      <c r="AN43" s="100" t="n">
        <f aca="false">V43</f>
        <v>61</v>
      </c>
      <c r="AO43" s="97"/>
      <c r="AP43" s="101"/>
      <c r="AQ43" s="101"/>
      <c r="AR43" s="101"/>
      <c r="AS43" s="101"/>
      <c r="AU43" s="5"/>
      <c r="AV43" s="102" t="n">
        <v>0.01</v>
      </c>
      <c r="AW43" s="103" t="n">
        <v>28</v>
      </c>
      <c r="AX43" s="103" t="n">
        <v>10</v>
      </c>
      <c r="AY43" s="103"/>
      <c r="AZ43" s="104" t="n">
        <f aca="false">SUM(N43,P43:U43)</f>
        <v>4.7</v>
      </c>
    </row>
    <row r="44" customFormat="false" ht="12.95" hidden="false" customHeight="true" outlineLevel="0" collapsed="false">
      <c r="A44" s="10" t="n">
        <v>30</v>
      </c>
      <c r="B44" s="126" t="n">
        <v>6897.81</v>
      </c>
      <c r="C44" s="90" t="n">
        <v>275576</v>
      </c>
      <c r="D44" s="127" t="n">
        <f aca="false">C44-C43</f>
        <v>-70</v>
      </c>
      <c r="E44" s="90" t="n">
        <f aca="false">C44-152000</f>
        <v>123576</v>
      </c>
      <c r="F44" s="128" t="n">
        <f aca="false">D44/$D$2</f>
        <v>-35.2911520040333</v>
      </c>
      <c r="G44" s="11" t="n">
        <v>54</v>
      </c>
      <c r="H44" s="12" t="n">
        <v>1</v>
      </c>
      <c r="I44" s="11" t="n">
        <f aca="false">G44+H44</f>
        <v>55</v>
      </c>
      <c r="J44" s="4" t="n">
        <f aca="false">IF(L44&gt;0,L44,0)</f>
        <v>8.30884799596672</v>
      </c>
      <c r="K44" s="11" t="n">
        <f aca="false">I44+J44</f>
        <v>63.3088479959667</v>
      </c>
      <c r="L44" s="11" t="n">
        <f aca="false">F44-(I44-AK44)</f>
        <v>8.30884799596672</v>
      </c>
      <c r="M44" s="129" t="n">
        <v>3.6</v>
      </c>
      <c r="N44" s="130" t="n">
        <v>0</v>
      </c>
      <c r="O44" s="130" t="n">
        <v>0</v>
      </c>
      <c r="P44" s="93" t="n">
        <v>0</v>
      </c>
      <c r="Q44" s="131" t="n">
        <f aca="false">1339600/325851/1.9835*1.02</f>
        <v>2.11409280267427</v>
      </c>
      <c r="R44" s="131" t="n">
        <f aca="false">(1527297/325851/1.9835-T44)*1.04</f>
        <v>1.69817681886511</v>
      </c>
      <c r="S44" s="131" t="n">
        <v>0</v>
      </c>
      <c r="T44" s="131" t="n">
        <f aca="false">0.7021*1.04</f>
        <v>0.730184</v>
      </c>
      <c r="U44" s="96" t="n">
        <f aca="false">M44-(Q44+R44+S44+T44)</f>
        <v>-0.94245362153938</v>
      </c>
      <c r="V44" s="134" t="n">
        <v>61</v>
      </c>
      <c r="W44" s="134" t="n">
        <v>0</v>
      </c>
      <c r="X44" s="135" t="n">
        <f aca="false">M44-N44-P44-O44-Q44-R44-S44-T44-U44+V44+W44</f>
        <v>61</v>
      </c>
      <c r="Y44" s="136" t="n">
        <f aca="false">X44-AO44</f>
        <v>61</v>
      </c>
      <c r="Z44" s="80"/>
      <c r="AA44" s="136"/>
      <c r="AB44" s="80"/>
      <c r="AC44" s="134"/>
      <c r="AD44" s="80"/>
      <c r="AE44" s="134" t="n">
        <v>0</v>
      </c>
      <c r="AF44" s="137"/>
      <c r="AG44" s="138"/>
      <c r="AH44" s="134" t="n">
        <v>34</v>
      </c>
      <c r="AI44" s="80" t="n">
        <f aca="false">AI43-AH44</f>
        <v>4258</v>
      </c>
      <c r="AJ44" s="80"/>
      <c r="AK44" s="134" t="n">
        <f aca="false">N44+O44+P44+Q44+R44+S44+T44+U44+X44+AE44+AH44</f>
        <v>98.6</v>
      </c>
      <c r="AL44" s="134" t="n">
        <f aca="false">IF(L44&lt;0,L44*-1,0)</f>
        <v>0</v>
      </c>
      <c r="AM44" s="134" t="n">
        <f aca="false">AK44+AL44</f>
        <v>98.6</v>
      </c>
      <c r="AN44" s="100" t="n">
        <f aca="false">V44</f>
        <v>61</v>
      </c>
      <c r="AO44" s="97"/>
      <c r="AP44" s="101"/>
      <c r="AQ44" s="101"/>
      <c r="AR44" s="101"/>
      <c r="AS44" s="101"/>
      <c r="AU44" s="5"/>
      <c r="AV44" s="102" t="n">
        <v>0</v>
      </c>
      <c r="AW44" s="103" t="n">
        <v>34</v>
      </c>
      <c r="AX44" s="103" t="n">
        <v>5</v>
      </c>
      <c r="AY44" s="103"/>
      <c r="AZ44" s="104" t="n">
        <f aca="false">SUM(N44,P44:U44)</f>
        <v>3.6</v>
      </c>
    </row>
    <row r="45" customFormat="false" ht="3" hidden="false" customHeight="true" outlineLevel="0" collapsed="false">
      <c r="A45" s="109"/>
      <c r="B45" s="142"/>
      <c r="C45" s="111"/>
      <c r="D45" s="109"/>
      <c r="E45" s="111"/>
      <c r="F45" s="112"/>
      <c r="G45" s="109"/>
      <c r="H45" s="113"/>
      <c r="I45" s="109"/>
      <c r="J45" s="109"/>
      <c r="K45" s="109"/>
      <c r="L45" s="109"/>
      <c r="M45" s="114"/>
      <c r="N45" s="109"/>
      <c r="O45" s="109"/>
      <c r="P45" s="115"/>
      <c r="Q45" s="116"/>
      <c r="R45" s="116"/>
      <c r="S45" s="116"/>
      <c r="T45" s="116"/>
      <c r="U45" s="117"/>
      <c r="V45" s="116"/>
      <c r="W45" s="116"/>
      <c r="X45" s="116"/>
      <c r="Y45" s="123"/>
      <c r="Z45" s="119"/>
      <c r="AA45" s="123"/>
      <c r="AB45" s="119"/>
      <c r="AC45" s="119"/>
      <c r="AD45" s="119"/>
      <c r="AE45" s="116"/>
      <c r="AF45" s="120"/>
      <c r="AG45" s="121"/>
      <c r="AH45" s="116"/>
      <c r="AI45" s="116"/>
      <c r="AJ45" s="116"/>
      <c r="AK45" s="116"/>
      <c r="AL45" s="116"/>
      <c r="AM45" s="116"/>
      <c r="AN45" s="122"/>
      <c r="AO45" s="118"/>
      <c r="AP45" s="123"/>
      <c r="AQ45" s="123"/>
      <c r="AR45" s="123"/>
      <c r="AS45" s="123"/>
      <c r="AT45" s="123"/>
      <c r="AU45" s="124"/>
      <c r="AV45" s="125"/>
      <c r="AW45" s="123" t="n">
        <v>4</v>
      </c>
      <c r="AX45" s="123"/>
      <c r="AY45" s="123"/>
      <c r="AZ45" s="118"/>
    </row>
    <row r="46" customFormat="false" ht="12.95" hidden="false" customHeight="true" outlineLevel="0" collapsed="false">
      <c r="A46" s="11" t="s">
        <v>101</v>
      </c>
      <c r="B46" s="89"/>
      <c r="C46" s="90"/>
      <c r="D46" s="90"/>
      <c r="E46" s="90"/>
      <c r="F46" s="91" t="n">
        <f aca="false">SUM(F15:F44)</f>
        <v>-915.049155533148</v>
      </c>
      <c r="G46" s="2" t="n">
        <f aca="false">SUM(G15:G44)</f>
        <v>2023</v>
      </c>
      <c r="H46" s="2" t="n">
        <f aca="false">SUM(H15:H44)</f>
        <v>38.19</v>
      </c>
      <c r="I46" s="2" t="n">
        <f aca="false">SUM(I15:I44)</f>
        <v>2061.19</v>
      </c>
      <c r="J46" s="2" t="n">
        <f aca="false">SUM(J15:J44)</f>
        <v>51.6376934711369</v>
      </c>
      <c r="K46" s="2" t="n">
        <f aca="false">SUM(K15:K44)</f>
        <v>2112.82769347114</v>
      </c>
      <c r="L46" s="2" t="n">
        <f aca="false">SUM(L15:L44)</f>
        <v>-326.859155533148</v>
      </c>
      <c r="M46" s="92" t="n">
        <f aca="false">SUM(M15:M44)</f>
        <v>236.1</v>
      </c>
      <c r="N46" s="90" t="n">
        <f aca="false">SUM(N15:N44)</f>
        <v>0</v>
      </c>
      <c r="O46" s="90" t="n">
        <f aca="false">SUM(O15:O44)</f>
        <v>0</v>
      </c>
      <c r="P46" s="93"/>
      <c r="Q46" s="94" t="n">
        <f aca="false">SUM(Q15:Q44)</f>
        <v>52.5296838512203</v>
      </c>
      <c r="R46" s="94" t="n">
        <f aca="false">SUM(R15:R44)</f>
        <v>47.3188499554088</v>
      </c>
      <c r="S46" s="94" t="n">
        <f aca="false">SUM(S15:S44)</f>
        <v>0</v>
      </c>
      <c r="T46" s="94" t="n">
        <f aca="false">SUM(T15:T44)</f>
        <v>21.174192</v>
      </c>
      <c r="U46" s="143" t="n">
        <f aca="false">SUM(U15:U44)</f>
        <v>-3.9419556468316</v>
      </c>
      <c r="V46" s="80" t="n">
        <f aca="false">SUM(V15:V44)</f>
        <v>1349</v>
      </c>
      <c r="W46" s="80" t="n">
        <f aca="false">SUM(W15:W44)</f>
        <v>58.28</v>
      </c>
      <c r="X46" s="80" t="n">
        <f aca="false">SUM(X15:X44)</f>
        <v>1526.2992298402</v>
      </c>
      <c r="Y46" s="80" t="n">
        <f aca="false">SUM(Y15:Y44)</f>
        <v>1324.5</v>
      </c>
      <c r="Z46" s="80"/>
      <c r="AA46" s="80"/>
      <c r="AB46" s="80"/>
      <c r="AC46" s="134" t="n">
        <f aca="false">SUM(AC15:AC44)</f>
        <v>662.6</v>
      </c>
      <c r="AD46" s="80"/>
      <c r="AE46" s="80"/>
      <c r="AF46" s="98"/>
      <c r="AG46" s="99"/>
      <c r="AH46" s="80" t="n">
        <f aca="false">SUM(AH15:AH44)</f>
        <v>1006</v>
      </c>
      <c r="AI46" s="80"/>
      <c r="AJ46" s="80" t="n">
        <f aca="false">SUM(AJ15:AJ44)</f>
        <v>0</v>
      </c>
      <c r="AK46" s="80" t="n">
        <f aca="false">SUM(AK15:AK44)</f>
        <v>2649.38</v>
      </c>
      <c r="AL46" s="80" t="n">
        <f aca="false">SUM(AL15:AL44)</f>
        <v>378.496849004285</v>
      </c>
      <c r="AM46" s="80" t="n">
        <f aca="false">SUM(AM15:AM44)</f>
        <v>3027.87684900428</v>
      </c>
      <c r="AN46" s="97" t="n">
        <f aca="false">SUM(AN15:AN44)</f>
        <v>1324.5</v>
      </c>
      <c r="AO46" s="97" t="n">
        <f aca="false">SUM(AO15:AO44)</f>
        <v>201.799229840203</v>
      </c>
      <c r="AP46" s="101"/>
      <c r="AQ46" s="101"/>
      <c r="AR46" s="101"/>
      <c r="AS46" s="101"/>
      <c r="AU46" s="144" t="n">
        <f aca="false">SUM(AU15:AU44)</f>
        <v>31.605</v>
      </c>
      <c r="AV46" s="139" t="n">
        <f aca="false">SUM(AV15:AV44)</f>
        <v>0.57</v>
      </c>
      <c r="AW46" s="103" t="n">
        <f aca="false">AVERAGE(AW15:AW45)</f>
        <v>45.5161290322581</v>
      </c>
      <c r="AX46" s="103" t="n">
        <f aca="false">AVERAGE(AX15:AX45)</f>
        <v>23.3333333333333</v>
      </c>
      <c r="AY46" s="145" t="s">
        <v>102</v>
      </c>
      <c r="AZ46" s="146" t="n">
        <f aca="false">SUM(AZ15:AZ44)</f>
        <v>117.080770159797</v>
      </c>
    </row>
    <row r="47" customFormat="false" ht="12.95" hidden="false" customHeight="true" outlineLevel="0" collapsed="false">
      <c r="A47" s="11" t="s">
        <v>103</v>
      </c>
      <c r="B47" s="89"/>
      <c r="C47" s="90"/>
      <c r="D47" s="90" t="n">
        <f aca="false">SUM(D15:D44)</f>
        <v>-1815</v>
      </c>
      <c r="E47" s="90"/>
      <c r="F47" s="91" t="n">
        <f aca="false">F46*$D$2</f>
        <v>-1815</v>
      </c>
      <c r="G47" s="2" t="n">
        <f aca="false">G46*$D$2</f>
        <v>4012.6205</v>
      </c>
      <c r="H47" s="2" t="n">
        <f aca="false">H46*$D$2</f>
        <v>75.749865</v>
      </c>
      <c r="I47" s="2" t="n">
        <f aca="false">I46*$D$2</f>
        <v>4088.370365</v>
      </c>
      <c r="J47" s="2" t="n">
        <f aca="false">J46*$D$2</f>
        <v>102.423365</v>
      </c>
      <c r="K47" s="2" t="n">
        <f aca="false">K46*$D$2</f>
        <v>4190.79373</v>
      </c>
      <c r="L47" s="2" t="n">
        <f aca="false">L46*$D$2</f>
        <v>-648.325135</v>
      </c>
      <c r="M47" s="92" t="n">
        <f aca="false">M46*$D$2</f>
        <v>468.30435</v>
      </c>
      <c r="N47" s="90" t="n">
        <f aca="false">N46*$D$2</f>
        <v>0</v>
      </c>
      <c r="O47" s="90" t="n">
        <f aca="false">O46*$D$2</f>
        <v>0</v>
      </c>
      <c r="P47" s="93"/>
      <c r="Q47" s="94" t="n">
        <f aca="false">Q46*$D$2</f>
        <v>104.192627918895</v>
      </c>
      <c r="R47" s="94" t="n">
        <f aca="false">R46*$D$2</f>
        <v>93.8569388865533</v>
      </c>
      <c r="S47" s="94" t="n">
        <f aca="false">S46*$D$2</f>
        <v>0</v>
      </c>
      <c r="T47" s="94" t="n">
        <f aca="false">T46*$D$2</f>
        <v>41.999009832</v>
      </c>
      <c r="U47" s="143" t="n">
        <f aca="false">U46*$D$2</f>
        <v>-7.81886902549049</v>
      </c>
      <c r="V47" s="80" t="n">
        <f aca="false">V46*$D$2</f>
        <v>2675.7415</v>
      </c>
      <c r="W47" s="80" t="n">
        <f aca="false">W46*$D$2</f>
        <v>115.59838</v>
      </c>
      <c r="X47" s="80" t="n">
        <f aca="false">X46*$D$2</f>
        <v>3027.41452238804</v>
      </c>
      <c r="Y47" s="80" t="n">
        <f aca="false">Y46*$D$2</f>
        <v>2627.14575</v>
      </c>
      <c r="Z47" s="80"/>
      <c r="AA47" s="80"/>
      <c r="AB47" s="80"/>
      <c r="AC47" s="80" t="n">
        <f aca="false">AC46*$D$2</f>
        <v>1314.2671</v>
      </c>
      <c r="AD47" s="80"/>
      <c r="AE47" s="80"/>
      <c r="AF47" s="98"/>
      <c r="AG47" s="99"/>
      <c r="AH47" s="80" t="n">
        <f aca="false">AH46*$D$2</f>
        <v>1995.401</v>
      </c>
      <c r="AI47" s="80"/>
      <c r="AJ47" s="80" t="n">
        <f aca="false">AJ46*$D$2</f>
        <v>0</v>
      </c>
      <c r="AK47" s="80" t="n">
        <f aca="false">AK46*$D$2</f>
        <v>5255.04523</v>
      </c>
      <c r="AL47" s="80" t="n">
        <f aca="false">AL46*$D$2</f>
        <v>750.7485</v>
      </c>
      <c r="AM47" s="94" t="n">
        <f aca="false">AM46*$D$2</f>
        <v>6005.79373</v>
      </c>
      <c r="AN47" s="97" t="n">
        <f aca="false">AN46*$D$2</f>
        <v>2627.14575</v>
      </c>
      <c r="AO47" s="97" t="n">
        <f aca="false">AO46*$D$2</f>
        <v>400.268772388042</v>
      </c>
      <c r="AP47" s="101"/>
      <c r="AQ47" s="101"/>
      <c r="AR47" s="101"/>
      <c r="AS47" s="101"/>
      <c r="AU47" s="147" t="n">
        <f aca="false">AU46*$D$2</f>
        <v>62.6885175</v>
      </c>
      <c r="AV47" s="102"/>
      <c r="AW47" s="103" t="n">
        <f aca="false">MAX(AW15:AW45)</f>
        <v>67</v>
      </c>
      <c r="AX47" s="103" t="n">
        <f aca="false">MAX(AX15:AX45)</f>
        <v>40</v>
      </c>
      <c r="AY47" s="148" t="s">
        <v>104</v>
      </c>
      <c r="AZ47" s="146" t="n">
        <f aca="false">AZ46*$D$2</f>
        <v>232.229707611958</v>
      </c>
    </row>
    <row r="48" customFormat="false" ht="3" hidden="false" customHeight="true" outlineLevel="0" collapsed="false">
      <c r="A48" s="109"/>
      <c r="B48" s="142"/>
      <c r="C48" s="111"/>
      <c r="D48" s="111"/>
      <c r="E48" s="111"/>
      <c r="F48" s="149"/>
      <c r="G48" s="111"/>
      <c r="H48" s="111"/>
      <c r="I48" s="111"/>
      <c r="J48" s="111"/>
      <c r="K48" s="111"/>
      <c r="L48" s="111"/>
      <c r="M48" s="150"/>
      <c r="N48" s="111"/>
      <c r="O48" s="111"/>
      <c r="P48" s="115"/>
      <c r="Q48" s="119"/>
      <c r="R48" s="119"/>
      <c r="S48" s="119"/>
      <c r="T48" s="119"/>
      <c r="U48" s="151"/>
      <c r="V48" s="119"/>
      <c r="W48" s="119"/>
      <c r="X48" s="119"/>
      <c r="Y48" s="119"/>
      <c r="Z48" s="119"/>
      <c r="AA48" s="119"/>
      <c r="AB48" s="119"/>
      <c r="AC48" s="116"/>
      <c r="AD48" s="119"/>
      <c r="AE48" s="119"/>
      <c r="AF48" s="152"/>
      <c r="AG48" s="153"/>
      <c r="AH48" s="119"/>
      <c r="AI48" s="116"/>
      <c r="AJ48" s="119"/>
      <c r="AK48" s="119"/>
      <c r="AL48" s="119"/>
      <c r="AM48" s="119"/>
      <c r="AN48" s="118"/>
      <c r="AO48" s="118"/>
      <c r="AP48" s="119"/>
      <c r="AQ48" s="119"/>
      <c r="AR48" s="119"/>
      <c r="AS48" s="119"/>
      <c r="AT48" s="119"/>
      <c r="AU48" s="124"/>
      <c r="AV48" s="154"/>
      <c r="AW48" s="123"/>
      <c r="AX48" s="119"/>
      <c r="AY48" s="118"/>
      <c r="AZ48" s="118"/>
    </row>
    <row r="49" customFormat="false" ht="12.95" hidden="false" customHeight="true" outlineLevel="0" collapsed="false">
      <c r="A49" s="11" t="s">
        <v>105</v>
      </c>
      <c r="B49" s="89"/>
      <c r="C49" s="90"/>
      <c r="D49" s="90"/>
      <c r="E49" s="90"/>
      <c r="F49" s="91"/>
      <c r="G49" s="2"/>
      <c r="H49" s="9"/>
      <c r="I49" s="2"/>
      <c r="J49" s="2"/>
      <c r="K49" s="2"/>
      <c r="L49" s="2"/>
      <c r="M49" s="92"/>
      <c r="N49" s="90"/>
      <c r="O49" s="90"/>
      <c r="P49" s="93"/>
      <c r="Q49" s="94"/>
      <c r="R49" s="94"/>
      <c r="S49" s="94"/>
      <c r="T49" s="94"/>
      <c r="U49" s="143"/>
      <c r="V49" s="80"/>
      <c r="W49" s="80"/>
      <c r="X49" s="80"/>
      <c r="Y49" s="80"/>
      <c r="Z49" s="80"/>
      <c r="AA49" s="80"/>
      <c r="AB49" s="80"/>
      <c r="AC49" s="134"/>
      <c r="AD49" s="80"/>
      <c r="AE49" s="80"/>
      <c r="AF49" s="98"/>
      <c r="AG49" s="99"/>
      <c r="AH49" s="80"/>
      <c r="AI49" s="80"/>
      <c r="AJ49" s="80"/>
      <c r="AK49" s="80"/>
      <c r="AL49" s="80"/>
      <c r="AM49" s="94"/>
      <c r="AN49" s="97"/>
      <c r="AO49" s="97"/>
      <c r="AP49" s="101"/>
      <c r="AQ49" s="101"/>
      <c r="AR49" s="101"/>
      <c r="AS49" s="101"/>
      <c r="AU49" s="5"/>
      <c r="AV49" s="102"/>
      <c r="AW49" s="103" t="n">
        <f aca="false">MIN(AW15:AW45)</f>
        <v>4</v>
      </c>
      <c r="AX49" s="103" t="n">
        <f aca="false">MIN(AX15:AX45)</f>
        <v>2</v>
      </c>
      <c r="AY49" s="148" t="s">
        <v>106</v>
      </c>
      <c r="AZ49" s="146"/>
    </row>
    <row r="50" customFormat="false" ht="12.95" hidden="false" customHeight="true" outlineLevel="0" collapsed="false">
      <c r="A50" s="11" t="s">
        <v>107</v>
      </c>
      <c r="B50" s="89"/>
      <c r="C50" s="90"/>
      <c r="D50" s="90"/>
      <c r="E50" s="90"/>
      <c r="F50" s="91"/>
      <c r="G50" s="2"/>
      <c r="H50" s="9"/>
      <c r="I50" s="2"/>
      <c r="J50" s="2"/>
      <c r="K50" s="2"/>
      <c r="L50" s="2"/>
      <c r="M50" s="92"/>
      <c r="N50" s="90"/>
      <c r="O50" s="90"/>
      <c r="P50" s="93"/>
      <c r="Q50" s="94"/>
      <c r="R50" s="94"/>
      <c r="S50" s="94"/>
      <c r="T50" s="94"/>
      <c r="U50" s="143"/>
      <c r="V50" s="80"/>
      <c r="W50" s="80"/>
      <c r="X50" s="80"/>
      <c r="Y50" s="80"/>
      <c r="Z50" s="80"/>
      <c r="AA50" s="80"/>
      <c r="AB50" s="80"/>
      <c r="AC50" s="134"/>
      <c r="AD50" s="80"/>
      <c r="AE50" s="80"/>
      <c r="AF50" s="98"/>
      <c r="AG50" s="99"/>
      <c r="AH50" s="80"/>
      <c r="AI50" s="80"/>
      <c r="AJ50" s="80"/>
      <c r="AK50" s="80"/>
      <c r="AL50" s="80"/>
      <c r="AM50" s="80"/>
      <c r="AN50" s="97"/>
      <c r="AO50" s="97"/>
      <c r="AP50" s="101"/>
      <c r="AQ50" s="101"/>
      <c r="AR50" s="101"/>
      <c r="AS50" s="101"/>
      <c r="AU50" s="155"/>
      <c r="AV50" s="156"/>
      <c r="AW50" s="103"/>
      <c r="AX50" s="103"/>
      <c r="AY50" s="103"/>
      <c r="AZ50" s="146"/>
    </row>
    <row r="51" customFormat="false" ht="3" hidden="false" customHeight="true" outlineLevel="0" collapsed="false">
      <c r="A51" s="109"/>
      <c r="B51" s="142"/>
      <c r="C51" s="111"/>
      <c r="D51" s="111"/>
      <c r="E51" s="111"/>
      <c r="F51" s="149"/>
      <c r="G51" s="111"/>
      <c r="H51" s="157"/>
      <c r="I51" s="111"/>
      <c r="J51" s="111"/>
      <c r="K51" s="111"/>
      <c r="L51" s="111"/>
      <c r="M51" s="150"/>
      <c r="N51" s="111"/>
      <c r="O51" s="111"/>
      <c r="P51" s="115"/>
      <c r="Q51" s="119"/>
      <c r="R51" s="119"/>
      <c r="S51" s="119"/>
      <c r="T51" s="119"/>
      <c r="U51" s="151"/>
      <c r="V51" s="119"/>
      <c r="W51" s="119"/>
      <c r="X51" s="119"/>
      <c r="Y51" s="119"/>
      <c r="Z51" s="119"/>
      <c r="AA51" s="119"/>
      <c r="AB51" s="119"/>
      <c r="AC51" s="116"/>
      <c r="AD51" s="119"/>
      <c r="AE51" s="119"/>
      <c r="AF51" s="152"/>
      <c r="AG51" s="153"/>
      <c r="AH51" s="119"/>
      <c r="AI51" s="119"/>
      <c r="AJ51" s="119"/>
      <c r="AK51" s="119"/>
      <c r="AL51" s="119"/>
      <c r="AM51" s="119"/>
      <c r="AN51" s="118"/>
      <c r="AO51" s="118"/>
      <c r="AP51" s="119"/>
      <c r="AQ51" s="119"/>
      <c r="AR51" s="119"/>
      <c r="AS51" s="119"/>
      <c r="AT51" s="119"/>
      <c r="AU51" s="124"/>
      <c r="AV51" s="125"/>
      <c r="AW51" s="123"/>
      <c r="AX51" s="119"/>
      <c r="AY51" s="119"/>
      <c r="AZ51" s="118"/>
    </row>
    <row r="52" customFormat="false" ht="12.95" hidden="false" customHeight="true" outlineLevel="0" collapsed="false">
      <c r="A52" s="11" t="s">
        <v>108</v>
      </c>
      <c r="B52" s="89"/>
      <c r="C52" s="90"/>
      <c r="D52" s="90"/>
      <c r="E52" s="90"/>
      <c r="F52" s="91" t="n">
        <f aca="false">F13+F46</f>
        <v>-915.049155533148</v>
      </c>
      <c r="G52" s="2" t="n">
        <f aca="false">G13+G46</f>
        <v>2023</v>
      </c>
      <c r="H52" s="9" t="n">
        <f aca="false">H13+H46</f>
        <v>38.19</v>
      </c>
      <c r="I52" s="2" t="n">
        <f aca="false">I13+I46</f>
        <v>2061.19</v>
      </c>
      <c r="J52" s="2" t="n">
        <f aca="false">J13+J46</f>
        <v>51.6376934711369</v>
      </c>
      <c r="K52" s="2" t="n">
        <f aca="false">K13+K46</f>
        <v>2112.82769347114</v>
      </c>
      <c r="L52" s="2" t="n">
        <f aca="false">L13+L46</f>
        <v>-326.859155533148</v>
      </c>
      <c r="M52" s="92" t="n">
        <f aca="false">M13+M46</f>
        <v>236.1</v>
      </c>
      <c r="N52" s="90" t="n">
        <f aca="false">N13+N46</f>
        <v>0</v>
      </c>
      <c r="O52" s="90" t="n">
        <v>0</v>
      </c>
      <c r="P52" s="93"/>
      <c r="Q52" s="94" t="n">
        <f aca="false">Q13+Q46</f>
        <v>52.5296838512203</v>
      </c>
      <c r="R52" s="94" t="n">
        <f aca="false">R13+R46</f>
        <v>47.3188499554088</v>
      </c>
      <c r="S52" s="94" t="n">
        <f aca="false">S13+S46</f>
        <v>0</v>
      </c>
      <c r="T52" s="94" t="n">
        <f aca="false">T13+T46</f>
        <v>21.174192</v>
      </c>
      <c r="U52" s="143" t="n">
        <f aca="false">U13+U46</f>
        <v>-3.9419556468316</v>
      </c>
      <c r="V52" s="80" t="n">
        <f aca="false">V13+V46</f>
        <v>1349</v>
      </c>
      <c r="W52" s="80" t="n">
        <f aca="false">W13+W46</f>
        <v>58.28</v>
      </c>
      <c r="X52" s="80" t="n">
        <f aca="false">X13+X46</f>
        <v>1526.2992298402</v>
      </c>
      <c r="Y52" s="80" t="n">
        <f aca="false">Y13+Y46</f>
        <v>1324.5</v>
      </c>
      <c r="Z52" s="80"/>
      <c r="AA52" s="80"/>
      <c r="AB52" s="80"/>
      <c r="AC52" s="134" t="n">
        <f aca="false">AC13+AC46</f>
        <v>662.6</v>
      </c>
      <c r="AD52" s="80"/>
      <c r="AE52" s="80"/>
      <c r="AF52" s="98"/>
      <c r="AG52" s="99"/>
      <c r="AH52" s="80" t="n">
        <f aca="false">AH13+AH46</f>
        <v>1006</v>
      </c>
      <c r="AI52" s="80" t="n">
        <f aca="false">AI44</f>
        <v>4258</v>
      </c>
      <c r="AJ52" s="80" t="n">
        <f aca="false">AJ13+AJ46</f>
        <v>0</v>
      </c>
      <c r="AK52" s="80" t="n">
        <f aca="false">AK13+AK46</f>
        <v>2649.38</v>
      </c>
      <c r="AL52" s="80" t="n">
        <f aca="false">AL13+AL46</f>
        <v>378.496849004285</v>
      </c>
      <c r="AM52" s="80" t="n">
        <f aca="false">AM13+AM46</f>
        <v>3027.87684900428</v>
      </c>
      <c r="AN52" s="97" t="n">
        <f aca="false">AN13+AN46</f>
        <v>1324.5</v>
      </c>
      <c r="AO52" s="97" t="n">
        <f aca="false">AO13+AO46</f>
        <v>201.799229840203</v>
      </c>
      <c r="AP52" s="101"/>
      <c r="AQ52" s="101"/>
      <c r="AR52" s="101"/>
      <c r="AS52" s="101"/>
      <c r="AU52" s="5"/>
      <c r="AV52" s="102" t="n">
        <f aca="false">AV13+AV46</f>
        <v>0.57</v>
      </c>
      <c r="AW52" s="103"/>
      <c r="AX52" s="103"/>
      <c r="AY52" s="103"/>
      <c r="AZ52" s="146" t="n">
        <f aca="false">AZ13+AZ46</f>
        <v>117.080770159797</v>
      </c>
    </row>
    <row r="53" customFormat="false" ht="12.95" hidden="false" customHeight="true" outlineLevel="0" collapsed="false">
      <c r="A53" s="11" t="s">
        <v>109</v>
      </c>
      <c r="B53" s="89"/>
      <c r="C53" s="90"/>
      <c r="D53" s="90" t="n">
        <f aca="false">D13+D47</f>
        <v>-1815</v>
      </c>
      <c r="E53" s="90" t="n">
        <f aca="false">E44</f>
        <v>123576</v>
      </c>
      <c r="F53" s="91" t="n">
        <f aca="false">F52*$D$2</f>
        <v>-1815</v>
      </c>
      <c r="G53" s="2" t="n">
        <f aca="false">G52*$D$2</f>
        <v>4012.6205</v>
      </c>
      <c r="H53" s="9" t="n">
        <f aca="false">H52*$D$2</f>
        <v>75.749865</v>
      </c>
      <c r="I53" s="2" t="n">
        <f aca="false">I52*$D$2</f>
        <v>4088.370365</v>
      </c>
      <c r="J53" s="2" t="n">
        <f aca="false">J52*$D$2</f>
        <v>102.423365</v>
      </c>
      <c r="K53" s="2" t="n">
        <f aca="false">K52*$D$2</f>
        <v>4190.79373</v>
      </c>
      <c r="L53" s="2" t="n">
        <f aca="false">L52*$D$2</f>
        <v>-648.325135</v>
      </c>
      <c r="M53" s="92" t="n">
        <f aca="false">M52*$D$2</f>
        <v>468.30435</v>
      </c>
      <c r="N53" s="90" t="n">
        <f aca="false">N52*$D$2</f>
        <v>0</v>
      </c>
      <c r="O53" s="90" t="n">
        <f aca="false">O52*$D$2</f>
        <v>0</v>
      </c>
      <c r="P53" s="93"/>
      <c r="Q53" s="94" t="n">
        <f aca="false">Q52*$D$2</f>
        <v>104.192627918895</v>
      </c>
      <c r="R53" s="94" t="n">
        <f aca="false">R52*$D$2</f>
        <v>93.8569388865533</v>
      </c>
      <c r="S53" s="94" t="n">
        <f aca="false">S52*$D$2</f>
        <v>0</v>
      </c>
      <c r="T53" s="94" t="n">
        <f aca="false">T52*$D$2</f>
        <v>41.999009832</v>
      </c>
      <c r="U53" s="143" t="n">
        <f aca="false">U52*$D$2</f>
        <v>-7.81886902549049</v>
      </c>
      <c r="V53" s="80" t="n">
        <f aca="false">V52*$D$2</f>
        <v>2675.7415</v>
      </c>
      <c r="W53" s="80" t="n">
        <f aca="false">W52*$D$2</f>
        <v>115.59838</v>
      </c>
      <c r="X53" s="80" t="n">
        <f aca="false">X52*$D$2</f>
        <v>3027.41452238804</v>
      </c>
      <c r="Y53" s="80" t="n">
        <f aca="false">Y52*$D$2</f>
        <v>2627.14575</v>
      </c>
      <c r="Z53" s="80"/>
      <c r="AA53" s="80"/>
      <c r="AB53" s="80"/>
      <c r="AC53" s="80" t="n">
        <f aca="false">AC52*$D$2</f>
        <v>1314.2671</v>
      </c>
      <c r="AD53" s="80"/>
      <c r="AE53" s="80"/>
      <c r="AF53" s="98"/>
      <c r="AG53" s="99"/>
      <c r="AH53" s="80" t="n">
        <f aca="false">AH52*$D$2</f>
        <v>1995.401</v>
      </c>
      <c r="AI53" s="80" t="n">
        <f aca="false">AI52*$D$2</f>
        <v>8445.743</v>
      </c>
      <c r="AJ53" s="80" t="n">
        <f aca="false">AJ52*$D$2</f>
        <v>0</v>
      </c>
      <c r="AK53" s="80" t="n">
        <f aca="false">AK52*$D$2</f>
        <v>5255.04523</v>
      </c>
      <c r="AL53" s="80" t="n">
        <f aca="false">AL52*$D$2</f>
        <v>750.7485</v>
      </c>
      <c r="AM53" s="80" t="n">
        <f aca="false">AM52*$D$2</f>
        <v>6005.79373</v>
      </c>
      <c r="AN53" s="97" t="n">
        <f aca="false">AN52*$D$2</f>
        <v>2627.14575</v>
      </c>
      <c r="AO53" s="97" t="n">
        <f aca="false">AO52*$D$2</f>
        <v>400.268772388042</v>
      </c>
      <c r="AP53" s="101"/>
      <c r="AQ53" s="101"/>
      <c r="AR53" s="101"/>
      <c r="AS53" s="101"/>
      <c r="AV53" s="102"/>
      <c r="AW53" s="103"/>
      <c r="AX53" s="158"/>
      <c r="AY53" s="158"/>
      <c r="AZ53" s="159" t="n">
        <f aca="false">AZ52*$D$2</f>
        <v>232.229707611958</v>
      </c>
    </row>
    <row r="54" customFormat="false" ht="3" hidden="false" customHeight="true" outlineLevel="0" collapsed="false">
      <c r="A54" s="109"/>
      <c r="B54" s="142"/>
      <c r="C54" s="111"/>
      <c r="D54" s="109"/>
      <c r="E54" s="111"/>
      <c r="F54" s="112"/>
      <c r="G54" s="109"/>
      <c r="H54" s="113"/>
      <c r="I54" s="109"/>
      <c r="J54" s="109"/>
      <c r="K54" s="109"/>
      <c r="L54" s="109"/>
      <c r="M54" s="114"/>
      <c r="N54" s="109"/>
      <c r="O54" s="109"/>
      <c r="P54" s="115"/>
      <c r="Q54" s="109"/>
      <c r="R54" s="109"/>
      <c r="S54" s="160"/>
      <c r="T54" s="160"/>
      <c r="U54" s="117"/>
      <c r="V54" s="109"/>
      <c r="W54" s="109"/>
      <c r="X54" s="109"/>
      <c r="Y54" s="161"/>
      <c r="Z54" s="111"/>
      <c r="AA54" s="161"/>
      <c r="AB54" s="111"/>
      <c r="AC54" s="111"/>
      <c r="AD54" s="111"/>
      <c r="AE54" s="109"/>
      <c r="AF54" s="114"/>
      <c r="AG54" s="160"/>
      <c r="AH54" s="109"/>
      <c r="AI54" s="111"/>
      <c r="AJ54" s="111"/>
      <c r="AK54" s="109"/>
      <c r="AL54" s="109"/>
      <c r="AM54" s="109"/>
      <c r="AN54" s="162"/>
      <c r="AO54" s="161"/>
      <c r="AP54" s="109"/>
      <c r="AQ54" s="163"/>
      <c r="AR54" s="163"/>
      <c r="AS54" s="164"/>
      <c r="AT54" s="164"/>
      <c r="AU54" s="124"/>
      <c r="AV54" s="109"/>
      <c r="AW54" s="157"/>
      <c r="AX54" s="109"/>
      <c r="AY54" s="109"/>
      <c r="AZ54" s="165"/>
    </row>
    <row r="55" customFormat="false" ht="14.1" hidden="false" customHeight="true" outlineLevel="0" collapsed="false">
      <c r="A55" s="166"/>
      <c r="B55" s="167"/>
      <c r="D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T55" s="11"/>
      <c r="V55" s="11"/>
      <c r="W55" s="11"/>
      <c r="X55" s="11"/>
      <c r="Z55" s="2"/>
      <c r="AB55" s="2"/>
      <c r="AC55" s="2"/>
      <c r="AD55" s="2"/>
      <c r="AE55" s="11"/>
      <c r="AF55" s="11"/>
      <c r="AG55" s="11"/>
      <c r="AH55" s="11"/>
      <c r="AI55" s="2"/>
      <c r="AJ55" s="2"/>
      <c r="AK55" s="11"/>
      <c r="AL55" s="11"/>
      <c r="AN55" s="168"/>
      <c r="AO55" s="168"/>
      <c r="AU55" s="6"/>
      <c r="AX55" s="9"/>
      <c r="AY55" s="9"/>
    </row>
    <row r="56" customFormat="false" ht="11.1" hidden="false" customHeight="true" outlineLevel="0" collapsed="false">
      <c r="A56" s="11"/>
      <c r="B56" s="169"/>
      <c r="F56" s="11"/>
      <c r="G56" s="11"/>
      <c r="I56" s="12"/>
      <c r="J56" s="11"/>
      <c r="K56" s="170"/>
      <c r="L56" s="11"/>
      <c r="M56" s="11"/>
      <c r="N56" s="11"/>
      <c r="O56" s="11"/>
      <c r="Q56" s="11"/>
      <c r="R56" s="11"/>
      <c r="S56" s="11"/>
      <c r="T56" s="11"/>
      <c r="V56" s="11"/>
      <c r="W56" s="11"/>
      <c r="X56" s="11"/>
      <c r="Z56" s="2"/>
      <c r="AB56" s="2"/>
      <c r="AC56" s="2"/>
      <c r="AD56" s="2"/>
      <c r="AE56" s="11"/>
      <c r="AF56" s="11"/>
      <c r="AG56" s="11"/>
      <c r="AH56" s="11"/>
      <c r="AI56" s="2"/>
      <c r="AJ56" s="2"/>
      <c r="AK56" s="11"/>
      <c r="AL56" s="11"/>
      <c r="AN56" s="168"/>
      <c r="AO56" s="168"/>
      <c r="AU56" s="5"/>
      <c r="AX56" s="9"/>
      <c r="AY56" s="9"/>
    </row>
    <row r="57" customFormat="false" ht="11.1" hidden="false" customHeight="true" outlineLevel="0" collapsed="false">
      <c r="D57" s="2"/>
      <c r="S57" s="4"/>
      <c r="T57" s="4"/>
      <c r="X57" s="1"/>
      <c r="Z57" s="2"/>
      <c r="AB57" s="2"/>
      <c r="AC57" s="2"/>
      <c r="AD57" s="2"/>
      <c r="AF57" s="1"/>
      <c r="AG57" s="1"/>
      <c r="AH57" s="1"/>
      <c r="AI57" s="2"/>
      <c r="AJ57" s="2"/>
      <c r="AN57" s="168"/>
      <c r="AO57" s="168"/>
      <c r="AX57" s="9"/>
      <c r="AY57" s="9"/>
    </row>
    <row r="58" customFormat="false" ht="11.1" hidden="false" customHeight="true" outlineLevel="0" collapsed="false">
      <c r="B58" s="5"/>
      <c r="D58" s="2"/>
      <c r="S58" s="4"/>
      <c r="T58" s="4"/>
      <c r="X58" s="1"/>
      <c r="Z58" s="2"/>
      <c r="AB58" s="2"/>
      <c r="AC58" s="2"/>
      <c r="AD58" s="2"/>
      <c r="AF58" s="1"/>
      <c r="AG58" s="1"/>
      <c r="AH58" s="1"/>
      <c r="AI58" s="2"/>
      <c r="AJ58" s="2"/>
      <c r="AN58" s="168"/>
      <c r="AO58" s="168"/>
      <c r="AX58" s="9"/>
      <c r="AY58" s="9"/>
    </row>
    <row r="59" customFormat="false" ht="11.1" hidden="false" customHeight="true" outlineLevel="0" collapsed="false">
      <c r="G59" s="171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D36" activePane="bottomRight" state="frozen"/>
      <selection pane="topLeft" activeCell="A1" activeCellId="0" sqref="A1"/>
      <selection pane="topRight" activeCell="D1" activeCellId="0" sqref="D1"/>
      <selection pane="bottomLeft" activeCell="A36" activeCellId="0" sqref="A36"/>
      <selection pane="bottomRight" activeCell="AC39" activeCellId="0" sqref="AC39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174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20" min="17" style="172" width="4.32"/>
    <col collapsed="false" customWidth="true" hidden="false" outlineLevel="0" max="21" min="21" style="8" width="5.16"/>
    <col collapsed="false" customWidth="true" hidden="false" outlineLevel="0" max="23" min="22" style="172" width="5.49"/>
    <col collapsed="false" customWidth="true" hidden="false" outlineLevel="0" max="25" min="24" style="173" width="6.32"/>
    <col collapsed="false" customWidth="true" hidden="false" outlineLevel="0" max="26" min="26" style="175" width="5.49"/>
    <col collapsed="false" customWidth="true" hidden="false" outlineLevel="0" max="27" min="27" style="173" width="6.32"/>
    <col collapsed="false" customWidth="true" hidden="false" outlineLevel="0" max="28" min="28" style="175" width="5.49"/>
    <col collapsed="false" customWidth="true" hidden="false" outlineLevel="0" max="29" min="29" style="175" width="5.82"/>
    <col collapsed="false" customWidth="true" hidden="false" outlineLevel="0" max="33" min="30" style="172" width="5.49"/>
    <col collapsed="false" customWidth="true" hidden="false" outlineLevel="0" max="34" min="34" style="173" width="6.32"/>
    <col collapsed="false" customWidth="true" hidden="false" outlineLevel="0" max="35" min="35" style="172" width="5.49"/>
    <col collapsed="false" customWidth="true" hidden="false" outlineLevel="0" max="36" min="36" style="176" width="6.32"/>
    <col collapsed="false" customWidth="true" hidden="false" outlineLevel="0" max="37" min="37" style="172" width="6.32"/>
    <col collapsed="false" customWidth="true" hidden="false" outlineLevel="0" max="38" min="38" style="172" width="6.82"/>
    <col collapsed="false" customWidth="true" hidden="false" outlineLevel="0" max="39" min="39" style="8" width="6.82"/>
    <col collapsed="false" customWidth="true" hidden="false" outlineLevel="0" max="40" min="40" style="172" width="5.49"/>
    <col collapsed="false" customWidth="true" hidden="false" outlineLevel="0" max="41" min="41" style="175" width="5.49"/>
    <col collapsed="false" customWidth="true" hidden="false" outlineLevel="0" max="42" min="42" style="172" width="6.32"/>
    <col collapsed="false" customWidth="true" hidden="false" outlineLevel="0" max="43" min="43" style="177" width="6.32"/>
    <col collapsed="false" customWidth="true" hidden="false" outlineLevel="0" max="44" min="44" style="177" width="5.49"/>
    <col collapsed="false" customWidth="true" hidden="false" outlineLevel="0" max="45" min="45" style="177" width="5.32"/>
    <col collapsed="false" customWidth="true" hidden="false" outlineLevel="0" max="46" min="46" style="177" width="5.82"/>
    <col collapsed="false" customWidth="true" hidden="false" outlineLevel="0" max="47" min="47" style="172" width="4.99"/>
    <col collapsed="false" customWidth="true" hidden="false" outlineLevel="0" max="48" min="48" style="174" width="5.32"/>
    <col collapsed="false" customWidth="true" hidden="false" outlineLevel="0" max="49" min="49" style="178" width="3.82"/>
    <col collapsed="false" customWidth="true" hidden="false" outlineLevel="0" max="51" min="50" style="179" width="3.82"/>
    <col collapsed="false" customWidth="true" hidden="false" outlineLevel="0" max="52" min="52" style="176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81"/>
      <c r="B1" s="181"/>
      <c r="D1" s="181"/>
      <c r="F1" s="181"/>
      <c r="G1" s="181"/>
      <c r="H1" s="182"/>
      <c r="I1" s="181"/>
      <c r="J1" s="181"/>
      <c r="K1" s="183" t="s">
        <v>0</v>
      </c>
      <c r="L1" s="181"/>
      <c r="M1" s="181"/>
      <c r="N1" s="181"/>
      <c r="O1" s="181"/>
      <c r="Q1" s="181"/>
      <c r="R1" s="181"/>
      <c r="S1" s="181"/>
      <c r="T1" s="181"/>
      <c r="V1" s="181"/>
      <c r="W1" s="181"/>
      <c r="AD1" s="181"/>
      <c r="AE1" s="181"/>
      <c r="AF1" s="181"/>
      <c r="AG1" s="181"/>
      <c r="AI1" s="181"/>
      <c r="AJ1" s="184"/>
      <c r="AK1" s="181"/>
      <c r="AL1" s="181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H2" s="182"/>
      <c r="I2" s="181"/>
      <c r="J2" s="181"/>
      <c r="K2" s="186" t="s">
        <v>110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1"/>
      <c r="AF2" s="181"/>
      <c r="AG2" s="181"/>
      <c r="AI2" s="181"/>
      <c r="AJ2" s="184"/>
      <c r="AK2" s="181"/>
      <c r="AL2" s="181"/>
    </row>
    <row r="3" customFormat="false" ht="14.1" hidden="false" customHeight="true" outlineLevel="0" collapsed="false">
      <c r="A3" s="187"/>
      <c r="B3" s="187"/>
      <c r="C3" s="188"/>
      <c r="D3" s="189"/>
      <c r="E3" s="188"/>
      <c r="F3" s="187"/>
      <c r="G3" s="187"/>
      <c r="H3" s="190"/>
      <c r="I3" s="187"/>
      <c r="J3" s="187"/>
      <c r="K3" s="187"/>
      <c r="L3" s="187"/>
      <c r="M3" s="187"/>
      <c r="N3" s="187"/>
      <c r="O3" s="187"/>
      <c r="P3" s="191"/>
      <c r="Q3" s="187"/>
      <c r="R3" s="187"/>
      <c r="S3" s="187"/>
      <c r="T3" s="187"/>
      <c r="U3" s="191"/>
      <c r="V3" s="187"/>
      <c r="W3" s="187"/>
      <c r="X3" s="188"/>
      <c r="Y3" s="188"/>
      <c r="Z3" s="192"/>
      <c r="AA3" s="188"/>
      <c r="AB3" s="192"/>
      <c r="AC3" s="192"/>
      <c r="AD3" s="187"/>
      <c r="AE3" s="187"/>
      <c r="AF3" s="187"/>
      <c r="AG3" s="187"/>
      <c r="AH3" s="188"/>
      <c r="AI3" s="187"/>
      <c r="AJ3" s="193"/>
      <c r="AK3" s="187"/>
      <c r="AL3" s="187"/>
      <c r="AM3" s="191"/>
      <c r="AN3" s="194"/>
      <c r="AO3" s="192"/>
      <c r="AP3" s="194"/>
      <c r="AQ3" s="195"/>
      <c r="AV3" s="196"/>
      <c r="AW3" s="197"/>
      <c r="AX3" s="198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199"/>
      <c r="AZ4" s="200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1" t="s">
        <v>18</v>
      </c>
      <c r="N5" s="201"/>
      <c r="O5" s="201"/>
      <c r="P5" s="201"/>
      <c r="Q5" s="201"/>
      <c r="R5" s="201"/>
      <c r="S5" s="201"/>
      <c r="T5" s="201"/>
      <c r="U5" s="201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02" t="s">
        <v>33</v>
      </c>
      <c r="AV5" s="70" t="s">
        <v>34</v>
      </c>
      <c r="AW5" s="71" t="s">
        <v>35</v>
      </c>
      <c r="AX5" s="71" t="s">
        <v>36</v>
      </c>
      <c r="AY5" s="203"/>
      <c r="AZ5" s="204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112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113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02" t="s">
        <v>71</v>
      </c>
      <c r="AV6" s="78"/>
      <c r="AW6" s="71" t="s">
        <v>72</v>
      </c>
      <c r="AX6" s="71" t="s">
        <v>72</v>
      </c>
      <c r="AY6" s="203"/>
      <c r="AZ6" s="204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/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02" t="s">
        <v>88</v>
      </c>
      <c r="AV7" s="78"/>
      <c r="AW7" s="71"/>
      <c r="AX7" s="71"/>
      <c r="AY7" s="203"/>
      <c r="AZ7" s="204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02"/>
      <c r="AV8" s="78"/>
      <c r="AW8" s="71"/>
      <c r="AX8" s="71"/>
      <c r="AY8" s="203"/>
      <c r="AZ8" s="204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02"/>
      <c r="AV9" s="78"/>
      <c r="AW9" s="71"/>
      <c r="AX9" s="71"/>
      <c r="AY9" s="203"/>
      <c r="AZ9" s="204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03"/>
      <c r="AZ10" s="204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03"/>
      <c r="AZ11" s="204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4" t="s">
        <v>99</v>
      </c>
      <c r="B12" s="205"/>
      <c r="C12" s="107"/>
      <c r="D12" s="107"/>
      <c r="E12" s="107"/>
      <c r="F12" s="206"/>
      <c r="G12" s="107"/>
      <c r="H12" s="207"/>
      <c r="I12" s="107"/>
      <c r="J12" s="107"/>
      <c r="K12" s="107"/>
      <c r="L12" s="107"/>
      <c r="M12" s="208"/>
      <c r="N12" s="107"/>
      <c r="O12" s="107"/>
      <c r="P12" s="155"/>
      <c r="Q12" s="107"/>
      <c r="R12" s="107"/>
      <c r="S12" s="107"/>
      <c r="T12" s="107"/>
      <c r="U12" s="209"/>
      <c r="V12" s="107"/>
      <c r="W12" s="107"/>
      <c r="X12" s="107"/>
      <c r="Y12" s="107"/>
      <c r="Z12" s="136"/>
      <c r="AA12" s="107"/>
      <c r="AB12" s="136"/>
      <c r="AC12" s="136"/>
      <c r="AD12" s="107"/>
      <c r="AE12" s="107"/>
      <c r="AF12" s="208"/>
      <c r="AG12" s="210"/>
      <c r="AH12" s="107"/>
      <c r="AI12" s="107"/>
      <c r="AJ12" s="211"/>
      <c r="AK12" s="107"/>
      <c r="AL12" s="107"/>
      <c r="AM12" s="107"/>
      <c r="AN12" s="212"/>
      <c r="AO12" s="136"/>
      <c r="AP12" s="213"/>
      <c r="AV12" s="214"/>
      <c r="AW12" s="207"/>
      <c r="AX12" s="207"/>
      <c r="AY12" s="215"/>
      <c r="AZ12" s="216"/>
    </row>
    <row r="13" s="222" customFormat="true" ht="12.95" hidden="false" customHeight="true" outlineLevel="0" collapsed="false">
      <c r="A13" s="217" t="s">
        <v>100</v>
      </c>
      <c r="B13" s="106" t="n">
        <f aca="false">NOV!B44</f>
        <v>6897.81</v>
      </c>
      <c r="C13" s="107" t="n">
        <f aca="false">NOV!C44</f>
        <v>275576</v>
      </c>
      <c r="D13" s="107" t="n">
        <f aca="false">NOV!D53</f>
        <v>-1815</v>
      </c>
      <c r="E13" s="107" t="n">
        <f aca="false">NOV!E53</f>
        <v>123576</v>
      </c>
      <c r="F13" s="206" t="n">
        <f aca="false">NOV!F52</f>
        <v>-915.049155533148</v>
      </c>
      <c r="G13" s="107" t="n">
        <f aca="false">NOV!G52</f>
        <v>2023</v>
      </c>
      <c r="H13" s="207" t="n">
        <f aca="false">NOV!H52</f>
        <v>38.19</v>
      </c>
      <c r="I13" s="107" t="n">
        <f aca="false">NOV!I52</f>
        <v>2061.19</v>
      </c>
      <c r="J13" s="107" t="n">
        <f aca="false">NOV!J52</f>
        <v>51.6376934711369</v>
      </c>
      <c r="K13" s="107" t="n">
        <f aca="false">NOV!K52</f>
        <v>2112.82769347114</v>
      </c>
      <c r="L13" s="107" t="n">
        <f aca="false">NOV!L52</f>
        <v>-326.859155533148</v>
      </c>
      <c r="M13" s="208" t="n">
        <f aca="false">NOV!M52</f>
        <v>236.1</v>
      </c>
      <c r="N13" s="107" t="n">
        <f aca="false">NOV!N52</f>
        <v>0</v>
      </c>
      <c r="O13" s="107" t="n">
        <f aca="false">NOV!O52</f>
        <v>0</v>
      </c>
      <c r="P13" s="155"/>
      <c r="Q13" s="107" t="n">
        <f aca="false">NOV!Q52</f>
        <v>52.5296838512203</v>
      </c>
      <c r="R13" s="107" t="n">
        <f aca="false">NOV!R52</f>
        <v>47.3188499554088</v>
      </c>
      <c r="S13" s="218" t="n">
        <f aca="false">NOV!S52</f>
        <v>0</v>
      </c>
      <c r="T13" s="218" t="n">
        <f aca="false">NOV!T52</f>
        <v>21.174192</v>
      </c>
      <c r="U13" s="219" t="n">
        <f aca="false">NOV!U52</f>
        <v>-3.9419556468316</v>
      </c>
      <c r="V13" s="107" t="n">
        <f aca="false">NOV!V52</f>
        <v>1349</v>
      </c>
      <c r="W13" s="107" t="n">
        <f aca="false">NOV!W52</f>
        <v>58.28</v>
      </c>
      <c r="X13" s="107" t="n">
        <f aca="false">NOV!X52</f>
        <v>1526.2992298402</v>
      </c>
      <c r="Y13" s="107" t="n">
        <f aca="false">NOV!Y52</f>
        <v>1324.5</v>
      </c>
      <c r="Z13" s="136"/>
      <c r="AA13" s="107"/>
      <c r="AB13" s="136"/>
      <c r="AC13" s="107" t="n">
        <f aca="false">NOV!AC52</f>
        <v>662.6</v>
      </c>
      <c r="AD13" s="107"/>
      <c r="AE13" s="107"/>
      <c r="AF13" s="208"/>
      <c r="AG13" s="210"/>
      <c r="AH13" s="107" t="n">
        <f aca="false">NOV!AH52</f>
        <v>1006</v>
      </c>
      <c r="AI13" s="107" t="n">
        <f aca="false">NOV!AI52</f>
        <v>4258</v>
      </c>
      <c r="AJ13" s="107"/>
      <c r="AK13" s="107" t="n">
        <f aca="false">NOV!AK52</f>
        <v>2649.38</v>
      </c>
      <c r="AL13" s="107" t="n">
        <f aca="false">NOV!AL52</f>
        <v>378.496849004285</v>
      </c>
      <c r="AM13" s="107" t="n">
        <f aca="false">NOV!AM52</f>
        <v>3027.87684900428</v>
      </c>
      <c r="AN13" s="212" t="n">
        <f aca="false">NOV!AN52</f>
        <v>1324.5</v>
      </c>
      <c r="AO13" s="136" t="n">
        <f aca="false">NOV!AO52</f>
        <v>201.799229840203</v>
      </c>
      <c r="AP13" s="107"/>
      <c r="AQ13" s="220"/>
      <c r="AR13" s="220"/>
      <c r="AS13" s="220"/>
      <c r="AT13" s="220"/>
      <c r="AU13" s="173"/>
      <c r="AV13" s="214" t="n">
        <f aca="false">NOV!AV52</f>
        <v>0.57</v>
      </c>
      <c r="AW13" s="207"/>
      <c r="AX13" s="207"/>
      <c r="AY13" s="215"/>
      <c r="AZ13" s="221" t="n">
        <f aca="false">NOV!AZ52</f>
        <v>117.080770159797</v>
      </c>
    </row>
    <row r="14" customFormat="false" ht="3" hidden="false" customHeight="true" outlineLevel="0" collapsed="false">
      <c r="A14" s="223"/>
      <c r="B14" s="224"/>
      <c r="C14" s="225"/>
      <c r="D14" s="226"/>
      <c r="E14" s="225"/>
      <c r="F14" s="227"/>
      <c r="G14" s="226"/>
      <c r="H14" s="228"/>
      <c r="I14" s="226"/>
      <c r="J14" s="226"/>
      <c r="K14" s="226"/>
      <c r="L14" s="226"/>
      <c r="M14" s="229"/>
      <c r="N14" s="226"/>
      <c r="O14" s="226"/>
      <c r="P14" s="230"/>
      <c r="Q14" s="226"/>
      <c r="R14" s="226"/>
      <c r="S14" s="226"/>
      <c r="T14" s="226"/>
      <c r="U14" s="231"/>
      <c r="V14" s="226"/>
      <c r="W14" s="226"/>
      <c r="X14" s="226"/>
      <c r="Y14" s="226"/>
      <c r="Z14" s="232"/>
      <c r="AA14" s="226"/>
      <c r="AB14" s="232"/>
      <c r="AC14" s="232"/>
      <c r="AD14" s="225"/>
      <c r="AE14" s="226"/>
      <c r="AF14" s="229"/>
      <c r="AG14" s="233"/>
      <c r="AH14" s="226"/>
      <c r="AI14" s="225"/>
      <c r="AJ14" s="225"/>
      <c r="AK14" s="226"/>
      <c r="AL14" s="226"/>
      <c r="AM14" s="226"/>
      <c r="AN14" s="234"/>
      <c r="AO14" s="232"/>
      <c r="AP14" s="235"/>
      <c r="AQ14" s="236"/>
      <c r="AR14" s="236"/>
      <c r="AS14" s="236"/>
      <c r="AT14" s="236"/>
      <c r="AU14" s="235"/>
      <c r="AV14" s="237"/>
      <c r="AW14" s="235"/>
      <c r="AX14" s="235"/>
      <c r="AY14" s="235"/>
      <c r="AZ14" s="123"/>
    </row>
    <row r="15" customFormat="false" ht="12.95" hidden="false" customHeight="true" outlineLevel="0" collapsed="false">
      <c r="A15" s="179" t="n">
        <v>1</v>
      </c>
      <c r="B15" s="106" t="n">
        <v>6897.78</v>
      </c>
      <c r="C15" s="107" t="n">
        <v>275465</v>
      </c>
      <c r="D15" s="207" t="n">
        <f aca="false">C15-C13</f>
        <v>-111</v>
      </c>
      <c r="E15" s="107" t="n">
        <f aca="false">C15-152000</f>
        <v>123465</v>
      </c>
      <c r="F15" s="238" t="n">
        <f aca="false">D15/$D$2</f>
        <v>-55.9616838921099</v>
      </c>
      <c r="G15" s="135" t="n">
        <v>52</v>
      </c>
      <c r="H15" s="239" t="n">
        <v>1.3</v>
      </c>
      <c r="I15" s="135" t="n">
        <f aca="false">G15+H15</f>
        <v>53.3</v>
      </c>
      <c r="J15" s="136" t="n">
        <f aca="false">IF(L15&gt;0,L15,0)</f>
        <v>0</v>
      </c>
      <c r="K15" s="135" t="n">
        <f aca="false">I15+J15</f>
        <v>53.3</v>
      </c>
      <c r="L15" s="135" t="n">
        <f aca="false">F15-(I15-AK15)</f>
        <v>-10.4616838921099</v>
      </c>
      <c r="M15" s="240" t="n">
        <v>4.8</v>
      </c>
      <c r="N15" s="135" t="n">
        <v>0</v>
      </c>
      <c r="O15" s="135" t="n">
        <v>0</v>
      </c>
      <c r="P15" s="155" t="n">
        <v>0</v>
      </c>
      <c r="Q15" s="131" t="n">
        <f aca="false">1198100/325851/1.9835*1.02</f>
        <v>1.89078425416844</v>
      </c>
      <c r="R15" s="131" t="n">
        <f aca="false">(1501767/325851/1.9835-T15)*1.04</f>
        <v>1.54655706652888</v>
      </c>
      <c r="S15" s="131" t="n">
        <v>0</v>
      </c>
      <c r="T15" s="131" t="n">
        <f aca="false">0.8043*1.04</f>
        <v>0.836472</v>
      </c>
      <c r="U15" s="96" t="n">
        <f aca="false">M15-(Q15+R15+S15+T15)</f>
        <v>0.526186679302679</v>
      </c>
      <c r="V15" s="135" t="n">
        <v>61</v>
      </c>
      <c r="W15" s="135" t="n">
        <v>0</v>
      </c>
      <c r="X15" s="135" t="n">
        <f aca="false">M15-N15-P15-O15-Q15-R15-S15-T15-U15+V15+W15</f>
        <v>61</v>
      </c>
      <c r="Y15" s="135" t="n">
        <f aca="false">X15-AO15</f>
        <v>61</v>
      </c>
      <c r="Z15" s="136"/>
      <c r="AA15" s="135"/>
      <c r="AB15" s="136"/>
      <c r="AC15" s="136"/>
      <c r="AD15" s="107"/>
      <c r="AE15" s="135" t="n">
        <v>0</v>
      </c>
      <c r="AF15" s="240"/>
      <c r="AG15" s="241"/>
      <c r="AH15" s="135" t="n">
        <v>33</v>
      </c>
      <c r="AI15" s="107" t="n">
        <f aca="false">AI13-AH15</f>
        <v>4225</v>
      </c>
      <c r="AJ15" s="107"/>
      <c r="AK15" s="134" t="n">
        <f aca="false">N15+O15+P15+Q15+R15+S15+T15+U15+X15+AE15+AH15</f>
        <v>98.8</v>
      </c>
      <c r="AL15" s="135" t="n">
        <f aca="false">IF(L15&lt;0,L15*-1,0)</f>
        <v>10.4616838921099</v>
      </c>
      <c r="AM15" s="135" t="n">
        <f aca="false">AK15+AL15</f>
        <v>109.26168389211</v>
      </c>
      <c r="AN15" s="212" t="n">
        <f aca="false">V15</f>
        <v>61</v>
      </c>
      <c r="AO15" s="136" t="n">
        <v>0</v>
      </c>
      <c r="AP15" s="213"/>
      <c r="AV15" s="214" t="n">
        <v>0</v>
      </c>
      <c r="AW15" s="207" t="n">
        <v>45</v>
      </c>
      <c r="AX15" s="207" t="n">
        <v>14</v>
      </c>
      <c r="AY15" s="215"/>
      <c r="AZ15" s="242" t="n">
        <f aca="false">SUM(N15,P15:U15)</f>
        <v>4.8</v>
      </c>
    </row>
    <row r="16" customFormat="false" ht="12.95" hidden="false" customHeight="true" outlineLevel="0" collapsed="false">
      <c r="A16" s="179" t="n">
        <f aca="false">A15+1</f>
        <v>2</v>
      </c>
      <c r="B16" s="106" t="n">
        <v>6897.75</v>
      </c>
      <c r="C16" s="107" t="n">
        <v>275356</v>
      </c>
      <c r="D16" s="207" t="n">
        <f aca="false">C16-C15</f>
        <v>-109</v>
      </c>
      <c r="E16" s="107" t="n">
        <f aca="false">C16-152000</f>
        <v>123356</v>
      </c>
      <c r="F16" s="238" t="n">
        <f aca="false">D16/$D$2</f>
        <v>-54.9533652634232</v>
      </c>
      <c r="G16" s="135" t="n">
        <v>56</v>
      </c>
      <c r="H16" s="239" t="n">
        <v>1.3</v>
      </c>
      <c r="I16" s="135" t="n">
        <f aca="false">G16+H16</f>
        <v>57.3</v>
      </c>
      <c r="J16" s="136" t="n">
        <f aca="false">IF(L16&gt;0,L16,0)</f>
        <v>0</v>
      </c>
      <c r="K16" s="135" t="n">
        <f aca="false">I16+J16</f>
        <v>57.3</v>
      </c>
      <c r="L16" s="135" t="n">
        <f aca="false">F16-(I16-AK16)</f>
        <v>-15.5533652634232</v>
      </c>
      <c r="M16" s="240" t="n">
        <v>3.7</v>
      </c>
      <c r="N16" s="135" t="n">
        <v>0</v>
      </c>
      <c r="O16" s="135" t="n">
        <v>0</v>
      </c>
      <c r="P16" s="155" t="n">
        <v>0</v>
      </c>
      <c r="Q16" s="131" t="n">
        <f aca="false">1368100/325851/1.9835*1.02</f>
        <v>2.15907014283269</v>
      </c>
      <c r="R16" s="131" t="n">
        <f aca="false">(1545284/325851/1.9835-T16)*1.04</f>
        <v>1.61658011668852</v>
      </c>
      <c r="S16" s="131" t="n">
        <v>0</v>
      </c>
      <c r="T16" s="131" t="n">
        <f aca="false">0.8043*1.04</f>
        <v>0.836472</v>
      </c>
      <c r="U16" s="96" t="n">
        <f aca="false">M16-(Q16+R16+S16+T16)</f>
        <v>-0.912122259521212</v>
      </c>
      <c r="V16" s="135" t="n">
        <v>61</v>
      </c>
      <c r="W16" s="135" t="n">
        <v>0</v>
      </c>
      <c r="X16" s="135" t="n">
        <f aca="false">M16-N16-P16-O16-Q16-R16-S16-T16-U16+V16+W16</f>
        <v>61</v>
      </c>
      <c r="Y16" s="135" t="n">
        <f aca="false">X16-AO16</f>
        <v>61</v>
      </c>
      <c r="Z16" s="136"/>
      <c r="AA16" s="135"/>
      <c r="AB16" s="136"/>
      <c r="AC16" s="136"/>
      <c r="AD16" s="107"/>
      <c r="AE16" s="135" t="n">
        <v>0</v>
      </c>
      <c r="AF16" s="240"/>
      <c r="AG16" s="241"/>
      <c r="AH16" s="135" t="n">
        <v>32</v>
      </c>
      <c r="AI16" s="107" t="n">
        <f aca="false">AI15-AH16</f>
        <v>4193</v>
      </c>
      <c r="AJ16" s="107"/>
      <c r="AK16" s="134" t="n">
        <f aca="false">N16+O16+P16+Q16+R16+S16+T16+U16+X16+AE16+AH16</f>
        <v>96.7</v>
      </c>
      <c r="AL16" s="135" t="n">
        <f aca="false">IF(L16&lt;0,L16*-1,0)</f>
        <v>15.5533652634232</v>
      </c>
      <c r="AM16" s="135" t="n">
        <f aca="false">AK16+AL16</f>
        <v>112.253365263423</v>
      </c>
      <c r="AN16" s="212" t="n">
        <f aca="false">V16</f>
        <v>61</v>
      </c>
      <c r="AO16" s="136" t="n">
        <v>0</v>
      </c>
      <c r="AP16" s="213"/>
      <c r="AV16" s="214" t="n">
        <v>0</v>
      </c>
      <c r="AW16" s="207" t="n">
        <v>51</v>
      </c>
      <c r="AX16" s="207" t="n">
        <v>24</v>
      </c>
      <c r="AY16" s="215"/>
      <c r="AZ16" s="242" t="n">
        <f aca="false">SUM(N16,P16:U16)</f>
        <v>3.7</v>
      </c>
    </row>
    <row r="17" customFormat="false" ht="12.95" hidden="false" customHeight="true" outlineLevel="0" collapsed="false">
      <c r="A17" s="179" t="n">
        <f aca="false">A16+1</f>
        <v>3</v>
      </c>
      <c r="B17" s="106" t="n">
        <v>6897.72</v>
      </c>
      <c r="C17" s="107" t="n">
        <v>275248</v>
      </c>
      <c r="D17" s="207" t="n">
        <f aca="false">C17-C16</f>
        <v>-108</v>
      </c>
      <c r="E17" s="107" t="n">
        <f aca="false">C17-152000</f>
        <v>123248</v>
      </c>
      <c r="F17" s="238" t="n">
        <f aca="false">D17/$D$2</f>
        <v>-54.4492059490799</v>
      </c>
      <c r="G17" s="135" t="n">
        <v>64</v>
      </c>
      <c r="H17" s="239" t="n">
        <v>1.3</v>
      </c>
      <c r="I17" s="135" t="n">
        <f aca="false">G17+H17</f>
        <v>65.3</v>
      </c>
      <c r="J17" s="136" t="n">
        <f aca="false">IF(L17&gt;0,L17,0)</f>
        <v>0</v>
      </c>
      <c r="K17" s="135" t="n">
        <f aca="false">I17+J17</f>
        <v>65.3</v>
      </c>
      <c r="L17" s="135" t="n">
        <f aca="false">F17-(I17-AK17)</f>
        <v>-23.2492059490799</v>
      </c>
      <c r="M17" s="240" t="n">
        <v>4.5</v>
      </c>
      <c r="N17" s="135" t="n">
        <v>0</v>
      </c>
      <c r="O17" s="135" t="n">
        <v>0</v>
      </c>
      <c r="P17" s="155" t="n">
        <v>0</v>
      </c>
      <c r="Q17" s="131" t="n">
        <f aca="false">1287000/325851/1.9835*1.02</f>
        <v>2.03108199241698</v>
      </c>
      <c r="R17" s="131" t="n">
        <f aca="false">(1521031/325851/1.9835-T17)*1.04</f>
        <v>1.71827086051733</v>
      </c>
      <c r="S17" s="131" t="n">
        <v>0</v>
      </c>
      <c r="T17" s="131" t="n">
        <f aca="false">0.6742*1.04</f>
        <v>0.701168</v>
      </c>
      <c r="U17" s="96" t="n">
        <f aca="false">M17-(Q17+R17+S17+T17)</f>
        <v>0.0494791470656901</v>
      </c>
      <c r="V17" s="135" t="n">
        <v>61</v>
      </c>
      <c r="W17" s="135" t="n">
        <v>0</v>
      </c>
      <c r="X17" s="135" t="n">
        <f aca="false">M17-N17-P17-O17-Q17-R17-S17-T17-U17+V17+W17</f>
        <v>61</v>
      </c>
      <c r="Y17" s="135" t="n">
        <f aca="false">X17-AO17</f>
        <v>61</v>
      </c>
      <c r="Z17" s="136"/>
      <c r="AA17" s="135"/>
      <c r="AB17" s="136"/>
      <c r="AC17" s="136"/>
      <c r="AD17" s="107"/>
      <c r="AE17" s="135" t="n">
        <v>0</v>
      </c>
      <c r="AF17" s="240"/>
      <c r="AG17" s="241"/>
      <c r="AH17" s="135" t="n">
        <v>31</v>
      </c>
      <c r="AI17" s="107" t="n">
        <f aca="false">AI16-AH17</f>
        <v>4162</v>
      </c>
      <c r="AJ17" s="107"/>
      <c r="AK17" s="134" t="n">
        <f aca="false">N17+O17+P17+Q17+R17+S17+T17+U17+X17+AE17+AH17</f>
        <v>96.5</v>
      </c>
      <c r="AL17" s="135" t="n">
        <f aca="false">IF(L17&lt;0,L17*-1,0)</f>
        <v>23.2492059490799</v>
      </c>
      <c r="AM17" s="135" t="n">
        <f aca="false">AK17+AL17</f>
        <v>119.74920594908</v>
      </c>
      <c r="AN17" s="212" t="n">
        <f aca="false">V17</f>
        <v>61</v>
      </c>
      <c r="AO17" s="136" t="n">
        <v>0</v>
      </c>
      <c r="AP17" s="213"/>
      <c r="AV17" s="214" t="n">
        <v>0</v>
      </c>
      <c r="AW17" s="207" t="n">
        <v>55</v>
      </c>
      <c r="AX17" s="207" t="n">
        <v>33</v>
      </c>
      <c r="AY17" s="215"/>
      <c r="AZ17" s="242" t="n">
        <f aca="false">SUM(N17,P17:U17)</f>
        <v>4.5</v>
      </c>
    </row>
    <row r="18" customFormat="false" ht="12.95" hidden="false" customHeight="true" outlineLevel="0" collapsed="false">
      <c r="A18" s="179" t="n">
        <f aca="false">A17+1</f>
        <v>4</v>
      </c>
      <c r="B18" s="106" t="n">
        <v>6897.69</v>
      </c>
      <c r="C18" s="107" t="n">
        <v>275139</v>
      </c>
      <c r="D18" s="207" t="n">
        <f aca="false">C18-C17</f>
        <v>-109</v>
      </c>
      <c r="E18" s="107" t="n">
        <f aca="false">C18-152000</f>
        <v>123139</v>
      </c>
      <c r="F18" s="238" t="n">
        <f aca="false">D18/$D$2</f>
        <v>-54.9533652634232</v>
      </c>
      <c r="G18" s="135" t="n">
        <v>68</v>
      </c>
      <c r="H18" s="239" t="n">
        <v>1.3</v>
      </c>
      <c r="I18" s="135" t="n">
        <f aca="false">G18+H18</f>
        <v>69.3</v>
      </c>
      <c r="J18" s="136" t="n">
        <f aca="false">IF(L18&gt;0,L18,0)</f>
        <v>0</v>
      </c>
      <c r="K18" s="135" t="n">
        <f aca="false">I18+J18</f>
        <v>69.3</v>
      </c>
      <c r="L18" s="135" t="n">
        <f aca="false">F18-(I18-AK18)</f>
        <v>-27.6533652634232</v>
      </c>
      <c r="M18" s="240" t="n">
        <v>4.6</v>
      </c>
      <c r="N18" s="135" t="n">
        <v>0</v>
      </c>
      <c r="O18" s="135" t="n">
        <v>0</v>
      </c>
      <c r="P18" s="155" t="n">
        <v>0</v>
      </c>
      <c r="Q18" s="131" t="n">
        <f aca="false">1060700/325851/1.9835*1.02</f>
        <v>1.67394613003628</v>
      </c>
      <c r="R18" s="131" t="n">
        <f aca="false">(1549827/325851/1.9835-T18)*1.04</f>
        <v>1.76460640185513</v>
      </c>
      <c r="S18" s="131" t="n">
        <v>0</v>
      </c>
      <c r="T18" s="131" t="n">
        <f aca="false">0.6742*1.04</f>
        <v>0.701168</v>
      </c>
      <c r="U18" s="96" t="n">
        <f aca="false">M18-(Q18+R18+S18+T18)</f>
        <v>0.46027946810859</v>
      </c>
      <c r="V18" s="135" t="n">
        <v>61</v>
      </c>
      <c r="W18" s="135" t="n">
        <v>0</v>
      </c>
      <c r="X18" s="135" t="n">
        <f aca="false">M18-N18-P18-O18-Q18-R18-S18-T18-U18+V18+W18</f>
        <v>61</v>
      </c>
      <c r="Y18" s="135" t="n">
        <f aca="false">X18-AO18</f>
        <v>61</v>
      </c>
      <c r="Z18" s="136"/>
      <c r="AA18" s="135"/>
      <c r="AB18" s="136"/>
      <c r="AC18" s="136"/>
      <c r="AD18" s="107"/>
      <c r="AE18" s="135" t="n">
        <v>0</v>
      </c>
      <c r="AF18" s="240"/>
      <c r="AG18" s="241"/>
      <c r="AH18" s="135" t="n">
        <v>31</v>
      </c>
      <c r="AI18" s="107" t="n">
        <f aca="false">AI17-AH18</f>
        <v>4131</v>
      </c>
      <c r="AJ18" s="107"/>
      <c r="AK18" s="134" t="n">
        <f aca="false">N18+O18+P18+Q18+R18+S18+T18+U18+X18+AE18+AH18</f>
        <v>96.6</v>
      </c>
      <c r="AL18" s="135" t="n">
        <f aca="false">IF(L18&lt;0,L18*-1,0)</f>
        <v>27.6533652634232</v>
      </c>
      <c r="AM18" s="135" t="n">
        <f aca="false">AK18+AL18</f>
        <v>124.253365263423</v>
      </c>
      <c r="AN18" s="212" t="n">
        <f aca="false">V18</f>
        <v>61</v>
      </c>
      <c r="AO18" s="136" t="n">
        <v>0</v>
      </c>
      <c r="AP18" s="213"/>
      <c r="AV18" s="214" t="n">
        <v>0</v>
      </c>
      <c r="AW18" s="207" t="n">
        <v>53</v>
      </c>
      <c r="AX18" s="207" t="n">
        <v>32</v>
      </c>
      <c r="AY18" s="215"/>
      <c r="AZ18" s="242" t="n">
        <f aca="false">SUM(N18,P18:U18)</f>
        <v>4.6</v>
      </c>
    </row>
    <row r="19" customFormat="false" ht="12.95" hidden="false" customHeight="true" outlineLevel="0" collapsed="false">
      <c r="A19" s="179" t="n">
        <f aca="false">A18+1</f>
        <v>5</v>
      </c>
      <c r="B19" s="106" t="n">
        <v>6897.66</v>
      </c>
      <c r="C19" s="107" t="n">
        <v>275031</v>
      </c>
      <c r="D19" s="207" t="n">
        <f aca="false">C19-C18</f>
        <v>-108</v>
      </c>
      <c r="E19" s="107" t="n">
        <f aca="false">C19-152000</f>
        <v>123031</v>
      </c>
      <c r="F19" s="238" t="n">
        <f aca="false">D19/$D$2</f>
        <v>-54.4492059490799</v>
      </c>
      <c r="G19" s="135" t="n">
        <v>68</v>
      </c>
      <c r="H19" s="239" t="n">
        <v>1.2</v>
      </c>
      <c r="I19" s="135" t="n">
        <f aca="false">G19+H19</f>
        <v>69.2</v>
      </c>
      <c r="J19" s="136" t="n">
        <f aca="false">IF(L19&gt;0,L19,0)</f>
        <v>0</v>
      </c>
      <c r="K19" s="135" t="n">
        <f aca="false">I19+J19</f>
        <v>69.2</v>
      </c>
      <c r="L19" s="135" t="n">
        <f aca="false">F19-(I19-AK19)</f>
        <v>-28.4492059490799</v>
      </c>
      <c r="M19" s="240" t="n">
        <v>3.2</v>
      </c>
      <c r="N19" s="135" t="n">
        <v>0</v>
      </c>
      <c r="O19" s="135" t="n">
        <v>0</v>
      </c>
      <c r="P19" s="155" t="n">
        <v>0</v>
      </c>
      <c r="Q19" s="131" t="n">
        <f aca="false">1383100/325851/1.9835*1.02</f>
        <v>2.1827424271266</v>
      </c>
      <c r="R19" s="131" t="n">
        <f aca="false">(1458890/325851/1.9835-T19)*1.04</f>
        <v>1.61827999809643</v>
      </c>
      <c r="S19" s="131" t="n">
        <v>0</v>
      </c>
      <c r="T19" s="131" t="n">
        <f aca="false">0.6742*1.04</f>
        <v>0.701168</v>
      </c>
      <c r="U19" s="96" t="n">
        <f aca="false">M19-(Q19+R19+S19+T19)</f>
        <v>-1.30219042522302</v>
      </c>
      <c r="V19" s="135" t="n">
        <v>61</v>
      </c>
      <c r="W19" s="135" t="n">
        <v>0</v>
      </c>
      <c r="X19" s="135" t="n">
        <f aca="false">M19-N19-P19-O19-Q19-R19-S19-T19-U19+V19+W19</f>
        <v>61</v>
      </c>
      <c r="Y19" s="135" t="n">
        <f aca="false">X19-AO19</f>
        <v>61</v>
      </c>
      <c r="Z19" s="136"/>
      <c r="AA19" s="135"/>
      <c r="AB19" s="136"/>
      <c r="AC19" s="136"/>
      <c r="AD19" s="107"/>
      <c r="AE19" s="135" t="n">
        <v>0</v>
      </c>
      <c r="AF19" s="240"/>
      <c r="AG19" s="241"/>
      <c r="AH19" s="135" t="n">
        <v>31</v>
      </c>
      <c r="AI19" s="107" t="n">
        <f aca="false">AI18-AH19</f>
        <v>4100</v>
      </c>
      <c r="AJ19" s="107"/>
      <c r="AK19" s="134" t="n">
        <f aca="false">N19+O19+P19+Q19+R19+S19+T19+U19+X19+AE19+AH19</f>
        <v>95.2</v>
      </c>
      <c r="AL19" s="135" t="n">
        <f aca="false">IF(L19&lt;0,L19*-1,0)</f>
        <v>28.4492059490799</v>
      </c>
      <c r="AM19" s="135" t="n">
        <f aca="false">AK19+AL19</f>
        <v>123.64920594908</v>
      </c>
      <c r="AN19" s="212" t="n">
        <f aca="false">V19</f>
        <v>61</v>
      </c>
      <c r="AO19" s="136" t="n">
        <v>0</v>
      </c>
      <c r="AP19" s="213"/>
      <c r="AV19" s="214" t="n">
        <v>0</v>
      </c>
      <c r="AW19" s="207" t="n">
        <v>53</v>
      </c>
      <c r="AX19" s="207" t="n">
        <v>32</v>
      </c>
      <c r="AY19" s="215"/>
      <c r="AZ19" s="242" t="n">
        <f aca="false">SUM(N19,P19:U19)</f>
        <v>3.2</v>
      </c>
    </row>
    <row r="20" customFormat="false" ht="12.95" hidden="false" customHeight="true" outlineLevel="0" collapsed="false">
      <c r="A20" s="179" t="n">
        <f aca="false">A19+1</f>
        <v>6</v>
      </c>
      <c r="B20" s="106" t="n">
        <v>6897.65</v>
      </c>
      <c r="C20" s="107" t="n">
        <v>274995</v>
      </c>
      <c r="D20" s="207" t="n">
        <f aca="false">C20-C19</f>
        <v>-36</v>
      </c>
      <c r="E20" s="107" t="n">
        <f aca="false">C20-152000</f>
        <v>122995</v>
      </c>
      <c r="F20" s="238" t="n">
        <f aca="false">D20/$D$2</f>
        <v>-18.14973531636</v>
      </c>
      <c r="G20" s="135" t="n">
        <v>68</v>
      </c>
      <c r="H20" s="239" t="n">
        <v>1.2</v>
      </c>
      <c r="I20" s="135" t="n">
        <f aca="false">G20+H20</f>
        <v>69.2</v>
      </c>
      <c r="J20" s="136" t="n">
        <f aca="false">IF(L20&gt;0,L20,0)</f>
        <v>8.65026468364003</v>
      </c>
      <c r="K20" s="135" t="n">
        <f aca="false">I20+J20</f>
        <v>77.85026468364</v>
      </c>
      <c r="L20" s="135" t="n">
        <f aca="false">F20-(I20-AK20)</f>
        <v>8.65026468364003</v>
      </c>
      <c r="M20" s="240" t="n">
        <v>4</v>
      </c>
      <c r="N20" s="135" t="n">
        <v>0</v>
      </c>
      <c r="O20" s="135" t="n">
        <v>0</v>
      </c>
      <c r="P20" s="155" t="n">
        <v>0</v>
      </c>
      <c r="Q20" s="131" t="n">
        <f aca="false">1240000/325851/1.9835*1.02</f>
        <v>1.95690883496275</v>
      </c>
      <c r="R20" s="131" t="n">
        <f aca="false">(1428632/325851/1.9835-T20)*1.04</f>
        <v>1.56959195775057</v>
      </c>
      <c r="S20" s="131" t="n">
        <v>0</v>
      </c>
      <c r="T20" s="131" t="n">
        <f aca="false">0.6742*1.04</f>
        <v>0.701168</v>
      </c>
      <c r="U20" s="96" t="n">
        <f aca="false">M20-(Q20+R20+S20+T20)</f>
        <v>-0.227668792713321</v>
      </c>
      <c r="V20" s="135" t="n">
        <v>61</v>
      </c>
      <c r="W20" s="135" t="n">
        <v>0</v>
      </c>
      <c r="X20" s="135" t="n">
        <f aca="false">M20-N20-P20-O20-Q20-R20-S20-T20-U20+V20+W20</f>
        <v>61</v>
      </c>
      <c r="Y20" s="135" t="n">
        <f aca="false">X20-AO20</f>
        <v>61</v>
      </c>
      <c r="Z20" s="136"/>
      <c r="AA20" s="135"/>
      <c r="AB20" s="136"/>
      <c r="AC20" s="136" t="n">
        <v>14.5</v>
      </c>
      <c r="AD20" s="107"/>
      <c r="AE20" s="135" t="n">
        <v>0</v>
      </c>
      <c r="AF20" s="240"/>
      <c r="AG20" s="241"/>
      <c r="AH20" s="135" t="n">
        <v>31</v>
      </c>
      <c r="AI20" s="107" t="n">
        <f aca="false">AI19-AH20</f>
        <v>4069</v>
      </c>
      <c r="AJ20" s="107"/>
      <c r="AK20" s="134" t="n">
        <f aca="false">N20+O20+P20+Q20+R20+S20+T20+U20+X20+AE20+AH20</f>
        <v>96</v>
      </c>
      <c r="AL20" s="135" t="n">
        <f aca="false">IF(L20&lt;0,L20*-1,0)</f>
        <v>0</v>
      </c>
      <c r="AM20" s="135" t="n">
        <f aca="false">AK20+AL20</f>
        <v>96</v>
      </c>
      <c r="AN20" s="212" t="n">
        <f aca="false">V20</f>
        <v>61</v>
      </c>
      <c r="AO20" s="136" t="n">
        <v>0</v>
      </c>
      <c r="AP20" s="213"/>
      <c r="AV20" s="214" t="n">
        <v>0.01</v>
      </c>
      <c r="AW20" s="207" t="n">
        <v>51</v>
      </c>
      <c r="AX20" s="207" t="n">
        <v>30</v>
      </c>
      <c r="AY20" s="215"/>
      <c r="AZ20" s="242" t="n">
        <f aca="false">SUM(N20,P20:U20)</f>
        <v>4</v>
      </c>
    </row>
    <row r="21" customFormat="false" ht="12.95" hidden="false" customHeight="true" outlineLevel="0" collapsed="false">
      <c r="A21" s="179" t="n">
        <f aca="false">A20+1</f>
        <v>7</v>
      </c>
      <c r="B21" s="106" t="n">
        <v>6897.64</v>
      </c>
      <c r="C21" s="107" t="n">
        <v>274958</v>
      </c>
      <c r="D21" s="207" t="n">
        <f aca="false">C21-C20</f>
        <v>-37</v>
      </c>
      <c r="E21" s="107" t="n">
        <f aca="false">C21-152000</f>
        <v>122958</v>
      </c>
      <c r="F21" s="238" t="n">
        <f aca="false">D21/$D$2</f>
        <v>-18.6538946307033</v>
      </c>
      <c r="G21" s="135" t="n">
        <v>64</v>
      </c>
      <c r="H21" s="239" t="n">
        <v>1.1</v>
      </c>
      <c r="I21" s="135" t="n">
        <f aca="false">G21+H21</f>
        <v>65.1</v>
      </c>
      <c r="J21" s="136" t="n">
        <f aca="false">IF(L21&gt;0,L21,0)</f>
        <v>12.8461053692967</v>
      </c>
      <c r="K21" s="135" t="n">
        <f aca="false">I21+J21</f>
        <v>77.9461053692967</v>
      </c>
      <c r="L21" s="135" t="n">
        <f aca="false">F21-(I21-AK21)</f>
        <v>12.8461053692967</v>
      </c>
      <c r="M21" s="240" t="n">
        <v>4.6</v>
      </c>
      <c r="N21" s="135" t="n">
        <v>0</v>
      </c>
      <c r="O21" s="135" t="n">
        <v>0</v>
      </c>
      <c r="P21" s="155" t="n">
        <v>0</v>
      </c>
      <c r="Q21" s="131" t="n">
        <f aca="false">1169800/325851/1.9835*1.02</f>
        <v>1.84612254446728</v>
      </c>
      <c r="R21" s="131" t="n">
        <f aca="false">(1406695/325851/1.9835-T21)*1.04</f>
        <v>1.53429320895465</v>
      </c>
      <c r="S21" s="131" t="n">
        <v>0</v>
      </c>
      <c r="T21" s="131" t="n">
        <f aca="false">0.6742*1.04</f>
        <v>0.701168</v>
      </c>
      <c r="U21" s="96" t="n">
        <f aca="false">M21-(Q21+R21+S21+T21)</f>
        <v>0.518416246578071</v>
      </c>
      <c r="V21" s="135" t="n">
        <v>61</v>
      </c>
      <c r="W21" s="135" t="n">
        <v>0</v>
      </c>
      <c r="X21" s="135" t="n">
        <f aca="false">M21-N21-P21-O21-Q21-R21-S21-T21-U21+V21+W21</f>
        <v>61</v>
      </c>
      <c r="Y21" s="135" t="n">
        <f aca="false">X21-AO21</f>
        <v>61</v>
      </c>
      <c r="Z21" s="136"/>
      <c r="AA21" s="135"/>
      <c r="AB21" s="136"/>
      <c r="AC21" s="136" t="n">
        <v>14.6</v>
      </c>
      <c r="AD21" s="107"/>
      <c r="AE21" s="135" t="n">
        <v>0</v>
      </c>
      <c r="AF21" s="240"/>
      <c r="AG21" s="241"/>
      <c r="AH21" s="135" t="n">
        <v>31</v>
      </c>
      <c r="AI21" s="107" t="n">
        <f aca="false">AI20-AH21</f>
        <v>4038</v>
      </c>
      <c r="AJ21" s="107"/>
      <c r="AK21" s="134" t="n">
        <f aca="false">N21+O21+P21+Q21+R21+S21+T21+U21+X21+AE21+AH21</f>
        <v>96.6</v>
      </c>
      <c r="AL21" s="135" t="n">
        <f aca="false">IF(L21&lt;0,L21*-1,0)</f>
        <v>0</v>
      </c>
      <c r="AM21" s="135" t="n">
        <f aca="false">AK21+AL21</f>
        <v>96.6</v>
      </c>
      <c r="AN21" s="212" t="n">
        <f aca="false">V21</f>
        <v>61</v>
      </c>
      <c r="AO21" s="136" t="n">
        <v>0</v>
      </c>
      <c r="AP21" s="213"/>
      <c r="AV21" s="214" t="n">
        <v>0</v>
      </c>
      <c r="AW21" s="207" t="n">
        <v>45</v>
      </c>
      <c r="AX21" s="207" t="n">
        <v>25</v>
      </c>
      <c r="AY21" s="215"/>
      <c r="AZ21" s="242" t="n">
        <f aca="false">SUM(N21,P21:U21)</f>
        <v>4.6</v>
      </c>
    </row>
    <row r="22" customFormat="false" ht="12.95" hidden="false" customHeight="true" outlineLevel="0" collapsed="false">
      <c r="A22" s="179" t="n">
        <f aca="false">A21+1</f>
        <v>8</v>
      </c>
      <c r="B22" s="106" t="n">
        <v>6897.62</v>
      </c>
      <c r="C22" s="107" t="n">
        <v>274886</v>
      </c>
      <c r="D22" s="207" t="n">
        <f aca="false">C22-C21</f>
        <v>-72</v>
      </c>
      <c r="E22" s="107" t="n">
        <f aca="false">C22-152000</f>
        <v>122886</v>
      </c>
      <c r="F22" s="238" t="n">
        <f aca="false">D22/$D$2</f>
        <v>-36.2994706327199</v>
      </c>
      <c r="G22" s="135" t="n">
        <v>61</v>
      </c>
      <c r="H22" s="239" t="n">
        <v>0.99</v>
      </c>
      <c r="I22" s="135" t="n">
        <f aca="false">G22+H22</f>
        <v>61.99</v>
      </c>
      <c r="J22" s="136" t="n">
        <f aca="false">IF(L22&gt;0,L22,0)</f>
        <v>0</v>
      </c>
      <c r="K22" s="135" t="n">
        <f aca="false">I22+J22</f>
        <v>61.99</v>
      </c>
      <c r="L22" s="135" t="n">
        <f aca="false">F22-(I22-AK22)</f>
        <v>-2.08947063271994</v>
      </c>
      <c r="M22" s="240" t="n">
        <v>4.2</v>
      </c>
      <c r="N22" s="135" t="n">
        <v>0</v>
      </c>
      <c r="O22" s="135" t="n">
        <v>0</v>
      </c>
      <c r="P22" s="155" t="n">
        <v>0</v>
      </c>
      <c r="Q22" s="131" t="n">
        <f aca="false">1214400/325851/1.9835*1.02</f>
        <v>1.91650813643449</v>
      </c>
      <c r="R22" s="131" t="n">
        <f aca="false">(1473941/325851/1.9835-T22)*1.04</f>
        <v>1.64249850874635</v>
      </c>
      <c r="S22" s="131" t="n">
        <v>0</v>
      </c>
      <c r="T22" s="131" t="n">
        <f aca="false">0.6742*1.04</f>
        <v>0.701168</v>
      </c>
      <c r="U22" s="96" t="n">
        <f aca="false">M22-(Q22+R22+S22+T22)</f>
        <v>-0.0601746451808367</v>
      </c>
      <c r="V22" s="135" t="n">
        <v>61</v>
      </c>
      <c r="W22" s="135" t="n">
        <v>0</v>
      </c>
      <c r="X22" s="135" t="n">
        <f aca="false">M22-N22-P22-O22-Q22-R22-S22-T22-U22+V22+W22</f>
        <v>61</v>
      </c>
      <c r="Y22" s="135" t="n">
        <f aca="false">X22-AO22</f>
        <v>61</v>
      </c>
      <c r="Z22" s="136"/>
      <c r="AA22" s="135"/>
      <c r="AB22" s="136"/>
      <c r="AC22" s="136"/>
      <c r="AD22" s="107"/>
      <c r="AE22" s="135" t="n">
        <v>0</v>
      </c>
      <c r="AF22" s="240"/>
      <c r="AG22" s="241"/>
      <c r="AH22" s="135" t="n">
        <v>31</v>
      </c>
      <c r="AI22" s="107" t="n">
        <f aca="false">AI21-AH22</f>
        <v>4007</v>
      </c>
      <c r="AJ22" s="107"/>
      <c r="AK22" s="134" t="n">
        <f aca="false">N22+O22+P22+Q22+R22+S22+T22+U22+X22+AE22+AH22</f>
        <v>96.2</v>
      </c>
      <c r="AL22" s="135" t="n">
        <f aca="false">IF(L22&lt;0,L22*-1,0)</f>
        <v>2.08947063271994</v>
      </c>
      <c r="AM22" s="135" t="n">
        <f aca="false">AK22+AL22</f>
        <v>98.2894706327199</v>
      </c>
      <c r="AN22" s="212" t="n">
        <f aca="false">V22</f>
        <v>61</v>
      </c>
      <c r="AO22" s="136" t="n">
        <v>0</v>
      </c>
      <c r="AP22" s="213"/>
      <c r="AV22" s="214" t="n">
        <v>0</v>
      </c>
      <c r="AW22" s="107" t="n">
        <v>47</v>
      </c>
      <c r="AX22" s="207" t="n">
        <v>24</v>
      </c>
      <c r="AY22" s="215"/>
      <c r="AZ22" s="242" t="n">
        <f aca="false">SUM(N22,P22:U22)</f>
        <v>4.2</v>
      </c>
    </row>
    <row r="23" customFormat="false" ht="12.95" hidden="false" customHeight="true" outlineLevel="0" collapsed="false">
      <c r="A23" s="179" t="n">
        <f aca="false">A22+1</f>
        <v>9</v>
      </c>
      <c r="B23" s="106" t="n">
        <v>6897.6</v>
      </c>
      <c r="C23" s="107" t="n">
        <v>274814</v>
      </c>
      <c r="D23" s="207" t="n">
        <f aca="false">C23-C22</f>
        <v>-72</v>
      </c>
      <c r="E23" s="107" t="n">
        <f aca="false">C23-152000</f>
        <v>122814</v>
      </c>
      <c r="F23" s="238" t="n">
        <f aca="false">D23/$D$2</f>
        <v>-36.2994706327199</v>
      </c>
      <c r="G23" s="135" t="n">
        <v>61</v>
      </c>
      <c r="H23" s="239" t="n">
        <v>0.93</v>
      </c>
      <c r="I23" s="135" t="n">
        <f aca="false">G23+H23</f>
        <v>61.93</v>
      </c>
      <c r="J23" s="136" t="n">
        <f aca="false">IF(L23&gt;0,L23,0)</f>
        <v>0</v>
      </c>
      <c r="K23" s="135" t="n">
        <f aca="false">I23+J23</f>
        <v>61.93</v>
      </c>
      <c r="L23" s="135" t="n">
        <f aca="false">F23-(I23-AK23)</f>
        <v>-2.32947063271993</v>
      </c>
      <c r="M23" s="240" t="n">
        <v>3.9</v>
      </c>
      <c r="N23" s="135" t="n">
        <v>0</v>
      </c>
      <c r="O23" s="135" t="n">
        <v>0</v>
      </c>
      <c r="P23" s="155" t="n">
        <v>0</v>
      </c>
      <c r="Q23" s="131" t="n">
        <f aca="false">1234600/325851/1.9835*1.02</f>
        <v>1.94838681261694</v>
      </c>
      <c r="R23" s="131" t="n">
        <f aca="false">(1443627/325851/1.9835-T23)*1.04</f>
        <v>1.59372035899937</v>
      </c>
      <c r="S23" s="131" t="n">
        <v>0</v>
      </c>
      <c r="T23" s="131" t="n">
        <f aca="false">0.6742*1.04</f>
        <v>0.701168</v>
      </c>
      <c r="U23" s="96" t="n">
        <f aca="false">M23-(Q23+R23+S23+T23)</f>
        <v>-0.343275171616312</v>
      </c>
      <c r="V23" s="135" t="n">
        <v>61</v>
      </c>
      <c r="W23" s="135" t="n">
        <v>0</v>
      </c>
      <c r="X23" s="135" t="n">
        <f aca="false">M23-N23-P23-O23-Q23-R23-S23-T23-U23+V23+W23</f>
        <v>61</v>
      </c>
      <c r="Y23" s="135" t="n">
        <f aca="false">X23-AO23</f>
        <v>61</v>
      </c>
      <c r="Z23" s="136"/>
      <c r="AA23" s="135"/>
      <c r="AB23" s="136"/>
      <c r="AC23" s="136"/>
      <c r="AD23" s="107"/>
      <c r="AE23" s="135" t="n">
        <v>0</v>
      </c>
      <c r="AF23" s="240"/>
      <c r="AG23" s="241"/>
      <c r="AH23" s="135" t="n">
        <v>31</v>
      </c>
      <c r="AI23" s="107" t="n">
        <f aca="false">AI22-AH23</f>
        <v>3976</v>
      </c>
      <c r="AJ23" s="107"/>
      <c r="AK23" s="134" t="n">
        <f aca="false">N23+O23+P23+Q23+R23+S23+T23+U23+X23+AE23+AH23</f>
        <v>95.9</v>
      </c>
      <c r="AL23" s="135" t="n">
        <f aca="false">IF(L23&lt;0,L23*-1,0)</f>
        <v>2.32947063271993</v>
      </c>
      <c r="AM23" s="135" t="n">
        <f aca="false">AK23+AL23</f>
        <v>98.2294706327199</v>
      </c>
      <c r="AN23" s="212" t="n">
        <f aca="false">V23</f>
        <v>61</v>
      </c>
      <c r="AO23" s="136" t="n">
        <v>0</v>
      </c>
      <c r="AP23" s="213"/>
      <c r="AV23" s="214" t="n">
        <v>0</v>
      </c>
      <c r="AW23" s="107" t="n">
        <v>49</v>
      </c>
      <c r="AX23" s="207" t="n">
        <v>28</v>
      </c>
      <c r="AY23" s="215"/>
      <c r="AZ23" s="242" t="n">
        <f aca="false">SUM(N23,P23:U23)</f>
        <v>3.9</v>
      </c>
    </row>
    <row r="24" customFormat="false" ht="12.95" hidden="false" customHeight="true" outlineLevel="0" collapsed="false">
      <c r="A24" s="179" t="n">
        <f aca="false">A23+1</f>
        <v>10</v>
      </c>
      <c r="B24" s="106" t="n">
        <v>6897.58</v>
      </c>
      <c r="C24" s="107" t="n">
        <v>274741</v>
      </c>
      <c r="D24" s="207" t="n">
        <f aca="false">C24-C23</f>
        <v>-73</v>
      </c>
      <c r="E24" s="107" t="n">
        <f aca="false">C24-152000</f>
        <v>122741</v>
      </c>
      <c r="F24" s="238" t="n">
        <f aca="false">D24/$D$2</f>
        <v>-36.8036299470633</v>
      </c>
      <c r="G24" s="135" t="n">
        <v>61</v>
      </c>
      <c r="H24" s="239" t="n">
        <v>1</v>
      </c>
      <c r="I24" s="135" t="n">
        <f aca="false">G24+H24</f>
        <v>62</v>
      </c>
      <c r="J24" s="136" t="n">
        <f aca="false">IF(L24&gt;0,L24,0)</f>
        <v>0</v>
      </c>
      <c r="K24" s="135" t="n">
        <f aca="false">I24+J24</f>
        <v>62</v>
      </c>
      <c r="L24" s="135" t="n">
        <f aca="false">F24-(I24-AK24)</f>
        <v>-2.60362994706327</v>
      </c>
      <c r="M24" s="240" t="n">
        <v>4.2</v>
      </c>
      <c r="N24" s="135" t="n">
        <v>0</v>
      </c>
      <c r="O24" s="135" t="n">
        <v>0</v>
      </c>
      <c r="P24" s="155" t="n">
        <v>0</v>
      </c>
      <c r="Q24" s="131" t="n">
        <f aca="false">962800/325851/1.9835*1.02</f>
        <v>1.5194450212114</v>
      </c>
      <c r="R24" s="131" t="n">
        <f aca="false">(1789077/325851/1.9835-T24)*1.04</f>
        <v>1.67357056721521</v>
      </c>
      <c r="S24" s="131" t="n">
        <v>0</v>
      </c>
      <c r="T24" s="131" t="n">
        <f aca="false">1.1143*1.04</f>
        <v>1.158872</v>
      </c>
      <c r="U24" s="96" t="n">
        <f aca="false">M24-(Q24+R24+S24+T24)</f>
        <v>-0.151887588426609</v>
      </c>
      <c r="V24" s="135" t="n">
        <v>61</v>
      </c>
      <c r="W24" s="135" t="n">
        <v>0</v>
      </c>
      <c r="X24" s="135" t="n">
        <f aca="false">M24-N24-P24-O24-Q24-R24-S24-T24-U24+V24+W24</f>
        <v>61</v>
      </c>
      <c r="Y24" s="135" t="n">
        <f aca="false">X24-AO24</f>
        <v>61</v>
      </c>
      <c r="Z24" s="136"/>
      <c r="AA24" s="135"/>
      <c r="AB24" s="136"/>
      <c r="AC24" s="136"/>
      <c r="AD24" s="107"/>
      <c r="AE24" s="135" t="n">
        <v>0</v>
      </c>
      <c r="AF24" s="240"/>
      <c r="AG24" s="241"/>
      <c r="AH24" s="135" t="n">
        <v>31</v>
      </c>
      <c r="AI24" s="107" t="n">
        <f aca="false">AI23-AH24</f>
        <v>3945</v>
      </c>
      <c r="AJ24" s="107"/>
      <c r="AK24" s="134" t="n">
        <f aca="false">N24+O24+P24+Q24+R24+S24+T24+U24+X24+AE24+AH24</f>
        <v>96.2</v>
      </c>
      <c r="AL24" s="135" t="n">
        <f aca="false">IF(L24&lt;0,L24*-1,0)</f>
        <v>2.60362994706327</v>
      </c>
      <c r="AM24" s="135" t="n">
        <f aca="false">AK24+AL24</f>
        <v>98.8036299470633</v>
      </c>
      <c r="AN24" s="212" t="n">
        <f aca="false">V24</f>
        <v>61</v>
      </c>
      <c r="AO24" s="136" t="n">
        <v>0</v>
      </c>
      <c r="AP24" s="213"/>
      <c r="AV24" s="214" t="n">
        <v>0</v>
      </c>
      <c r="AW24" s="107" t="n">
        <v>47</v>
      </c>
      <c r="AX24" s="207" t="n">
        <v>29</v>
      </c>
      <c r="AY24" s="215"/>
      <c r="AZ24" s="242" t="n">
        <f aca="false">SUM(N24,P24:U24)</f>
        <v>4.2</v>
      </c>
    </row>
    <row r="25" customFormat="false" ht="12.95" hidden="false" customHeight="true" outlineLevel="0" collapsed="false">
      <c r="A25" s="179" t="n">
        <f aca="false">A24+1</f>
        <v>11</v>
      </c>
      <c r="B25" s="106" t="n">
        <v>6897.56</v>
      </c>
      <c r="C25" s="107" t="n">
        <v>274669</v>
      </c>
      <c r="D25" s="207" t="n">
        <f aca="false">C25-C24</f>
        <v>-72</v>
      </c>
      <c r="E25" s="107" t="n">
        <f aca="false">C25-152000</f>
        <v>122669</v>
      </c>
      <c r="F25" s="238" t="n">
        <f aca="false">D25/$D$2</f>
        <v>-36.2994706327199</v>
      </c>
      <c r="G25" s="135" t="n">
        <v>62</v>
      </c>
      <c r="H25" s="239" t="n">
        <v>0.93</v>
      </c>
      <c r="I25" s="135" t="n">
        <f aca="false">G25+H25</f>
        <v>62.93</v>
      </c>
      <c r="J25" s="136" t="n">
        <f aca="false">IF(L25&gt;0,L25,0)</f>
        <v>0</v>
      </c>
      <c r="K25" s="135" t="n">
        <f aca="false">I25+J25</f>
        <v>62.93</v>
      </c>
      <c r="L25" s="135" t="n">
        <f aca="false">F25-(I25-AK25)</f>
        <v>-2.92947063271994</v>
      </c>
      <c r="M25" s="240" t="n">
        <v>4.3</v>
      </c>
      <c r="N25" s="135" t="n">
        <v>0</v>
      </c>
      <c r="O25" s="135" t="n">
        <v>0</v>
      </c>
      <c r="P25" s="155" t="n">
        <v>0</v>
      </c>
      <c r="Q25" s="131" t="n">
        <f aca="false">1121000/325851/1.9835*1.02</f>
        <v>1.76910871289778</v>
      </c>
      <c r="R25" s="131" t="n">
        <f aca="false">(1453115/325851/1.9835-T25)*1.04</f>
        <v>1.13297530610497</v>
      </c>
      <c r="S25" s="131" t="n">
        <v>0</v>
      </c>
      <c r="T25" s="131" t="n">
        <f aca="false">1.1143*1.04</f>
        <v>1.158872</v>
      </c>
      <c r="U25" s="96" t="n">
        <f aca="false">M25-(Q25+R25+S25+T25)</f>
        <v>0.239043980997249</v>
      </c>
      <c r="V25" s="135" t="n">
        <v>61</v>
      </c>
      <c r="W25" s="135" t="n">
        <v>0</v>
      </c>
      <c r="X25" s="135" t="n">
        <f aca="false">M25-N25-P25-O25-Q25-R25-S25-T25-U25+V25+W25</f>
        <v>61</v>
      </c>
      <c r="Y25" s="135" t="n">
        <f aca="false">X25-AO25</f>
        <v>61</v>
      </c>
      <c r="Z25" s="136"/>
      <c r="AA25" s="135"/>
      <c r="AB25" s="136"/>
      <c r="AC25" s="136"/>
      <c r="AD25" s="107"/>
      <c r="AE25" s="135" t="n">
        <v>0</v>
      </c>
      <c r="AF25" s="240"/>
      <c r="AG25" s="241"/>
      <c r="AH25" s="135" t="n">
        <v>31</v>
      </c>
      <c r="AI25" s="107" t="n">
        <f aca="false">AI24-AH25</f>
        <v>3914</v>
      </c>
      <c r="AJ25" s="107"/>
      <c r="AK25" s="134" t="n">
        <f aca="false">N25+O25+P25+Q25+R25+S25+T25+U25+X25+AE25+AH25</f>
        <v>96.3</v>
      </c>
      <c r="AL25" s="135" t="n">
        <f aca="false">IF(L25&lt;0,L25*-1,0)</f>
        <v>2.92947063271994</v>
      </c>
      <c r="AM25" s="135" t="n">
        <f aca="false">AK25+AL25</f>
        <v>99.2294706327199</v>
      </c>
      <c r="AN25" s="212" t="n">
        <f aca="false">V25</f>
        <v>61</v>
      </c>
      <c r="AO25" s="136" t="n">
        <v>0</v>
      </c>
      <c r="AP25" s="213"/>
      <c r="AV25" s="214" t="n">
        <v>0</v>
      </c>
      <c r="AW25" s="107" t="n">
        <v>47</v>
      </c>
      <c r="AX25" s="207" t="n">
        <v>27</v>
      </c>
      <c r="AY25" s="215"/>
      <c r="AZ25" s="242" t="n">
        <f aca="false">SUM(N25,P25:U25)</f>
        <v>4.3</v>
      </c>
    </row>
    <row r="26" customFormat="false" ht="12.95" hidden="false" customHeight="true" outlineLevel="0" collapsed="false">
      <c r="A26" s="179" t="n">
        <f aca="false">A25+1</f>
        <v>12</v>
      </c>
      <c r="B26" s="106" t="n">
        <v>6897.55</v>
      </c>
      <c r="C26" s="107" t="n">
        <v>274633</v>
      </c>
      <c r="D26" s="207" t="n">
        <f aca="false">C26-C25</f>
        <v>-36</v>
      </c>
      <c r="E26" s="107" t="n">
        <f aca="false">C26-152000</f>
        <v>122633</v>
      </c>
      <c r="F26" s="238" t="n">
        <f aca="false">D26/$D$2</f>
        <v>-18.14973531636</v>
      </c>
      <c r="G26" s="135" t="n">
        <v>61</v>
      </c>
      <c r="H26" s="239" t="n">
        <v>0.91</v>
      </c>
      <c r="I26" s="135" t="n">
        <f aca="false">G26+H26</f>
        <v>61.91</v>
      </c>
      <c r="J26" s="136" t="n">
        <f aca="false">IF(L26&gt;0,L26,0)</f>
        <v>16.04026468364</v>
      </c>
      <c r="K26" s="135" t="n">
        <f aca="false">I26+J26</f>
        <v>77.95026468364</v>
      </c>
      <c r="L26" s="135" t="n">
        <f aca="false">F26-(I26-AK26)</f>
        <v>16.04026468364</v>
      </c>
      <c r="M26" s="240" t="n">
        <v>4.1</v>
      </c>
      <c r="N26" s="135" t="n">
        <v>0</v>
      </c>
      <c r="O26" s="135" t="n">
        <v>0</v>
      </c>
      <c r="P26" s="155" t="n">
        <v>0</v>
      </c>
      <c r="Q26" s="131" t="n">
        <f aca="false">1344300/325851/1.9835*1.02</f>
        <v>2.1215101184197</v>
      </c>
      <c r="R26" s="131" t="n">
        <f aca="false">(1745816/325851/1.9835-T26)*1.04</f>
        <v>1.60395944574644</v>
      </c>
      <c r="S26" s="131" t="n">
        <v>0</v>
      </c>
      <c r="T26" s="131" t="n">
        <f aca="false">1.1143*1.04</f>
        <v>1.158872</v>
      </c>
      <c r="U26" s="96" t="n">
        <f aca="false">M26-(Q26+R26+S26+T26)</f>
        <v>-0.784341564166139</v>
      </c>
      <c r="V26" s="135" t="n">
        <v>61</v>
      </c>
      <c r="W26" s="135" t="n">
        <v>0</v>
      </c>
      <c r="X26" s="135" t="n">
        <f aca="false">M26-N26-P26-O26-Q26-R26-S26-T26-U26+V26+W26</f>
        <v>61</v>
      </c>
      <c r="Y26" s="135" t="n">
        <f aca="false">X26-AO26</f>
        <v>61</v>
      </c>
      <c r="Z26" s="136"/>
      <c r="AA26" s="135"/>
      <c r="AB26" s="136"/>
      <c r="AC26" s="136" t="n">
        <v>14.2</v>
      </c>
      <c r="AD26" s="107"/>
      <c r="AE26" s="135" t="n">
        <v>0</v>
      </c>
      <c r="AF26" s="240"/>
      <c r="AG26" s="241"/>
      <c r="AH26" s="135" t="n">
        <v>31</v>
      </c>
      <c r="AI26" s="107" t="n">
        <f aca="false">AI25-AH26</f>
        <v>3883</v>
      </c>
      <c r="AJ26" s="107"/>
      <c r="AK26" s="134" t="n">
        <f aca="false">N26+O26+P26+Q26+R26+S26+T26+U26+X26+AE26+AH26</f>
        <v>96.1</v>
      </c>
      <c r="AL26" s="135" t="n">
        <f aca="false">IF(L26&lt;0,L26*-1,0)</f>
        <v>0</v>
      </c>
      <c r="AM26" s="135" t="n">
        <f aca="false">AK26+AL26</f>
        <v>96.1</v>
      </c>
      <c r="AN26" s="212" t="n">
        <f aca="false">V26</f>
        <v>61</v>
      </c>
      <c r="AO26" s="136" t="n">
        <v>0</v>
      </c>
      <c r="AP26" s="213"/>
      <c r="AV26" s="214" t="n">
        <v>0</v>
      </c>
      <c r="AW26" s="107" t="n">
        <v>53</v>
      </c>
      <c r="AX26" s="207" t="n">
        <v>27</v>
      </c>
      <c r="AY26" s="215"/>
      <c r="AZ26" s="242" t="n">
        <f aca="false">SUM(N26,P26:U26)</f>
        <v>4.1</v>
      </c>
    </row>
    <row r="27" customFormat="false" ht="12.95" hidden="false" customHeight="true" outlineLevel="0" collapsed="false">
      <c r="A27" s="179" t="n">
        <f aca="false">A26+1</f>
        <v>13</v>
      </c>
      <c r="B27" s="106" t="n">
        <v>6897.53</v>
      </c>
      <c r="C27" s="107" t="n">
        <v>274560</v>
      </c>
      <c r="D27" s="207" t="n">
        <f aca="false">C27-C26</f>
        <v>-73</v>
      </c>
      <c r="E27" s="107" t="n">
        <f aca="false">C27-152000</f>
        <v>122560</v>
      </c>
      <c r="F27" s="238" t="n">
        <f aca="false">D27/$D$2</f>
        <v>-36.8036299470633</v>
      </c>
      <c r="G27" s="135" t="n">
        <v>61</v>
      </c>
      <c r="H27" s="239" t="n">
        <v>0.93</v>
      </c>
      <c r="I27" s="135" t="n">
        <f aca="false">G27+H27</f>
        <v>61.93</v>
      </c>
      <c r="J27" s="136" t="n">
        <f aca="false">IF(L27&gt;0,L27,0)</f>
        <v>0</v>
      </c>
      <c r="K27" s="135" t="n">
        <f aca="false">I27+J27</f>
        <v>61.93</v>
      </c>
      <c r="L27" s="135" t="n">
        <f aca="false">F27-(I27-AK27)</f>
        <v>-3.43362994706327</v>
      </c>
      <c r="M27" s="240" t="n">
        <v>3.3</v>
      </c>
      <c r="N27" s="135" t="n">
        <v>0</v>
      </c>
      <c r="O27" s="135" t="n">
        <v>0</v>
      </c>
      <c r="P27" s="155" t="n">
        <v>0</v>
      </c>
      <c r="Q27" s="131" t="n">
        <f aca="false">1207300/325851/1.9835*1.02</f>
        <v>1.90530325520204</v>
      </c>
      <c r="R27" s="131" t="n">
        <f aca="false">(1771776/325851/1.9835-T27)*1.04</f>
        <v>1.64573158955563</v>
      </c>
      <c r="S27" s="131" t="n">
        <v>0</v>
      </c>
      <c r="T27" s="131" t="n">
        <f aca="false">1.1143*1.04</f>
        <v>1.158872</v>
      </c>
      <c r="U27" s="96" t="n">
        <f aca="false">M27-(Q27+R27+S27+T27)</f>
        <v>-1.40990684475767</v>
      </c>
      <c r="V27" s="135" t="n">
        <v>61</v>
      </c>
      <c r="W27" s="135" t="n">
        <v>0</v>
      </c>
      <c r="X27" s="135" t="n">
        <f aca="false">M27-N27-P27-O27-Q27-R27-S27-T27-U27+V27+W27</f>
        <v>61</v>
      </c>
      <c r="Y27" s="135" t="n">
        <f aca="false">X27-AO27</f>
        <v>61</v>
      </c>
      <c r="Z27" s="136"/>
      <c r="AA27" s="135"/>
      <c r="AB27" s="136"/>
      <c r="AC27" s="136"/>
      <c r="AD27" s="107"/>
      <c r="AE27" s="135" t="n">
        <v>0</v>
      </c>
      <c r="AF27" s="240"/>
      <c r="AG27" s="241"/>
      <c r="AH27" s="135" t="n">
        <v>31</v>
      </c>
      <c r="AI27" s="107" t="n">
        <f aca="false">AI26-AH27</f>
        <v>3852</v>
      </c>
      <c r="AJ27" s="107"/>
      <c r="AK27" s="134" t="n">
        <f aca="false">N27+O27+P27+Q27+R27+S27+T27+U27+X27+AE27+AH27</f>
        <v>95.3</v>
      </c>
      <c r="AL27" s="135" t="n">
        <f aca="false">IF(L27&lt;0,L27*-1,0)</f>
        <v>3.43362994706327</v>
      </c>
      <c r="AM27" s="135" t="n">
        <f aca="false">AK27+AL27</f>
        <v>98.7336299470633</v>
      </c>
      <c r="AN27" s="212" t="n">
        <f aca="false">V27</f>
        <v>61</v>
      </c>
      <c r="AO27" s="136" t="n">
        <v>0</v>
      </c>
      <c r="AP27" s="213"/>
      <c r="AV27" s="214" t="n">
        <v>0</v>
      </c>
      <c r="AW27" s="107" t="n">
        <v>54</v>
      </c>
      <c r="AX27" s="207" t="n">
        <v>17</v>
      </c>
      <c r="AY27" s="215"/>
      <c r="AZ27" s="242" t="n">
        <f aca="false">SUM(N27,P27:U27)</f>
        <v>3.3</v>
      </c>
    </row>
    <row r="28" customFormat="false" ht="12.95" hidden="false" customHeight="true" outlineLevel="0" collapsed="false">
      <c r="A28" s="179" t="n">
        <f aca="false">A27+1</f>
        <v>14</v>
      </c>
      <c r="B28" s="106" t="n">
        <v>6897.51</v>
      </c>
      <c r="C28" s="107" t="n">
        <v>274488</v>
      </c>
      <c r="D28" s="207" t="n">
        <f aca="false">C28-C27</f>
        <v>-72</v>
      </c>
      <c r="E28" s="107" t="n">
        <f aca="false">C28-152000</f>
        <v>122488</v>
      </c>
      <c r="F28" s="238" t="n">
        <f aca="false">D28/$D$2</f>
        <v>-36.2994706327199</v>
      </c>
      <c r="G28" s="135" t="n">
        <v>63</v>
      </c>
      <c r="H28" s="239" t="n">
        <v>1.1</v>
      </c>
      <c r="I28" s="135" t="n">
        <f aca="false">G28+H28</f>
        <v>64.1</v>
      </c>
      <c r="J28" s="136" t="n">
        <f aca="false">IF(L28&gt;0,L28,0)</f>
        <v>0</v>
      </c>
      <c r="K28" s="135" t="n">
        <f aca="false">I28+J28</f>
        <v>64.1</v>
      </c>
      <c r="L28" s="135" t="n">
        <f aca="false">F28-(I28-AK28)</f>
        <v>-3.73947063271994</v>
      </c>
      <c r="M28" s="240" t="n">
        <v>4.66</v>
      </c>
      <c r="N28" s="135" t="n">
        <v>0</v>
      </c>
      <c r="O28" s="135" t="n">
        <v>0</v>
      </c>
      <c r="P28" s="155" t="n">
        <v>0</v>
      </c>
      <c r="Q28" s="131" t="n">
        <f aca="false">1136700/325851/1.9835*1.02</f>
        <v>1.79388570379206</v>
      </c>
      <c r="R28" s="131" t="n">
        <f aca="false">(1981166/325851/1.9835-T28)*1.04</f>
        <v>1.98266029495645</v>
      </c>
      <c r="S28" s="131" t="n">
        <v>0</v>
      </c>
      <c r="T28" s="131" t="n">
        <f aca="false">1.1143*1.04</f>
        <v>1.158872</v>
      </c>
      <c r="U28" s="96" t="n">
        <f aca="false">M28-(Q28+R28+S28+T28)</f>
        <v>-0.275417998748516</v>
      </c>
      <c r="V28" s="135" t="n">
        <v>61</v>
      </c>
      <c r="W28" s="135" t="n">
        <v>0</v>
      </c>
      <c r="X28" s="135" t="n">
        <f aca="false">M28-N28-P28-O28-Q28-R28-S28-T28-U28+V28+W28</f>
        <v>61</v>
      </c>
      <c r="Y28" s="135" t="n">
        <f aca="false">X28-AO28</f>
        <v>61</v>
      </c>
      <c r="Z28" s="136"/>
      <c r="AA28" s="135"/>
      <c r="AB28" s="136"/>
      <c r="AC28" s="136"/>
      <c r="AD28" s="107"/>
      <c r="AE28" s="135" t="n">
        <v>0</v>
      </c>
      <c r="AF28" s="240"/>
      <c r="AG28" s="241"/>
      <c r="AH28" s="135" t="n">
        <v>31</v>
      </c>
      <c r="AI28" s="107" t="n">
        <f aca="false">AI27-AH28</f>
        <v>3821</v>
      </c>
      <c r="AJ28" s="107"/>
      <c r="AK28" s="134" t="n">
        <f aca="false">N28+O28+P28+Q28+R28+S28+T28+U28+X28+AE28+AH28</f>
        <v>96.66</v>
      </c>
      <c r="AL28" s="135" t="n">
        <f aca="false">IF(L28&lt;0,L28*-1,0)</f>
        <v>3.73947063271994</v>
      </c>
      <c r="AM28" s="135" t="n">
        <f aca="false">AK28+AL28</f>
        <v>100.39947063272</v>
      </c>
      <c r="AN28" s="212" t="n">
        <f aca="false">V28</f>
        <v>61</v>
      </c>
      <c r="AO28" s="136" t="n">
        <v>0</v>
      </c>
      <c r="AP28" s="213"/>
      <c r="AV28" s="214" t="n">
        <v>0</v>
      </c>
      <c r="AW28" s="107" t="n">
        <v>55</v>
      </c>
      <c r="AX28" s="207" t="n">
        <v>19</v>
      </c>
      <c r="AY28" s="215"/>
      <c r="AZ28" s="242" t="n">
        <f aca="false">SUM(N28,P28:U28)</f>
        <v>4.66</v>
      </c>
    </row>
    <row r="29" customFormat="false" ht="12.95" hidden="false" customHeight="true" outlineLevel="0" collapsed="false">
      <c r="A29" s="179" t="n">
        <f aca="false">A28+1</f>
        <v>15</v>
      </c>
      <c r="B29" s="106" t="n">
        <v>6897.49</v>
      </c>
      <c r="C29" s="107" t="n">
        <v>274415</v>
      </c>
      <c r="D29" s="207" t="n">
        <f aca="false">C29-C28</f>
        <v>-73</v>
      </c>
      <c r="E29" s="107" t="n">
        <f aca="false">C29-152000</f>
        <v>122415</v>
      </c>
      <c r="F29" s="238" t="n">
        <f aca="false">D29/$D$2</f>
        <v>-36.8036299470633</v>
      </c>
      <c r="G29" s="135" t="n">
        <v>64</v>
      </c>
      <c r="H29" s="239" t="n">
        <v>1.4</v>
      </c>
      <c r="I29" s="135" t="n">
        <f aca="false">G29+H29</f>
        <v>65.4</v>
      </c>
      <c r="J29" s="136" t="n">
        <f aca="false">IF(L29&gt;0,L29,0)</f>
        <v>0.996370052936726</v>
      </c>
      <c r="K29" s="135" t="n">
        <f aca="false">I29+J29</f>
        <v>66.3963700529367</v>
      </c>
      <c r="L29" s="135" t="n">
        <f aca="false">F29-(I29-AK29)</f>
        <v>0.996370052936726</v>
      </c>
      <c r="M29" s="240" t="n">
        <v>4.2</v>
      </c>
      <c r="N29" s="135" t="n">
        <v>0</v>
      </c>
      <c r="O29" s="135" t="n">
        <v>0</v>
      </c>
      <c r="P29" s="155" t="n">
        <v>0</v>
      </c>
      <c r="Q29" s="131" t="n">
        <f aca="false">1096300/325851/1.9835*1.02</f>
        <v>1.73012835142715</v>
      </c>
      <c r="R29" s="131" t="n">
        <f aca="false">(2424835/325851/1.9835-T29)*1.04</f>
        <v>2.76221962727069</v>
      </c>
      <c r="S29" s="131" t="n">
        <v>0</v>
      </c>
      <c r="T29" s="131" t="n">
        <f aca="false">1.0536*1.04</f>
        <v>1.095744</v>
      </c>
      <c r="U29" s="96" t="n">
        <f aca="false">M29-(Q29+R29+S29+T29)</f>
        <v>-1.38809197869784</v>
      </c>
      <c r="V29" s="135" t="n">
        <v>68</v>
      </c>
      <c r="W29" s="135" t="n">
        <v>0</v>
      </c>
      <c r="X29" s="135" t="n">
        <f aca="false">M29-N29-P29-O29-Q29-R29-S29-T29-U29+V29+W29</f>
        <v>68</v>
      </c>
      <c r="Y29" s="135" t="n">
        <f aca="false">X29-AO29</f>
        <v>68</v>
      </c>
      <c r="Z29" s="136"/>
      <c r="AA29" s="135"/>
      <c r="AB29" s="136"/>
      <c r="AC29" s="136"/>
      <c r="AD29" s="107"/>
      <c r="AE29" s="135" t="n">
        <v>0</v>
      </c>
      <c r="AF29" s="240"/>
      <c r="AG29" s="241"/>
      <c r="AH29" s="135" t="n">
        <v>31</v>
      </c>
      <c r="AI29" s="107" t="n">
        <f aca="false">AI28-AH29</f>
        <v>3790</v>
      </c>
      <c r="AJ29" s="107"/>
      <c r="AK29" s="134" t="n">
        <f aca="false">N29+O29+P29+Q29+R29+S29+T29+U29+X29+AE29+AH29</f>
        <v>103.2</v>
      </c>
      <c r="AL29" s="135" t="n">
        <f aca="false">IF(L29&lt;0,L29*-1,0)</f>
        <v>0</v>
      </c>
      <c r="AM29" s="135" t="n">
        <f aca="false">AK29+AL29</f>
        <v>103.2</v>
      </c>
      <c r="AN29" s="212" t="n">
        <f aca="false">V29</f>
        <v>68</v>
      </c>
      <c r="AO29" s="136" t="n">
        <v>0</v>
      </c>
      <c r="AP29" s="213"/>
      <c r="AV29" s="214" t="n">
        <v>0.04</v>
      </c>
      <c r="AW29" s="107" t="n">
        <v>45</v>
      </c>
      <c r="AX29" s="207" t="n">
        <v>25</v>
      </c>
      <c r="AY29" s="215"/>
      <c r="AZ29" s="242" t="n">
        <f aca="false">SUM(N29,P29:U29)</f>
        <v>4.2</v>
      </c>
    </row>
    <row r="30" customFormat="false" ht="12.95" hidden="false" customHeight="true" outlineLevel="0" collapsed="false">
      <c r="A30" s="179" t="n">
        <f aca="false">A29+1</f>
        <v>16</v>
      </c>
      <c r="B30" s="106" t="n">
        <v>6897.46</v>
      </c>
      <c r="C30" s="107" t="n">
        <v>274307</v>
      </c>
      <c r="D30" s="207" t="n">
        <f aca="false">C30-C29</f>
        <v>-108</v>
      </c>
      <c r="E30" s="107" t="n">
        <f aca="false">C30-152000</f>
        <v>122307</v>
      </c>
      <c r="F30" s="238" t="n">
        <f aca="false">D30/$D$2</f>
        <v>-54.4492059490799</v>
      </c>
      <c r="G30" s="135" t="n">
        <v>75</v>
      </c>
      <c r="H30" s="239" t="n">
        <v>1.7</v>
      </c>
      <c r="I30" s="135" t="n">
        <f aca="false">G30+H30</f>
        <v>76.7</v>
      </c>
      <c r="J30" s="136" t="n">
        <f aca="false">IF(L30&gt;0,L30,0)</f>
        <v>0</v>
      </c>
      <c r="K30" s="135" t="n">
        <f aca="false">I30+J30</f>
        <v>76.7</v>
      </c>
      <c r="L30" s="135" t="n">
        <f aca="false">F30-(I30-AK30)</f>
        <v>-30.9492059490799</v>
      </c>
      <c r="M30" s="240" t="n">
        <v>4.2</v>
      </c>
      <c r="N30" s="135" t="n">
        <v>0</v>
      </c>
      <c r="O30" s="135" t="n">
        <v>0</v>
      </c>
      <c r="P30" s="155" t="n">
        <v>0</v>
      </c>
      <c r="Q30" s="131" t="n">
        <f aca="false">1166200/325851/1.9835*1.02</f>
        <v>1.84044119623674</v>
      </c>
      <c r="R30" s="131" t="n">
        <f aca="false">(1625852/325851/1.9835-T30)*1.04</f>
        <v>1.47657891937028</v>
      </c>
      <c r="S30" s="131" t="n">
        <v>0</v>
      </c>
      <c r="T30" s="131" t="n">
        <f aca="false">1.0536*1.04</f>
        <v>1.095744</v>
      </c>
      <c r="U30" s="96" t="n">
        <f aca="false">M30-(Q30+R30+S30+T30)</f>
        <v>-0.212764115607021</v>
      </c>
      <c r="V30" s="135" t="n">
        <v>65</v>
      </c>
      <c r="W30" s="135" t="n">
        <v>0</v>
      </c>
      <c r="X30" s="135" t="n">
        <f aca="false">M30-N30-P30-O30-Q30-R30-S30-T30-U30+V30+W30</f>
        <v>65</v>
      </c>
      <c r="Y30" s="135" t="n">
        <f aca="false">X30-AO30</f>
        <v>65</v>
      </c>
      <c r="Z30" s="136"/>
      <c r="AA30" s="135"/>
      <c r="AB30" s="136"/>
      <c r="AC30" s="136"/>
      <c r="AD30" s="107"/>
      <c r="AE30" s="135" t="n">
        <v>0</v>
      </c>
      <c r="AF30" s="240"/>
      <c r="AG30" s="241"/>
      <c r="AH30" s="135" t="n">
        <v>31</v>
      </c>
      <c r="AI30" s="107" t="n">
        <f aca="false">AI29-AH30</f>
        <v>3759</v>
      </c>
      <c r="AJ30" s="107"/>
      <c r="AK30" s="134" t="n">
        <f aca="false">N30+O30+P30+Q30+R30+S30+T30+U30+X30+AE30+AH30</f>
        <v>100.2</v>
      </c>
      <c r="AL30" s="135" t="n">
        <f aca="false">IF(L30&lt;0,L30*-1,0)</f>
        <v>30.9492059490799</v>
      </c>
      <c r="AM30" s="135" t="n">
        <f aca="false">AK30+AL30</f>
        <v>131.14920594908</v>
      </c>
      <c r="AN30" s="212" t="n">
        <f aca="false">V30</f>
        <v>65</v>
      </c>
      <c r="AO30" s="136" t="n">
        <v>0</v>
      </c>
      <c r="AP30" s="213"/>
      <c r="AV30" s="214" t="n">
        <v>0.2</v>
      </c>
      <c r="AW30" s="107" t="n">
        <v>37</v>
      </c>
      <c r="AX30" s="207" t="n">
        <v>30</v>
      </c>
      <c r="AY30" s="215"/>
      <c r="AZ30" s="242" t="n">
        <f aca="false">SUM(N30,P30:U30)</f>
        <v>4.2</v>
      </c>
    </row>
    <row r="31" customFormat="false" ht="12.95" hidden="false" customHeight="true" outlineLevel="0" collapsed="false">
      <c r="A31" s="179" t="n">
        <f aca="false">A30+1</f>
        <v>17</v>
      </c>
      <c r="B31" s="106" t="n">
        <v>6897.48</v>
      </c>
      <c r="C31" s="107" t="n">
        <v>274380</v>
      </c>
      <c r="D31" s="207" t="n">
        <f aca="false">C31-C30</f>
        <v>73</v>
      </c>
      <c r="E31" s="107" t="n">
        <f aca="false">C31-152000</f>
        <v>122380</v>
      </c>
      <c r="F31" s="238" t="n">
        <f aca="false">D31/$D$2</f>
        <v>36.8036299470633</v>
      </c>
      <c r="G31" s="135" t="n">
        <v>84</v>
      </c>
      <c r="H31" s="239" t="n">
        <v>1.9</v>
      </c>
      <c r="I31" s="135" t="n">
        <f aca="false">G31+H31</f>
        <v>85.9</v>
      </c>
      <c r="J31" s="136" t="n">
        <f aca="false">IF(L31&gt;0,L31,0)</f>
        <v>45.1036299470633</v>
      </c>
      <c r="K31" s="135" t="n">
        <f aca="false">I31+J31</f>
        <v>131.003629947063</v>
      </c>
      <c r="L31" s="135" t="n">
        <f aca="false">F31-(I31-AK31)</f>
        <v>45.1036299470633</v>
      </c>
      <c r="M31" s="240" t="n">
        <v>4.2</v>
      </c>
      <c r="N31" s="135" t="n">
        <v>0</v>
      </c>
      <c r="O31" s="135" t="n">
        <v>0</v>
      </c>
      <c r="P31" s="155" t="n">
        <v>0</v>
      </c>
      <c r="Q31" s="131" t="n">
        <f aca="false">1016800/325851/1.9835*1.02</f>
        <v>1.60466524466945</v>
      </c>
      <c r="R31" s="131" t="n">
        <f aca="false">(1411987/325851/1.9835-T31)*1.04</f>
        <v>0.916994787361361</v>
      </c>
      <c r="S31" s="131" t="n">
        <v>0</v>
      </c>
      <c r="T31" s="131" t="n">
        <f aca="false">1.2528*1.04</f>
        <v>1.302912</v>
      </c>
      <c r="U31" s="96" t="n">
        <f aca="false">M31-(Q31+R31+S31+T31)</f>
        <v>0.375427967969184</v>
      </c>
      <c r="V31" s="135" t="n">
        <v>59</v>
      </c>
      <c r="W31" s="135" t="n">
        <v>0</v>
      </c>
      <c r="X31" s="135" t="n">
        <f aca="false">M31-N31-P31-O31-Q31-R31-S31-T31-U31+V31+W31</f>
        <v>59</v>
      </c>
      <c r="Y31" s="135" t="n">
        <f aca="false">X31-AO31</f>
        <v>59</v>
      </c>
      <c r="Z31" s="136"/>
      <c r="AA31" s="135"/>
      <c r="AB31" s="136"/>
      <c r="AC31" s="136" t="n">
        <v>13.7</v>
      </c>
      <c r="AD31" s="107"/>
      <c r="AE31" s="135" t="n">
        <v>0</v>
      </c>
      <c r="AF31" s="240"/>
      <c r="AG31" s="241"/>
      <c r="AH31" s="135" t="n">
        <v>31</v>
      </c>
      <c r="AI31" s="107" t="n">
        <f aca="false">AI30-AH31</f>
        <v>3728</v>
      </c>
      <c r="AJ31" s="107"/>
      <c r="AK31" s="134" t="n">
        <f aca="false">N31+O31+P31+Q31+R31+S31+T31+U31+X31+AE31+AH31</f>
        <v>94.2</v>
      </c>
      <c r="AL31" s="135" t="n">
        <f aca="false">IF(L31&lt;0,L31*-1,0)</f>
        <v>0</v>
      </c>
      <c r="AM31" s="135" t="n">
        <f aca="false">AK31+AL31</f>
        <v>94.2</v>
      </c>
      <c r="AN31" s="212" t="n">
        <f aca="false">V31</f>
        <v>59</v>
      </c>
      <c r="AO31" s="136" t="n">
        <v>0</v>
      </c>
      <c r="AP31" s="213"/>
      <c r="AV31" s="214" t="n">
        <v>0.06</v>
      </c>
      <c r="AW31" s="107" t="n">
        <v>39</v>
      </c>
      <c r="AX31" s="207" t="n">
        <v>22</v>
      </c>
      <c r="AY31" s="215"/>
      <c r="AZ31" s="242" t="n">
        <f aca="false">SUM(N31,P31:U31)</f>
        <v>4.2</v>
      </c>
    </row>
    <row r="32" customFormat="false" ht="12.95" hidden="false" customHeight="true" outlineLevel="0" collapsed="false">
      <c r="A32" s="179" t="n">
        <f aca="false">A31+1</f>
        <v>18</v>
      </c>
      <c r="B32" s="106" t="n">
        <v>6897.5</v>
      </c>
      <c r="C32" s="107" t="n">
        <v>274452</v>
      </c>
      <c r="D32" s="207" t="n">
        <f aca="false">C32-C31</f>
        <v>72</v>
      </c>
      <c r="E32" s="107" t="n">
        <f aca="false">C32-152000</f>
        <v>122452</v>
      </c>
      <c r="F32" s="238" t="n">
        <f aca="false">D32/$D$2</f>
        <v>36.2994706327199</v>
      </c>
      <c r="G32" s="135" t="n">
        <v>91</v>
      </c>
      <c r="H32" s="239" t="n">
        <v>2.8</v>
      </c>
      <c r="I32" s="135" t="n">
        <f aca="false">G32+H32</f>
        <v>93.8</v>
      </c>
      <c r="J32" s="136" t="n">
        <f aca="false">IF(L32&gt;0,L32,0)</f>
        <v>36.6994706327199</v>
      </c>
      <c r="K32" s="135" t="n">
        <f aca="false">I32+J32</f>
        <v>130.49947063272</v>
      </c>
      <c r="L32" s="135" t="n">
        <f aca="false">F32-(I32-AK32)</f>
        <v>36.6994706327199</v>
      </c>
      <c r="M32" s="240" t="n">
        <v>4.2</v>
      </c>
      <c r="N32" s="135" t="n">
        <v>0</v>
      </c>
      <c r="O32" s="135" t="n">
        <v>0</v>
      </c>
      <c r="P32" s="155" t="n">
        <v>0</v>
      </c>
      <c r="Q32" s="131" t="n">
        <f aca="false">967900/325851/1.9835*1.02</f>
        <v>1.52749359787133</v>
      </c>
      <c r="R32" s="131" t="n">
        <f aca="false">(1857879/325851/1.9835-T32)*1.04</f>
        <v>1.63447802108114</v>
      </c>
      <c r="S32" s="131" t="n">
        <v>0</v>
      </c>
      <c r="T32" s="131" t="n">
        <f aca="false">1.2528*1.04</f>
        <v>1.302912</v>
      </c>
      <c r="U32" s="96" t="n">
        <f aca="false">M32-(Q32+R32+S32+T32)</f>
        <v>-0.264883618952469</v>
      </c>
      <c r="V32" s="135" t="n">
        <v>59</v>
      </c>
      <c r="W32" s="135" t="n">
        <v>0</v>
      </c>
      <c r="X32" s="135" t="n">
        <f aca="false">M32-N32-P32-O32-Q32-R32-S32-T32-U32+V32+W32</f>
        <v>59</v>
      </c>
      <c r="Y32" s="135" t="n">
        <f aca="false">X32-AO32</f>
        <v>59</v>
      </c>
      <c r="Z32" s="136"/>
      <c r="AA32" s="135"/>
      <c r="AB32" s="136"/>
      <c r="AC32" s="136" t="n">
        <v>10.7</v>
      </c>
      <c r="AD32" s="107"/>
      <c r="AE32" s="135" t="n">
        <v>0</v>
      </c>
      <c r="AF32" s="240"/>
      <c r="AG32" s="241"/>
      <c r="AH32" s="135" t="n">
        <v>31</v>
      </c>
      <c r="AI32" s="107" t="n">
        <f aca="false">AI31-AH32</f>
        <v>3697</v>
      </c>
      <c r="AJ32" s="107"/>
      <c r="AK32" s="134" t="n">
        <f aca="false">N32+O32+P32+Q32+R32+S32+T32+U32+X32+AE32+AH32</f>
        <v>94.2</v>
      </c>
      <c r="AL32" s="135" t="n">
        <f aca="false">IF(L32&lt;0,L32*-1,0)</f>
        <v>0</v>
      </c>
      <c r="AM32" s="135" t="n">
        <f aca="false">AK32+AL32</f>
        <v>94.2</v>
      </c>
      <c r="AN32" s="212" t="n">
        <f aca="false">V32</f>
        <v>59</v>
      </c>
      <c r="AO32" s="136" t="n">
        <v>0</v>
      </c>
      <c r="AP32" s="213"/>
      <c r="AV32" s="214" t="n">
        <v>0.4</v>
      </c>
      <c r="AW32" s="107" t="n">
        <v>36</v>
      </c>
      <c r="AX32" s="207" t="n">
        <v>30</v>
      </c>
      <c r="AY32" s="215"/>
      <c r="AZ32" s="242" t="n">
        <f aca="false">SUM(N32,P32:U32)</f>
        <v>4.2</v>
      </c>
    </row>
    <row r="33" customFormat="false" ht="12.95" hidden="false" customHeight="true" outlineLevel="0" collapsed="false">
      <c r="A33" s="179" t="n">
        <f aca="false">A32+1</f>
        <v>19</v>
      </c>
      <c r="B33" s="106" t="n">
        <v>6897.52</v>
      </c>
      <c r="C33" s="107" t="n">
        <v>274524</v>
      </c>
      <c r="D33" s="207" t="n">
        <f aca="false">C33-C32</f>
        <v>72</v>
      </c>
      <c r="E33" s="107" t="n">
        <f aca="false">C33-152000</f>
        <v>122524</v>
      </c>
      <c r="F33" s="238" t="n">
        <f aca="false">D33/$D$2</f>
        <v>36.2994706327199</v>
      </c>
      <c r="G33" s="135" t="n">
        <v>96</v>
      </c>
      <c r="H33" s="239" t="n">
        <v>3.8</v>
      </c>
      <c r="I33" s="135" t="n">
        <f aca="false">G33+H33</f>
        <v>99.8</v>
      </c>
      <c r="J33" s="136" t="n">
        <f aca="false">IF(L33&gt;0,L33,0)</f>
        <v>31.6994706327199</v>
      </c>
      <c r="K33" s="135" t="n">
        <f aca="false">I33+J33</f>
        <v>131.49947063272</v>
      </c>
      <c r="L33" s="135" t="n">
        <f aca="false">F33-(I33-AK33)</f>
        <v>31.6994706327199</v>
      </c>
      <c r="M33" s="240" t="n">
        <v>4.2</v>
      </c>
      <c r="N33" s="135" t="n">
        <v>0</v>
      </c>
      <c r="O33" s="135" t="n">
        <v>0</v>
      </c>
      <c r="P33" s="155" t="n">
        <v>0</v>
      </c>
      <c r="Q33" s="131" t="n">
        <f aca="false">1145700/325851/1.9835*1.02</f>
        <v>1.80808907436841</v>
      </c>
      <c r="R33" s="131" t="n">
        <f aca="false">(1814288/325851/1.9835-T33)*1.04</f>
        <v>1.56433589778429</v>
      </c>
      <c r="S33" s="131" t="n">
        <v>0</v>
      </c>
      <c r="T33" s="131" t="n">
        <f aca="false">1.2528*1.04</f>
        <v>1.302912</v>
      </c>
      <c r="U33" s="96" t="n">
        <f aca="false">M33-(Q33+R33+S33+T33)</f>
        <v>-0.475336972152697</v>
      </c>
      <c r="V33" s="135" t="n">
        <v>59</v>
      </c>
      <c r="W33" s="135" t="n">
        <v>0</v>
      </c>
      <c r="X33" s="135" t="n">
        <f aca="false">M33-N33-P33-O33-Q33-R33-S33-T33-U33+V33+W33</f>
        <v>59</v>
      </c>
      <c r="Y33" s="135" t="n">
        <f aca="false">X33-AO33</f>
        <v>59</v>
      </c>
      <c r="Z33" s="136"/>
      <c r="AA33" s="135"/>
      <c r="AB33" s="136"/>
      <c r="AC33" s="136" t="n">
        <v>11.8</v>
      </c>
      <c r="AD33" s="107"/>
      <c r="AE33" s="135" t="n">
        <v>0</v>
      </c>
      <c r="AF33" s="240"/>
      <c r="AG33" s="241"/>
      <c r="AH33" s="135" t="n">
        <v>32</v>
      </c>
      <c r="AI33" s="107" t="n">
        <f aca="false">AI32-AH33</f>
        <v>3665</v>
      </c>
      <c r="AJ33" s="107"/>
      <c r="AK33" s="134" t="n">
        <f aca="false">N33+O33+P33+Q33+R33+S33+T33+U33+X33+AE33+AH33</f>
        <v>95.2</v>
      </c>
      <c r="AL33" s="135" t="n">
        <f aca="false">IF(L33&lt;0,L33*-1,0)</f>
        <v>0</v>
      </c>
      <c r="AM33" s="135" t="n">
        <f aca="false">AK33+AL33</f>
        <v>95.2</v>
      </c>
      <c r="AN33" s="212" t="n">
        <f aca="false">V33</f>
        <v>59</v>
      </c>
      <c r="AO33" s="136" t="n">
        <v>0</v>
      </c>
      <c r="AP33" s="213"/>
      <c r="AV33" s="214" t="n">
        <v>0.14</v>
      </c>
      <c r="AW33" s="107" t="n">
        <v>39</v>
      </c>
      <c r="AX33" s="207" t="n">
        <v>34</v>
      </c>
      <c r="AY33" s="215"/>
      <c r="AZ33" s="242" t="n">
        <f aca="false">SUM(N33,P33:U33)</f>
        <v>4.2</v>
      </c>
    </row>
    <row r="34" customFormat="false" ht="12.95" hidden="false" customHeight="true" outlineLevel="0" collapsed="false">
      <c r="A34" s="179" t="n">
        <f aca="false">A33+1</f>
        <v>20</v>
      </c>
      <c r="B34" s="106" t="n">
        <v>6897.56</v>
      </c>
      <c r="C34" s="107" t="n">
        <v>274669</v>
      </c>
      <c r="D34" s="207" t="n">
        <f aca="false">C34-C33</f>
        <v>145</v>
      </c>
      <c r="E34" s="107" t="n">
        <f aca="false">C34-152000</f>
        <v>122669</v>
      </c>
      <c r="F34" s="238" t="n">
        <f aca="false">D34/$D$2</f>
        <v>73.1031005797832</v>
      </c>
      <c r="G34" s="135" t="n">
        <v>108</v>
      </c>
      <c r="H34" s="239" t="n">
        <v>5.2</v>
      </c>
      <c r="I34" s="135" t="n">
        <f aca="false">G34+H34</f>
        <v>113.2</v>
      </c>
      <c r="J34" s="136" t="n">
        <f aca="false">IF(L34&gt;0,L34,0)</f>
        <v>55.1031005797832</v>
      </c>
      <c r="K34" s="135" t="n">
        <f aca="false">I34+J34</f>
        <v>168.303100579783</v>
      </c>
      <c r="L34" s="135" t="n">
        <f aca="false">F34-(I34-AK34)</f>
        <v>55.1031005797832</v>
      </c>
      <c r="M34" s="240" t="n">
        <v>4.2</v>
      </c>
      <c r="N34" s="135" t="n">
        <v>0</v>
      </c>
      <c r="O34" s="135" t="n">
        <v>0</v>
      </c>
      <c r="P34" s="155" t="n">
        <v>0</v>
      </c>
      <c r="Q34" s="131" t="n">
        <f aca="false">862900/325851/1.9835*1.02</f>
        <v>1.361787607814</v>
      </c>
      <c r="R34" s="131" t="n">
        <f aca="false">(1609452/325851/1.9835-T34)*1.04</f>
        <v>1.23473501761101</v>
      </c>
      <c r="S34" s="131" t="n">
        <v>0</v>
      </c>
      <c r="T34" s="131" t="n">
        <f aca="false">1.2528*1.04</f>
        <v>1.302912</v>
      </c>
      <c r="U34" s="96" t="n">
        <f aca="false">M34-(Q34+R34+S34+T34)</f>
        <v>0.300565374574992</v>
      </c>
      <c r="V34" s="135" t="n">
        <v>59</v>
      </c>
      <c r="W34" s="135" t="n">
        <v>0</v>
      </c>
      <c r="X34" s="135" t="n">
        <f aca="false">M34-N34-P34-O34-Q34-R34-S34-T34-U34+V34+W34</f>
        <v>59</v>
      </c>
      <c r="Y34" s="135" t="n">
        <f aca="false">X34-AO34</f>
        <v>59</v>
      </c>
      <c r="Z34" s="136"/>
      <c r="AA34" s="135"/>
      <c r="AB34" s="136"/>
      <c r="AC34" s="136" t="n">
        <v>26.2</v>
      </c>
      <c r="AD34" s="107"/>
      <c r="AE34" s="135" t="n">
        <v>0</v>
      </c>
      <c r="AF34" s="240"/>
      <c r="AG34" s="241"/>
      <c r="AH34" s="135" t="n">
        <v>32</v>
      </c>
      <c r="AI34" s="107" t="n">
        <f aca="false">AI33-AH34</f>
        <v>3633</v>
      </c>
      <c r="AJ34" s="107"/>
      <c r="AK34" s="134" t="n">
        <f aca="false">N34+O34+P34+Q34+R34+S34+T34+U34+X34+AE34+AH34</f>
        <v>95.2</v>
      </c>
      <c r="AL34" s="135" t="n">
        <f aca="false">IF(L34&lt;0,L34*-1,0)</f>
        <v>0</v>
      </c>
      <c r="AM34" s="135" t="n">
        <f aca="false">AK34+AL34</f>
        <v>95.2</v>
      </c>
      <c r="AN34" s="212" t="n">
        <f aca="false">V34</f>
        <v>59</v>
      </c>
      <c r="AO34" s="136" t="n">
        <v>0</v>
      </c>
      <c r="AP34" s="213"/>
      <c r="AV34" s="214" t="n">
        <v>0</v>
      </c>
      <c r="AW34" s="107" t="n">
        <v>43</v>
      </c>
      <c r="AX34" s="207" t="n">
        <v>34</v>
      </c>
      <c r="AY34" s="215"/>
      <c r="AZ34" s="242" t="n">
        <f aca="false">SUM(N34,P34:U34)</f>
        <v>4.2</v>
      </c>
    </row>
    <row r="35" customFormat="false" ht="12.95" hidden="false" customHeight="true" outlineLevel="0" collapsed="false">
      <c r="A35" s="179" t="n">
        <f aca="false">A34+1</f>
        <v>21</v>
      </c>
      <c r="B35" s="106" t="n">
        <v>6897.6</v>
      </c>
      <c r="C35" s="107" t="n">
        <v>274814</v>
      </c>
      <c r="D35" s="207" t="n">
        <f aca="false">C35-C34</f>
        <v>145</v>
      </c>
      <c r="E35" s="107" t="n">
        <f aca="false">C35-152000</f>
        <v>122814</v>
      </c>
      <c r="F35" s="238" t="n">
        <f aca="false">D35/$D$2</f>
        <v>73.1031005797832</v>
      </c>
      <c r="G35" s="135" t="n">
        <v>122</v>
      </c>
      <c r="H35" s="239" t="n">
        <v>5.7</v>
      </c>
      <c r="I35" s="135" t="n">
        <f aca="false">G35+H35</f>
        <v>127.7</v>
      </c>
      <c r="J35" s="136" t="n">
        <f aca="false">IF(L35&gt;0,L35,0)</f>
        <v>39.8231005797832</v>
      </c>
      <c r="K35" s="135" t="n">
        <f aca="false">I35+J35</f>
        <v>167.523100579783</v>
      </c>
      <c r="L35" s="135" t="n">
        <f aca="false">F35-(I35-AK35)</f>
        <v>39.8231005797832</v>
      </c>
      <c r="M35" s="240" t="n">
        <v>3.42</v>
      </c>
      <c r="N35" s="135" t="n">
        <v>0</v>
      </c>
      <c r="O35" s="135" t="n">
        <v>0</v>
      </c>
      <c r="P35" s="155" t="n">
        <v>0</v>
      </c>
      <c r="Q35" s="131" t="n">
        <f aca="false">1037800/325851/1.9835*1.02</f>
        <v>1.63780644268092</v>
      </c>
      <c r="R35" s="131" t="n">
        <f aca="false">(1745415/325851/1.9835-T35)*1.04</f>
        <v>1.4535125980705</v>
      </c>
      <c r="S35" s="131" t="n">
        <v>0</v>
      </c>
      <c r="T35" s="131" t="n">
        <f aca="false">1.2528*1.04</f>
        <v>1.302912</v>
      </c>
      <c r="U35" s="96" t="n">
        <f aca="false">M35-(Q35+R35+S35+T35)</f>
        <v>-0.974231040751421</v>
      </c>
      <c r="V35" s="135" t="n">
        <v>59</v>
      </c>
      <c r="W35" s="135" t="n">
        <v>0</v>
      </c>
      <c r="X35" s="135" t="n">
        <f aca="false">M35-N35-P35-O35-Q35-R35-S35-T35-U35+V35+W35</f>
        <v>59</v>
      </c>
      <c r="Y35" s="135" t="n">
        <f aca="false">X35-AO35</f>
        <v>59</v>
      </c>
      <c r="Z35" s="136"/>
      <c r="AA35" s="135"/>
      <c r="AB35" s="136"/>
      <c r="AC35" s="136" t="n">
        <v>24.9</v>
      </c>
      <c r="AD35" s="107"/>
      <c r="AE35" s="135" t="n">
        <v>0</v>
      </c>
      <c r="AF35" s="240"/>
      <c r="AG35" s="241"/>
      <c r="AH35" s="135" t="n">
        <v>32</v>
      </c>
      <c r="AI35" s="107" t="n">
        <f aca="false">AI34-AH35</f>
        <v>3601</v>
      </c>
      <c r="AJ35" s="107"/>
      <c r="AK35" s="134" t="n">
        <f aca="false">N35+O35+P35+Q35+R35+S35+T35+U35+X35+AE35+AH35</f>
        <v>94.42</v>
      </c>
      <c r="AL35" s="135" t="n">
        <f aca="false">IF(L35&lt;0,L35*-1,0)</f>
        <v>0</v>
      </c>
      <c r="AM35" s="135" t="n">
        <f aca="false">AK35+AL35</f>
        <v>94.42</v>
      </c>
      <c r="AN35" s="212" t="n">
        <f aca="false">V35</f>
        <v>59</v>
      </c>
      <c r="AO35" s="136" t="n">
        <v>0</v>
      </c>
      <c r="AP35" s="213"/>
      <c r="AV35" s="214" t="n">
        <v>0.3</v>
      </c>
      <c r="AW35" s="107" t="n">
        <v>43</v>
      </c>
      <c r="AX35" s="207" t="n">
        <v>32</v>
      </c>
      <c r="AY35" s="215"/>
      <c r="AZ35" s="242" t="n">
        <f aca="false">SUM(N35,P35:U35)</f>
        <v>3.42</v>
      </c>
    </row>
    <row r="36" customFormat="false" ht="12.95" hidden="false" customHeight="true" outlineLevel="0" collapsed="false">
      <c r="A36" s="179" t="n">
        <f aca="false">A35+1</f>
        <v>22</v>
      </c>
      <c r="B36" s="106" t="n">
        <v>6897.65</v>
      </c>
      <c r="C36" s="107" t="n">
        <v>274995</v>
      </c>
      <c r="D36" s="207" t="n">
        <f aca="false">C36-C35</f>
        <v>181</v>
      </c>
      <c r="E36" s="107" t="n">
        <f aca="false">C36-152000</f>
        <v>122995</v>
      </c>
      <c r="F36" s="238" t="n">
        <f aca="false">D36/$D$2</f>
        <v>91.2528358961432</v>
      </c>
      <c r="G36" s="135" t="n">
        <v>108</v>
      </c>
      <c r="H36" s="239" t="n">
        <v>6</v>
      </c>
      <c r="I36" s="135" t="n">
        <f aca="false">G36+H36</f>
        <v>114</v>
      </c>
      <c r="J36" s="136" t="n">
        <f aca="false">IF(L36&gt;0,L36,0)</f>
        <v>73.0328358961432</v>
      </c>
      <c r="K36" s="135" t="n">
        <f aca="false">I36+J36</f>
        <v>187.032835896143</v>
      </c>
      <c r="L36" s="135" t="n">
        <f aca="false">F36-(I36-AK36)</f>
        <v>73.0328358961432</v>
      </c>
      <c r="M36" s="240" t="n">
        <v>4.78</v>
      </c>
      <c r="N36" s="135" t="n">
        <v>0</v>
      </c>
      <c r="O36" s="135" t="n">
        <v>0</v>
      </c>
      <c r="P36" s="155" t="n">
        <v>0</v>
      </c>
      <c r="Q36" s="131" t="n">
        <f aca="false">1007900/325851/1.9835*1.02</f>
        <v>1.59061968932174</v>
      </c>
      <c r="R36" s="131" t="n">
        <f aca="false">(1812416/325851/1.9835-T36)*1.04</f>
        <v>1.56132366923226</v>
      </c>
      <c r="S36" s="131" t="n">
        <v>0</v>
      </c>
      <c r="T36" s="131" t="n">
        <f aca="false">1.2528*1.04</f>
        <v>1.302912</v>
      </c>
      <c r="U36" s="96" t="n">
        <f aca="false">M36-(Q36+R36+S36+T36)</f>
        <v>0.325144641446003</v>
      </c>
      <c r="V36" s="135" t="n">
        <v>59</v>
      </c>
      <c r="W36" s="135" t="n">
        <v>0</v>
      </c>
      <c r="X36" s="135" t="n">
        <f aca="false">M36-N36-P36-O36-Q36-R36-S36-T36-U36+V36+W36</f>
        <v>59</v>
      </c>
      <c r="Y36" s="135" t="n">
        <f aca="false">X36-AO36</f>
        <v>59</v>
      </c>
      <c r="Z36" s="136"/>
      <c r="AA36" s="135"/>
      <c r="AB36" s="136"/>
      <c r="AC36" s="136" t="n">
        <v>33.2</v>
      </c>
      <c r="AD36" s="107"/>
      <c r="AE36" s="135" t="n">
        <v>0</v>
      </c>
      <c r="AF36" s="240"/>
      <c r="AG36" s="241"/>
      <c r="AH36" s="135" t="n">
        <v>32</v>
      </c>
      <c r="AI36" s="107" t="n">
        <f aca="false">AI35-AH36</f>
        <v>3569</v>
      </c>
      <c r="AJ36" s="107"/>
      <c r="AK36" s="134" t="n">
        <f aca="false">N36+O36+P36+Q36+R36+S36+T36+U36+X36+AE36+AH36</f>
        <v>95.78</v>
      </c>
      <c r="AL36" s="135" t="n">
        <f aca="false">IF(L36&lt;0,L36*-1,0)</f>
        <v>0</v>
      </c>
      <c r="AM36" s="135" t="n">
        <f aca="false">AK36+AL36</f>
        <v>95.78</v>
      </c>
      <c r="AN36" s="212" t="n">
        <f aca="false">V36</f>
        <v>59</v>
      </c>
      <c r="AO36" s="136" t="n">
        <v>0</v>
      </c>
      <c r="AP36" s="213"/>
      <c r="AV36" s="214" t="n">
        <v>0.41</v>
      </c>
      <c r="AW36" s="107" t="n">
        <v>45</v>
      </c>
      <c r="AX36" s="207" t="n">
        <v>35</v>
      </c>
      <c r="AY36" s="215"/>
      <c r="AZ36" s="242" t="n">
        <f aca="false">SUM(N36,P36:U36)</f>
        <v>4.78</v>
      </c>
    </row>
    <row r="37" customFormat="false" ht="12.95" hidden="false" customHeight="true" outlineLevel="0" collapsed="false">
      <c r="A37" s="179" t="n">
        <f aca="false">A36+1</f>
        <v>23</v>
      </c>
      <c r="B37" s="106" t="n">
        <v>6897.7</v>
      </c>
      <c r="C37" s="107" t="n">
        <v>275175</v>
      </c>
      <c r="D37" s="207" t="n">
        <f aca="false">C37-C36</f>
        <v>180</v>
      </c>
      <c r="E37" s="107" t="n">
        <f aca="false">C37-152000</f>
        <v>123175</v>
      </c>
      <c r="F37" s="238" t="n">
        <f aca="false">D37/$D$2</f>
        <v>90.7486765817998</v>
      </c>
      <c r="G37" s="135" t="n">
        <v>107</v>
      </c>
      <c r="H37" s="239" t="n">
        <v>6.4</v>
      </c>
      <c r="I37" s="135" t="n">
        <f aca="false">G37+H37</f>
        <v>113.4</v>
      </c>
      <c r="J37" s="136" t="n">
        <f aca="false">IF(L37&gt;0,L37,0)</f>
        <v>72.8586765817998</v>
      </c>
      <c r="K37" s="135" t="n">
        <f aca="false">I37+J37</f>
        <v>186.2586765818</v>
      </c>
      <c r="L37" s="135" t="n">
        <f aca="false">F37-(I37-AK37)</f>
        <v>72.8586765817998</v>
      </c>
      <c r="M37" s="240" t="n">
        <v>4.51</v>
      </c>
      <c r="N37" s="135" t="n">
        <v>0</v>
      </c>
      <c r="O37" s="135" t="n">
        <v>0</v>
      </c>
      <c r="P37" s="155" t="n">
        <v>0</v>
      </c>
      <c r="Q37" s="131" t="n">
        <f aca="false">1058800/325851/1.9835*1.02</f>
        <v>1.67094764069239</v>
      </c>
      <c r="R37" s="131" t="n">
        <f aca="false">(1995328/325851/1.9835-T37)*1.04</f>
        <v>1.85564671886345</v>
      </c>
      <c r="S37" s="131" t="n">
        <v>0</v>
      </c>
      <c r="T37" s="131" t="n">
        <f aca="false">1.2528*1.04</f>
        <v>1.302912</v>
      </c>
      <c r="U37" s="96" t="n">
        <f aca="false">M37-(Q37+R37+S37+T37)</f>
        <v>-0.31950635955584</v>
      </c>
      <c r="V37" s="135" t="n">
        <v>59</v>
      </c>
      <c r="W37" s="135" t="n">
        <v>0</v>
      </c>
      <c r="X37" s="135" t="n">
        <f aca="false">M37-N37-P37-O37-Q37-R37-S37-T37-U37+V37+W37</f>
        <v>59</v>
      </c>
      <c r="Y37" s="135" t="n">
        <f aca="false">X37-AO37</f>
        <v>59</v>
      </c>
      <c r="Z37" s="136"/>
      <c r="AA37" s="135"/>
      <c r="AB37" s="136"/>
      <c r="AC37" s="136" t="n">
        <v>33.4</v>
      </c>
      <c r="AD37" s="107"/>
      <c r="AE37" s="135" t="n">
        <v>0</v>
      </c>
      <c r="AF37" s="240"/>
      <c r="AG37" s="241"/>
      <c r="AH37" s="135" t="n">
        <v>32</v>
      </c>
      <c r="AI37" s="107" t="n">
        <f aca="false">AI36-AH37</f>
        <v>3537</v>
      </c>
      <c r="AJ37" s="107"/>
      <c r="AK37" s="134" t="n">
        <f aca="false">N37+O37+P37+Q37+R37+S37+T37+U37+X37+AE37+AH37</f>
        <v>95.51</v>
      </c>
      <c r="AL37" s="135" t="n">
        <f aca="false">IF(L37&lt;0,L37*-1,0)</f>
        <v>0</v>
      </c>
      <c r="AM37" s="135" t="n">
        <f aca="false">AK37+AL37</f>
        <v>95.51</v>
      </c>
      <c r="AN37" s="212" t="n">
        <f aca="false">V37</f>
        <v>59</v>
      </c>
      <c r="AO37" s="136" t="n">
        <v>0</v>
      </c>
      <c r="AP37" s="213"/>
      <c r="AV37" s="214" t="n">
        <v>0.3</v>
      </c>
      <c r="AW37" s="107" t="n">
        <v>42</v>
      </c>
      <c r="AX37" s="213" t="n">
        <v>33</v>
      </c>
      <c r="AY37" s="243"/>
      <c r="AZ37" s="242" t="n">
        <f aca="false">SUM(N37,P37:U37)</f>
        <v>4.51</v>
      </c>
    </row>
    <row r="38" customFormat="false" ht="12.95" hidden="false" customHeight="true" outlineLevel="0" collapsed="false">
      <c r="A38" s="179" t="n">
        <f aca="false">A37+1</f>
        <v>24</v>
      </c>
      <c r="B38" s="106" t="n">
        <v>6897.71</v>
      </c>
      <c r="C38" s="107" t="n">
        <v>275212</v>
      </c>
      <c r="D38" s="207" t="n">
        <f aca="false">C38-C37</f>
        <v>37</v>
      </c>
      <c r="E38" s="107" t="n">
        <f aca="false">C38-152000</f>
        <v>123212</v>
      </c>
      <c r="F38" s="238" t="n">
        <f aca="false">D38/$D$2</f>
        <v>18.6538946307033</v>
      </c>
      <c r="G38" s="135" t="n">
        <v>96</v>
      </c>
      <c r="H38" s="239" t="n">
        <v>5.5</v>
      </c>
      <c r="I38" s="135" t="n">
        <f aca="false">G38+H38</f>
        <v>101.5</v>
      </c>
      <c r="J38" s="136" t="n">
        <f aca="false">IF(L38&gt;0,L38,0)</f>
        <v>11.8738946307033</v>
      </c>
      <c r="K38" s="135" t="n">
        <f aca="false">I38+J38</f>
        <v>113.373894630703</v>
      </c>
      <c r="L38" s="135" t="n">
        <f aca="false">F38-(I38-AK38)</f>
        <v>11.8738946307033</v>
      </c>
      <c r="M38" s="240" t="n">
        <v>3.72</v>
      </c>
      <c r="N38" s="135" t="n">
        <v>0</v>
      </c>
      <c r="O38" s="135" t="n">
        <v>0</v>
      </c>
      <c r="P38" s="155" t="n">
        <v>0</v>
      </c>
      <c r="Q38" s="131" t="n">
        <f aca="false">998500/325851/1.9835*1.02</f>
        <v>1.57578505783089</v>
      </c>
      <c r="R38" s="131" t="n">
        <f aca="false">(1927020/325851/1.9835-T38)*1.04</f>
        <v>1.7703930386432</v>
      </c>
      <c r="S38" s="131" t="n">
        <v>0</v>
      </c>
      <c r="T38" s="131" t="n">
        <f aca="false">1.23*1.04</f>
        <v>1.2792</v>
      </c>
      <c r="U38" s="96" t="n">
        <f aca="false">M38-(Q38+R38+S38+T38)</f>
        <v>-0.905378096474088</v>
      </c>
      <c r="V38" s="135" t="n">
        <v>59</v>
      </c>
      <c r="W38" s="135" t="n">
        <v>0</v>
      </c>
      <c r="X38" s="135" t="n">
        <f aca="false">M38-N38-P38-O38-Q38-R38-S38-T38-U38+V38+W38</f>
        <v>59</v>
      </c>
      <c r="Y38" s="135" t="n">
        <f aca="false">X38-AO38</f>
        <v>59</v>
      </c>
      <c r="Z38" s="136"/>
      <c r="AA38" s="135"/>
      <c r="AB38" s="136"/>
      <c r="AC38" s="136" t="n">
        <v>17.2</v>
      </c>
      <c r="AD38" s="107"/>
      <c r="AE38" s="135" t="n">
        <v>0</v>
      </c>
      <c r="AF38" s="240"/>
      <c r="AG38" s="241"/>
      <c r="AH38" s="135" t="n">
        <v>32</v>
      </c>
      <c r="AI38" s="107" t="n">
        <f aca="false">AI37-AH38</f>
        <v>3505</v>
      </c>
      <c r="AJ38" s="107"/>
      <c r="AK38" s="134" t="n">
        <f aca="false">N38+O38+P38+Q38+R38+S38+T38+U38+X38+AE38+AH38</f>
        <v>94.72</v>
      </c>
      <c r="AL38" s="135" t="n">
        <f aca="false">IF(L38&lt;0,L38*-1,0)</f>
        <v>0</v>
      </c>
      <c r="AM38" s="135" t="n">
        <f aca="false">AK38+AL38</f>
        <v>94.72</v>
      </c>
      <c r="AN38" s="212" t="n">
        <f aca="false">V38</f>
        <v>59</v>
      </c>
      <c r="AO38" s="136" t="n">
        <v>0</v>
      </c>
      <c r="AP38" s="213"/>
      <c r="AV38" s="214" t="n">
        <v>0</v>
      </c>
      <c r="AW38" s="107" t="n">
        <v>43</v>
      </c>
      <c r="AX38" s="213" t="n">
        <v>29</v>
      </c>
      <c r="AY38" s="243"/>
      <c r="AZ38" s="242" t="n">
        <f aca="false">SUM(N38,P38:U38)</f>
        <v>3.72</v>
      </c>
    </row>
    <row r="39" customFormat="false" ht="12.95" hidden="false" customHeight="true" outlineLevel="0" collapsed="false">
      <c r="A39" s="179" t="n">
        <f aca="false">A38+1</f>
        <v>25</v>
      </c>
      <c r="B39" s="106" t="n">
        <v>6897.72</v>
      </c>
      <c r="C39" s="107" t="n">
        <v>275248</v>
      </c>
      <c r="D39" s="207" t="n">
        <f aca="false">C39-C38</f>
        <v>36</v>
      </c>
      <c r="E39" s="107" t="n">
        <f aca="false">C39-152000</f>
        <v>123248</v>
      </c>
      <c r="F39" s="238" t="n">
        <f aca="false">D39/$D$2</f>
        <v>18.14973531636</v>
      </c>
      <c r="G39" s="135" t="n">
        <v>73</v>
      </c>
      <c r="H39" s="239" t="n">
        <v>4.5</v>
      </c>
      <c r="I39" s="135" t="n">
        <f aca="false">G39+H39</f>
        <v>77.5</v>
      </c>
      <c r="J39" s="136" t="n">
        <f aca="false">IF(L39&gt;0,L39,0)</f>
        <v>36.83973531636</v>
      </c>
      <c r="K39" s="135" t="n">
        <f aca="false">I39+J39</f>
        <v>114.33973531636</v>
      </c>
      <c r="L39" s="135" t="n">
        <f aca="false">F39-(I39-AK39)</f>
        <v>36.83973531636</v>
      </c>
      <c r="M39" s="240" t="n">
        <v>5.19</v>
      </c>
      <c r="N39" s="135" t="n">
        <v>0</v>
      </c>
      <c r="O39" s="135" t="n">
        <v>0</v>
      </c>
      <c r="P39" s="155" t="n">
        <v>0</v>
      </c>
      <c r="Q39" s="131" t="n">
        <f aca="false">1144500/325851/1.9835*1.02</f>
        <v>1.80619529162489</v>
      </c>
      <c r="R39" s="131" t="n">
        <f aca="false">(1747738/325851/1.9835-T39)*1.04</f>
        <v>1.48548028912091</v>
      </c>
      <c r="S39" s="131" t="n">
        <v>0</v>
      </c>
      <c r="T39" s="131" t="n">
        <f aca="false">1.2267*1.04</f>
        <v>1.275768</v>
      </c>
      <c r="U39" s="96" t="n">
        <f aca="false">M39-(Q39+R39+S39+T39)</f>
        <v>0.622556419254194</v>
      </c>
      <c r="V39" s="135" t="n">
        <v>59</v>
      </c>
      <c r="W39" s="135" t="n">
        <v>0</v>
      </c>
      <c r="X39" s="135" t="n">
        <f aca="false">M39-N39-P39-O39-Q39-R39-S39-T39-U39+V39+W39</f>
        <v>59</v>
      </c>
      <c r="Y39" s="135" t="n">
        <f aca="false">X39-AO39</f>
        <v>59</v>
      </c>
      <c r="Z39" s="136"/>
      <c r="AA39" s="135"/>
      <c r="AB39" s="136"/>
      <c r="AC39" s="136" t="n">
        <v>18.9</v>
      </c>
      <c r="AD39" s="107"/>
      <c r="AE39" s="135" t="n">
        <v>0</v>
      </c>
      <c r="AF39" s="240"/>
      <c r="AG39" s="241"/>
      <c r="AH39" s="135" t="n">
        <v>32</v>
      </c>
      <c r="AI39" s="107" t="n">
        <f aca="false">AI38-AH39</f>
        <v>3473</v>
      </c>
      <c r="AJ39" s="107"/>
      <c r="AK39" s="134" t="n">
        <f aca="false">N39+O39+P39+Q39+R39+S39+T39+U39+X39+AE39+AH39</f>
        <v>96.19</v>
      </c>
      <c r="AL39" s="135" t="n">
        <f aca="false">IF(L39&lt;0,L39*-1,0)</f>
        <v>0</v>
      </c>
      <c r="AM39" s="135" t="n">
        <f aca="false">AK39+AL39</f>
        <v>96.19</v>
      </c>
      <c r="AN39" s="212" t="n">
        <f aca="false">V39</f>
        <v>59</v>
      </c>
      <c r="AO39" s="136" t="n">
        <v>0</v>
      </c>
      <c r="AP39" s="213"/>
      <c r="AV39" s="214" t="n">
        <v>0</v>
      </c>
      <c r="AW39" s="107" t="n">
        <v>45</v>
      </c>
      <c r="AX39" s="213" t="n">
        <v>26</v>
      </c>
      <c r="AY39" s="243"/>
      <c r="AZ39" s="242" t="n">
        <f aca="false">SUM(N39,P39:U39)</f>
        <v>5.19</v>
      </c>
    </row>
    <row r="40" customFormat="false" ht="12.95" hidden="false" customHeight="true" outlineLevel="0" collapsed="false">
      <c r="A40" s="179" t="n">
        <f aca="false">A39+1</f>
        <v>26</v>
      </c>
      <c r="B40" s="106" t="n">
        <v>6897.69</v>
      </c>
      <c r="C40" s="107" t="n">
        <v>275139</v>
      </c>
      <c r="D40" s="207" t="n">
        <f aca="false">C40-C39</f>
        <v>-109</v>
      </c>
      <c r="E40" s="107" t="n">
        <f aca="false">C40-152000</f>
        <v>123139</v>
      </c>
      <c r="F40" s="238" t="n">
        <f aca="false">D40/$D$2</f>
        <v>-54.9533652634232</v>
      </c>
      <c r="G40" s="135" t="n">
        <v>65</v>
      </c>
      <c r="H40" s="239" t="n">
        <v>3.4</v>
      </c>
      <c r="I40" s="135" t="n">
        <f aca="false">G40+H40</f>
        <v>68.4</v>
      </c>
      <c r="J40" s="136" t="n">
        <f aca="false">IF(L40&gt;0,L40,0)</f>
        <v>0</v>
      </c>
      <c r="K40" s="135" t="n">
        <f aca="false">I40+J40</f>
        <v>68.4</v>
      </c>
      <c r="L40" s="135" t="n">
        <f aca="false">F40-(I40-AK40)</f>
        <v>-27.3633652634232</v>
      </c>
      <c r="M40" s="240" t="n">
        <v>4.99</v>
      </c>
      <c r="N40" s="135" t="n">
        <v>0</v>
      </c>
      <c r="O40" s="135" t="n">
        <v>0</v>
      </c>
      <c r="P40" s="155" t="n">
        <v>0</v>
      </c>
      <c r="Q40" s="131" t="n">
        <f aca="false">1036800/325851/1.9835*1.02</f>
        <v>1.63622829039466</v>
      </c>
      <c r="R40" s="131" t="n">
        <f aca="false">(1890834/325851/1.9835-T40)*1.04</f>
        <v>1.71573555454924</v>
      </c>
      <c r="S40" s="131" t="n">
        <v>0</v>
      </c>
      <c r="T40" s="131" t="n">
        <f aca="false">1.2267*1.04</f>
        <v>1.275768</v>
      </c>
      <c r="U40" s="96" t="n">
        <f aca="false">M40-(Q40+R40+S40+T40)</f>
        <v>0.362268155056103</v>
      </c>
      <c r="V40" s="135" t="n">
        <v>59</v>
      </c>
      <c r="W40" s="135" t="n">
        <v>0</v>
      </c>
      <c r="X40" s="135" t="n">
        <f aca="false">M40-N40-P40-O40-Q40-R40-S40-T40-U40+V40+W40</f>
        <v>59</v>
      </c>
      <c r="Y40" s="135" t="n">
        <f aca="false">X40-AO40</f>
        <v>59</v>
      </c>
      <c r="Z40" s="136"/>
      <c r="AA40" s="135"/>
      <c r="AB40" s="136"/>
      <c r="AC40" s="136"/>
      <c r="AD40" s="107"/>
      <c r="AE40" s="135" t="n">
        <v>0</v>
      </c>
      <c r="AF40" s="240"/>
      <c r="AG40" s="241"/>
      <c r="AH40" s="135" t="n">
        <v>32</v>
      </c>
      <c r="AI40" s="107" t="n">
        <f aca="false">AI39-AH40</f>
        <v>3441</v>
      </c>
      <c r="AJ40" s="107"/>
      <c r="AK40" s="134" t="n">
        <f aca="false">N40+O40+P40+Q40+R40+S40+T40+U40+X40+AE40+AH40</f>
        <v>95.99</v>
      </c>
      <c r="AL40" s="135" t="n">
        <f aca="false">IF(L40&lt;0,L40*-1,0)</f>
        <v>27.3633652634232</v>
      </c>
      <c r="AM40" s="135" t="n">
        <f aca="false">AK40+AL40</f>
        <v>123.353365263423</v>
      </c>
      <c r="AN40" s="212" t="n">
        <f aca="false">V40</f>
        <v>59</v>
      </c>
      <c r="AO40" s="136" t="n">
        <v>0</v>
      </c>
      <c r="AP40" s="213"/>
      <c r="AV40" s="214" t="n">
        <v>0</v>
      </c>
      <c r="AW40" s="107" t="n">
        <v>46</v>
      </c>
      <c r="AX40" s="207" t="n">
        <v>26</v>
      </c>
      <c r="AY40" s="215"/>
      <c r="AZ40" s="242" t="n">
        <f aca="false">SUM(N40,P40:U40)</f>
        <v>4.99</v>
      </c>
    </row>
    <row r="41" customFormat="false" ht="12.95" hidden="false" customHeight="true" outlineLevel="0" collapsed="false">
      <c r="A41" s="179" t="n">
        <f aca="false">A40+1</f>
        <v>27</v>
      </c>
      <c r="B41" s="106" t="n">
        <v>6897.68</v>
      </c>
      <c r="C41" s="107" t="n">
        <v>275103</v>
      </c>
      <c r="D41" s="207" t="n">
        <f aca="false">C41-C40</f>
        <v>-36</v>
      </c>
      <c r="E41" s="107" t="n">
        <f aca="false">C41-152000</f>
        <v>123103</v>
      </c>
      <c r="F41" s="238" t="n">
        <f aca="false">D41/$D$2</f>
        <v>-18.14973531636</v>
      </c>
      <c r="G41" s="135" t="n">
        <v>63</v>
      </c>
      <c r="H41" s="239" t="n">
        <v>2.6</v>
      </c>
      <c r="I41" s="135" t="n">
        <f aca="false">G41+H41</f>
        <v>65.6</v>
      </c>
      <c r="J41" s="136" t="n">
        <f aca="false">IF(L41&gt;0,L41,0)</f>
        <v>10.76026468364</v>
      </c>
      <c r="K41" s="135" t="n">
        <f aca="false">I41+J41</f>
        <v>76.36026468364</v>
      </c>
      <c r="L41" s="135" t="n">
        <f aca="false">F41-(I41-AK41)</f>
        <v>10.76026468364</v>
      </c>
      <c r="M41" s="240" t="n">
        <v>3.51</v>
      </c>
      <c r="N41" s="135" t="n">
        <v>0</v>
      </c>
      <c r="O41" s="135" t="n">
        <v>0</v>
      </c>
      <c r="P41" s="155" t="n">
        <v>0</v>
      </c>
      <c r="Q41" s="131" t="n">
        <f aca="false">1056200/325851/1.9835*1.02</f>
        <v>1.66684444474811</v>
      </c>
      <c r="R41" s="131" t="n">
        <f aca="false">(1712138/325851/1.9835-T41)*1.04</f>
        <v>1.42819645554591</v>
      </c>
      <c r="S41" s="131" t="n">
        <v>0</v>
      </c>
      <c r="T41" s="131" t="n">
        <f aca="false">1.2267*1.04</f>
        <v>1.275768</v>
      </c>
      <c r="U41" s="96" t="n">
        <f aca="false">M41-(Q41+R41+S41+T41)</f>
        <v>-0.860808900294024</v>
      </c>
      <c r="V41" s="135" t="n">
        <v>59</v>
      </c>
      <c r="W41" s="135" t="n">
        <v>0</v>
      </c>
      <c r="X41" s="135" t="n">
        <f aca="false">M41-N41-P41-O41-Q41-R41-S41-T41-U41+V41+W41</f>
        <v>59</v>
      </c>
      <c r="Y41" s="135" t="n">
        <f aca="false">X41-AO41</f>
        <v>59</v>
      </c>
      <c r="Z41" s="136"/>
      <c r="AA41" s="135"/>
      <c r="AB41" s="136"/>
      <c r="AC41" s="136" t="n">
        <v>1.6</v>
      </c>
      <c r="AD41" s="107"/>
      <c r="AE41" s="135" t="n">
        <v>0</v>
      </c>
      <c r="AF41" s="240"/>
      <c r="AG41" s="241"/>
      <c r="AH41" s="135" t="n">
        <v>32</v>
      </c>
      <c r="AI41" s="107" t="n">
        <f aca="false">AI40-AH41</f>
        <v>3409</v>
      </c>
      <c r="AJ41" s="107"/>
      <c r="AK41" s="134" t="n">
        <f aca="false">N41+O41+P41+Q41+R41+S41+T41+U41+X41+AE41+AH41</f>
        <v>94.51</v>
      </c>
      <c r="AL41" s="135" t="n">
        <f aca="false">IF(L41&lt;0,L41*-1,0)</f>
        <v>0</v>
      </c>
      <c r="AM41" s="135" t="n">
        <f aca="false">AK41+AL41</f>
        <v>94.51</v>
      </c>
      <c r="AN41" s="212" t="n">
        <f aca="false">V41</f>
        <v>59</v>
      </c>
      <c r="AO41" s="136" t="n">
        <v>0</v>
      </c>
      <c r="AP41" s="213"/>
      <c r="AV41" s="214" t="n">
        <v>0</v>
      </c>
      <c r="AW41" s="107" t="n">
        <v>36</v>
      </c>
      <c r="AX41" s="207" t="n">
        <v>23</v>
      </c>
      <c r="AY41" s="215"/>
      <c r="AZ41" s="242" t="n">
        <f aca="false">SUM(N41,P41:U41)</f>
        <v>3.51</v>
      </c>
    </row>
    <row r="42" customFormat="false" ht="12.95" hidden="false" customHeight="true" outlineLevel="0" collapsed="false">
      <c r="A42" s="179" t="n">
        <f aca="false">A41+1</f>
        <v>28</v>
      </c>
      <c r="B42" s="106" t="n">
        <v>6897.66</v>
      </c>
      <c r="C42" s="107" t="n">
        <v>275031</v>
      </c>
      <c r="D42" s="207" t="n">
        <f aca="false">C42-C41</f>
        <v>-72</v>
      </c>
      <c r="E42" s="107" t="n">
        <f aca="false">C42-152000</f>
        <v>123031</v>
      </c>
      <c r="F42" s="238" t="n">
        <f aca="false">D42/$D$2</f>
        <v>-36.2994706327199</v>
      </c>
      <c r="G42" s="135" t="n">
        <v>62</v>
      </c>
      <c r="H42" s="239" t="n">
        <v>2.1</v>
      </c>
      <c r="I42" s="135" t="n">
        <f aca="false">G42+H42</f>
        <v>64.1</v>
      </c>
      <c r="J42" s="136" t="n">
        <f aca="false">IF(L42&gt;0,L42,0)</f>
        <v>0</v>
      </c>
      <c r="K42" s="135" t="n">
        <f aca="false">I42+J42</f>
        <v>64.1</v>
      </c>
      <c r="L42" s="135" t="n">
        <f aca="false">F42-(I42-AK42)</f>
        <v>-5.46947063271993</v>
      </c>
      <c r="M42" s="240" t="n">
        <v>3.93</v>
      </c>
      <c r="N42" s="135" t="n">
        <v>0</v>
      </c>
      <c r="O42" s="135" t="n">
        <v>0</v>
      </c>
      <c r="P42" s="155" t="n">
        <v>0</v>
      </c>
      <c r="Q42" s="131" t="n">
        <f aca="false">956000/325851/1.9835*1.02</f>
        <v>1.50871358566483</v>
      </c>
      <c r="R42" s="131" t="n">
        <f aca="false">(1691029/325851/1.9835-T42)*1.04</f>
        <v>1.39423003860955</v>
      </c>
      <c r="S42" s="131" t="n">
        <v>0</v>
      </c>
      <c r="T42" s="131" t="n">
        <f aca="false">1.2267*1.04</f>
        <v>1.275768</v>
      </c>
      <c r="U42" s="96" t="n">
        <f aca="false">M42-(Q42+R42+S42+T42)</f>
        <v>-0.248711624274374</v>
      </c>
      <c r="V42" s="135" t="n">
        <v>59</v>
      </c>
      <c r="W42" s="135" t="n">
        <v>0</v>
      </c>
      <c r="X42" s="135" t="n">
        <f aca="false">M42-N42-P42-O42-Q42-R42-S42-T42-U42+V42+W42</f>
        <v>59</v>
      </c>
      <c r="Y42" s="135" t="n">
        <f aca="false">X42-AO42</f>
        <v>59</v>
      </c>
      <c r="Z42" s="136"/>
      <c r="AA42" s="135"/>
      <c r="AB42" s="136"/>
      <c r="AC42" s="136"/>
      <c r="AD42" s="107"/>
      <c r="AE42" s="135" t="n">
        <v>0</v>
      </c>
      <c r="AF42" s="240"/>
      <c r="AG42" s="241"/>
      <c r="AH42" s="135" t="n">
        <v>32</v>
      </c>
      <c r="AI42" s="107" t="n">
        <f aca="false">AI41-AH42</f>
        <v>3377</v>
      </c>
      <c r="AJ42" s="107"/>
      <c r="AK42" s="134" t="n">
        <f aca="false">N42+O42+P42+Q42+R42+S42+T42+U42+X42+AE42+AH42</f>
        <v>94.93</v>
      </c>
      <c r="AL42" s="135" t="n">
        <f aca="false">IF(L42&lt;0,L42*-1,0)</f>
        <v>5.46947063271993</v>
      </c>
      <c r="AM42" s="135" t="n">
        <f aca="false">AK42+AL42</f>
        <v>100.39947063272</v>
      </c>
      <c r="AN42" s="212" t="n">
        <f aca="false">V42</f>
        <v>59</v>
      </c>
      <c r="AO42" s="136" t="n">
        <v>0</v>
      </c>
      <c r="AP42" s="213"/>
      <c r="AV42" s="214" t="n">
        <v>0</v>
      </c>
      <c r="AW42" s="107" t="n">
        <v>39</v>
      </c>
      <c r="AX42" s="207" t="n">
        <v>19</v>
      </c>
      <c r="AY42" s="215"/>
      <c r="AZ42" s="242" t="n">
        <f aca="false">SUM(N42,P42:U42)</f>
        <v>3.93</v>
      </c>
    </row>
    <row r="43" customFormat="false" ht="12.95" hidden="false" customHeight="true" outlineLevel="0" collapsed="false">
      <c r="A43" s="179" t="n">
        <f aca="false">A42+1</f>
        <v>29</v>
      </c>
      <c r="B43" s="106" t="n">
        <v>6897.72</v>
      </c>
      <c r="C43" s="107" t="n">
        <v>275248</v>
      </c>
      <c r="D43" s="207" t="n">
        <f aca="false">C43-C42</f>
        <v>217</v>
      </c>
      <c r="E43" s="107" t="n">
        <f aca="false">C43-152000</f>
        <v>123248</v>
      </c>
      <c r="F43" s="238" t="n">
        <f aca="false">D43/$D$2</f>
        <v>109.402571212503</v>
      </c>
      <c r="G43" s="135" t="n">
        <v>62</v>
      </c>
      <c r="H43" s="239" t="n">
        <v>2.1</v>
      </c>
      <c r="I43" s="135" t="n">
        <f aca="false">G43+H43</f>
        <v>64.1</v>
      </c>
      <c r="J43" s="136" t="n">
        <f aca="false">IF(L43&gt;0,L43,0)</f>
        <v>140.732571212503</v>
      </c>
      <c r="K43" s="135" t="n">
        <f aca="false">I43+J43</f>
        <v>204.832571212503</v>
      </c>
      <c r="L43" s="135" t="n">
        <f aca="false">F43-(I43-AK43)</f>
        <v>140.732571212503</v>
      </c>
      <c r="M43" s="240" t="n">
        <v>4.43</v>
      </c>
      <c r="N43" s="135" t="n">
        <v>0</v>
      </c>
      <c r="O43" s="135" t="n">
        <v>0</v>
      </c>
      <c r="P43" s="155" t="n">
        <v>0</v>
      </c>
      <c r="Q43" s="131" t="n">
        <f aca="false">917300/325851/1.9835*1.02</f>
        <v>1.44763909218656</v>
      </c>
      <c r="R43" s="131" t="n">
        <f aca="false">(1860679/325851/1.9835-T43)*1.04</f>
        <v>1.6672132511376</v>
      </c>
      <c r="S43" s="131" t="n">
        <v>0</v>
      </c>
      <c r="T43" s="131" t="n">
        <f aca="false">1.2267*1.04</f>
        <v>1.275768</v>
      </c>
      <c r="U43" s="96" t="n">
        <f aca="false">M43-(Q43+R43+S43+T43)</f>
        <v>0.0393796566758402</v>
      </c>
      <c r="V43" s="135" t="n">
        <v>59</v>
      </c>
      <c r="W43" s="135" t="n">
        <v>0</v>
      </c>
      <c r="X43" s="135" t="n">
        <f aca="false">M43-N43-P43-O43-Q43-R43-S43-T43-U43+V43+W43</f>
        <v>59</v>
      </c>
      <c r="Y43" s="135" t="n">
        <f aca="false">X43-AO43</f>
        <v>59</v>
      </c>
      <c r="Z43" s="136"/>
      <c r="AA43" s="135"/>
      <c r="AB43" s="136"/>
      <c r="AC43" s="136" t="n">
        <v>39.9</v>
      </c>
      <c r="AD43" s="107"/>
      <c r="AE43" s="135" t="n">
        <v>0</v>
      </c>
      <c r="AF43" s="240"/>
      <c r="AG43" s="241"/>
      <c r="AH43" s="135" t="n">
        <v>32</v>
      </c>
      <c r="AI43" s="107" t="n">
        <f aca="false">AI42-AH43</f>
        <v>3345</v>
      </c>
      <c r="AJ43" s="107"/>
      <c r="AK43" s="134" t="n">
        <f aca="false">N43+O43+P43+Q43+R43+S43+T43+U43+X43+AE43+AH43</f>
        <v>95.43</v>
      </c>
      <c r="AL43" s="135" t="n">
        <f aca="false">IF(L43&lt;0,L43*-1,0)</f>
        <v>0</v>
      </c>
      <c r="AM43" s="135" t="n">
        <f aca="false">AK43+AL43</f>
        <v>95.43</v>
      </c>
      <c r="AN43" s="212" t="n">
        <f aca="false">V43</f>
        <v>59</v>
      </c>
      <c r="AO43" s="136" t="n">
        <v>0</v>
      </c>
      <c r="AP43" s="213"/>
      <c r="AV43" s="214" t="n">
        <v>0.63</v>
      </c>
      <c r="AW43" s="107" t="n">
        <v>30</v>
      </c>
      <c r="AX43" s="207" t="n">
        <v>25</v>
      </c>
      <c r="AY43" s="215"/>
      <c r="AZ43" s="242" t="n">
        <f aca="false">SUM(N43,P43:U43)</f>
        <v>4.43</v>
      </c>
    </row>
    <row r="44" customFormat="false" ht="12.95" hidden="false" customHeight="true" outlineLevel="0" collapsed="false">
      <c r="A44" s="179" t="n">
        <v>30</v>
      </c>
      <c r="B44" s="106" t="n">
        <v>6897.8</v>
      </c>
      <c r="C44" s="107" t="n">
        <v>275537</v>
      </c>
      <c r="D44" s="207" t="n">
        <f aca="false">C44-C43</f>
        <v>289</v>
      </c>
      <c r="E44" s="107" t="n">
        <f aca="false">C44-152000</f>
        <v>123537</v>
      </c>
      <c r="F44" s="238" t="n">
        <f aca="false">D44/$D$2</f>
        <v>145.702041845223</v>
      </c>
      <c r="G44" s="135" t="n">
        <v>61</v>
      </c>
      <c r="H44" s="239" t="n">
        <v>2.1</v>
      </c>
      <c r="I44" s="135" t="n">
        <f aca="false">G44+H44</f>
        <v>63.1</v>
      </c>
      <c r="J44" s="136" t="n">
        <f aca="false">IF(L44&gt;0,L44,0)</f>
        <v>177.052041845223</v>
      </c>
      <c r="K44" s="135" t="n">
        <f aca="false">I44+J44</f>
        <v>240.152041845223</v>
      </c>
      <c r="L44" s="135" t="n">
        <f aca="false">F44-(I44-AK44)</f>
        <v>177.052041845223</v>
      </c>
      <c r="M44" s="240" t="n">
        <v>3.45</v>
      </c>
      <c r="N44" s="135" t="n">
        <v>0</v>
      </c>
      <c r="O44" s="135" t="n">
        <v>0</v>
      </c>
      <c r="P44" s="155" t="n">
        <v>0</v>
      </c>
      <c r="Q44" s="131" t="n">
        <f aca="false">934300/325851/1.9835*1.02</f>
        <v>1.47446768105298</v>
      </c>
      <c r="R44" s="131" t="n">
        <f aca="false">(1818653/325851/1.9835-T44)*1.04</f>
        <v>1.59958936378303</v>
      </c>
      <c r="S44" s="131" t="n">
        <v>0</v>
      </c>
      <c r="T44" s="131" t="n">
        <f aca="false">1.2267*1.04</f>
        <v>1.275768</v>
      </c>
      <c r="U44" s="96" t="n">
        <f aca="false">M44-(Q44+R44+S44+T44)</f>
        <v>-0.899825044836007</v>
      </c>
      <c r="V44" s="135" t="n">
        <v>59</v>
      </c>
      <c r="W44" s="135" t="n">
        <v>0</v>
      </c>
      <c r="X44" s="135" t="n">
        <f aca="false">M44-N44-P44-O44-Q44-R44-S44-T44-U44+V44+W44</f>
        <v>59</v>
      </c>
      <c r="Y44" s="135" t="n">
        <f aca="false">X44-AO44</f>
        <v>59</v>
      </c>
      <c r="Z44" s="136"/>
      <c r="AA44" s="135"/>
      <c r="AB44" s="136"/>
      <c r="AC44" s="136" t="n">
        <v>62.2</v>
      </c>
      <c r="AD44" s="107"/>
      <c r="AE44" s="135" t="n">
        <v>0</v>
      </c>
      <c r="AF44" s="240"/>
      <c r="AG44" s="241"/>
      <c r="AH44" s="135" t="n">
        <v>32</v>
      </c>
      <c r="AI44" s="107" t="n">
        <f aca="false">AI43-AH44</f>
        <v>3313</v>
      </c>
      <c r="AJ44" s="107"/>
      <c r="AK44" s="134" t="n">
        <f aca="false">N44+O44+P44+Q44+R44+S44+T44+U44+X44+AE44+AH44</f>
        <v>94.45</v>
      </c>
      <c r="AL44" s="135" t="n">
        <f aca="false">IF(L44&lt;0,L44*-1,0)</f>
        <v>0</v>
      </c>
      <c r="AM44" s="135" t="n">
        <f aca="false">AK44+AL44</f>
        <v>94.45</v>
      </c>
      <c r="AN44" s="212" t="n">
        <f aca="false">V44</f>
        <v>59</v>
      </c>
      <c r="AO44" s="136" t="n">
        <v>0</v>
      </c>
      <c r="AP44" s="213"/>
      <c r="AV44" s="214" t="n">
        <v>0.14</v>
      </c>
      <c r="AW44" s="107" t="n">
        <v>29</v>
      </c>
      <c r="AX44" s="207" t="n">
        <v>10</v>
      </c>
      <c r="AY44" s="215"/>
      <c r="AZ44" s="242" t="n">
        <f aca="false">SUM(N44,P44:U44)</f>
        <v>3.45</v>
      </c>
    </row>
    <row r="45" customFormat="false" ht="12.95" hidden="false" customHeight="true" outlineLevel="0" collapsed="false">
      <c r="A45" s="179" t="n">
        <v>31</v>
      </c>
      <c r="B45" s="106" t="n">
        <v>6897.77</v>
      </c>
      <c r="C45" s="107" t="n">
        <v>275429</v>
      </c>
      <c r="D45" s="207" t="n">
        <f aca="false">C45-C44</f>
        <v>-108</v>
      </c>
      <c r="E45" s="107" t="n">
        <f aca="false">C45-152000</f>
        <v>123429</v>
      </c>
      <c r="F45" s="238" t="n">
        <f aca="false">D45/$D$2</f>
        <v>-54.4492059490799</v>
      </c>
      <c r="G45" s="135" t="n">
        <v>61</v>
      </c>
      <c r="H45" s="239" t="n">
        <v>2.1</v>
      </c>
      <c r="I45" s="135" t="n">
        <f aca="false">G45+H45</f>
        <v>63.1</v>
      </c>
      <c r="J45" s="136" t="n">
        <f aca="false">IF(L45&gt;0,L45,0)</f>
        <v>0</v>
      </c>
      <c r="K45" s="135" t="n">
        <f aca="false">I45+J45</f>
        <v>63.1</v>
      </c>
      <c r="L45" s="135" t="n">
        <f aca="false">F45-(I45-AK45)</f>
        <v>-22.3892059490799</v>
      </c>
      <c r="M45" s="240" t="n">
        <v>4.16</v>
      </c>
      <c r="N45" s="135" t="n">
        <v>0</v>
      </c>
      <c r="O45" s="135" t="n">
        <v>0</v>
      </c>
      <c r="P45" s="155" t="n">
        <v>0</v>
      </c>
      <c r="Q45" s="131" t="n">
        <f aca="false">1006700/325851/1.9835*1.02</f>
        <v>1.58872590657823</v>
      </c>
      <c r="R45" s="131" t="n">
        <f aca="false">(1744080/325851/1.9835-T45)*1.04</f>
        <v>1.01245117431144</v>
      </c>
      <c r="S45" s="131" t="n">
        <v>0</v>
      </c>
      <c r="T45" s="131" t="n">
        <f aca="false">1.6586*1.04</f>
        <v>1.724944</v>
      </c>
      <c r="U45" s="96" t="n">
        <f aca="false">M45-(Q45+R45+S45+T45)</f>
        <v>-0.166121080889663</v>
      </c>
      <c r="V45" s="135" t="n">
        <v>59</v>
      </c>
      <c r="W45" s="135" t="n">
        <v>0</v>
      </c>
      <c r="X45" s="135" t="n">
        <f aca="false">M45-N45-P45-O45-Q45-R45-S45-T45-U45+V45+W45</f>
        <v>59</v>
      </c>
      <c r="Y45" s="135" t="n">
        <f aca="false">X45-AO45</f>
        <v>59</v>
      </c>
      <c r="Z45" s="136"/>
      <c r="AA45" s="135"/>
      <c r="AB45" s="136"/>
      <c r="AC45" s="136"/>
      <c r="AD45" s="107"/>
      <c r="AE45" s="135" t="n">
        <v>0</v>
      </c>
      <c r="AF45" s="240"/>
      <c r="AG45" s="241"/>
      <c r="AH45" s="135" t="n">
        <v>32</v>
      </c>
      <c r="AI45" s="107" t="n">
        <f aca="false">AI44-AH45</f>
        <v>3281</v>
      </c>
      <c r="AJ45" s="107"/>
      <c r="AK45" s="134" t="n">
        <f aca="false">N45+O45+P45+Q45+R45+S45+T45+U45+X45+AE45+AH45</f>
        <v>95.16</v>
      </c>
      <c r="AL45" s="135" t="n">
        <f aca="false">IF(L45&lt;0,L45*-1,0)</f>
        <v>22.3892059490799</v>
      </c>
      <c r="AM45" s="135" t="n">
        <f aca="false">AK45+AL45</f>
        <v>117.54920594908</v>
      </c>
      <c r="AN45" s="212" t="n">
        <f aca="false">V45</f>
        <v>59</v>
      </c>
      <c r="AO45" s="136" t="n">
        <v>0</v>
      </c>
      <c r="AP45" s="213"/>
      <c r="AV45" s="214" t="n">
        <v>0</v>
      </c>
      <c r="AW45" s="107" t="n">
        <v>13</v>
      </c>
      <c r="AX45" s="207" t="n">
        <v>-8</v>
      </c>
      <c r="AY45" s="215"/>
      <c r="AZ45" s="242" t="n">
        <f aca="false">SUM(N45,P45:U45)</f>
        <v>4.16</v>
      </c>
    </row>
    <row r="46" customFormat="false" ht="3" hidden="false" customHeight="true" outlineLevel="0" collapsed="false">
      <c r="A46" s="223"/>
      <c r="B46" s="244"/>
      <c r="C46" s="225"/>
      <c r="D46" s="226"/>
      <c r="E46" s="225"/>
      <c r="F46" s="227"/>
      <c r="G46" s="226"/>
      <c r="H46" s="228"/>
      <c r="I46" s="226"/>
      <c r="J46" s="226"/>
      <c r="K46" s="226"/>
      <c r="L46" s="226"/>
      <c r="M46" s="226"/>
      <c r="N46" s="226"/>
      <c r="O46" s="226"/>
      <c r="P46" s="230"/>
      <c r="Q46" s="226"/>
      <c r="R46" s="226"/>
      <c r="S46" s="226"/>
      <c r="T46" s="226"/>
      <c r="U46" s="231"/>
      <c r="V46" s="226"/>
      <c r="W46" s="226"/>
      <c r="X46" s="226" t="n">
        <f aca="false">M46-N46-O46-Q46-R46-S46+V46+W46</f>
        <v>0</v>
      </c>
      <c r="Y46" s="226" t="n">
        <f aca="false">N46-O46-P46-R46-S46-U46+W46+X46</f>
        <v>0</v>
      </c>
      <c r="Z46" s="232"/>
      <c r="AA46" s="226"/>
      <c r="AB46" s="232"/>
      <c r="AC46" s="232"/>
      <c r="AD46" s="225"/>
      <c r="AE46" s="226"/>
      <c r="AF46" s="229"/>
      <c r="AG46" s="233"/>
      <c r="AH46" s="245"/>
      <c r="AI46" s="226"/>
      <c r="AJ46" s="226"/>
      <c r="AK46" s="226" t="n">
        <f aca="false">N46+O46+Q46+R46+S46+X46+AE46+AH46</f>
        <v>0</v>
      </c>
      <c r="AL46" s="226"/>
      <c r="AM46" s="226"/>
      <c r="AN46" s="234"/>
      <c r="AO46" s="232"/>
      <c r="AP46" s="235"/>
      <c r="AQ46" s="236"/>
      <c r="AR46" s="236"/>
      <c r="AS46" s="236"/>
      <c r="AT46" s="236"/>
      <c r="AU46" s="235"/>
      <c r="AV46" s="237"/>
      <c r="AW46" s="235"/>
      <c r="AX46" s="235" t="s">
        <v>114</v>
      </c>
      <c r="AY46" s="246"/>
      <c r="AZ46" s="247" t="s">
        <v>114</v>
      </c>
    </row>
    <row r="47" customFormat="false" ht="12.95" hidden="false" customHeight="true" outlineLevel="0" collapsed="false">
      <c r="A47" s="181" t="s">
        <v>101</v>
      </c>
      <c r="B47" s="205"/>
      <c r="C47" s="107"/>
      <c r="D47" s="107"/>
      <c r="E47" s="107"/>
      <c r="F47" s="206" t="n">
        <f aca="false">SUM(F15:F45)</f>
        <v>-74.1114192084699</v>
      </c>
      <c r="G47" s="107" t="n">
        <f aca="false">SUM(G15:G45)</f>
        <v>2268</v>
      </c>
      <c r="H47" s="107" t="n">
        <f aca="false">SUM(H15:H45)</f>
        <v>74.79</v>
      </c>
      <c r="I47" s="107" t="n">
        <f aca="false">SUM(I15:I45)</f>
        <v>2342.79</v>
      </c>
      <c r="J47" s="107" t="n">
        <f aca="false">SUM(J15:J45)</f>
        <v>770.111797327956</v>
      </c>
      <c r="K47" s="107" t="n">
        <f aca="false">SUM(K15:K45)</f>
        <v>3112.90179732796</v>
      </c>
      <c r="L47" s="107" t="n">
        <f aca="false">SUM(L15:L45)</f>
        <v>561.44858079153</v>
      </c>
      <c r="M47" s="208" t="n">
        <f aca="false">SUM(M15:M45)</f>
        <v>129.35</v>
      </c>
      <c r="N47" s="107" t="n">
        <f aca="false">SUM(N15:N45)</f>
        <v>0</v>
      </c>
      <c r="O47" s="107" t="n">
        <f aca="false">SUM(O15:O45)</f>
        <v>0</v>
      </c>
      <c r="P47" s="155"/>
      <c r="Q47" s="107" t="n">
        <f aca="false">SUM(Q15:Q45)</f>
        <v>54.1913822817487</v>
      </c>
      <c r="R47" s="107" t="n">
        <f aca="false">SUM(R15:R45)</f>
        <v>49.1764101040618</v>
      </c>
      <c r="S47" s="107" t="n">
        <f aca="false">SUM(S15:S45)</f>
        <v>0</v>
      </c>
      <c r="T47" s="107" t="n">
        <f aca="false">SUM(T15:T45)</f>
        <v>34.346104</v>
      </c>
      <c r="U47" s="209" t="n">
        <f aca="false">SUM(U15:U45)</f>
        <v>-8.36389638581048</v>
      </c>
      <c r="V47" s="107" t="n">
        <f aca="false">SUM(V15:V45)</f>
        <v>1872</v>
      </c>
      <c r="W47" s="107" t="n">
        <f aca="false">SUM(W15:W45)</f>
        <v>0</v>
      </c>
      <c r="X47" s="107" t="n">
        <f aca="false">SUM(X15:X45)</f>
        <v>1872</v>
      </c>
      <c r="Y47" s="107" t="n">
        <f aca="false">SUM(Y15:Y45)</f>
        <v>1872</v>
      </c>
      <c r="Z47" s="136"/>
      <c r="AA47" s="107"/>
      <c r="AB47" s="136"/>
      <c r="AC47" s="135" t="n">
        <f aca="false">SUM(AC15:AC45)</f>
        <v>337</v>
      </c>
      <c r="AD47" s="107"/>
      <c r="AE47" s="107"/>
      <c r="AF47" s="107"/>
      <c r="AG47" s="107"/>
      <c r="AH47" s="107" t="n">
        <f aca="false">SUM(AH15:AH45)</f>
        <v>977</v>
      </c>
      <c r="AI47" s="107"/>
      <c r="AJ47" s="80" t="n">
        <f aca="false">SUM(AJ15:AJ45)</f>
        <v>0</v>
      </c>
      <c r="AK47" s="107" t="n">
        <f aca="false">SUM(AK15:AK45)</f>
        <v>2978.35</v>
      </c>
      <c r="AL47" s="107" t="n">
        <f aca="false">SUM(AL15:AL45)</f>
        <v>208.663216536425</v>
      </c>
      <c r="AM47" s="107" t="n">
        <f aca="false">SUM(AM15:AM45)</f>
        <v>3187.01321653642</v>
      </c>
      <c r="AN47" s="107" t="n">
        <f aca="false">SUM(AN15:AN45)</f>
        <v>1872</v>
      </c>
      <c r="AO47" s="136" t="n">
        <f aca="false">SUM(AO15:AO45)</f>
        <v>0</v>
      </c>
      <c r="AP47" s="213"/>
      <c r="AV47" s="214" t="n">
        <f aca="false">SUM(AV15:AV45)</f>
        <v>2.63</v>
      </c>
      <c r="AW47" s="207" t="n">
        <f aca="false">AVERAGE(AW15:AW45)</f>
        <v>43.7096774193548</v>
      </c>
      <c r="AX47" s="207" t="n">
        <f aca="false">AVERAGE(AX15:AX45)</f>
        <v>25.3548387096774</v>
      </c>
      <c r="AY47" s="215" t="s">
        <v>102</v>
      </c>
      <c r="AZ47" s="248" t="n">
        <f aca="false">SUM(AZ15:AZ45)</f>
        <v>129.35</v>
      </c>
    </row>
    <row r="48" customFormat="false" ht="12.95" hidden="false" customHeight="true" outlineLevel="0" collapsed="false">
      <c r="A48" s="181" t="s">
        <v>103</v>
      </c>
      <c r="B48" s="205"/>
      <c r="C48" s="107"/>
      <c r="D48" s="107" t="n">
        <f aca="false">SUM(D15:D45)</f>
        <v>-147</v>
      </c>
      <c r="E48" s="107"/>
      <c r="F48" s="206" t="n">
        <f aca="false">F47*$D$2</f>
        <v>-147</v>
      </c>
      <c r="G48" s="107" t="n">
        <f aca="false">G47*$D$2</f>
        <v>4498.578</v>
      </c>
      <c r="H48" s="107" t="n">
        <f aca="false">H47*$D$2</f>
        <v>148.345965</v>
      </c>
      <c r="I48" s="107" t="n">
        <f aca="false">I47*$D$2</f>
        <v>4646.923965</v>
      </c>
      <c r="J48" s="107" t="n">
        <f aca="false">J47*$D$2</f>
        <v>1527.51675</v>
      </c>
      <c r="K48" s="107" t="n">
        <f aca="false">K47*$D$2</f>
        <v>6174.440715</v>
      </c>
      <c r="L48" s="107" t="n">
        <f aca="false">L47*$D$2</f>
        <v>1113.63326</v>
      </c>
      <c r="M48" s="208" t="n">
        <f aca="false">M47*$D$2</f>
        <v>256.565725</v>
      </c>
      <c r="N48" s="107" t="n">
        <f aca="false">N47*$D$2</f>
        <v>0</v>
      </c>
      <c r="O48" s="107" t="n">
        <f aca="false">O47*$D$2</f>
        <v>0</v>
      </c>
      <c r="P48" s="155"/>
      <c r="Q48" s="107" t="n">
        <f aca="false">Q47*$D$2</f>
        <v>107.488606755849</v>
      </c>
      <c r="R48" s="107" t="n">
        <f aca="false">R47*$D$2</f>
        <v>97.5414094414066</v>
      </c>
      <c r="S48" s="107" t="n">
        <f aca="false">S47*$D$2</f>
        <v>0</v>
      </c>
      <c r="T48" s="107" t="n">
        <f aca="false">T47*$D$2</f>
        <v>68.125497284</v>
      </c>
      <c r="U48" s="209" t="n">
        <f aca="false">U47*$D$2</f>
        <v>-16.5897884812551</v>
      </c>
      <c r="V48" s="107" t="n">
        <f aca="false">V47*$D$2</f>
        <v>3713.112</v>
      </c>
      <c r="W48" s="107" t="n">
        <f aca="false">W47*$D$2</f>
        <v>0</v>
      </c>
      <c r="X48" s="107" t="n">
        <f aca="false">X47*$D$2</f>
        <v>3713.112</v>
      </c>
      <c r="Y48" s="107" t="n">
        <f aca="false">Y47*$D$2</f>
        <v>3713.112</v>
      </c>
      <c r="Z48" s="136"/>
      <c r="AA48" s="107"/>
      <c r="AB48" s="136"/>
      <c r="AC48" s="135" t="n">
        <f aca="false">AC47*$D$2</f>
        <v>668.4395</v>
      </c>
      <c r="AD48" s="107"/>
      <c r="AE48" s="107"/>
      <c r="AF48" s="107"/>
      <c r="AG48" s="107"/>
      <c r="AH48" s="107" t="n">
        <f aca="false">AH47*$D$2</f>
        <v>1937.8795</v>
      </c>
      <c r="AI48" s="107"/>
      <c r="AJ48" s="80" t="n">
        <f aca="false">AJ47*$D$2</f>
        <v>0</v>
      </c>
      <c r="AK48" s="107" t="n">
        <f aca="false">AK47*$D$2</f>
        <v>5907.557225</v>
      </c>
      <c r="AL48" s="107" t="n">
        <f aca="false">AL47*$D$2</f>
        <v>413.88349</v>
      </c>
      <c r="AM48" s="107" t="n">
        <f aca="false">AM47*$D$2</f>
        <v>6321.440715</v>
      </c>
      <c r="AN48" s="107" t="n">
        <f aca="false">AN47*$D$2</f>
        <v>3713.112</v>
      </c>
      <c r="AO48" s="136" t="n">
        <f aca="false">AO47*$D$2</f>
        <v>0</v>
      </c>
      <c r="AP48" s="213"/>
      <c r="AV48" s="214"/>
      <c r="AW48" s="207" t="n">
        <f aca="false">MAX(AW15:AW45)</f>
        <v>55</v>
      </c>
      <c r="AX48" s="207" t="n">
        <f aca="false">MAX(AX15:AX45)</f>
        <v>35</v>
      </c>
      <c r="AY48" s="215" t="s">
        <v>104</v>
      </c>
      <c r="AZ48" s="248" t="n">
        <f aca="false">AZ47*$D$2</f>
        <v>256.565725</v>
      </c>
    </row>
    <row r="49" customFormat="false" ht="3" hidden="false" customHeight="true" outlineLevel="0" collapsed="false">
      <c r="A49" s="223"/>
      <c r="B49" s="244"/>
      <c r="C49" s="225"/>
      <c r="D49" s="225"/>
      <c r="E49" s="225"/>
      <c r="F49" s="249"/>
      <c r="G49" s="225"/>
      <c r="H49" s="225"/>
      <c r="I49" s="225"/>
      <c r="J49" s="225"/>
      <c r="K49" s="225"/>
      <c r="L49" s="225"/>
      <c r="M49" s="250"/>
      <c r="N49" s="225"/>
      <c r="O49" s="225"/>
      <c r="P49" s="230"/>
      <c r="Q49" s="225"/>
      <c r="R49" s="225"/>
      <c r="S49" s="225"/>
      <c r="T49" s="225"/>
      <c r="U49" s="231"/>
      <c r="V49" s="225"/>
      <c r="W49" s="225"/>
      <c r="X49" s="225"/>
      <c r="Y49" s="225"/>
      <c r="Z49" s="232"/>
      <c r="AA49" s="225"/>
      <c r="AB49" s="232"/>
      <c r="AC49" s="226"/>
      <c r="AD49" s="225"/>
      <c r="AE49" s="225"/>
      <c r="AF49" s="225"/>
      <c r="AG49" s="225"/>
      <c r="AH49" s="225"/>
      <c r="AI49" s="226"/>
      <c r="AJ49" s="119"/>
      <c r="AK49" s="225"/>
      <c r="AL49" s="225"/>
      <c r="AM49" s="225"/>
      <c r="AN49" s="225"/>
      <c r="AO49" s="232"/>
      <c r="AP49" s="225"/>
      <c r="AQ49" s="251"/>
      <c r="AR49" s="251"/>
      <c r="AS49" s="236"/>
      <c r="AT49" s="236"/>
      <c r="AU49" s="235"/>
      <c r="AV49" s="252"/>
      <c r="AW49" s="225"/>
      <c r="AX49" s="225"/>
      <c r="AY49" s="249"/>
      <c r="AZ49" s="253"/>
    </row>
    <row r="50" customFormat="false" ht="12.95" hidden="false" customHeight="true" outlineLevel="0" collapsed="false">
      <c r="A50" s="181" t="s">
        <v>105</v>
      </c>
      <c r="B50" s="205"/>
      <c r="C50" s="107"/>
      <c r="D50" s="107"/>
      <c r="E50" s="107"/>
      <c r="F50" s="206"/>
      <c r="G50" s="107"/>
      <c r="H50" s="107"/>
      <c r="I50" s="107"/>
      <c r="J50" s="107"/>
      <c r="K50" s="107"/>
      <c r="L50" s="107"/>
      <c r="M50" s="208"/>
      <c r="N50" s="107"/>
      <c r="O50" s="107"/>
      <c r="P50" s="155"/>
      <c r="Q50" s="107"/>
      <c r="R50" s="107"/>
      <c r="S50" s="107"/>
      <c r="T50" s="107"/>
      <c r="U50" s="209"/>
      <c r="V50" s="107"/>
      <c r="W50" s="107"/>
      <c r="X50" s="107"/>
      <c r="Y50" s="107"/>
      <c r="Z50" s="136"/>
      <c r="AA50" s="107"/>
      <c r="AB50" s="136"/>
      <c r="AC50" s="135"/>
      <c r="AD50" s="107"/>
      <c r="AE50" s="107"/>
      <c r="AF50" s="107"/>
      <c r="AG50" s="107"/>
      <c r="AH50" s="107"/>
      <c r="AI50" s="107"/>
      <c r="AJ50" s="80"/>
      <c r="AK50" s="107"/>
      <c r="AL50" s="107"/>
      <c r="AM50" s="107"/>
      <c r="AN50" s="107"/>
      <c r="AO50" s="136"/>
      <c r="AP50" s="213"/>
      <c r="AV50" s="214"/>
      <c r="AW50" s="207" t="n">
        <f aca="false">MIN(AW15:AW45)</f>
        <v>13</v>
      </c>
      <c r="AX50" s="207" t="n">
        <f aca="false">MIN(AX15:AX45)</f>
        <v>-8</v>
      </c>
      <c r="AY50" s="215" t="s">
        <v>106</v>
      </c>
      <c r="AZ50" s="248"/>
    </row>
    <row r="51" customFormat="false" ht="12.95" hidden="false" customHeight="true" outlineLevel="0" collapsed="false">
      <c r="A51" s="181" t="s">
        <v>107</v>
      </c>
      <c r="B51" s="205"/>
      <c r="C51" s="107"/>
      <c r="D51" s="107"/>
      <c r="E51" s="107"/>
      <c r="F51" s="206"/>
      <c r="G51" s="107"/>
      <c r="H51" s="107"/>
      <c r="I51" s="107"/>
      <c r="J51" s="107"/>
      <c r="K51" s="107"/>
      <c r="L51" s="107"/>
      <c r="M51" s="208"/>
      <c r="N51" s="107"/>
      <c r="O51" s="107"/>
      <c r="P51" s="155"/>
      <c r="Q51" s="107"/>
      <c r="R51" s="107"/>
      <c r="S51" s="107"/>
      <c r="T51" s="107"/>
      <c r="U51" s="209"/>
      <c r="V51" s="107"/>
      <c r="W51" s="107"/>
      <c r="X51" s="107"/>
      <c r="Y51" s="107"/>
      <c r="Z51" s="136"/>
      <c r="AA51" s="107"/>
      <c r="AB51" s="136"/>
      <c r="AC51" s="135"/>
      <c r="AD51" s="107"/>
      <c r="AE51" s="107"/>
      <c r="AF51" s="107"/>
      <c r="AG51" s="107"/>
      <c r="AH51" s="107"/>
      <c r="AI51" s="107"/>
      <c r="AJ51" s="80"/>
      <c r="AK51" s="107"/>
      <c r="AL51" s="107"/>
      <c r="AM51" s="107"/>
      <c r="AN51" s="107"/>
      <c r="AO51" s="136"/>
      <c r="AP51" s="213"/>
      <c r="AV51" s="214"/>
      <c r="AW51" s="207"/>
      <c r="AX51" s="207"/>
      <c r="AY51" s="215"/>
      <c r="AZ51" s="248"/>
    </row>
    <row r="52" customFormat="false" ht="3" hidden="false" customHeight="true" outlineLevel="0" collapsed="false">
      <c r="A52" s="223"/>
      <c r="B52" s="244"/>
      <c r="C52" s="225"/>
      <c r="D52" s="225"/>
      <c r="E52" s="225"/>
      <c r="F52" s="249"/>
      <c r="G52" s="225"/>
      <c r="H52" s="235"/>
      <c r="I52" s="225"/>
      <c r="J52" s="225"/>
      <c r="K52" s="225"/>
      <c r="L52" s="225"/>
      <c r="M52" s="250"/>
      <c r="N52" s="225"/>
      <c r="O52" s="225"/>
      <c r="P52" s="230"/>
      <c r="Q52" s="225"/>
      <c r="R52" s="225"/>
      <c r="S52" s="225"/>
      <c r="T52" s="225"/>
      <c r="U52" s="231"/>
      <c r="V52" s="225"/>
      <c r="W52" s="225"/>
      <c r="X52" s="225"/>
      <c r="Y52" s="225"/>
      <c r="Z52" s="232"/>
      <c r="AA52" s="225"/>
      <c r="AB52" s="232"/>
      <c r="AC52" s="226"/>
      <c r="AD52" s="225"/>
      <c r="AE52" s="225"/>
      <c r="AF52" s="225"/>
      <c r="AG52" s="225"/>
      <c r="AH52" s="225"/>
      <c r="AI52" s="225"/>
      <c r="AJ52" s="119"/>
      <c r="AK52" s="225"/>
      <c r="AL52" s="225"/>
      <c r="AM52" s="225"/>
      <c r="AN52" s="225"/>
      <c r="AO52" s="232"/>
      <c r="AP52" s="254"/>
      <c r="AQ52" s="255"/>
      <c r="AR52" s="255"/>
      <c r="AS52" s="236"/>
      <c r="AT52" s="236"/>
      <c r="AU52" s="235"/>
      <c r="AV52" s="237"/>
      <c r="AW52" s="254"/>
      <c r="AX52" s="254"/>
      <c r="AY52" s="256"/>
      <c r="AZ52" s="253"/>
    </row>
    <row r="53" customFormat="false" ht="12.95" hidden="false" customHeight="true" outlineLevel="0" collapsed="false">
      <c r="A53" s="181" t="s">
        <v>108</v>
      </c>
      <c r="B53" s="205"/>
      <c r="C53" s="107"/>
      <c r="D53" s="107"/>
      <c r="E53" s="107"/>
      <c r="F53" s="206" t="n">
        <f aca="false">F13+F47</f>
        <v>-989.160574741618</v>
      </c>
      <c r="G53" s="107" t="n">
        <f aca="false">G13+G47</f>
        <v>4291</v>
      </c>
      <c r="H53" s="207" t="n">
        <f aca="false">H13+H47</f>
        <v>112.98</v>
      </c>
      <c r="I53" s="107" t="n">
        <f aca="false">I13+I47</f>
        <v>4403.98</v>
      </c>
      <c r="J53" s="107" t="n">
        <f aca="false">J13+J47</f>
        <v>821.749490799093</v>
      </c>
      <c r="K53" s="107" t="n">
        <f aca="false">K13+K47</f>
        <v>5225.72949079909</v>
      </c>
      <c r="L53" s="107" t="n">
        <f aca="false">L13+L47</f>
        <v>234.589425258382</v>
      </c>
      <c r="M53" s="208" t="n">
        <f aca="false">M13+M47</f>
        <v>365.45</v>
      </c>
      <c r="N53" s="107" t="n">
        <f aca="false">N13+N47</f>
        <v>0</v>
      </c>
      <c r="O53" s="107" t="n">
        <v>0</v>
      </c>
      <c r="P53" s="155"/>
      <c r="Q53" s="107" t="n">
        <f aca="false">Q13+Q47</f>
        <v>106.721066132969</v>
      </c>
      <c r="R53" s="107" t="n">
        <f aca="false">R13+R47</f>
        <v>96.4952600594706</v>
      </c>
      <c r="S53" s="107" t="n">
        <f aca="false">S13+S47</f>
        <v>0</v>
      </c>
      <c r="T53" s="107" t="n">
        <f aca="false">T13+T47</f>
        <v>55.520296</v>
      </c>
      <c r="U53" s="209" t="n">
        <f aca="false">U13+U47</f>
        <v>-12.3058520326421</v>
      </c>
      <c r="V53" s="107" t="n">
        <f aca="false">V13+V47</f>
        <v>3221</v>
      </c>
      <c r="W53" s="107" t="n">
        <f aca="false">W13+W47</f>
        <v>58.28</v>
      </c>
      <c r="X53" s="107" t="n">
        <f aca="false">X13+X47</f>
        <v>3398.2992298402</v>
      </c>
      <c r="Y53" s="107" t="n">
        <f aca="false">Y13+Y47</f>
        <v>3196.5</v>
      </c>
      <c r="Z53" s="136"/>
      <c r="AA53" s="107"/>
      <c r="AB53" s="136"/>
      <c r="AC53" s="135" t="n">
        <f aca="false">AC13+AC47</f>
        <v>999.6</v>
      </c>
      <c r="AD53" s="107"/>
      <c r="AE53" s="107"/>
      <c r="AF53" s="107"/>
      <c r="AG53" s="107"/>
      <c r="AH53" s="107" t="n">
        <f aca="false">AH13+AH47</f>
        <v>1983</v>
      </c>
      <c r="AI53" s="107" t="n">
        <f aca="false">AI45</f>
        <v>3281</v>
      </c>
      <c r="AJ53" s="80" t="n">
        <f aca="false">AJ14+AJ47</f>
        <v>0</v>
      </c>
      <c r="AK53" s="107" t="n">
        <f aca="false">AK13+AK47</f>
        <v>5627.73</v>
      </c>
      <c r="AL53" s="107" t="n">
        <f aca="false">AL13+AL47</f>
        <v>587.160065540711</v>
      </c>
      <c r="AM53" s="107" t="n">
        <f aca="false">AM13+AM47</f>
        <v>6214.89006554071</v>
      </c>
      <c r="AN53" s="107" t="n">
        <f aca="false">AN13+AN47</f>
        <v>3196.5</v>
      </c>
      <c r="AO53" s="136" t="n">
        <f aca="false">AO13+AO47</f>
        <v>201.799229840203</v>
      </c>
      <c r="AP53" s="213"/>
      <c r="AV53" s="214" t="n">
        <f aca="false">AV13+AV47</f>
        <v>3.2</v>
      </c>
      <c r="AW53" s="207"/>
      <c r="AX53" s="207"/>
      <c r="AY53" s="215"/>
      <c r="AZ53" s="248" t="n">
        <f aca="false">AZ13+AZ47</f>
        <v>246.430770159797</v>
      </c>
    </row>
    <row r="54" customFormat="false" ht="12.95" hidden="false" customHeight="true" outlineLevel="0" collapsed="false">
      <c r="A54" s="181" t="s">
        <v>109</v>
      </c>
      <c r="B54" s="205"/>
      <c r="C54" s="107"/>
      <c r="D54" s="107" t="n">
        <f aca="false">D13+D48</f>
        <v>-1962</v>
      </c>
      <c r="E54" s="107" t="n">
        <f aca="false">E45</f>
        <v>123429</v>
      </c>
      <c r="F54" s="206" t="n">
        <f aca="false">F53*$D$2</f>
        <v>-1962</v>
      </c>
      <c r="G54" s="107" t="n">
        <f aca="false">G53*$D$2</f>
        <v>8511.1985</v>
      </c>
      <c r="H54" s="207" t="n">
        <f aca="false">H53*$D$2</f>
        <v>224.09583</v>
      </c>
      <c r="I54" s="107" t="n">
        <f aca="false">I53*$D$2</f>
        <v>8735.29433</v>
      </c>
      <c r="J54" s="107" t="n">
        <f aca="false">J53*$D$2</f>
        <v>1629.940115</v>
      </c>
      <c r="K54" s="107" t="n">
        <f aca="false">K53*$D$2</f>
        <v>10365.234445</v>
      </c>
      <c r="L54" s="107" t="n">
        <f aca="false">L53*$D$2</f>
        <v>465.308125</v>
      </c>
      <c r="M54" s="208" t="n">
        <f aca="false">M53*$D$2</f>
        <v>724.870075</v>
      </c>
      <c r="N54" s="107" t="n">
        <f aca="false">N53*$D$2</f>
        <v>0</v>
      </c>
      <c r="O54" s="107" t="n">
        <f aca="false">O53*$D$2</f>
        <v>0</v>
      </c>
      <c r="P54" s="155"/>
      <c r="Q54" s="107" t="n">
        <f aca="false">Q53*$D$2</f>
        <v>211.681234674744</v>
      </c>
      <c r="R54" s="107" t="n">
        <f aca="false">R53*$D$2</f>
        <v>191.39834832796</v>
      </c>
      <c r="S54" s="218" t="n">
        <f aca="false">S53*$D$2</f>
        <v>0</v>
      </c>
      <c r="T54" s="218" t="n">
        <f aca="false">T53*$D$2</f>
        <v>110.124507116</v>
      </c>
      <c r="U54" s="219" t="n">
        <f aca="false">U53*$D$2</f>
        <v>-24.4086575067456</v>
      </c>
      <c r="V54" s="107" t="n">
        <f aca="false">V53*$D$2</f>
        <v>6388.8535</v>
      </c>
      <c r="W54" s="107" t="n">
        <f aca="false">W53*$D$2</f>
        <v>115.59838</v>
      </c>
      <c r="X54" s="107" t="n">
        <f aca="false">X53*$D$2</f>
        <v>6740.52652238804</v>
      </c>
      <c r="Y54" s="107" t="n">
        <f aca="false">Y53*$D$2</f>
        <v>6340.25775</v>
      </c>
      <c r="Z54" s="136"/>
      <c r="AA54" s="107"/>
      <c r="AB54" s="136"/>
      <c r="AC54" s="135" t="n">
        <f aca="false">AC53*$D$2</f>
        <v>1982.7066</v>
      </c>
      <c r="AD54" s="107"/>
      <c r="AE54" s="107"/>
      <c r="AF54" s="107"/>
      <c r="AG54" s="107"/>
      <c r="AH54" s="107" t="n">
        <f aca="false">AH53*$D$2</f>
        <v>3933.2805</v>
      </c>
      <c r="AI54" s="107" t="n">
        <f aca="false">AI53*$D$2</f>
        <v>6507.8635</v>
      </c>
      <c r="AJ54" s="80" t="n">
        <f aca="false">AJ53*$D$2</f>
        <v>0</v>
      </c>
      <c r="AK54" s="107" t="n">
        <f aca="false">AK53*$D$2</f>
        <v>11162.602455</v>
      </c>
      <c r="AL54" s="107" t="n">
        <f aca="false">AL53*$D$2</f>
        <v>1164.63199</v>
      </c>
      <c r="AM54" s="107" t="n">
        <f aca="false">AM53*$D$2</f>
        <v>12327.234445</v>
      </c>
      <c r="AN54" s="107" t="n">
        <f aca="false">AN53*$D$2</f>
        <v>6340.25775</v>
      </c>
      <c r="AO54" s="136" t="n">
        <f aca="false">AO53*$D$2</f>
        <v>400.268772388042</v>
      </c>
      <c r="AP54" s="213"/>
      <c r="AV54" s="214"/>
      <c r="AW54" s="207"/>
      <c r="AX54" s="207"/>
      <c r="AY54" s="215"/>
      <c r="AZ54" s="221" t="n">
        <f aca="false">AZ53*$D$2</f>
        <v>488.795432611958</v>
      </c>
    </row>
    <row r="55" customFormat="false" ht="3" hidden="false" customHeight="true" outlineLevel="0" collapsed="false">
      <c r="A55" s="223"/>
      <c r="B55" s="244"/>
      <c r="C55" s="225"/>
      <c r="D55" s="226"/>
      <c r="E55" s="225"/>
      <c r="F55" s="227"/>
      <c r="G55" s="226"/>
      <c r="H55" s="228"/>
      <c r="I55" s="226"/>
      <c r="J55" s="226"/>
      <c r="K55" s="226"/>
      <c r="L55" s="226"/>
      <c r="M55" s="229"/>
      <c r="N55" s="226"/>
      <c r="O55" s="226"/>
      <c r="P55" s="230"/>
      <c r="Q55" s="226"/>
      <c r="R55" s="226"/>
      <c r="S55" s="233"/>
      <c r="T55" s="233"/>
      <c r="U55" s="231"/>
      <c r="V55" s="226"/>
      <c r="W55" s="226"/>
      <c r="X55" s="226"/>
      <c r="Y55" s="226"/>
      <c r="Z55" s="232"/>
      <c r="AA55" s="226"/>
      <c r="AB55" s="232"/>
      <c r="AC55" s="232"/>
      <c r="AD55" s="225"/>
      <c r="AE55" s="226"/>
      <c r="AF55" s="229"/>
      <c r="AG55" s="233"/>
      <c r="AH55" s="226"/>
      <c r="AI55" s="225"/>
      <c r="AJ55" s="225"/>
      <c r="AK55" s="226"/>
      <c r="AL55" s="226"/>
      <c r="AM55" s="226"/>
      <c r="AN55" s="244"/>
      <c r="AO55" s="232"/>
      <c r="AP55" s="226"/>
      <c r="AQ55" s="257"/>
      <c r="AR55" s="257"/>
      <c r="AS55" s="236"/>
      <c r="AT55" s="236"/>
      <c r="AU55" s="235"/>
      <c r="AV55" s="244"/>
      <c r="AW55" s="226"/>
      <c r="AX55" s="226"/>
      <c r="AY55" s="226"/>
      <c r="AZ55" s="258"/>
    </row>
    <row r="56" customFormat="false" ht="11.1" hidden="false" customHeight="true" outlineLevel="0" collapsed="false">
      <c r="A56" s="181"/>
      <c r="B56" s="259"/>
      <c r="D56" s="181"/>
      <c r="F56" s="181"/>
      <c r="G56" s="181"/>
      <c r="I56" s="181"/>
      <c r="J56" s="181"/>
      <c r="K56" s="181"/>
      <c r="L56" s="181"/>
      <c r="M56" s="181"/>
      <c r="N56" s="181"/>
      <c r="O56" s="181"/>
      <c r="Q56" s="181"/>
      <c r="R56" s="181"/>
      <c r="S56" s="181"/>
      <c r="T56" s="181"/>
      <c r="V56" s="181"/>
      <c r="W56" s="181"/>
      <c r="X56" s="181"/>
      <c r="Y56" s="181"/>
      <c r="AA56" s="181"/>
      <c r="AD56" s="173"/>
      <c r="AE56" s="181"/>
      <c r="AF56" s="181"/>
      <c r="AG56" s="181"/>
      <c r="AH56" s="181"/>
      <c r="AI56" s="173"/>
      <c r="AJ56" s="217"/>
      <c r="AK56" s="181"/>
      <c r="AL56" s="181"/>
      <c r="AM56" s="181"/>
      <c r="AN56" s="179"/>
      <c r="AO56" s="260"/>
      <c r="AX56" s="178"/>
      <c r="AY56" s="178"/>
    </row>
    <row r="57" customFormat="false" ht="11.1" hidden="false" customHeight="true" outlineLevel="0" collapsed="false">
      <c r="A57" s="181"/>
      <c r="B57" s="261"/>
      <c r="F57" s="181"/>
      <c r="G57" s="181"/>
      <c r="I57" s="182"/>
      <c r="J57" s="181"/>
      <c r="K57" s="170"/>
      <c r="L57" s="181"/>
      <c r="M57" s="181"/>
      <c r="N57" s="181"/>
      <c r="O57" s="181"/>
      <c r="Q57" s="181"/>
      <c r="R57" s="181"/>
      <c r="S57" s="181"/>
      <c r="T57" s="181"/>
      <c r="V57" s="181"/>
      <c r="W57" s="181"/>
      <c r="X57" s="181"/>
      <c r="Y57" s="181"/>
      <c r="AA57" s="181"/>
      <c r="AD57" s="173"/>
      <c r="AE57" s="181"/>
      <c r="AF57" s="181"/>
      <c r="AG57" s="181"/>
      <c r="AH57" s="181"/>
      <c r="AI57" s="173"/>
      <c r="AJ57" s="217"/>
      <c r="AK57" s="181"/>
      <c r="AL57" s="181"/>
      <c r="AM57" s="181"/>
      <c r="AN57" s="179"/>
      <c r="AO57" s="260"/>
      <c r="AX57" s="178"/>
      <c r="AY57" s="178"/>
    </row>
    <row r="58" customFormat="false" ht="11.1" hidden="false" customHeight="true" outlineLevel="0" collapsed="false">
      <c r="D58" s="173"/>
      <c r="Q58" s="175"/>
      <c r="R58" s="175"/>
      <c r="S58" s="175"/>
      <c r="T58" s="175"/>
      <c r="X58" s="172"/>
      <c r="Y58" s="172"/>
      <c r="AA58" s="172"/>
      <c r="AD58" s="173"/>
      <c r="AH58" s="172"/>
      <c r="AI58" s="173"/>
      <c r="AJ58" s="217"/>
      <c r="AM58" s="172"/>
      <c r="AN58" s="179"/>
      <c r="AO58" s="260"/>
      <c r="AX58" s="178"/>
      <c r="AY58" s="178"/>
    </row>
    <row r="59" customFormat="false" ht="11.1" hidden="false" customHeight="true" outlineLevel="0" collapsed="false">
      <c r="B59" s="8"/>
      <c r="D59" s="173"/>
    </row>
    <row r="60" customFormat="false" ht="11.1" hidden="false" customHeight="true" outlineLevel="0" collapsed="false">
      <c r="G60" s="262"/>
    </row>
  </sheetData>
  <mergeCells count="2">
    <mergeCell ref="K2:AD2"/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K29" activePane="bottomRight" state="frozen"/>
      <selection pane="topLeft" activeCell="A1" activeCellId="0" sqref="A1"/>
      <selection pane="topRight" activeCell="K1" activeCellId="0" sqref="K1"/>
      <selection pane="bottomLeft" activeCell="A29" activeCellId="0" sqref="A29"/>
      <selection pane="bottomRight" activeCell="Y1" activeCellId="0" sqref="Y1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174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20" min="17" style="172" width="4.32"/>
    <col collapsed="false" customWidth="true" hidden="false" outlineLevel="0" max="21" min="21" style="8" width="5.16"/>
    <col collapsed="false" customWidth="true" hidden="false" outlineLevel="0" max="23" min="22" style="172" width="5.49"/>
    <col collapsed="false" customWidth="true" hidden="false" outlineLevel="0" max="27" min="24" style="173" width="6.32"/>
    <col collapsed="false" customWidth="true" hidden="false" outlineLevel="0" max="28" min="28" style="175" width="5.49"/>
    <col collapsed="false" customWidth="true" hidden="false" outlineLevel="0" max="29" min="29" style="175" width="5.82"/>
    <col collapsed="false" customWidth="true" hidden="false" outlineLevel="0" max="33" min="30" style="172" width="5.49"/>
    <col collapsed="false" customWidth="true" hidden="false" outlineLevel="0" max="34" min="34" style="173" width="6.32"/>
    <col collapsed="false" customWidth="true" hidden="false" outlineLevel="0" max="35" min="35" style="172" width="5.49"/>
    <col collapsed="false" customWidth="true" hidden="false" outlineLevel="0" max="36" min="36" style="176" width="6.32"/>
    <col collapsed="false" customWidth="true" hidden="false" outlineLevel="0" max="37" min="37" style="172" width="6.32"/>
    <col collapsed="false" customWidth="true" hidden="false" outlineLevel="0" max="38" min="38" style="172" width="6.82"/>
    <col collapsed="false" customWidth="true" hidden="false" outlineLevel="0" max="39" min="39" style="8" width="6.82"/>
    <col collapsed="false" customWidth="true" hidden="false" outlineLevel="0" max="40" min="40" style="172" width="5.49"/>
    <col collapsed="false" customWidth="true" hidden="false" outlineLevel="0" max="41" min="41" style="175" width="5.49"/>
    <col collapsed="false" customWidth="true" hidden="false" outlineLevel="0" max="42" min="42" style="172" width="6.32"/>
    <col collapsed="false" customWidth="true" hidden="false" outlineLevel="0" max="43" min="43" style="177" width="6.32"/>
    <col collapsed="false" customWidth="true" hidden="false" outlineLevel="0" max="44" min="44" style="177" width="5.49"/>
    <col collapsed="false" customWidth="true" hidden="false" outlineLevel="0" max="45" min="45" style="177" width="5.32"/>
    <col collapsed="false" customWidth="true" hidden="false" outlineLevel="0" max="46" min="46" style="177" width="5.82"/>
    <col collapsed="false" customWidth="true" hidden="false" outlineLevel="0" max="47" min="47" style="172" width="4.99"/>
    <col collapsed="false" customWidth="true" hidden="false" outlineLevel="0" max="48" min="48" style="174" width="5.32"/>
    <col collapsed="false" customWidth="true" hidden="false" outlineLevel="0" max="49" min="49" style="178" width="3.82"/>
    <col collapsed="false" customWidth="true" hidden="false" outlineLevel="0" max="51" min="50" style="179" width="3.82"/>
    <col collapsed="false" customWidth="true" hidden="false" outlineLevel="0" max="52" min="52" style="176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81"/>
      <c r="B1" s="181"/>
      <c r="D1" s="181"/>
      <c r="F1" s="181"/>
      <c r="G1" s="181"/>
      <c r="H1" s="182"/>
      <c r="I1" s="181"/>
      <c r="J1" s="181"/>
      <c r="K1" s="183" t="s">
        <v>0</v>
      </c>
      <c r="L1" s="181"/>
      <c r="M1" s="181"/>
      <c r="N1" s="181"/>
      <c r="O1" s="181"/>
      <c r="Q1" s="181"/>
      <c r="R1" s="181"/>
      <c r="S1" s="181"/>
      <c r="T1" s="181"/>
      <c r="V1" s="181"/>
      <c r="W1" s="181"/>
      <c r="Y1" s="263"/>
      <c r="AD1" s="181"/>
      <c r="AE1" s="181"/>
      <c r="AF1" s="181"/>
      <c r="AG1" s="181"/>
      <c r="AI1" s="181"/>
      <c r="AJ1" s="184"/>
      <c r="AK1" s="181"/>
      <c r="AL1" s="181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H2" s="182"/>
      <c r="I2" s="181"/>
      <c r="J2" s="181"/>
      <c r="K2" s="186" t="s">
        <v>115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1"/>
      <c r="AF2" s="181"/>
      <c r="AG2" s="181"/>
      <c r="AI2" s="181"/>
      <c r="AJ2" s="184"/>
      <c r="AK2" s="181"/>
      <c r="AL2" s="181"/>
    </row>
    <row r="3" customFormat="false" ht="14.1" hidden="false" customHeight="true" outlineLevel="0" collapsed="false">
      <c r="A3" s="187"/>
      <c r="B3" s="187"/>
      <c r="C3" s="188"/>
      <c r="D3" s="189"/>
      <c r="E3" s="188"/>
      <c r="F3" s="187"/>
      <c r="G3" s="187"/>
      <c r="H3" s="190"/>
      <c r="I3" s="187"/>
      <c r="J3" s="187"/>
      <c r="K3" s="187"/>
      <c r="L3" s="187"/>
      <c r="M3" s="187"/>
      <c r="N3" s="187"/>
      <c r="O3" s="187"/>
      <c r="P3" s="191"/>
      <c r="Q3" s="187"/>
      <c r="R3" s="187"/>
      <c r="S3" s="187"/>
      <c r="T3" s="187"/>
      <c r="U3" s="191"/>
      <c r="V3" s="187"/>
      <c r="W3" s="187"/>
      <c r="X3" s="188"/>
      <c r="Y3" s="188"/>
      <c r="Z3" s="188"/>
      <c r="AA3" s="188"/>
      <c r="AB3" s="192"/>
      <c r="AC3" s="192"/>
      <c r="AD3" s="187"/>
      <c r="AE3" s="187"/>
      <c r="AF3" s="187"/>
      <c r="AG3" s="187"/>
      <c r="AH3" s="188"/>
      <c r="AI3" s="187"/>
      <c r="AJ3" s="193"/>
      <c r="AK3" s="187"/>
      <c r="AL3" s="187"/>
      <c r="AM3" s="191"/>
      <c r="AN3" s="194"/>
      <c r="AO3" s="192"/>
      <c r="AP3" s="194"/>
      <c r="AQ3" s="195"/>
      <c r="AV3" s="196"/>
      <c r="AW3" s="197"/>
      <c r="AX3" s="198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39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199"/>
      <c r="AZ4" s="200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1" t="s">
        <v>18</v>
      </c>
      <c r="N5" s="201"/>
      <c r="O5" s="201"/>
      <c r="P5" s="201"/>
      <c r="Q5" s="201"/>
      <c r="R5" s="201"/>
      <c r="S5" s="201"/>
      <c r="T5" s="201"/>
      <c r="U5" s="201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02" t="s">
        <v>33</v>
      </c>
      <c r="AV5" s="70" t="s">
        <v>34</v>
      </c>
      <c r="AW5" s="71" t="s">
        <v>35</v>
      </c>
      <c r="AX5" s="71" t="s">
        <v>36</v>
      </c>
      <c r="AY5" s="203"/>
      <c r="AZ5" s="204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112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02" t="s">
        <v>71</v>
      </c>
      <c r="AV6" s="78"/>
      <c r="AW6" s="71" t="s">
        <v>72</v>
      </c>
      <c r="AX6" s="71" t="s">
        <v>72</v>
      </c>
      <c r="AY6" s="203"/>
      <c r="AZ6" s="204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/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02" t="s">
        <v>88</v>
      </c>
      <c r="AV7" s="78"/>
      <c r="AW7" s="71"/>
      <c r="AX7" s="71"/>
      <c r="AY7" s="203"/>
      <c r="AZ7" s="204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02"/>
      <c r="AV8" s="78"/>
      <c r="AW8" s="71"/>
      <c r="AX8" s="71"/>
      <c r="AY8" s="203"/>
      <c r="AZ8" s="204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02"/>
      <c r="AV9" s="78"/>
      <c r="AW9" s="71"/>
      <c r="AX9" s="71"/>
      <c r="AY9" s="203"/>
      <c r="AZ9" s="204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03"/>
      <c r="AZ10" s="204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03"/>
      <c r="AZ11" s="204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4" t="s">
        <v>99</v>
      </c>
      <c r="B12" s="205"/>
      <c r="C12" s="107"/>
      <c r="D12" s="107"/>
      <c r="E12" s="107"/>
      <c r="F12" s="206"/>
      <c r="G12" s="107"/>
      <c r="H12" s="207"/>
      <c r="I12" s="107"/>
      <c r="J12" s="107"/>
      <c r="K12" s="107"/>
      <c r="L12" s="107"/>
      <c r="M12" s="208"/>
      <c r="N12" s="107"/>
      <c r="O12" s="107"/>
      <c r="P12" s="155"/>
      <c r="Q12" s="107"/>
      <c r="R12" s="107"/>
      <c r="S12" s="107"/>
      <c r="T12" s="107"/>
      <c r="U12" s="209"/>
      <c r="V12" s="107"/>
      <c r="W12" s="107"/>
      <c r="X12" s="107"/>
      <c r="Y12" s="107"/>
      <c r="Z12" s="107"/>
      <c r="AA12" s="107"/>
      <c r="AB12" s="136"/>
      <c r="AC12" s="136"/>
      <c r="AD12" s="107"/>
      <c r="AE12" s="107"/>
      <c r="AF12" s="208"/>
      <c r="AG12" s="210"/>
      <c r="AH12" s="107"/>
      <c r="AI12" s="107"/>
      <c r="AJ12" s="211"/>
      <c r="AK12" s="107"/>
      <c r="AL12" s="107"/>
      <c r="AM12" s="107"/>
      <c r="AN12" s="212"/>
      <c r="AO12" s="136"/>
      <c r="AP12" s="213"/>
      <c r="AU12" s="264"/>
      <c r="AV12" s="265"/>
      <c r="AW12" s="207"/>
      <c r="AX12" s="207"/>
      <c r="AY12" s="207"/>
      <c r="AZ12" s="216"/>
    </row>
    <row r="13" s="222" customFormat="true" ht="12.95" hidden="false" customHeight="true" outlineLevel="0" collapsed="false">
      <c r="A13" s="217" t="s">
        <v>100</v>
      </c>
      <c r="B13" s="106" t="n">
        <f aca="false">DEC!B45</f>
        <v>6897.77</v>
      </c>
      <c r="C13" s="218" t="n">
        <f aca="false">DEC!C45</f>
        <v>275429</v>
      </c>
      <c r="D13" s="107" t="n">
        <f aca="false">DEC!D54</f>
        <v>-1962</v>
      </c>
      <c r="E13" s="107" t="n">
        <f aca="false">DEC!E54</f>
        <v>123429</v>
      </c>
      <c r="F13" s="206" t="n">
        <f aca="false">DEC!F53</f>
        <v>-989.160574741618</v>
      </c>
      <c r="G13" s="107" t="n">
        <f aca="false">DEC!G53</f>
        <v>4291</v>
      </c>
      <c r="H13" s="218" t="n">
        <f aca="false">DEC!H53</f>
        <v>112.98</v>
      </c>
      <c r="I13" s="107" t="n">
        <f aca="false">DEC!I53</f>
        <v>4403.98</v>
      </c>
      <c r="J13" s="218" t="n">
        <f aca="false">DEC!J53</f>
        <v>821.749490799093</v>
      </c>
      <c r="K13" s="107" t="n">
        <f aca="false">DEC!K53</f>
        <v>5225.72949079909</v>
      </c>
      <c r="L13" s="266" t="n">
        <f aca="false">DEC!L53</f>
        <v>234.589425258382</v>
      </c>
      <c r="M13" s="107" t="n">
        <f aca="false">DEC!M53</f>
        <v>365.45</v>
      </c>
      <c r="N13" s="218" t="n">
        <f aca="false">DEC!N53</f>
        <v>0</v>
      </c>
      <c r="O13" s="107" t="n">
        <f aca="false">DEC!O53</f>
        <v>0</v>
      </c>
      <c r="P13" s="218" t="n">
        <f aca="false">DEC!P53</f>
        <v>0</v>
      </c>
      <c r="Q13" s="107" t="n">
        <f aca="false">DEC!Q53</f>
        <v>106.721066132969</v>
      </c>
      <c r="R13" s="218" t="n">
        <f aca="false">DEC!R53</f>
        <v>96.4952600594706</v>
      </c>
      <c r="S13" s="107" t="n">
        <f aca="false">DEC!S53</f>
        <v>0</v>
      </c>
      <c r="T13" s="107" t="n">
        <f aca="false">DEC!T53</f>
        <v>55.520296</v>
      </c>
      <c r="U13" s="266" t="n">
        <f aca="false">DEC!U53</f>
        <v>-12.3058520326421</v>
      </c>
      <c r="V13" s="107" t="n">
        <f aca="false">DEC!V53</f>
        <v>3221</v>
      </c>
      <c r="W13" s="218" t="n">
        <f aca="false">DEC!W53</f>
        <v>58.28</v>
      </c>
      <c r="X13" s="107" t="n">
        <f aca="false">DEC!X53</f>
        <v>3398.2992298402</v>
      </c>
      <c r="Y13" s="218" t="n">
        <f aca="false">DEC!Y53</f>
        <v>3196.5</v>
      </c>
      <c r="Z13" s="107"/>
      <c r="AA13" s="107"/>
      <c r="AB13" s="136"/>
      <c r="AC13" s="218" t="n">
        <f aca="false">DEC!AC53</f>
        <v>999.6</v>
      </c>
      <c r="AD13" s="107"/>
      <c r="AE13" s="107"/>
      <c r="AF13" s="208"/>
      <c r="AG13" s="210"/>
      <c r="AH13" s="218" t="n">
        <f aca="false">DEC!AH53</f>
        <v>1983</v>
      </c>
      <c r="AI13" s="218" t="n">
        <f aca="false">DEC!AI53</f>
        <v>3281</v>
      </c>
      <c r="AJ13" s="107"/>
      <c r="AK13" s="218" t="n">
        <f aca="false">DEC!AK53</f>
        <v>5627.73</v>
      </c>
      <c r="AL13" s="218" t="n">
        <f aca="false">DEC!AL53</f>
        <v>587.160065540711</v>
      </c>
      <c r="AM13" s="218" t="n">
        <f aca="false">DEC!AM53</f>
        <v>6214.89006554071</v>
      </c>
      <c r="AN13" s="212" t="n">
        <f aca="false">DEC!AN53</f>
        <v>3196.5</v>
      </c>
      <c r="AO13" s="267" t="n">
        <f aca="false">DEC!AO53</f>
        <v>201.799229840203</v>
      </c>
      <c r="AP13" s="107"/>
      <c r="AQ13" s="220"/>
      <c r="AR13" s="220"/>
      <c r="AS13" s="220"/>
      <c r="AT13" s="220"/>
      <c r="AU13" s="268"/>
      <c r="AV13" s="269" t="n">
        <f aca="false">DEC!AV53</f>
        <v>3.2</v>
      </c>
      <c r="AW13" s="207"/>
      <c r="AX13" s="207"/>
      <c r="AY13" s="207"/>
      <c r="AZ13" s="270" t="n">
        <f aca="false">DEC!AZ53</f>
        <v>246.430770159797</v>
      </c>
    </row>
    <row r="14" customFormat="false" ht="3" hidden="false" customHeight="true" outlineLevel="0" collapsed="false">
      <c r="A14" s="223"/>
      <c r="B14" s="224"/>
      <c r="C14" s="225"/>
      <c r="D14" s="226"/>
      <c r="E14" s="225"/>
      <c r="F14" s="227"/>
      <c r="G14" s="226"/>
      <c r="H14" s="228"/>
      <c r="I14" s="226"/>
      <c r="J14" s="226"/>
      <c r="K14" s="226"/>
      <c r="L14" s="226"/>
      <c r="M14" s="229"/>
      <c r="N14" s="226"/>
      <c r="O14" s="226"/>
      <c r="P14" s="230"/>
      <c r="Q14" s="226"/>
      <c r="R14" s="226"/>
      <c r="S14" s="226"/>
      <c r="T14" s="226"/>
      <c r="U14" s="231"/>
      <c r="V14" s="226"/>
      <c r="W14" s="226"/>
      <c r="X14" s="226"/>
      <c r="Y14" s="226"/>
      <c r="Z14" s="226"/>
      <c r="AA14" s="226"/>
      <c r="AB14" s="232"/>
      <c r="AC14" s="232"/>
      <c r="AD14" s="225"/>
      <c r="AE14" s="226"/>
      <c r="AF14" s="229"/>
      <c r="AG14" s="233"/>
      <c r="AH14" s="226"/>
      <c r="AI14" s="225"/>
      <c r="AJ14" s="225"/>
      <c r="AK14" s="226"/>
      <c r="AL14" s="226"/>
      <c r="AM14" s="226"/>
      <c r="AN14" s="234"/>
      <c r="AO14" s="232"/>
      <c r="AP14" s="235"/>
      <c r="AQ14" s="236"/>
      <c r="AR14" s="236"/>
      <c r="AS14" s="236"/>
      <c r="AT14" s="236"/>
      <c r="AU14" s="246"/>
      <c r="AV14" s="254"/>
      <c r="AW14" s="235"/>
      <c r="AX14" s="235"/>
      <c r="AY14" s="235"/>
      <c r="AZ14" s="271"/>
    </row>
    <row r="15" customFormat="false" ht="12.95" hidden="false" customHeight="true" outlineLevel="0" collapsed="false">
      <c r="A15" s="179" t="n">
        <v>1</v>
      </c>
      <c r="B15" s="106" t="n">
        <v>6897.73</v>
      </c>
      <c r="C15" s="107" t="n">
        <v>275284</v>
      </c>
      <c r="D15" s="207" t="n">
        <f aca="false">C15-C13</f>
        <v>-145</v>
      </c>
      <c r="E15" s="107" t="n">
        <f aca="false">C15-152000</f>
        <v>123284</v>
      </c>
      <c r="F15" s="238" t="n">
        <f aca="false">D15/$D$2</f>
        <v>-73.1031005797832</v>
      </c>
      <c r="G15" s="135" t="n">
        <v>67</v>
      </c>
      <c r="H15" s="239" t="n">
        <v>2</v>
      </c>
      <c r="I15" s="135" t="n">
        <f aca="false">G15+H15</f>
        <v>69</v>
      </c>
      <c r="J15" s="136" t="n">
        <f aca="false">IF(L15&gt;0,L15,0)</f>
        <v>0</v>
      </c>
      <c r="K15" s="135" t="n">
        <f aca="false">I15+J15</f>
        <v>69</v>
      </c>
      <c r="L15" s="135" t="n">
        <f aca="false">F15-(I15-AK15)</f>
        <v>-46.4831005797832</v>
      </c>
      <c r="M15" s="240" t="n">
        <v>4.62</v>
      </c>
      <c r="N15" s="135" t="n">
        <v>0</v>
      </c>
      <c r="O15" s="135" t="n">
        <v>0</v>
      </c>
      <c r="P15" s="155" t="n">
        <v>0</v>
      </c>
      <c r="Q15" s="131" t="n">
        <f aca="false">1086700/325851/1.9835*1.02</f>
        <v>1.71497808947905</v>
      </c>
      <c r="R15" s="131" t="n">
        <f aca="false">(1746347/325851/1.9835-T15)*1.04</f>
        <v>1.52596523596072</v>
      </c>
      <c r="S15" s="131" t="n">
        <v>0</v>
      </c>
      <c r="T15" s="131" t="n">
        <f aca="false">1.1872*1.04</f>
        <v>1.234688</v>
      </c>
      <c r="U15" s="96" t="n">
        <f aca="false">M15-(Q15+R15+S15+T15)</f>
        <v>0.14436867456023</v>
      </c>
      <c r="V15" s="135" t="n">
        <v>59</v>
      </c>
      <c r="W15" s="135" t="n">
        <v>0</v>
      </c>
      <c r="X15" s="135" t="n">
        <f aca="false">M15-N15-P15-O15-Q15-R15-S15-T15-U15+V15+W15</f>
        <v>59</v>
      </c>
      <c r="Y15" s="135" t="n">
        <f aca="false">X15-AO15</f>
        <v>59</v>
      </c>
      <c r="Z15" s="135"/>
      <c r="AA15" s="135"/>
      <c r="AB15" s="136"/>
      <c r="AC15" s="136"/>
      <c r="AD15" s="107"/>
      <c r="AE15" s="135" t="n">
        <v>0</v>
      </c>
      <c r="AF15" s="240"/>
      <c r="AG15" s="241"/>
      <c r="AH15" s="135" t="n">
        <v>32</v>
      </c>
      <c r="AI15" s="107" t="n">
        <f aca="false">AI13-AH15</f>
        <v>3249</v>
      </c>
      <c r="AJ15" s="107"/>
      <c r="AK15" s="134" t="n">
        <f aca="false">N15+O15+P15+Q15+R15+S15+T15+U15+X15+AE15+AH15</f>
        <v>95.62</v>
      </c>
      <c r="AL15" s="135" t="n">
        <f aca="false">IF(L15&lt;0,L15*-1,0)</f>
        <v>46.4831005797832</v>
      </c>
      <c r="AM15" s="135" t="n">
        <f aca="false">AK15+AL15</f>
        <v>142.103100579783</v>
      </c>
      <c r="AN15" s="212" t="n">
        <f aca="false">V15</f>
        <v>59</v>
      </c>
      <c r="AO15" s="136" t="n">
        <v>0</v>
      </c>
      <c r="AP15" s="213"/>
      <c r="AU15" s="264"/>
      <c r="AV15" s="265" t="n">
        <v>0</v>
      </c>
      <c r="AW15" s="207" t="n">
        <v>18</v>
      </c>
      <c r="AX15" s="207" t="n">
        <v>-15</v>
      </c>
      <c r="AY15" s="207"/>
      <c r="AZ15" s="242" t="n">
        <f aca="false">SUM(N15,P15:U15)</f>
        <v>4.62</v>
      </c>
    </row>
    <row r="16" customFormat="false" ht="12.95" hidden="false" customHeight="true" outlineLevel="0" collapsed="false">
      <c r="A16" s="179" t="n">
        <f aca="false">A15+1</f>
        <v>2</v>
      </c>
      <c r="B16" s="106" t="n">
        <v>6897.7</v>
      </c>
      <c r="C16" s="107" t="n">
        <v>275175</v>
      </c>
      <c r="D16" s="207" t="n">
        <f aca="false">C16-C15</f>
        <v>-109</v>
      </c>
      <c r="E16" s="107" t="n">
        <f aca="false">C16-152000</f>
        <v>123175</v>
      </c>
      <c r="F16" s="238" t="n">
        <f aca="false">D16/$D$2</f>
        <v>-54.9533652634232</v>
      </c>
      <c r="G16" s="135" t="n">
        <v>69</v>
      </c>
      <c r="H16" s="239" t="n">
        <v>1.8</v>
      </c>
      <c r="I16" s="135" t="n">
        <f aca="false">G16+H16</f>
        <v>70.8</v>
      </c>
      <c r="J16" s="136" t="n">
        <f aca="false">IF(L16&gt;0,L16,0)</f>
        <v>0</v>
      </c>
      <c r="K16" s="135" t="n">
        <f aca="false">I16+J16</f>
        <v>70.8</v>
      </c>
      <c r="L16" s="135" t="n">
        <f aca="false">F16-(I16-AK16)</f>
        <v>-31.0933652634232</v>
      </c>
      <c r="M16" s="240" t="n">
        <v>3.66</v>
      </c>
      <c r="N16" s="135" t="n">
        <v>0</v>
      </c>
      <c r="O16" s="135" t="n">
        <v>0</v>
      </c>
      <c r="P16" s="155" t="n">
        <v>0</v>
      </c>
      <c r="Q16" s="131" t="n">
        <f aca="false">1177300/325851/1.9835*1.02</f>
        <v>1.85795868661423</v>
      </c>
      <c r="R16" s="131" t="n">
        <f aca="false">(2922462/325851/1.9835-T16)*1.04</f>
        <v>3.41844770576583</v>
      </c>
      <c r="S16" s="131" t="n">
        <v>0</v>
      </c>
      <c r="T16" s="131" t="n">
        <f aca="false">1.1872*1.04</f>
        <v>1.234688</v>
      </c>
      <c r="U16" s="96" t="n">
        <f aca="false">M16-(Q16+R16+S16+T16)</f>
        <v>-2.85109439238006</v>
      </c>
      <c r="V16" s="135" t="n">
        <v>59</v>
      </c>
      <c r="W16" s="135" t="n">
        <v>0</v>
      </c>
      <c r="X16" s="135" t="n">
        <f aca="false">M16-N16-P16-O16-Q16-R16-S16-T16-U16+V16+W16</f>
        <v>59</v>
      </c>
      <c r="Y16" s="135" t="n">
        <f aca="false">X16-AO16</f>
        <v>59</v>
      </c>
      <c r="Z16" s="135"/>
      <c r="AA16" s="135"/>
      <c r="AB16" s="136"/>
      <c r="AC16" s="136"/>
      <c r="AD16" s="107"/>
      <c r="AE16" s="135" t="n">
        <v>0</v>
      </c>
      <c r="AF16" s="240"/>
      <c r="AG16" s="241"/>
      <c r="AH16" s="135" t="n">
        <v>32</v>
      </c>
      <c r="AI16" s="107" t="n">
        <f aca="false">AI15-AH16</f>
        <v>3217</v>
      </c>
      <c r="AJ16" s="107"/>
      <c r="AK16" s="134" t="n">
        <f aca="false">N16+O16+P16+Q16+R16+S16+T16+U16+X16+AE16+AH16</f>
        <v>94.66</v>
      </c>
      <c r="AL16" s="135" t="n">
        <f aca="false">IF(L16&lt;0,L16*-1,0)</f>
        <v>31.0933652634232</v>
      </c>
      <c r="AM16" s="135" t="n">
        <f aca="false">AK16+AL16</f>
        <v>125.753365263423</v>
      </c>
      <c r="AN16" s="212" t="n">
        <f aca="false">V16</f>
        <v>59</v>
      </c>
      <c r="AO16" s="136" t="n">
        <v>0</v>
      </c>
      <c r="AP16" s="213"/>
      <c r="AV16" s="214" t="n">
        <v>0</v>
      </c>
      <c r="AW16" s="207" t="n">
        <v>24</v>
      </c>
      <c r="AX16" s="207" t="n">
        <v>-18</v>
      </c>
      <c r="AY16" s="215"/>
      <c r="AZ16" s="242" t="n">
        <f aca="false">SUM(N16,P16:U16)</f>
        <v>3.66</v>
      </c>
    </row>
    <row r="17" customFormat="false" ht="12.95" hidden="false" customHeight="true" outlineLevel="0" collapsed="false">
      <c r="A17" s="179" t="n">
        <f aca="false">A16+1</f>
        <v>3</v>
      </c>
      <c r="B17" s="106" t="n">
        <v>6897.68</v>
      </c>
      <c r="C17" s="107" t="n">
        <v>275103</v>
      </c>
      <c r="D17" s="207" t="n">
        <f aca="false">C17-C16</f>
        <v>-72</v>
      </c>
      <c r="E17" s="107" t="n">
        <f aca="false">C17-152000</f>
        <v>123103</v>
      </c>
      <c r="F17" s="238" t="n">
        <f aca="false">D17/$D$2</f>
        <v>-36.2994706327199</v>
      </c>
      <c r="G17" s="135" t="n">
        <v>58</v>
      </c>
      <c r="H17" s="239" t="n">
        <v>1.8</v>
      </c>
      <c r="I17" s="135" t="n">
        <f aca="false">G17+H17</f>
        <v>59.8</v>
      </c>
      <c r="J17" s="136" t="n">
        <f aca="false">IF(L17&gt;0,L17,0)</f>
        <v>0</v>
      </c>
      <c r="K17" s="135" t="n">
        <f aca="false">I17+J17</f>
        <v>59.8</v>
      </c>
      <c r="L17" s="135" t="n">
        <f aca="false">F17-(I17-AK17)</f>
        <v>-0.289470632719933</v>
      </c>
      <c r="M17" s="240" t="n">
        <v>4.81</v>
      </c>
      <c r="N17" s="135" t="n">
        <v>0</v>
      </c>
      <c r="O17" s="135" t="n">
        <v>0</v>
      </c>
      <c r="P17" s="155" t="n">
        <v>0</v>
      </c>
      <c r="Q17" s="131" t="n">
        <f aca="false">1290800/325851/1.9835*1.02</f>
        <v>2.03707897110477</v>
      </c>
      <c r="R17" s="131" t="n">
        <f aca="false">((2039372+2601)/325851/1.9835-T17)*1.04</f>
        <v>2.00165598271474</v>
      </c>
      <c r="S17" s="131" t="n">
        <v>0</v>
      </c>
      <c r="T17" s="131" t="n">
        <f aca="false">1.1872*1.04</f>
        <v>1.234688</v>
      </c>
      <c r="U17" s="96" t="n">
        <f aca="false">M17-(Q17+R17+S17+T17)</f>
        <v>-0.463422953819515</v>
      </c>
      <c r="V17" s="135" t="n">
        <v>59</v>
      </c>
      <c r="W17" s="135" t="n">
        <v>0</v>
      </c>
      <c r="X17" s="135" t="n">
        <f aca="false">M17-N17-P17-O17-Q17-R17-S17-T17-U17+V17+W17</f>
        <v>59</v>
      </c>
      <c r="Y17" s="135" t="n">
        <f aca="false">X17-AO17</f>
        <v>59</v>
      </c>
      <c r="Z17" s="135"/>
      <c r="AA17" s="135"/>
      <c r="AB17" s="136"/>
      <c r="AC17" s="136"/>
      <c r="AD17" s="107"/>
      <c r="AE17" s="135" t="n">
        <v>0</v>
      </c>
      <c r="AF17" s="240"/>
      <c r="AG17" s="241"/>
      <c r="AH17" s="135" t="n">
        <v>32</v>
      </c>
      <c r="AI17" s="107" t="n">
        <f aca="false">AI16-AH17</f>
        <v>3185</v>
      </c>
      <c r="AJ17" s="107"/>
      <c r="AK17" s="134" t="n">
        <f aca="false">N17+O17+P17+Q17+R17+S17+T17+U17+X17+AE17+AH17</f>
        <v>95.81</v>
      </c>
      <c r="AL17" s="135" t="n">
        <f aca="false">IF(L17&lt;0,L17*-1,0)</f>
        <v>0.289470632719933</v>
      </c>
      <c r="AM17" s="135" t="n">
        <f aca="false">AK17+AL17</f>
        <v>96.0994706327199</v>
      </c>
      <c r="AN17" s="212" t="n">
        <f aca="false">V17</f>
        <v>59</v>
      </c>
      <c r="AO17" s="136" t="n">
        <v>0</v>
      </c>
      <c r="AP17" s="213"/>
      <c r="AV17" s="214" t="n">
        <v>0</v>
      </c>
      <c r="AW17" s="207" t="n">
        <v>31</v>
      </c>
      <c r="AX17" s="207" t="n">
        <v>-3</v>
      </c>
      <c r="AY17" s="215"/>
      <c r="AZ17" s="242" t="n">
        <f aca="false">SUM(N17,P17:U17)</f>
        <v>4.81</v>
      </c>
    </row>
    <row r="18" customFormat="false" ht="12.95" hidden="false" customHeight="true" outlineLevel="0" collapsed="false">
      <c r="A18" s="179" t="n">
        <f aca="false">A17+1</f>
        <v>4</v>
      </c>
      <c r="B18" s="106" t="n">
        <v>6897.66</v>
      </c>
      <c r="C18" s="107" t="n">
        <v>275031</v>
      </c>
      <c r="D18" s="207" t="n">
        <f aca="false">C18-C17</f>
        <v>-72</v>
      </c>
      <c r="E18" s="107" t="n">
        <f aca="false">C18-152000</f>
        <v>123031</v>
      </c>
      <c r="F18" s="238" t="n">
        <f aca="false">D18/$D$2</f>
        <v>-36.2994706327199</v>
      </c>
      <c r="G18" s="135" t="n">
        <v>64</v>
      </c>
      <c r="H18" s="239" t="n">
        <v>1.8</v>
      </c>
      <c r="I18" s="135" t="n">
        <f aca="false">G18+H18</f>
        <v>65.8</v>
      </c>
      <c r="J18" s="136" t="n">
        <f aca="false">IF(L18&gt;0,L18,0)</f>
        <v>0</v>
      </c>
      <c r="K18" s="135" t="n">
        <f aca="false">I18+J18</f>
        <v>65.8</v>
      </c>
      <c r="L18" s="135" t="n">
        <f aca="false">F18-(I18-AK18)</f>
        <v>-6.72947063271993</v>
      </c>
      <c r="M18" s="240" t="n">
        <v>4.37</v>
      </c>
      <c r="N18" s="135" t="n">
        <v>0</v>
      </c>
      <c r="O18" s="135" t="n">
        <v>0</v>
      </c>
      <c r="P18" s="155" t="n">
        <v>0</v>
      </c>
      <c r="Q18" s="131" t="n">
        <f aca="false">1071600/325851/1.9835*1.02</f>
        <v>1.69114798995652</v>
      </c>
      <c r="R18" s="131" t="n">
        <f aca="false">(1691272/325851/1.9835-T18)*1.04</f>
        <v>1.43734424904659</v>
      </c>
      <c r="S18" s="131" t="n">
        <v>0</v>
      </c>
      <c r="T18" s="131" t="n">
        <f aca="false">1.1872*1.04</f>
        <v>1.234688</v>
      </c>
      <c r="U18" s="96" t="n">
        <f aca="false">M18-(Q18+R18+S18+T18)</f>
        <v>0.00681976099689408</v>
      </c>
      <c r="V18" s="135" t="n">
        <v>59</v>
      </c>
      <c r="W18" s="135" t="n">
        <v>0</v>
      </c>
      <c r="X18" s="135" t="n">
        <f aca="false">M18-N18-P18-O18-Q18-R18-S18-T18-U18+V18+W18</f>
        <v>59</v>
      </c>
      <c r="Y18" s="135" t="n">
        <f aca="false">X18-AO18</f>
        <v>59</v>
      </c>
      <c r="Z18" s="135"/>
      <c r="AA18" s="135"/>
      <c r="AB18" s="136"/>
      <c r="AC18" s="136"/>
      <c r="AD18" s="107"/>
      <c r="AE18" s="135" t="n">
        <v>0</v>
      </c>
      <c r="AF18" s="240"/>
      <c r="AG18" s="241"/>
      <c r="AH18" s="135" t="n">
        <v>32</v>
      </c>
      <c r="AI18" s="107" t="n">
        <f aca="false">AI17-AH18</f>
        <v>3153</v>
      </c>
      <c r="AJ18" s="107"/>
      <c r="AK18" s="134" t="n">
        <f aca="false">N18+O18+P18+Q18+R18+S18+T18+U18+X18+AE18+AH18</f>
        <v>95.37</v>
      </c>
      <c r="AL18" s="135" t="n">
        <f aca="false">IF(L18&lt;0,L18*-1,0)</f>
        <v>6.72947063271993</v>
      </c>
      <c r="AM18" s="135" t="n">
        <f aca="false">AK18+AL18</f>
        <v>102.09947063272</v>
      </c>
      <c r="AN18" s="212" t="n">
        <f aca="false">V18</f>
        <v>59</v>
      </c>
      <c r="AO18" s="136" t="n">
        <v>0</v>
      </c>
      <c r="AP18" s="213"/>
      <c r="AV18" s="214" t="n">
        <v>0</v>
      </c>
      <c r="AW18" s="207" t="n">
        <v>30</v>
      </c>
      <c r="AX18" s="207" t="n">
        <v>-3</v>
      </c>
      <c r="AY18" s="215"/>
      <c r="AZ18" s="242" t="n">
        <f aca="false">SUM(N18,P18:U18)</f>
        <v>4.37</v>
      </c>
    </row>
    <row r="19" customFormat="false" ht="12.95" hidden="false" customHeight="true" outlineLevel="0" collapsed="false">
      <c r="A19" s="179" t="n">
        <f aca="false">A18+1</f>
        <v>5</v>
      </c>
      <c r="B19" s="106" t="n">
        <v>6897.64</v>
      </c>
      <c r="C19" s="107" t="n">
        <v>274958</v>
      </c>
      <c r="D19" s="207" t="n">
        <f aca="false">C19-C18</f>
        <v>-73</v>
      </c>
      <c r="E19" s="107" t="n">
        <f aca="false">C19-152000</f>
        <v>122958</v>
      </c>
      <c r="F19" s="238" t="n">
        <f aca="false">D19/$D$2</f>
        <v>-36.8036299470633</v>
      </c>
      <c r="G19" s="135" t="n">
        <v>59</v>
      </c>
      <c r="H19" s="239" t="n">
        <v>1.8</v>
      </c>
      <c r="I19" s="135" t="n">
        <f aca="false">G19+H19</f>
        <v>60.8</v>
      </c>
      <c r="J19" s="136" t="n">
        <f aca="false">IF(L19&gt;0,L19,0)</f>
        <v>0</v>
      </c>
      <c r="K19" s="135" t="n">
        <f aca="false">I19+J19</f>
        <v>60.8</v>
      </c>
      <c r="L19" s="135" t="n">
        <f aca="false">F19-(I19-AK19)</f>
        <v>-2.52362994706327</v>
      </c>
      <c r="M19" s="240" t="n">
        <v>4.08</v>
      </c>
      <c r="N19" s="135" t="n">
        <v>0</v>
      </c>
      <c r="O19" s="135" t="n">
        <v>0</v>
      </c>
      <c r="P19" s="155" t="n">
        <v>0</v>
      </c>
      <c r="Q19" s="131" t="n">
        <f aca="false">1132200/325851/1.9835*1.02</f>
        <v>1.78678401850389</v>
      </c>
      <c r="R19" s="131" t="n">
        <f aca="false">(1751618/325851/1.9835-T19)*1.04</f>
        <v>1.53444678334201</v>
      </c>
      <c r="S19" s="131" t="n">
        <v>0</v>
      </c>
      <c r="T19" s="131" t="n">
        <f aca="false">1.1872*1.04</f>
        <v>1.234688</v>
      </c>
      <c r="U19" s="96" t="n">
        <f aca="false">M19-(Q19+R19+S19+T19)</f>
        <v>-0.4759188018459</v>
      </c>
      <c r="V19" s="135" t="n">
        <v>59</v>
      </c>
      <c r="W19" s="135" t="n">
        <v>0</v>
      </c>
      <c r="X19" s="135" t="n">
        <f aca="false">M19-N19-P19-O19-Q19-R19-S19-T19-U19+V19+W19</f>
        <v>59</v>
      </c>
      <c r="Y19" s="135" t="n">
        <f aca="false">X19-AO19</f>
        <v>59</v>
      </c>
      <c r="Z19" s="135"/>
      <c r="AA19" s="135"/>
      <c r="AB19" s="136"/>
      <c r="AC19" s="136"/>
      <c r="AD19" s="107"/>
      <c r="AE19" s="135" t="n">
        <v>0</v>
      </c>
      <c r="AF19" s="240"/>
      <c r="AG19" s="241"/>
      <c r="AH19" s="135" t="n">
        <v>32</v>
      </c>
      <c r="AI19" s="107" t="n">
        <f aca="false">AI18-AH19</f>
        <v>3121</v>
      </c>
      <c r="AJ19" s="107"/>
      <c r="AK19" s="134" t="n">
        <f aca="false">N19+O19+P19+Q19+R19+S19+T19+U19+X19+AE19+AH19</f>
        <v>95.08</v>
      </c>
      <c r="AL19" s="135" t="n">
        <f aca="false">IF(L19&lt;0,L19*-1,0)</f>
        <v>2.52362994706327</v>
      </c>
      <c r="AM19" s="135" t="n">
        <f aca="false">AK19+AL19</f>
        <v>97.6036299470633</v>
      </c>
      <c r="AN19" s="212" t="n">
        <f aca="false">V19</f>
        <v>59</v>
      </c>
      <c r="AO19" s="136" t="n">
        <v>0</v>
      </c>
      <c r="AP19" s="213"/>
      <c r="AV19" s="214" t="n">
        <v>0</v>
      </c>
      <c r="AW19" s="207" t="n">
        <v>30</v>
      </c>
      <c r="AX19" s="207" t="n">
        <v>5</v>
      </c>
      <c r="AY19" s="215"/>
      <c r="AZ19" s="242" t="n">
        <f aca="false">SUM(N19,P19:U19)</f>
        <v>4.08</v>
      </c>
    </row>
    <row r="20" customFormat="false" ht="12.95" hidden="false" customHeight="true" outlineLevel="0" collapsed="false">
      <c r="A20" s="179" t="n">
        <f aca="false">A19+1</f>
        <v>6</v>
      </c>
      <c r="B20" s="106" t="n">
        <v>6897.62</v>
      </c>
      <c r="C20" s="107" t="n">
        <v>274886</v>
      </c>
      <c r="D20" s="207" t="n">
        <f aca="false">C20-C19</f>
        <v>-72</v>
      </c>
      <c r="E20" s="107" t="n">
        <f aca="false">C20-152000</f>
        <v>122886</v>
      </c>
      <c r="F20" s="238" t="n">
        <f aca="false">D20/$D$2</f>
        <v>-36.2994706327199</v>
      </c>
      <c r="G20" s="135" t="n">
        <v>53</v>
      </c>
      <c r="H20" s="239" t="n">
        <v>1.8</v>
      </c>
      <c r="I20" s="135" t="n">
        <f aca="false">G20+H20</f>
        <v>54.8</v>
      </c>
      <c r="J20" s="136" t="n">
        <f aca="false">IF(L20&gt;0,L20,0)</f>
        <v>3.80052936728007</v>
      </c>
      <c r="K20" s="135" t="n">
        <f aca="false">I20+J20</f>
        <v>58.6005293672801</v>
      </c>
      <c r="L20" s="135" t="n">
        <f aca="false">F20-(I20-AK20)</f>
        <v>3.80052936728007</v>
      </c>
      <c r="M20" s="240" t="n">
        <v>3.9</v>
      </c>
      <c r="N20" s="135" t="n">
        <v>0</v>
      </c>
      <c r="O20" s="135" t="n">
        <v>0</v>
      </c>
      <c r="P20" s="155" t="n">
        <v>0</v>
      </c>
      <c r="Q20" s="131" t="n">
        <f aca="false">974000/325851/1.9835*1.02</f>
        <v>1.53712032681751</v>
      </c>
      <c r="R20" s="131" t="n">
        <f aca="false">(1764070/325851/1.9835-T20)*1.04</f>
        <v>1.55448325232167</v>
      </c>
      <c r="S20" s="131" t="n">
        <v>0</v>
      </c>
      <c r="T20" s="131" t="n">
        <f aca="false">1.1872*1.04</f>
        <v>1.234688</v>
      </c>
      <c r="U20" s="96" t="n">
        <f aca="false">M20-(Q20+R20+S20+T20)</f>
        <v>-0.426291579139184</v>
      </c>
      <c r="V20" s="135" t="n">
        <v>59</v>
      </c>
      <c r="W20" s="135" t="n">
        <v>0</v>
      </c>
      <c r="X20" s="135" t="n">
        <f aca="false">M20-N20-P20-O20-Q20-R20-S20-T20-U20+V20+W20</f>
        <v>59</v>
      </c>
      <c r="Y20" s="135" t="n">
        <f aca="false">X20-AO20</f>
        <v>59</v>
      </c>
      <c r="Z20" s="135"/>
      <c r="AA20" s="135"/>
      <c r="AB20" s="136"/>
      <c r="AC20" s="136"/>
      <c r="AD20" s="107"/>
      <c r="AE20" s="135" t="n">
        <v>0</v>
      </c>
      <c r="AF20" s="240"/>
      <c r="AG20" s="241"/>
      <c r="AH20" s="135" t="n">
        <v>32</v>
      </c>
      <c r="AI20" s="107" t="n">
        <f aca="false">AI19-AH20</f>
        <v>3089</v>
      </c>
      <c r="AJ20" s="107"/>
      <c r="AK20" s="134" t="n">
        <f aca="false">N20+O20+P20+Q20+R20+S20+T20+U20+X20+AE20+AH20</f>
        <v>94.9</v>
      </c>
      <c r="AL20" s="135" t="n">
        <f aca="false">IF(L20&lt;0,L20*-1,0)</f>
        <v>0</v>
      </c>
      <c r="AM20" s="135" t="n">
        <f aca="false">AK20+AL20</f>
        <v>94.9</v>
      </c>
      <c r="AN20" s="212" t="n">
        <f aca="false">V20</f>
        <v>59</v>
      </c>
      <c r="AO20" s="136" t="n">
        <v>0</v>
      </c>
      <c r="AP20" s="213"/>
      <c r="AV20" s="214" t="n">
        <v>0</v>
      </c>
      <c r="AW20" s="207" t="n">
        <v>30</v>
      </c>
      <c r="AX20" s="207" t="n">
        <v>6</v>
      </c>
      <c r="AY20" s="215"/>
      <c r="AZ20" s="242" t="n">
        <f aca="false">SUM(N20,P20:U20)</f>
        <v>3.9</v>
      </c>
    </row>
    <row r="21" customFormat="false" ht="12.95" hidden="false" customHeight="true" outlineLevel="0" collapsed="false">
      <c r="A21" s="179" t="n">
        <f aca="false">A20+1</f>
        <v>7</v>
      </c>
      <c r="B21" s="106" t="n">
        <v>6897.6</v>
      </c>
      <c r="C21" s="107" t="n">
        <v>274814</v>
      </c>
      <c r="D21" s="207" t="n">
        <f aca="false">C21-C20</f>
        <v>-72</v>
      </c>
      <c r="E21" s="107" t="n">
        <f aca="false">C21-152000</f>
        <v>122814</v>
      </c>
      <c r="F21" s="238" t="n">
        <f aca="false">D21/$D$2</f>
        <v>-36.2994706327199</v>
      </c>
      <c r="G21" s="135" t="n">
        <v>51</v>
      </c>
      <c r="H21" s="239" t="n">
        <v>1.8</v>
      </c>
      <c r="I21" s="135" t="n">
        <f aca="false">G21+H21</f>
        <v>52.8</v>
      </c>
      <c r="J21" s="136" t="n">
        <f aca="false">IF(L21&gt;0,L21,0)</f>
        <v>5.80052936728007</v>
      </c>
      <c r="K21" s="135" t="n">
        <f aca="false">I21+J21</f>
        <v>58.6005293672801</v>
      </c>
      <c r="L21" s="135" t="n">
        <f aca="false">F21-(I21-AK21)</f>
        <v>5.80052936728007</v>
      </c>
      <c r="M21" s="240" t="n">
        <v>3.9</v>
      </c>
      <c r="N21" s="135" t="n">
        <v>0</v>
      </c>
      <c r="O21" s="135" t="n">
        <v>0</v>
      </c>
      <c r="P21" s="155" t="n">
        <v>0</v>
      </c>
      <c r="Q21" s="131" t="n">
        <f aca="false">1107400/325851/1.9835*1.02</f>
        <v>1.74764584180464</v>
      </c>
      <c r="R21" s="131" t="n">
        <f aca="false">((2322249+1198)/325851/1.9835-T21)*1.04</f>
        <v>2.32986631652625</v>
      </c>
      <c r="S21" s="131" t="n">
        <v>0</v>
      </c>
      <c r="T21" s="131" t="n">
        <f aca="false">1.3025*1.04</f>
        <v>1.3546</v>
      </c>
      <c r="U21" s="96" t="n">
        <f aca="false">M21-(Q21+R21+S21+T21)</f>
        <v>-1.53211215833089</v>
      </c>
      <c r="V21" s="135" t="n">
        <v>59</v>
      </c>
      <c r="W21" s="135" t="n">
        <v>0</v>
      </c>
      <c r="X21" s="135" t="n">
        <f aca="false">M21-N21-P21-O21-Q21-R21-S21-T21-U21+V21+W21</f>
        <v>59</v>
      </c>
      <c r="Y21" s="135" t="n">
        <f aca="false">X21-AO21</f>
        <v>59</v>
      </c>
      <c r="Z21" s="135"/>
      <c r="AA21" s="135"/>
      <c r="AB21" s="136"/>
      <c r="AC21" s="136"/>
      <c r="AD21" s="107"/>
      <c r="AE21" s="135" t="n">
        <v>0</v>
      </c>
      <c r="AF21" s="240"/>
      <c r="AG21" s="241"/>
      <c r="AH21" s="135" t="n">
        <v>32</v>
      </c>
      <c r="AI21" s="107" t="n">
        <f aca="false">AI20-AH21</f>
        <v>3057</v>
      </c>
      <c r="AJ21" s="107"/>
      <c r="AK21" s="134" t="n">
        <f aca="false">N21+O21+P21+Q21+R21+S21+T21+U21+X21+AE21+AH21</f>
        <v>94.9</v>
      </c>
      <c r="AL21" s="135" t="n">
        <f aca="false">IF(L21&lt;0,L21*-1,0)</f>
        <v>0</v>
      </c>
      <c r="AM21" s="135" t="n">
        <f aca="false">AK21+AL21</f>
        <v>94.9</v>
      </c>
      <c r="AN21" s="212" t="n">
        <f aca="false">V21</f>
        <v>59</v>
      </c>
      <c r="AO21" s="136" t="n">
        <v>0</v>
      </c>
      <c r="AP21" s="213"/>
      <c r="AV21" s="214" t="n">
        <v>0</v>
      </c>
      <c r="AW21" s="207" t="n">
        <v>32</v>
      </c>
      <c r="AX21" s="207" t="n">
        <v>4</v>
      </c>
      <c r="AY21" s="215"/>
      <c r="AZ21" s="242" t="n">
        <f aca="false">SUM(N21,P21:U21)</f>
        <v>3.9</v>
      </c>
    </row>
    <row r="22" customFormat="false" ht="12.95" hidden="false" customHeight="true" outlineLevel="0" collapsed="false">
      <c r="A22" s="179" t="n">
        <f aca="false">A21+1</f>
        <v>8</v>
      </c>
      <c r="B22" s="106" t="n">
        <v>6897.58</v>
      </c>
      <c r="C22" s="107" t="n">
        <v>274741</v>
      </c>
      <c r="D22" s="207" t="n">
        <f aca="false">C22-C21</f>
        <v>-73</v>
      </c>
      <c r="E22" s="107" t="n">
        <f aca="false">C22-152000</f>
        <v>122741</v>
      </c>
      <c r="F22" s="238" t="n">
        <f aca="false">D22/$D$2</f>
        <v>-36.8036299470633</v>
      </c>
      <c r="G22" s="135" t="n">
        <v>57</v>
      </c>
      <c r="H22" s="239" t="n">
        <v>1.8</v>
      </c>
      <c r="I22" s="135" t="n">
        <f aca="false">G22+H22</f>
        <v>58.8</v>
      </c>
      <c r="J22" s="136" t="n">
        <f aca="false">IF(L22&gt;0,L22,0)</f>
        <v>0</v>
      </c>
      <c r="K22" s="135" t="n">
        <f aca="false">I22+J22</f>
        <v>58.8</v>
      </c>
      <c r="L22" s="135" t="n">
        <f aca="false">F22-(I22-AK22)</f>
        <v>-0.703629947063263</v>
      </c>
      <c r="M22" s="240" t="n">
        <v>3.9</v>
      </c>
      <c r="N22" s="135" t="n">
        <v>0</v>
      </c>
      <c r="O22" s="135" t="n">
        <v>0</v>
      </c>
      <c r="P22" s="155" t="n">
        <v>0</v>
      </c>
      <c r="Q22" s="131" t="n">
        <f aca="false">987100/325851/1.9835*1.02</f>
        <v>1.55779412176752</v>
      </c>
      <c r="R22" s="131" t="n">
        <f aca="false">((2242332+910)/325851/1.9835-T22)*1.04</f>
        <v>2.20080873585538</v>
      </c>
      <c r="S22" s="131" t="n">
        <v>0</v>
      </c>
      <c r="T22" s="131" t="n">
        <f aca="false">1.3025*1.04</f>
        <v>1.3546</v>
      </c>
      <c r="U22" s="96" t="n">
        <f aca="false">M22-(Q22+R22+S22+T22)</f>
        <v>-1.21320285762291</v>
      </c>
      <c r="V22" s="135" t="n">
        <v>59</v>
      </c>
      <c r="W22" s="135" t="n">
        <v>0</v>
      </c>
      <c r="X22" s="135" t="n">
        <f aca="false">M22-N22-P22-O22-Q22-R22-S22-T22-U22+V22+W22</f>
        <v>59</v>
      </c>
      <c r="Y22" s="135" t="n">
        <f aca="false">X22-AO22</f>
        <v>59</v>
      </c>
      <c r="Z22" s="135"/>
      <c r="AA22" s="135"/>
      <c r="AB22" s="136"/>
      <c r="AC22" s="136"/>
      <c r="AD22" s="107"/>
      <c r="AE22" s="135" t="n">
        <v>0</v>
      </c>
      <c r="AF22" s="240"/>
      <c r="AG22" s="241"/>
      <c r="AH22" s="135" t="n">
        <v>32</v>
      </c>
      <c r="AI22" s="107" t="n">
        <f aca="false">AI21-AH22</f>
        <v>3025</v>
      </c>
      <c r="AJ22" s="107"/>
      <c r="AK22" s="134" t="n">
        <f aca="false">N22+O22+P22+Q22+R22+S22+T22+U22+X22+AE22+AH22</f>
        <v>94.9</v>
      </c>
      <c r="AL22" s="135" t="n">
        <f aca="false">IF(L22&lt;0,L22*-1,0)</f>
        <v>0.703629947063263</v>
      </c>
      <c r="AM22" s="135" t="n">
        <f aca="false">AK22+AL22</f>
        <v>95.6036299470633</v>
      </c>
      <c r="AN22" s="212" t="n">
        <f aca="false">V22</f>
        <v>59</v>
      </c>
      <c r="AO22" s="136" t="n">
        <v>0</v>
      </c>
      <c r="AP22" s="213"/>
      <c r="AV22" s="214" t="n">
        <v>0</v>
      </c>
      <c r="AW22" s="107" t="n">
        <v>31</v>
      </c>
      <c r="AX22" s="207" t="n">
        <v>4</v>
      </c>
      <c r="AY22" s="215"/>
      <c r="AZ22" s="242" t="n">
        <f aca="false">SUM(N22,P22:U22)</f>
        <v>3.9</v>
      </c>
    </row>
    <row r="23" customFormat="false" ht="12.95" hidden="false" customHeight="true" outlineLevel="0" collapsed="false">
      <c r="A23" s="179" t="n">
        <f aca="false">A22+1</f>
        <v>9</v>
      </c>
      <c r="B23" s="106" t="n">
        <v>6897.56</v>
      </c>
      <c r="C23" s="107" t="n">
        <v>274669</v>
      </c>
      <c r="D23" s="207" t="n">
        <f aca="false">C23-C22</f>
        <v>-72</v>
      </c>
      <c r="E23" s="107" t="n">
        <f aca="false">C23-152000</f>
        <v>122669</v>
      </c>
      <c r="F23" s="238" t="n">
        <f aca="false">D23/$D$2</f>
        <v>-36.2994706327199</v>
      </c>
      <c r="G23" s="135" t="n">
        <v>65</v>
      </c>
      <c r="H23" s="239" t="n">
        <v>1.8</v>
      </c>
      <c r="I23" s="135" t="n">
        <f aca="false">G23+H23</f>
        <v>66.8</v>
      </c>
      <c r="J23" s="136" t="n">
        <f aca="false">IF(L23&gt;0,L23,0)</f>
        <v>0</v>
      </c>
      <c r="K23" s="135" t="n">
        <f aca="false">I23+J23</f>
        <v>66.8</v>
      </c>
      <c r="L23" s="135" t="n">
        <f aca="false">F23-(I23-AK23)</f>
        <v>-7.75947063271993</v>
      </c>
      <c r="M23" s="240" t="n">
        <v>4.34</v>
      </c>
      <c r="N23" s="135" t="n">
        <v>0</v>
      </c>
      <c r="O23" s="135" t="n">
        <v>0</v>
      </c>
      <c r="P23" s="155" t="n">
        <v>0</v>
      </c>
      <c r="Q23" s="131" t="n">
        <f aca="false">1224500/325851/1.9835*1.02</f>
        <v>1.93244747452572</v>
      </c>
      <c r="R23" s="131" t="n">
        <f aca="false">(1730069/325851/1.9835-T23)*1.04</f>
        <v>1.3750638839682</v>
      </c>
      <c r="S23" s="131" t="n">
        <v>0</v>
      </c>
      <c r="T23" s="131" t="n">
        <f aca="false">1.3025*1.04</f>
        <v>1.3546</v>
      </c>
      <c r="U23" s="96" t="n">
        <f aca="false">M23-(Q23+R23+S23+T23)</f>
        <v>-0.322111358493913</v>
      </c>
      <c r="V23" s="135" t="n">
        <v>59</v>
      </c>
      <c r="W23" s="135" t="n">
        <v>0</v>
      </c>
      <c r="X23" s="135" t="n">
        <f aca="false">M23-N23-P23-O23-Q23-R23-S23-T23-U23+V23+W23</f>
        <v>59</v>
      </c>
      <c r="Y23" s="135" t="n">
        <f aca="false">X23-AO23</f>
        <v>59</v>
      </c>
      <c r="Z23" s="135"/>
      <c r="AA23" s="135"/>
      <c r="AB23" s="136"/>
      <c r="AC23" s="136"/>
      <c r="AD23" s="107"/>
      <c r="AE23" s="135" t="n">
        <v>0</v>
      </c>
      <c r="AF23" s="240"/>
      <c r="AG23" s="241"/>
      <c r="AH23" s="135" t="n">
        <v>32</v>
      </c>
      <c r="AI23" s="107" t="n">
        <f aca="false">AI22-AH23</f>
        <v>2993</v>
      </c>
      <c r="AJ23" s="107"/>
      <c r="AK23" s="134" t="n">
        <f aca="false">N23+O23+P23+Q23+R23+S23+T23+U23+X23+AE23+AH23</f>
        <v>95.34</v>
      </c>
      <c r="AL23" s="135" t="n">
        <f aca="false">IF(L23&lt;0,L23*-1,0)</f>
        <v>7.75947063271993</v>
      </c>
      <c r="AM23" s="135" t="n">
        <f aca="false">AK23+AL23</f>
        <v>103.09947063272</v>
      </c>
      <c r="AN23" s="212" t="n">
        <f aca="false">V23</f>
        <v>59</v>
      </c>
      <c r="AO23" s="136" t="n">
        <v>0</v>
      </c>
      <c r="AP23" s="213"/>
      <c r="AV23" s="214" t="n">
        <v>0</v>
      </c>
      <c r="AW23" s="107" t="n">
        <v>34</v>
      </c>
      <c r="AX23" s="207" t="n">
        <v>19</v>
      </c>
      <c r="AY23" s="215"/>
      <c r="AZ23" s="242" t="n">
        <f aca="false">SUM(N23,P23:U23)</f>
        <v>4.34</v>
      </c>
    </row>
    <row r="24" customFormat="false" ht="12.95" hidden="false" customHeight="true" outlineLevel="0" collapsed="false">
      <c r="A24" s="179" t="n">
        <f aca="false">A23+1</f>
        <v>10</v>
      </c>
      <c r="B24" s="106" t="n">
        <v>6897.54</v>
      </c>
      <c r="C24" s="107" t="n">
        <v>274597</v>
      </c>
      <c r="D24" s="207" t="n">
        <f aca="false">C24-C23</f>
        <v>-72</v>
      </c>
      <c r="E24" s="107" t="n">
        <f aca="false">C24-152000</f>
        <v>122597</v>
      </c>
      <c r="F24" s="238" t="n">
        <f aca="false">D24/$D$2</f>
        <v>-36.2994706327199</v>
      </c>
      <c r="G24" s="135" t="n">
        <v>51</v>
      </c>
      <c r="H24" s="239" t="n">
        <v>1.8</v>
      </c>
      <c r="I24" s="135" t="n">
        <f aca="false">G24+H24</f>
        <v>52.8</v>
      </c>
      <c r="J24" s="136" t="n">
        <f aca="false">IF(L24&gt;0,L24,0)</f>
        <v>6.80052936728007</v>
      </c>
      <c r="K24" s="135" t="n">
        <f aca="false">I24+J24</f>
        <v>59.6005293672801</v>
      </c>
      <c r="L24" s="135" t="n">
        <f aca="false">F24-(I24-AK24)</f>
        <v>6.80052936728007</v>
      </c>
      <c r="M24" s="240" t="n">
        <v>4.9</v>
      </c>
      <c r="N24" s="135" t="n">
        <v>0</v>
      </c>
      <c r="O24" s="135" t="n">
        <v>0</v>
      </c>
      <c r="P24" s="155" t="n">
        <v>0</v>
      </c>
      <c r="Q24" s="131" t="n">
        <f aca="false">1008000/325851/1.9835*1.02</f>
        <v>1.59077750455036</v>
      </c>
      <c r="R24" s="131" t="n">
        <f aca="false">(1651337/325851/1.9835-T24)*1.04</f>
        <v>1.24837650236632</v>
      </c>
      <c r="S24" s="131" t="n">
        <v>0</v>
      </c>
      <c r="T24" s="131" t="n">
        <f aca="false">1.3025*1.04</f>
        <v>1.3546</v>
      </c>
      <c r="U24" s="96" t="n">
        <f aca="false">M24-(Q24+R24+S24+T24)</f>
        <v>0.70624599308332</v>
      </c>
      <c r="V24" s="135" t="n">
        <v>59</v>
      </c>
      <c r="W24" s="135" t="n">
        <v>0</v>
      </c>
      <c r="X24" s="135" t="n">
        <f aca="false">M24-N24-P24-O24-Q24-R24-S24-T24-U24+V24+W24</f>
        <v>59</v>
      </c>
      <c r="Y24" s="135" t="n">
        <f aca="false">X24-AO24</f>
        <v>59</v>
      </c>
      <c r="Z24" s="135"/>
      <c r="AA24" s="135"/>
      <c r="AB24" s="136"/>
      <c r="AC24" s="136"/>
      <c r="AD24" s="107"/>
      <c r="AE24" s="135" t="n">
        <v>0</v>
      </c>
      <c r="AF24" s="240"/>
      <c r="AG24" s="241"/>
      <c r="AH24" s="135" t="n">
        <v>32</v>
      </c>
      <c r="AI24" s="107" t="n">
        <f aca="false">AI23-AH24</f>
        <v>2961</v>
      </c>
      <c r="AJ24" s="107"/>
      <c r="AK24" s="134" t="n">
        <f aca="false">N24+O24+P24+Q24+R24+S24+T24+U24+X24+AE24+AH24</f>
        <v>95.9</v>
      </c>
      <c r="AL24" s="135" t="n">
        <f aca="false">IF(L24&lt;0,L24*-1,0)</f>
        <v>0</v>
      </c>
      <c r="AM24" s="135" t="n">
        <f aca="false">AK24+AL24</f>
        <v>95.9</v>
      </c>
      <c r="AN24" s="212" t="n">
        <f aca="false">V24</f>
        <v>59</v>
      </c>
      <c r="AO24" s="136" t="n">
        <v>0</v>
      </c>
      <c r="AP24" s="213"/>
      <c r="AV24" s="214" t="n">
        <v>0</v>
      </c>
      <c r="AW24" s="107" t="n">
        <v>21</v>
      </c>
      <c r="AX24" s="207" t="n">
        <v>-5</v>
      </c>
      <c r="AY24" s="215"/>
      <c r="AZ24" s="242" t="n">
        <f aca="false">SUM(N24,P24:U24)</f>
        <v>4.9</v>
      </c>
    </row>
    <row r="25" customFormat="false" ht="12.95" hidden="false" customHeight="true" outlineLevel="0" collapsed="false">
      <c r="A25" s="179" t="n">
        <f aca="false">A24+1</f>
        <v>11</v>
      </c>
      <c r="B25" s="106" t="n">
        <v>6897.52</v>
      </c>
      <c r="C25" s="107" t="n">
        <v>274524</v>
      </c>
      <c r="D25" s="207" t="n">
        <f aca="false">C25-C24</f>
        <v>-73</v>
      </c>
      <c r="E25" s="107" t="n">
        <f aca="false">C25-152000</f>
        <v>122524</v>
      </c>
      <c r="F25" s="238" t="n">
        <f aca="false">D25/$D$2</f>
        <v>-36.8036299470633</v>
      </c>
      <c r="G25" s="135" t="n">
        <v>47</v>
      </c>
      <c r="H25" s="239" t="n">
        <v>1.8</v>
      </c>
      <c r="I25" s="135" t="n">
        <f aca="false">G25+H25</f>
        <v>48.8</v>
      </c>
      <c r="J25" s="136" t="n">
        <f aca="false">IF(L25&gt;0,L25,0)</f>
        <v>9.06637005293673</v>
      </c>
      <c r="K25" s="135" t="n">
        <f aca="false">I25+J25</f>
        <v>57.8663700529367</v>
      </c>
      <c r="L25" s="135" t="n">
        <f aca="false">F25-(I25-AK25)</f>
        <v>9.06637005293673</v>
      </c>
      <c r="M25" s="240" t="n">
        <v>3.67</v>
      </c>
      <c r="N25" s="135" t="n">
        <v>0</v>
      </c>
      <c r="O25" s="135" t="n">
        <v>0</v>
      </c>
      <c r="P25" s="155" t="n">
        <v>0</v>
      </c>
      <c r="Q25" s="131" t="n">
        <f aca="false">1095200/325851/1.9835*1.02</f>
        <v>1.72839238391226</v>
      </c>
      <c r="R25" s="131" t="n">
        <f aca="false">(2257389/325851/1.9835-T25)*1.04</f>
        <v>2.22357262331565</v>
      </c>
      <c r="S25" s="131" t="n">
        <v>0</v>
      </c>
      <c r="T25" s="131" t="n">
        <f aca="false">1.3025*1.04</f>
        <v>1.3546</v>
      </c>
      <c r="U25" s="96" t="n">
        <f aca="false">M25-(Q25+R25+S25+T25)</f>
        <v>-1.63656500722791</v>
      </c>
      <c r="V25" s="135" t="n">
        <v>59</v>
      </c>
      <c r="W25" s="135" t="n">
        <v>0</v>
      </c>
      <c r="X25" s="135" t="n">
        <f aca="false">M25-N25-P25-O25-Q25-R25-S25-T25-U25+V25+W25</f>
        <v>59</v>
      </c>
      <c r="Y25" s="135" t="n">
        <f aca="false">X25-AO25</f>
        <v>59</v>
      </c>
      <c r="Z25" s="135"/>
      <c r="AA25" s="135"/>
      <c r="AB25" s="136"/>
      <c r="AC25" s="136"/>
      <c r="AD25" s="107"/>
      <c r="AE25" s="135" t="n">
        <v>0</v>
      </c>
      <c r="AF25" s="240"/>
      <c r="AG25" s="241"/>
      <c r="AH25" s="135" t="n">
        <v>32</v>
      </c>
      <c r="AI25" s="107" t="n">
        <f aca="false">AI24-AH25</f>
        <v>2929</v>
      </c>
      <c r="AJ25" s="107"/>
      <c r="AK25" s="134" t="n">
        <f aca="false">N25+O25+P25+Q25+R25+S25+T25+U25+X25+AE25+AH25</f>
        <v>94.67</v>
      </c>
      <c r="AL25" s="135" t="n">
        <f aca="false">IF(L25&lt;0,L25*-1,0)</f>
        <v>0</v>
      </c>
      <c r="AM25" s="135" t="n">
        <f aca="false">AK25+AL25</f>
        <v>94.67</v>
      </c>
      <c r="AN25" s="212" t="n">
        <f aca="false">V25</f>
        <v>59</v>
      </c>
      <c r="AO25" s="136" t="n">
        <v>0</v>
      </c>
      <c r="AP25" s="213"/>
      <c r="AV25" s="214" t="n">
        <v>0</v>
      </c>
      <c r="AW25" s="107" t="n">
        <v>23</v>
      </c>
      <c r="AX25" s="207" t="n">
        <v>-4</v>
      </c>
      <c r="AY25" s="215"/>
      <c r="AZ25" s="242" t="n">
        <f aca="false">SUM(N25,P25:U25)</f>
        <v>3.67</v>
      </c>
    </row>
    <row r="26" customFormat="false" ht="12.95" hidden="false" customHeight="true" outlineLevel="0" collapsed="false">
      <c r="A26" s="179" t="n">
        <f aca="false">A25+1</f>
        <v>12</v>
      </c>
      <c r="B26" s="106" t="n">
        <v>6897.49</v>
      </c>
      <c r="C26" s="107" t="n">
        <v>274415</v>
      </c>
      <c r="D26" s="207" t="n">
        <f aca="false">C26-C25</f>
        <v>-109</v>
      </c>
      <c r="E26" s="107" t="n">
        <f aca="false">C26-152000</f>
        <v>122415</v>
      </c>
      <c r="F26" s="238" t="n">
        <f aca="false">D26/$D$2</f>
        <v>-54.9533652634232</v>
      </c>
      <c r="G26" s="135" t="n">
        <v>55</v>
      </c>
      <c r="H26" s="239" t="n">
        <v>1.8</v>
      </c>
      <c r="I26" s="135" t="n">
        <f aca="false">G26+H26</f>
        <v>56.8</v>
      </c>
      <c r="J26" s="136" t="n">
        <f aca="false">IF(L26&gt;0,L26,0)</f>
        <v>0</v>
      </c>
      <c r="K26" s="135" t="n">
        <f aca="false">I26+J26</f>
        <v>56.8</v>
      </c>
      <c r="L26" s="135" t="n">
        <f aca="false">F26-(I26-AK26)</f>
        <v>-15.3833652634232</v>
      </c>
      <c r="M26" s="240" t="n">
        <v>5.37</v>
      </c>
      <c r="N26" s="135" t="n">
        <v>0</v>
      </c>
      <c r="O26" s="135" t="n">
        <v>0</v>
      </c>
      <c r="P26" s="155" t="n">
        <v>0</v>
      </c>
      <c r="Q26" s="131" t="n">
        <f aca="false">936800/325851/1.9835*1.02</f>
        <v>1.47841306176863</v>
      </c>
      <c r="R26" s="131" t="n">
        <f aca="false">((1987530+271)/325851/1.9835-T26)*1.04</f>
        <v>1.78977952989382</v>
      </c>
      <c r="S26" s="131" t="n">
        <v>0</v>
      </c>
      <c r="T26" s="131" t="n">
        <f aca="false">1.3025*1.04</f>
        <v>1.3546</v>
      </c>
      <c r="U26" s="96" t="n">
        <f aca="false">M26-(Q26+R26+S26+T26)</f>
        <v>0.747207408337551</v>
      </c>
      <c r="V26" s="135" t="n">
        <v>59</v>
      </c>
      <c r="W26" s="135" t="n">
        <v>0</v>
      </c>
      <c r="X26" s="135" t="n">
        <f aca="false">M26-N26-P26-O26-Q26-R26-S26-T26-U26+V26+W26</f>
        <v>59</v>
      </c>
      <c r="Y26" s="135" t="n">
        <f aca="false">X26-AO26</f>
        <v>59</v>
      </c>
      <c r="Z26" s="135"/>
      <c r="AA26" s="135"/>
      <c r="AB26" s="136"/>
      <c r="AC26" s="136"/>
      <c r="AD26" s="107"/>
      <c r="AE26" s="135" t="n">
        <v>0</v>
      </c>
      <c r="AF26" s="240"/>
      <c r="AG26" s="241"/>
      <c r="AH26" s="135" t="n">
        <v>32</v>
      </c>
      <c r="AI26" s="107" t="n">
        <f aca="false">AI25-AH26</f>
        <v>2897</v>
      </c>
      <c r="AJ26" s="107"/>
      <c r="AK26" s="134" t="n">
        <f aca="false">N26+O26+P26+Q26+R26+S26+T26+U26+X26+AE26+AH26</f>
        <v>96.37</v>
      </c>
      <c r="AL26" s="135" t="n">
        <f aca="false">IF(L26&lt;0,L26*-1,0)</f>
        <v>15.3833652634232</v>
      </c>
      <c r="AM26" s="135" t="n">
        <f aca="false">AK26+AL26</f>
        <v>111.753365263423</v>
      </c>
      <c r="AN26" s="212" t="n">
        <f aca="false">V26</f>
        <v>59</v>
      </c>
      <c r="AO26" s="136" t="n">
        <v>0</v>
      </c>
      <c r="AP26" s="213"/>
      <c r="AV26" s="214" t="n">
        <v>0</v>
      </c>
      <c r="AW26" s="107" t="n">
        <v>35</v>
      </c>
      <c r="AX26" s="207" t="n">
        <v>11</v>
      </c>
      <c r="AY26" s="215"/>
      <c r="AZ26" s="242" t="n">
        <f aca="false">SUM(N26,P26:U26)</f>
        <v>5.37</v>
      </c>
    </row>
    <row r="27" customFormat="false" ht="12.95" hidden="false" customHeight="true" outlineLevel="0" collapsed="false">
      <c r="A27" s="179" t="n">
        <f aca="false">A26+1</f>
        <v>13</v>
      </c>
      <c r="B27" s="106" t="n">
        <v>6897.46</v>
      </c>
      <c r="C27" s="107" t="n">
        <v>274307</v>
      </c>
      <c r="D27" s="207" t="n">
        <f aca="false">C27-C26</f>
        <v>-108</v>
      </c>
      <c r="E27" s="107" t="n">
        <f aca="false">C27-152000</f>
        <v>122307</v>
      </c>
      <c r="F27" s="238" t="n">
        <f aca="false">D27/$D$2</f>
        <v>-54.4492059490799</v>
      </c>
      <c r="G27" s="135" t="n">
        <v>60</v>
      </c>
      <c r="H27" s="239" t="n">
        <v>1.8</v>
      </c>
      <c r="I27" s="135" t="n">
        <f aca="false">G27+H27</f>
        <v>61.8</v>
      </c>
      <c r="J27" s="136" t="n">
        <f aca="false">IF(L27&gt;0,L27,0)</f>
        <v>0</v>
      </c>
      <c r="K27" s="135" t="n">
        <f aca="false">I27+J27</f>
        <v>61.8</v>
      </c>
      <c r="L27" s="135" t="n">
        <f aca="false">F27-(I27-AK27)</f>
        <v>-21.0392059490799</v>
      </c>
      <c r="M27" s="240" t="n">
        <v>4.21</v>
      </c>
      <c r="N27" s="135" t="n">
        <v>0</v>
      </c>
      <c r="O27" s="135" t="n">
        <v>0</v>
      </c>
      <c r="P27" s="155" t="n">
        <v>0</v>
      </c>
      <c r="Q27" s="131" t="n">
        <f aca="false">1036900/325851/1.9835*1.02</f>
        <v>1.63638610562329</v>
      </c>
      <c r="R27" s="131" t="n">
        <f aca="false">(2001357/325851/1.9835-T27)*1.04</f>
        <v>1.81159244135288</v>
      </c>
      <c r="S27" s="131" t="n">
        <v>0</v>
      </c>
      <c r="T27" s="131" t="n">
        <f aca="false">1.3025*1.04</f>
        <v>1.3546</v>
      </c>
      <c r="U27" s="96" t="n">
        <f aca="false">M27-(Q27+R27+S27+T27)</f>
        <v>-0.59257854697617</v>
      </c>
      <c r="V27" s="135" t="n">
        <v>59</v>
      </c>
      <c r="W27" s="135" t="n">
        <v>0</v>
      </c>
      <c r="X27" s="135" t="n">
        <f aca="false">M27-N27-P27-O27-Q27-R27-S27-T27-U27+V27+W27</f>
        <v>59</v>
      </c>
      <c r="Y27" s="135" t="n">
        <f aca="false">X27-AO27</f>
        <v>59</v>
      </c>
      <c r="Z27" s="135"/>
      <c r="AA27" s="135"/>
      <c r="AB27" s="136"/>
      <c r="AC27" s="136"/>
      <c r="AD27" s="107"/>
      <c r="AE27" s="135" t="n">
        <v>0</v>
      </c>
      <c r="AF27" s="240"/>
      <c r="AG27" s="241"/>
      <c r="AH27" s="135" t="n">
        <v>32</v>
      </c>
      <c r="AI27" s="107" t="n">
        <f aca="false">AI26-AH27</f>
        <v>2865</v>
      </c>
      <c r="AJ27" s="107"/>
      <c r="AK27" s="134" t="n">
        <f aca="false">N27+O27+P27+Q27+R27+S27+T27+U27+X27+AE27+AH27</f>
        <v>95.21</v>
      </c>
      <c r="AL27" s="135" t="n">
        <f aca="false">IF(L27&lt;0,L27*-1,0)</f>
        <v>21.0392059490799</v>
      </c>
      <c r="AM27" s="135" t="n">
        <f aca="false">AK27+AL27</f>
        <v>116.24920594908</v>
      </c>
      <c r="AN27" s="212" t="n">
        <f aca="false">V27</f>
        <v>59</v>
      </c>
      <c r="AO27" s="136" t="n">
        <v>0</v>
      </c>
      <c r="AP27" s="213"/>
      <c r="AV27" s="214" t="n">
        <v>0</v>
      </c>
      <c r="AW27" s="107" t="n">
        <v>35</v>
      </c>
      <c r="AX27" s="207" t="n">
        <v>11</v>
      </c>
      <c r="AY27" s="215"/>
      <c r="AZ27" s="242" t="n">
        <f aca="false">SUM(N27,P27:U27)</f>
        <v>4.21</v>
      </c>
    </row>
    <row r="28" customFormat="false" ht="12.95" hidden="false" customHeight="true" outlineLevel="0" collapsed="false">
      <c r="A28" s="179" t="n">
        <f aca="false">A27+1</f>
        <v>14</v>
      </c>
      <c r="B28" s="106" t="n">
        <v>6897.43</v>
      </c>
      <c r="C28" s="107" t="n">
        <v>274199</v>
      </c>
      <c r="D28" s="207" t="n">
        <f aca="false">C28-C27</f>
        <v>-108</v>
      </c>
      <c r="E28" s="107" t="n">
        <f aca="false">C28-152000</f>
        <v>122199</v>
      </c>
      <c r="F28" s="238" t="n">
        <f aca="false">D28/$D$2</f>
        <v>-54.4492059490799</v>
      </c>
      <c r="G28" s="135" t="n">
        <v>55</v>
      </c>
      <c r="H28" s="239" t="n">
        <v>1.8</v>
      </c>
      <c r="I28" s="135" t="n">
        <f aca="false">G28+H28</f>
        <v>56.8</v>
      </c>
      <c r="J28" s="136" t="n">
        <f aca="false">IF(L28&gt;0,L28,0)</f>
        <v>0</v>
      </c>
      <c r="K28" s="135" t="n">
        <f aca="false">I28+J28</f>
        <v>56.8</v>
      </c>
      <c r="L28" s="135" t="n">
        <f aca="false">F28-(I28-AK28)</f>
        <v>-15.2692059490799</v>
      </c>
      <c r="M28" s="240" t="n">
        <v>4.98</v>
      </c>
      <c r="N28" s="135" t="n">
        <v>0</v>
      </c>
      <c r="O28" s="135" t="n">
        <v>0</v>
      </c>
      <c r="P28" s="155" t="n">
        <v>0</v>
      </c>
      <c r="Q28" s="131" t="n">
        <f aca="false">1009000/325851/1.9835*1.02</f>
        <v>1.59235565683662</v>
      </c>
      <c r="R28" s="131" t="n">
        <f aca="false">(1847682/325851/1.9835-T28)*1.04</f>
        <v>1.42132702459338</v>
      </c>
      <c r="S28" s="131" t="n">
        <v>0</v>
      </c>
      <c r="T28" s="131" t="n">
        <f aca="false">1.4347*1.04</f>
        <v>1.492088</v>
      </c>
      <c r="U28" s="96" t="n">
        <f aca="false">M28-(Q28+R28+S28+T28)</f>
        <v>0.474229318569995</v>
      </c>
      <c r="V28" s="135" t="n">
        <v>59</v>
      </c>
      <c r="W28" s="135" t="n">
        <v>0</v>
      </c>
      <c r="X28" s="135" t="n">
        <f aca="false">M28-N28-P28-O28-Q28-R28-S28-T28-U28+V28+W28</f>
        <v>59</v>
      </c>
      <c r="Y28" s="135" t="n">
        <f aca="false">X28-AO28</f>
        <v>59</v>
      </c>
      <c r="Z28" s="135"/>
      <c r="AA28" s="135"/>
      <c r="AB28" s="136"/>
      <c r="AC28" s="136"/>
      <c r="AD28" s="107"/>
      <c r="AE28" s="135" t="n">
        <v>0</v>
      </c>
      <c r="AF28" s="240"/>
      <c r="AG28" s="241"/>
      <c r="AH28" s="135" t="n">
        <v>32</v>
      </c>
      <c r="AI28" s="107" t="n">
        <f aca="false">AI27-AH28</f>
        <v>2833</v>
      </c>
      <c r="AJ28" s="107"/>
      <c r="AK28" s="134" t="n">
        <f aca="false">N28+O28+P28+Q28+R28+S28+T28+U28+X28+AE28+AH28</f>
        <v>95.98</v>
      </c>
      <c r="AL28" s="135" t="n">
        <f aca="false">IF(L28&lt;0,L28*-1,0)</f>
        <v>15.2692059490799</v>
      </c>
      <c r="AM28" s="135" t="n">
        <f aca="false">AK28+AL28</f>
        <v>111.24920594908</v>
      </c>
      <c r="AN28" s="212" t="n">
        <f aca="false">V28</f>
        <v>59</v>
      </c>
      <c r="AO28" s="136" t="n">
        <v>0</v>
      </c>
      <c r="AP28" s="213"/>
      <c r="AV28" s="214" t="n">
        <v>0</v>
      </c>
      <c r="AW28" s="107" t="n">
        <v>44</v>
      </c>
      <c r="AX28" s="207" t="n">
        <v>22</v>
      </c>
      <c r="AY28" s="215"/>
      <c r="AZ28" s="242" t="n">
        <f aca="false">SUM(N28,P28:U28)</f>
        <v>4.98</v>
      </c>
    </row>
    <row r="29" customFormat="false" ht="12.95" hidden="false" customHeight="true" outlineLevel="0" collapsed="false">
      <c r="A29" s="179" t="n">
        <f aca="false">A28+1</f>
        <v>15</v>
      </c>
      <c r="B29" s="106" t="n">
        <v>6897.4</v>
      </c>
      <c r="C29" s="107" t="n">
        <v>274090</v>
      </c>
      <c r="D29" s="207" t="n">
        <f aca="false">C29-C28</f>
        <v>-109</v>
      </c>
      <c r="E29" s="107" t="n">
        <f aca="false">C29-152000</f>
        <v>122090</v>
      </c>
      <c r="F29" s="238" t="n">
        <f aca="false">D29/$D$2</f>
        <v>-54.9533652634232</v>
      </c>
      <c r="G29" s="135" t="n">
        <v>57</v>
      </c>
      <c r="H29" s="239" t="n">
        <v>1.8</v>
      </c>
      <c r="I29" s="135" t="n">
        <f aca="false">G29+H29</f>
        <v>58.8</v>
      </c>
      <c r="J29" s="136" t="n">
        <f aca="false">IF(L29&gt;0,L29,0)</f>
        <v>0</v>
      </c>
      <c r="K29" s="135" t="n">
        <f aca="false">I29+J29</f>
        <v>58.8</v>
      </c>
      <c r="L29" s="135" t="n">
        <f aca="false">F29-(I29-AK29)</f>
        <v>-17.9733652634232</v>
      </c>
      <c r="M29" s="240" t="n">
        <v>4.78</v>
      </c>
      <c r="N29" s="135" t="n">
        <v>0</v>
      </c>
      <c r="O29" s="135" t="n">
        <v>0</v>
      </c>
      <c r="P29" s="155" t="n">
        <v>0</v>
      </c>
      <c r="Q29" s="131" t="n">
        <f aca="false">1003800/325851/1.9835*1.02</f>
        <v>1.58414926494807</v>
      </c>
      <c r="R29" s="131" t="n">
        <f aca="false">(2060858/325851/1.9835-T29)*1.04</f>
        <v>1.76434776914912</v>
      </c>
      <c r="S29" s="131" t="n">
        <v>0</v>
      </c>
      <c r="T29" s="131" t="n">
        <f aca="false">1.4347*1.04</f>
        <v>1.492088</v>
      </c>
      <c r="U29" s="96" t="n">
        <f aca="false">M29-(Q29+R29+S29+T29)</f>
        <v>-0.0605850340971923</v>
      </c>
      <c r="V29" s="135" t="n">
        <v>59</v>
      </c>
      <c r="W29" s="135" t="n">
        <v>0</v>
      </c>
      <c r="X29" s="135" t="n">
        <f aca="false">M29-N29-P29-O29-Q29-R29-S29-T29-U29+V29+W29</f>
        <v>59</v>
      </c>
      <c r="Y29" s="135" t="n">
        <f aca="false">X29-AO29</f>
        <v>59</v>
      </c>
      <c r="Z29" s="135"/>
      <c r="AA29" s="135"/>
      <c r="AB29" s="136"/>
      <c r="AC29" s="136"/>
      <c r="AD29" s="107"/>
      <c r="AE29" s="135" t="n">
        <v>0</v>
      </c>
      <c r="AF29" s="240"/>
      <c r="AG29" s="241"/>
      <c r="AH29" s="135" t="n">
        <v>32</v>
      </c>
      <c r="AI29" s="107" t="n">
        <f aca="false">AI28-AH29</f>
        <v>2801</v>
      </c>
      <c r="AJ29" s="107"/>
      <c r="AK29" s="134" t="n">
        <f aca="false">N29+O29+P29+Q29+R29+S29+T29+U29+X29+AE29+AH29</f>
        <v>95.78</v>
      </c>
      <c r="AL29" s="135" t="n">
        <f aca="false">IF(L29&lt;0,L29*-1,0)</f>
        <v>17.9733652634232</v>
      </c>
      <c r="AM29" s="135" t="n">
        <f aca="false">AK29+AL29</f>
        <v>113.753365263423</v>
      </c>
      <c r="AN29" s="212" t="n">
        <f aca="false">V29</f>
        <v>59</v>
      </c>
      <c r="AO29" s="136" t="n">
        <v>0</v>
      </c>
      <c r="AP29" s="213"/>
      <c r="AV29" s="214" t="n">
        <v>0</v>
      </c>
      <c r="AW29" s="107" t="n">
        <v>45</v>
      </c>
      <c r="AX29" s="207" t="n">
        <v>18</v>
      </c>
      <c r="AY29" s="215"/>
      <c r="AZ29" s="242" t="n">
        <f aca="false">SUM(N29,P29:U29)</f>
        <v>4.78</v>
      </c>
    </row>
    <row r="30" customFormat="false" ht="12.95" hidden="false" customHeight="true" outlineLevel="0" collapsed="false">
      <c r="A30" s="179" t="n">
        <f aca="false">A29+1</f>
        <v>16</v>
      </c>
      <c r="B30" s="106" t="n">
        <v>6897.38</v>
      </c>
      <c r="C30" s="107" t="n">
        <v>274018</v>
      </c>
      <c r="D30" s="207" t="n">
        <f aca="false">C30-C29</f>
        <v>-72</v>
      </c>
      <c r="E30" s="107" t="n">
        <f aca="false">C30-152000</f>
        <v>122018</v>
      </c>
      <c r="F30" s="238" t="n">
        <f aca="false">D30/$D$2</f>
        <v>-36.2994706327199</v>
      </c>
      <c r="G30" s="135" t="n">
        <v>57</v>
      </c>
      <c r="H30" s="239" t="n">
        <v>1.8</v>
      </c>
      <c r="I30" s="135" t="n">
        <f aca="false">G30+H30</f>
        <v>58.8</v>
      </c>
      <c r="J30" s="136" t="n">
        <f aca="false">IF(L30&gt;0,L30,0)</f>
        <v>0.520529367280069</v>
      </c>
      <c r="K30" s="135" t="n">
        <f aca="false">I30+J30</f>
        <v>59.3205293672801</v>
      </c>
      <c r="L30" s="135" t="n">
        <f aca="false">F30-(I30-AK30)</f>
        <v>0.520529367280069</v>
      </c>
      <c r="M30" s="240" t="n">
        <v>4.62</v>
      </c>
      <c r="N30" s="135" t="n">
        <v>0</v>
      </c>
      <c r="O30" s="135" t="n">
        <v>0</v>
      </c>
      <c r="P30" s="155" t="n">
        <v>0</v>
      </c>
      <c r="Q30" s="131" t="n">
        <f aca="false">1177200/325851/1.9835*1.02</f>
        <v>1.8578008713856</v>
      </c>
      <c r="R30" s="131" t="n">
        <f aca="false">(2283827/325851/1.9835-T30)*1.04</f>
        <v>2.12312639522733</v>
      </c>
      <c r="S30" s="131" t="n">
        <v>0</v>
      </c>
      <c r="T30" s="131" t="n">
        <f aca="false">1.4347*1.04</f>
        <v>1.492088</v>
      </c>
      <c r="U30" s="96" t="n">
        <f aca="false">M30-(Q30+R30+S30+T30)</f>
        <v>-0.853015266612936</v>
      </c>
      <c r="V30" s="135" t="n">
        <v>59</v>
      </c>
      <c r="W30" s="135" t="n">
        <v>0</v>
      </c>
      <c r="X30" s="135" t="n">
        <f aca="false">M30-N30-P30-O30-Q30-R30-S30-T30-U30+V30+W30</f>
        <v>59</v>
      </c>
      <c r="Y30" s="135" t="n">
        <f aca="false">X30-AO30</f>
        <v>59</v>
      </c>
      <c r="Z30" s="135"/>
      <c r="AA30" s="135"/>
      <c r="AB30" s="136"/>
      <c r="AC30" s="136"/>
      <c r="AD30" s="107"/>
      <c r="AE30" s="135" t="n">
        <v>0</v>
      </c>
      <c r="AF30" s="240"/>
      <c r="AG30" s="241"/>
      <c r="AH30" s="135" t="n">
        <v>32</v>
      </c>
      <c r="AI30" s="107" t="n">
        <f aca="false">AI29-AH30</f>
        <v>2769</v>
      </c>
      <c r="AJ30" s="107"/>
      <c r="AK30" s="134" t="n">
        <f aca="false">N30+O30+P30+Q30+R30+S30+T30+U30+X30+AE30+AH30</f>
        <v>95.62</v>
      </c>
      <c r="AL30" s="135" t="n">
        <f aca="false">IF(L30&lt;0,L30*-1,0)</f>
        <v>0</v>
      </c>
      <c r="AM30" s="135" t="n">
        <f aca="false">AK30+AL30</f>
        <v>95.62</v>
      </c>
      <c r="AN30" s="212" t="n">
        <f aca="false">V30</f>
        <v>59</v>
      </c>
      <c r="AO30" s="136" t="n">
        <v>0</v>
      </c>
      <c r="AP30" s="213"/>
      <c r="AV30" s="214" t="n">
        <v>0</v>
      </c>
      <c r="AW30" s="107" t="n">
        <v>43</v>
      </c>
      <c r="AX30" s="207" t="n">
        <v>19</v>
      </c>
      <c r="AY30" s="215"/>
      <c r="AZ30" s="242" t="n">
        <f aca="false">SUM(N30,P30:U30)</f>
        <v>4.62</v>
      </c>
    </row>
    <row r="31" customFormat="false" ht="12.95" hidden="false" customHeight="true" outlineLevel="0" collapsed="false">
      <c r="A31" s="179" t="n">
        <f aca="false">A30+1</f>
        <v>17</v>
      </c>
      <c r="B31" s="106" t="n">
        <v>6897.37</v>
      </c>
      <c r="C31" s="107" t="n">
        <v>273982</v>
      </c>
      <c r="D31" s="207" t="n">
        <f aca="false">C31-C30</f>
        <v>-36</v>
      </c>
      <c r="E31" s="107" t="n">
        <f aca="false">C31-152000</f>
        <v>121982</v>
      </c>
      <c r="F31" s="238" t="n">
        <f aca="false">D31/$D$2</f>
        <v>-18.14973531636</v>
      </c>
      <c r="G31" s="135" t="n">
        <v>57</v>
      </c>
      <c r="H31" s="239" t="n">
        <v>2</v>
      </c>
      <c r="I31" s="135" t="n">
        <f aca="false">G31+H31</f>
        <v>59</v>
      </c>
      <c r="J31" s="136" t="n">
        <f aca="false">IF(L31&gt;0,L31,0)</f>
        <v>18.47026468364</v>
      </c>
      <c r="K31" s="135" t="n">
        <f aca="false">I31+J31</f>
        <v>77.47026468364</v>
      </c>
      <c r="L31" s="135" t="n">
        <f aca="false">F31-(I31-AK31)</f>
        <v>18.47026468364</v>
      </c>
      <c r="M31" s="240" t="n">
        <v>4.62</v>
      </c>
      <c r="N31" s="135" t="n">
        <v>0</v>
      </c>
      <c r="O31" s="135" t="n">
        <v>0</v>
      </c>
      <c r="P31" s="155" t="n">
        <v>0</v>
      </c>
      <c r="Q31" s="131" t="n">
        <f aca="false">1048200/325851/1.9835*1.02</f>
        <v>1.65421922645803</v>
      </c>
      <c r="R31" s="131" t="n">
        <f aca="false">(1645098/325851/1.9835-T31)*1.04</f>
        <v>1.09534982962265</v>
      </c>
      <c r="S31" s="131" t="n">
        <v>0</v>
      </c>
      <c r="T31" s="131" t="n">
        <f aca="false">1.4347*1.04</f>
        <v>1.492088</v>
      </c>
      <c r="U31" s="96" t="n">
        <f aca="false">M31-(Q31+R31+S31+T31)</f>
        <v>0.37834294391932</v>
      </c>
      <c r="V31" s="135" t="n">
        <v>59</v>
      </c>
      <c r="W31" s="135" t="n">
        <v>0</v>
      </c>
      <c r="X31" s="135" t="n">
        <f aca="false">M31-N31-P31-O31-Q31-R31-S31-T31-U31+V31+W31</f>
        <v>59</v>
      </c>
      <c r="Y31" s="135" t="n">
        <f aca="false">X31-AO31</f>
        <v>59</v>
      </c>
      <c r="Z31" s="135"/>
      <c r="AA31" s="135"/>
      <c r="AB31" s="136"/>
      <c r="AC31" s="136" t="n">
        <v>16.6</v>
      </c>
      <c r="AD31" s="107"/>
      <c r="AE31" s="135" t="n">
        <v>0</v>
      </c>
      <c r="AF31" s="240"/>
      <c r="AG31" s="241"/>
      <c r="AH31" s="135" t="n">
        <v>32</v>
      </c>
      <c r="AI31" s="107" t="n">
        <f aca="false">AI30-AH31</f>
        <v>2737</v>
      </c>
      <c r="AJ31" s="107"/>
      <c r="AK31" s="134" t="n">
        <f aca="false">N31+O31+P31+Q31+R31+S31+T31+U31+X31+AE31+AH31</f>
        <v>95.62</v>
      </c>
      <c r="AL31" s="135" t="n">
        <f aca="false">IF(L31&lt;0,L31*-1,0)</f>
        <v>0</v>
      </c>
      <c r="AM31" s="135" t="n">
        <f aca="false">AK31+AL31</f>
        <v>95.62</v>
      </c>
      <c r="AN31" s="212" t="n">
        <f aca="false">V31</f>
        <v>59</v>
      </c>
      <c r="AO31" s="136" t="n">
        <v>0</v>
      </c>
      <c r="AP31" s="213"/>
      <c r="AV31" s="214" t="n">
        <v>0</v>
      </c>
      <c r="AW31" s="107" t="n">
        <v>48</v>
      </c>
      <c r="AX31" s="207" t="n">
        <v>23</v>
      </c>
      <c r="AY31" s="215"/>
      <c r="AZ31" s="242" t="n">
        <f aca="false">SUM(N31,P31:U31)</f>
        <v>4.62</v>
      </c>
    </row>
    <row r="32" customFormat="false" ht="12.95" hidden="false" customHeight="true" outlineLevel="0" collapsed="false">
      <c r="A32" s="179" t="n">
        <f aca="false">A31+1</f>
        <v>18</v>
      </c>
      <c r="B32" s="106" t="n">
        <v>6897.36</v>
      </c>
      <c r="C32" s="107" t="n">
        <v>273946</v>
      </c>
      <c r="D32" s="207" t="n">
        <f aca="false">C32-C31</f>
        <v>-36</v>
      </c>
      <c r="E32" s="107" t="n">
        <f aca="false">C32-152000</f>
        <v>121946</v>
      </c>
      <c r="F32" s="238" t="n">
        <f aca="false">D32/$D$2</f>
        <v>-18.14973531636</v>
      </c>
      <c r="G32" s="135" t="n">
        <v>57</v>
      </c>
      <c r="H32" s="239" t="n">
        <v>2.3</v>
      </c>
      <c r="I32" s="135" t="n">
        <f aca="false">G32+H32</f>
        <v>59.3</v>
      </c>
      <c r="J32" s="136" t="n">
        <f aca="false">IF(L32&gt;0,L32,0)</f>
        <v>18.14026468364</v>
      </c>
      <c r="K32" s="135" t="n">
        <f aca="false">I32+J32</f>
        <v>77.44026468364</v>
      </c>
      <c r="L32" s="135" t="n">
        <f aca="false">F32-(I32-AK32)</f>
        <v>18.14026468364</v>
      </c>
      <c r="M32" s="240" t="n">
        <v>4.59</v>
      </c>
      <c r="N32" s="135" t="n">
        <v>0</v>
      </c>
      <c r="O32" s="135" t="n">
        <v>0</v>
      </c>
      <c r="P32" s="155" t="n">
        <v>0</v>
      </c>
      <c r="Q32" s="131" t="n">
        <f aca="false">1101100/325851/1.9835*1.02</f>
        <v>1.7377034824012</v>
      </c>
      <c r="R32" s="131" t="n">
        <f aca="false">(2214934/325851/1.9835-T32)*1.04</f>
        <v>2.01227091358457</v>
      </c>
      <c r="S32" s="131" t="n">
        <v>0</v>
      </c>
      <c r="T32" s="131" t="n">
        <f aca="false">1.4347*1.04</f>
        <v>1.492088</v>
      </c>
      <c r="U32" s="96" t="n">
        <f aca="false">M32-(Q32+R32+S32+T32)</f>
        <v>-0.652062395985762</v>
      </c>
      <c r="V32" s="135" t="n">
        <v>59</v>
      </c>
      <c r="W32" s="135" t="n">
        <v>0</v>
      </c>
      <c r="X32" s="135" t="n">
        <f aca="false">M32-N32-P32-O32-Q32-R32-S32-T32-U32+V32+W32</f>
        <v>59</v>
      </c>
      <c r="Y32" s="135" t="n">
        <f aca="false">X32-AO32</f>
        <v>59</v>
      </c>
      <c r="Z32" s="135"/>
      <c r="AA32" s="135"/>
      <c r="AB32" s="136"/>
      <c r="AC32" s="136" t="n">
        <v>15.5</v>
      </c>
      <c r="AD32" s="107"/>
      <c r="AE32" s="135" t="n">
        <v>0</v>
      </c>
      <c r="AF32" s="240"/>
      <c r="AG32" s="241"/>
      <c r="AH32" s="135" t="n">
        <v>32</v>
      </c>
      <c r="AI32" s="107" t="n">
        <f aca="false">AI31-AH32</f>
        <v>2705</v>
      </c>
      <c r="AJ32" s="107"/>
      <c r="AK32" s="134" t="n">
        <f aca="false">N32+O32+P32+Q32+R32+S32+T32+U32+X32+AE32+AH32</f>
        <v>95.59</v>
      </c>
      <c r="AL32" s="135" t="n">
        <f aca="false">IF(L32&lt;0,L32*-1,0)</f>
        <v>0</v>
      </c>
      <c r="AM32" s="135" t="n">
        <f aca="false">AK32+AL32</f>
        <v>95.59</v>
      </c>
      <c r="AN32" s="212" t="n">
        <f aca="false">V32</f>
        <v>59</v>
      </c>
      <c r="AO32" s="136" t="n">
        <v>0</v>
      </c>
      <c r="AP32" s="213"/>
      <c r="AV32" s="214" t="n">
        <v>0</v>
      </c>
      <c r="AW32" s="107" t="n">
        <v>45</v>
      </c>
      <c r="AX32" s="207" t="n">
        <v>23</v>
      </c>
      <c r="AY32" s="215"/>
      <c r="AZ32" s="242" t="n">
        <f aca="false">SUM(N32,P32:U32)</f>
        <v>4.59</v>
      </c>
    </row>
    <row r="33" customFormat="false" ht="12.95" hidden="false" customHeight="true" outlineLevel="0" collapsed="false">
      <c r="A33" s="179" t="n">
        <f aca="false">A32+1</f>
        <v>19</v>
      </c>
      <c r="B33" s="106" t="n">
        <v>6897.34</v>
      </c>
      <c r="C33" s="107" t="n">
        <v>273873</v>
      </c>
      <c r="D33" s="207" t="n">
        <f aca="false">C33-C32</f>
        <v>-73</v>
      </c>
      <c r="E33" s="107" t="n">
        <f aca="false">C33-152000</f>
        <v>121873</v>
      </c>
      <c r="F33" s="238" t="n">
        <f aca="false">D33/$D$2</f>
        <v>-36.8036299470633</v>
      </c>
      <c r="G33" s="135" t="n">
        <v>62</v>
      </c>
      <c r="H33" s="239" t="n">
        <v>2.2</v>
      </c>
      <c r="I33" s="135" t="n">
        <f aca="false">G33+H33</f>
        <v>64.2</v>
      </c>
      <c r="J33" s="136" t="n">
        <f aca="false">IF(L33&gt;0,L33,0)</f>
        <v>0</v>
      </c>
      <c r="K33" s="135" t="n">
        <f aca="false">I33+J33</f>
        <v>64.2</v>
      </c>
      <c r="L33" s="135" t="n">
        <f aca="false">F33-(I33-AK33)</f>
        <v>-5.65362994706328</v>
      </c>
      <c r="M33" s="240" t="n">
        <v>4.35</v>
      </c>
      <c r="N33" s="135" t="n">
        <v>0</v>
      </c>
      <c r="O33" s="135" t="n">
        <v>0</v>
      </c>
      <c r="P33" s="155" t="n">
        <v>0</v>
      </c>
      <c r="Q33" s="131" t="n">
        <f aca="false">978200/325851/1.9835*1.02</f>
        <v>1.54374856641981</v>
      </c>
      <c r="R33" s="131" t="n">
        <f aca="false">(1712055/325851/1.9835-T33)*1.04</f>
        <v>1.20309010054067</v>
      </c>
      <c r="S33" s="131" t="n">
        <v>0</v>
      </c>
      <c r="T33" s="131" t="n">
        <f aca="false">1.4347*1.04</f>
        <v>1.492088</v>
      </c>
      <c r="U33" s="96" t="n">
        <f aca="false">M33-(Q33+R33+S33+T33)</f>
        <v>0.111073333039524</v>
      </c>
      <c r="V33" s="135" t="n">
        <v>59</v>
      </c>
      <c r="W33" s="135" t="n">
        <v>0</v>
      </c>
      <c r="X33" s="135" t="n">
        <f aca="false">M33-N33-P33-O33-Q33-R33-S33-T33-U33+V33+W33</f>
        <v>59</v>
      </c>
      <c r="Y33" s="135" t="n">
        <f aca="false">X33-AO33</f>
        <v>59</v>
      </c>
      <c r="Z33" s="135"/>
      <c r="AA33" s="135"/>
      <c r="AB33" s="136"/>
      <c r="AC33" s="136"/>
      <c r="AD33" s="107"/>
      <c r="AE33" s="135" t="n">
        <v>0</v>
      </c>
      <c r="AF33" s="240"/>
      <c r="AG33" s="241"/>
      <c r="AH33" s="135" t="n">
        <v>32</v>
      </c>
      <c r="AI33" s="107" t="n">
        <f aca="false">AI32-AH33</f>
        <v>2673</v>
      </c>
      <c r="AJ33" s="107"/>
      <c r="AK33" s="134" t="n">
        <f aca="false">N33+O33+P33+Q33+R33+S33+T33+U33+X33+AE33+AH33</f>
        <v>95.35</v>
      </c>
      <c r="AL33" s="135" t="n">
        <f aca="false">IF(L33&lt;0,L33*-1,0)</f>
        <v>5.65362994706328</v>
      </c>
      <c r="AM33" s="135" t="n">
        <f aca="false">AK33+AL33</f>
        <v>101.003629947063</v>
      </c>
      <c r="AN33" s="212" t="n">
        <f aca="false">V33</f>
        <v>59</v>
      </c>
      <c r="AO33" s="136" t="n">
        <v>0</v>
      </c>
      <c r="AP33" s="213"/>
      <c r="AV33" s="214" t="n">
        <v>0</v>
      </c>
      <c r="AW33" s="107" t="n">
        <v>41</v>
      </c>
      <c r="AX33" s="207" t="n">
        <v>25</v>
      </c>
      <c r="AY33" s="215"/>
      <c r="AZ33" s="242" t="n">
        <f aca="false">SUM(N33,P33:U33)</f>
        <v>4.35</v>
      </c>
    </row>
    <row r="34" customFormat="false" ht="12.95" hidden="false" customHeight="true" outlineLevel="0" collapsed="false">
      <c r="A34" s="179" t="n">
        <f aca="false">A33+1</f>
        <v>20</v>
      </c>
      <c r="B34" s="106" t="n">
        <v>6897.32</v>
      </c>
      <c r="C34" s="107" t="n">
        <v>273801</v>
      </c>
      <c r="D34" s="207" t="n">
        <f aca="false">C34-C33</f>
        <v>-72</v>
      </c>
      <c r="E34" s="107" t="n">
        <f aca="false">C34-152000</f>
        <v>121801</v>
      </c>
      <c r="F34" s="238" t="n">
        <f aca="false">D34/$D$2</f>
        <v>-36.2994706327199</v>
      </c>
      <c r="G34" s="135" t="n">
        <v>49</v>
      </c>
      <c r="H34" s="239" t="n">
        <v>2.1</v>
      </c>
      <c r="I34" s="135" t="n">
        <f aca="false">G34+H34</f>
        <v>51.1</v>
      </c>
      <c r="J34" s="136" t="n">
        <f aca="false">IF(L34&gt;0,L34,0)</f>
        <v>8.37052936728006</v>
      </c>
      <c r="K34" s="135" t="n">
        <f aca="false">I34+J34</f>
        <v>59.4705293672801</v>
      </c>
      <c r="L34" s="135" t="n">
        <f aca="false">F34-(I34-AK34)</f>
        <v>8.37052936728006</v>
      </c>
      <c r="M34" s="240" t="n">
        <v>4.77</v>
      </c>
      <c r="N34" s="135" t="n">
        <v>0</v>
      </c>
      <c r="O34" s="135" t="n">
        <v>0</v>
      </c>
      <c r="P34" s="155" t="n">
        <v>0</v>
      </c>
      <c r="Q34" s="131" t="n">
        <f aca="false">893200/325851/1.9835*1.02</f>
        <v>1.40960562208768</v>
      </c>
      <c r="R34" s="131" t="n">
        <f aca="false">(1945499/325851/1.9835-T34)*1.04</f>
        <v>1.57872401191939</v>
      </c>
      <c r="S34" s="131" t="n">
        <v>0</v>
      </c>
      <c r="T34" s="131" t="n">
        <f aca="false">1.4347*1.04</f>
        <v>1.492088</v>
      </c>
      <c r="U34" s="96" t="n">
        <f aca="false">M34-(Q34+R34+S34+T34)</f>
        <v>0.289582365992928</v>
      </c>
      <c r="V34" s="135" t="n">
        <v>59</v>
      </c>
      <c r="W34" s="135" t="n">
        <v>0</v>
      </c>
      <c r="X34" s="135" t="n">
        <f aca="false">M34-N34-P34-O34-Q34-R34-S34-T34-U34+V34+W34</f>
        <v>59</v>
      </c>
      <c r="Y34" s="135" t="n">
        <f aca="false">X34-AO34</f>
        <v>59</v>
      </c>
      <c r="Z34" s="135"/>
      <c r="AA34" s="135"/>
      <c r="AB34" s="136"/>
      <c r="AC34" s="136"/>
      <c r="AD34" s="107"/>
      <c r="AE34" s="135" t="n">
        <v>0</v>
      </c>
      <c r="AF34" s="240"/>
      <c r="AG34" s="241"/>
      <c r="AH34" s="135" t="n">
        <v>32</v>
      </c>
      <c r="AI34" s="107" t="n">
        <f aca="false">AI33-AH34</f>
        <v>2641</v>
      </c>
      <c r="AJ34" s="107"/>
      <c r="AK34" s="134" t="n">
        <f aca="false">N34+O34+P34+Q34+R34+S34+T34+U34+X34+AE34+AH34</f>
        <v>95.77</v>
      </c>
      <c r="AL34" s="135" t="n">
        <f aca="false">IF(L34&lt;0,L34*-1,0)</f>
        <v>0</v>
      </c>
      <c r="AM34" s="135" t="n">
        <f aca="false">AK34+AL34</f>
        <v>95.77</v>
      </c>
      <c r="AN34" s="212" t="n">
        <f aca="false">V34</f>
        <v>59</v>
      </c>
      <c r="AO34" s="136" t="n">
        <v>0</v>
      </c>
      <c r="AP34" s="213"/>
      <c r="AV34" s="214" t="n">
        <v>0</v>
      </c>
      <c r="AW34" s="107" t="n">
        <v>37</v>
      </c>
      <c r="AX34" s="207" t="n">
        <v>11</v>
      </c>
      <c r="AY34" s="215"/>
      <c r="AZ34" s="242" t="n">
        <f aca="false">SUM(N34,P34:U34)</f>
        <v>4.77</v>
      </c>
    </row>
    <row r="35" customFormat="false" ht="12.95" hidden="false" customHeight="true" outlineLevel="0" collapsed="false">
      <c r="A35" s="179" t="n">
        <f aca="false">A34+1</f>
        <v>21</v>
      </c>
      <c r="B35" s="106" t="n">
        <v>6897.3</v>
      </c>
      <c r="C35" s="107" t="n">
        <v>273728</v>
      </c>
      <c r="D35" s="207" t="n">
        <f aca="false">C35-C34</f>
        <v>-73</v>
      </c>
      <c r="E35" s="107" t="n">
        <f aca="false">C35-152000</f>
        <v>121728</v>
      </c>
      <c r="F35" s="238" t="n">
        <f aca="false">D35/$D$2</f>
        <v>-36.8036299470633</v>
      </c>
      <c r="G35" s="135" t="n">
        <v>51</v>
      </c>
      <c r="H35" s="239" t="n">
        <v>1.8</v>
      </c>
      <c r="I35" s="135" t="n">
        <f aca="false">G35+H35</f>
        <v>52.8</v>
      </c>
      <c r="J35" s="136" t="n">
        <f aca="false">IF(L35&gt;0,L35,0)</f>
        <v>5.62637005293674</v>
      </c>
      <c r="K35" s="135" t="n">
        <f aca="false">I35+J35</f>
        <v>58.4263700529367</v>
      </c>
      <c r="L35" s="135" t="n">
        <f aca="false">F35-(I35-AK35)</f>
        <v>5.62637005293674</v>
      </c>
      <c r="M35" s="240" t="n">
        <v>4.23</v>
      </c>
      <c r="N35" s="135" t="n">
        <v>0</v>
      </c>
      <c r="O35" s="135" t="n">
        <v>0</v>
      </c>
      <c r="P35" s="155" t="n">
        <v>0</v>
      </c>
      <c r="Q35" s="131" t="n">
        <f aca="false">987100/325851/1.9835*1.02</f>
        <v>1.55779412176752</v>
      </c>
      <c r="R35" s="131" t="n">
        <f aca="false">(2253478/325851/1.9835-T35)*1.04</f>
        <v>2.26335560710464</v>
      </c>
      <c r="S35" s="131" t="n">
        <v>0</v>
      </c>
      <c r="T35" s="131" t="n">
        <f aca="false">1.2599*1.04</f>
        <v>1.310296</v>
      </c>
      <c r="U35" s="96" t="n">
        <f aca="false">M35-(Q35+R35+S35+T35)</f>
        <v>-0.901445728872169</v>
      </c>
      <c r="V35" s="135" t="n">
        <v>59</v>
      </c>
      <c r="W35" s="135" t="n">
        <v>0</v>
      </c>
      <c r="X35" s="135" t="n">
        <f aca="false">M35-N35-P35-O35-Q35-R35-S35-T35-U35+V35+W35</f>
        <v>59</v>
      </c>
      <c r="Y35" s="135" t="n">
        <f aca="false">X35-AO35</f>
        <v>59</v>
      </c>
      <c r="Z35" s="135"/>
      <c r="AA35" s="135"/>
      <c r="AB35" s="136"/>
      <c r="AC35" s="136"/>
      <c r="AD35" s="107"/>
      <c r="AE35" s="135" t="n">
        <v>0</v>
      </c>
      <c r="AF35" s="240"/>
      <c r="AG35" s="241"/>
      <c r="AH35" s="135" t="n">
        <v>32</v>
      </c>
      <c r="AI35" s="107" t="n">
        <f aca="false">AI34-AH35</f>
        <v>2609</v>
      </c>
      <c r="AJ35" s="107"/>
      <c r="AK35" s="134" t="n">
        <f aca="false">N35+O35+P35+Q35+R35+S35+T35+U35+X35+AE35+AH35</f>
        <v>95.23</v>
      </c>
      <c r="AL35" s="135" t="n">
        <f aca="false">IF(L35&lt;0,L35*-1,0)</f>
        <v>0</v>
      </c>
      <c r="AM35" s="135" t="n">
        <f aca="false">AK35+AL35</f>
        <v>95.23</v>
      </c>
      <c r="AN35" s="212" t="n">
        <f aca="false">V35</f>
        <v>59</v>
      </c>
      <c r="AO35" s="136" t="n">
        <v>0</v>
      </c>
      <c r="AP35" s="213"/>
      <c r="AV35" s="214" t="n">
        <v>0</v>
      </c>
      <c r="AW35" s="107" t="n">
        <v>43</v>
      </c>
      <c r="AX35" s="207" t="n">
        <v>16</v>
      </c>
      <c r="AY35" s="215"/>
      <c r="AZ35" s="242" t="n">
        <f aca="false">SUM(N35,P35:U35)</f>
        <v>4.23</v>
      </c>
    </row>
    <row r="36" customFormat="false" ht="12.95" hidden="false" customHeight="true" outlineLevel="0" collapsed="false">
      <c r="A36" s="179" t="n">
        <f aca="false">A35+1</f>
        <v>22</v>
      </c>
      <c r="B36" s="106" t="n">
        <v>6897.28</v>
      </c>
      <c r="C36" s="107" t="n">
        <v>273656</v>
      </c>
      <c r="D36" s="207" t="n">
        <f aca="false">C36-C35</f>
        <v>-72</v>
      </c>
      <c r="E36" s="107" t="n">
        <f aca="false">C36-152000</f>
        <v>121656</v>
      </c>
      <c r="F36" s="238" t="n">
        <f aca="false">D36/$D$2</f>
        <v>-36.2994706327199</v>
      </c>
      <c r="G36" s="135" t="n">
        <v>51</v>
      </c>
      <c r="H36" s="239" t="n">
        <v>2</v>
      </c>
      <c r="I36" s="135" t="n">
        <f aca="false">G36+H36</f>
        <v>53</v>
      </c>
      <c r="J36" s="136" t="n">
        <f aca="false">IF(L36&gt;0,L36,0)</f>
        <v>6.32052936728007</v>
      </c>
      <c r="K36" s="135" t="n">
        <f aca="false">I36+J36</f>
        <v>59.3205293672801</v>
      </c>
      <c r="L36" s="135" t="n">
        <f aca="false">F36-(I36-AK36)</f>
        <v>6.32052936728007</v>
      </c>
      <c r="M36" s="240" t="n">
        <v>4.62</v>
      </c>
      <c r="N36" s="135" t="n">
        <v>0</v>
      </c>
      <c r="O36" s="135" t="n">
        <v>0</v>
      </c>
      <c r="P36" s="155" t="n">
        <v>0</v>
      </c>
      <c r="Q36" s="131" t="n">
        <f aca="false">1095900/325851/1.9835*1.02</f>
        <v>1.72949709051264</v>
      </c>
      <c r="R36" s="131" t="n">
        <f aca="false">(1813532/325851/1.9835-T36)*1.04</f>
        <v>1.55544006086905</v>
      </c>
      <c r="S36" s="131" t="n">
        <v>0</v>
      </c>
      <c r="T36" s="131" t="n">
        <f aca="false">1.2599*1.04</f>
        <v>1.310296</v>
      </c>
      <c r="U36" s="96" t="n">
        <f aca="false">M36-(Q36+R36+S36+T36)</f>
        <v>0.0247668486183086</v>
      </c>
      <c r="V36" s="135" t="n">
        <v>59</v>
      </c>
      <c r="W36" s="135" t="n">
        <v>0</v>
      </c>
      <c r="X36" s="135" t="n">
        <f aca="false">M36-N36-P36-O36-Q36-R36-S36-T36-U36+V36+W36</f>
        <v>59</v>
      </c>
      <c r="Y36" s="135" t="n">
        <f aca="false">X36-AO36</f>
        <v>59</v>
      </c>
      <c r="Z36" s="135"/>
      <c r="AA36" s="135"/>
      <c r="AB36" s="136"/>
      <c r="AC36" s="136"/>
      <c r="AD36" s="107"/>
      <c r="AE36" s="135" t="n">
        <v>0</v>
      </c>
      <c r="AF36" s="240"/>
      <c r="AG36" s="241"/>
      <c r="AH36" s="135" t="n">
        <v>32</v>
      </c>
      <c r="AI36" s="107" t="n">
        <f aca="false">AI35-AH36</f>
        <v>2577</v>
      </c>
      <c r="AJ36" s="107"/>
      <c r="AK36" s="134" t="n">
        <f aca="false">N36+O36+P36+Q36+R36+S36+T36+U36+X36+AE36+AH36</f>
        <v>95.62</v>
      </c>
      <c r="AL36" s="135" t="n">
        <f aca="false">IF(L36&lt;0,L36*-1,0)</f>
        <v>0</v>
      </c>
      <c r="AM36" s="135" t="n">
        <f aca="false">AK36+AL36</f>
        <v>95.62</v>
      </c>
      <c r="AN36" s="212" t="n">
        <f aca="false">V36</f>
        <v>59</v>
      </c>
      <c r="AO36" s="136" t="n">
        <v>0</v>
      </c>
      <c r="AP36" s="213"/>
      <c r="AV36" s="214" t="n">
        <v>0</v>
      </c>
      <c r="AW36" s="107" t="n">
        <v>41</v>
      </c>
      <c r="AX36" s="207" t="n">
        <v>21</v>
      </c>
      <c r="AY36" s="215"/>
      <c r="AZ36" s="242" t="n">
        <f aca="false">SUM(N36,P36:U36)</f>
        <v>4.62</v>
      </c>
    </row>
    <row r="37" customFormat="false" ht="12.95" hidden="false" customHeight="true" outlineLevel="0" collapsed="false">
      <c r="A37" s="179" t="n">
        <f aca="false">A36+1</f>
        <v>23</v>
      </c>
      <c r="B37" s="106" t="n">
        <v>6897.26</v>
      </c>
      <c r="C37" s="107" t="n">
        <v>273584</v>
      </c>
      <c r="D37" s="207" t="n">
        <f aca="false">C37-C36</f>
        <v>-72</v>
      </c>
      <c r="E37" s="107" t="n">
        <f aca="false">C37-152000</f>
        <v>121584</v>
      </c>
      <c r="F37" s="238" t="n">
        <f aca="false">D37/$D$2</f>
        <v>-36.2994706327199</v>
      </c>
      <c r="G37" s="135" t="n">
        <v>55</v>
      </c>
      <c r="H37" s="239" t="n">
        <v>1.8</v>
      </c>
      <c r="I37" s="135" t="n">
        <f aca="false">G37+H37</f>
        <v>56.8</v>
      </c>
      <c r="J37" s="136" t="n">
        <f aca="false">IF(L37&gt;0,L37,0)</f>
        <v>2.16052936728006</v>
      </c>
      <c r="K37" s="135" t="n">
        <f aca="false">I37+J37</f>
        <v>58.9605293672801</v>
      </c>
      <c r="L37" s="135" t="n">
        <f aca="false">F37-(I37-AK37)</f>
        <v>2.16052936728006</v>
      </c>
      <c r="M37" s="240" t="n">
        <v>4.26</v>
      </c>
      <c r="N37" s="135" t="n">
        <v>0</v>
      </c>
      <c r="O37" s="135" t="n">
        <v>0</v>
      </c>
      <c r="P37" s="155" t="n">
        <v>0</v>
      </c>
      <c r="Q37" s="131" t="n">
        <f aca="false">919500/325851/1.9835*1.02</f>
        <v>1.45111102721633</v>
      </c>
      <c r="R37" s="131" t="n">
        <f aca="false">(1708665/325851/1.9835-T37)*1.04</f>
        <v>1.38669894357945</v>
      </c>
      <c r="S37" s="131" t="n">
        <v>0</v>
      </c>
      <c r="T37" s="131" t="n">
        <f aca="false">1.2599*1.04</f>
        <v>1.310296</v>
      </c>
      <c r="U37" s="96" t="n">
        <f aca="false">M37-(Q37+R37+S37+T37)</f>
        <v>0.111894029204218</v>
      </c>
      <c r="V37" s="135" t="n">
        <v>59</v>
      </c>
      <c r="W37" s="135" t="n">
        <v>0</v>
      </c>
      <c r="X37" s="135" t="n">
        <f aca="false">M37-N37-P37-O37-Q37-R37-S37-T37-U37+V37+W37</f>
        <v>59</v>
      </c>
      <c r="Y37" s="135" t="n">
        <f aca="false">X37-AO37</f>
        <v>59</v>
      </c>
      <c r="Z37" s="135"/>
      <c r="AA37" s="135"/>
      <c r="AB37" s="136"/>
      <c r="AC37" s="136"/>
      <c r="AD37" s="107"/>
      <c r="AE37" s="135" t="n">
        <v>0</v>
      </c>
      <c r="AF37" s="240"/>
      <c r="AG37" s="241"/>
      <c r="AH37" s="135" t="n">
        <v>32</v>
      </c>
      <c r="AI37" s="107" t="n">
        <f aca="false">AI36-AH37</f>
        <v>2545</v>
      </c>
      <c r="AJ37" s="107"/>
      <c r="AK37" s="134" t="n">
        <f aca="false">N37+O37+P37+Q37+R37+S37+T37+U37+X37+AE37+AH37</f>
        <v>95.26</v>
      </c>
      <c r="AL37" s="135" t="n">
        <f aca="false">IF(L37&lt;0,L37*-1,0)</f>
        <v>0</v>
      </c>
      <c r="AM37" s="135" t="n">
        <f aca="false">AK37+AL37</f>
        <v>95.26</v>
      </c>
      <c r="AN37" s="212" t="n">
        <f aca="false">V37</f>
        <v>59</v>
      </c>
      <c r="AO37" s="136" t="n">
        <v>0</v>
      </c>
      <c r="AP37" s="213"/>
      <c r="AV37" s="214" t="n">
        <v>0</v>
      </c>
      <c r="AW37" s="107" t="n">
        <v>40</v>
      </c>
      <c r="AX37" s="213" t="n">
        <v>15</v>
      </c>
      <c r="AY37" s="243"/>
      <c r="AZ37" s="242" t="n">
        <f aca="false">SUM(N37,P37:U37)</f>
        <v>4.26</v>
      </c>
    </row>
    <row r="38" customFormat="false" ht="12.95" hidden="false" customHeight="true" outlineLevel="0" collapsed="false">
      <c r="A38" s="179" t="n">
        <f aca="false">A37+1</f>
        <v>24</v>
      </c>
      <c r="B38" s="106" t="n">
        <v>6897.23</v>
      </c>
      <c r="C38" s="107" t="n">
        <v>273475</v>
      </c>
      <c r="D38" s="207" t="n">
        <f aca="false">C38-C37</f>
        <v>-109</v>
      </c>
      <c r="E38" s="107" t="n">
        <f aca="false">C38-152000</f>
        <v>121475</v>
      </c>
      <c r="F38" s="238" t="n">
        <f aca="false">D38/$D$2</f>
        <v>-54.9533652634232</v>
      </c>
      <c r="G38" s="135" t="n">
        <v>55</v>
      </c>
      <c r="H38" s="239" t="n">
        <v>1.8</v>
      </c>
      <c r="I38" s="135" t="n">
        <f aca="false">G38+H38</f>
        <v>56.8</v>
      </c>
      <c r="J38" s="136" t="n">
        <f aca="false">IF(L38&gt;0,L38,0)</f>
        <v>0</v>
      </c>
      <c r="K38" s="135" t="n">
        <f aca="false">I38+J38</f>
        <v>56.8</v>
      </c>
      <c r="L38" s="135" t="n">
        <f aca="false">F38-(I38-AK38)</f>
        <v>-15.2733652634232</v>
      </c>
      <c r="M38" s="240" t="n">
        <v>5.48</v>
      </c>
      <c r="N38" s="135" t="n">
        <v>0</v>
      </c>
      <c r="O38" s="135" t="n">
        <v>0</v>
      </c>
      <c r="P38" s="155" t="n">
        <v>0</v>
      </c>
      <c r="Q38" s="131" t="n">
        <f aca="false">1159000/325851/1.9835*1.02</f>
        <v>1.82907849977567</v>
      </c>
      <c r="R38" s="131" t="n">
        <f aca="false">(1693302/325851/1.9835-T38)*1.04</f>
        <v>1.36197839483752</v>
      </c>
      <c r="S38" s="131" t="n">
        <v>0</v>
      </c>
      <c r="T38" s="131" t="n">
        <f aca="false">1.2599*1.04</f>
        <v>1.310296</v>
      </c>
      <c r="U38" s="96" t="n">
        <f aca="false">M38-(Q38+R38+S38+T38)</f>
        <v>0.978647105386812</v>
      </c>
      <c r="V38" s="135" t="n">
        <v>59</v>
      </c>
      <c r="W38" s="135" t="n">
        <v>0</v>
      </c>
      <c r="X38" s="135" t="n">
        <f aca="false">M38-N38-P38-O38-Q38-R38-S38-T38-U38+V38+W38</f>
        <v>59</v>
      </c>
      <c r="Y38" s="135" t="n">
        <f aca="false">X38-AO38</f>
        <v>59</v>
      </c>
      <c r="Z38" s="135"/>
      <c r="AA38" s="135"/>
      <c r="AB38" s="136"/>
      <c r="AC38" s="136"/>
      <c r="AD38" s="107"/>
      <c r="AE38" s="135" t="n">
        <v>0</v>
      </c>
      <c r="AF38" s="240"/>
      <c r="AG38" s="241"/>
      <c r="AH38" s="135" t="n">
        <v>32</v>
      </c>
      <c r="AI38" s="107" t="n">
        <f aca="false">AI37-AH38</f>
        <v>2513</v>
      </c>
      <c r="AJ38" s="107"/>
      <c r="AK38" s="134" t="n">
        <f aca="false">N38+O38+P38+Q38+R38+S38+T38+U38+X38+AE38+AH38</f>
        <v>96.48</v>
      </c>
      <c r="AL38" s="135" t="n">
        <f aca="false">IF(L38&lt;0,L38*-1,0)</f>
        <v>15.2733652634232</v>
      </c>
      <c r="AM38" s="135" t="n">
        <f aca="false">AK38+AL38</f>
        <v>111.753365263423</v>
      </c>
      <c r="AN38" s="212" t="n">
        <f aca="false">V38</f>
        <v>59</v>
      </c>
      <c r="AO38" s="136" t="n">
        <v>0</v>
      </c>
      <c r="AP38" s="213"/>
      <c r="AV38" s="214" t="n">
        <v>0</v>
      </c>
      <c r="AW38" s="107" t="n">
        <v>36</v>
      </c>
      <c r="AX38" s="213" t="n">
        <v>15</v>
      </c>
      <c r="AY38" s="243"/>
      <c r="AZ38" s="242" t="n">
        <f aca="false">SUM(N38,P38:U38)</f>
        <v>5.48</v>
      </c>
    </row>
    <row r="39" customFormat="false" ht="12.95" hidden="false" customHeight="true" outlineLevel="0" collapsed="false">
      <c r="A39" s="179" t="n">
        <f aca="false">A38+1</f>
        <v>25</v>
      </c>
      <c r="B39" s="106" t="n">
        <v>6897.2</v>
      </c>
      <c r="C39" s="107" t="n">
        <v>273367</v>
      </c>
      <c r="D39" s="207" t="n">
        <f aca="false">C39-C38</f>
        <v>-108</v>
      </c>
      <c r="E39" s="107" t="n">
        <f aca="false">C39-152000</f>
        <v>121367</v>
      </c>
      <c r="F39" s="238" t="n">
        <f aca="false">D39/$D$2</f>
        <v>-54.4492059490799</v>
      </c>
      <c r="G39" s="135" t="n">
        <v>55</v>
      </c>
      <c r="H39" s="239" t="n">
        <v>2</v>
      </c>
      <c r="I39" s="135" t="n">
        <f aca="false">G39+H39</f>
        <v>57</v>
      </c>
      <c r="J39" s="136" t="n">
        <f aca="false">IF(L39&gt;0,L39,0)</f>
        <v>0</v>
      </c>
      <c r="K39" s="135" t="n">
        <f aca="false">I39+J39</f>
        <v>57</v>
      </c>
      <c r="L39" s="135" t="n">
        <f aca="false">F39-(I39-AK39)</f>
        <v>-14.9992059490799</v>
      </c>
      <c r="M39" s="240" t="n">
        <v>5.45</v>
      </c>
      <c r="N39" s="135" t="n">
        <v>0</v>
      </c>
      <c r="O39" s="135" t="n">
        <v>0</v>
      </c>
      <c r="P39" s="155" t="n">
        <v>0</v>
      </c>
      <c r="Q39" s="131" t="n">
        <f aca="false">1143000/325851/1.9835*1.02</f>
        <v>1.8038280631955</v>
      </c>
      <c r="R39" s="131" t="n">
        <f aca="false">((1626494+852)/325851/1.9835-T39)*1.04</f>
        <v>1.25584882946469</v>
      </c>
      <c r="S39" s="131" t="n">
        <v>0</v>
      </c>
      <c r="T39" s="131" t="n">
        <f aca="false">1.2599*1.04</f>
        <v>1.310296</v>
      </c>
      <c r="U39" s="96" t="n">
        <f aca="false">M39-(Q39+R39+S39+T39)</f>
        <v>1.08002710733981</v>
      </c>
      <c r="V39" s="135" t="n">
        <v>59</v>
      </c>
      <c r="W39" s="135" t="n">
        <v>0</v>
      </c>
      <c r="X39" s="135" t="n">
        <f aca="false">M39-N39-P39-O39-Q39-R39-S39-T39-U39+V39+W39</f>
        <v>59</v>
      </c>
      <c r="Y39" s="135" t="n">
        <f aca="false">X39-AO39</f>
        <v>59</v>
      </c>
      <c r="Z39" s="135"/>
      <c r="AA39" s="135"/>
      <c r="AB39" s="136"/>
      <c r="AC39" s="136"/>
      <c r="AD39" s="107"/>
      <c r="AE39" s="135" t="n">
        <v>0</v>
      </c>
      <c r="AF39" s="240"/>
      <c r="AG39" s="241"/>
      <c r="AH39" s="135" t="n">
        <v>32</v>
      </c>
      <c r="AI39" s="107" t="n">
        <f aca="false">AI38-AH39</f>
        <v>2481</v>
      </c>
      <c r="AJ39" s="107"/>
      <c r="AK39" s="134" t="n">
        <f aca="false">N39+O39+P39+Q39+R39+S39+T39+U39+X39+AE39+AH39</f>
        <v>96.45</v>
      </c>
      <c r="AL39" s="135" t="n">
        <f aca="false">IF(L39&lt;0,L39*-1,0)</f>
        <v>14.9992059490799</v>
      </c>
      <c r="AM39" s="135" t="n">
        <f aca="false">AK39+AL39</f>
        <v>111.44920594908</v>
      </c>
      <c r="AN39" s="212" t="n">
        <f aca="false">V39</f>
        <v>59</v>
      </c>
      <c r="AO39" s="136" t="n">
        <v>0</v>
      </c>
      <c r="AP39" s="213"/>
      <c r="AV39" s="214" t="n">
        <v>0</v>
      </c>
      <c r="AW39" s="107" t="n">
        <v>36</v>
      </c>
      <c r="AX39" s="213" t="n">
        <v>14</v>
      </c>
      <c r="AY39" s="243"/>
      <c r="AZ39" s="242" t="n">
        <f aca="false">SUM(N39,P39:U39)</f>
        <v>5.45</v>
      </c>
    </row>
    <row r="40" customFormat="false" ht="12.95" hidden="false" customHeight="true" outlineLevel="0" collapsed="false">
      <c r="A40" s="179" t="n">
        <f aca="false">A39+1</f>
        <v>26</v>
      </c>
      <c r="B40" s="106" t="n">
        <v>6897.18</v>
      </c>
      <c r="C40" s="107" t="n">
        <v>273294</v>
      </c>
      <c r="D40" s="207" t="n">
        <f aca="false">C40-C39</f>
        <v>-73</v>
      </c>
      <c r="E40" s="107" t="n">
        <f aca="false">C40-152000</f>
        <v>121294</v>
      </c>
      <c r="F40" s="238" t="n">
        <f aca="false">D40/$D$2</f>
        <v>-36.8036299470633</v>
      </c>
      <c r="G40" s="135" t="n">
        <v>60</v>
      </c>
      <c r="H40" s="239" t="n">
        <v>2.1</v>
      </c>
      <c r="I40" s="135" t="n">
        <f aca="false">G40+H40</f>
        <v>62.1</v>
      </c>
      <c r="J40" s="136" t="n">
        <f aca="false">IF(L40&gt;0,L40,0)</f>
        <v>0</v>
      </c>
      <c r="K40" s="135" t="n">
        <f aca="false">I40+J40</f>
        <v>62.1</v>
      </c>
      <c r="L40" s="135" t="n">
        <f aca="false">F40-(I40-AK40)</f>
        <v>-2.61362994706327</v>
      </c>
      <c r="M40" s="240" t="n">
        <v>5.29</v>
      </c>
      <c r="N40" s="135" t="n">
        <v>0</v>
      </c>
      <c r="O40" s="135" t="n">
        <v>0</v>
      </c>
      <c r="P40" s="155" t="n">
        <v>0</v>
      </c>
      <c r="Q40" s="131" t="n">
        <f aca="false">885000/325851/1.9835*1.02</f>
        <v>1.39666477334035</v>
      </c>
      <c r="R40" s="131" t="n">
        <f aca="false">(2323566/325851/1.9835-T40)*1.04</f>
        <v>2.37613395900365</v>
      </c>
      <c r="S40" s="131" t="n">
        <v>0</v>
      </c>
      <c r="T40" s="131" t="n">
        <f aca="false">1.2599*1.04</f>
        <v>1.310296</v>
      </c>
      <c r="U40" s="96" t="n">
        <f aca="false">M40-(Q40+R40+S40+T40)</f>
        <v>0.206905267655999</v>
      </c>
      <c r="V40" s="135" t="n">
        <v>59</v>
      </c>
      <c r="W40" s="135" t="n">
        <v>0</v>
      </c>
      <c r="X40" s="135" t="n">
        <f aca="false">M40-N40-P40-O40-Q40-R40-S40-T40-U40+V40+W40</f>
        <v>59</v>
      </c>
      <c r="Y40" s="135" t="n">
        <f aca="false">X40-AO40</f>
        <v>59</v>
      </c>
      <c r="Z40" s="135"/>
      <c r="AA40" s="135"/>
      <c r="AB40" s="136"/>
      <c r="AC40" s="136"/>
      <c r="AD40" s="107"/>
      <c r="AE40" s="135" t="n">
        <v>0</v>
      </c>
      <c r="AF40" s="240"/>
      <c r="AG40" s="241"/>
      <c r="AH40" s="135" t="n">
        <v>32</v>
      </c>
      <c r="AI40" s="107" t="n">
        <f aca="false">AI39-AH40</f>
        <v>2449</v>
      </c>
      <c r="AJ40" s="107"/>
      <c r="AK40" s="134" t="n">
        <f aca="false">N40+O40+P40+Q40+R40+S40+T40+U40+X40+AE40+AH40</f>
        <v>96.29</v>
      </c>
      <c r="AL40" s="135" t="n">
        <f aca="false">IF(L40&lt;0,L40*-1,0)</f>
        <v>2.61362994706327</v>
      </c>
      <c r="AM40" s="135" t="n">
        <f aca="false">AK40+AL40</f>
        <v>98.9036299470633</v>
      </c>
      <c r="AN40" s="212" t="n">
        <f aca="false">V40</f>
        <v>59</v>
      </c>
      <c r="AO40" s="136" t="n">
        <v>0</v>
      </c>
      <c r="AP40" s="213"/>
      <c r="AV40" s="214" t="n">
        <v>0</v>
      </c>
      <c r="AW40" s="107" t="n">
        <v>46</v>
      </c>
      <c r="AX40" s="207" t="n">
        <v>22</v>
      </c>
      <c r="AY40" s="215"/>
      <c r="AZ40" s="242" t="n">
        <f aca="false">SUM(N40,P40:U40)</f>
        <v>5.29</v>
      </c>
    </row>
    <row r="41" customFormat="false" ht="12.95" hidden="false" customHeight="true" outlineLevel="0" collapsed="false">
      <c r="A41" s="179" t="n">
        <f aca="false">A40+1</f>
        <v>27</v>
      </c>
      <c r="B41" s="106" t="n">
        <v>6897.16</v>
      </c>
      <c r="C41" s="107" t="n">
        <v>273222</v>
      </c>
      <c r="D41" s="207" t="n">
        <f aca="false">C41-C40</f>
        <v>-72</v>
      </c>
      <c r="E41" s="107" t="n">
        <f aca="false">C41-152000</f>
        <v>121222</v>
      </c>
      <c r="F41" s="238" t="n">
        <f aca="false">D41/$D$2</f>
        <v>-36.2994706327199</v>
      </c>
      <c r="G41" s="135" t="n">
        <v>55</v>
      </c>
      <c r="H41" s="239" t="n">
        <v>2</v>
      </c>
      <c r="I41" s="135" t="n">
        <f aca="false">G41+H41</f>
        <v>57</v>
      </c>
      <c r="J41" s="136" t="n">
        <f aca="false">IF(L41&gt;0,L41,0)</f>
        <v>2.78052936728006</v>
      </c>
      <c r="K41" s="135" t="n">
        <f aca="false">I41+J41</f>
        <v>59.7805293672801</v>
      </c>
      <c r="L41" s="135" t="n">
        <f aca="false">F41-(I41-AK41)</f>
        <v>2.78052936728006</v>
      </c>
      <c r="M41" s="240" t="n">
        <v>5.08</v>
      </c>
      <c r="N41" s="135" t="n">
        <v>0</v>
      </c>
      <c r="O41" s="135" t="n">
        <v>0</v>
      </c>
      <c r="P41" s="155" t="n">
        <v>0</v>
      </c>
      <c r="Q41" s="131" t="n">
        <f aca="false">920300/325851/1.9835*1.02</f>
        <v>1.45237354904534</v>
      </c>
      <c r="R41" s="131" t="n">
        <f aca="false">(1946770/325851/1.9835-T41)*1.04</f>
        <v>1.76983285350573</v>
      </c>
      <c r="S41" s="131" t="n">
        <v>0</v>
      </c>
      <c r="T41" s="131" t="n">
        <f aca="false">1.2599*1.04</f>
        <v>1.310296</v>
      </c>
      <c r="U41" s="96" t="n">
        <f aca="false">M41-(Q41+R41+S41+T41)</f>
        <v>0.547497597448931</v>
      </c>
      <c r="V41" s="135" t="n">
        <v>59</v>
      </c>
      <c r="W41" s="135" t="n">
        <v>0</v>
      </c>
      <c r="X41" s="135" t="n">
        <f aca="false">M41-N41-P41-O41-Q41-R41-S41-T41-U41+V41+W41</f>
        <v>59</v>
      </c>
      <c r="Y41" s="135" t="n">
        <f aca="false">X41-AO41</f>
        <v>59</v>
      </c>
      <c r="Z41" s="135"/>
      <c r="AA41" s="135"/>
      <c r="AB41" s="136"/>
      <c r="AC41" s="136"/>
      <c r="AD41" s="107"/>
      <c r="AE41" s="135" t="n">
        <v>0</v>
      </c>
      <c r="AF41" s="240"/>
      <c r="AG41" s="241"/>
      <c r="AH41" s="135" t="n">
        <v>32</v>
      </c>
      <c r="AI41" s="107" t="n">
        <f aca="false">AI40-AH41</f>
        <v>2417</v>
      </c>
      <c r="AJ41" s="107"/>
      <c r="AK41" s="134" t="n">
        <f aca="false">N41+O41+P41+Q41+R41+S41+T41+U41+X41+AE41+AH41</f>
        <v>96.08</v>
      </c>
      <c r="AL41" s="135" t="n">
        <f aca="false">IF(L41&lt;0,L41*-1,0)</f>
        <v>0</v>
      </c>
      <c r="AM41" s="135" t="n">
        <f aca="false">AK41+AL41</f>
        <v>96.08</v>
      </c>
      <c r="AN41" s="212" t="n">
        <f aca="false">V41</f>
        <v>59</v>
      </c>
      <c r="AO41" s="136" t="n">
        <v>0</v>
      </c>
      <c r="AP41" s="213"/>
      <c r="AV41" s="214" t="n">
        <v>0</v>
      </c>
      <c r="AW41" s="107" t="n">
        <v>47</v>
      </c>
      <c r="AX41" s="207" t="n">
        <v>16</v>
      </c>
      <c r="AY41" s="215"/>
      <c r="AZ41" s="242" t="n">
        <f aca="false">SUM(N41,P41:U41)</f>
        <v>5.08</v>
      </c>
    </row>
    <row r="42" customFormat="false" ht="12.95" hidden="false" customHeight="true" outlineLevel="0" collapsed="false">
      <c r="A42" s="179" t="n">
        <f aca="false">A41+1</f>
        <v>28</v>
      </c>
      <c r="B42" s="106" t="n">
        <v>6897.14</v>
      </c>
      <c r="C42" s="107" t="n">
        <v>273150</v>
      </c>
      <c r="D42" s="207" t="n">
        <f aca="false">C42-C41</f>
        <v>-72</v>
      </c>
      <c r="E42" s="107" t="n">
        <f aca="false">C42-152000</f>
        <v>121150</v>
      </c>
      <c r="F42" s="238" t="n">
        <f aca="false">D42/$D$2</f>
        <v>-36.2994706327199</v>
      </c>
      <c r="G42" s="135" t="n">
        <v>59</v>
      </c>
      <c r="H42" s="239" t="n">
        <v>1.9</v>
      </c>
      <c r="I42" s="135" t="n">
        <f aca="false">G42+H42</f>
        <v>60.9</v>
      </c>
      <c r="J42" s="136" t="n">
        <f aca="false">IF(L42&gt;0,L42,0)</f>
        <v>0</v>
      </c>
      <c r="K42" s="135" t="n">
        <f aca="false">I42+J42</f>
        <v>60.9</v>
      </c>
      <c r="L42" s="135" t="n">
        <f aca="false">F42-(I42-AK42)</f>
        <v>-1.20947063271993</v>
      </c>
      <c r="M42" s="240" t="n">
        <v>4.99</v>
      </c>
      <c r="N42" s="135" t="n">
        <v>0</v>
      </c>
      <c r="O42" s="135" t="n">
        <v>0</v>
      </c>
      <c r="P42" s="155" t="n">
        <v>0</v>
      </c>
      <c r="Q42" s="131" t="n">
        <f aca="false">955100/325851/1.9835*1.02</f>
        <v>1.5072932486072</v>
      </c>
      <c r="R42" s="131" t="n">
        <f aca="false">(1902787/325851/1.9835-T42)*1.04</f>
        <v>1.85892044440098</v>
      </c>
      <c r="S42" s="131" t="n">
        <v>0</v>
      </c>
      <c r="T42" s="131" t="n">
        <f aca="false">1.1121*1.04</f>
        <v>1.156584</v>
      </c>
      <c r="U42" s="96" t="n">
        <f aca="false">M42-(Q42+R42+S42+T42)</f>
        <v>0.467202306991828</v>
      </c>
      <c r="V42" s="135" t="n">
        <v>59</v>
      </c>
      <c r="W42" s="135" t="n">
        <v>0</v>
      </c>
      <c r="X42" s="135" t="n">
        <f aca="false">M42-N42-P42-O42-Q42-R42-S42-T42-U42+V42+W42</f>
        <v>59</v>
      </c>
      <c r="Y42" s="135" t="n">
        <f aca="false">X42-AO42</f>
        <v>59</v>
      </c>
      <c r="Z42" s="135"/>
      <c r="AA42" s="135"/>
      <c r="AB42" s="136"/>
      <c r="AC42" s="136"/>
      <c r="AD42" s="107"/>
      <c r="AE42" s="135" t="n">
        <v>0</v>
      </c>
      <c r="AF42" s="240"/>
      <c r="AG42" s="241"/>
      <c r="AH42" s="135" t="n">
        <v>32</v>
      </c>
      <c r="AI42" s="107" t="n">
        <f aca="false">AI41-AH42</f>
        <v>2385</v>
      </c>
      <c r="AJ42" s="107"/>
      <c r="AK42" s="134" t="n">
        <f aca="false">N42+O42+P42+Q42+R42+S42+T42+U42+X42+AE42+AH42</f>
        <v>95.99</v>
      </c>
      <c r="AL42" s="135" t="n">
        <f aca="false">IF(L42&lt;0,L42*-1,0)</f>
        <v>1.20947063271993</v>
      </c>
      <c r="AM42" s="135" t="n">
        <f aca="false">AK42+AL42</f>
        <v>97.1994706327199</v>
      </c>
      <c r="AN42" s="212" t="n">
        <f aca="false">V42</f>
        <v>59</v>
      </c>
      <c r="AO42" s="136" t="n">
        <v>0</v>
      </c>
      <c r="AP42" s="213"/>
      <c r="AV42" s="214" t="n">
        <v>0</v>
      </c>
      <c r="AW42" s="107" t="n">
        <v>51</v>
      </c>
      <c r="AX42" s="207" t="n">
        <v>20</v>
      </c>
      <c r="AY42" s="215"/>
      <c r="AZ42" s="242" t="n">
        <f aca="false">SUM(N42,P42:U42)</f>
        <v>4.99</v>
      </c>
    </row>
    <row r="43" customFormat="false" ht="12.95" hidden="false" customHeight="true" outlineLevel="0" collapsed="false">
      <c r="A43" s="179" t="n">
        <f aca="false">A42+1</f>
        <v>29</v>
      </c>
      <c r="B43" s="106" t="n">
        <v>6897.12</v>
      </c>
      <c r="C43" s="107" t="n">
        <v>273077</v>
      </c>
      <c r="D43" s="207" t="n">
        <f aca="false">C43-C42</f>
        <v>-73</v>
      </c>
      <c r="E43" s="107" t="n">
        <f aca="false">C43-152000</f>
        <v>121077</v>
      </c>
      <c r="F43" s="238" t="n">
        <f aca="false">D43/$D$2</f>
        <v>-36.8036299470633</v>
      </c>
      <c r="G43" s="135" t="n">
        <v>59</v>
      </c>
      <c r="H43" s="239" t="n">
        <v>1.9</v>
      </c>
      <c r="I43" s="135" t="n">
        <f aca="false">G43+H43</f>
        <v>60.9</v>
      </c>
      <c r="J43" s="136" t="n">
        <f aca="false">IF(L43&gt;0,L43,0)</f>
        <v>0</v>
      </c>
      <c r="K43" s="135" t="n">
        <f aca="false">I43+J43</f>
        <v>60.9</v>
      </c>
      <c r="L43" s="135" t="n">
        <f aca="false">F43-(I43-AK43)</f>
        <v>-1.08362994706327</v>
      </c>
      <c r="M43" s="240" t="n">
        <v>5.62</v>
      </c>
      <c r="N43" s="135" t="n">
        <v>0</v>
      </c>
      <c r="O43" s="135" t="n">
        <v>0</v>
      </c>
      <c r="P43" s="155" t="n">
        <v>0</v>
      </c>
      <c r="Q43" s="131" t="n">
        <f aca="false">985200/325851/1.9835*1.02</f>
        <v>1.55479563242363</v>
      </c>
      <c r="R43" s="131" t="n">
        <f aca="false">(1585124/325851/1.9835-T43)*1.04</f>
        <v>1.34777003920616</v>
      </c>
      <c r="S43" s="131" t="n">
        <v>0</v>
      </c>
      <c r="T43" s="131" t="n">
        <f aca="false">1.1121*1.04</f>
        <v>1.156584</v>
      </c>
      <c r="U43" s="96" t="n">
        <f aca="false">M43-(Q43+R43+S43+T43)</f>
        <v>1.56085032837021</v>
      </c>
      <c r="V43" s="135" t="n">
        <v>59</v>
      </c>
      <c r="W43" s="135" t="n">
        <v>0</v>
      </c>
      <c r="X43" s="135" t="n">
        <f aca="false">M43-N43-P43-O43-Q43-R43-S43-T43-U43+V43+W43</f>
        <v>59</v>
      </c>
      <c r="Y43" s="135" t="n">
        <f aca="false">X43-AO43</f>
        <v>59</v>
      </c>
      <c r="Z43" s="135"/>
      <c r="AA43" s="135"/>
      <c r="AB43" s="136"/>
      <c r="AC43" s="136"/>
      <c r="AD43" s="107"/>
      <c r="AE43" s="135" t="n">
        <v>0</v>
      </c>
      <c r="AF43" s="240"/>
      <c r="AG43" s="241"/>
      <c r="AH43" s="135" t="n">
        <v>32</v>
      </c>
      <c r="AI43" s="107" t="n">
        <f aca="false">AI42-AH43</f>
        <v>2353</v>
      </c>
      <c r="AJ43" s="107"/>
      <c r="AK43" s="134" t="n">
        <f aca="false">N43+O43+P43+Q43+R43+S43+T43+U43+X43+AE43+AH43</f>
        <v>96.62</v>
      </c>
      <c r="AL43" s="135" t="n">
        <f aca="false">IF(L43&lt;0,L43*-1,0)</f>
        <v>1.08362994706327</v>
      </c>
      <c r="AM43" s="135" t="n">
        <f aca="false">AK43+AL43</f>
        <v>97.7036299470633</v>
      </c>
      <c r="AN43" s="212" t="n">
        <f aca="false">V43</f>
        <v>59</v>
      </c>
      <c r="AO43" s="136" t="n">
        <v>0</v>
      </c>
      <c r="AP43" s="213"/>
      <c r="AV43" s="214" t="n">
        <v>0</v>
      </c>
      <c r="AW43" s="107" t="n">
        <v>46</v>
      </c>
      <c r="AX43" s="207" t="n">
        <v>21</v>
      </c>
      <c r="AY43" s="215"/>
      <c r="AZ43" s="242" t="n">
        <f aca="false">SUM(N43,P43:U43)</f>
        <v>5.62</v>
      </c>
    </row>
    <row r="44" customFormat="false" ht="12.95" hidden="false" customHeight="true" outlineLevel="0" collapsed="false">
      <c r="A44" s="179" t="n">
        <v>30</v>
      </c>
      <c r="B44" s="106" t="n">
        <v>6897.1</v>
      </c>
      <c r="C44" s="107" t="n">
        <v>273005</v>
      </c>
      <c r="D44" s="207" t="n">
        <f aca="false">C44-C43</f>
        <v>-72</v>
      </c>
      <c r="E44" s="107" t="n">
        <f aca="false">C44-152000</f>
        <v>121005</v>
      </c>
      <c r="F44" s="238" t="n">
        <f aca="false">D44/$D$2</f>
        <v>-36.2994706327199</v>
      </c>
      <c r="G44" s="135" t="n">
        <v>59</v>
      </c>
      <c r="H44" s="239" t="n">
        <v>2.1</v>
      </c>
      <c r="I44" s="135" t="n">
        <f aca="false">G44+H44</f>
        <v>61.1</v>
      </c>
      <c r="J44" s="136" t="n">
        <f aca="false">IF(L44&gt;0,L44,0)</f>
        <v>0</v>
      </c>
      <c r="K44" s="135" t="n">
        <f aca="false">I44+J44</f>
        <v>61.1</v>
      </c>
      <c r="L44" s="135" t="n">
        <f aca="false">F44-(I44-AK44)</f>
        <v>-1.19947063271994</v>
      </c>
      <c r="M44" s="240" t="n">
        <v>5.2</v>
      </c>
      <c r="N44" s="135" t="n">
        <v>0</v>
      </c>
      <c r="O44" s="135" t="n">
        <v>0</v>
      </c>
      <c r="P44" s="155" t="n">
        <v>0</v>
      </c>
      <c r="Q44" s="131" t="n">
        <f aca="false">1000200/325851/1.9835*1.02</f>
        <v>1.57846791671753</v>
      </c>
      <c r="R44" s="131" t="n">
        <f aca="false">(1713051/325851/1.9835-T44)*1.04</f>
        <v>1.55361692060361</v>
      </c>
      <c r="S44" s="131" t="n">
        <v>0</v>
      </c>
      <c r="T44" s="131" t="n">
        <f aca="false">1.1121*1.04</f>
        <v>1.156584</v>
      </c>
      <c r="U44" s="96" t="n">
        <f aca="false">M44-(Q44+R44+S44+T44)</f>
        <v>0.911331162678858</v>
      </c>
      <c r="V44" s="135" t="n">
        <v>59</v>
      </c>
      <c r="W44" s="135" t="n">
        <v>0</v>
      </c>
      <c r="X44" s="135" t="n">
        <f aca="false">M44-N44-P44-O44-Q44-R44-S44-T44-U44+V44+W44</f>
        <v>59</v>
      </c>
      <c r="Y44" s="135" t="n">
        <f aca="false">X44-AO44</f>
        <v>59</v>
      </c>
      <c r="Z44" s="135"/>
      <c r="AA44" s="135"/>
      <c r="AB44" s="136"/>
      <c r="AC44" s="136"/>
      <c r="AD44" s="107"/>
      <c r="AE44" s="135" t="n">
        <v>0</v>
      </c>
      <c r="AF44" s="240"/>
      <c r="AG44" s="241"/>
      <c r="AH44" s="135" t="n">
        <v>32</v>
      </c>
      <c r="AI44" s="107" t="n">
        <f aca="false">AI43-AH44</f>
        <v>2321</v>
      </c>
      <c r="AJ44" s="107"/>
      <c r="AK44" s="134" t="n">
        <f aca="false">N44+O44+P44+Q44+R44+S44+T44+U44+X44+AE44+AH44</f>
        <v>96.2</v>
      </c>
      <c r="AL44" s="135" t="n">
        <f aca="false">IF(L44&lt;0,L44*-1,0)</f>
        <v>1.19947063271994</v>
      </c>
      <c r="AM44" s="135" t="n">
        <f aca="false">AK44+AL44</f>
        <v>97.3994706327199</v>
      </c>
      <c r="AN44" s="212" t="n">
        <f aca="false">V44</f>
        <v>59</v>
      </c>
      <c r="AO44" s="136" t="n">
        <v>0</v>
      </c>
      <c r="AP44" s="213"/>
      <c r="AV44" s="214" t="n">
        <v>0</v>
      </c>
      <c r="AW44" s="107" t="n">
        <v>46</v>
      </c>
      <c r="AX44" s="207" t="n">
        <v>24</v>
      </c>
      <c r="AY44" s="215"/>
      <c r="AZ44" s="242" t="n">
        <f aca="false">SUM(N44,P44:U44)</f>
        <v>5.2</v>
      </c>
    </row>
    <row r="45" customFormat="false" ht="12.95" hidden="false" customHeight="true" outlineLevel="0" collapsed="false">
      <c r="A45" s="179" t="n">
        <v>31</v>
      </c>
      <c r="B45" s="106" t="n">
        <v>6897.14</v>
      </c>
      <c r="C45" s="107" t="n">
        <v>273150</v>
      </c>
      <c r="D45" s="207" t="n">
        <f aca="false">C45-C44</f>
        <v>145</v>
      </c>
      <c r="E45" s="107" t="n">
        <f aca="false">C45-152000</f>
        <v>121150</v>
      </c>
      <c r="F45" s="238" t="n">
        <f aca="false">D45/$D$2</f>
        <v>73.1031005797832</v>
      </c>
      <c r="G45" s="135" t="n">
        <v>59</v>
      </c>
      <c r="H45" s="239" t="n">
        <v>2.2</v>
      </c>
      <c r="I45" s="135" t="n">
        <f aca="false">G45+H45</f>
        <v>61.2</v>
      </c>
      <c r="J45" s="136" t="n">
        <f aca="false">IF(L45&gt;0,L45,0)</f>
        <v>107.703100579783</v>
      </c>
      <c r="K45" s="135" t="n">
        <f aca="false">I45+J45</f>
        <v>168.903100579783</v>
      </c>
      <c r="L45" s="135" t="n">
        <f aca="false">F45-(I45-AK45)</f>
        <v>107.703100579783</v>
      </c>
      <c r="M45" s="240" t="n">
        <v>4.8</v>
      </c>
      <c r="N45" s="135" t="n">
        <v>0</v>
      </c>
      <c r="O45" s="135" t="n">
        <v>0</v>
      </c>
      <c r="P45" s="155" t="n">
        <v>0</v>
      </c>
      <c r="Q45" s="131" t="n">
        <f aca="false">988400/325851/1.9835*1.02</f>
        <v>1.55984571973966</v>
      </c>
      <c r="R45" s="131" t="n">
        <f aca="false">(1768617/325851/1.9835-T45)*1.04</f>
        <v>1.64302797387407</v>
      </c>
      <c r="S45" s="131" t="n">
        <v>0</v>
      </c>
      <c r="T45" s="131" t="n">
        <f aca="false">1.1121*1.04</f>
        <v>1.156584</v>
      </c>
      <c r="U45" s="96" t="n">
        <f aca="false">M45-(Q45+R45+S45+T45)</f>
        <v>0.440542306386265</v>
      </c>
      <c r="V45" s="135" t="n">
        <v>59</v>
      </c>
      <c r="W45" s="135" t="n">
        <v>0</v>
      </c>
      <c r="X45" s="135" t="n">
        <f aca="false">M45-N45-P45-O45-Q45-R45-S45-T45-U45+V45+W45</f>
        <v>59</v>
      </c>
      <c r="Y45" s="135" t="n">
        <f aca="false">X45-AO45</f>
        <v>59</v>
      </c>
      <c r="Z45" s="135"/>
      <c r="AA45" s="135"/>
      <c r="AB45" s="136"/>
      <c r="AC45" s="136"/>
      <c r="AD45" s="107"/>
      <c r="AE45" s="135" t="n">
        <v>0</v>
      </c>
      <c r="AF45" s="240"/>
      <c r="AG45" s="241"/>
      <c r="AH45" s="135" t="n">
        <v>32</v>
      </c>
      <c r="AI45" s="107" t="n">
        <f aca="false">AI44-AH45</f>
        <v>2289</v>
      </c>
      <c r="AJ45" s="107"/>
      <c r="AK45" s="134" t="n">
        <f aca="false">N45+O45+P45+Q45+R45+S45+T45+U45+X45+AE45+AH45</f>
        <v>95.8</v>
      </c>
      <c r="AL45" s="135" t="n">
        <f aca="false">IF(L45&lt;0,L45*-1,0)</f>
        <v>0</v>
      </c>
      <c r="AM45" s="135" t="n">
        <f aca="false">AK45+AL45</f>
        <v>95.8</v>
      </c>
      <c r="AN45" s="212" t="n">
        <f aca="false">V45</f>
        <v>59</v>
      </c>
      <c r="AO45" s="136" t="n">
        <v>0</v>
      </c>
      <c r="AP45" s="213"/>
      <c r="AV45" s="214" t="n">
        <v>0.18</v>
      </c>
      <c r="AW45" s="107" t="n">
        <v>37</v>
      </c>
      <c r="AX45" s="207" t="n">
        <v>18</v>
      </c>
      <c r="AY45" s="215"/>
      <c r="AZ45" s="242" t="n">
        <f aca="false">SUM(N45,P45:U45)</f>
        <v>4.8</v>
      </c>
    </row>
    <row r="46" customFormat="false" ht="3" hidden="false" customHeight="true" outlineLevel="0" collapsed="false">
      <c r="A46" s="223"/>
      <c r="B46" s="244"/>
      <c r="C46" s="225"/>
      <c r="D46" s="226"/>
      <c r="E46" s="225"/>
      <c r="F46" s="227"/>
      <c r="G46" s="226"/>
      <c r="H46" s="228"/>
      <c r="I46" s="226"/>
      <c r="J46" s="226"/>
      <c r="K46" s="226"/>
      <c r="L46" s="226"/>
      <c r="M46" s="226"/>
      <c r="N46" s="226"/>
      <c r="O46" s="226"/>
      <c r="P46" s="230"/>
      <c r="Q46" s="226"/>
      <c r="R46" s="226"/>
      <c r="S46" s="226"/>
      <c r="T46" s="226"/>
      <c r="U46" s="231"/>
      <c r="V46" s="226"/>
      <c r="W46" s="226"/>
      <c r="X46" s="226" t="n">
        <f aca="false">M46-N46-O46-Q46-R46-S46+V46+W46</f>
        <v>0</v>
      </c>
      <c r="Y46" s="226" t="n">
        <f aca="false">N46-O46-P46-R46-S46-U46+W46+X46</f>
        <v>0</v>
      </c>
      <c r="Z46" s="226"/>
      <c r="AA46" s="226"/>
      <c r="AB46" s="232"/>
      <c r="AC46" s="232"/>
      <c r="AD46" s="225"/>
      <c r="AE46" s="226"/>
      <c r="AF46" s="229"/>
      <c r="AG46" s="233"/>
      <c r="AH46" s="245"/>
      <c r="AI46" s="226"/>
      <c r="AJ46" s="226"/>
      <c r="AK46" s="226" t="n">
        <f aca="false">N46+O46+Q46+R46+S46+X46+AE46+AH46</f>
        <v>0</v>
      </c>
      <c r="AL46" s="226"/>
      <c r="AM46" s="226"/>
      <c r="AN46" s="234"/>
      <c r="AO46" s="232"/>
      <c r="AP46" s="235"/>
      <c r="AQ46" s="236"/>
      <c r="AR46" s="236"/>
      <c r="AS46" s="236"/>
      <c r="AT46" s="236"/>
      <c r="AU46" s="235"/>
      <c r="AV46" s="237"/>
      <c r="AW46" s="235"/>
      <c r="AX46" s="235" t="s">
        <v>114</v>
      </c>
      <c r="AY46" s="246"/>
      <c r="AZ46" s="247" t="s">
        <v>114</v>
      </c>
    </row>
    <row r="47" customFormat="false" ht="12.95" hidden="false" customHeight="true" outlineLevel="0" collapsed="false">
      <c r="A47" s="181" t="s">
        <v>101</v>
      </c>
      <c r="B47" s="205"/>
      <c r="C47" s="107"/>
      <c r="D47" s="107"/>
      <c r="E47" s="107"/>
      <c r="F47" s="206" t="n">
        <f aca="false">SUM(F15:F45)</f>
        <v>-1148.97907738845</v>
      </c>
      <c r="G47" s="107" t="n">
        <f aca="false">SUM(G15:G45)</f>
        <v>1768</v>
      </c>
      <c r="H47" s="107" t="n">
        <f aca="false">SUM(H15:H45)</f>
        <v>59.2</v>
      </c>
      <c r="I47" s="107" t="n">
        <f aca="false">SUM(I15:I45)</f>
        <v>1827.2</v>
      </c>
      <c r="J47" s="107" t="n">
        <f aca="false">SUM(J15:J45)</f>
        <v>195.560604991177</v>
      </c>
      <c r="K47" s="107" t="n">
        <f aca="false">SUM(K15:K45)</f>
        <v>2022.76060499118</v>
      </c>
      <c r="L47" s="107" t="n">
        <f aca="false">SUM(L15:L45)</f>
        <v>-11.7190773884546</v>
      </c>
      <c r="M47" s="208" t="n">
        <f aca="false">SUM(M15:M45)</f>
        <v>143.46</v>
      </c>
      <c r="N47" s="107" t="n">
        <f aca="false">SUM(N15:N45)</f>
        <v>0</v>
      </c>
      <c r="O47" s="107" t="n">
        <f aca="false">SUM(O15:O45)</f>
        <v>0</v>
      </c>
      <c r="P47" s="155"/>
      <c r="Q47" s="107" t="n">
        <f aca="false">SUM(Q15:Q45)</f>
        <v>51.0972569093068</v>
      </c>
      <c r="R47" s="107" t="n">
        <f aca="false">SUM(R15:R45)</f>
        <v>54.0222633135167</v>
      </c>
      <c r="S47" s="107" t="n">
        <f aca="false">SUM(S15:S45)</f>
        <v>0</v>
      </c>
      <c r="T47" s="107" t="n">
        <f aca="false">SUM(T15:T45)</f>
        <v>41.133352</v>
      </c>
      <c r="U47" s="272" t="n">
        <f aca="false">SUM(U15:U45)</f>
        <v>-2.79287222282352</v>
      </c>
      <c r="V47" s="107" t="n">
        <f aca="false">SUM(V15:V45)</f>
        <v>1829</v>
      </c>
      <c r="W47" s="107" t="n">
        <f aca="false">SUM(W15:W45)</f>
        <v>0</v>
      </c>
      <c r="X47" s="107" t="n">
        <f aca="false">SUM(X15:X45)</f>
        <v>1829</v>
      </c>
      <c r="Y47" s="107" t="n">
        <f aca="false">SUM(Y15:Y45)</f>
        <v>1829</v>
      </c>
      <c r="Z47" s="107"/>
      <c r="AA47" s="107"/>
      <c r="AB47" s="136"/>
      <c r="AC47" s="107" t="n">
        <f aca="false">SUM(AC15:AC45)</f>
        <v>32.1</v>
      </c>
      <c r="AD47" s="107"/>
      <c r="AE47" s="107"/>
      <c r="AF47" s="208"/>
      <c r="AG47" s="210"/>
      <c r="AH47" s="107" t="n">
        <f aca="false">SUM(AH15:AH45)</f>
        <v>992</v>
      </c>
      <c r="AI47" s="107"/>
      <c r="AJ47" s="80" t="n">
        <f aca="false">SUM(AJ15:AJ45)</f>
        <v>0</v>
      </c>
      <c r="AK47" s="107" t="n">
        <f aca="false">SUM(AK15:AK45)</f>
        <v>2964.46</v>
      </c>
      <c r="AL47" s="107" t="n">
        <f aca="false">SUM(AL15:AL45)</f>
        <v>207.279682379632</v>
      </c>
      <c r="AM47" s="107" t="n">
        <f aca="false">SUM(AM15:AM45)</f>
        <v>3171.73968237963</v>
      </c>
      <c r="AN47" s="136" t="n">
        <f aca="false">SUM(AN15:AN45)</f>
        <v>1829</v>
      </c>
      <c r="AO47" s="136" t="n">
        <f aca="false">SUM(AO15:AO45)</f>
        <v>0</v>
      </c>
      <c r="AP47" s="213"/>
      <c r="AV47" s="214" t="n">
        <f aca="false">SUM(AV15:AV45)</f>
        <v>0.18</v>
      </c>
      <c r="AW47" s="207" t="n">
        <f aca="false">AVERAGE(AW15:AW45)</f>
        <v>36.9677419354839</v>
      </c>
      <c r="AX47" s="207" t="n">
        <f aca="false">AVERAGE(AX15:AX45)</f>
        <v>11.4516129032258</v>
      </c>
      <c r="AY47" s="215" t="s">
        <v>102</v>
      </c>
      <c r="AZ47" s="248" t="n">
        <f aca="false">SUM(AZ15:AZ45)</f>
        <v>143.46</v>
      </c>
    </row>
    <row r="48" customFormat="false" ht="12.95" hidden="false" customHeight="true" outlineLevel="0" collapsed="false">
      <c r="A48" s="181" t="s">
        <v>103</v>
      </c>
      <c r="B48" s="205"/>
      <c r="C48" s="107"/>
      <c r="D48" s="107" t="n">
        <f aca="false">SUM(D15:D45)</f>
        <v>-2279</v>
      </c>
      <c r="E48" s="107"/>
      <c r="F48" s="206" t="n">
        <f aca="false">F47*$D$2</f>
        <v>-2279</v>
      </c>
      <c r="G48" s="107" t="n">
        <f aca="false">G47*$D$2</f>
        <v>3506.828</v>
      </c>
      <c r="H48" s="107" t="n">
        <f aca="false">H47*$D$2</f>
        <v>117.4232</v>
      </c>
      <c r="I48" s="107" t="n">
        <f aca="false">I47*$D$2</f>
        <v>3624.2512</v>
      </c>
      <c r="J48" s="107" t="n">
        <f aca="false">J47*$D$2</f>
        <v>387.89446</v>
      </c>
      <c r="K48" s="107" t="n">
        <f aca="false">K47*$D$2</f>
        <v>4012.14566</v>
      </c>
      <c r="L48" s="107" t="n">
        <f aca="false">L47*$D$2</f>
        <v>-23.2447899999997</v>
      </c>
      <c r="M48" s="208" t="n">
        <f aca="false">M47*$D$2</f>
        <v>284.55291</v>
      </c>
      <c r="N48" s="107" t="n">
        <f aca="false">N47*$D$2</f>
        <v>0</v>
      </c>
      <c r="O48" s="107" t="n">
        <f aca="false">O47*$D$2</f>
        <v>0</v>
      </c>
      <c r="P48" s="155"/>
      <c r="Q48" s="107" t="n">
        <f aca="false">Q47*$D$2</f>
        <v>101.35140907961</v>
      </c>
      <c r="R48" s="107" t="n">
        <f aca="false">R47*$D$2</f>
        <v>107.15315928236</v>
      </c>
      <c r="S48" s="107" t="n">
        <f aca="false">S47*$D$2</f>
        <v>0</v>
      </c>
      <c r="T48" s="107" t="n">
        <f aca="false">T47*$D$2</f>
        <v>81.588003692</v>
      </c>
      <c r="U48" s="272" t="n">
        <f aca="false">U47*$D$2</f>
        <v>-5.53966205397044</v>
      </c>
      <c r="V48" s="107" t="n">
        <f aca="false">V47*$D$2</f>
        <v>3627.8215</v>
      </c>
      <c r="W48" s="107" t="n">
        <f aca="false">W47*$D$2</f>
        <v>0</v>
      </c>
      <c r="X48" s="107" t="n">
        <f aca="false">X47*$D$2</f>
        <v>3627.8215</v>
      </c>
      <c r="Y48" s="107" t="n">
        <f aca="false">Y47*$D$2</f>
        <v>3627.8215</v>
      </c>
      <c r="Z48" s="107"/>
      <c r="AA48" s="107"/>
      <c r="AB48" s="136"/>
      <c r="AC48" s="107" t="n">
        <f aca="false">AC47*$D$2</f>
        <v>63.67035</v>
      </c>
      <c r="AD48" s="107"/>
      <c r="AE48" s="107"/>
      <c r="AF48" s="208"/>
      <c r="AG48" s="210"/>
      <c r="AH48" s="107" t="n">
        <f aca="false">AH47*$D$2</f>
        <v>1967.632</v>
      </c>
      <c r="AI48" s="107"/>
      <c r="AJ48" s="80" t="n">
        <f aca="false">AJ47*$D$2</f>
        <v>0</v>
      </c>
      <c r="AK48" s="107" t="n">
        <f aca="false">AK47*$D$2</f>
        <v>5880.00641</v>
      </c>
      <c r="AL48" s="107" t="n">
        <f aca="false">AL47*$D$2</f>
        <v>411.13925</v>
      </c>
      <c r="AM48" s="107" t="n">
        <f aca="false">AM47*$D$2</f>
        <v>6291.14566</v>
      </c>
      <c r="AN48" s="136" t="n">
        <f aca="false">AN47*$D$2</f>
        <v>3627.8215</v>
      </c>
      <c r="AO48" s="136" t="n">
        <f aca="false">AO47*$D$2</f>
        <v>0</v>
      </c>
      <c r="AP48" s="213"/>
      <c r="AV48" s="214"/>
      <c r="AW48" s="207" t="n">
        <f aca="false">MAX(AW15:AW45)</f>
        <v>51</v>
      </c>
      <c r="AX48" s="207" t="n">
        <f aca="false">MAX(AX15:AX45)</f>
        <v>25</v>
      </c>
      <c r="AY48" s="215" t="s">
        <v>104</v>
      </c>
      <c r="AZ48" s="248" t="n">
        <f aca="false">AZ47*$D$2</f>
        <v>284.55291</v>
      </c>
    </row>
    <row r="49" customFormat="false" ht="3" hidden="false" customHeight="true" outlineLevel="0" collapsed="false">
      <c r="A49" s="223"/>
      <c r="B49" s="244"/>
      <c r="C49" s="225"/>
      <c r="D49" s="225"/>
      <c r="E49" s="225"/>
      <c r="F49" s="249"/>
      <c r="G49" s="225"/>
      <c r="H49" s="225"/>
      <c r="I49" s="225"/>
      <c r="J49" s="225"/>
      <c r="K49" s="225"/>
      <c r="L49" s="225"/>
      <c r="M49" s="250"/>
      <c r="N49" s="225"/>
      <c r="O49" s="225"/>
      <c r="P49" s="230"/>
      <c r="Q49" s="225"/>
      <c r="R49" s="225"/>
      <c r="S49" s="225"/>
      <c r="T49" s="225"/>
      <c r="U49" s="273"/>
      <c r="V49" s="225"/>
      <c r="W49" s="225"/>
      <c r="X49" s="225"/>
      <c r="Y49" s="225"/>
      <c r="Z49" s="225"/>
      <c r="AA49" s="225"/>
      <c r="AB49" s="232"/>
      <c r="AC49" s="225"/>
      <c r="AD49" s="225"/>
      <c r="AE49" s="225"/>
      <c r="AF49" s="250"/>
      <c r="AG49" s="274"/>
      <c r="AH49" s="225"/>
      <c r="AI49" s="226"/>
      <c r="AJ49" s="119"/>
      <c r="AK49" s="225"/>
      <c r="AL49" s="225"/>
      <c r="AM49" s="225"/>
      <c r="AN49" s="232"/>
      <c r="AO49" s="232"/>
      <c r="AP49" s="225"/>
      <c r="AQ49" s="251"/>
      <c r="AR49" s="251"/>
      <c r="AS49" s="236"/>
      <c r="AT49" s="236"/>
      <c r="AU49" s="235"/>
      <c r="AV49" s="252"/>
      <c r="AW49" s="225"/>
      <c r="AX49" s="225"/>
      <c r="AY49" s="249"/>
      <c r="AZ49" s="253"/>
    </row>
    <row r="50" customFormat="false" ht="12.95" hidden="false" customHeight="true" outlineLevel="0" collapsed="false">
      <c r="A50" s="181" t="s">
        <v>105</v>
      </c>
      <c r="B50" s="205"/>
      <c r="C50" s="107"/>
      <c r="D50" s="107"/>
      <c r="E50" s="107"/>
      <c r="F50" s="206"/>
      <c r="G50" s="107"/>
      <c r="H50" s="107"/>
      <c r="I50" s="107"/>
      <c r="J50" s="107"/>
      <c r="K50" s="107"/>
      <c r="L50" s="107"/>
      <c r="M50" s="208"/>
      <c r="N50" s="107"/>
      <c r="O50" s="107"/>
      <c r="P50" s="155"/>
      <c r="Q50" s="107"/>
      <c r="R50" s="107"/>
      <c r="S50" s="107"/>
      <c r="T50" s="107"/>
      <c r="U50" s="272"/>
      <c r="V50" s="107"/>
      <c r="W50" s="107"/>
      <c r="X50" s="107"/>
      <c r="Y50" s="107"/>
      <c r="Z50" s="107"/>
      <c r="AA50" s="107"/>
      <c r="AB50" s="136"/>
      <c r="AC50" s="107"/>
      <c r="AD50" s="107"/>
      <c r="AE50" s="107"/>
      <c r="AF50" s="208"/>
      <c r="AG50" s="210"/>
      <c r="AH50" s="107"/>
      <c r="AI50" s="107"/>
      <c r="AJ50" s="80"/>
      <c r="AK50" s="107"/>
      <c r="AL50" s="107"/>
      <c r="AM50" s="107"/>
      <c r="AN50" s="136"/>
      <c r="AO50" s="136"/>
      <c r="AP50" s="213"/>
      <c r="AV50" s="214"/>
      <c r="AW50" s="207" t="n">
        <f aca="false">MIN(AW15:AW45)</f>
        <v>18</v>
      </c>
      <c r="AX50" s="207" t="n">
        <f aca="false">MIN(AX15:AX45)</f>
        <v>-18</v>
      </c>
      <c r="AY50" s="215" t="s">
        <v>106</v>
      </c>
      <c r="AZ50" s="248"/>
    </row>
    <row r="51" customFormat="false" ht="12.95" hidden="false" customHeight="true" outlineLevel="0" collapsed="false">
      <c r="A51" s="181" t="s">
        <v>107</v>
      </c>
      <c r="B51" s="205"/>
      <c r="C51" s="107"/>
      <c r="D51" s="107"/>
      <c r="E51" s="107"/>
      <c r="F51" s="206"/>
      <c r="G51" s="107"/>
      <c r="H51" s="107"/>
      <c r="I51" s="107"/>
      <c r="J51" s="107"/>
      <c r="K51" s="107"/>
      <c r="L51" s="107"/>
      <c r="M51" s="208"/>
      <c r="N51" s="107"/>
      <c r="O51" s="107"/>
      <c r="P51" s="155"/>
      <c r="Q51" s="107"/>
      <c r="R51" s="107"/>
      <c r="S51" s="107"/>
      <c r="T51" s="107"/>
      <c r="U51" s="272"/>
      <c r="V51" s="107"/>
      <c r="W51" s="107"/>
      <c r="X51" s="107"/>
      <c r="Y51" s="107"/>
      <c r="Z51" s="107"/>
      <c r="AA51" s="107"/>
      <c r="AB51" s="136"/>
      <c r="AC51" s="107"/>
      <c r="AD51" s="107"/>
      <c r="AE51" s="107"/>
      <c r="AF51" s="208"/>
      <c r="AG51" s="210"/>
      <c r="AH51" s="107"/>
      <c r="AI51" s="107"/>
      <c r="AJ51" s="80"/>
      <c r="AK51" s="107"/>
      <c r="AL51" s="107"/>
      <c r="AM51" s="107"/>
      <c r="AN51" s="136"/>
      <c r="AO51" s="136"/>
      <c r="AP51" s="213"/>
      <c r="AV51" s="214"/>
      <c r="AW51" s="207"/>
      <c r="AX51" s="207"/>
      <c r="AY51" s="215"/>
      <c r="AZ51" s="248"/>
    </row>
    <row r="52" customFormat="false" ht="3" hidden="false" customHeight="true" outlineLevel="0" collapsed="false">
      <c r="A52" s="223"/>
      <c r="B52" s="244"/>
      <c r="C52" s="225"/>
      <c r="D52" s="225"/>
      <c r="E52" s="225"/>
      <c r="F52" s="249"/>
      <c r="G52" s="225"/>
      <c r="H52" s="235"/>
      <c r="I52" s="225"/>
      <c r="J52" s="225"/>
      <c r="K52" s="225"/>
      <c r="L52" s="225"/>
      <c r="M52" s="250"/>
      <c r="N52" s="225"/>
      <c r="O52" s="225"/>
      <c r="P52" s="230"/>
      <c r="Q52" s="225"/>
      <c r="R52" s="225"/>
      <c r="S52" s="225"/>
      <c r="T52" s="225"/>
      <c r="U52" s="273"/>
      <c r="V52" s="225"/>
      <c r="W52" s="225"/>
      <c r="X52" s="225"/>
      <c r="Y52" s="225"/>
      <c r="Z52" s="225"/>
      <c r="AA52" s="225"/>
      <c r="AB52" s="232"/>
      <c r="AC52" s="225"/>
      <c r="AD52" s="225"/>
      <c r="AE52" s="225"/>
      <c r="AF52" s="250"/>
      <c r="AG52" s="274"/>
      <c r="AH52" s="225"/>
      <c r="AI52" s="225"/>
      <c r="AJ52" s="119"/>
      <c r="AK52" s="225"/>
      <c r="AL52" s="225"/>
      <c r="AM52" s="225"/>
      <c r="AN52" s="232"/>
      <c r="AO52" s="232"/>
      <c r="AP52" s="254"/>
      <c r="AQ52" s="255"/>
      <c r="AR52" s="255"/>
      <c r="AS52" s="236"/>
      <c r="AT52" s="236"/>
      <c r="AU52" s="235"/>
      <c r="AV52" s="237"/>
      <c r="AW52" s="254"/>
      <c r="AX52" s="254"/>
      <c r="AY52" s="256"/>
      <c r="AZ52" s="253"/>
    </row>
    <row r="53" customFormat="false" ht="12.95" hidden="false" customHeight="true" outlineLevel="0" collapsed="false">
      <c r="A53" s="181" t="s">
        <v>108</v>
      </c>
      <c r="B53" s="205"/>
      <c r="C53" s="107"/>
      <c r="D53" s="107"/>
      <c r="E53" s="107"/>
      <c r="F53" s="206" t="n">
        <f aca="false">F13+F47</f>
        <v>-2138.13965213007</v>
      </c>
      <c r="G53" s="107" t="n">
        <f aca="false">G13+G47</f>
        <v>6059</v>
      </c>
      <c r="H53" s="207" t="n">
        <f aca="false">H13+H47</f>
        <v>172.18</v>
      </c>
      <c r="I53" s="107" t="n">
        <f aca="false">I13+I47</f>
        <v>6231.18</v>
      </c>
      <c r="J53" s="107" t="n">
        <f aca="false">J13+J47</f>
        <v>1017.31009579027</v>
      </c>
      <c r="K53" s="107" t="n">
        <f aca="false">K13+K47</f>
        <v>7248.49009579027</v>
      </c>
      <c r="L53" s="107" t="n">
        <f aca="false">L13+L47</f>
        <v>222.870347869927</v>
      </c>
      <c r="M53" s="208" t="n">
        <f aca="false">M13+M47</f>
        <v>508.91</v>
      </c>
      <c r="N53" s="107" t="n">
        <f aca="false">N13+N47</f>
        <v>0</v>
      </c>
      <c r="O53" s="107" t="n">
        <v>0</v>
      </c>
      <c r="P53" s="155"/>
      <c r="Q53" s="107" t="n">
        <f aca="false">Q13+Q47</f>
        <v>157.818323042276</v>
      </c>
      <c r="R53" s="107" t="n">
        <f aca="false">R13+R47</f>
        <v>150.517523372987</v>
      </c>
      <c r="S53" s="107" t="n">
        <f aca="false">S13+S47</f>
        <v>0</v>
      </c>
      <c r="T53" s="107" t="n">
        <f aca="false">T13+T47</f>
        <v>96.653648</v>
      </c>
      <c r="U53" s="272" t="n">
        <f aca="false">U13+U47</f>
        <v>-15.0987242554656</v>
      </c>
      <c r="V53" s="107" t="n">
        <f aca="false">V13+V47</f>
        <v>5050</v>
      </c>
      <c r="W53" s="107" t="n">
        <f aca="false">W13+W47</f>
        <v>58.28</v>
      </c>
      <c r="X53" s="107" t="n">
        <f aca="false">X13+X47</f>
        <v>5227.2992298402</v>
      </c>
      <c r="Y53" s="107" t="n">
        <f aca="false">Y13+Y47</f>
        <v>5025.5</v>
      </c>
      <c r="Z53" s="107"/>
      <c r="AA53" s="107"/>
      <c r="AB53" s="136"/>
      <c r="AC53" s="107" t="n">
        <f aca="false">AC13+AC47</f>
        <v>1031.7</v>
      </c>
      <c r="AD53" s="107"/>
      <c r="AE53" s="107"/>
      <c r="AF53" s="208"/>
      <c r="AG53" s="210"/>
      <c r="AH53" s="107" t="n">
        <f aca="false">AH13+AH47</f>
        <v>2975</v>
      </c>
      <c r="AI53" s="107" t="n">
        <f aca="false">AI45</f>
        <v>2289</v>
      </c>
      <c r="AJ53" s="80" t="n">
        <f aca="false">AJ14+AJ47</f>
        <v>0</v>
      </c>
      <c r="AK53" s="107" t="n">
        <f aca="false">AK13+AK47</f>
        <v>8592.19</v>
      </c>
      <c r="AL53" s="107" t="n">
        <f aca="false">AL13+AL47</f>
        <v>794.439747920343</v>
      </c>
      <c r="AM53" s="107" t="n">
        <f aca="false">AM13+AM47</f>
        <v>9386.62974792034</v>
      </c>
      <c r="AN53" s="136" t="n">
        <f aca="false">AN13+AN47</f>
        <v>5025.5</v>
      </c>
      <c r="AO53" s="136" t="n">
        <f aca="false">AO13+AO47</f>
        <v>201.799229840203</v>
      </c>
      <c r="AP53" s="213"/>
      <c r="AV53" s="214" t="n">
        <f aca="false">AV13+AV47</f>
        <v>3.38</v>
      </c>
      <c r="AW53" s="207"/>
      <c r="AX53" s="207"/>
      <c r="AY53" s="215"/>
      <c r="AZ53" s="248" t="n">
        <f aca="false">AZ13+AZ47</f>
        <v>389.890770159798</v>
      </c>
    </row>
    <row r="54" customFormat="false" ht="12.95" hidden="false" customHeight="true" outlineLevel="0" collapsed="false">
      <c r="A54" s="181" t="s">
        <v>109</v>
      </c>
      <c r="B54" s="205"/>
      <c r="C54" s="107"/>
      <c r="D54" s="107" t="n">
        <f aca="false">D13+D48</f>
        <v>-4241</v>
      </c>
      <c r="E54" s="107" t="n">
        <f aca="false">E45</f>
        <v>121150</v>
      </c>
      <c r="F54" s="206" t="n">
        <f aca="false">F53*$D$2</f>
        <v>-4241</v>
      </c>
      <c r="G54" s="107" t="n">
        <f aca="false">G53*$D$2</f>
        <v>12018.0265</v>
      </c>
      <c r="H54" s="207" t="n">
        <f aca="false">H53*$D$2</f>
        <v>341.51903</v>
      </c>
      <c r="I54" s="107" t="n">
        <f aca="false">I53*$D$2</f>
        <v>12359.54553</v>
      </c>
      <c r="J54" s="107" t="n">
        <f aca="false">J53*$D$2</f>
        <v>2017.834575</v>
      </c>
      <c r="K54" s="107" t="n">
        <f aca="false">K53*$D$2</f>
        <v>14377.380105</v>
      </c>
      <c r="L54" s="107" t="n">
        <f aca="false">L53*$D$2</f>
        <v>442.063335</v>
      </c>
      <c r="M54" s="208" t="n">
        <f aca="false">M53*$D$2</f>
        <v>1009.422985</v>
      </c>
      <c r="N54" s="107" t="n">
        <f aca="false">N53*$D$2</f>
        <v>0</v>
      </c>
      <c r="O54" s="107" t="n">
        <f aca="false">O53*$D$2</f>
        <v>0</v>
      </c>
      <c r="P54" s="155"/>
      <c r="Q54" s="107" t="n">
        <f aca="false">Q53*$D$2</f>
        <v>313.032643754354</v>
      </c>
      <c r="R54" s="107" t="n">
        <f aca="false">R53*$D$2</f>
        <v>298.55150761032</v>
      </c>
      <c r="S54" s="218" t="n">
        <f aca="false">S53*$D$2</f>
        <v>0</v>
      </c>
      <c r="T54" s="218" t="n">
        <f aca="false">T53*$D$2</f>
        <v>191.712510808</v>
      </c>
      <c r="U54" s="275" t="n">
        <f aca="false">U53*$D$2</f>
        <v>-29.948319560716</v>
      </c>
      <c r="V54" s="107" t="n">
        <f aca="false">V53*$D$2</f>
        <v>10016.675</v>
      </c>
      <c r="W54" s="107" t="n">
        <f aca="false">W53*$D$2</f>
        <v>115.59838</v>
      </c>
      <c r="X54" s="107" t="n">
        <f aca="false">X53*$D$2</f>
        <v>10368.348022388</v>
      </c>
      <c r="Y54" s="107" t="n">
        <f aca="false">Y53*$D$2</f>
        <v>9968.07925</v>
      </c>
      <c r="Z54" s="107"/>
      <c r="AA54" s="107"/>
      <c r="AB54" s="136"/>
      <c r="AC54" s="107" t="n">
        <f aca="false">AC53*$D$2</f>
        <v>2046.37695</v>
      </c>
      <c r="AD54" s="107"/>
      <c r="AE54" s="107"/>
      <c r="AF54" s="276"/>
      <c r="AG54" s="266"/>
      <c r="AH54" s="107" t="n">
        <f aca="false">AH53*$D$2</f>
        <v>5900.9125</v>
      </c>
      <c r="AI54" s="107" t="n">
        <f aca="false">AI53*$D$2</f>
        <v>4540.2315</v>
      </c>
      <c r="AJ54" s="80" t="n">
        <f aca="false">AJ53*$D$2</f>
        <v>0</v>
      </c>
      <c r="AK54" s="107" t="n">
        <f aca="false">AK53*$D$2</f>
        <v>17042.608865</v>
      </c>
      <c r="AL54" s="107" t="n">
        <f aca="false">AL53*$D$2</f>
        <v>1575.77124</v>
      </c>
      <c r="AM54" s="107" t="n">
        <f aca="false">AM53*$D$2</f>
        <v>18618.380105</v>
      </c>
      <c r="AN54" s="136" t="n">
        <f aca="false">AN53*$D$2</f>
        <v>9968.07925</v>
      </c>
      <c r="AO54" s="136" t="n">
        <f aca="false">AO53*$D$2</f>
        <v>400.268772388042</v>
      </c>
      <c r="AP54" s="213"/>
      <c r="AV54" s="214"/>
      <c r="AW54" s="207"/>
      <c r="AX54" s="207"/>
      <c r="AY54" s="215"/>
      <c r="AZ54" s="221" t="n">
        <f aca="false">AZ53*$D$2</f>
        <v>773.348342611958</v>
      </c>
    </row>
    <row r="55" customFormat="false" ht="3" hidden="false" customHeight="true" outlineLevel="0" collapsed="false">
      <c r="A55" s="223"/>
      <c r="B55" s="244"/>
      <c r="C55" s="225"/>
      <c r="D55" s="226"/>
      <c r="E55" s="225"/>
      <c r="F55" s="227"/>
      <c r="G55" s="226"/>
      <c r="H55" s="228"/>
      <c r="I55" s="226"/>
      <c r="J55" s="226"/>
      <c r="K55" s="226"/>
      <c r="L55" s="226"/>
      <c r="M55" s="229"/>
      <c r="N55" s="226"/>
      <c r="O55" s="226"/>
      <c r="P55" s="230"/>
      <c r="Q55" s="226"/>
      <c r="R55" s="226"/>
      <c r="S55" s="233"/>
      <c r="T55" s="233"/>
      <c r="U55" s="231"/>
      <c r="V55" s="226"/>
      <c r="W55" s="226"/>
      <c r="X55" s="226"/>
      <c r="Y55" s="226"/>
      <c r="Z55" s="226"/>
      <c r="AA55" s="226"/>
      <c r="AB55" s="232"/>
      <c r="AC55" s="232"/>
      <c r="AD55" s="225"/>
      <c r="AE55" s="226"/>
      <c r="AF55" s="229"/>
      <c r="AG55" s="233"/>
      <c r="AH55" s="226"/>
      <c r="AI55" s="225"/>
      <c r="AJ55" s="225"/>
      <c r="AK55" s="226"/>
      <c r="AL55" s="226"/>
      <c r="AM55" s="226"/>
      <c r="AN55" s="244"/>
      <c r="AO55" s="232"/>
      <c r="AP55" s="226"/>
      <c r="AQ55" s="257"/>
      <c r="AR55" s="257"/>
      <c r="AS55" s="236"/>
      <c r="AT55" s="236"/>
      <c r="AU55" s="235"/>
      <c r="AV55" s="244"/>
      <c r="AW55" s="226"/>
      <c r="AX55" s="226"/>
      <c r="AY55" s="226"/>
      <c r="AZ55" s="258"/>
    </row>
    <row r="56" customFormat="false" ht="11.1" hidden="false" customHeight="true" outlineLevel="0" collapsed="false">
      <c r="A56" s="181"/>
      <c r="B56" s="259"/>
      <c r="D56" s="181"/>
      <c r="F56" s="181"/>
      <c r="G56" s="181"/>
      <c r="I56" s="181"/>
      <c r="J56" s="181"/>
      <c r="K56" s="181"/>
      <c r="L56" s="181"/>
      <c r="M56" s="181"/>
      <c r="N56" s="181"/>
      <c r="O56" s="181"/>
      <c r="Q56" s="181"/>
      <c r="R56" s="181"/>
      <c r="S56" s="181"/>
      <c r="T56" s="181"/>
      <c r="V56" s="181"/>
      <c r="W56" s="181"/>
      <c r="X56" s="181"/>
      <c r="Y56" s="181"/>
      <c r="Z56" s="181"/>
      <c r="AA56" s="181"/>
      <c r="AD56" s="173"/>
      <c r="AE56" s="181"/>
      <c r="AF56" s="181"/>
      <c r="AG56" s="181"/>
      <c r="AH56" s="181"/>
      <c r="AI56" s="173"/>
      <c r="AJ56" s="217"/>
      <c r="AK56" s="181"/>
      <c r="AL56" s="181"/>
      <c r="AM56" s="181"/>
      <c r="AN56" s="179"/>
      <c r="AO56" s="260"/>
      <c r="AX56" s="178"/>
      <c r="AY56" s="178"/>
    </row>
    <row r="57" customFormat="false" ht="11.1" hidden="false" customHeight="true" outlineLevel="0" collapsed="false">
      <c r="A57" s="181"/>
      <c r="B57" s="261"/>
      <c r="F57" s="181"/>
      <c r="G57" s="181"/>
      <c r="I57" s="182"/>
      <c r="J57" s="181"/>
      <c r="K57" s="170"/>
      <c r="L57" s="181"/>
      <c r="M57" s="181"/>
      <c r="N57" s="181"/>
      <c r="O57" s="181"/>
      <c r="Q57" s="181"/>
      <c r="R57" s="181"/>
      <c r="S57" s="181"/>
      <c r="T57" s="181"/>
      <c r="V57" s="181"/>
      <c r="W57" s="181"/>
      <c r="X57" s="181"/>
      <c r="Y57" s="181"/>
      <c r="Z57" s="181"/>
      <c r="AA57" s="181"/>
      <c r="AD57" s="173"/>
      <c r="AE57" s="181"/>
      <c r="AF57" s="181"/>
      <c r="AG57" s="181"/>
      <c r="AH57" s="181"/>
      <c r="AI57" s="173"/>
      <c r="AJ57" s="217"/>
      <c r="AK57" s="181"/>
      <c r="AL57" s="181"/>
      <c r="AM57" s="181"/>
      <c r="AN57" s="179"/>
      <c r="AO57" s="260"/>
      <c r="AX57" s="178"/>
      <c r="AY57" s="178"/>
    </row>
    <row r="58" customFormat="false" ht="11.1" hidden="false" customHeight="true" outlineLevel="0" collapsed="false">
      <c r="D58" s="173"/>
      <c r="Q58" s="175"/>
      <c r="R58" s="175"/>
      <c r="S58" s="175"/>
      <c r="T58" s="175"/>
      <c r="X58" s="172"/>
      <c r="Y58" s="172"/>
      <c r="Z58" s="172"/>
      <c r="AA58" s="172"/>
      <c r="AD58" s="173"/>
      <c r="AH58" s="172"/>
      <c r="AI58" s="173"/>
      <c r="AJ58" s="217"/>
      <c r="AM58" s="172"/>
      <c r="AN58" s="179"/>
      <c r="AO58" s="260"/>
      <c r="AX58" s="178"/>
      <c r="AY58" s="178"/>
    </row>
    <row r="59" customFormat="false" ht="11.1" hidden="false" customHeight="true" outlineLevel="0" collapsed="false">
      <c r="B59" s="8"/>
      <c r="D59" s="173"/>
    </row>
    <row r="60" customFormat="false" ht="11.1" hidden="false" customHeight="true" outlineLevel="0" collapsed="false">
      <c r="G60" s="262"/>
    </row>
  </sheetData>
  <mergeCells count="2">
    <mergeCell ref="K2:AD2"/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33" activePane="bottomRight" state="frozen"/>
      <selection pane="topLeft" activeCell="A1" activeCellId="0" sqref="A1"/>
      <selection pane="topRight" activeCell="B1" activeCellId="0" sqref="B1"/>
      <selection pane="bottomLeft" activeCell="A33" activeCellId="0" sqref="A33"/>
      <selection pane="bottomRight" activeCell="U21" activeCellId="0" sqref="U21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277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18" min="17" style="175" width="4.32"/>
    <col collapsed="false" customWidth="true" hidden="false" outlineLevel="0" max="20" min="19" style="8" width="4.32"/>
    <col collapsed="false" customWidth="true" hidden="false" outlineLevel="0" max="21" min="21" style="8" width="5.16"/>
    <col collapsed="false" customWidth="true" hidden="false" outlineLevel="0" max="23" min="22" style="172" width="5.49"/>
    <col collapsed="false" customWidth="true" hidden="false" outlineLevel="0" max="27" min="24" style="173" width="6.32"/>
    <col collapsed="false" customWidth="true" hidden="false" outlineLevel="0" max="28" min="28" style="172" width="5.49"/>
    <col collapsed="false" customWidth="true" hidden="false" outlineLevel="0" max="29" min="29" style="175" width="5.82"/>
    <col collapsed="false" customWidth="true" hidden="false" outlineLevel="0" max="33" min="30" style="172" width="5.49"/>
    <col collapsed="false" customWidth="true" hidden="false" outlineLevel="0" max="34" min="34" style="173" width="6.32"/>
    <col collapsed="false" customWidth="true" hidden="false" outlineLevel="0" max="35" min="35" style="172" width="5.49"/>
    <col collapsed="false" customWidth="true" hidden="false" outlineLevel="0" max="36" min="36" style="176" width="6.32"/>
    <col collapsed="false" customWidth="true" hidden="false" outlineLevel="0" max="37" min="37" style="172" width="6.32"/>
    <col collapsed="false" customWidth="true" hidden="false" outlineLevel="0" max="38" min="38" style="172" width="6.82"/>
    <col collapsed="false" customWidth="true" hidden="false" outlineLevel="0" max="39" min="39" style="8" width="6.82"/>
    <col collapsed="false" customWidth="true" hidden="false" outlineLevel="0" max="40" min="40" style="178" width="5.49"/>
    <col collapsed="false" customWidth="true" hidden="false" outlineLevel="0" max="41" min="41" style="178" width="5.32"/>
    <col collapsed="false" customWidth="true" hidden="false" outlineLevel="0" max="42" min="42" style="172" width="6.32"/>
    <col collapsed="false" customWidth="true" hidden="false" outlineLevel="0" max="43" min="43" style="278" width="6.32"/>
    <col collapsed="false" customWidth="true" hidden="false" outlineLevel="0" max="44" min="44" style="278" width="5.49"/>
    <col collapsed="false" customWidth="true" hidden="false" outlineLevel="0" max="45" min="45" style="202" width="5.32"/>
    <col collapsed="false" customWidth="true" hidden="false" outlineLevel="0" max="46" min="46" style="176" width="5.82"/>
    <col collapsed="false" customWidth="true" hidden="false" outlineLevel="0" max="47" min="47" style="172" width="4.99"/>
    <col collapsed="false" customWidth="true" hidden="false" outlineLevel="0" max="48" min="48" style="174" width="5.32"/>
    <col collapsed="false" customWidth="true" hidden="false" outlineLevel="0" max="49" min="49" style="178" width="3.82"/>
    <col collapsed="false" customWidth="true" hidden="false" outlineLevel="0" max="50" min="50" style="179" width="3.82"/>
    <col collapsed="false" customWidth="true" hidden="false" outlineLevel="0" max="51" min="51" style="180" width="3.82"/>
    <col collapsed="false" customWidth="true" hidden="false" outlineLevel="0" max="52" min="52" style="279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81" t="s">
        <v>114</v>
      </c>
      <c r="B1" s="181"/>
      <c r="D1" s="181"/>
      <c r="F1" s="181"/>
      <c r="G1" s="181"/>
      <c r="I1" s="181"/>
      <c r="J1" s="181"/>
      <c r="K1" s="183" t="s">
        <v>0</v>
      </c>
      <c r="L1" s="181"/>
      <c r="M1" s="181"/>
      <c r="N1" s="181"/>
      <c r="O1" s="181"/>
      <c r="Q1" s="181"/>
      <c r="R1" s="181"/>
      <c r="V1" s="181"/>
      <c r="W1" s="181"/>
      <c r="X1" s="263"/>
      <c r="AB1" s="181"/>
      <c r="AD1" s="181"/>
      <c r="AE1" s="181"/>
      <c r="AF1" s="181"/>
      <c r="AG1" s="181"/>
      <c r="AI1" s="181"/>
      <c r="AJ1" s="184"/>
      <c r="AK1" s="181"/>
      <c r="AL1" s="181"/>
      <c r="AN1" s="280"/>
      <c r="AO1" s="280"/>
      <c r="AP1" s="184"/>
      <c r="AZ1" s="281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I2" s="181"/>
      <c r="J2" s="181"/>
      <c r="K2" s="186" t="s">
        <v>116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1"/>
      <c r="AF2" s="181"/>
      <c r="AG2" s="181"/>
      <c r="AI2" s="181"/>
      <c r="AJ2" s="184"/>
      <c r="AK2" s="181"/>
      <c r="AL2" s="181"/>
      <c r="AN2" s="280"/>
      <c r="AO2" s="280"/>
      <c r="AP2" s="184"/>
    </row>
    <row r="3" customFormat="false" ht="14.1" hidden="false" customHeight="true" outlineLevel="0" collapsed="false">
      <c r="A3" s="187"/>
      <c r="B3" s="187"/>
      <c r="C3" s="188"/>
      <c r="D3" s="189"/>
      <c r="E3" s="188"/>
      <c r="F3" s="187"/>
      <c r="G3" s="187"/>
      <c r="H3" s="282"/>
      <c r="I3" s="187"/>
      <c r="J3" s="187"/>
      <c r="K3" s="187"/>
      <c r="L3" s="187"/>
      <c r="M3" s="187"/>
      <c r="N3" s="187"/>
      <c r="O3" s="187"/>
      <c r="P3" s="191"/>
      <c r="Q3" s="187"/>
      <c r="R3" s="187"/>
      <c r="S3" s="191"/>
      <c r="T3" s="191"/>
      <c r="U3" s="191"/>
      <c r="V3" s="187"/>
      <c r="W3" s="187"/>
      <c r="X3" s="188"/>
      <c r="Y3" s="188"/>
      <c r="Z3" s="188"/>
      <c r="AA3" s="188"/>
      <c r="AB3" s="187"/>
      <c r="AC3" s="192"/>
      <c r="AD3" s="187"/>
      <c r="AE3" s="187"/>
      <c r="AF3" s="187"/>
      <c r="AG3" s="187"/>
      <c r="AH3" s="188"/>
      <c r="AI3" s="187"/>
      <c r="AJ3" s="193"/>
      <c r="AK3" s="187"/>
      <c r="AL3" s="187"/>
      <c r="AM3" s="191"/>
      <c r="AN3" s="283"/>
      <c r="AO3" s="283"/>
      <c r="AP3" s="193"/>
      <c r="AQ3" s="284"/>
      <c r="AV3" s="196"/>
      <c r="AW3" s="197"/>
      <c r="AX3" s="198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117</v>
      </c>
      <c r="Y4" s="39"/>
      <c r="Z4" s="39"/>
      <c r="AA4" s="39"/>
      <c r="AB4" s="40"/>
      <c r="AC4" s="41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85"/>
      <c r="AZ4" s="54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1" t="s">
        <v>18</v>
      </c>
      <c r="N5" s="201"/>
      <c r="O5" s="201"/>
      <c r="P5" s="201"/>
      <c r="Q5" s="201"/>
      <c r="R5" s="201"/>
      <c r="S5" s="201"/>
      <c r="T5" s="201"/>
      <c r="U5" s="201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2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02" t="s">
        <v>33</v>
      </c>
      <c r="AV5" s="70" t="s">
        <v>34</v>
      </c>
      <c r="AW5" s="71" t="s">
        <v>35</v>
      </c>
      <c r="AX5" s="71" t="s">
        <v>36</v>
      </c>
      <c r="AY5" s="286"/>
      <c r="AZ5" s="287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118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2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02" t="s">
        <v>71</v>
      </c>
      <c r="AV6" s="78"/>
      <c r="AW6" s="71" t="s">
        <v>72</v>
      </c>
      <c r="AX6" s="71" t="s">
        <v>72</v>
      </c>
      <c r="AY6" s="286"/>
      <c r="AZ6" s="287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2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02" t="s">
        <v>88</v>
      </c>
      <c r="AV7" s="78"/>
      <c r="AW7" s="71"/>
      <c r="AX7" s="71"/>
      <c r="AY7" s="286"/>
      <c r="AZ7" s="287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2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02"/>
      <c r="AV8" s="78"/>
      <c r="AW8" s="71"/>
      <c r="AX8" s="71"/>
      <c r="AY8" s="286"/>
      <c r="AZ8" s="287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2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02"/>
      <c r="AV9" s="78"/>
      <c r="AW9" s="71"/>
      <c r="AX9" s="71"/>
      <c r="AY9" s="286"/>
      <c r="AZ9" s="287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28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86"/>
      <c r="AZ10" s="287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2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86"/>
      <c r="AZ11" s="287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4" t="s">
        <v>99</v>
      </c>
      <c r="B12" s="205"/>
      <c r="C12" s="107"/>
      <c r="D12" s="107"/>
      <c r="E12" s="107"/>
      <c r="F12" s="206"/>
      <c r="G12" s="107"/>
      <c r="H12" s="289"/>
      <c r="I12" s="107"/>
      <c r="J12" s="107"/>
      <c r="K12" s="107"/>
      <c r="L12" s="107"/>
      <c r="M12" s="208"/>
      <c r="N12" s="107"/>
      <c r="O12" s="107"/>
      <c r="P12" s="155"/>
      <c r="Q12" s="107"/>
      <c r="R12" s="107"/>
      <c r="S12" s="155"/>
      <c r="T12" s="155"/>
      <c r="U12" s="209"/>
      <c r="V12" s="107"/>
      <c r="W12" s="107"/>
      <c r="X12" s="107"/>
      <c r="Y12" s="107"/>
      <c r="Z12" s="107"/>
      <c r="AA12" s="107"/>
      <c r="AB12" s="107"/>
      <c r="AC12" s="136"/>
      <c r="AD12" s="107"/>
      <c r="AE12" s="107"/>
      <c r="AF12" s="208"/>
      <c r="AG12" s="210"/>
      <c r="AH12" s="107"/>
      <c r="AI12" s="107"/>
      <c r="AJ12" s="211"/>
      <c r="AK12" s="107"/>
      <c r="AL12" s="107"/>
      <c r="AM12" s="107"/>
      <c r="AN12" s="212"/>
      <c r="AO12" s="207"/>
      <c r="AP12" s="135"/>
      <c r="AQ12" s="213"/>
      <c r="AR12" s="213"/>
      <c r="AS12" s="290"/>
      <c r="AU12" s="264"/>
      <c r="AV12" s="265"/>
      <c r="AW12" s="207"/>
      <c r="AX12" s="207"/>
      <c r="AY12" s="291"/>
      <c r="AZ12" s="292"/>
    </row>
    <row r="13" s="222" customFormat="true" ht="12.95" hidden="false" customHeight="true" outlineLevel="0" collapsed="false">
      <c r="A13" s="173" t="s">
        <v>100</v>
      </c>
      <c r="B13" s="293" t="n">
        <f aca="false">JAN!B45</f>
        <v>6897.14</v>
      </c>
      <c r="C13" s="107" t="n">
        <f aca="false">JAN!C45</f>
        <v>273150</v>
      </c>
      <c r="D13" s="107" t="n">
        <f aca="false">JAN!D54</f>
        <v>-4241</v>
      </c>
      <c r="E13" s="107" t="n">
        <f aca="false">JAN!E54</f>
        <v>121150</v>
      </c>
      <c r="F13" s="206" t="n">
        <f aca="false">JAN!F53</f>
        <v>-2138.13965213007</v>
      </c>
      <c r="G13" s="107" t="n">
        <f aca="false">JAN!G53</f>
        <v>6059</v>
      </c>
      <c r="H13" s="218" t="n">
        <f aca="false">JAN!H53</f>
        <v>172.18</v>
      </c>
      <c r="I13" s="107" t="n">
        <f aca="false">JAN!I53</f>
        <v>6231.18</v>
      </c>
      <c r="J13" s="218" t="n">
        <f aca="false">JAN!J53</f>
        <v>1017.31009579027</v>
      </c>
      <c r="K13" s="107" t="n">
        <f aca="false">JAN!K53</f>
        <v>7248.49009579027</v>
      </c>
      <c r="L13" s="266" t="n">
        <f aca="false">JAN!L53</f>
        <v>222.870347869927</v>
      </c>
      <c r="M13" s="107" t="n">
        <f aca="false">JAN!M53</f>
        <v>508.91</v>
      </c>
      <c r="N13" s="218" t="n">
        <f aca="false">JAN!N53</f>
        <v>0</v>
      </c>
      <c r="O13" s="107" t="n">
        <f aca="false">JAN!O53</f>
        <v>0</v>
      </c>
      <c r="P13" s="218"/>
      <c r="Q13" s="107" t="n">
        <f aca="false">JAN!Q53</f>
        <v>157.818323042276</v>
      </c>
      <c r="R13" s="218" t="n">
        <f aca="false">JAN!R53</f>
        <v>150.517523372987</v>
      </c>
      <c r="S13" s="107" t="n">
        <f aca="false">JAN!S53</f>
        <v>0</v>
      </c>
      <c r="T13" s="107" t="n">
        <f aca="false">JAN!T53</f>
        <v>96.653648</v>
      </c>
      <c r="U13" s="266" t="n">
        <f aca="false">JAN!U53</f>
        <v>-15.0987242554656</v>
      </c>
      <c r="V13" s="107" t="n">
        <f aca="false">JAN!V53</f>
        <v>5050</v>
      </c>
      <c r="W13" s="218" t="n">
        <f aca="false">JAN!W53</f>
        <v>58.28</v>
      </c>
      <c r="X13" s="107" t="n">
        <f aca="false">JAN!X53</f>
        <v>5227.2992298402</v>
      </c>
      <c r="Y13" s="218" t="n">
        <f aca="false">JAN!Y53</f>
        <v>5025.5</v>
      </c>
      <c r="Z13" s="107"/>
      <c r="AA13" s="107"/>
      <c r="AB13" s="107"/>
      <c r="AC13" s="218" t="n">
        <f aca="false">JAN!AC53</f>
        <v>1031.7</v>
      </c>
      <c r="AD13" s="107"/>
      <c r="AE13" s="107"/>
      <c r="AF13" s="208"/>
      <c r="AG13" s="210"/>
      <c r="AH13" s="218" t="n">
        <f aca="false">JAN!AH53</f>
        <v>2975</v>
      </c>
      <c r="AI13" s="218" t="n">
        <f aca="false">JAN!AI53</f>
        <v>2289</v>
      </c>
      <c r="AJ13" s="218" t="n">
        <f aca="false">JAN!AJ53</f>
        <v>0</v>
      </c>
      <c r="AK13" s="218" t="n">
        <f aca="false">JAN!AK53</f>
        <v>8592.19</v>
      </c>
      <c r="AL13" s="218" t="n">
        <f aca="false">JAN!AL53</f>
        <v>794.439747920343</v>
      </c>
      <c r="AM13" s="218" t="n">
        <f aca="false">JAN!AM53</f>
        <v>9386.62974792034</v>
      </c>
      <c r="AN13" s="212" t="n">
        <f aca="false">JAN!AN53</f>
        <v>5025.5</v>
      </c>
      <c r="AO13" s="267" t="n">
        <f aca="false">JAN!AO53</f>
        <v>201.799229840203</v>
      </c>
      <c r="AP13" s="107"/>
      <c r="AQ13" s="135"/>
      <c r="AR13" s="135"/>
      <c r="AS13" s="107"/>
      <c r="AT13" s="173"/>
      <c r="AU13" s="268"/>
      <c r="AV13" s="269" t="n">
        <f aca="false">JAN!AV53</f>
        <v>3.38</v>
      </c>
      <c r="AW13" s="207"/>
      <c r="AX13" s="207"/>
      <c r="AY13" s="294"/>
      <c r="AZ13" s="270" t="n">
        <f aca="false">JAN!AZ53</f>
        <v>389.890770159798</v>
      </c>
    </row>
    <row r="14" customFormat="false" ht="3" hidden="false" customHeight="true" outlineLevel="0" collapsed="false">
      <c r="A14" s="223"/>
      <c r="B14" s="224"/>
      <c r="C14" s="225"/>
      <c r="D14" s="226"/>
      <c r="E14" s="225"/>
      <c r="F14" s="227"/>
      <c r="G14" s="226"/>
      <c r="H14" s="295"/>
      <c r="I14" s="226"/>
      <c r="J14" s="226"/>
      <c r="K14" s="226"/>
      <c r="L14" s="226"/>
      <c r="M14" s="229"/>
      <c r="N14" s="226"/>
      <c r="O14" s="226"/>
      <c r="P14" s="230"/>
      <c r="Q14" s="226"/>
      <c r="R14" s="226"/>
      <c r="S14" s="230"/>
      <c r="T14" s="230"/>
      <c r="U14" s="231"/>
      <c r="V14" s="226"/>
      <c r="W14" s="226"/>
      <c r="X14" s="226"/>
      <c r="Y14" s="226"/>
      <c r="Z14" s="226"/>
      <c r="AA14" s="226"/>
      <c r="AB14" s="225"/>
      <c r="AC14" s="232"/>
      <c r="AD14" s="225"/>
      <c r="AE14" s="226"/>
      <c r="AF14" s="229"/>
      <c r="AG14" s="233"/>
      <c r="AH14" s="226"/>
      <c r="AI14" s="225"/>
      <c r="AJ14" s="296"/>
      <c r="AK14" s="226"/>
      <c r="AL14" s="226"/>
      <c r="AM14" s="226"/>
      <c r="AN14" s="234"/>
      <c r="AO14" s="235"/>
      <c r="AP14" s="235"/>
      <c r="AQ14" s="235"/>
      <c r="AR14" s="235"/>
      <c r="AS14" s="235"/>
      <c r="AT14" s="297"/>
      <c r="AU14" s="298"/>
      <c r="AV14" s="254"/>
      <c r="AW14" s="235"/>
      <c r="AX14" s="235"/>
      <c r="AY14" s="298"/>
      <c r="AZ14" s="299"/>
    </row>
    <row r="15" customFormat="false" ht="12.95" hidden="false" customHeight="true" outlineLevel="0" collapsed="false">
      <c r="A15" s="179" t="n">
        <v>1</v>
      </c>
      <c r="B15" s="106" t="n">
        <v>6897.11</v>
      </c>
      <c r="C15" s="107" t="n">
        <v>273041</v>
      </c>
      <c r="D15" s="207" t="n">
        <f aca="false">C15-C13</f>
        <v>-109</v>
      </c>
      <c r="E15" s="107" t="n">
        <f aca="false">C15-152000</f>
        <v>121041</v>
      </c>
      <c r="F15" s="238" t="n">
        <f aca="false">D15/$D$2</f>
        <v>-54.9533652634232</v>
      </c>
      <c r="G15" s="135" t="n">
        <v>57</v>
      </c>
      <c r="H15" s="289" t="n">
        <v>2.4</v>
      </c>
      <c r="I15" s="135" t="n">
        <f aca="false">G15+H15</f>
        <v>59.4</v>
      </c>
      <c r="J15" s="136" t="n">
        <f aca="false">IF(L15&gt;0,L15,0)</f>
        <v>0</v>
      </c>
      <c r="K15" s="135" t="n">
        <f aca="false">I15+J15</f>
        <v>59.4</v>
      </c>
      <c r="L15" s="135" t="n">
        <f aca="false">F15-(I15-AK15)</f>
        <v>-19.4533652634232</v>
      </c>
      <c r="M15" s="240" t="n">
        <v>3.9</v>
      </c>
      <c r="N15" s="135" t="n">
        <v>0</v>
      </c>
      <c r="O15" s="135" t="n">
        <v>0</v>
      </c>
      <c r="P15" s="155" t="n">
        <v>0</v>
      </c>
      <c r="Q15" s="261" t="n">
        <f aca="false">1127400/325851/1.9835*1.02</f>
        <v>1.77920888752984</v>
      </c>
      <c r="R15" s="155" t="n">
        <f aca="false">(1817192/325851/1.9835-T15)*1.04</f>
        <v>1.32424263387142</v>
      </c>
      <c r="S15" s="83" t="n">
        <v>0</v>
      </c>
      <c r="T15" s="83" t="n">
        <f aca="false">1.4791*1.04</f>
        <v>1.538264</v>
      </c>
      <c r="U15" s="96" t="n">
        <f aca="false">M15-(Q15+R15+S15+T15)</f>
        <v>-0.741715521401263</v>
      </c>
      <c r="V15" s="135" t="n">
        <v>59</v>
      </c>
      <c r="W15" s="135" t="n">
        <v>0</v>
      </c>
      <c r="X15" s="135" t="n">
        <f aca="false">M15-N15-O15-P15-Q15-R15-S15-T15-U15+V15+W15</f>
        <v>59</v>
      </c>
      <c r="Y15" s="135" t="n">
        <f aca="false">X15-AO15</f>
        <v>59</v>
      </c>
      <c r="Z15" s="135"/>
      <c r="AA15" s="135"/>
      <c r="AB15" s="107"/>
      <c r="AC15" s="136"/>
      <c r="AD15" s="107"/>
      <c r="AE15" s="135" t="n">
        <v>0</v>
      </c>
      <c r="AF15" s="240"/>
      <c r="AG15" s="241"/>
      <c r="AH15" s="135" t="n">
        <v>32</v>
      </c>
      <c r="AI15" s="107" t="n">
        <f aca="false">AI13-AH15</f>
        <v>2257</v>
      </c>
      <c r="AJ15" s="211"/>
      <c r="AK15" s="134" t="n">
        <f aca="false">N15+O15+P15+Q15+R15+S15+T15+U15+X15+AE15+AH15</f>
        <v>94.9</v>
      </c>
      <c r="AL15" s="135" t="n">
        <f aca="false">IF(L15&lt;0,L15*-1,0)</f>
        <v>19.4533652634232</v>
      </c>
      <c r="AM15" s="135" t="n">
        <f aca="false">AK15+AL15</f>
        <v>114.353365263423</v>
      </c>
      <c r="AN15" s="212" t="n">
        <f aca="false">V15</f>
        <v>59</v>
      </c>
      <c r="AO15" s="207" t="n">
        <v>0</v>
      </c>
      <c r="AP15" s="213"/>
      <c r="AQ15" s="107"/>
      <c r="AR15" s="107"/>
      <c r="AS15" s="290"/>
      <c r="AU15" s="264"/>
      <c r="AV15" s="265" t="n">
        <v>0</v>
      </c>
      <c r="AW15" s="207" t="n">
        <v>24</v>
      </c>
      <c r="AX15" s="207" t="n">
        <v>2</v>
      </c>
      <c r="AY15" s="291"/>
      <c r="AZ15" s="242" t="n">
        <f aca="false">SUM(N15,P15:U15)</f>
        <v>3.9</v>
      </c>
    </row>
    <row r="16" customFormat="false" ht="12.95" hidden="false" customHeight="true" outlineLevel="0" collapsed="false">
      <c r="A16" s="179" t="n">
        <f aca="false">A15+1</f>
        <v>2</v>
      </c>
      <c r="B16" s="106" t="n">
        <v>6897.08</v>
      </c>
      <c r="C16" s="107" t="n">
        <v>272933</v>
      </c>
      <c r="D16" s="207" t="n">
        <f aca="false">C16-C15</f>
        <v>-108</v>
      </c>
      <c r="E16" s="107" t="n">
        <f aca="false">C16-152000</f>
        <v>120933</v>
      </c>
      <c r="F16" s="238" t="n">
        <f aca="false">D16/$D$2</f>
        <v>-54.4492059490799</v>
      </c>
      <c r="G16" s="135" t="n">
        <v>47</v>
      </c>
      <c r="H16" s="289" t="n">
        <v>2.3</v>
      </c>
      <c r="I16" s="135" t="n">
        <f aca="false">G16+H16</f>
        <v>49.3</v>
      </c>
      <c r="J16" s="136" t="n">
        <f aca="false">IF(L16&gt;0,L16,0)</f>
        <v>0</v>
      </c>
      <c r="K16" s="135" t="n">
        <f aca="false">I16+J16</f>
        <v>49.3</v>
      </c>
      <c r="L16" s="135" t="n">
        <f aca="false">F16-(I16-AK16)</f>
        <v>-8.24920594907991</v>
      </c>
      <c r="M16" s="240" t="n">
        <v>4.5</v>
      </c>
      <c r="N16" s="135" t="n">
        <v>0</v>
      </c>
      <c r="O16" s="135" t="n">
        <v>0</v>
      </c>
      <c r="P16" s="155" t="n">
        <v>0</v>
      </c>
      <c r="Q16" s="261" t="n">
        <f aca="false">857500/325851/1.9835*1.02</f>
        <v>1.35326558546819</v>
      </c>
      <c r="R16" s="155" t="n">
        <f aca="false">(2285584/325851/1.9835-T16)*1.04</f>
        <v>2.66523933768776</v>
      </c>
      <c r="S16" s="83" t="n">
        <v>0</v>
      </c>
      <c r="T16" s="83" t="n">
        <f aca="false">0.9361*1.04</f>
        <v>0.973544</v>
      </c>
      <c r="U16" s="96" t="n">
        <f aca="false">M16-(Q16+R16+S16+T16)</f>
        <v>-0.492048923155954</v>
      </c>
      <c r="V16" s="135" t="n">
        <v>59</v>
      </c>
      <c r="W16" s="135" t="n">
        <v>0</v>
      </c>
      <c r="X16" s="135" t="n">
        <f aca="false">M16-N16-O16-P16-Q16-R16-S16-T16-U16+V16+W16</f>
        <v>59</v>
      </c>
      <c r="Y16" s="135" t="n">
        <f aca="false">X16-AO16</f>
        <v>59</v>
      </c>
      <c r="Z16" s="135"/>
      <c r="AA16" s="135"/>
      <c r="AB16" s="107"/>
      <c r="AC16" s="136"/>
      <c r="AD16" s="107"/>
      <c r="AE16" s="135" t="n">
        <v>0</v>
      </c>
      <c r="AF16" s="240"/>
      <c r="AG16" s="241"/>
      <c r="AH16" s="135" t="n">
        <v>32</v>
      </c>
      <c r="AI16" s="107" t="n">
        <f aca="false">AI15-AH16</f>
        <v>2225</v>
      </c>
      <c r="AJ16" s="211"/>
      <c r="AK16" s="134" t="n">
        <f aca="false">N16+O16+P16+Q16+R16+S16+T16+U16+X16+AE16+AH16</f>
        <v>95.5</v>
      </c>
      <c r="AL16" s="135" t="n">
        <f aca="false">IF(L16&lt;0,L16*-1,0)</f>
        <v>8.24920594907991</v>
      </c>
      <c r="AM16" s="135" t="n">
        <f aca="false">AK16+AL16</f>
        <v>103.74920594908</v>
      </c>
      <c r="AN16" s="212" t="n">
        <f aca="false">V16</f>
        <v>59</v>
      </c>
      <c r="AO16" s="207" t="n">
        <v>0</v>
      </c>
      <c r="AP16" s="213"/>
      <c r="AQ16" s="107"/>
      <c r="AR16" s="107"/>
      <c r="AS16" s="290"/>
      <c r="AV16" s="214" t="n">
        <v>0</v>
      </c>
      <c r="AW16" s="207" t="n">
        <v>12</v>
      </c>
      <c r="AX16" s="207" t="n">
        <v>-5</v>
      </c>
      <c r="AY16" s="291"/>
      <c r="AZ16" s="242" t="n">
        <f aca="false">SUM(N16,P16:U16)</f>
        <v>4.5</v>
      </c>
    </row>
    <row r="17" customFormat="false" ht="12.95" hidden="false" customHeight="true" outlineLevel="0" collapsed="false">
      <c r="A17" s="179" t="n">
        <f aca="false">A16+1</f>
        <v>3</v>
      </c>
      <c r="B17" s="106" t="n">
        <v>6897.05</v>
      </c>
      <c r="C17" s="107" t="n">
        <v>272824</v>
      </c>
      <c r="D17" s="207" t="n">
        <f aca="false">C17-C16</f>
        <v>-109</v>
      </c>
      <c r="E17" s="107" t="n">
        <f aca="false">C17-152000</f>
        <v>120824</v>
      </c>
      <c r="F17" s="238" t="n">
        <f aca="false">D17/$D$2</f>
        <v>-54.9533652634232</v>
      </c>
      <c r="G17" s="135" t="n">
        <v>45</v>
      </c>
      <c r="H17" s="289" t="n">
        <v>2.2</v>
      </c>
      <c r="I17" s="135" t="n">
        <f aca="false">G17+H17</f>
        <v>47.2</v>
      </c>
      <c r="J17" s="136" t="n">
        <f aca="false">IF(L17&gt;0,L17,0)</f>
        <v>0</v>
      </c>
      <c r="K17" s="135" t="n">
        <f aca="false">I17+J17</f>
        <v>47.2</v>
      </c>
      <c r="L17" s="135" t="n">
        <f aca="false">F17-(I17-AK17)</f>
        <v>-6.95336526342324</v>
      </c>
      <c r="M17" s="240" t="n">
        <v>4.2</v>
      </c>
      <c r="N17" s="135" t="n">
        <v>0</v>
      </c>
      <c r="O17" s="135" t="n">
        <v>0</v>
      </c>
      <c r="P17" s="155" t="n">
        <v>0</v>
      </c>
      <c r="Q17" s="261" t="n">
        <f aca="false">981500/325851/1.9835*1.02</f>
        <v>1.54895646896447</v>
      </c>
      <c r="R17" s="155" t="n">
        <f aca="false">(1905047/325851/1.9835-T17)*1.04</f>
        <v>1.86558548237512</v>
      </c>
      <c r="S17" s="83" t="n">
        <v>0</v>
      </c>
      <c r="T17" s="83" t="n">
        <f aca="false">1.1093*1.04</f>
        <v>1.153672</v>
      </c>
      <c r="U17" s="96" t="n">
        <f aca="false">M17-(Q17+R17+S17+T17)</f>
        <v>-0.368213951339587</v>
      </c>
      <c r="V17" s="135" t="n">
        <v>59</v>
      </c>
      <c r="W17" s="135" t="n">
        <v>0</v>
      </c>
      <c r="X17" s="135" t="n">
        <f aca="false">M17-N17-O17-P17-Q17-R17-S17-T17-U17+V17+W17</f>
        <v>59</v>
      </c>
      <c r="Y17" s="135" t="n">
        <f aca="false">X17-AO17</f>
        <v>59</v>
      </c>
      <c r="Z17" s="135"/>
      <c r="AA17" s="135"/>
      <c r="AB17" s="107"/>
      <c r="AC17" s="136"/>
      <c r="AD17" s="107"/>
      <c r="AE17" s="135" t="n">
        <v>0</v>
      </c>
      <c r="AF17" s="240"/>
      <c r="AG17" s="241"/>
      <c r="AH17" s="135" t="n">
        <v>32</v>
      </c>
      <c r="AI17" s="107" t="n">
        <f aca="false">AI16-AH17</f>
        <v>2193</v>
      </c>
      <c r="AJ17" s="211"/>
      <c r="AK17" s="134" t="n">
        <f aca="false">N17+O17+P17+Q17+R17+S17+T17+U17+X17+AE17+AH17</f>
        <v>95.2</v>
      </c>
      <c r="AL17" s="135" t="n">
        <f aca="false">IF(L17&lt;0,L17*-1,0)</f>
        <v>6.95336526342324</v>
      </c>
      <c r="AM17" s="135" t="n">
        <f aca="false">AK17+AL17</f>
        <v>102.153365263423</v>
      </c>
      <c r="AN17" s="212" t="n">
        <f aca="false">V17</f>
        <v>59</v>
      </c>
      <c r="AO17" s="207" t="n">
        <v>0</v>
      </c>
      <c r="AP17" s="213"/>
      <c r="AQ17" s="107"/>
      <c r="AR17" s="107"/>
      <c r="AS17" s="290"/>
      <c r="AV17" s="214" t="n">
        <v>0</v>
      </c>
      <c r="AW17" s="207" t="n">
        <v>19</v>
      </c>
      <c r="AX17" s="207" t="n">
        <v>-11</v>
      </c>
      <c r="AY17" s="291"/>
      <c r="AZ17" s="242" t="n">
        <f aca="false">SUM(N17,P17:U17)</f>
        <v>4.2</v>
      </c>
    </row>
    <row r="18" customFormat="false" ht="12.95" hidden="false" customHeight="true" outlineLevel="0" collapsed="false">
      <c r="A18" s="179" t="n">
        <f aca="false">A17+1</f>
        <v>4</v>
      </c>
      <c r="B18" s="106" t="n">
        <v>6897.02</v>
      </c>
      <c r="C18" s="107" t="n">
        <v>272716</v>
      </c>
      <c r="D18" s="207" t="n">
        <f aca="false">C18-C17</f>
        <v>-108</v>
      </c>
      <c r="E18" s="107" t="n">
        <f aca="false">C18-152000</f>
        <v>120716</v>
      </c>
      <c r="F18" s="238" t="n">
        <f aca="false">D18/$D$2</f>
        <v>-54.4492059490799</v>
      </c>
      <c r="G18" s="135" t="n">
        <v>47</v>
      </c>
      <c r="H18" s="289" t="n">
        <v>2.1</v>
      </c>
      <c r="I18" s="135" t="n">
        <f aca="false">G18+H18</f>
        <v>49.1</v>
      </c>
      <c r="J18" s="136" t="n">
        <f aca="false">IF(L18&gt;0,L18,0)</f>
        <v>0</v>
      </c>
      <c r="K18" s="135" t="n">
        <f aca="false">I18+J18</f>
        <v>49.1</v>
      </c>
      <c r="L18" s="135" t="n">
        <f aca="false">F18-(I18-AK18)</f>
        <v>-8.34920594907991</v>
      </c>
      <c r="M18" s="240" t="n">
        <v>4.2</v>
      </c>
      <c r="N18" s="135" t="n">
        <v>0</v>
      </c>
      <c r="O18" s="135" t="n">
        <v>0</v>
      </c>
      <c r="P18" s="155" t="n">
        <v>0</v>
      </c>
      <c r="Q18" s="261" t="n">
        <f aca="false">996800/325851/1.9835*1.02</f>
        <v>1.57310219894425</v>
      </c>
      <c r="R18" s="155" t="n">
        <f aca="false">(1735117/325851/1.9835-T18)*1.04</f>
        <v>1.49394244284142</v>
      </c>
      <c r="S18" s="83" t="n">
        <v>0</v>
      </c>
      <c r="T18" s="83" t="n">
        <f aca="false">1.2001*1.04</f>
        <v>1.248104</v>
      </c>
      <c r="U18" s="96" t="n">
        <f aca="false">M18-(Q18+R18+S18+T18)</f>
        <v>-0.115148641785665</v>
      </c>
      <c r="V18" s="135" t="n">
        <v>59</v>
      </c>
      <c r="W18" s="135" t="n">
        <v>0</v>
      </c>
      <c r="X18" s="135" t="n">
        <f aca="false">M18-N18-O18-P18-Q18-R18-S18-T18-U18+V18+W18</f>
        <v>59</v>
      </c>
      <c r="Y18" s="135" t="n">
        <f aca="false">X18-AO18</f>
        <v>59</v>
      </c>
      <c r="Z18" s="135"/>
      <c r="AA18" s="135"/>
      <c r="AB18" s="107"/>
      <c r="AC18" s="136"/>
      <c r="AD18" s="107"/>
      <c r="AE18" s="135" t="n">
        <v>0</v>
      </c>
      <c r="AF18" s="240"/>
      <c r="AG18" s="241"/>
      <c r="AH18" s="135" t="n">
        <v>32</v>
      </c>
      <c r="AI18" s="107" t="n">
        <f aca="false">AI17-AH18</f>
        <v>2161</v>
      </c>
      <c r="AJ18" s="211"/>
      <c r="AK18" s="134" t="n">
        <f aca="false">N18+O18+P18+Q18+R18+S18+T18+U18+X18+AE18+AH18</f>
        <v>95.2</v>
      </c>
      <c r="AL18" s="135" t="n">
        <f aca="false">IF(L18&lt;0,L18*-1,0)</f>
        <v>8.34920594907991</v>
      </c>
      <c r="AM18" s="135" t="n">
        <f aca="false">AK18+AL18</f>
        <v>103.54920594908</v>
      </c>
      <c r="AN18" s="212" t="n">
        <f aca="false">V18</f>
        <v>59</v>
      </c>
      <c r="AO18" s="207" t="n">
        <v>0</v>
      </c>
      <c r="AP18" s="213"/>
      <c r="AQ18" s="107"/>
      <c r="AR18" s="107"/>
      <c r="AS18" s="290"/>
      <c r="AV18" s="214" t="n">
        <v>0</v>
      </c>
      <c r="AW18" s="207" t="n">
        <v>41</v>
      </c>
      <c r="AX18" s="207" t="n">
        <v>13</v>
      </c>
      <c r="AY18" s="291"/>
      <c r="AZ18" s="242" t="n">
        <f aca="false">SUM(N18,P18:U18)</f>
        <v>4.2</v>
      </c>
    </row>
    <row r="19" customFormat="false" ht="12.95" hidden="false" customHeight="true" outlineLevel="0" collapsed="false">
      <c r="A19" s="179" t="n">
        <f aca="false">A18+1</f>
        <v>5</v>
      </c>
      <c r="B19" s="106" t="n">
        <v>6896.99</v>
      </c>
      <c r="C19" s="107" t="n">
        <v>272607</v>
      </c>
      <c r="D19" s="207" t="n">
        <f aca="false">C19-C18</f>
        <v>-109</v>
      </c>
      <c r="E19" s="107" t="n">
        <f aca="false">C19-152000</f>
        <v>120607</v>
      </c>
      <c r="F19" s="238" t="n">
        <f aca="false">D19/$D$2</f>
        <v>-54.9533652634232</v>
      </c>
      <c r="G19" s="135" t="n">
        <v>56</v>
      </c>
      <c r="H19" s="289" t="n">
        <v>2.2</v>
      </c>
      <c r="I19" s="135" t="n">
        <f aca="false">G19+H19</f>
        <v>58.2</v>
      </c>
      <c r="J19" s="136" t="n">
        <f aca="false">IF(L19&gt;0,L19,0)</f>
        <v>0</v>
      </c>
      <c r="K19" s="135" t="n">
        <f aca="false">I19+J19</f>
        <v>58.2</v>
      </c>
      <c r="L19" s="135" t="n">
        <f aca="false">F19-(I19-AK19)</f>
        <v>-17.9533652634232</v>
      </c>
      <c r="M19" s="240" t="n">
        <v>4.2</v>
      </c>
      <c r="N19" s="135" t="n">
        <v>0</v>
      </c>
      <c r="O19" s="135" t="n">
        <v>0</v>
      </c>
      <c r="P19" s="155" t="n">
        <v>0</v>
      </c>
      <c r="Q19" s="261" t="n">
        <f aca="false">1149600/325851/1.9835*1.02</f>
        <v>1.81424386828482</v>
      </c>
      <c r="R19" s="155" t="n">
        <f aca="false">(1982095/325851/1.9835-T19)*1.04</f>
        <v>1.89135386555733</v>
      </c>
      <c r="S19" s="83" t="n">
        <v>0</v>
      </c>
      <c r="T19" s="83" t="n">
        <f aca="false">1.2001*1.04</f>
        <v>1.248104</v>
      </c>
      <c r="U19" s="96" t="n">
        <f aca="false">M19-(Q19+R19+S19+T19)</f>
        <v>-0.75370173384215</v>
      </c>
      <c r="V19" s="135" t="n">
        <v>59</v>
      </c>
      <c r="W19" s="135" t="n">
        <v>0</v>
      </c>
      <c r="X19" s="135" t="n">
        <f aca="false">M19-N19-O19-P19-Q19-R19-S19-T19-U19+V19+W19</f>
        <v>59</v>
      </c>
      <c r="Y19" s="135" t="n">
        <f aca="false">X19-AO19</f>
        <v>59</v>
      </c>
      <c r="Z19" s="135"/>
      <c r="AA19" s="135"/>
      <c r="AB19" s="107"/>
      <c r="AC19" s="136"/>
      <c r="AD19" s="107"/>
      <c r="AE19" s="135" t="n">
        <v>0</v>
      </c>
      <c r="AF19" s="240"/>
      <c r="AG19" s="241"/>
      <c r="AH19" s="135" t="n">
        <v>32</v>
      </c>
      <c r="AI19" s="107" t="n">
        <f aca="false">AI18-AH19</f>
        <v>2129</v>
      </c>
      <c r="AJ19" s="211"/>
      <c r="AK19" s="134" t="n">
        <f aca="false">N19+O19+P19+Q19+R19+S19+T19+U19+X19+AE19+AH19</f>
        <v>95.2</v>
      </c>
      <c r="AL19" s="135" t="n">
        <f aca="false">IF(L19&lt;0,L19*-1,0)</f>
        <v>17.9533652634232</v>
      </c>
      <c r="AM19" s="135" t="n">
        <f aca="false">AK19+AL19</f>
        <v>113.153365263423</v>
      </c>
      <c r="AN19" s="212" t="n">
        <f aca="false">V19</f>
        <v>59</v>
      </c>
      <c r="AO19" s="207" t="n">
        <v>0</v>
      </c>
      <c r="AP19" s="213"/>
      <c r="AQ19" s="107"/>
      <c r="AR19" s="107"/>
      <c r="AS19" s="290"/>
      <c r="AV19" s="214" t="n">
        <v>0.01</v>
      </c>
      <c r="AW19" s="207" t="n">
        <v>40</v>
      </c>
      <c r="AX19" s="207" t="n">
        <v>20</v>
      </c>
      <c r="AY19" s="291"/>
      <c r="AZ19" s="242" t="n">
        <f aca="false">SUM(N19,P19:U19)</f>
        <v>4.2</v>
      </c>
    </row>
    <row r="20" customFormat="false" ht="12.95" hidden="false" customHeight="true" outlineLevel="0" collapsed="false">
      <c r="A20" s="179" t="n">
        <f aca="false">A19+1</f>
        <v>6</v>
      </c>
      <c r="B20" s="106" t="n">
        <v>6896.96</v>
      </c>
      <c r="C20" s="107" t="n">
        <v>272500</v>
      </c>
      <c r="D20" s="207" t="n">
        <f aca="false">C20-C19</f>
        <v>-107</v>
      </c>
      <c r="E20" s="107" t="n">
        <f aca="false">C20-152000</f>
        <v>120500</v>
      </c>
      <c r="F20" s="238" t="n">
        <f aca="false">D20/$D$2</f>
        <v>-53.9450466347366</v>
      </c>
      <c r="G20" s="135" t="n">
        <v>48</v>
      </c>
      <c r="H20" s="289" t="n">
        <v>2</v>
      </c>
      <c r="I20" s="135" t="n">
        <f aca="false">G20+H20</f>
        <v>50</v>
      </c>
      <c r="J20" s="136" t="n">
        <f aca="false">IF(L20&gt;0,L20,0)</f>
        <v>0</v>
      </c>
      <c r="K20" s="135" t="n">
        <f aca="false">I20+J20</f>
        <v>50</v>
      </c>
      <c r="L20" s="135" t="n">
        <f aca="false">F20-(I20-AK20)</f>
        <v>-8.74504663473658</v>
      </c>
      <c r="M20" s="240" t="n">
        <v>4.2</v>
      </c>
      <c r="N20" s="135" t="n">
        <v>0</v>
      </c>
      <c r="O20" s="135" t="n">
        <v>0</v>
      </c>
      <c r="P20" s="155" t="n">
        <v>0</v>
      </c>
      <c r="Q20" s="261" t="n">
        <f aca="false">1174800/325851/1.9835*1.02</f>
        <v>1.85401330589858</v>
      </c>
      <c r="R20" s="155" t="n">
        <f aca="false">(1976968/325851/1.9835-T20)*1.04</f>
        <v>1.88310402806466</v>
      </c>
      <c r="S20" s="83" t="n">
        <v>0</v>
      </c>
      <c r="T20" s="83" t="n">
        <f aca="false">1.2001*1.04</f>
        <v>1.248104</v>
      </c>
      <c r="U20" s="96" t="n">
        <f aca="false">M20-(Q20+R20+S20+T20)</f>
        <v>-0.785221333963239</v>
      </c>
      <c r="V20" s="135" t="n">
        <v>59</v>
      </c>
      <c r="W20" s="135" t="n">
        <v>0</v>
      </c>
      <c r="X20" s="135" t="n">
        <f aca="false">M20-N20-O20-P20-Q20-R20-S20-T20-U20+V20+W20</f>
        <v>59</v>
      </c>
      <c r="Y20" s="135" t="n">
        <f aca="false">X20-AO20</f>
        <v>59</v>
      </c>
      <c r="Z20" s="135"/>
      <c r="AA20" s="135"/>
      <c r="AB20" s="107"/>
      <c r="AC20" s="136"/>
      <c r="AD20" s="107"/>
      <c r="AE20" s="135" t="n">
        <v>0</v>
      </c>
      <c r="AF20" s="240"/>
      <c r="AG20" s="241"/>
      <c r="AH20" s="135" t="n">
        <v>32</v>
      </c>
      <c r="AI20" s="107" t="n">
        <f aca="false">AI19-AH20</f>
        <v>2097</v>
      </c>
      <c r="AJ20" s="211"/>
      <c r="AK20" s="134" t="n">
        <f aca="false">N20+O20+P20+Q20+R20+S20+T20+U20+X20+AE20+AH20</f>
        <v>95.2</v>
      </c>
      <c r="AL20" s="135" t="n">
        <f aca="false">IF(L20&lt;0,L20*-1,0)</f>
        <v>8.74504663473658</v>
      </c>
      <c r="AM20" s="135" t="n">
        <f aca="false">AK20+AL20</f>
        <v>103.945046634737</v>
      </c>
      <c r="AN20" s="212" t="n">
        <f aca="false">V20</f>
        <v>59</v>
      </c>
      <c r="AO20" s="207" t="n">
        <v>0</v>
      </c>
      <c r="AP20" s="135"/>
      <c r="AQ20" s="107"/>
      <c r="AR20" s="107"/>
      <c r="AS20" s="290"/>
      <c r="AV20" s="214" t="n">
        <v>0</v>
      </c>
      <c r="AW20" s="207" t="n">
        <v>32</v>
      </c>
      <c r="AX20" s="207" t="n">
        <v>15</v>
      </c>
      <c r="AY20" s="291"/>
      <c r="AZ20" s="242" t="n">
        <f aca="false">SUM(N20,P20:U20)</f>
        <v>4.2</v>
      </c>
    </row>
    <row r="21" customFormat="false" ht="12.95" hidden="false" customHeight="true" outlineLevel="0" collapsed="false">
      <c r="A21" s="179" t="n">
        <f aca="false">A20+1</f>
        <v>7</v>
      </c>
      <c r="B21" s="106" t="n">
        <v>6896.95</v>
      </c>
      <c r="C21" s="107" t="n">
        <v>272464</v>
      </c>
      <c r="D21" s="207" t="n">
        <f aca="false">C21-C20</f>
        <v>-36</v>
      </c>
      <c r="E21" s="107" t="n">
        <f aca="false">C21-152000</f>
        <v>120464</v>
      </c>
      <c r="F21" s="238" t="n">
        <f aca="false">D21/$D$2</f>
        <v>-18.14973531636</v>
      </c>
      <c r="G21" s="135" t="n">
        <v>46</v>
      </c>
      <c r="H21" s="289" t="n">
        <v>2</v>
      </c>
      <c r="I21" s="135" t="n">
        <f aca="false">G21+H21</f>
        <v>48</v>
      </c>
      <c r="J21" s="136" t="n">
        <f aca="false">IF(L21&gt;0,L21,0)</f>
        <v>0</v>
      </c>
      <c r="K21" s="135" t="n">
        <f aca="false">I21+J21</f>
        <v>48</v>
      </c>
      <c r="L21" s="135" t="n">
        <f aca="false">F21-(I21-AK21)</f>
        <v>-10.94973531636</v>
      </c>
      <c r="M21" s="240" t="n">
        <v>4.2</v>
      </c>
      <c r="N21" s="135" t="n">
        <v>0</v>
      </c>
      <c r="O21" s="135" t="n">
        <v>0</v>
      </c>
      <c r="P21" s="155" t="n">
        <v>0</v>
      </c>
      <c r="Q21" s="261" t="n">
        <f aca="false">976400/325851/1.9835*1.02</f>
        <v>1.54090789230454</v>
      </c>
      <c r="R21" s="155" t="n">
        <f aca="false">(1859395/325851/1.9835-T21)*1.04</f>
        <v>1.78250077129743</v>
      </c>
      <c r="S21" s="83" t="n">
        <v>0</v>
      </c>
      <c r="T21" s="83" t="n">
        <f aca="false">1.1182*1.04</f>
        <v>1.162928</v>
      </c>
      <c r="U21" s="96" t="n">
        <f aca="false">M21-(Q21+R21+S21+T21)</f>
        <v>-0.286336663601965</v>
      </c>
      <c r="V21" s="135" t="n">
        <v>19</v>
      </c>
      <c r="W21" s="135" t="n">
        <v>0</v>
      </c>
      <c r="X21" s="135" t="n">
        <f aca="false">M21-N21-O21-P21-Q21-R21-S21-T21-U21+V21+W21</f>
        <v>19</v>
      </c>
      <c r="Y21" s="135" t="n">
        <f aca="false">X21-AO21</f>
        <v>19</v>
      </c>
      <c r="Z21" s="135"/>
      <c r="AA21" s="135"/>
      <c r="AB21" s="107"/>
      <c r="AC21" s="136"/>
      <c r="AD21" s="107"/>
      <c r="AE21" s="135" t="n">
        <v>0</v>
      </c>
      <c r="AF21" s="240"/>
      <c r="AG21" s="241"/>
      <c r="AH21" s="135" t="n">
        <v>32</v>
      </c>
      <c r="AI21" s="107" t="n">
        <f aca="false">AI20-AH21</f>
        <v>2065</v>
      </c>
      <c r="AJ21" s="211"/>
      <c r="AK21" s="134" t="n">
        <f aca="false">N21+O21+P21+Q21+R21+S21+T21+U21+X21+AE21+AH21</f>
        <v>55.2</v>
      </c>
      <c r="AL21" s="135" t="n">
        <f aca="false">IF(L21&lt;0,L21*-1,0)</f>
        <v>10.94973531636</v>
      </c>
      <c r="AM21" s="135" t="n">
        <f aca="false">AK21+AL21</f>
        <v>66.14973531636</v>
      </c>
      <c r="AN21" s="212" t="n">
        <f aca="false">V21</f>
        <v>19</v>
      </c>
      <c r="AO21" s="207" t="n">
        <v>0</v>
      </c>
      <c r="AP21" s="135"/>
      <c r="AQ21" s="107"/>
      <c r="AR21" s="107"/>
      <c r="AS21" s="290"/>
      <c r="AV21" s="214" t="n">
        <v>0</v>
      </c>
      <c r="AW21" s="207" t="n">
        <v>36</v>
      </c>
      <c r="AX21" s="207" t="n">
        <v>13</v>
      </c>
      <c r="AY21" s="291"/>
      <c r="AZ21" s="242" t="n">
        <f aca="false">SUM(N21,P21:U21)</f>
        <v>4.2</v>
      </c>
    </row>
    <row r="22" customFormat="false" ht="12.95" hidden="false" customHeight="true" outlineLevel="0" collapsed="false">
      <c r="A22" s="179" t="n">
        <f aca="false">A21+1</f>
        <v>8</v>
      </c>
      <c r="B22" s="106" t="n">
        <v>6896.97</v>
      </c>
      <c r="C22" s="107" t="n">
        <v>272536</v>
      </c>
      <c r="D22" s="207" t="n">
        <f aca="false">C22-C21</f>
        <v>72</v>
      </c>
      <c r="E22" s="107" t="n">
        <f aca="false">C22-152000</f>
        <v>120536</v>
      </c>
      <c r="F22" s="238" t="n">
        <f aca="false">D22/$D$2</f>
        <v>36.2994706327199</v>
      </c>
      <c r="G22" s="135" t="n">
        <v>54</v>
      </c>
      <c r="H22" s="289" t="n">
        <v>2.1</v>
      </c>
      <c r="I22" s="135" t="n">
        <f aca="false">G22+H22</f>
        <v>56.1</v>
      </c>
      <c r="J22" s="136" t="n">
        <f aca="false">IF(L22&gt;0,L22,0)</f>
        <v>16.1994706327199</v>
      </c>
      <c r="K22" s="135" t="n">
        <f aca="false">I22+J22</f>
        <v>72.2994706327199</v>
      </c>
      <c r="L22" s="135" t="n">
        <f aca="false">F22-(I22-AK22)</f>
        <v>16.1994706327199</v>
      </c>
      <c r="M22" s="240" t="n">
        <v>4</v>
      </c>
      <c r="N22" s="135" t="n">
        <v>0</v>
      </c>
      <c r="O22" s="135" t="n">
        <v>0</v>
      </c>
      <c r="P22" s="155" t="n">
        <v>0</v>
      </c>
      <c r="Q22" s="261" t="n">
        <f aca="false">887300/325851/1.9835*1.02</f>
        <v>1.40029452359875</v>
      </c>
      <c r="R22" s="155" t="n">
        <f aca="false">(2751215/325851/1.9835-T22)*1.04</f>
        <v>3.21752516620914</v>
      </c>
      <c r="S22" s="83" t="n">
        <v>0</v>
      </c>
      <c r="T22" s="83" t="n">
        <f aca="false">1.1182*1.04</f>
        <v>1.162928</v>
      </c>
      <c r="U22" s="96" t="n">
        <f aca="false">M22-(Q22+R22+S22+T22)</f>
        <v>-1.78074768980789</v>
      </c>
      <c r="V22" s="135" t="n">
        <v>0</v>
      </c>
      <c r="W22" s="135" t="n">
        <v>0</v>
      </c>
      <c r="X22" s="135" t="n">
        <f aca="false">M22-N22-O22-P22-Q22-R22-S22-T22-U22+V22+W22</f>
        <v>0</v>
      </c>
      <c r="Y22" s="135" t="n">
        <f aca="false">X22-AO22</f>
        <v>0</v>
      </c>
      <c r="Z22" s="135"/>
      <c r="AA22" s="135"/>
      <c r="AB22" s="107"/>
      <c r="AC22" s="136"/>
      <c r="AD22" s="107"/>
      <c r="AE22" s="135" t="n">
        <v>0</v>
      </c>
      <c r="AF22" s="240"/>
      <c r="AG22" s="241"/>
      <c r="AH22" s="135" t="n">
        <v>32</v>
      </c>
      <c r="AI22" s="107" t="n">
        <f aca="false">AI21-AH22</f>
        <v>2033</v>
      </c>
      <c r="AJ22" s="211"/>
      <c r="AK22" s="134" t="n">
        <f aca="false">N22+O22+P22+Q22+R22+S22+T22+U22+X22+AE22+AH22</f>
        <v>36</v>
      </c>
      <c r="AL22" s="135" t="n">
        <f aca="false">IF(L22&lt;0,L22*-1,0)</f>
        <v>0</v>
      </c>
      <c r="AM22" s="135" t="n">
        <f aca="false">AK22+AL22</f>
        <v>36</v>
      </c>
      <c r="AN22" s="212" t="n">
        <f aca="false">V22</f>
        <v>0</v>
      </c>
      <c r="AO22" s="207" t="n">
        <v>0</v>
      </c>
      <c r="AP22" s="135"/>
      <c r="AQ22" s="107"/>
      <c r="AR22" s="107"/>
      <c r="AS22" s="290"/>
      <c r="AV22" s="214" t="n">
        <v>0.1</v>
      </c>
      <c r="AW22" s="207" t="n">
        <v>34</v>
      </c>
      <c r="AX22" s="207" t="n">
        <v>11</v>
      </c>
      <c r="AY22" s="291"/>
      <c r="AZ22" s="242" t="n">
        <f aca="false">SUM(N22,P22:U22)</f>
        <v>4</v>
      </c>
    </row>
    <row r="23" customFormat="false" ht="12.95" hidden="false" customHeight="true" outlineLevel="0" collapsed="false">
      <c r="A23" s="179" t="n">
        <f aca="false">A22+1</f>
        <v>9</v>
      </c>
      <c r="B23" s="106" t="n">
        <v>6896.99</v>
      </c>
      <c r="C23" s="107" t="n">
        <v>272607</v>
      </c>
      <c r="D23" s="207" t="n">
        <f aca="false">C23-C22</f>
        <v>71</v>
      </c>
      <c r="E23" s="107" t="n">
        <f aca="false">C23-152000</f>
        <v>120607</v>
      </c>
      <c r="F23" s="238" t="n">
        <f aca="false">D23/$D$2</f>
        <v>35.7953113183766</v>
      </c>
      <c r="G23" s="135" t="n">
        <v>46</v>
      </c>
      <c r="H23" s="289" t="n">
        <v>2</v>
      </c>
      <c r="I23" s="135" t="n">
        <f aca="false">G23+H23</f>
        <v>48</v>
      </c>
      <c r="J23" s="136" t="n">
        <f aca="false">IF(L23&gt;0,L23,0)</f>
        <v>23.6953113183766</v>
      </c>
      <c r="K23" s="135" t="n">
        <f aca="false">I23+J23</f>
        <v>71.6953113183766</v>
      </c>
      <c r="L23" s="135" t="n">
        <f aca="false">F23-(I23-AK23)</f>
        <v>23.6953113183766</v>
      </c>
      <c r="M23" s="240" t="n">
        <v>3.9</v>
      </c>
      <c r="N23" s="135" t="n">
        <v>0</v>
      </c>
      <c r="O23" s="135" t="n">
        <v>0</v>
      </c>
      <c r="P23" s="155" t="n">
        <v>0</v>
      </c>
      <c r="Q23" s="261" t="n">
        <f aca="false">914100/325851/1.9835*1.02</f>
        <v>1.44258900487052</v>
      </c>
      <c r="R23" s="155" t="n">
        <f aca="false">((2231665+208006)/325851/1.9835-T23)*1.04</f>
        <v>2.71622082218414</v>
      </c>
      <c r="S23" s="83" t="n">
        <v>0</v>
      </c>
      <c r="T23" s="83" t="n">
        <f aca="false">1.1182*1.04</f>
        <v>1.162928</v>
      </c>
      <c r="U23" s="96" t="n">
        <f aca="false">M23-(Q23+R23+S23+T23)</f>
        <v>-1.42173782705467</v>
      </c>
      <c r="V23" s="135" t="n">
        <v>0</v>
      </c>
      <c r="W23" s="135" t="n">
        <v>0</v>
      </c>
      <c r="X23" s="135" t="n">
        <f aca="false">M23-N23-O23-P23-Q23-R23-S23-T23-U23+V23+W23</f>
        <v>0</v>
      </c>
      <c r="Y23" s="135" t="n">
        <f aca="false">X23-AO23</f>
        <v>0</v>
      </c>
      <c r="Z23" s="135"/>
      <c r="AA23" s="135"/>
      <c r="AB23" s="107"/>
      <c r="AC23" s="136"/>
      <c r="AD23" s="107"/>
      <c r="AE23" s="135" t="n">
        <v>0</v>
      </c>
      <c r="AF23" s="240"/>
      <c r="AG23" s="241"/>
      <c r="AH23" s="135" t="n">
        <v>32</v>
      </c>
      <c r="AI23" s="107" t="n">
        <f aca="false">AI22-AH23</f>
        <v>2001</v>
      </c>
      <c r="AJ23" s="211"/>
      <c r="AK23" s="134" t="n">
        <f aca="false">N23+O23+P23+Q23+R23+S23+T23+U23+X23+AE23+AH23</f>
        <v>35.9</v>
      </c>
      <c r="AL23" s="135" t="n">
        <f aca="false">IF(L23&lt;0,L23*-1,0)</f>
        <v>0</v>
      </c>
      <c r="AM23" s="135" t="n">
        <f aca="false">AK23+AL23</f>
        <v>35.9</v>
      </c>
      <c r="AN23" s="212" t="n">
        <f aca="false">V23</f>
        <v>0</v>
      </c>
      <c r="AO23" s="207" t="n">
        <v>0</v>
      </c>
      <c r="AP23" s="135"/>
      <c r="AQ23" s="107"/>
      <c r="AR23" s="107"/>
      <c r="AS23" s="290"/>
      <c r="AV23" s="214" t="n">
        <v>0</v>
      </c>
      <c r="AW23" s="213" t="n">
        <v>27</v>
      </c>
      <c r="AX23" s="207" t="n">
        <v>5</v>
      </c>
      <c r="AY23" s="291"/>
      <c r="AZ23" s="242" t="n">
        <f aca="false">SUM(N23,P23:U23)</f>
        <v>3.9</v>
      </c>
    </row>
    <row r="24" customFormat="false" ht="12.95" hidden="false" customHeight="true" outlineLevel="0" collapsed="false">
      <c r="A24" s="179" t="n">
        <f aca="false">A23+1</f>
        <v>10</v>
      </c>
      <c r="B24" s="106" t="n">
        <v>6896.99</v>
      </c>
      <c r="C24" s="107" t="n">
        <v>272607</v>
      </c>
      <c r="D24" s="207" t="n">
        <f aca="false">C24-C23</f>
        <v>0</v>
      </c>
      <c r="E24" s="107" t="n">
        <f aca="false">C24-152000</f>
        <v>120607</v>
      </c>
      <c r="F24" s="238" t="n">
        <f aca="false">D24/$D$2</f>
        <v>0</v>
      </c>
      <c r="G24" s="135" t="n">
        <v>46</v>
      </c>
      <c r="H24" s="289" t="n">
        <v>2</v>
      </c>
      <c r="I24" s="135" t="n">
        <f aca="false">G24+H24</f>
        <v>48</v>
      </c>
      <c r="J24" s="136" t="n">
        <f aca="false">IF(L24&gt;0,L24,0)</f>
        <v>0</v>
      </c>
      <c r="K24" s="135" t="n">
        <f aca="false">I24+J24</f>
        <v>48</v>
      </c>
      <c r="L24" s="135" t="n">
        <f aca="false">F24-(I24-AK24)</f>
        <v>-11.9</v>
      </c>
      <c r="M24" s="240" t="n">
        <v>4.1</v>
      </c>
      <c r="N24" s="135" t="n">
        <v>0</v>
      </c>
      <c r="O24" s="135" t="n">
        <v>0</v>
      </c>
      <c r="P24" s="155" t="n">
        <v>0</v>
      </c>
      <c r="Q24" s="261" t="n">
        <f aca="false">843900/325851/1.9835*1.02</f>
        <v>1.33180271437505</v>
      </c>
      <c r="R24" s="155" t="n">
        <f aca="false">(2041651/325851/1.9835-T24)*1.04</f>
        <v>2.07576825365825</v>
      </c>
      <c r="S24" s="83" t="n">
        <v>0</v>
      </c>
      <c r="T24" s="83" t="n">
        <f aca="false">1.1182*1.04</f>
        <v>1.162928</v>
      </c>
      <c r="U24" s="96" t="n">
        <f aca="false">M24-(Q24+R24+S24+T24)</f>
        <v>-0.470498968033302</v>
      </c>
      <c r="V24" s="135" t="n">
        <v>0</v>
      </c>
      <c r="W24" s="135" t="n">
        <v>0</v>
      </c>
      <c r="X24" s="135" t="n">
        <f aca="false">M24-N24-O24-P24-Q24-R24-S24-T24-U24+V24+W24</f>
        <v>0</v>
      </c>
      <c r="Y24" s="135" t="n">
        <f aca="false">X24-AO24</f>
        <v>0</v>
      </c>
      <c r="Z24" s="135"/>
      <c r="AA24" s="135"/>
      <c r="AB24" s="107"/>
      <c r="AC24" s="136"/>
      <c r="AD24" s="107"/>
      <c r="AE24" s="135" t="n">
        <v>0</v>
      </c>
      <c r="AF24" s="240"/>
      <c r="AG24" s="241"/>
      <c r="AH24" s="135" t="n">
        <v>32</v>
      </c>
      <c r="AI24" s="107" t="n">
        <f aca="false">AI23-AH24</f>
        <v>1969</v>
      </c>
      <c r="AJ24" s="211"/>
      <c r="AK24" s="134" t="n">
        <f aca="false">N24+O24+P24+Q24+R24+S24+T24+U24+X24+AE24+AH24</f>
        <v>36.1</v>
      </c>
      <c r="AL24" s="135" t="n">
        <f aca="false">IF(L24&lt;0,L24*-1,0)</f>
        <v>11.9</v>
      </c>
      <c r="AM24" s="135" t="n">
        <f aca="false">AK24+AL24</f>
        <v>48</v>
      </c>
      <c r="AN24" s="212" t="n">
        <f aca="false">V24</f>
        <v>0</v>
      </c>
      <c r="AO24" s="207" t="n">
        <v>0</v>
      </c>
      <c r="AP24" s="135"/>
      <c r="AQ24" s="107"/>
      <c r="AR24" s="107"/>
      <c r="AS24" s="290"/>
      <c r="AV24" s="214" t="n">
        <v>0</v>
      </c>
      <c r="AW24" s="207" t="n">
        <v>32</v>
      </c>
      <c r="AX24" s="207" t="n">
        <v>-1</v>
      </c>
      <c r="AY24" s="291"/>
      <c r="AZ24" s="242" t="n">
        <f aca="false">SUM(N24,P24:U24)</f>
        <v>4.1</v>
      </c>
    </row>
    <row r="25" customFormat="false" ht="12.95" hidden="false" customHeight="true" outlineLevel="0" collapsed="false">
      <c r="A25" s="179" t="n">
        <f aca="false">A24+1</f>
        <v>11</v>
      </c>
      <c r="B25" s="106" t="n">
        <v>6896.99</v>
      </c>
      <c r="C25" s="107" t="n">
        <v>272607</v>
      </c>
      <c r="D25" s="207" t="n">
        <f aca="false">C25-C24</f>
        <v>0</v>
      </c>
      <c r="E25" s="107" t="n">
        <f aca="false">C25-152000</f>
        <v>120607</v>
      </c>
      <c r="F25" s="238" t="n">
        <f aca="false">D25/$D$2</f>
        <v>0</v>
      </c>
      <c r="G25" s="135" t="n">
        <v>46</v>
      </c>
      <c r="H25" s="289" t="n">
        <v>1.9</v>
      </c>
      <c r="I25" s="135" t="n">
        <f aca="false">G25+H25</f>
        <v>47.9</v>
      </c>
      <c r="J25" s="136" t="n">
        <f aca="false">IF(L25&gt;0,L25,0)</f>
        <v>0</v>
      </c>
      <c r="K25" s="135" t="n">
        <f aca="false">I25+J25</f>
        <v>47.9</v>
      </c>
      <c r="L25" s="135" t="n">
        <f aca="false">F25-(I25-AK25)</f>
        <v>-10.8</v>
      </c>
      <c r="M25" s="240" t="n">
        <v>5.1</v>
      </c>
      <c r="N25" s="135" t="n">
        <v>0</v>
      </c>
      <c r="O25" s="135" t="n">
        <v>0</v>
      </c>
      <c r="P25" s="155" t="n">
        <v>0</v>
      </c>
      <c r="Q25" s="261" t="n">
        <f aca="false">993200/325851/1.9835*1.02</f>
        <v>1.56742085071371</v>
      </c>
      <c r="R25" s="155" t="n">
        <f aca="false">(1947210/325851/1.9835-T25)*1.04</f>
        <v>1.88702917594318</v>
      </c>
      <c r="S25" s="83" t="n">
        <v>0</v>
      </c>
      <c r="T25" s="83" t="n">
        <f aca="false">1.1522*1.04</f>
        <v>1.198288</v>
      </c>
      <c r="U25" s="96" t="n">
        <f aca="false">M25-(Q25+R25+S25+T25)</f>
        <v>0.447261973343112</v>
      </c>
      <c r="V25" s="135" t="n">
        <v>0</v>
      </c>
      <c r="W25" s="135" t="n">
        <v>0</v>
      </c>
      <c r="X25" s="135" t="n">
        <f aca="false">M25-N25-O25-P25-Q25-R25-S25-T25-U25+V25+W25</f>
        <v>0</v>
      </c>
      <c r="Y25" s="135" t="n">
        <f aca="false">X25-AO25</f>
        <v>0</v>
      </c>
      <c r="Z25" s="135"/>
      <c r="AA25" s="135"/>
      <c r="AB25" s="107"/>
      <c r="AC25" s="136" t="n">
        <v>22.6</v>
      </c>
      <c r="AD25" s="107"/>
      <c r="AE25" s="135" t="n">
        <v>0</v>
      </c>
      <c r="AF25" s="240"/>
      <c r="AG25" s="241"/>
      <c r="AH25" s="135" t="n">
        <v>32</v>
      </c>
      <c r="AI25" s="107" t="n">
        <f aca="false">AI24-AH25</f>
        <v>1937</v>
      </c>
      <c r="AJ25" s="211"/>
      <c r="AK25" s="134" t="n">
        <f aca="false">N25+O25+P25+Q25+R25+S25+T25+U25+X25+AE25+AH25</f>
        <v>37.1</v>
      </c>
      <c r="AL25" s="135" t="n">
        <f aca="false">IF(L25&lt;0,L25*-1,0)</f>
        <v>10.8</v>
      </c>
      <c r="AM25" s="135" t="n">
        <f aca="false">AK25+AL25</f>
        <v>47.9</v>
      </c>
      <c r="AN25" s="212" t="n">
        <f aca="false">V25</f>
        <v>0</v>
      </c>
      <c r="AO25" s="207" t="n">
        <v>0</v>
      </c>
      <c r="AP25" s="135"/>
      <c r="AQ25" s="107"/>
      <c r="AR25" s="107"/>
      <c r="AS25" s="290"/>
      <c r="AV25" s="214" t="n">
        <v>0</v>
      </c>
      <c r="AW25" s="207" t="n">
        <v>40</v>
      </c>
      <c r="AX25" s="207" t="n">
        <v>7</v>
      </c>
      <c r="AY25" s="291"/>
      <c r="AZ25" s="242" t="n">
        <f aca="false">SUM(N25,P25:U25)</f>
        <v>5.1</v>
      </c>
    </row>
    <row r="26" customFormat="false" ht="12.95" hidden="false" customHeight="true" outlineLevel="0" collapsed="false">
      <c r="A26" s="179" t="n">
        <f aca="false">A25+1</f>
        <v>12</v>
      </c>
      <c r="B26" s="106" t="n">
        <v>6896.98</v>
      </c>
      <c r="C26" s="107" t="n">
        <v>272571</v>
      </c>
      <c r="D26" s="207" t="n">
        <f aca="false">C26-C25</f>
        <v>-36</v>
      </c>
      <c r="E26" s="107" t="n">
        <f aca="false">C26-152000</f>
        <v>120571</v>
      </c>
      <c r="F26" s="238" t="n">
        <f aca="false">D26/$D$2</f>
        <v>-18.14973531636</v>
      </c>
      <c r="G26" s="135" t="n">
        <v>46</v>
      </c>
      <c r="H26" s="289" t="n">
        <v>2</v>
      </c>
      <c r="I26" s="135" t="n">
        <f aca="false">G26+H26</f>
        <v>48</v>
      </c>
      <c r="J26" s="136" t="n">
        <f aca="false">IF(L26&gt;0,L26,0)</f>
        <v>0</v>
      </c>
      <c r="K26" s="135" t="n">
        <f aca="false">I26+J26</f>
        <v>48</v>
      </c>
      <c r="L26" s="135" t="n">
        <f aca="false">F26-(I26-AK26)</f>
        <v>-29.14973531636</v>
      </c>
      <c r="M26" s="240" t="n">
        <v>5</v>
      </c>
      <c r="N26" s="135" t="n">
        <v>0</v>
      </c>
      <c r="O26" s="135" t="n">
        <v>0</v>
      </c>
      <c r="P26" s="155" t="n">
        <v>0</v>
      </c>
      <c r="Q26" s="261" t="n">
        <f aca="false">1012500/325851/1.9835*1.02</f>
        <v>1.59787918983854</v>
      </c>
      <c r="R26" s="155" t="n">
        <f aca="false">(2234339/325851/1.9835-T26)*1.04</f>
        <v>2.34904743017229</v>
      </c>
      <c r="S26" s="83" t="n">
        <v>0</v>
      </c>
      <c r="T26" s="83" t="n">
        <f aca="false">1.1522*1.04</f>
        <v>1.198288</v>
      </c>
      <c r="U26" s="96" t="n">
        <f aca="false">M26-(Q26+R26+S26+T26)</f>
        <v>-0.145214620010822</v>
      </c>
      <c r="V26" s="135" t="n">
        <v>0</v>
      </c>
      <c r="W26" s="135" t="n">
        <v>0</v>
      </c>
      <c r="X26" s="135" t="n">
        <f aca="false">M26-N26-O26-P26-Q26-R26-S26-T26-U26+V26+W26</f>
        <v>0</v>
      </c>
      <c r="Y26" s="135" t="n">
        <f aca="false">X26-AO26</f>
        <v>0</v>
      </c>
      <c r="Z26" s="135"/>
      <c r="AA26" s="135"/>
      <c r="AB26" s="107"/>
      <c r="AC26" s="136" t="n">
        <v>15.2</v>
      </c>
      <c r="AD26" s="107"/>
      <c r="AE26" s="135" t="n">
        <v>0</v>
      </c>
      <c r="AF26" s="240"/>
      <c r="AG26" s="241"/>
      <c r="AH26" s="135" t="n">
        <v>32</v>
      </c>
      <c r="AI26" s="107" t="n">
        <f aca="false">AI25-AH26</f>
        <v>1905</v>
      </c>
      <c r="AJ26" s="211"/>
      <c r="AK26" s="134" t="n">
        <f aca="false">N26+O26+P26+Q26+R26+S26+T26+U26+X26+AE26+AH26</f>
        <v>37</v>
      </c>
      <c r="AL26" s="135" t="n">
        <f aca="false">IF(L26&lt;0,L26*-1,0)</f>
        <v>29.14973531636</v>
      </c>
      <c r="AM26" s="135" t="n">
        <f aca="false">AK26+AL26</f>
        <v>66.14973531636</v>
      </c>
      <c r="AN26" s="212" t="n">
        <f aca="false">V26</f>
        <v>0</v>
      </c>
      <c r="AO26" s="207" t="n">
        <v>0</v>
      </c>
      <c r="AP26" s="135"/>
      <c r="AQ26" s="107"/>
      <c r="AR26" s="107"/>
      <c r="AS26" s="290"/>
      <c r="AV26" s="214" t="n">
        <v>0</v>
      </c>
      <c r="AW26" s="207" t="n">
        <v>44</v>
      </c>
      <c r="AX26" s="207" t="n">
        <v>13</v>
      </c>
      <c r="AY26" s="291"/>
      <c r="AZ26" s="242" t="n">
        <f aca="false">SUM(N26,P26:U26)</f>
        <v>5</v>
      </c>
    </row>
    <row r="27" customFormat="false" ht="12.95" hidden="false" customHeight="true" outlineLevel="0" collapsed="false">
      <c r="A27" s="179" t="n">
        <f aca="false">A26+1</f>
        <v>13</v>
      </c>
      <c r="B27" s="106" t="n">
        <v>6896.98</v>
      </c>
      <c r="C27" s="107" t="n">
        <v>272571</v>
      </c>
      <c r="D27" s="207" t="n">
        <f aca="false">C27-C26</f>
        <v>0</v>
      </c>
      <c r="E27" s="107" t="n">
        <f aca="false">C27-152000</f>
        <v>120571</v>
      </c>
      <c r="F27" s="238" t="n">
        <f aca="false">D27/$D$2</f>
        <v>0</v>
      </c>
      <c r="G27" s="135" t="n">
        <v>49</v>
      </c>
      <c r="H27" s="289" t="n">
        <v>2.1</v>
      </c>
      <c r="I27" s="135" t="n">
        <f aca="false">G27+H27</f>
        <v>51.1</v>
      </c>
      <c r="J27" s="136" t="n">
        <f aca="false">IF(L27&gt;0,L27,0)</f>
        <v>0</v>
      </c>
      <c r="K27" s="135" t="n">
        <f aca="false">I27+J27</f>
        <v>51.1</v>
      </c>
      <c r="L27" s="135" t="n">
        <f aca="false">F27-(I27-AK27)</f>
        <v>-14.9</v>
      </c>
      <c r="M27" s="240" t="n">
        <v>4.2</v>
      </c>
      <c r="N27" s="135" t="n">
        <v>0</v>
      </c>
      <c r="O27" s="135" t="n">
        <v>0</v>
      </c>
      <c r="P27" s="155" t="n">
        <v>0</v>
      </c>
      <c r="Q27" s="261" t="n">
        <f aca="false">1489600/325851/1.9835*1.02</f>
        <v>2.35081564561332</v>
      </c>
      <c r="R27" s="155" t="n">
        <f aca="false">(2107500/325851/1.9835-T27)*1.04</f>
        <v>2.14495124571106</v>
      </c>
      <c r="S27" s="83" t="n">
        <v>0</v>
      </c>
      <c r="T27" s="83" t="n">
        <f aca="false">1.1522*1.04</f>
        <v>1.198288</v>
      </c>
      <c r="U27" s="96" t="n">
        <f aca="false">M27-(Q27+R27+S27+T27)</f>
        <v>-1.49405489132438</v>
      </c>
      <c r="V27" s="135" t="n">
        <v>0</v>
      </c>
      <c r="W27" s="135" t="n">
        <v>0</v>
      </c>
      <c r="X27" s="135" t="n">
        <f aca="false">M27-N27-O27-P27-Q27-R27-S27-T27-U27+V27+W27</f>
        <v>0</v>
      </c>
      <c r="Y27" s="135" t="n">
        <f aca="false">X27-AO27</f>
        <v>0</v>
      </c>
      <c r="Z27" s="135"/>
      <c r="AA27" s="135"/>
      <c r="AB27" s="107"/>
      <c r="AC27" s="136" t="n">
        <v>24</v>
      </c>
      <c r="AD27" s="107"/>
      <c r="AE27" s="135" t="n">
        <v>0</v>
      </c>
      <c r="AF27" s="240"/>
      <c r="AG27" s="241"/>
      <c r="AH27" s="135" t="n">
        <v>32</v>
      </c>
      <c r="AI27" s="107" t="n">
        <f aca="false">AI26-AH27</f>
        <v>1873</v>
      </c>
      <c r="AJ27" s="211"/>
      <c r="AK27" s="134" t="n">
        <f aca="false">N27+O27+P27+Q27+R27+S27+T27+U27+X27+AE27+AH27</f>
        <v>36.2</v>
      </c>
      <c r="AL27" s="135" t="n">
        <f aca="false">IF(L27&lt;0,L27*-1,0)</f>
        <v>14.9</v>
      </c>
      <c r="AM27" s="135" t="n">
        <f aca="false">AK27+AL27</f>
        <v>51.1</v>
      </c>
      <c r="AN27" s="212" t="n">
        <f aca="false">V27</f>
        <v>0</v>
      </c>
      <c r="AO27" s="207" t="n">
        <v>0</v>
      </c>
      <c r="AP27" s="135"/>
      <c r="AQ27" s="107"/>
      <c r="AR27" s="107"/>
      <c r="AS27" s="290"/>
      <c r="AV27" s="214" t="n">
        <v>0</v>
      </c>
      <c r="AW27" s="207" t="n">
        <v>52</v>
      </c>
      <c r="AX27" s="207" t="n">
        <v>20</v>
      </c>
      <c r="AY27" s="291"/>
      <c r="AZ27" s="242" t="n">
        <f aca="false">SUM(N27,P27:U27)</f>
        <v>4.2</v>
      </c>
    </row>
    <row r="28" customFormat="false" ht="12.95" hidden="false" customHeight="true" outlineLevel="0" collapsed="false">
      <c r="A28" s="179" t="n">
        <f aca="false">A27+1</f>
        <v>14</v>
      </c>
      <c r="B28" s="106" t="n">
        <v>6896.98</v>
      </c>
      <c r="C28" s="107" t="n">
        <v>272571</v>
      </c>
      <c r="D28" s="207" t="n">
        <f aca="false">C28-C27</f>
        <v>0</v>
      </c>
      <c r="E28" s="107" t="n">
        <f aca="false">C28-152000</f>
        <v>120571</v>
      </c>
      <c r="F28" s="238" t="n">
        <f aca="false">D28/$D$2</f>
        <v>0</v>
      </c>
      <c r="G28" s="135" t="n">
        <v>55</v>
      </c>
      <c r="H28" s="289" t="n">
        <v>2.4</v>
      </c>
      <c r="I28" s="135" t="n">
        <f aca="false">G28+H28</f>
        <v>57.4</v>
      </c>
      <c r="J28" s="136" t="n">
        <f aca="false">IF(L28&gt;0,L28,0)</f>
        <v>0</v>
      </c>
      <c r="K28" s="135" t="n">
        <f aca="false">I28+J28</f>
        <v>57.4</v>
      </c>
      <c r="L28" s="135" t="n">
        <f aca="false">F28-(I28-AK28)</f>
        <v>-19.3</v>
      </c>
      <c r="M28" s="240" t="n">
        <v>6.1</v>
      </c>
      <c r="N28" s="135" t="n">
        <v>0</v>
      </c>
      <c r="O28" s="135" t="n">
        <v>0</v>
      </c>
      <c r="P28" s="155" t="n">
        <v>0</v>
      </c>
      <c r="Q28" s="261" t="n">
        <f aca="false">1244700/325851/1.9835*1.02</f>
        <v>1.96432615070817</v>
      </c>
      <c r="R28" s="155" t="n">
        <f aca="false">(1709665/325851/1.9835-T28)*1.04</f>
        <v>1.51853268002819</v>
      </c>
      <c r="S28" s="83" t="n">
        <v>0</v>
      </c>
      <c r="T28" s="83" t="n">
        <f aca="false">1.1395*1.04</f>
        <v>1.18508</v>
      </c>
      <c r="U28" s="96" t="n">
        <f aca="false">M28-(Q28+R28+S28+T28)</f>
        <v>1.43206116926364</v>
      </c>
      <c r="V28" s="135" t="n">
        <v>0</v>
      </c>
      <c r="W28" s="135" t="n">
        <v>0</v>
      </c>
      <c r="X28" s="135" t="n">
        <f aca="false">M28-N28-O28-P28-Q28-R28-S28-T28-U28+V28+W28</f>
        <v>0</v>
      </c>
      <c r="Y28" s="135" t="n">
        <f aca="false">X28-AO28</f>
        <v>0</v>
      </c>
      <c r="Z28" s="135"/>
      <c r="AA28" s="135"/>
      <c r="AB28" s="107"/>
      <c r="AC28" s="136" t="n">
        <v>25.3</v>
      </c>
      <c r="AD28" s="107"/>
      <c r="AE28" s="135" t="n">
        <v>0</v>
      </c>
      <c r="AF28" s="240"/>
      <c r="AG28" s="241"/>
      <c r="AH28" s="135" t="n">
        <v>32</v>
      </c>
      <c r="AI28" s="107" t="n">
        <f aca="false">AI27-AH28</f>
        <v>1841</v>
      </c>
      <c r="AJ28" s="211"/>
      <c r="AK28" s="134" t="n">
        <f aca="false">N28+O28+P28+Q28+R28+S28+T28+U28+X28+AE28+AH28</f>
        <v>38.1</v>
      </c>
      <c r="AL28" s="135" t="n">
        <f aca="false">IF(L28&lt;0,L28*-1,0)</f>
        <v>19.3</v>
      </c>
      <c r="AM28" s="135" t="n">
        <f aca="false">AK28+AL28</f>
        <v>57.4</v>
      </c>
      <c r="AN28" s="212" t="n">
        <f aca="false">V28</f>
        <v>0</v>
      </c>
      <c r="AO28" s="207" t="n">
        <v>0</v>
      </c>
      <c r="AP28" s="135"/>
      <c r="AQ28" s="107"/>
      <c r="AR28" s="107"/>
      <c r="AS28" s="290"/>
      <c r="AV28" s="214" t="n">
        <v>0</v>
      </c>
      <c r="AW28" s="213" t="n">
        <v>54</v>
      </c>
      <c r="AX28" s="207" t="n">
        <v>25</v>
      </c>
      <c r="AY28" s="291"/>
      <c r="AZ28" s="242" t="n">
        <f aca="false">SUM(N28,P28:U28)</f>
        <v>6.1</v>
      </c>
    </row>
    <row r="29" customFormat="false" ht="12.95" hidden="false" customHeight="true" outlineLevel="0" collapsed="false">
      <c r="A29" s="179" t="n">
        <f aca="false">A28+1</f>
        <v>15</v>
      </c>
      <c r="B29" s="106" t="n">
        <v>6897.01</v>
      </c>
      <c r="C29" s="107" t="n">
        <v>272679</v>
      </c>
      <c r="D29" s="207" t="n">
        <f aca="false">C29-C28</f>
        <v>108</v>
      </c>
      <c r="E29" s="107" t="n">
        <f aca="false">C29-152000</f>
        <v>120679</v>
      </c>
      <c r="F29" s="238" t="n">
        <f aca="false">D29/$D$2</f>
        <v>54.4492059490799</v>
      </c>
      <c r="G29" s="135" t="n">
        <v>63</v>
      </c>
      <c r="H29" s="289" t="n">
        <v>2.6</v>
      </c>
      <c r="I29" s="135" t="n">
        <f aca="false">G29+H29</f>
        <v>65.6</v>
      </c>
      <c r="J29" s="136" t="n">
        <f aca="false">IF(L29&gt;0,L29,0)</f>
        <v>26.1492059490799</v>
      </c>
      <c r="K29" s="135" t="n">
        <f aca="false">I29+J29</f>
        <v>91.7492059490799</v>
      </c>
      <c r="L29" s="135" t="n">
        <f aca="false">F29-(I29-AK29)</f>
        <v>26.1492059490799</v>
      </c>
      <c r="M29" s="240" t="n">
        <v>5.3</v>
      </c>
      <c r="N29" s="135" t="n">
        <v>0</v>
      </c>
      <c r="O29" s="135" t="n">
        <v>0</v>
      </c>
      <c r="P29" s="155" t="n">
        <v>0</v>
      </c>
      <c r="Q29" s="261" t="n">
        <f aca="false">1221500/325851/1.9835*1.02</f>
        <v>1.92771301766693</v>
      </c>
      <c r="R29" s="155" t="n">
        <f aca="false">(2011160/325851/1.9835-T29)*1.04</f>
        <v>2.00366721383984</v>
      </c>
      <c r="S29" s="83" t="n">
        <v>0</v>
      </c>
      <c r="T29" s="83" t="n">
        <f aca="false">1.1395*1.04</f>
        <v>1.18508</v>
      </c>
      <c r="U29" s="96" t="n">
        <f aca="false">M29-(Q29+R29+S29+T29)</f>
        <v>0.183539768493224</v>
      </c>
      <c r="V29" s="135" t="n">
        <v>0</v>
      </c>
      <c r="W29" s="135" t="n">
        <v>0</v>
      </c>
      <c r="X29" s="135" t="n">
        <f aca="false">M29-N29-O29-P29-Q29-R29-S29-T29-U29+V29+W29</f>
        <v>0</v>
      </c>
      <c r="Y29" s="135" t="n">
        <f aca="false">X29-AO29</f>
        <v>0</v>
      </c>
      <c r="Z29" s="135"/>
      <c r="AA29" s="135"/>
      <c r="AB29" s="107"/>
      <c r="AC29" s="136" t="n">
        <v>44.8</v>
      </c>
      <c r="AD29" s="107"/>
      <c r="AE29" s="135" t="n">
        <v>0</v>
      </c>
      <c r="AF29" s="240"/>
      <c r="AG29" s="241"/>
      <c r="AH29" s="135" t="n">
        <v>32</v>
      </c>
      <c r="AI29" s="107" t="n">
        <f aca="false">AI28-AH29</f>
        <v>1809</v>
      </c>
      <c r="AJ29" s="211"/>
      <c r="AK29" s="134" t="n">
        <f aca="false">N29+O29+P29+Q29+R29+S29+T29+U29+X29+AE29+AH29</f>
        <v>37.3</v>
      </c>
      <c r="AL29" s="135" t="n">
        <f aca="false">IF(L29&lt;0,L29*-1,0)</f>
        <v>0</v>
      </c>
      <c r="AM29" s="135" t="n">
        <f aca="false">AK29+AL29</f>
        <v>37.3</v>
      </c>
      <c r="AN29" s="212" t="n">
        <f aca="false">V29</f>
        <v>0</v>
      </c>
      <c r="AO29" s="207" t="n">
        <v>0</v>
      </c>
      <c r="AP29" s="135"/>
      <c r="AQ29" s="107"/>
      <c r="AR29" s="107"/>
      <c r="AS29" s="290"/>
      <c r="AV29" s="214" t="n">
        <v>0</v>
      </c>
      <c r="AW29" s="213" t="n">
        <v>53</v>
      </c>
      <c r="AX29" s="207" t="n">
        <v>24</v>
      </c>
      <c r="AY29" s="291"/>
      <c r="AZ29" s="242" t="n">
        <f aca="false">SUM(N29,P29:U29)</f>
        <v>5.3</v>
      </c>
    </row>
    <row r="30" customFormat="false" ht="12.95" hidden="false" customHeight="true" outlineLevel="0" collapsed="false">
      <c r="A30" s="179" t="n">
        <f aca="false">A29+1</f>
        <v>16</v>
      </c>
      <c r="B30" s="106" t="n">
        <v>6897.03</v>
      </c>
      <c r="C30" s="107" t="n">
        <v>272752</v>
      </c>
      <c r="D30" s="207" t="n">
        <f aca="false">C30-C29</f>
        <v>73</v>
      </c>
      <c r="E30" s="107" t="n">
        <f aca="false">C30-152000</f>
        <v>120752</v>
      </c>
      <c r="F30" s="238" t="n">
        <f aca="false">D30/$D$2</f>
        <v>36.8036299470633</v>
      </c>
      <c r="G30" s="135" t="n">
        <v>66</v>
      </c>
      <c r="H30" s="289" t="n">
        <v>2.8</v>
      </c>
      <c r="I30" s="135" t="n">
        <f aca="false">G30+H30</f>
        <v>68.8</v>
      </c>
      <c r="J30" s="136" t="n">
        <f aca="false">IF(L30&gt;0,L30,0)</f>
        <v>7.40362994706327</v>
      </c>
      <c r="K30" s="135" t="n">
        <f aca="false">I30+J30</f>
        <v>76.2036299470633</v>
      </c>
      <c r="L30" s="135" t="n">
        <f aca="false">F30-(I30-AK30)</f>
        <v>7.40362994706327</v>
      </c>
      <c r="M30" s="240" t="n">
        <v>5.4</v>
      </c>
      <c r="N30" s="135" t="n">
        <v>0</v>
      </c>
      <c r="O30" s="135" t="n">
        <v>0</v>
      </c>
      <c r="P30" s="155" t="n">
        <v>0</v>
      </c>
      <c r="Q30" s="261" t="n">
        <f aca="false">1214600/325851/1.9835*1.02</f>
        <v>1.91682376689174</v>
      </c>
      <c r="R30" s="155" t="n">
        <f aca="false">(2146239/325851/1.9835-T30)*1.04</f>
        <v>2.22102235303865</v>
      </c>
      <c r="S30" s="83" t="n">
        <v>0</v>
      </c>
      <c r="T30" s="83" t="n">
        <f aca="false">1.1395*1.04</f>
        <v>1.18508</v>
      </c>
      <c r="U30" s="96" t="n">
        <f aca="false">M30-(Q30+R30+S30+T30)</f>
        <v>0.0770738800696131</v>
      </c>
      <c r="V30" s="135" t="n">
        <v>0</v>
      </c>
      <c r="W30" s="135" t="n">
        <v>0</v>
      </c>
      <c r="X30" s="135" t="n">
        <f aca="false">M30-N30-O30-P30-Q30-R30-S30-T30-U30+V30+W30</f>
        <v>6.66133814775094E-016</v>
      </c>
      <c r="Y30" s="135" t="n">
        <f aca="false">X30-AO30</f>
        <v>6.66133814775094E-016</v>
      </c>
      <c r="Z30" s="135"/>
      <c r="AA30" s="135"/>
      <c r="AB30" s="107"/>
      <c r="AC30" s="136" t="n">
        <v>34</v>
      </c>
      <c r="AD30" s="107"/>
      <c r="AE30" s="135" t="n">
        <v>0</v>
      </c>
      <c r="AF30" s="240"/>
      <c r="AG30" s="241"/>
      <c r="AH30" s="135" t="n">
        <v>34</v>
      </c>
      <c r="AI30" s="107" t="n">
        <f aca="false">AI29-AH30</f>
        <v>1775</v>
      </c>
      <c r="AJ30" s="211"/>
      <c r="AK30" s="134" t="n">
        <f aca="false">N30+O30+P30+Q30+R30+S30+T30+U30+X30+AE30+AH30</f>
        <v>39.4</v>
      </c>
      <c r="AL30" s="135" t="n">
        <f aca="false">IF(L30&lt;0,L30*-1,0)</f>
        <v>0</v>
      </c>
      <c r="AM30" s="135" t="n">
        <f aca="false">AK30+AL30</f>
        <v>39.4</v>
      </c>
      <c r="AN30" s="212" t="n">
        <f aca="false">V30</f>
        <v>0</v>
      </c>
      <c r="AO30" s="207" t="n">
        <v>0</v>
      </c>
      <c r="AP30" s="135"/>
      <c r="AQ30" s="107"/>
      <c r="AR30" s="107"/>
      <c r="AS30" s="290"/>
      <c r="AV30" s="214" t="n">
        <v>0</v>
      </c>
      <c r="AW30" s="213" t="n">
        <v>48</v>
      </c>
      <c r="AX30" s="207" t="n">
        <v>32</v>
      </c>
      <c r="AY30" s="291"/>
      <c r="AZ30" s="242" t="n">
        <f aca="false">SUM(N30,P30:U30)</f>
        <v>5.4</v>
      </c>
    </row>
    <row r="31" customFormat="false" ht="12.95" hidden="false" customHeight="true" outlineLevel="0" collapsed="false">
      <c r="A31" s="179" t="n">
        <f aca="false">A30+1</f>
        <v>17</v>
      </c>
      <c r="B31" s="106" t="n">
        <v>6897.06</v>
      </c>
      <c r="C31" s="107" t="n">
        <v>272860</v>
      </c>
      <c r="D31" s="207" t="n">
        <f aca="false">C31-C30</f>
        <v>108</v>
      </c>
      <c r="E31" s="107" t="n">
        <f aca="false">C31-152000</f>
        <v>120860</v>
      </c>
      <c r="F31" s="238" t="n">
        <f aca="false">D31/$D$2</f>
        <v>54.4492059490799</v>
      </c>
      <c r="G31" s="135" t="n">
        <v>63</v>
      </c>
      <c r="H31" s="289" t="n">
        <v>2.6</v>
      </c>
      <c r="I31" s="135" t="n">
        <f aca="false">G31+H31</f>
        <v>65.6</v>
      </c>
      <c r="J31" s="136" t="n">
        <f aca="false">IF(L31&gt;0,L31,0)</f>
        <v>27.7492059490799</v>
      </c>
      <c r="K31" s="135" t="n">
        <f aca="false">I31+J31</f>
        <v>93.3492059490799</v>
      </c>
      <c r="L31" s="135" t="n">
        <f aca="false">F31-(I31-AK31)</f>
        <v>27.7492059490799</v>
      </c>
      <c r="M31" s="240" t="n">
        <v>5.9</v>
      </c>
      <c r="N31" s="135" t="n">
        <v>0</v>
      </c>
      <c r="O31" s="135" t="n">
        <v>0</v>
      </c>
      <c r="P31" s="155" t="n">
        <v>0</v>
      </c>
      <c r="Q31" s="261" t="n">
        <f aca="false">1256600/325851/1.9835*1.02</f>
        <v>1.98310616291467</v>
      </c>
      <c r="R31" s="155" t="n">
        <f aca="false">(2058777/325851/1.9835-T31)*1.04</f>
        <v>2.0802875594393</v>
      </c>
      <c r="S31" s="83" t="n">
        <v>0</v>
      </c>
      <c r="T31" s="83" t="n">
        <f aca="false">1.1395*1.04</f>
        <v>1.18508</v>
      </c>
      <c r="U31" s="96" t="n">
        <f aca="false">M31-(Q31+R31+S31+T31)</f>
        <v>0.651526277646028</v>
      </c>
      <c r="V31" s="135" t="n">
        <v>0</v>
      </c>
      <c r="W31" s="135" t="n">
        <v>0</v>
      </c>
      <c r="X31" s="135" t="n">
        <f aca="false">M31-N31-O31-P31-Q31-R31-S31-T31-U31+V31+W31</f>
        <v>0</v>
      </c>
      <c r="Y31" s="135" t="n">
        <f aca="false">X31-AO31</f>
        <v>0</v>
      </c>
      <c r="Z31" s="135"/>
      <c r="AA31" s="135"/>
      <c r="AB31" s="107"/>
      <c r="AC31" s="136" t="n">
        <v>39.4</v>
      </c>
      <c r="AD31" s="107"/>
      <c r="AE31" s="135" t="n">
        <v>0</v>
      </c>
      <c r="AF31" s="240"/>
      <c r="AG31" s="241"/>
      <c r="AH31" s="135" t="n">
        <v>33</v>
      </c>
      <c r="AI31" s="107" t="n">
        <f aca="false">AI30-AH31</f>
        <v>1742</v>
      </c>
      <c r="AJ31" s="211"/>
      <c r="AK31" s="134" t="n">
        <f aca="false">N31+O31+P31+Q31+R31+S31+T31+U31+X31+AE31+AH31</f>
        <v>38.9</v>
      </c>
      <c r="AL31" s="135" t="n">
        <f aca="false">IF(L31&lt;0,L31*-1,0)</f>
        <v>0</v>
      </c>
      <c r="AM31" s="135" t="n">
        <f aca="false">AK31+AL31</f>
        <v>38.9</v>
      </c>
      <c r="AN31" s="212" t="n">
        <f aca="false">V31</f>
        <v>0</v>
      </c>
      <c r="AO31" s="207" t="n">
        <v>0</v>
      </c>
      <c r="AP31" s="135"/>
      <c r="AQ31" s="107"/>
      <c r="AR31" s="107"/>
      <c r="AS31" s="290"/>
      <c r="AV31" s="214" t="n">
        <v>0.05</v>
      </c>
      <c r="AW31" s="213" t="n">
        <v>46</v>
      </c>
      <c r="AX31" s="207" t="n">
        <v>26</v>
      </c>
      <c r="AY31" s="291"/>
      <c r="AZ31" s="242" t="n">
        <f aca="false">SUM(N31,P31:U31)</f>
        <v>5.9</v>
      </c>
    </row>
    <row r="32" customFormat="false" ht="12.95" hidden="false" customHeight="true" outlineLevel="0" collapsed="false">
      <c r="A32" s="179" t="n">
        <f aca="false">A31+1</f>
        <v>18</v>
      </c>
      <c r="B32" s="106" t="n">
        <v>6897.08</v>
      </c>
      <c r="C32" s="300" t="n">
        <v>272933</v>
      </c>
      <c r="D32" s="207" t="n">
        <f aca="false">C32-C31</f>
        <v>73</v>
      </c>
      <c r="E32" s="107" t="n">
        <f aca="false">C32-152000</f>
        <v>120933</v>
      </c>
      <c r="F32" s="238" t="n">
        <f aca="false">D32/$D$2</f>
        <v>36.8036299470633</v>
      </c>
      <c r="G32" s="135" t="n">
        <v>60</v>
      </c>
      <c r="H32" s="289" t="n">
        <v>2.4</v>
      </c>
      <c r="I32" s="135" t="n">
        <f aca="false">G32+H32</f>
        <v>62.4</v>
      </c>
      <c r="J32" s="136" t="n">
        <f aca="false">IF(L32&gt;0,L32,0)</f>
        <v>10.6036299470633</v>
      </c>
      <c r="K32" s="135" t="n">
        <f aca="false">I32+J32</f>
        <v>73.0036299470633</v>
      </c>
      <c r="L32" s="135" t="n">
        <f aca="false">F32-(I32-AK32)</f>
        <v>10.6036299470633</v>
      </c>
      <c r="M32" s="240" t="n">
        <v>5.2</v>
      </c>
      <c r="N32" s="135" t="n">
        <v>0</v>
      </c>
      <c r="O32" s="135" t="n">
        <v>0</v>
      </c>
      <c r="P32" s="155" t="n">
        <v>0</v>
      </c>
      <c r="Q32" s="261" t="n">
        <f aca="false">898600/325851/1.9835*1.02</f>
        <v>1.41812764443349</v>
      </c>
      <c r="R32" s="155" t="n">
        <f aca="false">(1863003/325851/1.9835-T32)*1.04</f>
        <v>1.50817199128447</v>
      </c>
      <c r="S32" s="83" t="n">
        <v>0</v>
      </c>
      <c r="T32" s="83" t="n">
        <f aca="false">1.3772*1.04</f>
        <v>1.432288</v>
      </c>
      <c r="U32" s="96" t="n">
        <f aca="false">M32-(Q32+R32+S32+T32)</f>
        <v>0.841412364282045</v>
      </c>
      <c r="V32" s="135" t="n">
        <v>0</v>
      </c>
      <c r="W32" s="135" t="n">
        <v>0</v>
      </c>
      <c r="X32" s="135" t="n">
        <f aca="false">M32-N32-O32-P32-Q32-R32-S32-T32-U32+V32+W32</f>
        <v>0</v>
      </c>
      <c r="Y32" s="135" t="n">
        <f aca="false">X32-AO32</f>
        <v>0</v>
      </c>
      <c r="Z32" s="135"/>
      <c r="AA32" s="135"/>
      <c r="AB32" s="107"/>
      <c r="AC32" s="136" t="n">
        <v>33.8</v>
      </c>
      <c r="AD32" s="107"/>
      <c r="AE32" s="135" t="n">
        <v>0</v>
      </c>
      <c r="AF32" s="240"/>
      <c r="AG32" s="241"/>
      <c r="AH32" s="135" t="n">
        <v>31</v>
      </c>
      <c r="AI32" s="107" t="n">
        <f aca="false">AI31-AH32</f>
        <v>1711</v>
      </c>
      <c r="AJ32" s="211"/>
      <c r="AK32" s="134" t="n">
        <f aca="false">N32+O32+P32+Q32+R32+S32+T32+U32+X32+AE32+AH32</f>
        <v>36.2</v>
      </c>
      <c r="AL32" s="135" t="n">
        <f aca="false">IF(L32&lt;0,L32*-1,0)</f>
        <v>0</v>
      </c>
      <c r="AM32" s="135" t="n">
        <f aca="false">AK32+AL32</f>
        <v>36.2</v>
      </c>
      <c r="AN32" s="212" t="n">
        <f aca="false">V32</f>
        <v>0</v>
      </c>
      <c r="AO32" s="207" t="n">
        <v>0</v>
      </c>
      <c r="AP32" s="135"/>
      <c r="AQ32" s="107"/>
      <c r="AR32" s="107"/>
      <c r="AS32" s="290"/>
      <c r="AV32" s="301" t="n">
        <v>0</v>
      </c>
      <c r="AW32" s="213" t="n">
        <v>47</v>
      </c>
      <c r="AX32" s="207" t="n">
        <v>26</v>
      </c>
      <c r="AY32" s="291"/>
      <c r="AZ32" s="242" t="n">
        <f aca="false">SUM(N32,P32:U32)</f>
        <v>5.2</v>
      </c>
    </row>
    <row r="33" customFormat="false" ht="12.95" hidden="false" customHeight="true" outlineLevel="0" collapsed="false">
      <c r="A33" s="179" t="n">
        <f aca="false">A32+1</f>
        <v>19</v>
      </c>
      <c r="B33" s="106" t="n">
        <v>6897.1</v>
      </c>
      <c r="C33" s="300" t="n">
        <v>273005</v>
      </c>
      <c r="D33" s="207" t="n">
        <f aca="false">C33-C32</f>
        <v>72</v>
      </c>
      <c r="E33" s="107" t="n">
        <f aca="false">C33-152000</f>
        <v>121005</v>
      </c>
      <c r="F33" s="238" t="n">
        <f aca="false">D33/$D$2</f>
        <v>36.2994706327199</v>
      </c>
      <c r="G33" s="135" t="n">
        <v>60</v>
      </c>
      <c r="H33" s="289" t="n">
        <v>2.5</v>
      </c>
      <c r="I33" s="135" t="n">
        <f aca="false">G33+H33</f>
        <v>62.5</v>
      </c>
      <c r="J33" s="136" t="n">
        <f aca="false">IF(L33&gt;0,L33,0)</f>
        <v>10.5994706327199</v>
      </c>
      <c r="K33" s="135" t="n">
        <f aca="false">I33+J33</f>
        <v>73.0994706327199</v>
      </c>
      <c r="L33" s="135" t="n">
        <f aca="false">F33-(I33-AK33)</f>
        <v>10.5994706327199</v>
      </c>
      <c r="M33" s="240" t="n">
        <v>4.8</v>
      </c>
      <c r="N33" s="135" t="n">
        <v>0</v>
      </c>
      <c r="O33" s="135" t="n">
        <v>0</v>
      </c>
      <c r="P33" s="155" t="n">
        <v>0</v>
      </c>
      <c r="Q33" s="261" t="n">
        <f aca="false">971500/325851/1.9835*1.02</f>
        <v>1.53317494610186</v>
      </c>
      <c r="R33" s="155" t="n">
        <f aca="false">(2091633/325851/1.9835-T33)*1.04</f>
        <v>1.87605971235897</v>
      </c>
      <c r="S33" s="83" t="n">
        <v>0</v>
      </c>
      <c r="T33" s="83" t="n">
        <f aca="false">1.3772*1.04</f>
        <v>1.432288</v>
      </c>
      <c r="U33" s="96" t="n">
        <f aca="false">M33-(Q33+R33+S33+T33)</f>
        <v>-0.0415226584608357</v>
      </c>
      <c r="V33" s="135" t="n">
        <v>0</v>
      </c>
      <c r="W33" s="135" t="n">
        <v>0</v>
      </c>
      <c r="X33" s="135" t="n">
        <f aca="false">M33-N33-O33-P33-Q33-R33-S33-T33-U33+V33+W33</f>
        <v>0</v>
      </c>
      <c r="Y33" s="135" t="n">
        <f aca="false">X33-AO33</f>
        <v>0</v>
      </c>
      <c r="Z33" s="135"/>
      <c r="AA33" s="135"/>
      <c r="AB33" s="107"/>
      <c r="AC33" s="136" t="n">
        <v>29.4</v>
      </c>
      <c r="AD33" s="107"/>
      <c r="AE33" s="135" t="n">
        <v>0</v>
      </c>
      <c r="AF33" s="240"/>
      <c r="AG33" s="241"/>
      <c r="AH33" s="135" t="n">
        <v>32</v>
      </c>
      <c r="AI33" s="107" t="n">
        <f aca="false">AI32-AH33</f>
        <v>1679</v>
      </c>
      <c r="AJ33" s="211"/>
      <c r="AK33" s="134" t="n">
        <f aca="false">N33+O33+P33+Q33+R33+S33+T33+U33+X33+AE33+AH33</f>
        <v>36.8</v>
      </c>
      <c r="AL33" s="135" t="n">
        <f aca="false">IF(L33&lt;0,L33*-1,0)</f>
        <v>0</v>
      </c>
      <c r="AM33" s="135" t="n">
        <f aca="false">AK33+AL33</f>
        <v>36.8</v>
      </c>
      <c r="AN33" s="212" t="n">
        <f aca="false">V33</f>
        <v>0</v>
      </c>
      <c r="AO33" s="207" t="n">
        <v>0</v>
      </c>
      <c r="AP33" s="135"/>
      <c r="AQ33" s="107"/>
      <c r="AR33" s="107"/>
      <c r="AS33" s="290"/>
      <c r="AV33" s="214" t="n">
        <v>0.1</v>
      </c>
      <c r="AW33" s="213" t="n">
        <v>52</v>
      </c>
      <c r="AX33" s="207" t="n">
        <v>29</v>
      </c>
      <c r="AY33" s="291"/>
      <c r="AZ33" s="242" t="n">
        <f aca="false">SUM(N33,P33:U33)</f>
        <v>4.8</v>
      </c>
    </row>
    <row r="34" customFormat="false" ht="12.95" hidden="false" customHeight="true" outlineLevel="0" collapsed="false">
      <c r="A34" s="179" t="n">
        <f aca="false">A33+1</f>
        <v>20</v>
      </c>
      <c r="B34" s="106" t="n">
        <v>6897.13</v>
      </c>
      <c r="C34" s="107" t="n">
        <v>273113</v>
      </c>
      <c r="D34" s="207" t="n">
        <f aca="false">C34-C33</f>
        <v>108</v>
      </c>
      <c r="E34" s="107" t="n">
        <f aca="false">C34-152000</f>
        <v>121113</v>
      </c>
      <c r="F34" s="238" t="n">
        <f aca="false">D34/$D$2</f>
        <v>54.4492059490799</v>
      </c>
      <c r="G34" s="135" t="n">
        <v>66</v>
      </c>
      <c r="H34" s="289" t="n">
        <v>3.1</v>
      </c>
      <c r="I34" s="135" t="n">
        <f aca="false">G34+H34</f>
        <v>69.1</v>
      </c>
      <c r="J34" s="136" t="n">
        <f aca="false">IF(L34&gt;0,L34,0)</f>
        <v>21.1492059490799</v>
      </c>
      <c r="K34" s="135" t="n">
        <f aca="false">I34+J34</f>
        <v>90.2492059490799</v>
      </c>
      <c r="L34" s="135" t="n">
        <f aca="false">F34-(I34-AK34)</f>
        <v>21.1492059490799</v>
      </c>
      <c r="M34" s="240" t="n">
        <v>4.8</v>
      </c>
      <c r="N34" s="135" t="n">
        <v>0</v>
      </c>
      <c r="O34" s="135" t="n">
        <v>0</v>
      </c>
      <c r="P34" s="155" t="n">
        <v>0</v>
      </c>
      <c r="Q34" s="261" t="n">
        <f aca="false">1231800/325851/1.9835*1.02</f>
        <v>1.94396798621542</v>
      </c>
      <c r="R34" s="155" t="n">
        <f aca="false">(1727689/325851/1.9835-T34)*1.04</f>
        <v>1.29043871442021</v>
      </c>
      <c r="S34" s="83" t="n">
        <v>0</v>
      </c>
      <c r="T34" s="83" t="n">
        <f aca="false">1.3772*1.04</f>
        <v>1.432288</v>
      </c>
      <c r="U34" s="96" t="n">
        <f aca="false">M34-(Q34+R34+S34+T34)</f>
        <v>0.133305299364379</v>
      </c>
      <c r="V34" s="135" t="n">
        <v>0</v>
      </c>
      <c r="W34" s="135" t="n">
        <v>0</v>
      </c>
      <c r="X34" s="135" t="n">
        <f aca="false">M34-N34-O34-P34-Q34-R34-S34-T34-U34+V34+W34</f>
        <v>0</v>
      </c>
      <c r="Y34" s="135" t="n">
        <f aca="false">X34-AO34</f>
        <v>0</v>
      </c>
      <c r="Z34" s="135"/>
      <c r="AA34" s="135"/>
      <c r="AB34" s="107"/>
      <c r="AC34" s="136" t="n">
        <v>38.9</v>
      </c>
      <c r="AD34" s="107"/>
      <c r="AE34" s="135" t="n">
        <v>0</v>
      </c>
      <c r="AF34" s="240"/>
      <c r="AG34" s="241"/>
      <c r="AH34" s="135" t="n">
        <v>31</v>
      </c>
      <c r="AI34" s="107" t="n">
        <f aca="false">AI33-AH34</f>
        <v>1648</v>
      </c>
      <c r="AJ34" s="211"/>
      <c r="AK34" s="134" t="n">
        <f aca="false">N34+O34+P34+Q34+R34+S34+T34+U34+X34+AE34+AH34</f>
        <v>35.8</v>
      </c>
      <c r="AL34" s="135" t="n">
        <f aca="false">IF(L34&lt;0,L34*-1,0)</f>
        <v>0</v>
      </c>
      <c r="AM34" s="135" t="n">
        <f aca="false">AK34+AL34</f>
        <v>35.8</v>
      </c>
      <c r="AN34" s="212" t="n">
        <f aca="false">V34</f>
        <v>0</v>
      </c>
      <c r="AO34" s="207" t="n">
        <v>0</v>
      </c>
      <c r="AP34" s="135"/>
      <c r="AQ34" s="107"/>
      <c r="AR34" s="107"/>
      <c r="AS34" s="290"/>
      <c r="AV34" s="214" t="n">
        <v>0.12</v>
      </c>
      <c r="AW34" s="213" t="n">
        <v>35</v>
      </c>
      <c r="AX34" s="207" t="n">
        <v>16</v>
      </c>
      <c r="AY34" s="291"/>
      <c r="AZ34" s="242" t="n">
        <f aca="false">SUM(N34,P34:U34)</f>
        <v>4.8</v>
      </c>
    </row>
    <row r="35" customFormat="false" ht="12.95" hidden="false" customHeight="true" outlineLevel="0" collapsed="false">
      <c r="A35" s="179" t="n">
        <f aca="false">A34+1</f>
        <v>21</v>
      </c>
      <c r="B35" s="106" t="n">
        <v>6897.14</v>
      </c>
      <c r="C35" s="107" t="n">
        <v>273150</v>
      </c>
      <c r="D35" s="207" t="n">
        <f aca="false">C35-C34</f>
        <v>37</v>
      </c>
      <c r="E35" s="107" t="n">
        <f aca="false">C35-152000</f>
        <v>121150</v>
      </c>
      <c r="F35" s="238" t="n">
        <f aca="false">D35/$D$2</f>
        <v>18.6538946307033</v>
      </c>
      <c r="G35" s="135" t="n">
        <v>63</v>
      </c>
      <c r="H35" s="289" t="n">
        <v>3.1</v>
      </c>
      <c r="I35" s="135" t="n">
        <f aca="false">G35+H35</f>
        <v>66.1</v>
      </c>
      <c r="J35" s="136" t="n">
        <f aca="false">IF(L35&gt;0,L35,0)</f>
        <v>0</v>
      </c>
      <c r="K35" s="135" t="n">
        <f aca="false">I35+J35</f>
        <v>66.1</v>
      </c>
      <c r="L35" s="135" t="n">
        <f aca="false">F35-(I35-AK35)</f>
        <v>-10.4461053692967</v>
      </c>
      <c r="M35" s="240" t="n">
        <v>5</v>
      </c>
      <c r="N35" s="135" t="n">
        <v>0</v>
      </c>
      <c r="O35" s="135" t="n">
        <v>0</v>
      </c>
      <c r="P35" s="155" t="n">
        <v>0</v>
      </c>
      <c r="Q35" s="261" t="n">
        <f aca="false">1030300/325851/1.9835*1.02</f>
        <v>1.62597030053397</v>
      </c>
      <c r="R35" s="155" t="n">
        <f aca="false">(1724544/325851/1.9835-T35)*1.04</f>
        <v>1.28537810608893</v>
      </c>
      <c r="S35" s="83" t="n">
        <v>0</v>
      </c>
      <c r="T35" s="83" t="n">
        <f aca="false">1.3772*1.04</f>
        <v>1.432288</v>
      </c>
      <c r="U35" s="96" t="n">
        <f aca="false">M35-(Q35+R35+S35+T35)</f>
        <v>0.6563635933771</v>
      </c>
      <c r="V35" s="135" t="n">
        <v>0</v>
      </c>
      <c r="W35" s="135" t="n">
        <v>0</v>
      </c>
      <c r="X35" s="135" t="n">
        <f aca="false">M35-N35-O35-P35-Q35-R35-S35-T35-U35+V35+W35</f>
        <v>0</v>
      </c>
      <c r="Y35" s="135" t="n">
        <f aca="false">X35-AO35</f>
        <v>0</v>
      </c>
      <c r="Z35" s="135"/>
      <c r="AA35" s="135"/>
      <c r="AB35" s="107"/>
      <c r="AC35" s="136" t="n">
        <v>37.2</v>
      </c>
      <c r="AD35" s="107"/>
      <c r="AE35" s="135" t="n">
        <v>0</v>
      </c>
      <c r="AF35" s="240"/>
      <c r="AG35" s="241"/>
      <c r="AH35" s="135" t="n">
        <v>32</v>
      </c>
      <c r="AI35" s="107" t="n">
        <f aca="false">AI34-AH35</f>
        <v>1616</v>
      </c>
      <c r="AJ35" s="211"/>
      <c r="AK35" s="134" t="n">
        <f aca="false">N35+O35+P35+Q35+R35+S35+T35+U35+X35+AE35+AH35</f>
        <v>37</v>
      </c>
      <c r="AL35" s="135" t="n">
        <f aca="false">IF(L35&lt;0,L35*-1,0)</f>
        <v>10.4461053692967</v>
      </c>
      <c r="AM35" s="135" t="n">
        <f aca="false">AK35+AL35</f>
        <v>47.4461053692967</v>
      </c>
      <c r="AN35" s="212" t="n">
        <f aca="false">V35</f>
        <v>0</v>
      </c>
      <c r="AO35" s="207" t="n">
        <v>0</v>
      </c>
      <c r="AP35" s="135"/>
      <c r="AQ35" s="107"/>
      <c r="AR35" s="107"/>
      <c r="AS35" s="290"/>
      <c r="AV35" s="214" t="n">
        <v>0</v>
      </c>
      <c r="AW35" s="207" t="n">
        <v>37</v>
      </c>
      <c r="AX35" s="207" t="n">
        <v>17</v>
      </c>
      <c r="AY35" s="291"/>
      <c r="AZ35" s="242" t="n">
        <f aca="false">SUM(N35,P35:U35)</f>
        <v>5</v>
      </c>
    </row>
    <row r="36" customFormat="false" ht="12.95" hidden="false" customHeight="true" outlineLevel="0" collapsed="false">
      <c r="A36" s="179" t="n">
        <f aca="false">A35+1</f>
        <v>22</v>
      </c>
      <c r="B36" s="106" t="n">
        <v>6897.15</v>
      </c>
      <c r="C36" s="107" t="n">
        <v>273186</v>
      </c>
      <c r="D36" s="207" t="n">
        <f aca="false">C36-C35</f>
        <v>36</v>
      </c>
      <c r="E36" s="107" t="n">
        <f aca="false">C36-152000</f>
        <v>121186</v>
      </c>
      <c r="F36" s="238" t="n">
        <f aca="false">D36/$D$2</f>
        <v>18.14973531636</v>
      </c>
      <c r="G36" s="135" t="n">
        <v>58</v>
      </c>
      <c r="H36" s="289" t="n">
        <v>3</v>
      </c>
      <c r="I36" s="135" t="n">
        <f aca="false">G36+H36</f>
        <v>61</v>
      </c>
      <c r="J36" s="136" t="n">
        <f aca="false">IF(L36&gt;0,L36,0)</f>
        <v>0</v>
      </c>
      <c r="K36" s="135" t="n">
        <f aca="false">I36+J36</f>
        <v>61</v>
      </c>
      <c r="L36" s="135" t="n">
        <f aca="false">F36-(I36-AK36)</f>
        <v>-6.55026468364003</v>
      </c>
      <c r="M36" s="240" t="n">
        <v>5.3</v>
      </c>
      <c r="N36" s="135" t="n">
        <v>0</v>
      </c>
      <c r="O36" s="135" t="n">
        <v>0</v>
      </c>
      <c r="P36" s="155" t="n">
        <v>0</v>
      </c>
      <c r="Q36" s="261" t="n">
        <f aca="false">944100/325851/1.9835*1.02</f>
        <v>1.48993357345833</v>
      </c>
      <c r="R36" s="155" t="n">
        <f aca="false">(1657556/325851/1.9835-T36)*1.04</f>
        <v>1.17758795318101</v>
      </c>
      <c r="S36" s="83" t="n">
        <v>0</v>
      </c>
      <c r="T36" s="83" t="n">
        <f aca="false">1.3772*1.04</f>
        <v>1.432288</v>
      </c>
      <c r="U36" s="96" t="n">
        <f aca="false">M36-(Q36+R36+S36+T36)</f>
        <v>1.20019047336066</v>
      </c>
      <c r="V36" s="135" t="n">
        <v>0</v>
      </c>
      <c r="W36" s="135" t="n">
        <v>0</v>
      </c>
      <c r="X36" s="135" t="n">
        <f aca="false">M36-N36-O36-P36-Q36-R36-S36-T36-U36+V36+W36</f>
        <v>0</v>
      </c>
      <c r="Y36" s="135" t="n">
        <f aca="false">X36-AO36</f>
        <v>0</v>
      </c>
      <c r="Z36" s="135"/>
      <c r="AA36" s="135"/>
      <c r="AB36" s="107"/>
      <c r="AC36" s="136" t="n">
        <v>37.3</v>
      </c>
      <c r="AD36" s="107"/>
      <c r="AE36" s="135" t="n">
        <v>0</v>
      </c>
      <c r="AF36" s="240"/>
      <c r="AG36" s="241"/>
      <c r="AH36" s="135" t="n">
        <v>31</v>
      </c>
      <c r="AI36" s="107" t="n">
        <f aca="false">AI35-AH36</f>
        <v>1585</v>
      </c>
      <c r="AJ36" s="211"/>
      <c r="AK36" s="134" t="n">
        <f aca="false">N36+O36+P36+Q36+R36+S36+T36+U36+X36+AE36+AH36</f>
        <v>36.3</v>
      </c>
      <c r="AL36" s="135" t="n">
        <f aca="false">IF(L36&lt;0,L36*-1,0)</f>
        <v>6.55026468364003</v>
      </c>
      <c r="AM36" s="135" t="n">
        <f aca="false">AK36+AL36</f>
        <v>42.85026468364</v>
      </c>
      <c r="AN36" s="212" t="n">
        <f aca="false">V36</f>
        <v>0</v>
      </c>
      <c r="AO36" s="207" t="n">
        <v>0</v>
      </c>
      <c r="AP36" s="135"/>
      <c r="AQ36" s="107"/>
      <c r="AR36" s="107"/>
      <c r="AS36" s="290"/>
      <c r="AV36" s="214" t="n">
        <v>0</v>
      </c>
      <c r="AW36" s="207" t="n">
        <v>42</v>
      </c>
      <c r="AX36" s="207" t="n">
        <v>15</v>
      </c>
      <c r="AY36" s="291"/>
      <c r="AZ36" s="242" t="n">
        <f aca="false">SUM(N36,P36:U36)</f>
        <v>5.3</v>
      </c>
    </row>
    <row r="37" customFormat="false" ht="12.95" hidden="false" customHeight="true" outlineLevel="0" collapsed="false">
      <c r="A37" s="179" t="n">
        <f aca="false">A36+1</f>
        <v>23</v>
      </c>
      <c r="B37" s="106" t="n">
        <v>6897.16</v>
      </c>
      <c r="C37" s="107" t="n">
        <v>273222</v>
      </c>
      <c r="D37" s="207" t="n">
        <f aca="false">C37-C36</f>
        <v>36</v>
      </c>
      <c r="E37" s="107" t="n">
        <f aca="false">C37-152000</f>
        <v>121222</v>
      </c>
      <c r="F37" s="238" t="n">
        <f aca="false">D37/$D$2</f>
        <v>18.14973531636</v>
      </c>
      <c r="G37" s="135" t="n">
        <v>57</v>
      </c>
      <c r="H37" s="289" t="n">
        <v>3</v>
      </c>
      <c r="I37" s="135" t="n">
        <f aca="false">G37+H37</f>
        <v>60</v>
      </c>
      <c r="J37" s="136" t="n">
        <f aca="false">IF(L37&gt;0,L37,0)</f>
        <v>0</v>
      </c>
      <c r="K37" s="135" t="n">
        <f aca="false">I37+J37</f>
        <v>60</v>
      </c>
      <c r="L37" s="135" t="n">
        <f aca="false">F37-(I37-AK37)</f>
        <v>-7.15026468364003</v>
      </c>
      <c r="M37" s="240" t="n">
        <v>3.7</v>
      </c>
      <c r="N37" s="135" t="n">
        <v>0</v>
      </c>
      <c r="O37" s="135" t="n">
        <v>0</v>
      </c>
      <c r="P37" s="155" t="n">
        <v>0</v>
      </c>
      <c r="Q37" s="261" t="n">
        <f aca="false">1083000/325851/1.9835*1.02</f>
        <v>1.70913892601989</v>
      </c>
      <c r="R37" s="155" t="n">
        <f aca="false">(2626623/325851/1.9835-T37)*1.04</f>
        <v>2.73691022146823</v>
      </c>
      <c r="S37" s="83" t="n">
        <v>0</v>
      </c>
      <c r="T37" s="83" t="n">
        <f aca="false">1.3772*1.04</f>
        <v>1.432288</v>
      </c>
      <c r="U37" s="96" t="n">
        <f aca="false">M37-(Q37+R37+S37+T37)</f>
        <v>-2.17833714748811</v>
      </c>
      <c r="V37" s="135" t="n">
        <v>0</v>
      </c>
      <c r="W37" s="135" t="n">
        <v>0</v>
      </c>
      <c r="X37" s="135" t="n">
        <f aca="false">M37-N37-O37-P37-Q37-R37-S37-T37-U37+V37+W37</f>
        <v>0</v>
      </c>
      <c r="Y37" s="135" t="n">
        <f aca="false">X37-AO37</f>
        <v>0</v>
      </c>
      <c r="Z37" s="135"/>
      <c r="AA37" s="135"/>
      <c r="AB37" s="107"/>
      <c r="AC37" s="136" t="n">
        <v>35.3</v>
      </c>
      <c r="AD37" s="107"/>
      <c r="AE37" s="135" t="n">
        <v>0</v>
      </c>
      <c r="AF37" s="240"/>
      <c r="AG37" s="241"/>
      <c r="AH37" s="135" t="n">
        <v>31</v>
      </c>
      <c r="AI37" s="107" t="n">
        <f aca="false">AI36-AH37</f>
        <v>1554</v>
      </c>
      <c r="AJ37" s="211"/>
      <c r="AK37" s="134" t="n">
        <f aca="false">N37+O37+P37+Q37+R37+S37+T37+U37+X37+AE37+AH37</f>
        <v>34.7</v>
      </c>
      <c r="AL37" s="135" t="n">
        <f aca="false">IF(L37&lt;0,L37*-1,0)</f>
        <v>7.15026468364003</v>
      </c>
      <c r="AM37" s="135" t="n">
        <f aca="false">AK37+AL37</f>
        <v>41.85026468364</v>
      </c>
      <c r="AN37" s="212" t="n">
        <f aca="false">V37</f>
        <v>0</v>
      </c>
      <c r="AO37" s="207" t="n">
        <v>0</v>
      </c>
      <c r="AP37" s="135"/>
      <c r="AQ37" s="107"/>
      <c r="AR37" s="107"/>
      <c r="AS37" s="290"/>
      <c r="AV37" s="214" t="n">
        <v>0</v>
      </c>
      <c r="AW37" s="207" t="n">
        <v>45</v>
      </c>
      <c r="AX37" s="213" t="n">
        <v>18</v>
      </c>
      <c r="AY37" s="291"/>
      <c r="AZ37" s="242" t="n">
        <f aca="false">SUM(N37,P37:U37)</f>
        <v>3.7</v>
      </c>
    </row>
    <row r="38" customFormat="false" ht="12.95" hidden="false" customHeight="true" outlineLevel="0" collapsed="false">
      <c r="A38" s="179" t="n">
        <f aca="false">A37+1</f>
        <v>24</v>
      </c>
      <c r="B38" s="106" t="n">
        <v>6897.17</v>
      </c>
      <c r="C38" s="107" t="n">
        <v>273258</v>
      </c>
      <c r="D38" s="207" t="n">
        <f aca="false">C38-C37</f>
        <v>36</v>
      </c>
      <c r="E38" s="107" t="n">
        <f aca="false">C38-152000</f>
        <v>121258</v>
      </c>
      <c r="F38" s="238" t="n">
        <f aca="false">D38/$D$2</f>
        <v>18.14973531636</v>
      </c>
      <c r="G38" s="135" t="n">
        <v>64</v>
      </c>
      <c r="H38" s="289" t="n">
        <v>2.8</v>
      </c>
      <c r="I38" s="135" t="n">
        <f aca="false">G38+H38</f>
        <v>66.8</v>
      </c>
      <c r="J38" s="136" t="n">
        <f aca="false">IF(L38&gt;0,L38,0)</f>
        <v>0</v>
      </c>
      <c r="K38" s="135" t="n">
        <f aca="false">I38+J38</f>
        <v>66.8</v>
      </c>
      <c r="L38" s="135" t="n">
        <f aca="false">F38-(I38-AK38)</f>
        <v>-11.65026468364</v>
      </c>
      <c r="M38" s="240" t="n">
        <v>5</v>
      </c>
      <c r="N38" s="135" t="n">
        <v>0</v>
      </c>
      <c r="O38" s="135" t="n">
        <v>0</v>
      </c>
      <c r="P38" s="155" t="n">
        <v>0</v>
      </c>
      <c r="Q38" s="261" t="n">
        <f aca="false">936400/325851/1.9835*1.02</f>
        <v>1.47778180085413</v>
      </c>
      <c r="R38" s="155" t="n">
        <f aca="false">(1922733/325851/1.9835-T38)*1.04</f>
        <v>1.60428332216747</v>
      </c>
      <c r="S38" s="83" t="n">
        <v>0</v>
      </c>
      <c r="T38" s="83" t="n">
        <f aca="false">1.3772*1.04</f>
        <v>1.432288</v>
      </c>
      <c r="U38" s="96" t="n">
        <f aca="false">M38-(Q38+R38+S38+T38)</f>
        <v>0.485646876978407</v>
      </c>
      <c r="V38" s="135" t="n">
        <v>0</v>
      </c>
      <c r="W38" s="135" t="n">
        <v>0</v>
      </c>
      <c r="X38" s="135" t="n">
        <f aca="false">M38-N38-O38-P38-Q38-R38-S38-T38-U38+V38+W38</f>
        <v>0</v>
      </c>
      <c r="Y38" s="135" t="n">
        <f aca="false">X38-AO38</f>
        <v>0</v>
      </c>
      <c r="Z38" s="135"/>
      <c r="AA38" s="135"/>
      <c r="AB38" s="107"/>
      <c r="AC38" s="136" t="n">
        <v>36.7</v>
      </c>
      <c r="AD38" s="107"/>
      <c r="AE38" s="135" t="n">
        <v>0</v>
      </c>
      <c r="AF38" s="240"/>
      <c r="AG38" s="241"/>
      <c r="AH38" s="135" t="n">
        <v>32</v>
      </c>
      <c r="AI38" s="107" t="n">
        <f aca="false">AI37-AH38</f>
        <v>1522</v>
      </c>
      <c r="AJ38" s="211"/>
      <c r="AK38" s="134" t="n">
        <f aca="false">N38+O38+P38+Q38+R38+S38+T38+U38+X38+AE38+AH38</f>
        <v>37</v>
      </c>
      <c r="AL38" s="135" t="n">
        <f aca="false">IF(L38&lt;0,L38*-1,0)</f>
        <v>11.65026468364</v>
      </c>
      <c r="AM38" s="135" t="n">
        <f aca="false">AK38+AL38</f>
        <v>48.65026468364</v>
      </c>
      <c r="AN38" s="212" t="n">
        <f aca="false">V38</f>
        <v>0</v>
      </c>
      <c r="AO38" s="207" t="n">
        <v>0</v>
      </c>
      <c r="AP38" s="135"/>
      <c r="AQ38" s="107"/>
      <c r="AR38" s="107"/>
      <c r="AS38" s="290"/>
      <c r="AV38" s="214" t="n">
        <v>0</v>
      </c>
      <c r="AW38" s="207" t="n">
        <v>41</v>
      </c>
      <c r="AX38" s="213" t="n">
        <v>27</v>
      </c>
      <c r="AY38" s="291"/>
      <c r="AZ38" s="242" t="n">
        <f aca="false">SUM(N38,P38:U38)</f>
        <v>5</v>
      </c>
    </row>
    <row r="39" customFormat="false" ht="12.95" hidden="false" customHeight="true" outlineLevel="0" collapsed="false">
      <c r="A39" s="179" t="n">
        <f aca="false">A38+1</f>
        <v>25</v>
      </c>
      <c r="B39" s="106" t="n">
        <v>6897.18</v>
      </c>
      <c r="C39" s="107" t="n">
        <v>273298</v>
      </c>
      <c r="D39" s="207" t="n">
        <f aca="false">C39-C38</f>
        <v>40</v>
      </c>
      <c r="E39" s="107" t="n">
        <f aca="false">C39-152000</f>
        <v>121298</v>
      </c>
      <c r="F39" s="238" t="n">
        <f aca="false">D39/$D$2</f>
        <v>20.1663725737333</v>
      </c>
      <c r="G39" s="135" t="n">
        <v>62</v>
      </c>
      <c r="H39" s="289" t="n">
        <v>2.3</v>
      </c>
      <c r="I39" s="135" t="n">
        <f aca="false">G39+H39</f>
        <v>64.3</v>
      </c>
      <c r="J39" s="136" t="n">
        <f aca="false">IF(L39&gt;0,L39,0)</f>
        <v>0</v>
      </c>
      <c r="K39" s="135" t="n">
        <f aca="false">I39+J39</f>
        <v>64.3</v>
      </c>
      <c r="L39" s="135" t="n">
        <f aca="false">F39-(I39-AK39)</f>
        <v>-8.0336274262667</v>
      </c>
      <c r="M39" s="240" t="n">
        <v>4.1</v>
      </c>
      <c r="N39" s="135" t="n">
        <v>0</v>
      </c>
      <c r="O39" s="135" t="n">
        <v>0</v>
      </c>
      <c r="P39" s="155" t="n">
        <v>0</v>
      </c>
      <c r="Q39" s="261" t="n">
        <f aca="false">1000000/325851/1.9835*1.02</f>
        <v>1.57815228626028</v>
      </c>
      <c r="R39" s="155" t="n">
        <f aca="false">(2092656/325851/1.9835-T39)*1.04</f>
        <v>2.10916821802603</v>
      </c>
      <c r="S39" s="83" t="n">
        <v>0</v>
      </c>
      <c r="T39" s="83" t="n">
        <f aca="false">1.1632*1.04</f>
        <v>1.209728</v>
      </c>
      <c r="U39" s="96" t="n">
        <f aca="false">M39-(Q39+R39+S39+T39)</f>
        <v>-0.797048504286311</v>
      </c>
      <c r="V39" s="135" t="n">
        <v>0</v>
      </c>
      <c r="W39" s="135" t="n">
        <v>0</v>
      </c>
      <c r="X39" s="135" t="n">
        <f aca="false">M39-N39-O39-P39-Q39-R39-S39-T39-U39+V39+W39</f>
        <v>0</v>
      </c>
      <c r="Y39" s="135" t="n">
        <f aca="false">X39-AO39</f>
        <v>0</v>
      </c>
      <c r="Z39" s="135"/>
      <c r="AA39" s="135"/>
      <c r="AB39" s="107"/>
      <c r="AC39" s="136" t="n">
        <v>36.4</v>
      </c>
      <c r="AD39" s="107"/>
      <c r="AE39" s="135" t="n">
        <v>0</v>
      </c>
      <c r="AF39" s="240"/>
      <c r="AG39" s="241"/>
      <c r="AH39" s="135" t="n">
        <v>32</v>
      </c>
      <c r="AI39" s="107" t="n">
        <f aca="false">AI38-AH39</f>
        <v>1490</v>
      </c>
      <c r="AJ39" s="211"/>
      <c r="AK39" s="134" t="n">
        <f aca="false">N39+O39+P39+Q39+R39+S39+T39+U39+X39+AE39+AH39</f>
        <v>36.1</v>
      </c>
      <c r="AL39" s="135" t="n">
        <f aca="false">IF(L39&lt;0,L39*-1,0)</f>
        <v>8.0336274262667</v>
      </c>
      <c r="AM39" s="135" t="n">
        <f aca="false">AK39+AL39</f>
        <v>44.1336274262667</v>
      </c>
      <c r="AN39" s="212" t="n">
        <f aca="false">V39</f>
        <v>0</v>
      </c>
      <c r="AO39" s="207" t="n">
        <v>0</v>
      </c>
      <c r="AP39" s="135"/>
      <c r="AQ39" s="107"/>
      <c r="AR39" s="107"/>
      <c r="AS39" s="290"/>
      <c r="AV39" s="214" t="n">
        <v>0</v>
      </c>
      <c r="AW39" s="207" t="n">
        <v>40</v>
      </c>
      <c r="AX39" s="213" t="n">
        <v>28</v>
      </c>
      <c r="AY39" s="291"/>
      <c r="AZ39" s="242" t="n">
        <f aca="false">SUM(N39,P39:U39)</f>
        <v>4.1</v>
      </c>
    </row>
    <row r="40" customFormat="false" ht="12.95" hidden="false" customHeight="true" outlineLevel="0" collapsed="false">
      <c r="A40" s="179" t="n">
        <f aca="false">A39+1</f>
        <v>26</v>
      </c>
      <c r="B40" s="106" t="n">
        <v>6897.19</v>
      </c>
      <c r="C40" s="107" t="n">
        <v>273331</v>
      </c>
      <c r="D40" s="207" t="n">
        <f aca="false">C40-C39</f>
        <v>33</v>
      </c>
      <c r="E40" s="107" t="n">
        <f aca="false">C40-152000</f>
        <v>121331</v>
      </c>
      <c r="F40" s="238" t="n">
        <f aca="false">D40/$D$2</f>
        <v>16.63725737333</v>
      </c>
      <c r="G40" s="135" t="n">
        <v>59</v>
      </c>
      <c r="H40" s="289" t="n">
        <v>2.2</v>
      </c>
      <c r="I40" s="135" t="n">
        <f aca="false">G40+H40</f>
        <v>61.2</v>
      </c>
      <c r="J40" s="136" t="n">
        <f aca="false">IF(L40&gt;0,L40,0)</f>
        <v>0</v>
      </c>
      <c r="K40" s="135" t="n">
        <f aca="false">I40+J40</f>
        <v>61.2</v>
      </c>
      <c r="L40" s="135" t="n">
        <f aca="false">F40-(I40-AK40)</f>
        <v>-8.36274262667003</v>
      </c>
      <c r="M40" s="240" t="n">
        <v>4.2</v>
      </c>
      <c r="N40" s="135" t="n">
        <v>0</v>
      </c>
      <c r="O40" s="135" t="n">
        <v>0</v>
      </c>
      <c r="P40" s="155" t="n">
        <v>0</v>
      </c>
      <c r="Q40" s="261" t="n">
        <f aca="false">988300/325851/1.9835*1.02</f>
        <v>1.55968790451104</v>
      </c>
      <c r="R40" s="155" t="n">
        <f aca="false">(2376909/325851/1.9835-T40)*1.04</f>
        <v>2.56655871086857</v>
      </c>
      <c r="S40" s="83" t="n">
        <v>0</v>
      </c>
      <c r="T40" s="83" t="n">
        <f aca="false">1.1632*1.04</f>
        <v>1.209728</v>
      </c>
      <c r="U40" s="96" t="n">
        <f aca="false">M40-(Q40+R40+S40+T40)</f>
        <v>-1.13597461537961</v>
      </c>
      <c r="V40" s="135" t="n">
        <v>0</v>
      </c>
      <c r="W40" s="135" t="n">
        <v>0</v>
      </c>
      <c r="X40" s="135" t="n">
        <f aca="false">M40-N40-O40-P40-Q40-R40-S40-T40-U40+V40+W40</f>
        <v>0</v>
      </c>
      <c r="Y40" s="135" t="n">
        <f aca="false">X40-AO40</f>
        <v>0</v>
      </c>
      <c r="Z40" s="135"/>
      <c r="AA40" s="135"/>
      <c r="AB40" s="107"/>
      <c r="AC40" s="136" t="n">
        <v>34.1</v>
      </c>
      <c r="AD40" s="107"/>
      <c r="AE40" s="135" t="n">
        <v>0</v>
      </c>
      <c r="AF40" s="240"/>
      <c r="AG40" s="241"/>
      <c r="AH40" s="135" t="n">
        <v>32</v>
      </c>
      <c r="AI40" s="107" t="n">
        <f aca="false">AI39-AH40</f>
        <v>1458</v>
      </c>
      <c r="AJ40" s="211"/>
      <c r="AK40" s="134" t="n">
        <f aca="false">N40+O40+P40+Q40+R40+S40+T40+U40+X40+AE40+AH40</f>
        <v>36.2</v>
      </c>
      <c r="AL40" s="135" t="n">
        <f aca="false">IF(L40&lt;0,L40*-1,0)</f>
        <v>8.36274262667003</v>
      </c>
      <c r="AM40" s="135" t="n">
        <f aca="false">AK40+AL40</f>
        <v>44.56274262667</v>
      </c>
      <c r="AN40" s="212" t="n">
        <f aca="false">V40</f>
        <v>0</v>
      </c>
      <c r="AO40" s="207" t="n">
        <v>0</v>
      </c>
      <c r="AP40" s="135"/>
      <c r="AQ40" s="107"/>
      <c r="AR40" s="107"/>
      <c r="AS40" s="290"/>
      <c r="AV40" s="214" t="n">
        <v>0</v>
      </c>
      <c r="AW40" s="207" t="n">
        <v>44</v>
      </c>
      <c r="AX40" s="207" t="n">
        <v>26</v>
      </c>
      <c r="AY40" s="291"/>
      <c r="AZ40" s="242" t="n">
        <f aca="false">SUM(N40,P40:U40)</f>
        <v>4.2</v>
      </c>
    </row>
    <row r="41" customFormat="false" ht="12.95" hidden="false" customHeight="true" outlineLevel="0" collapsed="false">
      <c r="A41" s="179" t="n">
        <f aca="false">A40+1</f>
        <v>27</v>
      </c>
      <c r="B41" s="106" t="n">
        <v>6897.2</v>
      </c>
      <c r="C41" s="107" t="n">
        <v>273367</v>
      </c>
      <c r="D41" s="207" t="n">
        <f aca="false">C41-C40</f>
        <v>36</v>
      </c>
      <c r="E41" s="107" t="n">
        <f aca="false">C41-152000</f>
        <v>121367</v>
      </c>
      <c r="F41" s="238" t="n">
        <f aca="false">D41/$D$2</f>
        <v>18.14973531636</v>
      </c>
      <c r="G41" s="135" t="n">
        <v>59</v>
      </c>
      <c r="H41" s="289" t="n">
        <v>2.1</v>
      </c>
      <c r="I41" s="135" t="n">
        <f aca="false">G41+H41</f>
        <v>61.1</v>
      </c>
      <c r="J41" s="136" t="n">
        <f aca="false">IF(L41&gt;0,L41,0)</f>
        <v>0</v>
      </c>
      <c r="K41" s="135" t="n">
        <f aca="false">I41+J41</f>
        <v>61.1</v>
      </c>
      <c r="L41" s="135" t="n">
        <f aca="false">F41-(I41-AK41)</f>
        <v>-5.65026468364004</v>
      </c>
      <c r="M41" s="240" t="n">
        <v>5.3</v>
      </c>
      <c r="N41" s="135" t="n">
        <v>0</v>
      </c>
      <c r="O41" s="135" t="n">
        <v>0</v>
      </c>
      <c r="P41" s="155" t="n">
        <v>0</v>
      </c>
      <c r="Q41" s="261" t="n">
        <f aca="false">1213100/325851/1.9835*1.02</f>
        <v>1.91445653846235</v>
      </c>
      <c r="R41" s="155" t="n">
        <f aca="false">(1837811/325851/1.9835-T41)*1.04</f>
        <v>1.69909803354791</v>
      </c>
      <c r="S41" s="83" t="n">
        <v>0</v>
      </c>
      <c r="T41" s="83" t="n">
        <f aca="false">1.1632*1.04</f>
        <v>1.209728</v>
      </c>
      <c r="U41" s="96" t="n">
        <f aca="false">M41-(Q41+R41+S41+T41)</f>
        <v>0.476717427989743</v>
      </c>
      <c r="V41" s="135" t="n">
        <v>0</v>
      </c>
      <c r="W41" s="135" t="n">
        <v>0</v>
      </c>
      <c r="X41" s="135" t="n">
        <f aca="false">M41-N41-O41-P41-Q41-R41-S41-T41-U41+V41+W41</f>
        <v>0</v>
      </c>
      <c r="Y41" s="135" t="n">
        <f aca="false">X41-AO41</f>
        <v>0</v>
      </c>
      <c r="Z41" s="135"/>
      <c r="AA41" s="135"/>
      <c r="AB41" s="107"/>
      <c r="AC41" s="136" t="n">
        <v>36</v>
      </c>
      <c r="AD41" s="107"/>
      <c r="AE41" s="135" t="n">
        <v>0</v>
      </c>
      <c r="AF41" s="240"/>
      <c r="AG41" s="241"/>
      <c r="AH41" s="135" t="n">
        <v>32</v>
      </c>
      <c r="AI41" s="107" t="n">
        <f aca="false">AI40-AH41</f>
        <v>1426</v>
      </c>
      <c r="AJ41" s="211"/>
      <c r="AK41" s="134" t="n">
        <f aca="false">N41+O41+P41+Q41+R41+S41+T41+U41+X41+AE41+AH41</f>
        <v>37.3</v>
      </c>
      <c r="AL41" s="135" t="n">
        <f aca="false">IF(L41&lt;0,L41*-1,0)</f>
        <v>5.65026468364004</v>
      </c>
      <c r="AM41" s="135" t="n">
        <f aca="false">AK41+AL41</f>
        <v>42.95026468364</v>
      </c>
      <c r="AN41" s="212" t="n">
        <f aca="false">V41</f>
        <v>0</v>
      </c>
      <c r="AO41" s="207" t="n">
        <v>0</v>
      </c>
      <c r="AP41" s="135"/>
      <c r="AQ41" s="107"/>
      <c r="AR41" s="107"/>
      <c r="AS41" s="290"/>
      <c r="AV41" s="214" t="n">
        <v>0</v>
      </c>
      <c r="AW41" s="207" t="n">
        <v>39</v>
      </c>
      <c r="AX41" s="207" t="n">
        <v>23</v>
      </c>
      <c r="AY41" s="291"/>
      <c r="AZ41" s="242" t="n">
        <f aca="false">SUM(N41,P41:U41)</f>
        <v>5.3</v>
      </c>
    </row>
    <row r="42" customFormat="false" ht="12.95" hidden="false" customHeight="true" outlineLevel="0" collapsed="false">
      <c r="A42" s="179" t="n">
        <v>28</v>
      </c>
      <c r="B42" s="106" t="n">
        <v>6897.22</v>
      </c>
      <c r="C42" s="107" t="n">
        <v>273439</v>
      </c>
      <c r="D42" s="207" t="n">
        <f aca="false">C42-C41</f>
        <v>72</v>
      </c>
      <c r="E42" s="107" t="n">
        <f aca="false">C42-152000</f>
        <v>121439</v>
      </c>
      <c r="F42" s="238" t="n">
        <f aca="false">D42/$D$2</f>
        <v>36.2994706327199</v>
      </c>
      <c r="G42" s="135" t="n">
        <v>56</v>
      </c>
      <c r="H42" s="289" t="n">
        <v>2</v>
      </c>
      <c r="I42" s="135" t="n">
        <f aca="false">G42+H42</f>
        <v>58</v>
      </c>
      <c r="J42" s="136" t="n">
        <f aca="false">IF(L42&gt;0,L42,0)</f>
        <v>14.3994706327199</v>
      </c>
      <c r="K42" s="135" t="n">
        <f aca="false">I42+J42</f>
        <v>72.3994706327199</v>
      </c>
      <c r="L42" s="135" t="n">
        <f aca="false">F42-(I42-AK42)</f>
        <v>14.3994706327199</v>
      </c>
      <c r="M42" s="240" t="n">
        <v>4.1</v>
      </c>
      <c r="N42" s="135" t="n">
        <v>0</v>
      </c>
      <c r="O42" s="135" t="n">
        <v>0</v>
      </c>
      <c r="P42" s="155" t="n">
        <v>0</v>
      </c>
      <c r="Q42" s="261" t="n">
        <f aca="false">1113400/325851/1.9835*1.02</f>
        <v>1.7571147555222</v>
      </c>
      <c r="R42" s="155" t="n">
        <f aca="false">(1667568/325851/1.9835-T42)*1.04</f>
        <v>1.42516062682575</v>
      </c>
      <c r="S42" s="83" t="n">
        <v>0</v>
      </c>
      <c r="T42" s="83" t="n">
        <f aca="false">1.1632*1.04</f>
        <v>1.209728</v>
      </c>
      <c r="U42" s="96" t="n">
        <f aca="false">M42-(Q42+R42+S42+T42)</f>
        <v>-0.292003382347948</v>
      </c>
      <c r="V42" s="135" t="n">
        <v>0</v>
      </c>
      <c r="W42" s="135" t="n">
        <v>0</v>
      </c>
      <c r="X42" s="135" t="n">
        <f aca="false">M42-N42-O42-P42-Q42-R42-S42-T42-U42+V42+W42</f>
        <v>0</v>
      </c>
      <c r="Y42" s="135" t="n">
        <f aca="false">X42-AO42</f>
        <v>0</v>
      </c>
      <c r="Z42" s="135"/>
      <c r="AA42" s="135"/>
      <c r="AB42" s="107"/>
      <c r="AC42" s="136" t="n">
        <v>39.9</v>
      </c>
      <c r="AD42" s="107"/>
      <c r="AE42" s="135" t="n">
        <v>0</v>
      </c>
      <c r="AF42" s="240"/>
      <c r="AG42" s="241"/>
      <c r="AH42" s="135" t="n">
        <v>32</v>
      </c>
      <c r="AI42" s="107" t="n">
        <f aca="false">AI41-AH42</f>
        <v>1394</v>
      </c>
      <c r="AJ42" s="211"/>
      <c r="AK42" s="134" t="n">
        <f aca="false">N42+O42+P42+Q42+R42+S42+T42+U42+X42+AE42+AH42</f>
        <v>36.1</v>
      </c>
      <c r="AL42" s="135" t="n">
        <f aca="false">IF(L42&lt;0,L42*-1,0)</f>
        <v>0</v>
      </c>
      <c r="AM42" s="135" t="n">
        <f aca="false">AK42+AL42</f>
        <v>36.1</v>
      </c>
      <c r="AN42" s="212" t="n">
        <f aca="false">V42</f>
        <v>0</v>
      </c>
      <c r="AO42" s="207" t="n">
        <v>0</v>
      </c>
      <c r="AP42" s="135"/>
      <c r="AQ42" s="107"/>
      <c r="AR42" s="107"/>
      <c r="AS42" s="290"/>
      <c r="AV42" s="214" t="n">
        <v>0</v>
      </c>
      <c r="AW42" s="207" t="n">
        <v>47</v>
      </c>
      <c r="AX42" s="207" t="n">
        <v>16</v>
      </c>
      <c r="AY42" s="291"/>
      <c r="AZ42" s="242" t="n">
        <f aca="false">SUM(N42,P42:U42)</f>
        <v>4.1</v>
      </c>
    </row>
    <row r="43" customFormat="false" ht="3" hidden="false" customHeight="true" outlineLevel="0" collapsed="false">
      <c r="A43" s="302"/>
      <c r="B43" s="244"/>
      <c r="C43" s="225"/>
      <c r="D43" s="225"/>
      <c r="E43" s="225"/>
      <c r="F43" s="249"/>
      <c r="G43" s="225"/>
      <c r="H43" s="235"/>
      <c r="I43" s="225"/>
      <c r="J43" s="225"/>
      <c r="K43" s="225"/>
      <c r="L43" s="225"/>
      <c r="M43" s="250"/>
      <c r="N43" s="225"/>
      <c r="O43" s="225"/>
      <c r="P43" s="230"/>
      <c r="Q43" s="225"/>
      <c r="R43" s="225"/>
      <c r="S43" s="235"/>
      <c r="T43" s="235"/>
      <c r="U43" s="231"/>
      <c r="V43" s="225"/>
      <c r="W43" s="225"/>
      <c r="X43" s="225"/>
      <c r="Y43" s="225"/>
      <c r="Z43" s="225"/>
      <c r="AA43" s="225"/>
      <c r="AB43" s="225"/>
      <c r="AC43" s="232"/>
      <c r="AD43" s="225"/>
      <c r="AE43" s="225"/>
      <c r="AF43" s="250"/>
      <c r="AG43" s="274"/>
      <c r="AH43" s="225"/>
      <c r="AI43" s="226"/>
      <c r="AJ43" s="258"/>
      <c r="AK43" s="225"/>
      <c r="AL43" s="225"/>
      <c r="AM43" s="225"/>
      <c r="AN43" s="234"/>
      <c r="AO43" s="235"/>
      <c r="AP43" s="225"/>
      <c r="AQ43" s="225"/>
      <c r="AR43" s="225"/>
      <c r="AS43" s="235"/>
      <c r="AT43" s="297"/>
      <c r="AU43" s="297"/>
      <c r="AV43" s="252"/>
      <c r="AW43" s="225"/>
      <c r="AX43" s="225"/>
      <c r="AY43" s="298"/>
      <c r="AZ43" s="299"/>
    </row>
    <row r="44" customFormat="false" ht="12.95" hidden="false" customHeight="true" outlineLevel="0" collapsed="false">
      <c r="A44" s="184" t="s">
        <v>101</v>
      </c>
      <c r="B44" s="212"/>
      <c r="C44" s="207"/>
      <c r="D44" s="207"/>
      <c r="E44" s="207"/>
      <c r="F44" s="215" t="n">
        <f aca="false">SUM(F15:F42)</f>
        <v>145.702041845223</v>
      </c>
      <c r="G44" s="207" t="n">
        <f aca="false">SUM(G15:G42)</f>
        <v>1544</v>
      </c>
      <c r="H44" s="207" t="n">
        <f aca="false">SUM(H15:H42)</f>
        <v>66.2</v>
      </c>
      <c r="I44" s="207" t="n">
        <f aca="false">SUM(I15:I42)</f>
        <v>1610.2</v>
      </c>
      <c r="J44" s="207" t="n">
        <f aca="false">SUM(J15:J42)</f>
        <v>157.948600957903</v>
      </c>
      <c r="K44" s="207" t="n">
        <f aca="false">SUM(K15:K42)</f>
        <v>1768.1486009579</v>
      </c>
      <c r="L44" s="207" t="n">
        <f aca="false">SUM(L15:L42)</f>
        <v>-66.5979581547769</v>
      </c>
      <c r="M44" s="303" t="n">
        <f aca="false">SUM(M15:M42)</f>
        <v>129.9</v>
      </c>
      <c r="N44" s="207" t="n">
        <f aca="false">SUM(N15:N42)</f>
        <v>0</v>
      </c>
      <c r="O44" s="207" t="n">
        <f aca="false">SUM(O15:O42)</f>
        <v>0</v>
      </c>
      <c r="P44" s="207" t="n">
        <f aca="false">SUM(P15:P42)</f>
        <v>0</v>
      </c>
      <c r="Q44" s="207" t="n">
        <f aca="false">SUM(Q15:Q42)</f>
        <v>46.953975896959</v>
      </c>
      <c r="R44" s="207" t="n">
        <f aca="false">SUM(R15:R42)</f>
        <v>54.3988360721567</v>
      </c>
      <c r="S44" s="207" t="n">
        <f aca="false">SUM(S15:S42)</f>
        <v>0</v>
      </c>
      <c r="T44" s="207" t="n">
        <f aca="false">SUM(T15:T42)</f>
        <v>35.261616</v>
      </c>
      <c r="U44" s="304" t="n">
        <f aca="false">SUM(U15:U42)</f>
        <v>-6.71442796911575</v>
      </c>
      <c r="V44" s="207" t="n">
        <f aca="false">SUM(V15:V42)</f>
        <v>373</v>
      </c>
      <c r="W44" s="207" t="n">
        <f aca="false">SUM(W15:W42)</f>
        <v>0</v>
      </c>
      <c r="X44" s="207" t="n">
        <f aca="false">SUM(X15:X42)</f>
        <v>373</v>
      </c>
      <c r="Y44" s="207" t="n">
        <f aca="false">SUM(Y15:Y42)</f>
        <v>373</v>
      </c>
      <c r="Z44" s="207"/>
      <c r="AA44" s="207"/>
      <c r="AB44" s="207"/>
      <c r="AC44" s="136" t="n">
        <f aca="false">SUM(AC15:AC42)</f>
        <v>600.3</v>
      </c>
      <c r="AD44" s="207"/>
      <c r="AE44" s="207"/>
      <c r="AF44" s="240"/>
      <c r="AG44" s="241"/>
      <c r="AH44" s="207" t="n">
        <f aca="false">SUM(AH15:AH42)</f>
        <v>895</v>
      </c>
      <c r="AI44" s="207"/>
      <c r="AJ44" s="207" t="n">
        <f aca="false">SUM(AJ15:AJ42)</f>
        <v>0</v>
      </c>
      <c r="AK44" s="207" t="n">
        <f aca="false">SUM(AK15:AK42)</f>
        <v>1397.9</v>
      </c>
      <c r="AL44" s="207" t="n">
        <f aca="false">SUM(AL15:AL42)</f>
        <v>224.54655911268</v>
      </c>
      <c r="AM44" s="207" t="n">
        <f aca="false">SUM(AM15:AM42)</f>
        <v>1622.44655911268</v>
      </c>
      <c r="AN44" s="207" t="n">
        <f aca="false">SUM(AN15:AN42)</f>
        <v>373</v>
      </c>
      <c r="AO44" s="207" t="n">
        <f aca="false">SUM(AO15:AO42)</f>
        <v>0</v>
      </c>
      <c r="AP44" s="135"/>
      <c r="AQ44" s="135"/>
      <c r="AR44" s="135"/>
      <c r="AS44" s="290"/>
      <c r="AV44" s="214" t="n">
        <f aca="false">SUM(AV15:AV42)</f>
        <v>0.38</v>
      </c>
      <c r="AW44" s="207" t="n">
        <f aca="false">AVERAGE(AW15:AW42)</f>
        <v>39.3928571428571</v>
      </c>
      <c r="AX44" s="207" t="n">
        <f aca="false">AVERAGE(AX15:AX42)</f>
        <v>16.0714285714286</v>
      </c>
      <c r="AY44" s="305" t="s">
        <v>119</v>
      </c>
      <c r="AZ44" s="306" t="n">
        <f aca="false">SUM(AZ15:AZ42)</f>
        <v>129.9</v>
      </c>
    </row>
    <row r="45" customFormat="false" ht="12.95" hidden="false" customHeight="true" outlineLevel="0" collapsed="false">
      <c r="A45" s="184" t="s">
        <v>103</v>
      </c>
      <c r="B45" s="212"/>
      <c r="C45" s="207"/>
      <c r="D45" s="207" t="n">
        <f aca="false">SUM(D15:D42)</f>
        <v>289</v>
      </c>
      <c r="E45" s="207"/>
      <c r="F45" s="215" t="n">
        <f aca="false">F44*$D$2</f>
        <v>289</v>
      </c>
      <c r="G45" s="207" t="n">
        <f aca="false">G44*$D$2</f>
        <v>3062.524</v>
      </c>
      <c r="H45" s="207" t="n">
        <f aca="false">H44*$D$2</f>
        <v>131.3077</v>
      </c>
      <c r="I45" s="207" t="n">
        <f aca="false">I44*$D$2</f>
        <v>3193.8317</v>
      </c>
      <c r="J45" s="207" t="n">
        <f aca="false">J44*$D$2</f>
        <v>313.29105</v>
      </c>
      <c r="K45" s="207" t="n">
        <f aca="false">K44*$D$2</f>
        <v>3507.12275</v>
      </c>
      <c r="L45" s="207" t="n">
        <f aca="false">L44*$D$2</f>
        <v>-132.09705</v>
      </c>
      <c r="M45" s="307" t="n">
        <f aca="false">M44*$D$2</f>
        <v>257.65665</v>
      </c>
      <c r="N45" s="207" t="n">
        <f aca="false">N44*$D$2</f>
        <v>0</v>
      </c>
      <c r="O45" s="207" t="n">
        <f aca="false">O44*$D$2</f>
        <v>0</v>
      </c>
      <c r="P45" s="155"/>
      <c r="Q45" s="207" t="n">
        <f aca="false">Q44*$D$2</f>
        <v>93.1332111916182</v>
      </c>
      <c r="R45" s="207" t="n">
        <f aca="false">R44*$D$2</f>
        <v>107.900091349123</v>
      </c>
      <c r="S45" s="207" t="n">
        <f aca="false">S44*$D$2</f>
        <v>0</v>
      </c>
      <c r="T45" s="207" t="n">
        <f aca="false">T44*$D$2</f>
        <v>69.941415336</v>
      </c>
      <c r="U45" s="308" t="n">
        <f aca="false">U44*$D$2</f>
        <v>-13.3180678767411</v>
      </c>
      <c r="V45" s="207" t="n">
        <f aca="false">V44*$D$2</f>
        <v>739.8455</v>
      </c>
      <c r="W45" s="207" t="n">
        <f aca="false">W44*$D$2</f>
        <v>0</v>
      </c>
      <c r="X45" s="207" t="n">
        <f aca="false">X44*$D$2</f>
        <v>739.8455</v>
      </c>
      <c r="Y45" s="207" t="n">
        <f aca="false">Y44*$D$2</f>
        <v>739.8455</v>
      </c>
      <c r="Z45" s="207"/>
      <c r="AA45" s="207"/>
      <c r="AB45" s="207"/>
      <c r="AC45" s="136" t="n">
        <f aca="false">AC44*$D$2</f>
        <v>1190.69505</v>
      </c>
      <c r="AD45" s="207"/>
      <c r="AE45" s="207"/>
      <c r="AF45" s="240"/>
      <c r="AG45" s="241"/>
      <c r="AH45" s="207" t="n">
        <f aca="false">AH44*$D$2</f>
        <v>1775.2325</v>
      </c>
      <c r="AI45" s="207"/>
      <c r="AJ45" s="207" t="n">
        <f aca="false">AJ44*$D$2</f>
        <v>0</v>
      </c>
      <c r="AK45" s="207" t="n">
        <f aca="false">AK44*$D$2</f>
        <v>2772.73465</v>
      </c>
      <c r="AL45" s="207" t="n">
        <f aca="false">AL44*$D$2</f>
        <v>445.3881</v>
      </c>
      <c r="AM45" s="207" t="n">
        <f aca="false">AM44*$D$2</f>
        <v>3218.12275</v>
      </c>
      <c r="AN45" s="207" t="n">
        <f aca="false">AN44*$D$2</f>
        <v>739.8455</v>
      </c>
      <c r="AO45" s="207" t="n">
        <f aca="false">AO44*$D$2</f>
        <v>0</v>
      </c>
      <c r="AP45" s="135"/>
      <c r="AQ45" s="135"/>
      <c r="AR45" s="135"/>
      <c r="AS45" s="290"/>
      <c r="AV45" s="214"/>
      <c r="AW45" s="207" t="n">
        <f aca="false">MAX(AW15:AW42)</f>
        <v>54</v>
      </c>
      <c r="AX45" s="207" t="n">
        <f aca="false">MAX(AX15:AX42)</f>
        <v>32</v>
      </c>
      <c r="AY45" s="215" t="s">
        <v>104</v>
      </c>
      <c r="AZ45" s="306" t="n">
        <f aca="false">AZ44*$D$2</f>
        <v>257.65665</v>
      </c>
    </row>
    <row r="46" customFormat="false" ht="3" hidden="false" customHeight="true" outlineLevel="0" collapsed="false">
      <c r="A46" s="302"/>
      <c r="B46" s="244"/>
      <c r="C46" s="225"/>
      <c r="D46" s="225"/>
      <c r="E46" s="225"/>
      <c r="F46" s="249"/>
      <c r="G46" s="225"/>
      <c r="H46" s="235"/>
      <c r="I46" s="225"/>
      <c r="J46" s="225"/>
      <c r="K46" s="225"/>
      <c r="L46" s="225"/>
      <c r="M46" s="250"/>
      <c r="N46" s="225"/>
      <c r="O46" s="225"/>
      <c r="P46" s="230"/>
      <c r="Q46" s="225"/>
      <c r="R46" s="225"/>
      <c r="S46" s="235"/>
      <c r="T46" s="235"/>
      <c r="U46" s="231"/>
      <c r="V46" s="225"/>
      <c r="W46" s="225"/>
      <c r="X46" s="225"/>
      <c r="Y46" s="225"/>
      <c r="Z46" s="225"/>
      <c r="AA46" s="225"/>
      <c r="AB46" s="225"/>
      <c r="AC46" s="232"/>
      <c r="AD46" s="225"/>
      <c r="AE46" s="225"/>
      <c r="AF46" s="250"/>
      <c r="AG46" s="274"/>
      <c r="AH46" s="225"/>
      <c r="AI46" s="226"/>
      <c r="AJ46" s="225"/>
      <c r="AK46" s="225"/>
      <c r="AL46" s="225"/>
      <c r="AM46" s="225"/>
      <c r="AN46" s="235"/>
      <c r="AO46" s="235"/>
      <c r="AP46" s="225"/>
      <c r="AQ46" s="225"/>
      <c r="AR46" s="225"/>
      <c r="AS46" s="235"/>
      <c r="AT46" s="297"/>
      <c r="AU46" s="297"/>
      <c r="AV46" s="252"/>
      <c r="AW46" s="225"/>
      <c r="AX46" s="225"/>
      <c r="AY46" s="246"/>
      <c r="AZ46" s="309"/>
    </row>
    <row r="47" customFormat="false" ht="12.95" hidden="false" customHeight="true" outlineLevel="0" collapsed="false">
      <c r="A47" s="184" t="s">
        <v>105</v>
      </c>
      <c r="B47" s="212"/>
      <c r="C47" s="207"/>
      <c r="D47" s="207"/>
      <c r="E47" s="207"/>
      <c r="F47" s="215"/>
      <c r="G47" s="207"/>
      <c r="H47" s="207"/>
      <c r="I47" s="207"/>
      <c r="J47" s="207"/>
      <c r="K47" s="207"/>
      <c r="L47" s="207"/>
      <c r="M47" s="307"/>
      <c r="N47" s="207"/>
      <c r="O47" s="207"/>
      <c r="P47" s="155"/>
      <c r="Q47" s="207"/>
      <c r="R47" s="207"/>
      <c r="S47" s="207"/>
      <c r="T47" s="207"/>
      <c r="U47" s="209"/>
      <c r="V47" s="207"/>
      <c r="W47" s="207"/>
      <c r="X47" s="207"/>
      <c r="Y47" s="207"/>
      <c r="Z47" s="207"/>
      <c r="AA47" s="207"/>
      <c r="AB47" s="207"/>
      <c r="AC47" s="136"/>
      <c r="AD47" s="207"/>
      <c r="AE47" s="207"/>
      <c r="AF47" s="240"/>
      <c r="AG47" s="241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310"/>
      <c r="AV47" s="212"/>
      <c r="AW47" s="207" t="n">
        <f aca="false">MIN(AW15:AW42)</f>
        <v>12</v>
      </c>
      <c r="AX47" s="207" t="n">
        <f aca="false">MIN(AX15:AX42)</f>
        <v>-11</v>
      </c>
      <c r="AY47" s="215" t="s">
        <v>106</v>
      </c>
      <c r="AZ47" s="306"/>
    </row>
    <row r="48" customFormat="false" ht="12.95" hidden="false" customHeight="true" outlineLevel="0" collapsed="false">
      <c r="A48" s="184" t="s">
        <v>107</v>
      </c>
      <c r="B48" s="212"/>
      <c r="C48" s="207"/>
      <c r="D48" s="207"/>
      <c r="E48" s="207"/>
      <c r="F48" s="215"/>
      <c r="G48" s="207"/>
      <c r="H48" s="207"/>
      <c r="I48" s="207"/>
      <c r="J48" s="207"/>
      <c r="K48" s="207"/>
      <c r="L48" s="207"/>
      <c r="M48" s="307"/>
      <c r="N48" s="207"/>
      <c r="O48" s="207"/>
      <c r="P48" s="155"/>
      <c r="Q48" s="207"/>
      <c r="R48" s="207"/>
      <c r="S48" s="207"/>
      <c r="T48" s="207"/>
      <c r="U48" s="209"/>
      <c r="V48" s="207"/>
      <c r="W48" s="207"/>
      <c r="X48" s="207"/>
      <c r="Y48" s="207"/>
      <c r="Z48" s="207"/>
      <c r="AA48" s="207"/>
      <c r="AB48" s="207"/>
      <c r="AC48" s="136"/>
      <c r="AD48" s="207"/>
      <c r="AE48" s="207"/>
      <c r="AF48" s="240"/>
      <c r="AG48" s="241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310"/>
      <c r="AV48" s="212"/>
      <c r="AW48" s="207"/>
      <c r="AX48" s="207"/>
      <c r="AY48" s="291"/>
      <c r="AZ48" s="306"/>
    </row>
    <row r="49" customFormat="false" ht="3" hidden="false" customHeight="true" outlineLevel="0" collapsed="false">
      <c r="A49" s="302"/>
      <c r="B49" s="234"/>
      <c r="C49" s="235"/>
      <c r="D49" s="235"/>
      <c r="E49" s="235"/>
      <c r="F49" s="246"/>
      <c r="G49" s="235"/>
      <c r="H49" s="235"/>
      <c r="I49" s="235"/>
      <c r="J49" s="235"/>
      <c r="K49" s="235"/>
      <c r="L49" s="235"/>
      <c r="M49" s="311"/>
      <c r="N49" s="235"/>
      <c r="O49" s="235"/>
      <c r="P49" s="230"/>
      <c r="Q49" s="235"/>
      <c r="R49" s="235"/>
      <c r="S49" s="235"/>
      <c r="T49" s="235"/>
      <c r="U49" s="231"/>
      <c r="V49" s="235"/>
      <c r="W49" s="235"/>
      <c r="X49" s="235"/>
      <c r="Y49" s="235"/>
      <c r="Z49" s="235"/>
      <c r="AA49" s="235"/>
      <c r="AB49" s="235"/>
      <c r="AC49" s="232"/>
      <c r="AD49" s="235"/>
      <c r="AE49" s="235"/>
      <c r="AF49" s="311"/>
      <c r="AG49" s="273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97"/>
      <c r="AU49" s="297"/>
      <c r="AV49" s="234"/>
      <c r="AW49" s="235"/>
      <c r="AX49" s="235"/>
      <c r="AY49" s="298"/>
      <c r="AZ49" s="247"/>
    </row>
    <row r="50" customFormat="false" ht="12.95" hidden="false" customHeight="true" outlineLevel="0" collapsed="false">
      <c r="A50" s="184" t="s">
        <v>108</v>
      </c>
      <c r="B50" s="212"/>
      <c r="C50" s="207"/>
      <c r="D50" s="207"/>
      <c r="E50" s="207"/>
      <c r="F50" s="215" t="n">
        <f aca="false">F13+F44</f>
        <v>-1992.43761028485</v>
      </c>
      <c r="G50" s="207" t="n">
        <f aca="false">G13+G44</f>
        <v>7603</v>
      </c>
      <c r="H50" s="207" t="n">
        <f aca="false">H13+H44</f>
        <v>238.38</v>
      </c>
      <c r="I50" s="207" t="n">
        <f aca="false">I13+I44</f>
        <v>7841.38</v>
      </c>
      <c r="J50" s="207" t="n">
        <f aca="false">J13+J44</f>
        <v>1175.25869674817</v>
      </c>
      <c r="K50" s="207" t="n">
        <f aca="false">K13+K44</f>
        <v>9016.63869674817</v>
      </c>
      <c r="L50" s="207" t="n">
        <f aca="false">L13+L44</f>
        <v>156.27238971515</v>
      </c>
      <c r="M50" s="307" t="n">
        <f aca="false">M13+M44</f>
        <v>638.81</v>
      </c>
      <c r="N50" s="207" t="n">
        <f aca="false">N13+N44</f>
        <v>0</v>
      </c>
      <c r="O50" s="207" t="n">
        <f aca="false">O13+O44</f>
        <v>0</v>
      </c>
      <c r="P50" s="155"/>
      <c r="Q50" s="207" t="n">
        <f aca="false">Q13+Q44</f>
        <v>204.772298939235</v>
      </c>
      <c r="R50" s="207" t="n">
        <f aca="false">R13+R44</f>
        <v>204.916359445144</v>
      </c>
      <c r="S50" s="207" t="n">
        <f aca="false">S13+S44</f>
        <v>0</v>
      </c>
      <c r="T50" s="207" t="n">
        <f aca="false">T13+T44</f>
        <v>131.915264</v>
      </c>
      <c r="U50" s="308" t="n">
        <f aca="false">U13+U44</f>
        <v>-21.8131522245814</v>
      </c>
      <c r="V50" s="207" t="n">
        <f aca="false">V13+V44</f>
        <v>5423</v>
      </c>
      <c r="W50" s="207" t="n">
        <f aca="false">W13+W44</f>
        <v>58.28</v>
      </c>
      <c r="X50" s="207" t="n">
        <f aca="false">X13+X44</f>
        <v>5600.2992298402</v>
      </c>
      <c r="Y50" s="207" t="n">
        <f aca="false">Y13+Y44</f>
        <v>5398.5</v>
      </c>
      <c r="Z50" s="207"/>
      <c r="AA50" s="207"/>
      <c r="AB50" s="207"/>
      <c r="AC50" s="136" t="n">
        <f aca="false">AC13+AC44</f>
        <v>1632</v>
      </c>
      <c r="AD50" s="207"/>
      <c r="AE50" s="207"/>
      <c r="AF50" s="240"/>
      <c r="AG50" s="241"/>
      <c r="AH50" s="207" t="n">
        <f aca="false">AH13+AH44</f>
        <v>3870</v>
      </c>
      <c r="AI50" s="207" t="n">
        <f aca="false">AI42</f>
        <v>1394</v>
      </c>
      <c r="AJ50" s="207" t="n">
        <f aca="false">AJ13+AJ44</f>
        <v>0</v>
      </c>
      <c r="AK50" s="207" t="n">
        <f aca="false">AK13+AK44</f>
        <v>9990.09</v>
      </c>
      <c r="AL50" s="207" t="n">
        <f aca="false">AL13+AL44</f>
        <v>1018.98630703302</v>
      </c>
      <c r="AM50" s="207" t="n">
        <f aca="false">AM13+AM44</f>
        <v>11009.076307033</v>
      </c>
      <c r="AN50" s="207" t="n">
        <f aca="false">AN13+AN44</f>
        <v>5398.5</v>
      </c>
      <c r="AO50" s="207" t="n">
        <f aca="false">AO13+AO44</f>
        <v>201.799229840203</v>
      </c>
      <c r="AP50" s="207"/>
      <c r="AQ50" s="207"/>
      <c r="AR50" s="207"/>
      <c r="AS50" s="310"/>
      <c r="AV50" s="312" t="n">
        <f aca="false">AV13+AV44</f>
        <v>3.76</v>
      </c>
      <c r="AW50" s="207"/>
      <c r="AX50" s="207"/>
      <c r="AY50" s="291"/>
      <c r="AZ50" s="306" t="n">
        <f aca="false">AZ13+AZ44</f>
        <v>519.790770159798</v>
      </c>
    </row>
    <row r="51" customFormat="false" ht="12.95" hidden="false" customHeight="true" outlineLevel="0" collapsed="false">
      <c r="A51" s="184" t="s">
        <v>109</v>
      </c>
      <c r="B51" s="212"/>
      <c r="C51" s="207"/>
      <c r="D51" s="207" t="n">
        <f aca="false">D13+D45</f>
        <v>-3952</v>
      </c>
      <c r="E51" s="107" t="n">
        <f aca="false">E42</f>
        <v>121439</v>
      </c>
      <c r="F51" s="215" t="n">
        <f aca="false">F50*$D$2</f>
        <v>-3952</v>
      </c>
      <c r="G51" s="207" t="n">
        <f aca="false">G50*$D$2</f>
        <v>15080.5505</v>
      </c>
      <c r="H51" s="207" t="n">
        <f aca="false">H50*$D$2</f>
        <v>472.82673</v>
      </c>
      <c r="I51" s="207" t="n">
        <f aca="false">I50*$D$2</f>
        <v>15553.37723</v>
      </c>
      <c r="J51" s="207" t="n">
        <f aca="false">J50*$D$2</f>
        <v>2331.125625</v>
      </c>
      <c r="K51" s="207" t="n">
        <f aca="false">K50*$D$2</f>
        <v>17884.502855</v>
      </c>
      <c r="L51" s="207" t="n">
        <f aca="false">L50*$D$2</f>
        <v>309.966285</v>
      </c>
      <c r="M51" s="307" t="n">
        <f aca="false">M50*$D$2</f>
        <v>1267.079635</v>
      </c>
      <c r="N51" s="207" t="n">
        <f aca="false">N50*$D$2</f>
        <v>0</v>
      </c>
      <c r="O51" s="207" t="n">
        <f aca="false">O50*$D$2</f>
        <v>0</v>
      </c>
      <c r="P51" s="155"/>
      <c r="Q51" s="207" t="n">
        <f aca="false">Q50*$D$2</f>
        <v>406.165854945972</v>
      </c>
      <c r="R51" s="207" t="n">
        <f aca="false">R50*$D$2</f>
        <v>406.451598959443</v>
      </c>
      <c r="S51" s="207" t="n">
        <f aca="false">S50*$D$2</f>
        <v>0</v>
      </c>
      <c r="T51" s="207" t="n">
        <f aca="false">T50*$D$2</f>
        <v>261.653926144</v>
      </c>
      <c r="U51" s="308" t="n">
        <f aca="false">U50*$D$2</f>
        <v>-43.2663874374571</v>
      </c>
      <c r="V51" s="207" t="n">
        <f aca="false">V50*$D$2</f>
        <v>10756.5205</v>
      </c>
      <c r="W51" s="207" t="n">
        <f aca="false">W50*$D$2</f>
        <v>115.59838</v>
      </c>
      <c r="X51" s="207" t="n">
        <f aca="false">X50*$D$2</f>
        <v>11108.193522388</v>
      </c>
      <c r="Y51" s="207" t="n">
        <f aca="false">Y50*$D$2</f>
        <v>10707.92475</v>
      </c>
      <c r="Z51" s="207"/>
      <c r="AA51" s="207"/>
      <c r="AB51" s="207"/>
      <c r="AC51" s="136" t="n">
        <f aca="false">AC50*$D$2</f>
        <v>3237.072</v>
      </c>
      <c r="AD51" s="207"/>
      <c r="AE51" s="207"/>
      <c r="AF51" s="240"/>
      <c r="AG51" s="241"/>
      <c r="AH51" s="207" t="n">
        <f aca="false">AH50*$D$2</f>
        <v>7676.145</v>
      </c>
      <c r="AI51" s="207" t="n">
        <f aca="false">AI50*$D$2</f>
        <v>2764.999</v>
      </c>
      <c r="AJ51" s="207" t="n">
        <f aca="false">AJ50*$D$2</f>
        <v>0</v>
      </c>
      <c r="AK51" s="207" t="n">
        <f aca="false">AK50*$D$2</f>
        <v>19815.343515</v>
      </c>
      <c r="AL51" s="207" t="n">
        <f aca="false">AL50*$D$2</f>
        <v>2021.15934</v>
      </c>
      <c r="AM51" s="207" t="n">
        <f aca="false">AM50*$D$2</f>
        <v>21836.502855</v>
      </c>
      <c r="AN51" s="207" t="n">
        <f aca="false">AN50*$D$2</f>
        <v>10707.92475</v>
      </c>
      <c r="AO51" s="207" t="n">
        <f aca="false">AO50*$D$2</f>
        <v>400.268772388042</v>
      </c>
      <c r="AP51" s="207"/>
      <c r="AQ51" s="207"/>
      <c r="AR51" s="207"/>
      <c r="AS51" s="310"/>
      <c r="AV51" s="212"/>
      <c r="AW51" s="207"/>
      <c r="AX51" s="207"/>
      <c r="AY51" s="291"/>
      <c r="AZ51" s="306" t="n">
        <f aca="false">AZ50*$D$2</f>
        <v>1031.00499261196</v>
      </c>
    </row>
    <row r="52" customFormat="false" ht="3" hidden="false" customHeight="true" outlineLevel="0" collapsed="false">
      <c r="A52" s="223"/>
      <c r="B52" s="244"/>
      <c r="C52" s="225"/>
      <c r="D52" s="226"/>
      <c r="E52" s="225"/>
      <c r="F52" s="227"/>
      <c r="G52" s="226"/>
      <c r="H52" s="295"/>
      <c r="I52" s="226"/>
      <c r="J52" s="226"/>
      <c r="K52" s="226"/>
      <c r="L52" s="226"/>
      <c r="M52" s="229"/>
      <c r="N52" s="226"/>
      <c r="O52" s="226"/>
      <c r="P52" s="230"/>
      <c r="Q52" s="226"/>
      <c r="R52" s="226"/>
      <c r="S52" s="230"/>
      <c r="T52" s="230"/>
      <c r="U52" s="231"/>
      <c r="V52" s="226"/>
      <c r="W52" s="226"/>
      <c r="X52" s="226"/>
      <c r="Y52" s="226"/>
      <c r="Z52" s="226"/>
      <c r="AA52" s="226"/>
      <c r="AB52" s="225"/>
      <c r="AC52" s="232"/>
      <c r="AD52" s="225"/>
      <c r="AE52" s="226"/>
      <c r="AF52" s="229"/>
      <c r="AG52" s="233"/>
      <c r="AH52" s="226"/>
      <c r="AI52" s="225"/>
      <c r="AJ52" s="296"/>
      <c r="AK52" s="226"/>
      <c r="AL52" s="226"/>
      <c r="AM52" s="226"/>
      <c r="AN52" s="234"/>
      <c r="AO52" s="235"/>
      <c r="AP52" s="226"/>
      <c r="AQ52" s="226"/>
      <c r="AR52" s="226"/>
      <c r="AS52" s="235"/>
      <c r="AT52" s="297"/>
      <c r="AU52" s="297"/>
      <c r="AV52" s="244"/>
      <c r="AW52" s="226"/>
      <c r="AX52" s="226"/>
      <c r="AY52" s="298"/>
      <c r="AZ52" s="299"/>
    </row>
    <row r="53" customFormat="false" ht="11.1" hidden="false" customHeight="true" outlineLevel="0" collapsed="false">
      <c r="A53" s="181"/>
      <c r="B53" s="259"/>
      <c r="D53" s="181"/>
      <c r="F53" s="181"/>
      <c r="G53" s="181"/>
      <c r="I53" s="181"/>
      <c r="J53" s="181"/>
      <c r="K53" s="181"/>
      <c r="L53" s="181"/>
      <c r="M53" s="181"/>
      <c r="N53" s="181"/>
      <c r="O53" s="181"/>
      <c r="Q53" s="181"/>
      <c r="R53" s="181"/>
      <c r="V53" s="181"/>
      <c r="W53" s="181"/>
      <c r="X53" s="181"/>
      <c r="Y53" s="181"/>
      <c r="Z53" s="181"/>
      <c r="AA53" s="181"/>
      <c r="AB53" s="173"/>
      <c r="AD53" s="173"/>
      <c r="AE53" s="181"/>
      <c r="AF53" s="181"/>
      <c r="AG53" s="181"/>
      <c r="AH53" s="181"/>
      <c r="AI53" s="173"/>
      <c r="AJ53" s="217"/>
      <c r="AK53" s="181"/>
      <c r="AL53" s="181"/>
      <c r="AM53" s="181"/>
      <c r="AP53" s="184"/>
      <c r="AQ53" s="313"/>
      <c r="AR53" s="313"/>
    </row>
    <row r="54" customFormat="false" ht="11.1" hidden="false" customHeight="true" outlineLevel="0" collapsed="false">
      <c r="A54" s="181"/>
      <c r="B54" s="261"/>
      <c r="F54" s="181"/>
      <c r="G54" s="181"/>
      <c r="H54" s="314"/>
      <c r="I54" s="173"/>
      <c r="J54" s="181"/>
      <c r="K54" s="170"/>
      <c r="L54" s="181"/>
      <c r="M54" s="181"/>
      <c r="N54" s="181"/>
      <c r="O54" s="181"/>
      <c r="Q54" s="181"/>
      <c r="R54" s="181"/>
      <c r="V54" s="181"/>
      <c r="W54" s="181"/>
      <c r="X54" s="181"/>
      <c r="Y54" s="181"/>
      <c r="Z54" s="181"/>
      <c r="AA54" s="181"/>
      <c r="AB54" s="173"/>
      <c r="AD54" s="173"/>
      <c r="AE54" s="181"/>
      <c r="AF54" s="181"/>
      <c r="AG54" s="181"/>
      <c r="AH54" s="181"/>
      <c r="AI54" s="173"/>
      <c r="AJ54" s="217"/>
      <c r="AK54" s="181"/>
      <c r="AL54" s="181"/>
      <c r="AM54" s="181"/>
      <c r="AN54" s="179"/>
      <c r="AO54" s="179"/>
      <c r="AP54" s="184"/>
      <c r="AQ54" s="313"/>
      <c r="AR54" s="313"/>
      <c r="AX54" s="178"/>
    </row>
    <row r="55" customFormat="false" ht="11.1" hidden="false" customHeight="true" outlineLevel="0" collapsed="false">
      <c r="D55" s="173"/>
      <c r="I55" s="173"/>
      <c r="X55" s="172"/>
      <c r="Y55" s="172"/>
      <c r="Z55" s="172"/>
      <c r="AA55" s="172"/>
      <c r="AB55" s="173"/>
      <c r="AD55" s="173"/>
      <c r="AH55" s="172"/>
      <c r="AI55" s="173"/>
      <c r="AJ55" s="217"/>
      <c r="AM55" s="172"/>
      <c r="AN55" s="179"/>
      <c r="AO55" s="179"/>
      <c r="AP55" s="176"/>
      <c r="AQ55" s="202"/>
      <c r="AR55" s="202"/>
      <c r="AX55" s="178"/>
    </row>
    <row r="56" customFormat="false" ht="11.1" hidden="false" customHeight="true" outlineLevel="0" collapsed="false">
      <c r="B56" s="8"/>
      <c r="D56" s="173"/>
      <c r="I56" s="173"/>
      <c r="X56" s="172"/>
      <c r="Y56" s="172"/>
      <c r="Z56" s="172"/>
      <c r="AA56" s="172"/>
      <c r="AB56" s="173"/>
      <c r="AD56" s="173"/>
      <c r="AH56" s="172"/>
      <c r="AI56" s="173"/>
      <c r="AJ56" s="217"/>
      <c r="AM56" s="172"/>
      <c r="AN56" s="179"/>
      <c r="AO56" s="179"/>
      <c r="AP56" s="176"/>
      <c r="AQ56" s="202"/>
      <c r="AR56" s="202"/>
      <c r="AX56" s="178"/>
    </row>
    <row r="57" customFormat="false" ht="11.1" hidden="false" customHeight="true" outlineLevel="0" collapsed="false">
      <c r="G57" s="262"/>
      <c r="X57" s="172"/>
      <c r="Y57" s="172"/>
      <c r="Z57" s="172"/>
      <c r="AA57" s="172"/>
      <c r="AB57" s="173"/>
      <c r="AD57" s="173"/>
      <c r="AH57" s="172"/>
      <c r="AI57" s="173"/>
      <c r="AJ57" s="217"/>
      <c r="AM57" s="172"/>
      <c r="AN57" s="179"/>
      <c r="AO57" s="179"/>
      <c r="AP57" s="176"/>
      <c r="AQ57" s="202"/>
      <c r="AR57" s="202"/>
      <c r="AX57" s="178"/>
    </row>
    <row r="58" customFormat="false" ht="11.1" hidden="false" customHeight="true" outlineLevel="0" collapsed="false">
      <c r="X58" s="172"/>
      <c r="Y58" s="172"/>
      <c r="Z58" s="172"/>
      <c r="AA58" s="172"/>
      <c r="AB58" s="173"/>
      <c r="AD58" s="173"/>
      <c r="AH58" s="172"/>
      <c r="AI58" s="173"/>
      <c r="AJ58" s="217"/>
      <c r="AM58" s="172"/>
      <c r="AN58" s="179"/>
      <c r="AO58" s="179"/>
      <c r="AX58" s="178"/>
    </row>
  </sheetData>
  <mergeCells count="2">
    <mergeCell ref="K2:AD2"/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AH1" activeCellId="0" sqref="AH1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174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18" min="17" style="175" width="4.32"/>
    <col collapsed="false" customWidth="true" hidden="false" outlineLevel="0" max="20" min="19" style="172" width="4.32"/>
    <col collapsed="false" customWidth="true" hidden="false" outlineLevel="0" max="21" min="21" style="315" width="5.16"/>
    <col collapsed="false" customWidth="true" hidden="false" outlineLevel="0" max="23" min="22" style="172" width="5.49"/>
    <col collapsed="false" customWidth="true" hidden="false" outlineLevel="0" max="27" min="24" style="173" width="6.32"/>
    <col collapsed="false" customWidth="true" hidden="false" outlineLevel="0" max="28" min="28" style="172" width="5.49"/>
    <col collapsed="false" customWidth="true" hidden="false" outlineLevel="0" max="29" min="29" style="172" width="5.82"/>
    <col collapsed="false" customWidth="true" hidden="false" outlineLevel="0" max="33" min="30" style="172" width="5.49"/>
    <col collapsed="false" customWidth="true" hidden="false" outlineLevel="0" max="34" min="34" style="173" width="6.32"/>
    <col collapsed="false" customWidth="true" hidden="false" outlineLevel="0" max="35" min="35" style="172" width="5.49"/>
    <col collapsed="false" customWidth="true" hidden="false" outlineLevel="0" max="36" min="36" style="316" width="6.32"/>
    <col collapsed="false" customWidth="true" hidden="false" outlineLevel="0" max="37" min="37" style="172" width="6.32"/>
    <col collapsed="false" customWidth="true" hidden="false" outlineLevel="0" max="38" min="38" style="172" width="6.82"/>
    <col collapsed="false" customWidth="true" hidden="false" outlineLevel="0" max="39" min="39" style="8" width="6.82"/>
    <col collapsed="false" customWidth="true" hidden="false" outlineLevel="0" max="40" min="40" style="178" width="5.49"/>
    <col collapsed="false" customWidth="true" hidden="false" outlineLevel="0" max="41" min="41" style="175" width="5.49"/>
    <col collapsed="false" customWidth="true" hidden="false" outlineLevel="0" max="43" min="42" style="172" width="6.32"/>
    <col collapsed="false" customWidth="true" hidden="false" outlineLevel="0" max="44" min="44" style="172" width="5.49"/>
    <col collapsed="false" customWidth="true" hidden="false" outlineLevel="0" max="45" min="45" style="172" width="5.32"/>
    <col collapsed="false" customWidth="true" hidden="false" outlineLevel="0" max="46" min="46" style="278" width="5.82"/>
    <col collapsed="false" customWidth="true" hidden="false" outlineLevel="0" max="47" min="47" style="176" width="4.99"/>
    <col collapsed="false" customWidth="true" hidden="false" outlineLevel="0" max="48" min="48" style="174" width="5.32"/>
    <col collapsed="false" customWidth="true" hidden="false" outlineLevel="0" max="49" min="49" style="178" width="3.82"/>
    <col collapsed="false" customWidth="true" hidden="false" outlineLevel="0" max="50" min="50" style="179" width="3.82"/>
    <col collapsed="false" customWidth="true" hidden="false" outlineLevel="0" max="51" min="51" style="180" width="3.82"/>
    <col collapsed="false" customWidth="true" hidden="false" outlineLevel="0" max="52" min="52" style="180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81"/>
      <c r="B1" s="181"/>
      <c r="D1" s="181"/>
      <c r="F1" s="181"/>
      <c r="G1" s="181"/>
      <c r="I1" s="181"/>
      <c r="J1" s="181"/>
      <c r="K1" s="183" t="s">
        <v>0</v>
      </c>
      <c r="L1" s="181"/>
      <c r="M1" s="181"/>
      <c r="N1" s="181"/>
      <c r="O1" s="181"/>
      <c r="Q1" s="181"/>
      <c r="R1" s="181"/>
      <c r="S1" s="181"/>
      <c r="T1" s="181"/>
      <c r="V1" s="181"/>
      <c r="W1" s="181"/>
      <c r="AB1" s="181"/>
      <c r="AC1" s="181"/>
      <c r="AD1" s="181"/>
      <c r="AE1" s="181"/>
      <c r="AF1" s="181"/>
      <c r="AG1" s="181"/>
      <c r="AH1" s="263"/>
      <c r="AI1" s="181"/>
      <c r="AK1" s="181"/>
      <c r="AL1" s="181"/>
      <c r="AN1" s="280"/>
      <c r="AO1" s="316"/>
      <c r="AP1" s="184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I2" s="181"/>
      <c r="J2" s="181"/>
      <c r="K2" s="186" t="s">
        <v>120</v>
      </c>
      <c r="L2" s="186"/>
      <c r="M2" s="186"/>
      <c r="N2" s="186"/>
      <c r="O2" s="186"/>
      <c r="P2" s="186"/>
      <c r="Q2" s="186"/>
      <c r="R2" s="186"/>
      <c r="S2" s="186"/>
      <c r="T2" s="186"/>
      <c r="V2" s="317"/>
      <c r="W2" s="317"/>
      <c r="X2" s="84"/>
      <c r="Y2" s="84"/>
      <c r="Z2" s="84"/>
      <c r="AA2" s="84"/>
      <c r="AB2" s="317"/>
      <c r="AC2" s="317"/>
      <c r="AD2" s="317"/>
      <c r="AE2" s="181"/>
      <c r="AF2" s="181"/>
      <c r="AG2" s="181"/>
      <c r="AI2" s="181"/>
      <c r="AK2" s="181"/>
      <c r="AL2" s="181"/>
      <c r="AN2" s="280"/>
      <c r="AO2" s="316"/>
      <c r="AP2" s="184"/>
    </row>
    <row r="3" customFormat="false" ht="14.1" hidden="false" customHeight="true" outlineLevel="0" collapsed="false">
      <c r="A3" s="187"/>
      <c r="B3" s="187"/>
      <c r="C3" s="188"/>
      <c r="D3" s="189"/>
      <c r="E3" s="188"/>
      <c r="F3" s="187"/>
      <c r="G3" s="187"/>
      <c r="H3" s="196"/>
      <c r="I3" s="187"/>
      <c r="J3" s="187"/>
      <c r="K3" s="187"/>
      <c r="L3" s="187"/>
      <c r="M3" s="187"/>
      <c r="N3" s="187"/>
      <c r="O3" s="187"/>
      <c r="P3" s="191"/>
      <c r="Q3" s="187"/>
      <c r="R3" s="187"/>
      <c r="S3" s="187"/>
      <c r="T3" s="187"/>
      <c r="U3" s="318"/>
      <c r="V3" s="187"/>
      <c r="W3" s="187"/>
      <c r="X3" s="188"/>
      <c r="Y3" s="188"/>
      <c r="Z3" s="188"/>
      <c r="AA3" s="188"/>
      <c r="AB3" s="187"/>
      <c r="AC3" s="187"/>
      <c r="AD3" s="187"/>
      <c r="AE3" s="187"/>
      <c r="AF3" s="187"/>
      <c r="AG3" s="187"/>
      <c r="AH3" s="188"/>
      <c r="AI3" s="187"/>
      <c r="AJ3" s="319"/>
      <c r="AK3" s="187"/>
      <c r="AL3" s="187"/>
      <c r="AM3" s="191"/>
      <c r="AN3" s="283"/>
      <c r="AO3" s="319"/>
      <c r="AP3" s="193"/>
      <c r="AQ3" s="194"/>
      <c r="AV3" s="196"/>
      <c r="AW3" s="197"/>
      <c r="AX3" s="198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117</v>
      </c>
      <c r="Y4" s="39"/>
      <c r="Z4" s="39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85"/>
      <c r="AZ4" s="320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1" t="s">
        <v>18</v>
      </c>
      <c r="N5" s="201"/>
      <c r="O5" s="201"/>
      <c r="P5" s="201"/>
      <c r="Q5" s="201"/>
      <c r="R5" s="201"/>
      <c r="S5" s="201"/>
      <c r="T5" s="201"/>
      <c r="U5" s="201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02" t="s">
        <v>33</v>
      </c>
      <c r="AV5" s="70" t="s">
        <v>34</v>
      </c>
      <c r="AW5" s="71" t="s">
        <v>35</v>
      </c>
      <c r="AX5" s="71" t="s">
        <v>36</v>
      </c>
      <c r="AY5" s="286"/>
      <c r="AZ5" s="287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121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02" t="s">
        <v>71</v>
      </c>
      <c r="AV6" s="78"/>
      <c r="AW6" s="71" t="s">
        <v>72</v>
      </c>
      <c r="AX6" s="71" t="s">
        <v>72</v>
      </c>
      <c r="AY6" s="286"/>
      <c r="AZ6" s="287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02" t="s">
        <v>88</v>
      </c>
      <c r="AV7" s="78"/>
      <c r="AW7" s="71"/>
      <c r="AX7" s="71"/>
      <c r="AY7" s="286"/>
      <c r="AZ7" s="287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02"/>
      <c r="AV8" s="78"/>
      <c r="AW8" s="71"/>
      <c r="AX8" s="71"/>
      <c r="AY8" s="286"/>
      <c r="AZ8" s="287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02"/>
      <c r="AV9" s="78"/>
      <c r="AW9" s="71"/>
      <c r="AX9" s="71"/>
      <c r="AY9" s="286"/>
      <c r="AZ9" s="287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6" t="s">
        <v>95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86"/>
      <c r="AZ10" s="287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86"/>
      <c r="AZ11" s="287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4" t="s">
        <v>99</v>
      </c>
      <c r="B12" s="205"/>
      <c r="C12" s="107"/>
      <c r="D12" s="107"/>
      <c r="E12" s="107"/>
      <c r="F12" s="206"/>
      <c r="G12" s="107"/>
      <c r="H12" s="265"/>
      <c r="I12" s="107"/>
      <c r="J12" s="107"/>
      <c r="K12" s="107"/>
      <c r="L12" s="107"/>
      <c r="M12" s="208"/>
      <c r="N12" s="107"/>
      <c r="O12" s="107"/>
      <c r="P12" s="155"/>
      <c r="Q12" s="107"/>
      <c r="R12" s="107"/>
      <c r="S12" s="107"/>
      <c r="T12" s="107"/>
      <c r="U12" s="321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208"/>
      <c r="AG12" s="210"/>
      <c r="AH12" s="107"/>
      <c r="AI12" s="107"/>
      <c r="AJ12" s="322"/>
      <c r="AK12" s="107"/>
      <c r="AL12" s="107"/>
      <c r="AM12" s="107"/>
      <c r="AN12" s="212"/>
      <c r="AO12" s="136"/>
      <c r="AP12" s="135"/>
      <c r="AQ12" s="213"/>
      <c r="AR12" s="213"/>
      <c r="AS12" s="213"/>
      <c r="AV12" s="214"/>
      <c r="AW12" s="207"/>
      <c r="AX12" s="207"/>
      <c r="AY12" s="291"/>
      <c r="AZ12" s="323"/>
    </row>
    <row r="13" s="222" customFormat="true" ht="12.95" hidden="false" customHeight="true" outlineLevel="0" collapsed="false">
      <c r="A13" s="217" t="s">
        <v>100</v>
      </c>
      <c r="B13" s="293" t="n">
        <f aca="false">FEB!B42</f>
        <v>6897.22</v>
      </c>
      <c r="C13" s="107" t="n">
        <f aca="false">FEB!C42</f>
        <v>273439</v>
      </c>
      <c r="D13" s="107" t="n">
        <f aca="false">FEB!D51</f>
        <v>-3952</v>
      </c>
      <c r="E13" s="107" t="n">
        <f aca="false">FEB!E51</f>
        <v>121439</v>
      </c>
      <c r="F13" s="206" t="n">
        <f aca="false">FEB!F50</f>
        <v>-1992.43761028485</v>
      </c>
      <c r="G13" s="107" t="n">
        <f aca="false">FEB!G50</f>
        <v>7603</v>
      </c>
      <c r="H13" s="324" t="n">
        <f aca="false">FEB!H50</f>
        <v>238.38</v>
      </c>
      <c r="I13" s="107" t="n">
        <f aca="false">FEB!I50</f>
        <v>7841.38</v>
      </c>
      <c r="J13" s="107" t="n">
        <f aca="false">FEB!J50</f>
        <v>1175.25869674817</v>
      </c>
      <c r="K13" s="107" t="n">
        <f aca="false">FEB!K50</f>
        <v>9016.63869674817</v>
      </c>
      <c r="L13" s="107" t="n">
        <f aca="false">FEB!L50</f>
        <v>156.27238971515</v>
      </c>
      <c r="M13" s="208" t="n">
        <f aca="false">FEB!M50</f>
        <v>638.81</v>
      </c>
      <c r="N13" s="107" t="n">
        <f aca="false">FEB!N50</f>
        <v>0</v>
      </c>
      <c r="O13" s="107" t="n">
        <f aca="false">FEB!O50</f>
        <v>0</v>
      </c>
      <c r="P13" s="155"/>
      <c r="Q13" s="107" t="n">
        <f aca="false">FEB!Q50</f>
        <v>204.772298939235</v>
      </c>
      <c r="R13" s="107" t="n">
        <f aca="false">FEB!R50</f>
        <v>204.916359445144</v>
      </c>
      <c r="S13" s="107" t="n">
        <f aca="false">FEB!S50</f>
        <v>0</v>
      </c>
      <c r="T13" s="107" t="n">
        <f aca="false">FEB!T50</f>
        <v>131.915264</v>
      </c>
      <c r="U13" s="209" t="n">
        <f aca="false">FEB!U50</f>
        <v>-21.8131522245814</v>
      </c>
      <c r="V13" s="107" t="n">
        <f aca="false">FEB!V50</f>
        <v>5423</v>
      </c>
      <c r="W13" s="107" t="n">
        <f aca="false">FEB!W50</f>
        <v>58.28</v>
      </c>
      <c r="X13" s="107" t="n">
        <f aca="false">FEB!X50</f>
        <v>5600.2992298402</v>
      </c>
      <c r="Y13" s="107" t="n">
        <f aca="false">FEB!Y50</f>
        <v>5398.5</v>
      </c>
      <c r="Z13" s="107"/>
      <c r="AA13" s="107"/>
      <c r="AB13" s="107"/>
      <c r="AC13" s="107" t="n">
        <f aca="false">FEB!AC50</f>
        <v>1632</v>
      </c>
      <c r="AD13" s="107"/>
      <c r="AE13" s="107"/>
      <c r="AF13" s="208"/>
      <c r="AG13" s="210"/>
      <c r="AH13" s="276" t="n">
        <f aca="false">FEB!AH50</f>
        <v>3870</v>
      </c>
      <c r="AI13" s="107" t="n">
        <f aca="false">FEB!AI42</f>
        <v>1394</v>
      </c>
      <c r="AJ13" s="136" t="n">
        <f aca="false">FEB!AJ50</f>
        <v>0</v>
      </c>
      <c r="AK13" s="107" t="n">
        <f aca="false">FEB!AK50</f>
        <v>9990.09</v>
      </c>
      <c r="AL13" s="107" t="n">
        <f aca="false">FEB!AL50</f>
        <v>1018.98630703302</v>
      </c>
      <c r="AM13" s="107" t="n">
        <f aca="false">FEB!AM50</f>
        <v>11009.076307033</v>
      </c>
      <c r="AN13" s="212" t="n">
        <f aca="false">FEB!AN50</f>
        <v>5398.5</v>
      </c>
      <c r="AO13" s="136" t="n">
        <f aca="false">FEB!AO50</f>
        <v>201.799229840203</v>
      </c>
      <c r="AP13" s="107"/>
      <c r="AQ13" s="135"/>
      <c r="AR13" s="135"/>
      <c r="AS13" s="107"/>
      <c r="AT13" s="84"/>
      <c r="AU13" s="173"/>
      <c r="AV13" s="214" t="n">
        <f aca="false">FEB!AV50</f>
        <v>3.76</v>
      </c>
      <c r="AW13" s="207"/>
      <c r="AX13" s="207"/>
      <c r="AY13" s="294"/>
      <c r="AZ13" s="221" t="n">
        <f aca="false">FEB!AZ50</f>
        <v>519.790770159798</v>
      </c>
    </row>
    <row r="14" customFormat="false" ht="3" hidden="false" customHeight="true" outlineLevel="0" collapsed="false">
      <c r="A14" s="223"/>
      <c r="B14" s="224"/>
      <c r="C14" s="225"/>
      <c r="D14" s="226"/>
      <c r="E14" s="225"/>
      <c r="F14" s="227"/>
      <c r="G14" s="226"/>
      <c r="H14" s="254"/>
      <c r="I14" s="226"/>
      <c r="J14" s="226"/>
      <c r="K14" s="226"/>
      <c r="L14" s="226"/>
      <c r="M14" s="229"/>
      <c r="N14" s="226"/>
      <c r="O14" s="226"/>
      <c r="P14" s="230"/>
      <c r="Q14" s="226"/>
      <c r="R14" s="226"/>
      <c r="S14" s="226"/>
      <c r="T14" s="226"/>
      <c r="U14" s="325"/>
      <c r="V14" s="226"/>
      <c r="W14" s="226"/>
      <c r="X14" s="226"/>
      <c r="Y14" s="226"/>
      <c r="Z14" s="226"/>
      <c r="AA14" s="226"/>
      <c r="AB14" s="225"/>
      <c r="AC14" s="225"/>
      <c r="AD14" s="225"/>
      <c r="AE14" s="226"/>
      <c r="AF14" s="229"/>
      <c r="AG14" s="233"/>
      <c r="AH14" s="226"/>
      <c r="AI14" s="225"/>
      <c r="AJ14" s="232"/>
      <c r="AK14" s="226"/>
      <c r="AL14" s="226"/>
      <c r="AM14" s="226"/>
      <c r="AN14" s="234"/>
      <c r="AO14" s="232"/>
      <c r="AP14" s="235"/>
      <c r="AQ14" s="235"/>
      <c r="AR14" s="235"/>
      <c r="AS14" s="235"/>
      <c r="AT14" s="326"/>
      <c r="AU14" s="326"/>
      <c r="AV14" s="237"/>
      <c r="AW14" s="235"/>
      <c r="AX14" s="235"/>
      <c r="AY14" s="246"/>
      <c r="AZ14" s="246"/>
    </row>
    <row r="15" customFormat="false" ht="12.95" hidden="false" customHeight="true" outlineLevel="0" collapsed="false">
      <c r="A15" s="179" t="n">
        <v>1</v>
      </c>
      <c r="B15" s="106" t="n">
        <v>6897.24</v>
      </c>
      <c r="C15" s="107" t="n">
        <v>273511</v>
      </c>
      <c r="D15" s="207" t="n">
        <f aca="false">C15-C13</f>
        <v>72</v>
      </c>
      <c r="E15" s="107" t="n">
        <f aca="false">C15-152000</f>
        <v>121511</v>
      </c>
      <c r="F15" s="238" t="n">
        <f aca="false">D15/$D$2</f>
        <v>36.2994706327199</v>
      </c>
      <c r="G15" s="135" t="n">
        <v>59</v>
      </c>
      <c r="H15" s="327" t="n">
        <v>2</v>
      </c>
      <c r="I15" s="135" t="n">
        <f aca="false">G15+H15</f>
        <v>61</v>
      </c>
      <c r="J15" s="136" t="n">
        <f aca="false">IF(L15&gt;0,L15,0)</f>
        <v>13.5994706327199</v>
      </c>
      <c r="K15" s="135" t="n">
        <f aca="false">I15+J15</f>
        <v>74.5994706327199</v>
      </c>
      <c r="L15" s="135" t="n">
        <f aca="false">F15-(I15-AK15)</f>
        <v>13.5994706327199</v>
      </c>
      <c r="M15" s="240" t="n">
        <v>5.3</v>
      </c>
      <c r="N15" s="135" t="n">
        <v>0</v>
      </c>
      <c r="O15" s="135" t="n">
        <v>0</v>
      </c>
      <c r="P15" s="155" t="n">
        <v>0</v>
      </c>
      <c r="Q15" s="328" t="n">
        <f aca="false">1161300/325851/1.9835*1.02</f>
        <v>1.83270825003407</v>
      </c>
      <c r="R15" s="328" t="n">
        <f aca="false">(1551455/325851/1.9835-T15)*1.04</f>
        <v>1.40499817087367</v>
      </c>
      <c r="S15" s="131" t="n">
        <v>0</v>
      </c>
      <c r="T15" s="131" t="n">
        <f aca="false">1.0091*1.04</f>
        <v>1.049464</v>
      </c>
      <c r="U15" s="96" t="n">
        <f aca="false">M15-(Q15+R15+S15+T15)</f>
        <v>1.01282957909226</v>
      </c>
      <c r="V15" s="135" t="n">
        <v>0</v>
      </c>
      <c r="W15" s="135" t="n">
        <v>0</v>
      </c>
      <c r="X15" s="135" t="n">
        <f aca="false">M15-N15-O15-P15-Q15-R15-S15-T15-U15+V15+W15</f>
        <v>0</v>
      </c>
      <c r="Y15" s="135" t="n">
        <f aca="false">X15-AO15</f>
        <v>0</v>
      </c>
      <c r="Z15" s="135"/>
      <c r="AA15" s="135"/>
      <c r="AB15" s="107"/>
      <c r="AC15" s="107" t="n">
        <v>39.5</v>
      </c>
      <c r="AD15" s="107"/>
      <c r="AE15" s="135" t="n">
        <v>0</v>
      </c>
      <c r="AF15" s="240"/>
      <c r="AG15" s="241"/>
      <c r="AH15" s="135" t="n">
        <v>33</v>
      </c>
      <c r="AI15" s="107" t="n">
        <f aca="false">AI13-AH15</f>
        <v>1361</v>
      </c>
      <c r="AJ15" s="136"/>
      <c r="AK15" s="134" t="n">
        <f aca="false">N15+O15+P15+Q15+R15+S15+T15+U15+X15+AE15+AH15</f>
        <v>38.3</v>
      </c>
      <c r="AL15" s="135" t="n">
        <f aca="false">IF(L15&lt;0,L15*-1,0)</f>
        <v>0</v>
      </c>
      <c r="AM15" s="135" t="n">
        <f aca="false">AK15+AL15</f>
        <v>38.3</v>
      </c>
      <c r="AN15" s="212" t="n">
        <f aca="false">V15</f>
        <v>0</v>
      </c>
      <c r="AO15" s="136"/>
      <c r="AP15" s="213"/>
      <c r="AQ15" s="107"/>
      <c r="AR15" s="107"/>
      <c r="AS15" s="213"/>
      <c r="AU15" s="172"/>
      <c r="AV15" s="214" t="n">
        <v>0</v>
      </c>
      <c r="AW15" s="207" t="n">
        <v>54</v>
      </c>
      <c r="AX15" s="207" t="n">
        <v>24</v>
      </c>
      <c r="AY15" s="291"/>
      <c r="AZ15" s="242" t="n">
        <f aca="false">SUM(N15,P15:U15)</f>
        <v>5.3</v>
      </c>
    </row>
    <row r="16" customFormat="false" ht="12.95" hidden="false" customHeight="true" outlineLevel="0" collapsed="false">
      <c r="A16" s="179" t="n">
        <f aca="false">A15+1</f>
        <v>2</v>
      </c>
      <c r="B16" s="106" t="n">
        <v>6897.27</v>
      </c>
      <c r="C16" s="107" t="n">
        <v>273620</v>
      </c>
      <c r="D16" s="207" t="n">
        <f aca="false">C16-C15</f>
        <v>109</v>
      </c>
      <c r="E16" s="107" t="n">
        <f aca="false">C16-152000</f>
        <v>121620</v>
      </c>
      <c r="F16" s="238" t="n">
        <f aca="false">D16/$D$2</f>
        <v>54.9533652634232</v>
      </c>
      <c r="G16" s="135" t="n">
        <v>67</v>
      </c>
      <c r="H16" s="327" t="n">
        <v>2</v>
      </c>
      <c r="I16" s="135" t="n">
        <f aca="false">G16+H16</f>
        <v>69</v>
      </c>
      <c r="J16" s="136" t="n">
        <f aca="false">IF(L16&gt;0,L16,0)</f>
        <v>25.1533652634232</v>
      </c>
      <c r="K16" s="135" t="n">
        <f aca="false">I16+J16</f>
        <v>94.1533652634232</v>
      </c>
      <c r="L16" s="135" t="n">
        <f aca="false">F16-(I16-AK16)</f>
        <v>25.1533652634232</v>
      </c>
      <c r="M16" s="240" t="n">
        <v>4.2</v>
      </c>
      <c r="N16" s="135" t="n">
        <v>0</v>
      </c>
      <c r="O16" s="135" t="n">
        <v>0</v>
      </c>
      <c r="P16" s="155" t="n">
        <v>0</v>
      </c>
      <c r="Q16" s="328" t="n">
        <f aca="false">1045300/325851/1.9835*1.02</f>
        <v>1.64964258482787</v>
      </c>
      <c r="R16" s="328" t="n">
        <f aca="false">(1499766/325851/1.9835-T16)*1.04</f>
        <v>1.32182558453496</v>
      </c>
      <c r="S16" s="131" t="n">
        <v>0</v>
      </c>
      <c r="T16" s="131" t="n">
        <f aca="false">1.0091*1.04</f>
        <v>1.049464</v>
      </c>
      <c r="U16" s="96" t="n">
        <f aca="false">M16-(Q16+R16+S16+T16)</f>
        <v>0.17906783063717</v>
      </c>
      <c r="V16" s="135" t="n">
        <v>0</v>
      </c>
      <c r="W16" s="135" t="n">
        <v>0</v>
      </c>
      <c r="X16" s="135" t="n">
        <f aca="false">M16-N16-O16-P16-Q16-R16-S16-T16-U16+V16+W16</f>
        <v>0</v>
      </c>
      <c r="Y16" s="135" t="n">
        <f aca="false">X16-AO16</f>
        <v>0</v>
      </c>
      <c r="Z16" s="135"/>
      <c r="AA16" s="135"/>
      <c r="AB16" s="107"/>
      <c r="AC16" s="107" t="n">
        <v>42.64</v>
      </c>
      <c r="AD16" s="107"/>
      <c r="AE16" s="135" t="n">
        <v>0</v>
      </c>
      <c r="AF16" s="240"/>
      <c r="AG16" s="241"/>
      <c r="AH16" s="135" t="n">
        <v>35</v>
      </c>
      <c r="AI16" s="107" t="n">
        <f aca="false">AI15-AH16</f>
        <v>1326</v>
      </c>
      <c r="AJ16" s="136"/>
      <c r="AK16" s="134" t="n">
        <f aca="false">N16+O16+P16+Q16+R16+S16+T16+U16+X16+AE16+AH16</f>
        <v>39.2</v>
      </c>
      <c r="AL16" s="135" t="n">
        <f aca="false">IF(L16&lt;0,L16*-1,0)</f>
        <v>0</v>
      </c>
      <c r="AM16" s="135" t="n">
        <f aca="false">AK16+AL16</f>
        <v>39.2</v>
      </c>
      <c r="AN16" s="212" t="n">
        <f aca="false">V16</f>
        <v>0</v>
      </c>
      <c r="AO16" s="136"/>
      <c r="AP16" s="213"/>
      <c r="AQ16" s="107"/>
      <c r="AR16" s="107"/>
      <c r="AS16" s="213"/>
      <c r="AU16" s="172"/>
      <c r="AV16" s="214" t="n">
        <v>0</v>
      </c>
      <c r="AW16" s="207" t="n">
        <v>54</v>
      </c>
      <c r="AX16" s="207" t="n">
        <v>29</v>
      </c>
      <c r="AY16" s="291"/>
      <c r="AZ16" s="242" t="n">
        <f aca="false">SUM(N16,P16:U16)</f>
        <v>4.2</v>
      </c>
    </row>
    <row r="17" customFormat="false" ht="12.95" hidden="false" customHeight="true" outlineLevel="0" collapsed="false">
      <c r="A17" s="179" t="n">
        <f aca="false">A16+1</f>
        <v>3</v>
      </c>
      <c r="B17" s="106" t="n">
        <v>6897.3</v>
      </c>
      <c r="C17" s="107" t="n">
        <v>273728</v>
      </c>
      <c r="D17" s="207" t="n">
        <f aca="false">C17-C16</f>
        <v>108</v>
      </c>
      <c r="E17" s="107" t="n">
        <f aca="false">C17-152000</f>
        <v>121728</v>
      </c>
      <c r="F17" s="238" t="n">
        <f aca="false">D17/$D$2</f>
        <v>54.4492059490799</v>
      </c>
      <c r="G17" s="135" t="n">
        <v>73</v>
      </c>
      <c r="H17" s="327" t="n">
        <v>2.2</v>
      </c>
      <c r="I17" s="135" t="n">
        <f aca="false">G17+H17</f>
        <v>75.2</v>
      </c>
      <c r="J17" s="136" t="n">
        <f aca="false">IF(L17&gt;0,L17,0)</f>
        <v>18.9492059490799</v>
      </c>
      <c r="K17" s="135" t="n">
        <f aca="false">I17+J17</f>
        <v>94.1492059490799</v>
      </c>
      <c r="L17" s="135" t="n">
        <f aca="false">F17-(I17-AK17)</f>
        <v>18.9492059490799</v>
      </c>
      <c r="M17" s="240" t="n">
        <v>4.7</v>
      </c>
      <c r="N17" s="135" t="n">
        <v>0</v>
      </c>
      <c r="O17" s="135" t="n">
        <v>0</v>
      </c>
      <c r="P17" s="155" t="n">
        <v>0</v>
      </c>
      <c r="Q17" s="328" t="n">
        <f aca="false">1026500/325851/1.9835*1.02</f>
        <v>1.61997332184618</v>
      </c>
      <c r="R17" s="328" t="n">
        <f aca="false">(1681190/325851/1.9835-T17)*1.04</f>
        <v>1.61375429865043</v>
      </c>
      <c r="S17" s="131" t="n">
        <v>0</v>
      </c>
      <c r="T17" s="131" t="n">
        <f aca="false">1.0091*1.04</f>
        <v>1.049464</v>
      </c>
      <c r="U17" s="96" t="n">
        <f aca="false">M17-(Q17+R17+S17+T17)</f>
        <v>0.416808379503389</v>
      </c>
      <c r="V17" s="135" t="n">
        <v>0</v>
      </c>
      <c r="W17" s="135" t="n">
        <v>0</v>
      </c>
      <c r="X17" s="135" t="n">
        <f aca="false">M17-N17-O17-P17-Q17-R17-S17-T17-U17+V17+W17</f>
        <v>0</v>
      </c>
      <c r="Y17" s="135" t="n">
        <f aca="false">X17-AO17</f>
        <v>0</v>
      </c>
      <c r="Z17" s="135"/>
      <c r="AA17" s="135"/>
      <c r="AB17" s="107"/>
      <c r="AC17" s="107"/>
      <c r="AD17" s="107"/>
      <c r="AE17" s="135" t="n">
        <v>0</v>
      </c>
      <c r="AF17" s="240"/>
      <c r="AG17" s="241"/>
      <c r="AH17" s="135" t="n">
        <v>35</v>
      </c>
      <c r="AI17" s="107" t="n">
        <f aca="false">AI16-AH17</f>
        <v>1291</v>
      </c>
      <c r="AJ17" s="136"/>
      <c r="AK17" s="134" t="n">
        <f aca="false">N17+O17+P17+Q17+R17+S17+T17+U17+X17+AE17+AH17</f>
        <v>39.7</v>
      </c>
      <c r="AL17" s="135" t="n">
        <f aca="false">IF(L17&lt;0,L17*-1,0)</f>
        <v>0</v>
      </c>
      <c r="AM17" s="135" t="n">
        <f aca="false">AK17+AL17</f>
        <v>39.7</v>
      </c>
      <c r="AN17" s="212" t="n">
        <f aca="false">V17</f>
        <v>0</v>
      </c>
      <c r="AO17" s="136"/>
      <c r="AP17" s="213"/>
      <c r="AQ17" s="107"/>
      <c r="AR17" s="107"/>
      <c r="AS17" s="213"/>
      <c r="AU17" s="172"/>
      <c r="AV17" s="214" t="n">
        <v>0</v>
      </c>
      <c r="AW17" s="207" t="n">
        <v>52</v>
      </c>
      <c r="AX17" s="207" t="n">
        <v>29</v>
      </c>
      <c r="AY17" s="291"/>
      <c r="AZ17" s="242" t="n">
        <f aca="false">SUM(N17,P17:U17)</f>
        <v>4.7</v>
      </c>
    </row>
    <row r="18" customFormat="false" ht="12.95" hidden="false" customHeight="true" outlineLevel="0" collapsed="false">
      <c r="A18" s="179" t="n">
        <f aca="false">A17+1</f>
        <v>4</v>
      </c>
      <c r="B18" s="106" t="n">
        <v>6897.33</v>
      </c>
      <c r="C18" s="107" t="n">
        <v>273837</v>
      </c>
      <c r="D18" s="207" t="n">
        <f aca="false">C18-C17</f>
        <v>109</v>
      </c>
      <c r="E18" s="107" t="n">
        <f aca="false">C18-152000</f>
        <v>121837</v>
      </c>
      <c r="F18" s="238" t="n">
        <f aca="false">D18/$D$2</f>
        <v>54.9533652634232</v>
      </c>
      <c r="G18" s="135" t="n">
        <v>73</v>
      </c>
      <c r="H18" s="327" t="n">
        <v>2.4</v>
      </c>
      <c r="I18" s="135" t="n">
        <f aca="false">G18+H18</f>
        <v>75.4</v>
      </c>
      <c r="J18" s="136" t="n">
        <f aca="false">IF(L18&gt;0,L18,0)</f>
        <v>19.5533652634232</v>
      </c>
      <c r="K18" s="135" t="n">
        <f aca="false">I18+J18</f>
        <v>94.9533652634232</v>
      </c>
      <c r="L18" s="135" t="n">
        <f aca="false">F18-(I18-AK18)</f>
        <v>19.5533652634232</v>
      </c>
      <c r="M18" s="240" t="n">
        <v>5</v>
      </c>
      <c r="N18" s="135" t="n">
        <v>0</v>
      </c>
      <c r="O18" s="135" t="n">
        <v>0</v>
      </c>
      <c r="P18" s="155" t="n">
        <v>0</v>
      </c>
      <c r="Q18" s="328" t="n">
        <f aca="false">870400/325851/1.9835*1.02</f>
        <v>1.37362374996095</v>
      </c>
      <c r="R18" s="328" t="n">
        <f aca="false">(1649395/325851/1.9835-T18)*1.04</f>
        <v>1.46319403706287</v>
      </c>
      <c r="S18" s="131" t="n">
        <v>0</v>
      </c>
      <c r="T18" s="131" t="n">
        <f aca="false">1.101*1.04</f>
        <v>1.14504</v>
      </c>
      <c r="U18" s="96" t="n">
        <f aca="false">M18-(Q18+R18+S18+T18)</f>
        <v>1.01814221297618</v>
      </c>
      <c r="V18" s="135" t="n">
        <v>0</v>
      </c>
      <c r="W18" s="135" t="n">
        <v>0</v>
      </c>
      <c r="X18" s="135" t="n">
        <f aca="false">M18-N18-O18-P18-Q18-R18-S18-T18-U18+V18+W18</f>
        <v>0</v>
      </c>
      <c r="Y18" s="135" t="n">
        <f aca="false">X18-AO18</f>
        <v>0</v>
      </c>
      <c r="Z18" s="135"/>
      <c r="AA18" s="135"/>
      <c r="AB18" s="107"/>
      <c r="AC18" s="107"/>
      <c r="AD18" s="107"/>
      <c r="AE18" s="135" t="n">
        <v>0</v>
      </c>
      <c r="AF18" s="240"/>
      <c r="AG18" s="241"/>
      <c r="AH18" s="135" t="n">
        <v>35</v>
      </c>
      <c r="AI18" s="107" t="n">
        <f aca="false">AI17-AH18</f>
        <v>1256</v>
      </c>
      <c r="AJ18" s="136"/>
      <c r="AK18" s="134" t="n">
        <f aca="false">N18+O18+P18+Q18+R18+S18+T18+U18+X18+AE18+AH18</f>
        <v>40</v>
      </c>
      <c r="AL18" s="135" t="n">
        <f aca="false">IF(L18&lt;0,L18*-1,0)</f>
        <v>0</v>
      </c>
      <c r="AM18" s="135" t="n">
        <f aca="false">AK18+AL18</f>
        <v>40</v>
      </c>
      <c r="AN18" s="212" t="n">
        <f aca="false">V18</f>
        <v>0</v>
      </c>
      <c r="AO18" s="136"/>
      <c r="AP18" s="213"/>
      <c r="AQ18" s="107"/>
      <c r="AR18" s="107"/>
      <c r="AS18" s="213"/>
      <c r="AU18" s="172"/>
      <c r="AV18" s="214" t="n">
        <v>0</v>
      </c>
      <c r="AW18" s="207" t="n">
        <v>43</v>
      </c>
      <c r="AX18" s="207" t="n">
        <v>25</v>
      </c>
      <c r="AY18" s="291"/>
      <c r="AZ18" s="242" t="n">
        <f aca="false">SUM(N18,P18:U18)</f>
        <v>5</v>
      </c>
    </row>
    <row r="19" customFormat="false" ht="12.95" hidden="false" customHeight="true" outlineLevel="0" collapsed="false">
      <c r="A19" s="179" t="n">
        <f aca="false">A18+1</f>
        <v>5</v>
      </c>
      <c r="B19" s="106" t="n">
        <v>6897.36</v>
      </c>
      <c r="C19" s="107" t="n">
        <v>273946</v>
      </c>
      <c r="D19" s="207" t="n">
        <f aca="false">C19-C18</f>
        <v>109</v>
      </c>
      <c r="E19" s="107" t="n">
        <f aca="false">C19-152000</f>
        <v>121946</v>
      </c>
      <c r="F19" s="238" t="n">
        <f aca="false">D19/$D$2</f>
        <v>54.9533652634232</v>
      </c>
      <c r="G19" s="135" t="n">
        <v>73</v>
      </c>
      <c r="H19" s="327" t="n">
        <v>2.5</v>
      </c>
      <c r="I19" s="135" t="n">
        <f aca="false">G19+H19</f>
        <v>75.5</v>
      </c>
      <c r="J19" s="136" t="n">
        <f aca="false">IF(L19&gt;0,L19,0)</f>
        <v>18.6533652634232</v>
      </c>
      <c r="K19" s="135" t="n">
        <f aca="false">I19+J19</f>
        <v>94.1533652634232</v>
      </c>
      <c r="L19" s="135" t="n">
        <f aca="false">F19-(I19-AK19)</f>
        <v>18.6533652634232</v>
      </c>
      <c r="M19" s="240" t="n">
        <v>4.2</v>
      </c>
      <c r="N19" s="135" t="n">
        <v>0</v>
      </c>
      <c r="O19" s="135" t="n">
        <v>0</v>
      </c>
      <c r="P19" s="155" t="n">
        <v>0</v>
      </c>
      <c r="Q19" s="328" t="n">
        <f aca="false">1026700/325851/1.9835*1.02</f>
        <v>1.62028895230343</v>
      </c>
      <c r="R19" s="328" t="n">
        <f aca="false">(1810748/325851/1.9835-T19)*1.04</f>
        <v>1.72282657635577</v>
      </c>
      <c r="S19" s="131" t="n">
        <v>0</v>
      </c>
      <c r="T19" s="131" t="n">
        <f aca="false">1.101*1.04</f>
        <v>1.14504</v>
      </c>
      <c r="U19" s="96" t="n">
        <f aca="false">M19-(Q19+R19+S19+T19)</f>
        <v>-0.288155528659199</v>
      </c>
      <c r="V19" s="135" t="n">
        <v>0</v>
      </c>
      <c r="W19" s="135" t="n">
        <v>0</v>
      </c>
      <c r="X19" s="135" t="n">
        <f aca="false">M19-N19-O19-P19-Q19-R19-S19-T19-U19+V19+W19</f>
        <v>0</v>
      </c>
      <c r="Y19" s="135" t="n">
        <f aca="false">X19-AO19</f>
        <v>0</v>
      </c>
      <c r="Z19" s="135"/>
      <c r="AA19" s="135"/>
      <c r="AB19" s="107"/>
      <c r="AC19" s="107"/>
      <c r="AD19" s="107"/>
      <c r="AE19" s="135" t="n">
        <v>0</v>
      </c>
      <c r="AF19" s="240"/>
      <c r="AG19" s="241"/>
      <c r="AH19" s="135" t="n">
        <v>35</v>
      </c>
      <c r="AI19" s="107" t="n">
        <f aca="false">AI18-AH19</f>
        <v>1221</v>
      </c>
      <c r="AJ19" s="136"/>
      <c r="AK19" s="134" t="n">
        <f aca="false">N19+O19+P19+Q19+R19+S19+T19+U19+X19+AE19+AH19</f>
        <v>39.2</v>
      </c>
      <c r="AL19" s="135" t="n">
        <f aca="false">IF(L19&lt;0,L19*-1,0)</f>
        <v>0</v>
      </c>
      <c r="AM19" s="135" t="n">
        <f aca="false">AK19+AL19</f>
        <v>39.2</v>
      </c>
      <c r="AN19" s="212" t="n">
        <f aca="false">V19</f>
        <v>0</v>
      </c>
      <c r="AO19" s="136"/>
      <c r="AP19" s="213"/>
      <c r="AQ19" s="107"/>
      <c r="AR19" s="107"/>
      <c r="AS19" s="213"/>
      <c r="AU19" s="172"/>
      <c r="AV19" s="214" t="n">
        <v>0</v>
      </c>
      <c r="AW19" s="207" t="n">
        <v>48</v>
      </c>
      <c r="AX19" s="207" t="n">
        <v>23</v>
      </c>
      <c r="AY19" s="291"/>
      <c r="AZ19" s="242" t="n">
        <f aca="false">SUM(N19,P19:U19)</f>
        <v>4.2</v>
      </c>
    </row>
    <row r="20" customFormat="false" ht="12.95" hidden="false" customHeight="true" outlineLevel="0" collapsed="false">
      <c r="A20" s="179" t="n">
        <f aca="false">A19+1</f>
        <v>6</v>
      </c>
      <c r="B20" s="106" t="n">
        <v>6897.39</v>
      </c>
      <c r="C20" s="107" t="n">
        <v>274054</v>
      </c>
      <c r="D20" s="207" t="n">
        <f aca="false">C20-C19</f>
        <v>108</v>
      </c>
      <c r="E20" s="107" t="n">
        <f aca="false">C20-152000</f>
        <v>122054</v>
      </c>
      <c r="F20" s="238" t="n">
        <f aca="false">D20/$D$2</f>
        <v>54.4492059490799</v>
      </c>
      <c r="G20" s="135" t="n">
        <v>73</v>
      </c>
      <c r="H20" s="327" t="n">
        <v>2.4</v>
      </c>
      <c r="I20" s="135" t="n">
        <f aca="false">G20+H20</f>
        <v>75.4</v>
      </c>
      <c r="J20" s="136" t="n">
        <f aca="false">IF(L20&gt;0,L20,0)</f>
        <v>18.6492059490799</v>
      </c>
      <c r="K20" s="135" t="n">
        <f aca="false">I20+J20</f>
        <v>94.0492059490799</v>
      </c>
      <c r="L20" s="135" t="n">
        <f aca="false">F20-(I20-AK20)</f>
        <v>18.6492059490799</v>
      </c>
      <c r="M20" s="240" t="n">
        <v>4.6</v>
      </c>
      <c r="N20" s="135" t="n">
        <v>0</v>
      </c>
      <c r="O20" s="135" t="n">
        <v>0</v>
      </c>
      <c r="P20" s="155" t="n">
        <v>0</v>
      </c>
      <c r="Q20" s="328" t="n">
        <f aca="false">1221800/325851/1.9835*1.02</f>
        <v>1.92818646335281</v>
      </c>
      <c r="R20" s="328" t="n">
        <f aca="false">(1851000/325851/1.9835-T20)*1.04</f>
        <v>1.78759592661029</v>
      </c>
      <c r="S20" s="131" t="n">
        <v>0</v>
      </c>
      <c r="T20" s="131" t="n">
        <f aca="false">1.101*1.04</f>
        <v>1.14504</v>
      </c>
      <c r="U20" s="96" t="n">
        <f aca="false">M20-(Q20+R20+S20+T20)</f>
        <v>-0.2608223899631</v>
      </c>
      <c r="V20" s="135" t="n">
        <v>0</v>
      </c>
      <c r="W20" s="135" t="n">
        <v>0</v>
      </c>
      <c r="X20" s="135" t="n">
        <f aca="false">M20-N20-O20-P20-Q20-R20-S20-T20-U20+V20+W20</f>
        <v>0</v>
      </c>
      <c r="Y20" s="135" t="n">
        <f aca="false">X20-AO20</f>
        <v>0</v>
      </c>
      <c r="Z20" s="135"/>
      <c r="AA20" s="135"/>
      <c r="AB20" s="107"/>
      <c r="AC20" s="107"/>
      <c r="AD20" s="107"/>
      <c r="AE20" s="135" t="n">
        <v>0</v>
      </c>
      <c r="AF20" s="240"/>
      <c r="AG20" s="241"/>
      <c r="AH20" s="135" t="n">
        <v>35</v>
      </c>
      <c r="AI20" s="107" t="n">
        <f aca="false">AI19-AH20</f>
        <v>1186</v>
      </c>
      <c r="AJ20" s="136"/>
      <c r="AK20" s="134" t="n">
        <f aca="false">N20+O20+P20+Q20+R20+S20+T20+U20+X20+AE20+AH20</f>
        <v>39.6</v>
      </c>
      <c r="AL20" s="135" t="n">
        <f aca="false">IF(L20&lt;0,L20*-1,0)</f>
        <v>0</v>
      </c>
      <c r="AM20" s="135" t="n">
        <f aca="false">AK20+AL20</f>
        <v>39.6</v>
      </c>
      <c r="AN20" s="212" t="n">
        <f aca="false">V20</f>
        <v>0</v>
      </c>
      <c r="AO20" s="136"/>
      <c r="AP20" s="135"/>
      <c r="AQ20" s="107"/>
      <c r="AR20" s="107"/>
      <c r="AS20" s="213"/>
      <c r="AU20" s="172"/>
      <c r="AV20" s="214" t="n">
        <v>0</v>
      </c>
      <c r="AW20" s="207" t="n">
        <v>46</v>
      </c>
      <c r="AX20" s="207" t="n">
        <v>28</v>
      </c>
      <c r="AY20" s="291"/>
      <c r="AZ20" s="242" t="n">
        <f aca="false">SUM(N20,P20:U20)</f>
        <v>4.6</v>
      </c>
    </row>
    <row r="21" customFormat="false" ht="12.95" hidden="false" customHeight="true" outlineLevel="0" collapsed="false">
      <c r="A21" s="179" t="n">
        <f aca="false">A20+1</f>
        <v>7</v>
      </c>
      <c r="B21" s="106" t="n">
        <v>6897.42</v>
      </c>
      <c r="C21" s="107" t="n">
        <v>274163</v>
      </c>
      <c r="D21" s="207" t="n">
        <f aca="false">C21-C20</f>
        <v>109</v>
      </c>
      <c r="E21" s="107" t="n">
        <f aca="false">C21-152000</f>
        <v>122163</v>
      </c>
      <c r="F21" s="238" t="n">
        <f aca="false">D21/$D$2</f>
        <v>54.9533652634232</v>
      </c>
      <c r="G21" s="135" t="n">
        <v>72</v>
      </c>
      <c r="H21" s="327" t="n">
        <v>2.3</v>
      </c>
      <c r="I21" s="135" t="n">
        <f aca="false">G21+H21</f>
        <v>74.3</v>
      </c>
      <c r="J21" s="136" t="n">
        <f aca="false">IF(L21&gt;0,L21,0)</f>
        <v>19.8533652634233</v>
      </c>
      <c r="K21" s="135" t="n">
        <f aca="false">I21+J21</f>
        <v>94.1533652634232</v>
      </c>
      <c r="L21" s="135" t="n">
        <f aca="false">F21-(I21-AK21)</f>
        <v>19.8533652634233</v>
      </c>
      <c r="M21" s="240" t="n">
        <v>4.2</v>
      </c>
      <c r="N21" s="135" t="n">
        <v>0</v>
      </c>
      <c r="O21" s="135" t="n">
        <v>0</v>
      </c>
      <c r="P21" s="155" t="n">
        <v>0</v>
      </c>
      <c r="Q21" s="328" t="n">
        <f aca="false">981600/325851/1.9835*1.02</f>
        <v>1.54911428419309</v>
      </c>
      <c r="R21" s="328" t="n">
        <f aca="false">(1777158/325851/1.9835-T21)*1.04</f>
        <v>1.66877702664273</v>
      </c>
      <c r="S21" s="131" t="n">
        <v>0</v>
      </c>
      <c r="T21" s="131" t="n">
        <f aca="false">1.101*1.04</f>
        <v>1.14504</v>
      </c>
      <c r="U21" s="96" t="n">
        <f aca="false">M21-(Q21+R21+S21+T21)</f>
        <v>-0.162931310835818</v>
      </c>
      <c r="V21" s="135" t="n">
        <v>0</v>
      </c>
      <c r="W21" s="135" t="n">
        <v>0</v>
      </c>
      <c r="X21" s="135" t="n">
        <f aca="false">M21-N21-O21-P21-Q21-R21-S21-T21-U21+V21+W21</f>
        <v>0</v>
      </c>
      <c r="Y21" s="135" t="n">
        <f aca="false">X21-AO21</f>
        <v>0</v>
      </c>
      <c r="Z21" s="135"/>
      <c r="AA21" s="135"/>
      <c r="AB21" s="107"/>
      <c r="AC21" s="107"/>
      <c r="AD21" s="107"/>
      <c r="AE21" s="135" t="n">
        <v>0</v>
      </c>
      <c r="AF21" s="240"/>
      <c r="AG21" s="241"/>
      <c r="AH21" s="135" t="n">
        <v>35</v>
      </c>
      <c r="AI21" s="107" t="n">
        <f aca="false">AI20-AH21</f>
        <v>1151</v>
      </c>
      <c r="AJ21" s="136"/>
      <c r="AK21" s="134" t="n">
        <f aca="false">N21+O21+P21+Q21+R21+S21+T21+U21+X21+AE21+AH21</f>
        <v>39.2</v>
      </c>
      <c r="AL21" s="135" t="n">
        <f aca="false">IF(L21&lt;0,L21*-1,0)</f>
        <v>0</v>
      </c>
      <c r="AM21" s="135" t="n">
        <f aca="false">AK21+AL21</f>
        <v>39.2</v>
      </c>
      <c r="AN21" s="212" t="n">
        <f aca="false">V21</f>
        <v>0</v>
      </c>
      <c r="AO21" s="136"/>
      <c r="AP21" s="135"/>
      <c r="AQ21" s="107"/>
      <c r="AR21" s="107"/>
      <c r="AS21" s="213"/>
      <c r="AU21" s="172"/>
      <c r="AV21" s="214" t="n">
        <v>0.25</v>
      </c>
      <c r="AW21" s="207" t="n">
        <v>44</v>
      </c>
      <c r="AX21" s="207" t="n">
        <v>29</v>
      </c>
      <c r="AY21" s="291"/>
      <c r="AZ21" s="242" t="n">
        <f aca="false">SUM(N21,P21:U21)</f>
        <v>4.2</v>
      </c>
    </row>
    <row r="22" customFormat="false" ht="12.95" hidden="false" customHeight="true" outlineLevel="0" collapsed="false">
      <c r="A22" s="179" t="n">
        <f aca="false">A21+1</f>
        <v>8</v>
      </c>
      <c r="B22" s="106" t="n">
        <v>6897.45</v>
      </c>
      <c r="C22" s="107" t="n">
        <v>274271</v>
      </c>
      <c r="D22" s="207" t="n">
        <f aca="false">C22-C21</f>
        <v>108</v>
      </c>
      <c r="E22" s="107" t="n">
        <f aca="false">C22-152000</f>
        <v>122271</v>
      </c>
      <c r="F22" s="238" t="n">
        <f aca="false">D22/$D$2</f>
        <v>54.4492059490799</v>
      </c>
      <c r="G22" s="135" t="n">
        <v>71</v>
      </c>
      <c r="H22" s="327" t="n">
        <v>2.4</v>
      </c>
      <c r="I22" s="135" t="n">
        <f aca="false">G22+H22</f>
        <v>73.4</v>
      </c>
      <c r="J22" s="136" t="n">
        <f aca="false">IF(L22&gt;0,L22,0)</f>
        <v>21.4492059490799</v>
      </c>
      <c r="K22" s="135" t="n">
        <f aca="false">I22+J22</f>
        <v>94.8492059490799</v>
      </c>
      <c r="L22" s="135" t="n">
        <f aca="false">F22-(I22-AK22)</f>
        <v>21.4492059490799</v>
      </c>
      <c r="M22" s="240" t="n">
        <v>5.4</v>
      </c>
      <c r="N22" s="135" t="n">
        <v>0</v>
      </c>
      <c r="O22" s="135" t="n">
        <v>0</v>
      </c>
      <c r="P22" s="155" t="n">
        <v>0</v>
      </c>
      <c r="Q22" s="328" t="n">
        <f aca="false">911300/325851/1.9835*1.02</f>
        <v>1.43817017846899</v>
      </c>
      <c r="R22" s="328" t="n">
        <f aca="false">(1663434/325851/1.9835-T22)*1.04</f>
        <v>1.48578414210668</v>
      </c>
      <c r="S22" s="131" t="n">
        <v>0</v>
      </c>
      <c r="T22" s="131" t="n">
        <f aca="false">1.101*1.04</f>
        <v>1.14504</v>
      </c>
      <c r="U22" s="96" t="n">
        <f aca="false">M22-(Q22+R22+S22+T22)</f>
        <v>1.33100567942433</v>
      </c>
      <c r="V22" s="135" t="n">
        <v>0</v>
      </c>
      <c r="W22" s="135" t="n">
        <v>0</v>
      </c>
      <c r="X22" s="135" t="n">
        <f aca="false">M22-N22-O22-P22-Q22-R22-S22-T22-U22+V22+W22</f>
        <v>0</v>
      </c>
      <c r="Y22" s="135" t="n">
        <f aca="false">X22-AO22</f>
        <v>0</v>
      </c>
      <c r="Z22" s="135"/>
      <c r="AA22" s="135"/>
      <c r="AB22" s="107"/>
      <c r="AC22" s="107"/>
      <c r="AD22" s="107"/>
      <c r="AE22" s="135" t="n">
        <v>0</v>
      </c>
      <c r="AF22" s="240"/>
      <c r="AG22" s="241"/>
      <c r="AH22" s="135" t="n">
        <v>35</v>
      </c>
      <c r="AI22" s="107" t="n">
        <f aca="false">AI21-AH22</f>
        <v>1116</v>
      </c>
      <c r="AJ22" s="136"/>
      <c r="AK22" s="134" t="n">
        <f aca="false">N22+O22+P22+Q22+R22+S22+T22+U22+X22+AE22+AH22</f>
        <v>40.4</v>
      </c>
      <c r="AL22" s="135" t="n">
        <f aca="false">IF(L22&lt;0,L22*-1,0)</f>
        <v>0</v>
      </c>
      <c r="AM22" s="135" t="n">
        <f aca="false">AK22+AL22</f>
        <v>40.4</v>
      </c>
      <c r="AN22" s="212" t="n">
        <f aca="false">V22</f>
        <v>0</v>
      </c>
      <c r="AO22" s="136"/>
      <c r="AP22" s="135"/>
      <c r="AQ22" s="107"/>
      <c r="AR22" s="107"/>
      <c r="AS22" s="213"/>
      <c r="AU22" s="172"/>
      <c r="AV22" s="214" t="n">
        <v>0.12</v>
      </c>
      <c r="AW22" s="207" t="n">
        <v>42</v>
      </c>
      <c r="AX22" s="207" t="n">
        <v>25</v>
      </c>
      <c r="AY22" s="291"/>
      <c r="AZ22" s="242" t="n">
        <f aca="false">SUM(N22,P22:U22)</f>
        <v>5.4</v>
      </c>
    </row>
    <row r="23" customFormat="false" ht="12.95" hidden="false" customHeight="true" outlineLevel="0" collapsed="false">
      <c r="A23" s="179" t="n">
        <f aca="false">A22+1</f>
        <v>9</v>
      </c>
      <c r="B23" s="106" t="n">
        <v>6897.48</v>
      </c>
      <c r="C23" s="107" t="n">
        <v>274380</v>
      </c>
      <c r="D23" s="207" t="n">
        <f aca="false">C23-C22</f>
        <v>109</v>
      </c>
      <c r="E23" s="107" t="n">
        <f aca="false">C23-152000</f>
        <v>122380</v>
      </c>
      <c r="F23" s="238" t="n">
        <f aca="false">D23/$D$2</f>
        <v>54.9533652634232</v>
      </c>
      <c r="G23" s="135" t="n">
        <v>70</v>
      </c>
      <c r="H23" s="327" t="n">
        <v>2.6</v>
      </c>
      <c r="I23" s="135" t="n">
        <f aca="false">G23+H23</f>
        <v>72.6</v>
      </c>
      <c r="J23" s="136" t="n">
        <f aca="false">IF(L23&gt;0,L23,0)</f>
        <v>21.2533652634232</v>
      </c>
      <c r="K23" s="135" t="n">
        <f aca="false">I23+J23</f>
        <v>93.8533652634233</v>
      </c>
      <c r="L23" s="135" t="n">
        <f aca="false">F23-(I23-AK23)</f>
        <v>21.2533652634232</v>
      </c>
      <c r="M23" s="240" t="n">
        <v>3.9</v>
      </c>
      <c r="N23" s="135" t="n">
        <v>0</v>
      </c>
      <c r="O23" s="135" t="n">
        <v>0</v>
      </c>
      <c r="P23" s="155" t="n">
        <v>0</v>
      </c>
      <c r="Q23" s="328" t="n">
        <f aca="false">1295400/325851/1.9835*1.02</f>
        <v>2.04433847162157</v>
      </c>
      <c r="R23" s="328" t="n">
        <f aca="false">(1845949/325851/1.9835-T23)*1.04</f>
        <v>1.77946838044772</v>
      </c>
      <c r="S23" s="131" t="n">
        <v>0</v>
      </c>
      <c r="T23" s="131" t="n">
        <f aca="false">1.101*1.04</f>
        <v>1.14504</v>
      </c>
      <c r="U23" s="96" t="n">
        <f aca="false">M23-(Q23+R23+S23+T23)</f>
        <v>-1.06884685206929</v>
      </c>
      <c r="V23" s="135" t="n">
        <v>0</v>
      </c>
      <c r="W23" s="135" t="n">
        <v>0</v>
      </c>
      <c r="X23" s="135" t="n">
        <f aca="false">M23-N23-O23-P23-Q23-R23-S23-T23-U23+V23+W23</f>
        <v>0</v>
      </c>
      <c r="Y23" s="135" t="n">
        <f aca="false">X23-AO23</f>
        <v>0</v>
      </c>
      <c r="Z23" s="135"/>
      <c r="AA23" s="135"/>
      <c r="AB23" s="107"/>
      <c r="AC23" s="107"/>
      <c r="AD23" s="107"/>
      <c r="AE23" s="135" t="n">
        <v>0</v>
      </c>
      <c r="AF23" s="240"/>
      <c r="AG23" s="241"/>
      <c r="AH23" s="135" t="n">
        <v>35</v>
      </c>
      <c r="AI23" s="107" t="n">
        <f aca="false">AI22-AH23</f>
        <v>1081</v>
      </c>
      <c r="AJ23" s="136"/>
      <c r="AK23" s="134" t="n">
        <f aca="false">N23+O23+P23+Q23+R23+S23+T23+U23+X23+AE23+AH23</f>
        <v>38.9</v>
      </c>
      <c r="AL23" s="135" t="n">
        <f aca="false">IF(L23&lt;0,L23*-1,0)</f>
        <v>0</v>
      </c>
      <c r="AM23" s="135" t="n">
        <f aca="false">AK23+AL23</f>
        <v>38.9</v>
      </c>
      <c r="AN23" s="212" t="n">
        <f aca="false">V23</f>
        <v>0</v>
      </c>
      <c r="AO23" s="136"/>
      <c r="AP23" s="135"/>
      <c r="AQ23" s="107"/>
      <c r="AR23" s="107"/>
      <c r="AS23" s="213"/>
      <c r="AU23" s="172"/>
      <c r="AV23" s="214" t="n">
        <v>0</v>
      </c>
      <c r="AW23" s="213" t="n">
        <v>51</v>
      </c>
      <c r="AX23" s="207" t="n">
        <v>21</v>
      </c>
      <c r="AY23" s="291"/>
      <c r="AZ23" s="242" t="n">
        <f aca="false">SUM(N23,P23:U23)</f>
        <v>3.9</v>
      </c>
    </row>
    <row r="24" customFormat="false" ht="12.95" hidden="false" customHeight="true" outlineLevel="0" collapsed="false">
      <c r="A24" s="179" t="n">
        <f aca="false">A23+1</f>
        <v>10</v>
      </c>
      <c r="B24" s="106" t="n">
        <v>6897.51</v>
      </c>
      <c r="C24" s="107" t="n">
        <v>274488</v>
      </c>
      <c r="D24" s="207" t="n">
        <f aca="false">C24-C23</f>
        <v>108</v>
      </c>
      <c r="E24" s="107" t="n">
        <f aca="false">C24-152000</f>
        <v>122488</v>
      </c>
      <c r="F24" s="238" t="n">
        <f aca="false">D24/$D$2</f>
        <v>54.4492059490799</v>
      </c>
      <c r="G24" s="135" t="n">
        <v>72</v>
      </c>
      <c r="H24" s="327" t="n">
        <v>2.8</v>
      </c>
      <c r="I24" s="135" t="n">
        <f aca="false">G24+H24</f>
        <v>74.8</v>
      </c>
      <c r="J24" s="136" t="n">
        <f aca="false">IF(L24&gt;0,L24,0)</f>
        <v>19.2492059490799</v>
      </c>
      <c r="K24" s="135" t="n">
        <f aca="false">I24+J24</f>
        <v>94.0492059490799</v>
      </c>
      <c r="L24" s="135" t="n">
        <f aca="false">F24-(I24-AK24)</f>
        <v>19.2492059490799</v>
      </c>
      <c r="M24" s="240" t="n">
        <v>4.6</v>
      </c>
      <c r="N24" s="135" t="n">
        <v>0</v>
      </c>
      <c r="O24" s="135" t="n">
        <v>0</v>
      </c>
      <c r="P24" s="155" t="n">
        <v>0</v>
      </c>
      <c r="Q24" s="328" t="n">
        <f aca="false">851700/325851/1.9835*1.02</f>
        <v>1.34411230220788</v>
      </c>
      <c r="R24" s="328" t="n">
        <f aca="false">(1841680/325851/1.9835-T24)*1.04</f>
        <v>1.77259914770807</v>
      </c>
      <c r="S24" s="131" t="n">
        <v>0</v>
      </c>
      <c r="T24" s="131" t="n">
        <f aca="false">1.101*1.04</f>
        <v>1.14504</v>
      </c>
      <c r="U24" s="96" t="n">
        <f aca="false">M24-(Q24+R24+S24+T24)</f>
        <v>0.33824855008405</v>
      </c>
      <c r="V24" s="135" t="n">
        <v>0</v>
      </c>
      <c r="W24" s="135" t="n">
        <v>0</v>
      </c>
      <c r="X24" s="135" t="n">
        <f aca="false">M24-N24-O24-P24-Q24-R24-S24-T24-U24+V24+W24</f>
        <v>0</v>
      </c>
      <c r="Y24" s="135" t="n">
        <f aca="false">X24-AO24</f>
        <v>0</v>
      </c>
      <c r="Z24" s="135"/>
      <c r="AA24" s="135"/>
      <c r="AB24" s="107"/>
      <c r="AC24" s="107"/>
      <c r="AD24" s="107"/>
      <c r="AE24" s="135" t="n">
        <v>0</v>
      </c>
      <c r="AF24" s="240"/>
      <c r="AG24" s="241"/>
      <c r="AH24" s="135" t="n">
        <v>35</v>
      </c>
      <c r="AI24" s="107" t="n">
        <f aca="false">AI23-AH24</f>
        <v>1046</v>
      </c>
      <c r="AJ24" s="136"/>
      <c r="AK24" s="134" t="n">
        <f aca="false">N24+O24+P24+Q24+R24+S24+T24+U24+X24+AE24+AH24</f>
        <v>39.6</v>
      </c>
      <c r="AL24" s="135" t="n">
        <f aca="false">IF(L24&lt;0,L24*-1,0)</f>
        <v>0</v>
      </c>
      <c r="AM24" s="135" t="n">
        <f aca="false">AK24+AL24</f>
        <v>39.6</v>
      </c>
      <c r="AN24" s="212" t="n">
        <f aca="false">V24</f>
        <v>0</v>
      </c>
      <c r="AO24" s="136"/>
      <c r="AP24" s="135"/>
      <c r="AQ24" s="107"/>
      <c r="AR24" s="107"/>
      <c r="AS24" s="213"/>
      <c r="AU24" s="172"/>
      <c r="AV24" s="214" t="n">
        <v>0</v>
      </c>
      <c r="AW24" s="207" t="n">
        <v>56</v>
      </c>
      <c r="AX24" s="207" t="n">
        <v>26</v>
      </c>
      <c r="AY24" s="291"/>
      <c r="AZ24" s="242" t="n">
        <f aca="false">SUM(N24,P24:U24)</f>
        <v>4.6</v>
      </c>
    </row>
    <row r="25" customFormat="false" ht="12.95" hidden="false" customHeight="true" outlineLevel="0" collapsed="false">
      <c r="A25" s="179" t="n">
        <f aca="false">A24+1</f>
        <v>11</v>
      </c>
      <c r="B25" s="106" t="n">
        <v>6897.55</v>
      </c>
      <c r="C25" s="107" t="n">
        <v>274633</v>
      </c>
      <c r="D25" s="207" t="n">
        <f aca="false">C25-C24</f>
        <v>145</v>
      </c>
      <c r="E25" s="107" t="n">
        <f aca="false">C25-152000</f>
        <v>122633</v>
      </c>
      <c r="F25" s="238" t="n">
        <f aca="false">D25/$D$2</f>
        <v>73.1031005797832</v>
      </c>
      <c r="G25" s="135" t="n">
        <v>81</v>
      </c>
      <c r="H25" s="327" t="n">
        <v>2.9</v>
      </c>
      <c r="I25" s="135" t="n">
        <f aca="false">G25+H25</f>
        <v>83.9</v>
      </c>
      <c r="J25" s="136" t="n">
        <f aca="false">IF(L25&gt;0,L25,0)</f>
        <v>29.1031005797832</v>
      </c>
      <c r="K25" s="135" t="n">
        <f aca="false">I25+J25</f>
        <v>113.003100579783</v>
      </c>
      <c r="L25" s="135" t="n">
        <f aca="false">F25-(I25-AK25)</f>
        <v>29.1031005797832</v>
      </c>
      <c r="M25" s="240" t="n">
        <v>4.9</v>
      </c>
      <c r="N25" s="135" t="n">
        <v>0</v>
      </c>
      <c r="O25" s="135" t="n">
        <v>0</v>
      </c>
      <c r="P25" s="155" t="n">
        <v>0</v>
      </c>
      <c r="Q25" s="328" t="n">
        <f aca="false">963600/325851/1.9835*1.02</f>
        <v>1.52070754304041</v>
      </c>
      <c r="R25" s="328" t="n">
        <f aca="false">(1781978/325851/1.9835-T25)*1.04</f>
        <v>1.43858087152563</v>
      </c>
      <c r="S25" s="131" t="n">
        <v>0</v>
      </c>
      <c r="T25" s="131" t="n">
        <f aca="false">1.321*1.04</f>
        <v>1.37384</v>
      </c>
      <c r="U25" s="96" t="n">
        <f aca="false">M25-(Q25+R25+S25+T25)</f>
        <v>0.56687158543396</v>
      </c>
      <c r="V25" s="135" t="n">
        <v>0</v>
      </c>
      <c r="W25" s="135" t="n">
        <v>0</v>
      </c>
      <c r="X25" s="135" t="n">
        <f aca="false">M25-N25-O25-P25-Q25-R25-S25-T25-U25+V25+W25</f>
        <v>0</v>
      </c>
      <c r="Y25" s="135" t="n">
        <f aca="false">X25-AO25</f>
        <v>0</v>
      </c>
      <c r="Z25" s="135"/>
      <c r="AA25" s="135"/>
      <c r="AB25" s="107"/>
      <c r="AC25" s="107"/>
      <c r="AD25" s="107"/>
      <c r="AE25" s="135" t="n">
        <v>0</v>
      </c>
      <c r="AF25" s="240"/>
      <c r="AG25" s="241"/>
      <c r="AH25" s="135" t="n">
        <v>35</v>
      </c>
      <c r="AI25" s="107" t="n">
        <f aca="false">AI24-AH25</f>
        <v>1011</v>
      </c>
      <c r="AJ25" s="136"/>
      <c r="AK25" s="134" t="n">
        <f aca="false">N25+O25+P25+Q25+R25+S25+T25+U25+X25+AE25+AH25</f>
        <v>39.9</v>
      </c>
      <c r="AL25" s="135" t="n">
        <f aca="false">IF(L25&lt;0,L25*-1,0)</f>
        <v>0</v>
      </c>
      <c r="AM25" s="135" t="n">
        <f aca="false">AK25+AL25</f>
        <v>39.9</v>
      </c>
      <c r="AN25" s="212" t="n">
        <f aca="false">V25</f>
        <v>0</v>
      </c>
      <c r="AO25" s="136"/>
      <c r="AP25" s="135"/>
      <c r="AQ25" s="107"/>
      <c r="AR25" s="107"/>
      <c r="AS25" s="213"/>
      <c r="AU25" s="172"/>
      <c r="AV25" s="214" t="n">
        <v>0</v>
      </c>
      <c r="AW25" s="207" t="n">
        <v>62</v>
      </c>
      <c r="AX25" s="207" t="n">
        <v>30</v>
      </c>
      <c r="AY25" s="291"/>
      <c r="AZ25" s="242" t="n">
        <f aca="false">SUM(N25,P25:U25)</f>
        <v>4.9</v>
      </c>
    </row>
    <row r="26" customFormat="false" ht="12.95" hidden="false" customHeight="true" outlineLevel="0" collapsed="false">
      <c r="A26" s="179" t="n">
        <f aca="false">A25+1</f>
        <v>12</v>
      </c>
      <c r="B26" s="106" t="n">
        <v>6897.61</v>
      </c>
      <c r="C26" s="107" t="n">
        <v>274850</v>
      </c>
      <c r="D26" s="207" t="n">
        <f aca="false">C26-C25</f>
        <v>217</v>
      </c>
      <c r="E26" s="107" t="n">
        <f aca="false">C26-152000</f>
        <v>122850</v>
      </c>
      <c r="F26" s="238" t="n">
        <f aca="false">D26/$D$2</f>
        <v>109.402571212503</v>
      </c>
      <c r="G26" s="135" t="n">
        <v>92</v>
      </c>
      <c r="H26" s="327" t="n">
        <v>3.5</v>
      </c>
      <c r="I26" s="135" t="n">
        <f aca="false">G26+H26</f>
        <v>95.5</v>
      </c>
      <c r="J26" s="136" t="n">
        <f aca="false">IF(L26&gt;0,L26,0)</f>
        <v>53.0025712125032</v>
      </c>
      <c r="K26" s="135" t="n">
        <f aca="false">I26+J26</f>
        <v>148.502571212503</v>
      </c>
      <c r="L26" s="135" t="n">
        <f aca="false">F26-(I26-AK26)</f>
        <v>53.0025712125032</v>
      </c>
      <c r="M26" s="240" t="n">
        <v>4.1</v>
      </c>
      <c r="N26" s="135" t="n">
        <v>0</v>
      </c>
      <c r="O26" s="135" t="n">
        <v>0</v>
      </c>
      <c r="P26" s="155" t="n">
        <v>0</v>
      </c>
      <c r="Q26" s="328" t="n">
        <f aca="false">970600/325851/1.9835*1.02</f>
        <v>1.53175460904423</v>
      </c>
      <c r="R26" s="328" t="n">
        <f aca="false">(1704785/325851/1.9835-T26)*1.04</f>
        <v>1.31436988935836</v>
      </c>
      <c r="S26" s="131" t="n">
        <v>0</v>
      </c>
      <c r="T26" s="131" t="n">
        <f aca="false">1.321*1.04</f>
        <v>1.37384</v>
      </c>
      <c r="U26" s="96" t="n">
        <f aca="false">M26-(Q26+R26+S26+T26)</f>
        <v>-0.119964498402587</v>
      </c>
      <c r="V26" s="135" t="n">
        <v>0</v>
      </c>
      <c r="W26" s="135" t="n">
        <v>0</v>
      </c>
      <c r="X26" s="135" t="n">
        <f aca="false">M26-N26-O26-P26-Q26-R26-S26-T26-U26+V26+W26</f>
        <v>0</v>
      </c>
      <c r="Y26" s="135" t="n">
        <f aca="false">X26-AO26</f>
        <v>0</v>
      </c>
      <c r="Z26" s="135"/>
      <c r="AA26" s="135"/>
      <c r="AB26" s="107"/>
      <c r="AC26" s="107"/>
      <c r="AD26" s="107"/>
      <c r="AE26" s="135" t="n">
        <v>0</v>
      </c>
      <c r="AF26" s="240"/>
      <c r="AG26" s="241"/>
      <c r="AH26" s="135" t="n">
        <v>35</v>
      </c>
      <c r="AI26" s="107" t="n">
        <f aca="false">AI25-AH26</f>
        <v>976</v>
      </c>
      <c r="AJ26" s="136"/>
      <c r="AK26" s="134" t="n">
        <f aca="false">N26+O26+P26+Q26+R26+S26+T26+U26+X26+AE26+AH26</f>
        <v>39.1</v>
      </c>
      <c r="AL26" s="135" t="n">
        <f aca="false">IF(L26&lt;0,L26*-1,0)</f>
        <v>0</v>
      </c>
      <c r="AM26" s="135" t="n">
        <f aca="false">AK26+AL26</f>
        <v>39.1</v>
      </c>
      <c r="AN26" s="212" t="n">
        <f aca="false">V26</f>
        <v>0</v>
      </c>
      <c r="AO26" s="136"/>
      <c r="AP26" s="135"/>
      <c r="AQ26" s="107"/>
      <c r="AR26" s="107"/>
      <c r="AS26" s="213"/>
      <c r="AU26" s="172"/>
      <c r="AV26" s="214" t="n">
        <v>0</v>
      </c>
      <c r="AW26" s="207" t="n">
        <v>61</v>
      </c>
      <c r="AX26" s="207" t="n">
        <v>29</v>
      </c>
      <c r="AY26" s="291"/>
      <c r="AZ26" s="242" t="n">
        <f aca="false">SUM(N26,P26:U26)</f>
        <v>4.1</v>
      </c>
    </row>
    <row r="27" customFormat="false" ht="12.95" hidden="false" customHeight="true" outlineLevel="0" collapsed="false">
      <c r="A27" s="179" t="n">
        <f aca="false">A26+1</f>
        <v>13</v>
      </c>
      <c r="B27" s="106" t="n">
        <v>6897.71</v>
      </c>
      <c r="C27" s="107" t="n">
        <v>275212</v>
      </c>
      <c r="D27" s="207" t="n">
        <f aca="false">C27-C26</f>
        <v>362</v>
      </c>
      <c r="E27" s="107" t="n">
        <f aca="false">C27-152000</f>
        <v>123212</v>
      </c>
      <c r="F27" s="238" t="n">
        <f aca="false">D27/$D$2</f>
        <v>182.505671792286</v>
      </c>
      <c r="G27" s="135" t="n">
        <v>107</v>
      </c>
      <c r="H27" s="327" t="n">
        <v>3.9</v>
      </c>
      <c r="I27" s="135" t="n">
        <f aca="false">G27+H27</f>
        <v>110.9</v>
      </c>
      <c r="J27" s="136" t="n">
        <f aca="false">IF(L27&gt;0,L27,0)</f>
        <v>111.805671792286</v>
      </c>
      <c r="K27" s="135" t="n">
        <f aca="false">I27+J27</f>
        <v>222.705671792286</v>
      </c>
      <c r="L27" s="135" t="n">
        <f aca="false">F27-(I27-AK27)</f>
        <v>111.805671792286</v>
      </c>
      <c r="M27" s="240" t="n">
        <v>5.2</v>
      </c>
      <c r="N27" s="135" t="n">
        <v>0</v>
      </c>
      <c r="O27" s="135" t="n">
        <v>0</v>
      </c>
      <c r="P27" s="155" t="n">
        <v>0</v>
      </c>
      <c r="Q27" s="328" t="n">
        <f aca="false">1153600/325851/1.9835*1.02</f>
        <v>1.82055647742986</v>
      </c>
      <c r="R27" s="328" t="n">
        <f aca="false">(1713570/325851/1.9835-T27)*1.04</f>
        <v>1.3285058016605</v>
      </c>
      <c r="S27" s="131" t="n">
        <v>0</v>
      </c>
      <c r="T27" s="131" t="n">
        <f aca="false">1.321*1.04</f>
        <v>1.37384</v>
      </c>
      <c r="U27" s="96" t="n">
        <f aca="false">M27-(Q27+R27+S27+T27)</f>
        <v>0.677097720909637</v>
      </c>
      <c r="V27" s="135" t="n">
        <v>0</v>
      </c>
      <c r="W27" s="135" t="n">
        <v>0</v>
      </c>
      <c r="X27" s="135" t="n">
        <f aca="false">M27-N27-O27-P27-Q27-R27-S27-T27-U27+V27+W27</f>
        <v>0</v>
      </c>
      <c r="Y27" s="135" t="n">
        <f aca="false">X27-AO27</f>
        <v>0</v>
      </c>
      <c r="Z27" s="135"/>
      <c r="AA27" s="135"/>
      <c r="AB27" s="107"/>
      <c r="AC27" s="107"/>
      <c r="AD27" s="107"/>
      <c r="AE27" s="135" t="n">
        <v>0</v>
      </c>
      <c r="AF27" s="240"/>
      <c r="AG27" s="241"/>
      <c r="AH27" s="135" t="n">
        <v>35</v>
      </c>
      <c r="AI27" s="107" t="n">
        <f aca="false">AI26-AH27</f>
        <v>941</v>
      </c>
      <c r="AJ27" s="136"/>
      <c r="AK27" s="134" t="n">
        <f aca="false">N27+O27+P27+Q27+R27+S27+T27+U27+X27+AE27+AH27</f>
        <v>40.2</v>
      </c>
      <c r="AL27" s="135" t="n">
        <f aca="false">IF(L27&lt;0,L27*-1,0)</f>
        <v>0</v>
      </c>
      <c r="AM27" s="135" t="n">
        <f aca="false">AK27+AL27</f>
        <v>40.2</v>
      </c>
      <c r="AN27" s="212" t="n">
        <f aca="false">V27</f>
        <v>0</v>
      </c>
      <c r="AO27" s="136"/>
      <c r="AP27" s="135"/>
      <c r="AQ27" s="107"/>
      <c r="AR27" s="107"/>
      <c r="AS27" s="213"/>
      <c r="AU27" s="172"/>
      <c r="AV27" s="214" t="n">
        <v>0</v>
      </c>
      <c r="AW27" s="207" t="n">
        <v>58</v>
      </c>
      <c r="AX27" s="207" t="n">
        <v>33</v>
      </c>
      <c r="AY27" s="291"/>
      <c r="AZ27" s="242" t="n">
        <f aca="false">SUM(N27,P27:U27)</f>
        <v>5.2</v>
      </c>
    </row>
    <row r="28" customFormat="false" ht="12.95" hidden="false" customHeight="true" outlineLevel="0" collapsed="false">
      <c r="A28" s="179" t="n">
        <f aca="false">A27+1</f>
        <v>14</v>
      </c>
      <c r="B28" s="106" t="n">
        <v>6897.8</v>
      </c>
      <c r="C28" s="107" t="n">
        <v>275537</v>
      </c>
      <c r="D28" s="207" t="n">
        <f aca="false">C28-C27</f>
        <v>325</v>
      </c>
      <c r="E28" s="107" t="n">
        <f aca="false">C28-152000</f>
        <v>123537</v>
      </c>
      <c r="F28" s="238" t="n">
        <f aca="false">D28/$D$2</f>
        <v>163.851777161583</v>
      </c>
      <c r="G28" s="135" t="n">
        <v>115</v>
      </c>
      <c r="H28" s="327" t="n">
        <v>4.8</v>
      </c>
      <c r="I28" s="135" t="n">
        <f aca="false">G28+H28</f>
        <v>119.8</v>
      </c>
      <c r="J28" s="136" t="n">
        <f aca="false">IF(L28&gt;0,L28,0)</f>
        <v>83.7517771615831</v>
      </c>
      <c r="K28" s="135" t="n">
        <f aca="false">I28+J28</f>
        <v>203.551777161583</v>
      </c>
      <c r="L28" s="135" t="n">
        <f aca="false">F28-(I28-AK28)</f>
        <v>83.7517771615831</v>
      </c>
      <c r="M28" s="240" t="n">
        <v>4.7</v>
      </c>
      <c r="N28" s="135" t="n">
        <v>0</v>
      </c>
      <c r="O28" s="135" t="n">
        <v>0</v>
      </c>
      <c r="P28" s="155" t="n">
        <v>0</v>
      </c>
      <c r="Q28" s="328" t="n">
        <f aca="false">1251200/325851/1.9835*1.02</f>
        <v>1.97458414056886</v>
      </c>
      <c r="R28" s="328" t="n">
        <f aca="false">(1710282/325851/1.9835-T28)*1.04</f>
        <v>1.32321509253706</v>
      </c>
      <c r="S28" s="131" t="n">
        <v>0</v>
      </c>
      <c r="T28" s="131" t="n">
        <f aca="false">1.321*1.04</f>
        <v>1.37384</v>
      </c>
      <c r="U28" s="96" t="n">
        <f aca="false">M28-(Q28+R28+S28+T28)</f>
        <v>0.0283607668940773</v>
      </c>
      <c r="V28" s="135" t="n">
        <v>0</v>
      </c>
      <c r="W28" s="135" t="n">
        <v>0</v>
      </c>
      <c r="X28" s="135" t="n">
        <f aca="false">M28-N28-O28-P28-Q28-R28-S28-T28-U28+V28+W28</f>
        <v>-2.22044604925031E-016</v>
      </c>
      <c r="Y28" s="135" t="n">
        <f aca="false">X28-AO28</f>
        <v>-2.22044604925031E-016</v>
      </c>
      <c r="Z28" s="135"/>
      <c r="AA28" s="135"/>
      <c r="AB28" s="107"/>
      <c r="AC28" s="107"/>
      <c r="AD28" s="107"/>
      <c r="AE28" s="135" t="n">
        <v>0</v>
      </c>
      <c r="AF28" s="240"/>
      <c r="AG28" s="241"/>
      <c r="AH28" s="135" t="n">
        <v>35</v>
      </c>
      <c r="AI28" s="107" t="n">
        <f aca="false">AI27-AH28</f>
        <v>906</v>
      </c>
      <c r="AJ28" s="136"/>
      <c r="AK28" s="134" t="n">
        <f aca="false">N28+O28+P28+Q28+R28+S28+T28+U28+X28+AE28+AH28</f>
        <v>39.7</v>
      </c>
      <c r="AL28" s="135" t="n">
        <f aca="false">IF(L28&lt;0,L28*-1,0)</f>
        <v>0</v>
      </c>
      <c r="AM28" s="135" t="n">
        <f aca="false">AK28+AL28</f>
        <v>39.7</v>
      </c>
      <c r="AN28" s="212" t="n">
        <f aca="false">V28</f>
        <v>0</v>
      </c>
      <c r="AO28" s="136"/>
      <c r="AP28" s="135"/>
      <c r="AQ28" s="107"/>
      <c r="AR28" s="107"/>
      <c r="AS28" s="213"/>
      <c r="AU28" s="172"/>
      <c r="AV28" s="214" t="n">
        <v>0</v>
      </c>
      <c r="AW28" s="213" t="n">
        <v>59</v>
      </c>
      <c r="AX28" s="207" t="n">
        <v>26</v>
      </c>
      <c r="AY28" s="291"/>
      <c r="AZ28" s="242" t="n">
        <f aca="false">SUM(N28,P28:U28)</f>
        <v>4.7</v>
      </c>
    </row>
    <row r="29" customFormat="false" ht="12.95" hidden="false" customHeight="true" outlineLevel="0" collapsed="false">
      <c r="A29" s="179" t="n">
        <f aca="false">A28+1</f>
        <v>15</v>
      </c>
      <c r="B29" s="106" t="n">
        <v>6897.88</v>
      </c>
      <c r="C29" s="107" t="n">
        <v>275827</v>
      </c>
      <c r="D29" s="207" t="n">
        <f aca="false">C29-C28</f>
        <v>290</v>
      </c>
      <c r="E29" s="107" t="n">
        <f aca="false">C29-152000</f>
        <v>123827</v>
      </c>
      <c r="F29" s="238" t="n">
        <f aca="false">D29/$D$2</f>
        <v>146.206201159566</v>
      </c>
      <c r="G29" s="135" t="n">
        <v>132</v>
      </c>
      <c r="H29" s="327" t="n">
        <v>7.4</v>
      </c>
      <c r="I29" s="135" t="n">
        <f aca="false">G29+H29</f>
        <v>139.4</v>
      </c>
      <c r="J29" s="136" t="n">
        <f aca="false">IF(L29&gt;0,L29,0)</f>
        <v>46.4062011595664</v>
      </c>
      <c r="K29" s="135" t="n">
        <f aca="false">I29+J29</f>
        <v>185.806201159566</v>
      </c>
      <c r="L29" s="135" t="n">
        <f aca="false">F29-(I29-AK29)</f>
        <v>46.4062011595664</v>
      </c>
      <c r="M29" s="240" t="n">
        <v>4.6</v>
      </c>
      <c r="N29" s="135" t="n">
        <v>0</v>
      </c>
      <c r="O29" s="135" t="n">
        <v>0</v>
      </c>
      <c r="P29" s="155" t="n">
        <v>0</v>
      </c>
      <c r="Q29" s="328" t="n">
        <f aca="false">1097800/325851/1.9835*1.02</f>
        <v>1.73249557985654</v>
      </c>
      <c r="R29" s="328" t="n">
        <f aca="false">(1704291/325851/1.9835-T29)*1.04</f>
        <v>1.31357499571268</v>
      </c>
      <c r="S29" s="131" t="n">
        <v>0</v>
      </c>
      <c r="T29" s="131" t="n">
        <f aca="false">1.321*1.04</f>
        <v>1.37384</v>
      </c>
      <c r="U29" s="96" t="n">
        <f aca="false">M29-(Q29+R29+S29+T29)</f>
        <v>0.180089424430781</v>
      </c>
      <c r="V29" s="135" t="n">
        <v>0</v>
      </c>
      <c r="W29" s="135" t="n">
        <v>0</v>
      </c>
      <c r="X29" s="135" t="n">
        <f aca="false">M29-N29-O29-P29-Q29-R29-S29-T29-U29+V29+W29</f>
        <v>0</v>
      </c>
      <c r="Y29" s="135" t="n">
        <f aca="false">X29-AO29</f>
        <v>0</v>
      </c>
      <c r="Z29" s="135"/>
      <c r="AA29" s="135"/>
      <c r="AB29" s="107"/>
      <c r="AC29" s="107"/>
      <c r="AD29" s="107"/>
      <c r="AE29" s="135" t="n">
        <v>0</v>
      </c>
      <c r="AF29" s="240"/>
      <c r="AG29" s="241"/>
      <c r="AH29" s="135" t="n">
        <v>35</v>
      </c>
      <c r="AI29" s="107" t="n">
        <f aca="false">AI28-AH29</f>
        <v>871</v>
      </c>
      <c r="AJ29" s="136"/>
      <c r="AK29" s="134" t="n">
        <f aca="false">N29+O29+P29+Q29+R29+S29+T29+U29+X29+AE29+AH29</f>
        <v>39.6</v>
      </c>
      <c r="AL29" s="135" t="n">
        <f aca="false">IF(L29&lt;0,L29*-1,0)</f>
        <v>0</v>
      </c>
      <c r="AM29" s="135" t="n">
        <f aca="false">AK29+AL29</f>
        <v>39.6</v>
      </c>
      <c r="AN29" s="212" t="n">
        <f aca="false">V29</f>
        <v>0</v>
      </c>
      <c r="AO29" s="136"/>
      <c r="AP29" s="135"/>
      <c r="AQ29" s="107"/>
      <c r="AR29" s="107"/>
      <c r="AS29" s="213"/>
      <c r="AU29" s="172"/>
      <c r="AV29" s="214" t="n">
        <v>0</v>
      </c>
      <c r="AW29" s="213" t="n">
        <v>63</v>
      </c>
      <c r="AX29" s="207" t="n">
        <v>31</v>
      </c>
      <c r="AY29" s="291"/>
      <c r="AZ29" s="242" t="n">
        <f aca="false">SUM(N29,P29:U29)</f>
        <v>4.6</v>
      </c>
    </row>
    <row r="30" customFormat="false" ht="12.95" hidden="false" customHeight="true" outlineLevel="0" collapsed="false">
      <c r="A30" s="179" t="n">
        <f aca="false">A29+1</f>
        <v>16</v>
      </c>
      <c r="B30" s="106" t="n">
        <v>6898.01</v>
      </c>
      <c r="C30" s="107" t="n">
        <v>276297</v>
      </c>
      <c r="D30" s="207" t="n">
        <f aca="false">C30-C29</f>
        <v>470</v>
      </c>
      <c r="E30" s="107" t="n">
        <f aca="false">C30-152000</f>
        <v>124297</v>
      </c>
      <c r="F30" s="238" t="n">
        <f aca="false">D30/$D$2</f>
        <v>236.954877741366</v>
      </c>
      <c r="G30" s="135" t="n">
        <v>141</v>
      </c>
      <c r="H30" s="327" t="n">
        <v>14</v>
      </c>
      <c r="I30" s="135" t="n">
        <f aca="false">G30+H30</f>
        <v>155</v>
      </c>
      <c r="J30" s="136" t="n">
        <f aca="false">IF(L30&gt;0,L30,0)</f>
        <v>133.254877741366</v>
      </c>
      <c r="K30" s="135" t="n">
        <f aca="false">I30+J30</f>
        <v>288.254877741366</v>
      </c>
      <c r="L30" s="135" t="n">
        <f aca="false">F30-(I30-AK30)</f>
        <v>133.254877741366</v>
      </c>
      <c r="M30" s="240" t="n">
        <v>5.3</v>
      </c>
      <c r="N30" s="135" t="n">
        <v>0</v>
      </c>
      <c r="O30" s="135" t="n">
        <v>0</v>
      </c>
      <c r="P30" s="155" t="n">
        <v>0</v>
      </c>
      <c r="Q30" s="328" t="n">
        <f aca="false">1244400/325851/1.9835*1.02</f>
        <v>1.9638527050223</v>
      </c>
      <c r="R30" s="328" t="n">
        <f aca="false">(2734685/325851/1.9835-T30)*1.04</f>
        <v>3.37285192191154</v>
      </c>
      <c r="S30" s="131" t="n">
        <v>0</v>
      </c>
      <c r="T30" s="131" t="n">
        <f aca="false">0.95*1.04</f>
        <v>0.988</v>
      </c>
      <c r="U30" s="96" t="n">
        <f aca="false">M30-(Q30+R30+S30+T30)</f>
        <v>-1.02470462693383</v>
      </c>
      <c r="V30" s="135" t="n">
        <v>0</v>
      </c>
      <c r="W30" s="135" t="n">
        <v>0</v>
      </c>
      <c r="X30" s="135" t="n">
        <f aca="false">M30-N30-O30-P30-Q30-R30-S30-T30-U30+V30+W30</f>
        <v>0</v>
      </c>
      <c r="Y30" s="135" t="n">
        <f aca="false">X30-AO30</f>
        <v>0</v>
      </c>
      <c r="Z30" s="135"/>
      <c r="AA30" s="135"/>
      <c r="AB30" s="107"/>
      <c r="AC30" s="107"/>
      <c r="AD30" s="107"/>
      <c r="AE30" s="135" t="n">
        <v>0</v>
      </c>
      <c r="AF30" s="240"/>
      <c r="AG30" s="241"/>
      <c r="AH30" s="135" t="n">
        <v>46</v>
      </c>
      <c r="AI30" s="107" t="n">
        <f aca="false">AI29-AH30</f>
        <v>825</v>
      </c>
      <c r="AJ30" s="136"/>
      <c r="AK30" s="134" t="n">
        <f aca="false">N30+O30+P30+Q30+R30+S30+T30+U30+X30+AE30+AH30</f>
        <v>51.3</v>
      </c>
      <c r="AL30" s="135" t="n">
        <f aca="false">IF(L30&lt;0,L30*-1,0)</f>
        <v>0</v>
      </c>
      <c r="AM30" s="135" t="n">
        <f aca="false">AK30+AL30</f>
        <v>51.3</v>
      </c>
      <c r="AN30" s="212" t="n">
        <f aca="false">V30</f>
        <v>0</v>
      </c>
      <c r="AO30" s="136"/>
      <c r="AP30" s="135"/>
      <c r="AQ30" s="101"/>
      <c r="AR30" s="101"/>
      <c r="AS30" s="213"/>
      <c r="AU30" s="172"/>
      <c r="AV30" s="214" t="n">
        <v>0</v>
      </c>
      <c r="AW30" s="213" t="n">
        <v>65</v>
      </c>
      <c r="AX30" s="207" t="n">
        <v>33</v>
      </c>
      <c r="AY30" s="291"/>
      <c r="AZ30" s="242" t="n">
        <f aca="false">SUM(N30,P30:U30)</f>
        <v>5.3</v>
      </c>
    </row>
    <row r="31" customFormat="false" ht="12.95" hidden="false" customHeight="true" outlineLevel="0" collapsed="false">
      <c r="A31" s="179" t="n">
        <v>17</v>
      </c>
      <c r="B31" s="106" t="n">
        <v>6898.14</v>
      </c>
      <c r="C31" s="107" t="n">
        <v>276771</v>
      </c>
      <c r="D31" s="207" t="n">
        <f aca="false">C31-C30</f>
        <v>474</v>
      </c>
      <c r="E31" s="107" t="n">
        <f aca="false">C31-152000</f>
        <v>124771</v>
      </c>
      <c r="F31" s="238" t="n">
        <f aca="false">D31/$D$2</f>
        <v>238.97151499874</v>
      </c>
      <c r="G31" s="135" t="n">
        <v>172</v>
      </c>
      <c r="H31" s="289" t="n">
        <v>24</v>
      </c>
      <c r="I31" s="135" t="n">
        <f aca="false">G31+H31</f>
        <v>196</v>
      </c>
      <c r="J31" s="136" t="n">
        <f aca="false">IF(L31&gt;0,L31,0)</f>
        <v>122.97151499874</v>
      </c>
      <c r="K31" s="135" t="n">
        <f aca="false">I31+J31</f>
        <v>318.97151499874</v>
      </c>
      <c r="L31" s="135" t="n">
        <f aca="false">F31-(I31-AK31)</f>
        <v>122.97151499874</v>
      </c>
      <c r="M31" s="240" t="n">
        <v>5</v>
      </c>
      <c r="N31" s="135" t="n">
        <v>0</v>
      </c>
      <c r="O31" s="135" t="n">
        <v>0</v>
      </c>
      <c r="P31" s="155" t="n">
        <v>0</v>
      </c>
      <c r="Q31" s="328" t="n">
        <f aca="false">1080800/325851/1.9835*1.02</f>
        <v>1.70566699099011</v>
      </c>
      <c r="R31" s="328" t="n">
        <f aca="false">(1926332/325851/1.9835-T31)*1.04</f>
        <v>1.77761430028647</v>
      </c>
      <c r="S31" s="131" t="n">
        <v>0</v>
      </c>
      <c r="T31" s="131" t="n">
        <f aca="false">1.2223*1.04</f>
        <v>1.271192</v>
      </c>
      <c r="U31" s="96" t="n">
        <f aca="false">M31-(Q31+R31+S31+T31)</f>
        <v>0.245526708723421</v>
      </c>
      <c r="V31" s="135" t="n">
        <v>23</v>
      </c>
      <c r="W31" s="135" t="n">
        <v>0</v>
      </c>
      <c r="X31" s="135" t="n">
        <f aca="false">M31-N31-O31-P31-Q31-R31-S31-T31-U31+V31+W31</f>
        <v>23</v>
      </c>
      <c r="Y31" s="135" t="n">
        <f aca="false">X31-AO31</f>
        <v>23</v>
      </c>
      <c r="Z31" s="135"/>
      <c r="AA31" s="135"/>
      <c r="AB31" s="107"/>
      <c r="AC31" s="107"/>
      <c r="AD31" s="107"/>
      <c r="AE31" s="135" t="n">
        <v>0</v>
      </c>
      <c r="AF31" s="240"/>
      <c r="AG31" s="241"/>
      <c r="AH31" s="135" t="n">
        <v>52</v>
      </c>
      <c r="AI31" s="107" t="n">
        <f aca="false">AI30-AH31</f>
        <v>773</v>
      </c>
      <c r="AJ31" s="136"/>
      <c r="AK31" s="134" t="n">
        <f aca="false">N31+O31+P31+Q31+R31+S31+T31+U31+X31+AE31+AH31</f>
        <v>80</v>
      </c>
      <c r="AL31" s="135" t="n">
        <f aca="false">IF(L31&lt;0,L31*-1,0)</f>
        <v>0</v>
      </c>
      <c r="AM31" s="135" t="n">
        <f aca="false">AK31+AL31</f>
        <v>80</v>
      </c>
      <c r="AN31" s="212" t="n">
        <f aca="false">V31</f>
        <v>23</v>
      </c>
      <c r="AO31" s="136"/>
      <c r="AP31" s="135"/>
      <c r="AQ31" s="107"/>
      <c r="AR31" s="107"/>
      <c r="AS31" s="213"/>
      <c r="AU31" s="172"/>
      <c r="AV31" s="214" t="n">
        <v>0</v>
      </c>
      <c r="AW31" s="213" t="n">
        <v>58</v>
      </c>
      <c r="AX31" s="207" t="n">
        <v>32</v>
      </c>
      <c r="AY31" s="291"/>
      <c r="AZ31" s="242" t="n">
        <f aca="false">SUM(N31,P31:U31)</f>
        <v>5</v>
      </c>
    </row>
    <row r="32" customFormat="false" ht="12.95" hidden="false" customHeight="true" outlineLevel="0" collapsed="false">
      <c r="A32" s="179" t="n">
        <f aca="false">A31+1</f>
        <v>18</v>
      </c>
      <c r="B32" s="106" t="n">
        <v>6898.27</v>
      </c>
      <c r="C32" s="107" t="n">
        <v>277245</v>
      </c>
      <c r="D32" s="207" t="n">
        <f aca="false">C32-C31</f>
        <v>474</v>
      </c>
      <c r="E32" s="107" t="n">
        <f aca="false">C32-152000</f>
        <v>125245</v>
      </c>
      <c r="F32" s="238" t="n">
        <f aca="false">D32/$D$2</f>
        <v>238.97151499874</v>
      </c>
      <c r="G32" s="135" t="n">
        <v>176</v>
      </c>
      <c r="H32" s="289" t="n">
        <v>35</v>
      </c>
      <c r="I32" s="135" t="n">
        <f aca="false">G32+H32</f>
        <v>211</v>
      </c>
      <c r="J32" s="136" t="n">
        <f aca="false">IF(L32&gt;0,L32,0)</f>
        <v>135.97151499874</v>
      </c>
      <c r="K32" s="135" t="n">
        <f aca="false">I32+J32</f>
        <v>346.97151499874</v>
      </c>
      <c r="L32" s="135" t="n">
        <f aca="false">F32-(I32-AK32)</f>
        <v>135.97151499874</v>
      </c>
      <c r="M32" s="240" t="n">
        <v>5</v>
      </c>
      <c r="N32" s="135" t="n">
        <v>0</v>
      </c>
      <c r="O32" s="135" t="n">
        <v>0</v>
      </c>
      <c r="P32" s="155" t="n">
        <v>0</v>
      </c>
      <c r="Q32" s="328" t="n">
        <f aca="false">1051100/325851/1.9835*1.02</f>
        <v>1.65879586808818</v>
      </c>
      <c r="R32" s="328" t="n">
        <f aca="false">(1818753/325851/1.9835-T32)*1.04</f>
        <v>1.7829733134279</v>
      </c>
      <c r="S32" s="131" t="n">
        <v>0</v>
      </c>
      <c r="T32" s="131" t="n">
        <f aca="false">1.0573*1.04</f>
        <v>1.099592</v>
      </c>
      <c r="U32" s="96" t="n">
        <f aca="false">M32-(Q32+R32+S32+T32)</f>
        <v>0.458638818483919</v>
      </c>
      <c r="V32" s="135" t="n">
        <v>51</v>
      </c>
      <c r="W32" s="135" t="n">
        <v>0</v>
      </c>
      <c r="X32" s="135" t="n">
        <f aca="false">M32-N32-O32-P32-Q32-R32-S32-T32-U32+V32+W32</f>
        <v>51</v>
      </c>
      <c r="Y32" s="135" t="n">
        <f aca="false">X32-AO32</f>
        <v>51</v>
      </c>
      <c r="Z32" s="135"/>
      <c r="AA32" s="135"/>
      <c r="AB32" s="107"/>
      <c r="AC32" s="107"/>
      <c r="AD32" s="107"/>
      <c r="AE32" s="135" t="n">
        <v>0</v>
      </c>
      <c r="AF32" s="240"/>
      <c r="AG32" s="241"/>
      <c r="AH32" s="135" t="n">
        <v>52</v>
      </c>
      <c r="AI32" s="107" t="n">
        <f aca="false">AI31-AH32</f>
        <v>721</v>
      </c>
      <c r="AJ32" s="136"/>
      <c r="AK32" s="134" t="n">
        <f aca="false">N32+O32+P32+Q32+R32+S32+T32+U32+X32+AE32+AH32</f>
        <v>108</v>
      </c>
      <c r="AL32" s="135" t="n">
        <f aca="false">IF(L32&lt;0,L32*-1,0)</f>
        <v>0</v>
      </c>
      <c r="AM32" s="135" t="n">
        <f aca="false">AK32+AL32</f>
        <v>108</v>
      </c>
      <c r="AN32" s="212" t="n">
        <f aca="false">V32</f>
        <v>51</v>
      </c>
      <c r="AO32" s="136"/>
      <c r="AP32" s="135"/>
      <c r="AQ32" s="107"/>
      <c r="AR32" s="107"/>
      <c r="AS32" s="213"/>
      <c r="AU32" s="172"/>
      <c r="AV32" s="214" t="n">
        <v>0</v>
      </c>
      <c r="AW32" s="213" t="n">
        <v>59</v>
      </c>
      <c r="AX32" s="207" t="n">
        <v>32</v>
      </c>
      <c r="AY32" s="291"/>
      <c r="AZ32" s="242" t="n">
        <f aca="false">SUM(N32,P32:U32)</f>
        <v>5</v>
      </c>
    </row>
    <row r="33" customFormat="false" ht="12.95" hidden="false" customHeight="true" outlineLevel="0" collapsed="false">
      <c r="A33" s="179" t="n">
        <f aca="false">A32+1</f>
        <v>19</v>
      </c>
      <c r="B33" s="106" t="n">
        <v>6898.41</v>
      </c>
      <c r="C33" s="300" t="n">
        <v>277755</v>
      </c>
      <c r="D33" s="207" t="n">
        <f aca="false">C33-C32</f>
        <v>510</v>
      </c>
      <c r="E33" s="107" t="n">
        <f aca="false">C33-152000</f>
        <v>125755</v>
      </c>
      <c r="F33" s="238" t="n">
        <f aca="false">D33/$D$2</f>
        <v>257.1212503151</v>
      </c>
      <c r="G33" s="135" t="n">
        <v>175</v>
      </c>
      <c r="H33" s="289" t="n">
        <v>47</v>
      </c>
      <c r="I33" s="135" t="n">
        <f aca="false">G33+H33</f>
        <v>222</v>
      </c>
      <c r="J33" s="136" t="n">
        <f aca="false">IF(L33&gt;0,L33,0)</f>
        <v>143.1212503151</v>
      </c>
      <c r="K33" s="135" t="n">
        <f aca="false">I33+J33</f>
        <v>365.1212503151</v>
      </c>
      <c r="L33" s="135" t="n">
        <f aca="false">F33-(I33-AK33)</f>
        <v>143.1212503151</v>
      </c>
      <c r="M33" s="240" t="n">
        <v>5</v>
      </c>
      <c r="N33" s="135" t="n">
        <v>0</v>
      </c>
      <c r="O33" s="135" t="n">
        <v>0</v>
      </c>
      <c r="P33" s="155" t="n">
        <v>0</v>
      </c>
      <c r="Q33" s="328" t="n">
        <f aca="false">1078500/325851/1.9835*1.02</f>
        <v>1.70203724073171</v>
      </c>
      <c r="R33" s="328" t="n">
        <f aca="false">(1747937/325851/1.9835-T33)*1.04</f>
        <v>1.66902353931421</v>
      </c>
      <c r="S33" s="131" t="n">
        <v>0</v>
      </c>
      <c r="T33" s="131" t="n">
        <f aca="false">1.0573*1.04</f>
        <v>1.099592</v>
      </c>
      <c r="U33" s="96" t="n">
        <f aca="false">M33-(Q33+R33+S33+T33)</f>
        <v>0.529347219954074</v>
      </c>
      <c r="V33" s="135" t="n">
        <v>51</v>
      </c>
      <c r="W33" s="135" t="n">
        <v>0</v>
      </c>
      <c r="X33" s="135" t="n">
        <f aca="false">M33-N33-O33-P33-Q33-R33-S33-T33-U33+V33+W33</f>
        <v>51</v>
      </c>
      <c r="Y33" s="135" t="n">
        <f aca="false">X33-AO33</f>
        <v>51</v>
      </c>
      <c r="Z33" s="135"/>
      <c r="AA33" s="135"/>
      <c r="AB33" s="107"/>
      <c r="AC33" s="107"/>
      <c r="AD33" s="107"/>
      <c r="AE33" s="135" t="n">
        <v>0</v>
      </c>
      <c r="AF33" s="240"/>
      <c r="AG33" s="241"/>
      <c r="AH33" s="135" t="n">
        <v>52</v>
      </c>
      <c r="AI33" s="107" t="n">
        <f aca="false">AI32-AH33</f>
        <v>669</v>
      </c>
      <c r="AJ33" s="136"/>
      <c r="AK33" s="134" t="n">
        <f aca="false">N33+O33+P33+Q33+R33+S33+T33+U33+X33+AE33+AH33</f>
        <v>108</v>
      </c>
      <c r="AL33" s="135" t="n">
        <f aca="false">IF(L33&lt;0,L33*-1,0)</f>
        <v>0</v>
      </c>
      <c r="AM33" s="135" t="n">
        <f aca="false">AK33+AL33</f>
        <v>108</v>
      </c>
      <c r="AN33" s="212" t="n">
        <f aca="false">V33</f>
        <v>51</v>
      </c>
      <c r="AO33" s="136"/>
      <c r="AP33" s="135"/>
      <c r="AQ33" s="107"/>
      <c r="AR33" s="107"/>
      <c r="AS33" s="213"/>
      <c r="AU33" s="172"/>
      <c r="AV33" s="214" t="n">
        <v>0</v>
      </c>
      <c r="AW33" s="213" t="n">
        <v>62</v>
      </c>
      <c r="AX33" s="207" t="n">
        <v>37</v>
      </c>
      <c r="AY33" s="291"/>
      <c r="AZ33" s="242" t="n">
        <f aca="false">SUM(N33,P33:U33)</f>
        <v>5</v>
      </c>
    </row>
    <row r="34" customFormat="false" ht="12.95" hidden="false" customHeight="true" outlineLevel="0" collapsed="false">
      <c r="A34" s="179" t="n">
        <f aca="false">A33+1</f>
        <v>20</v>
      </c>
      <c r="B34" s="106" t="n">
        <v>6898.55</v>
      </c>
      <c r="C34" s="107" t="n">
        <v>278266</v>
      </c>
      <c r="D34" s="207" t="n">
        <f aca="false">C34-C33</f>
        <v>511</v>
      </c>
      <c r="E34" s="107" t="n">
        <f aca="false">C34-152000</f>
        <v>126266</v>
      </c>
      <c r="F34" s="238" t="n">
        <f aca="false">D34/$D$2</f>
        <v>257.625409629443</v>
      </c>
      <c r="G34" s="135" t="n">
        <v>172</v>
      </c>
      <c r="H34" s="289" t="n">
        <v>47</v>
      </c>
      <c r="I34" s="135" t="n">
        <f aca="false">G34+H34</f>
        <v>219</v>
      </c>
      <c r="J34" s="136" t="n">
        <f aca="false">IF(L34&gt;0,L34,0)</f>
        <v>145.825409629443</v>
      </c>
      <c r="K34" s="135" t="n">
        <f aca="false">I34+J34</f>
        <v>364.825409629443</v>
      </c>
      <c r="L34" s="135" t="n">
        <f aca="false">F34-(I34-AK34)</f>
        <v>145.825409629443</v>
      </c>
      <c r="M34" s="240" t="n">
        <v>4.2</v>
      </c>
      <c r="N34" s="135" t="n">
        <v>0</v>
      </c>
      <c r="O34" s="135" t="n">
        <v>0</v>
      </c>
      <c r="P34" s="155" t="n">
        <v>0</v>
      </c>
      <c r="Q34" s="328" t="n">
        <f aca="false">1129500/325851/1.9835*1.02</f>
        <v>1.78252300733099</v>
      </c>
      <c r="R34" s="328" t="n">
        <f aca="false">(1760961/325851/1.9835-T34)*1.04</f>
        <v>1.68998041146255</v>
      </c>
      <c r="S34" s="131" t="n">
        <v>0</v>
      </c>
      <c r="T34" s="131" t="n">
        <f aca="false">1.0573*1.04</f>
        <v>1.099592</v>
      </c>
      <c r="U34" s="96" t="n">
        <f aca="false">M34-(Q34+R34+S34+T34)</f>
        <v>-0.372095418793537</v>
      </c>
      <c r="V34" s="135" t="n">
        <v>51</v>
      </c>
      <c r="W34" s="135" t="n">
        <v>0</v>
      </c>
      <c r="X34" s="135" t="n">
        <f aca="false">M34-N34-O34-P34-Q34-R34-S34-T34-U34+V34+W34</f>
        <v>51</v>
      </c>
      <c r="Y34" s="135" t="n">
        <f aca="false">X34-AO34</f>
        <v>51</v>
      </c>
      <c r="Z34" s="135"/>
      <c r="AA34" s="135"/>
      <c r="AB34" s="107"/>
      <c r="AC34" s="107"/>
      <c r="AD34" s="107"/>
      <c r="AE34" s="135" t="n">
        <v>0</v>
      </c>
      <c r="AF34" s="240"/>
      <c r="AG34" s="241"/>
      <c r="AH34" s="135" t="n">
        <v>52</v>
      </c>
      <c r="AI34" s="107" t="n">
        <f aca="false">AI33-AH34</f>
        <v>617</v>
      </c>
      <c r="AJ34" s="136"/>
      <c r="AK34" s="134" t="n">
        <f aca="false">N34+O34+P34+Q34+R34+S34+T34+U34+X34+AE34+AH34</f>
        <v>107.2</v>
      </c>
      <c r="AL34" s="135" t="n">
        <f aca="false">IF(L34&lt;0,L34*-1,0)</f>
        <v>0</v>
      </c>
      <c r="AM34" s="135" t="n">
        <f aca="false">AK34+AL34</f>
        <v>107.2</v>
      </c>
      <c r="AN34" s="212" t="n">
        <f aca="false">V34</f>
        <v>51</v>
      </c>
      <c r="AO34" s="136"/>
      <c r="AP34" s="135"/>
      <c r="AQ34" s="107"/>
      <c r="AR34" s="107"/>
      <c r="AS34" s="213"/>
      <c r="AU34" s="172"/>
      <c r="AV34" s="214" t="n">
        <v>0</v>
      </c>
      <c r="AW34" s="213" t="n">
        <v>58</v>
      </c>
      <c r="AX34" s="207" t="n">
        <v>33</v>
      </c>
      <c r="AY34" s="291"/>
      <c r="AZ34" s="242" t="n">
        <f aca="false">SUM(N34,P34:U34)</f>
        <v>4.2</v>
      </c>
    </row>
    <row r="35" customFormat="false" ht="12.95" hidden="false" customHeight="true" outlineLevel="0" collapsed="false">
      <c r="A35" s="179" t="n">
        <f aca="false">A34+1</f>
        <v>21</v>
      </c>
      <c r="B35" s="106" t="n">
        <v>6898.63</v>
      </c>
      <c r="C35" s="107" t="n">
        <v>278557</v>
      </c>
      <c r="D35" s="207" t="n">
        <f aca="false">C35-C34</f>
        <v>291</v>
      </c>
      <c r="E35" s="107" t="n">
        <f aca="false">C35-152000</f>
        <v>126557</v>
      </c>
      <c r="F35" s="238" t="n">
        <f aca="false">D35/$D$2</f>
        <v>146.71036047391</v>
      </c>
      <c r="G35" s="329" t="n">
        <v>164</v>
      </c>
      <c r="H35" s="289" t="n">
        <v>36</v>
      </c>
      <c r="I35" s="135" t="n">
        <f aca="false">G35+H35</f>
        <v>200</v>
      </c>
      <c r="J35" s="136" t="n">
        <f aca="false">IF(L35&gt;0,L35,0)</f>
        <v>62.0103604739098</v>
      </c>
      <c r="K35" s="135" t="n">
        <f aca="false">I35+J35</f>
        <v>262.01036047391</v>
      </c>
      <c r="L35" s="135" t="n">
        <f aca="false">F35-(I35-AK35)</f>
        <v>62.0103604739098</v>
      </c>
      <c r="M35" s="240" t="n">
        <v>5.3</v>
      </c>
      <c r="N35" s="135" t="n">
        <v>0</v>
      </c>
      <c r="O35" s="135" t="n">
        <v>0</v>
      </c>
      <c r="P35" s="155" t="n">
        <v>0</v>
      </c>
      <c r="Q35" s="328" t="n">
        <f aca="false">1061400/325851/1.9835*1.02</f>
        <v>1.67505083663666</v>
      </c>
      <c r="R35" s="328" t="n">
        <f aca="false">(1704643/325851/1.9835-T35)*1.04</f>
        <v>1.59935931766264</v>
      </c>
      <c r="S35" s="131" t="n">
        <v>0</v>
      </c>
      <c r="T35" s="131" t="n">
        <f aca="false">1.0573*1.04</f>
        <v>1.099592</v>
      </c>
      <c r="U35" s="96" t="n">
        <f aca="false">M35-(Q35+R35+S35+T35)</f>
        <v>0.9259978457007</v>
      </c>
      <c r="V35" s="135" t="n">
        <v>58</v>
      </c>
      <c r="W35" s="135" t="n">
        <v>0</v>
      </c>
      <c r="X35" s="135" t="n">
        <f aca="false">M35-N35-O35-P35-Q35-R35-S35-T35-U35+V35+W35</f>
        <v>58</v>
      </c>
      <c r="Y35" s="135" t="n">
        <f aca="false">X35-AO35</f>
        <v>58</v>
      </c>
      <c r="Z35" s="135"/>
      <c r="AA35" s="135"/>
      <c r="AB35" s="107"/>
      <c r="AC35" s="107"/>
      <c r="AD35" s="107"/>
      <c r="AE35" s="135" t="n">
        <v>0</v>
      </c>
      <c r="AF35" s="240"/>
      <c r="AG35" s="241"/>
      <c r="AH35" s="135" t="n">
        <v>52</v>
      </c>
      <c r="AI35" s="107" t="n">
        <f aca="false">AI34-AH35</f>
        <v>565</v>
      </c>
      <c r="AJ35" s="136"/>
      <c r="AK35" s="134" t="n">
        <f aca="false">N35+O35+P35+Q35+R35+S35+T35+U35+X35+AE35+AH35</f>
        <v>115.3</v>
      </c>
      <c r="AL35" s="135" t="n">
        <f aca="false">IF(L35&lt;0,L35*-1,0)</f>
        <v>0</v>
      </c>
      <c r="AM35" s="135" t="n">
        <f aca="false">AK35+AL35</f>
        <v>115.3</v>
      </c>
      <c r="AN35" s="212" t="n">
        <f aca="false">V35</f>
        <v>58</v>
      </c>
      <c r="AO35" s="136"/>
      <c r="AP35" s="135"/>
      <c r="AQ35" s="107"/>
      <c r="AR35" s="107"/>
      <c r="AS35" s="213"/>
      <c r="AU35" s="172"/>
      <c r="AV35" s="214" t="n">
        <v>0.083</v>
      </c>
      <c r="AW35" s="207" t="n">
        <v>55</v>
      </c>
      <c r="AX35" s="207" t="n">
        <v>30</v>
      </c>
      <c r="AY35" s="291"/>
      <c r="AZ35" s="242" t="n">
        <f aca="false">SUM(N35,P35:U35)</f>
        <v>5.3</v>
      </c>
    </row>
    <row r="36" customFormat="false" ht="12.95" hidden="false" customHeight="true" outlineLevel="0" collapsed="false">
      <c r="A36" s="179" t="n">
        <f aca="false">A35+1</f>
        <v>22</v>
      </c>
      <c r="B36" s="106" t="n">
        <v>6898.72</v>
      </c>
      <c r="C36" s="107" t="n">
        <v>278886</v>
      </c>
      <c r="D36" s="207" t="n">
        <f aca="false">C36-C35</f>
        <v>329</v>
      </c>
      <c r="E36" s="107" t="n">
        <f aca="false">C36-152000</f>
        <v>126886</v>
      </c>
      <c r="F36" s="238" t="n">
        <f aca="false">D36/$D$2</f>
        <v>165.868414418956</v>
      </c>
      <c r="G36" s="135" t="n">
        <v>158</v>
      </c>
      <c r="H36" s="289" t="n">
        <v>11</v>
      </c>
      <c r="I36" s="135" t="n">
        <f aca="false">G36+H36</f>
        <v>169</v>
      </c>
      <c r="J36" s="136" t="n">
        <f aca="false">IF(L36&gt;0,L36,0)</f>
        <v>106.568414418956</v>
      </c>
      <c r="K36" s="135" t="n">
        <f aca="false">I36+J36</f>
        <v>275.568414418956</v>
      </c>
      <c r="L36" s="135" t="n">
        <f aca="false">F36-(I36-AK36)</f>
        <v>106.568414418956</v>
      </c>
      <c r="M36" s="240" t="n">
        <v>4.7</v>
      </c>
      <c r="N36" s="135" t="n">
        <v>0</v>
      </c>
      <c r="O36" s="135" t="n">
        <v>0</v>
      </c>
      <c r="P36" s="155" t="n">
        <v>0</v>
      </c>
      <c r="Q36" s="328" t="n">
        <f aca="false">1032300/325851/1.9835*1.02</f>
        <v>1.62912660510649</v>
      </c>
      <c r="R36" s="328" t="n">
        <f aca="false">(1600000/325851/1.9835-T36)*1.04</f>
        <v>1.43097863797756</v>
      </c>
      <c r="S36" s="131" t="n">
        <v>0</v>
      </c>
      <c r="T36" s="131" t="n">
        <f aca="false">1.0573*1.04</f>
        <v>1.099592</v>
      </c>
      <c r="U36" s="96" t="n">
        <f aca="false">M36-(Q36+R36+S36+T36)</f>
        <v>0.540302756915954</v>
      </c>
      <c r="V36" s="135" t="n">
        <v>55</v>
      </c>
      <c r="W36" s="135" t="n">
        <v>0</v>
      </c>
      <c r="X36" s="135" t="n">
        <f aca="false">M36-N36-O36-P36-Q36-R36-S36-T36-U36+V36+W36</f>
        <v>55</v>
      </c>
      <c r="Y36" s="135" t="n">
        <f aca="false">X36-AO36</f>
        <v>55</v>
      </c>
      <c r="Z36" s="135"/>
      <c r="AA36" s="135"/>
      <c r="AB36" s="107"/>
      <c r="AC36" s="107"/>
      <c r="AD36" s="107"/>
      <c r="AE36" s="135" t="n">
        <v>0</v>
      </c>
      <c r="AF36" s="240"/>
      <c r="AG36" s="241"/>
      <c r="AH36" s="135" t="n">
        <v>50</v>
      </c>
      <c r="AI36" s="107" t="n">
        <f aca="false">AI35-AH36</f>
        <v>515</v>
      </c>
      <c r="AJ36" s="136"/>
      <c r="AK36" s="134" t="n">
        <f aca="false">N36+O36+P36+Q36+R36+S36+T36+U36+X36+AE36+AH36</f>
        <v>109.7</v>
      </c>
      <c r="AL36" s="135" t="n">
        <f aca="false">IF(L36&lt;0,L36*-1,0)</f>
        <v>0</v>
      </c>
      <c r="AM36" s="135" t="n">
        <f aca="false">AK36+AL36</f>
        <v>109.7</v>
      </c>
      <c r="AN36" s="212" t="n">
        <f aca="false">V36</f>
        <v>55</v>
      </c>
      <c r="AO36" s="136"/>
      <c r="AP36" s="135"/>
      <c r="AQ36" s="107"/>
      <c r="AR36" s="107"/>
      <c r="AS36" s="213"/>
      <c r="AU36" s="172"/>
      <c r="AV36" s="214" t="n">
        <v>0.07</v>
      </c>
      <c r="AW36" s="207" t="n">
        <v>42</v>
      </c>
      <c r="AX36" s="207" t="n">
        <v>26</v>
      </c>
      <c r="AY36" s="291"/>
      <c r="AZ36" s="242" t="n">
        <f aca="false">SUM(N36,P36:U36)</f>
        <v>4.7</v>
      </c>
    </row>
    <row r="37" customFormat="false" ht="12.95" hidden="false" customHeight="true" outlineLevel="0" collapsed="false">
      <c r="A37" s="179" t="n">
        <f aca="false">A36+1</f>
        <v>23</v>
      </c>
      <c r="B37" s="106" t="n">
        <v>6898.76</v>
      </c>
      <c r="C37" s="107" t="n">
        <v>279031</v>
      </c>
      <c r="D37" s="207" t="n">
        <f aca="false">C37-C36</f>
        <v>145</v>
      </c>
      <c r="E37" s="107" t="n">
        <f aca="false">C37-152000</f>
        <v>127031</v>
      </c>
      <c r="F37" s="238" t="n">
        <f aca="false">D37/$D$2</f>
        <v>73.1031005797832</v>
      </c>
      <c r="G37" s="135" t="n">
        <v>129</v>
      </c>
      <c r="H37" s="289" t="n">
        <v>6.5</v>
      </c>
      <c r="I37" s="135" t="n">
        <f aca="false">G37+H37</f>
        <v>135.5</v>
      </c>
      <c r="J37" s="136" t="n">
        <f aca="false">IF(L37&gt;0,L37,0)</f>
        <v>60.6031005797832</v>
      </c>
      <c r="K37" s="135" t="n">
        <f aca="false">I37+J37</f>
        <v>196.103100579783</v>
      </c>
      <c r="L37" s="135" t="n">
        <f aca="false">F37-(I37-AK37)</f>
        <v>60.6031005797832</v>
      </c>
      <c r="M37" s="240" t="n">
        <v>20</v>
      </c>
      <c r="N37" s="135" t="n">
        <v>0</v>
      </c>
      <c r="O37" s="135" t="n">
        <v>0</v>
      </c>
      <c r="P37" s="155" t="n">
        <v>0</v>
      </c>
      <c r="Q37" s="328" t="n">
        <f aca="false">996100/325851/1.9835*1.02</f>
        <v>1.57199749234387</v>
      </c>
      <c r="R37" s="328" t="n">
        <f aca="false">(1652769/325851/1.9835-T37)*1.04</f>
        <v>1.51588904848091</v>
      </c>
      <c r="S37" s="131" t="n">
        <v>0</v>
      </c>
      <c r="T37" s="131" t="n">
        <f aca="false">1.0573*1.04</f>
        <v>1.099592</v>
      </c>
      <c r="U37" s="96" t="n">
        <v>0</v>
      </c>
      <c r="V37" s="135" t="n">
        <v>54</v>
      </c>
      <c r="W37" s="135" t="n">
        <v>0</v>
      </c>
      <c r="X37" s="135" t="n">
        <f aca="false">M37-N37-O37-P37-Q37-R37-S37-T37-U37+V37+W37</f>
        <v>69.8125214591752</v>
      </c>
      <c r="Y37" s="135" t="n">
        <f aca="false">X37-AO37</f>
        <v>69.8125214591752</v>
      </c>
      <c r="Z37" s="135"/>
      <c r="AA37" s="135"/>
      <c r="AB37" s="107"/>
      <c r="AC37" s="107"/>
      <c r="AD37" s="107"/>
      <c r="AE37" s="135" t="n">
        <v>0</v>
      </c>
      <c r="AF37" s="240"/>
      <c r="AG37" s="241"/>
      <c r="AH37" s="135" t="n">
        <v>49</v>
      </c>
      <c r="AI37" s="107" t="n">
        <f aca="false">AI36-AH37</f>
        <v>466</v>
      </c>
      <c r="AJ37" s="136"/>
      <c r="AK37" s="134" t="n">
        <f aca="false">N37+O37+P37+Q37+R37+S37+T37+U37+X37+AE37+AH37</f>
        <v>123</v>
      </c>
      <c r="AL37" s="135" t="n">
        <f aca="false">IF(L37&lt;0,L37*-1,0)</f>
        <v>0</v>
      </c>
      <c r="AM37" s="135" t="n">
        <f aca="false">AK37+AL37</f>
        <v>123</v>
      </c>
      <c r="AN37" s="212" t="n">
        <f aca="false">V37</f>
        <v>54</v>
      </c>
      <c r="AO37" s="136"/>
      <c r="AP37" s="135"/>
      <c r="AQ37" s="107"/>
      <c r="AR37" s="107"/>
      <c r="AS37" s="213"/>
      <c r="AU37" s="172"/>
      <c r="AV37" s="214" t="n">
        <v>0</v>
      </c>
      <c r="AW37" s="207" t="n">
        <v>50</v>
      </c>
      <c r="AX37" s="213" t="n">
        <v>21</v>
      </c>
      <c r="AY37" s="291"/>
      <c r="AZ37" s="242" t="n">
        <f aca="false">SUM(N37,P37:U37)</f>
        <v>4.18747854082477</v>
      </c>
    </row>
    <row r="38" customFormat="false" ht="12.95" hidden="false" customHeight="true" outlineLevel="0" collapsed="false">
      <c r="A38" s="179" t="n">
        <f aca="false">A37+1</f>
        <v>24</v>
      </c>
      <c r="B38" s="106" t="n">
        <v>6898.78</v>
      </c>
      <c r="C38" s="107" t="n">
        <v>279104</v>
      </c>
      <c r="D38" s="207" t="n">
        <f aca="false">C38-C37</f>
        <v>73</v>
      </c>
      <c r="E38" s="107" t="n">
        <f aca="false">C38-152000</f>
        <v>127104</v>
      </c>
      <c r="F38" s="238" t="n">
        <f aca="false">D38/$D$2</f>
        <v>36.8036299470633</v>
      </c>
      <c r="G38" s="135" t="n">
        <v>147</v>
      </c>
      <c r="H38" s="289" t="n">
        <v>11</v>
      </c>
      <c r="I38" s="135" t="n">
        <f aca="false">G38+H38</f>
        <v>158</v>
      </c>
      <c r="J38" s="136" t="n">
        <f aca="false">IF(L38&gt;0,L38,0)</f>
        <v>11.8036299470633</v>
      </c>
      <c r="K38" s="135" t="n">
        <f aca="false">I38+J38</f>
        <v>169.803629947063</v>
      </c>
      <c r="L38" s="135" t="n">
        <f aca="false">F38-(I38-AK38)</f>
        <v>11.8036299470633</v>
      </c>
      <c r="M38" s="240" t="n">
        <v>28</v>
      </c>
      <c r="N38" s="135" t="n">
        <v>0</v>
      </c>
      <c r="O38" s="135" t="n">
        <v>0</v>
      </c>
      <c r="P38" s="155" t="n">
        <v>0</v>
      </c>
      <c r="Q38" s="328" t="n">
        <f aca="false">875900/325851/1.9835*1.02</f>
        <v>1.38230358753538</v>
      </c>
      <c r="R38" s="328" t="n">
        <f aca="false">(1771837/325851/1.9835-T38)*1.04</f>
        <v>1.707480944439</v>
      </c>
      <c r="S38" s="131" t="n">
        <v>0</v>
      </c>
      <c r="T38" s="131" t="n">
        <f aca="false">1.0573*1.04</f>
        <v>1.099592</v>
      </c>
      <c r="U38" s="96" t="n">
        <v>0</v>
      </c>
      <c r="V38" s="135" t="n">
        <v>55</v>
      </c>
      <c r="W38" s="135" t="n">
        <v>0</v>
      </c>
      <c r="X38" s="135" t="n">
        <f aca="false">M38-N38-O38-P38-Q38-R38-S38-T38-U38+V38+W38</f>
        <v>78.8106234680256</v>
      </c>
      <c r="Y38" s="135" t="n">
        <f aca="false">X38-AO38</f>
        <v>78.8106234680256</v>
      </c>
      <c r="Z38" s="135"/>
      <c r="AA38" s="135"/>
      <c r="AB38" s="107"/>
      <c r="AC38" s="107"/>
      <c r="AD38" s="107"/>
      <c r="AE38" s="135" t="n">
        <v>0</v>
      </c>
      <c r="AF38" s="240"/>
      <c r="AG38" s="241"/>
      <c r="AH38" s="135" t="n">
        <v>50</v>
      </c>
      <c r="AI38" s="107" t="n">
        <f aca="false">AI37-AH38</f>
        <v>416</v>
      </c>
      <c r="AJ38" s="136"/>
      <c r="AK38" s="134" t="n">
        <f aca="false">N38+O38+P38+Q38+R38+S38+T38+U38+X38+AE38+AH38</f>
        <v>133</v>
      </c>
      <c r="AL38" s="135" t="n">
        <f aca="false">IF(L38&lt;0,L38*-1,0)</f>
        <v>0</v>
      </c>
      <c r="AM38" s="135" t="n">
        <f aca="false">AK38+AL38</f>
        <v>133</v>
      </c>
      <c r="AN38" s="212" t="n">
        <f aca="false">V38</f>
        <v>55</v>
      </c>
      <c r="AO38" s="136"/>
      <c r="AP38" s="135"/>
      <c r="AQ38" s="107"/>
      <c r="AR38" s="107"/>
      <c r="AS38" s="213"/>
      <c r="AU38" s="172"/>
      <c r="AV38" s="214" t="n">
        <v>0</v>
      </c>
      <c r="AW38" s="207" t="n">
        <v>48</v>
      </c>
      <c r="AX38" s="213" t="n">
        <v>33</v>
      </c>
      <c r="AY38" s="291"/>
      <c r="AZ38" s="242" t="n">
        <f aca="false">SUM(N38,P38:U38)</f>
        <v>4.18937653197438</v>
      </c>
    </row>
    <row r="39" customFormat="false" ht="12.95" hidden="false" customHeight="true" outlineLevel="0" collapsed="false">
      <c r="A39" s="179" t="n">
        <f aca="false">A38+1</f>
        <v>25</v>
      </c>
      <c r="B39" s="106" t="n">
        <v>6898.8</v>
      </c>
      <c r="C39" s="107" t="n">
        <v>279177</v>
      </c>
      <c r="D39" s="207" t="n">
        <f aca="false">C39-C38</f>
        <v>73</v>
      </c>
      <c r="E39" s="107" t="n">
        <f aca="false">C39-152000</f>
        <v>127177</v>
      </c>
      <c r="F39" s="238" t="n">
        <f aca="false">D39/$D$2</f>
        <v>36.8036299470633</v>
      </c>
      <c r="G39" s="135" t="n">
        <v>135</v>
      </c>
      <c r="H39" s="289" t="n">
        <v>6.1</v>
      </c>
      <c r="I39" s="135" t="n">
        <f aca="false">G39+H39</f>
        <v>141.1</v>
      </c>
      <c r="J39" s="136" t="n">
        <f aca="false">IF(L39&gt;0,L39,0)</f>
        <v>7.50362994706327</v>
      </c>
      <c r="K39" s="135" t="n">
        <f aca="false">I39+J39</f>
        <v>148.603629947063</v>
      </c>
      <c r="L39" s="135" t="n">
        <f aca="false">F39-(I39-AK39)</f>
        <v>7.50362994706327</v>
      </c>
      <c r="M39" s="240" t="n">
        <v>6.8</v>
      </c>
      <c r="N39" s="135" t="n">
        <v>0</v>
      </c>
      <c r="O39" s="135" t="n">
        <v>0</v>
      </c>
      <c r="P39" s="155" t="n">
        <v>0</v>
      </c>
      <c r="Q39" s="328" t="n">
        <f aca="false">845600/325851/1.9835*1.02</f>
        <v>1.33448557326169</v>
      </c>
      <c r="R39" s="328" t="n">
        <f aca="false">(1727984/325851/1.9835-T39)*1.04</f>
        <v>1.56347659787258</v>
      </c>
      <c r="S39" s="131" t="n">
        <v>0</v>
      </c>
      <c r="T39" s="131" t="n">
        <f aca="false">1.1252*1.04</f>
        <v>1.170208</v>
      </c>
      <c r="U39" s="96" t="n">
        <v>0</v>
      </c>
      <c r="V39" s="135" t="n">
        <v>55</v>
      </c>
      <c r="W39" s="135" t="n">
        <v>0</v>
      </c>
      <c r="X39" s="135" t="n">
        <f aca="false">M39-N39-O39-P39-Q39-R39-S39-T39-U39+V39+W39</f>
        <v>57.7318298288657</v>
      </c>
      <c r="Y39" s="135" t="n">
        <f aca="false">X39-AO39</f>
        <v>57.7318298288657</v>
      </c>
      <c r="Z39" s="135"/>
      <c r="AA39" s="135"/>
      <c r="AB39" s="107"/>
      <c r="AC39" s="107"/>
      <c r="AD39" s="107"/>
      <c r="AE39" s="135" t="n">
        <v>0</v>
      </c>
      <c r="AF39" s="240"/>
      <c r="AG39" s="241"/>
      <c r="AH39" s="135" t="n">
        <v>50</v>
      </c>
      <c r="AI39" s="107" t="n">
        <f aca="false">AI38-AH39</f>
        <v>366</v>
      </c>
      <c r="AJ39" s="136"/>
      <c r="AK39" s="134" t="n">
        <f aca="false">N39+O39+P39+Q39+R39+S39+T39+U39+X39+AE39+AH39</f>
        <v>111.8</v>
      </c>
      <c r="AL39" s="135" t="n">
        <f aca="false">IF(L39&lt;0,L39*-1,0)</f>
        <v>0</v>
      </c>
      <c r="AM39" s="135" t="n">
        <f aca="false">AK39+AL39</f>
        <v>111.8</v>
      </c>
      <c r="AN39" s="212" t="n">
        <f aca="false">V39</f>
        <v>55</v>
      </c>
      <c r="AO39" s="136"/>
      <c r="AP39" s="135"/>
      <c r="AQ39" s="107"/>
      <c r="AR39" s="107"/>
      <c r="AS39" s="213"/>
      <c r="AU39" s="172"/>
      <c r="AV39" s="214" t="n">
        <v>0</v>
      </c>
      <c r="AW39" s="207" t="n">
        <v>51</v>
      </c>
      <c r="AX39" s="213" t="n">
        <v>30</v>
      </c>
      <c r="AY39" s="291"/>
      <c r="AZ39" s="242" t="n">
        <f aca="false">SUM(N39,P39:U39)</f>
        <v>4.06817017113428</v>
      </c>
    </row>
    <row r="40" customFormat="false" ht="12.95" hidden="false" customHeight="true" outlineLevel="0" collapsed="false">
      <c r="A40" s="179" t="n">
        <f aca="false">A39+1</f>
        <v>26</v>
      </c>
      <c r="B40" s="106" t="n">
        <v>6898.85</v>
      </c>
      <c r="C40" s="107" t="n">
        <v>279360</v>
      </c>
      <c r="D40" s="207" t="n">
        <f aca="false">C40-C39</f>
        <v>183</v>
      </c>
      <c r="E40" s="107" t="n">
        <f aca="false">C40-152000</f>
        <v>127360</v>
      </c>
      <c r="F40" s="238" t="n">
        <f aca="false">D40/$D$2</f>
        <v>92.2611545248298</v>
      </c>
      <c r="G40" s="135" t="n">
        <v>124</v>
      </c>
      <c r="H40" s="289" t="n">
        <v>4.8</v>
      </c>
      <c r="I40" s="135" t="n">
        <f aca="false">G40+H40</f>
        <v>128.8</v>
      </c>
      <c r="J40" s="136" t="n">
        <f aca="false">IF(L40&gt;0,L40,0)</f>
        <v>75.8611545248298</v>
      </c>
      <c r="K40" s="135" t="n">
        <f aca="false">I40+J40</f>
        <v>204.66115452483</v>
      </c>
      <c r="L40" s="135" t="n">
        <f aca="false">F40-(I40-AK40)</f>
        <v>75.8611545248298</v>
      </c>
      <c r="M40" s="240" t="n">
        <v>6.4</v>
      </c>
      <c r="N40" s="135" t="n">
        <v>0</v>
      </c>
      <c r="O40" s="135" t="n">
        <v>0</v>
      </c>
      <c r="P40" s="155" t="n">
        <v>0</v>
      </c>
      <c r="Q40" s="328" t="n">
        <f aca="false">1011700/325851/1.9835*1.02</f>
        <v>1.59661666800953</v>
      </c>
      <c r="R40" s="328" t="n">
        <f aca="false">(1969690/325851/1.9835-T40)*1.04</f>
        <v>1.95240486411076</v>
      </c>
      <c r="S40" s="131" t="n">
        <v>0</v>
      </c>
      <c r="T40" s="131" t="n">
        <f aca="false">1.1252*1.04</f>
        <v>1.170208</v>
      </c>
      <c r="U40" s="96" t="n">
        <f aca="false">M40-(Q40+R40+S40+T40)</f>
        <v>1.68077046787971</v>
      </c>
      <c r="V40" s="135" t="n">
        <v>56</v>
      </c>
      <c r="W40" s="135" t="n">
        <v>0</v>
      </c>
      <c r="X40" s="135" t="n">
        <f aca="false">M40-N40-O40-P40-Q40-R40-S40-T40-U40+V40+W40</f>
        <v>56</v>
      </c>
      <c r="Y40" s="135" t="n">
        <f aca="false">X40-AO40</f>
        <v>56</v>
      </c>
      <c r="Z40" s="135"/>
      <c r="AA40" s="135"/>
      <c r="AB40" s="107"/>
      <c r="AC40" s="107"/>
      <c r="AD40" s="107"/>
      <c r="AE40" s="135" t="n">
        <v>0</v>
      </c>
      <c r="AF40" s="240"/>
      <c r="AG40" s="241"/>
      <c r="AH40" s="135" t="n">
        <v>50</v>
      </c>
      <c r="AI40" s="107" t="n">
        <f aca="false">AI39-AH40</f>
        <v>316</v>
      </c>
      <c r="AJ40" s="136"/>
      <c r="AK40" s="134" t="n">
        <f aca="false">N40+O40+P40+Q40+R40+S40+T40+U40+X40+AE40+AH40</f>
        <v>112.4</v>
      </c>
      <c r="AL40" s="135" t="n">
        <f aca="false">IF(L40&lt;0,L40*-1,0)</f>
        <v>0</v>
      </c>
      <c r="AM40" s="135" t="n">
        <f aca="false">AK40+AL40</f>
        <v>112.4</v>
      </c>
      <c r="AN40" s="212" t="n">
        <f aca="false">V40</f>
        <v>56</v>
      </c>
      <c r="AO40" s="136"/>
      <c r="AP40" s="135"/>
      <c r="AQ40" s="107"/>
      <c r="AR40" s="107"/>
      <c r="AS40" s="213"/>
      <c r="AU40" s="172"/>
      <c r="AV40" s="214" t="n">
        <v>0.01</v>
      </c>
      <c r="AW40" s="207" t="n">
        <v>49</v>
      </c>
      <c r="AX40" s="207" t="n">
        <v>23</v>
      </c>
      <c r="AY40" s="291"/>
      <c r="AZ40" s="242" t="n">
        <f aca="false">SUM(N40,P40:U40)</f>
        <v>6.4</v>
      </c>
    </row>
    <row r="41" customFormat="false" ht="12.95" hidden="false" customHeight="true" outlineLevel="0" collapsed="false">
      <c r="A41" s="179" t="n">
        <f aca="false">A40+1</f>
        <v>27</v>
      </c>
      <c r="B41" s="106" t="n">
        <v>6898.9</v>
      </c>
      <c r="C41" s="107" t="n">
        <v>279592</v>
      </c>
      <c r="D41" s="207" t="n">
        <f aca="false">C41-C40</f>
        <v>232</v>
      </c>
      <c r="E41" s="107" t="n">
        <f aca="false">C41-152000</f>
        <v>127592</v>
      </c>
      <c r="F41" s="238" t="n">
        <f aca="false">D41/$D$2</f>
        <v>116.964960927653</v>
      </c>
      <c r="G41" s="135" t="n">
        <v>129</v>
      </c>
      <c r="H41" s="289" t="n">
        <v>4.1</v>
      </c>
      <c r="I41" s="135" t="n">
        <f aca="false">G41+H41</f>
        <v>133.1</v>
      </c>
      <c r="J41" s="136" t="n">
        <f aca="false">IF(L41&gt;0,L41,0)</f>
        <v>81.7649609276532</v>
      </c>
      <c r="K41" s="135" t="n">
        <f aca="false">I41+J41</f>
        <v>214.864960927653</v>
      </c>
      <c r="L41" s="135" t="n">
        <f aca="false">F41-(I41-AK41)</f>
        <v>81.7649609276532</v>
      </c>
      <c r="M41" s="240" t="n">
        <v>5.9</v>
      </c>
      <c r="N41" s="135" t="n">
        <v>0</v>
      </c>
      <c r="O41" s="135" t="n">
        <v>0</v>
      </c>
      <c r="P41" s="155" t="n">
        <v>0</v>
      </c>
      <c r="Q41" s="328" t="n">
        <f aca="false">953600/325851/1.9835*1.02</f>
        <v>1.5049260201778</v>
      </c>
      <c r="R41" s="328" t="n">
        <f aca="false">(1805673/325851/1.9835-T41)*1.04</f>
        <v>1.68848569187843</v>
      </c>
      <c r="S41" s="131" t="n">
        <v>0</v>
      </c>
      <c r="T41" s="131" t="n">
        <f aca="false">1.1252*1.04</f>
        <v>1.170208</v>
      </c>
      <c r="U41" s="96" t="n">
        <f aca="false">M41-(Q41+R41+S41+T41)</f>
        <v>1.53638028794376</v>
      </c>
      <c r="V41" s="135" t="n">
        <v>42</v>
      </c>
      <c r="W41" s="135" t="n">
        <v>0</v>
      </c>
      <c r="X41" s="135" t="n">
        <f aca="false">M41-N41-O41-P41-Q41-R41-S41-T41-U41+V41+W41</f>
        <v>42</v>
      </c>
      <c r="Y41" s="135" t="n">
        <f aca="false">X41-AO41</f>
        <v>42</v>
      </c>
      <c r="Z41" s="135"/>
      <c r="AA41" s="135"/>
      <c r="AB41" s="107"/>
      <c r="AC41" s="107"/>
      <c r="AD41" s="107"/>
      <c r="AE41" s="135" t="n">
        <v>0</v>
      </c>
      <c r="AF41" s="240"/>
      <c r="AG41" s="241"/>
      <c r="AH41" s="135" t="n">
        <v>50</v>
      </c>
      <c r="AI41" s="107" t="n">
        <f aca="false">AI40-AH41</f>
        <v>266</v>
      </c>
      <c r="AJ41" s="136"/>
      <c r="AK41" s="134" t="n">
        <f aca="false">N41+O41+P41+Q41+R41+S41+T41+U41+X41+AE41+AH41</f>
        <v>97.9</v>
      </c>
      <c r="AL41" s="135" t="n">
        <f aca="false">IF(L41&lt;0,L41*-1,0)</f>
        <v>0</v>
      </c>
      <c r="AM41" s="135" t="n">
        <f aca="false">AK41+AL41</f>
        <v>97.9</v>
      </c>
      <c r="AN41" s="212" t="n">
        <f aca="false">V41</f>
        <v>42</v>
      </c>
      <c r="AO41" s="136"/>
      <c r="AP41" s="135"/>
      <c r="AQ41" s="107"/>
      <c r="AR41" s="107"/>
      <c r="AS41" s="213"/>
      <c r="AU41" s="172"/>
      <c r="AV41" s="214" t="n">
        <v>0.03</v>
      </c>
      <c r="AW41" s="207" t="n">
        <v>52</v>
      </c>
      <c r="AX41" s="207" t="n">
        <v>32</v>
      </c>
      <c r="AY41" s="291"/>
      <c r="AZ41" s="242" t="n">
        <f aca="false">SUM(N41,P41:U41)</f>
        <v>5.9</v>
      </c>
    </row>
    <row r="42" customFormat="false" ht="12.95" hidden="false" customHeight="true" outlineLevel="0" collapsed="false">
      <c r="A42" s="179" t="n">
        <f aca="false">A41+1</f>
        <v>28</v>
      </c>
      <c r="B42" s="106" t="n">
        <v>6898.94</v>
      </c>
      <c r="C42" s="107" t="n">
        <v>279688</v>
      </c>
      <c r="D42" s="207" t="n">
        <f aca="false">C42-C41</f>
        <v>96</v>
      </c>
      <c r="E42" s="107" t="n">
        <f aca="false">C42-152000</f>
        <v>127688</v>
      </c>
      <c r="F42" s="238" t="n">
        <f aca="false">D42/$D$2</f>
        <v>48.3992941769599</v>
      </c>
      <c r="G42" s="135" t="n">
        <v>129</v>
      </c>
      <c r="H42" s="289" t="n">
        <v>4.8</v>
      </c>
      <c r="I42" s="135" t="n">
        <f aca="false">G42+H42</f>
        <v>133.8</v>
      </c>
      <c r="J42" s="136" t="n">
        <f aca="false">IF(L42&gt;0,L42,0)</f>
        <v>42.5992941769599</v>
      </c>
      <c r="K42" s="135" t="n">
        <f aca="false">I42+J42</f>
        <v>176.39929417696</v>
      </c>
      <c r="L42" s="135" t="n">
        <f aca="false">F42-(I42-AK42)</f>
        <v>42.5992941769599</v>
      </c>
      <c r="M42" s="240" t="n">
        <v>33</v>
      </c>
      <c r="N42" s="135" t="n">
        <v>0</v>
      </c>
      <c r="O42" s="135" t="n">
        <v>0</v>
      </c>
      <c r="P42" s="155" t="n">
        <v>0</v>
      </c>
      <c r="Q42" s="328" t="n">
        <f aca="false">943500/325851/1.9835*1.02</f>
        <v>1.48898668208658</v>
      </c>
      <c r="R42" s="328" t="n">
        <f aca="false">(1745478/325851/1.9835-T42)*1.04</f>
        <v>1.59162613114677</v>
      </c>
      <c r="S42" s="131" t="n">
        <v>0</v>
      </c>
      <c r="T42" s="131" t="n">
        <f aca="false">1.1252*1.04</f>
        <v>1.170208</v>
      </c>
      <c r="U42" s="96" t="n">
        <v>0</v>
      </c>
      <c r="V42" s="135" t="n">
        <v>45</v>
      </c>
      <c r="W42" s="135" t="n">
        <v>0</v>
      </c>
      <c r="X42" s="135" t="n">
        <f aca="false">M42-N42-O42-P42-Q42-R42-S42-T42-U42+V42+W42</f>
        <v>73.7491791867667</v>
      </c>
      <c r="Y42" s="135" t="n">
        <f aca="false">X42-AO42</f>
        <v>73.7491791867667</v>
      </c>
      <c r="Z42" s="135"/>
      <c r="AA42" s="135"/>
      <c r="AB42" s="107"/>
      <c r="AC42" s="107"/>
      <c r="AD42" s="107"/>
      <c r="AE42" s="135" t="n">
        <v>0</v>
      </c>
      <c r="AF42" s="240"/>
      <c r="AG42" s="241"/>
      <c r="AH42" s="135" t="n">
        <v>50</v>
      </c>
      <c r="AI42" s="107" t="n">
        <f aca="false">AI41-AH42</f>
        <v>216</v>
      </c>
      <c r="AJ42" s="136"/>
      <c r="AK42" s="134" t="n">
        <f aca="false">N42+O42+P42+Q42+R42+S42+T42+U42+X42+AE42+AH42</f>
        <v>128</v>
      </c>
      <c r="AL42" s="135" t="n">
        <f aca="false">IF(L42&lt;0,L42*-1,0)</f>
        <v>0</v>
      </c>
      <c r="AM42" s="135" t="n">
        <f aca="false">AK42+AL42</f>
        <v>128</v>
      </c>
      <c r="AN42" s="212" t="n">
        <f aca="false">V42</f>
        <v>45</v>
      </c>
      <c r="AO42" s="136"/>
      <c r="AP42" s="135"/>
      <c r="AQ42" s="107"/>
      <c r="AR42" s="107"/>
      <c r="AS42" s="213"/>
      <c r="AU42" s="172"/>
      <c r="AV42" s="214" t="n">
        <v>0</v>
      </c>
      <c r="AW42" s="207" t="n">
        <v>57</v>
      </c>
      <c r="AX42" s="207" t="n">
        <v>28</v>
      </c>
      <c r="AY42" s="291"/>
      <c r="AZ42" s="242" t="n">
        <f aca="false">SUM(N42,P42:U42)</f>
        <v>4.25082081323335</v>
      </c>
    </row>
    <row r="43" customFormat="false" ht="12.95" hidden="false" customHeight="true" outlineLevel="0" collapsed="false">
      <c r="A43" s="179" t="n">
        <f aca="false">A42+1</f>
        <v>29</v>
      </c>
      <c r="B43" s="106" t="n">
        <v>6898.96</v>
      </c>
      <c r="C43" s="107" t="n">
        <v>279761</v>
      </c>
      <c r="D43" s="207" t="n">
        <f aca="false">C43-C42</f>
        <v>73</v>
      </c>
      <c r="E43" s="107" t="n">
        <f aca="false">C43-152000</f>
        <v>127761</v>
      </c>
      <c r="F43" s="238" t="n">
        <f aca="false">D43/$D$2</f>
        <v>36.8036299470633</v>
      </c>
      <c r="G43" s="135" t="n">
        <v>133</v>
      </c>
      <c r="H43" s="289" t="n">
        <v>5</v>
      </c>
      <c r="I43" s="135" t="n">
        <f aca="false">G43+H43</f>
        <v>138</v>
      </c>
      <c r="J43" s="136" t="n">
        <f aca="false">IF(L43&gt;0,L43,0)</f>
        <v>44.8036299470633</v>
      </c>
      <c r="K43" s="135" t="n">
        <f aca="false">I43+J43</f>
        <v>182.803629947063</v>
      </c>
      <c r="L43" s="135" t="n">
        <f aca="false">F43-(I43-AK43)</f>
        <v>44.8036299470633</v>
      </c>
      <c r="M43" s="240" t="n">
        <v>39</v>
      </c>
      <c r="N43" s="135" t="n">
        <v>0</v>
      </c>
      <c r="O43" s="135" t="n">
        <f aca="false">(4+1.7)*1.05</f>
        <v>5.985</v>
      </c>
      <c r="P43" s="155" t="n">
        <v>0</v>
      </c>
      <c r="Q43" s="328" t="n">
        <f aca="false">845700/325851/1.9835*1.02</f>
        <v>1.33464338849032</v>
      </c>
      <c r="R43" s="328" t="n">
        <f aca="false">(1961684/325851/1.9835-T43)*1.04</f>
        <v>1.93952243794218</v>
      </c>
      <c r="S43" s="131" t="n">
        <v>0</v>
      </c>
      <c r="T43" s="131" t="n">
        <f aca="false">1.1252*1.04</f>
        <v>1.170208</v>
      </c>
      <c r="U43" s="96" t="n">
        <v>0</v>
      </c>
      <c r="V43" s="135" t="n">
        <v>57</v>
      </c>
      <c r="W43" s="135" t="n">
        <v>0</v>
      </c>
      <c r="X43" s="135" t="n">
        <f aca="false">M43-N43-O43-P43-Q43-R43-S43-T43-U43+V43+W43</f>
        <v>85.5706261735675</v>
      </c>
      <c r="Y43" s="135" t="n">
        <f aca="false">X43-AO43</f>
        <v>85.5706261735675</v>
      </c>
      <c r="Z43" s="135"/>
      <c r="AA43" s="135"/>
      <c r="AB43" s="107"/>
      <c r="AC43" s="107"/>
      <c r="AD43" s="107"/>
      <c r="AE43" s="135" t="n">
        <v>0</v>
      </c>
      <c r="AF43" s="240"/>
      <c r="AG43" s="241"/>
      <c r="AH43" s="135" t="n">
        <v>50</v>
      </c>
      <c r="AI43" s="107" t="n">
        <f aca="false">AI42-AH43</f>
        <v>166</v>
      </c>
      <c r="AJ43" s="136"/>
      <c r="AK43" s="134" t="n">
        <f aca="false">N43+O43+P43+Q43+R43+S43+T43+U43+X43+AE43+AH43</f>
        <v>146</v>
      </c>
      <c r="AL43" s="135" t="n">
        <f aca="false">IF(L43&lt;0,L43*-1,0)</f>
        <v>0</v>
      </c>
      <c r="AM43" s="135" t="n">
        <f aca="false">AK43+AL43</f>
        <v>146</v>
      </c>
      <c r="AN43" s="212" t="n">
        <f aca="false">V43</f>
        <v>57</v>
      </c>
      <c r="AO43" s="136"/>
      <c r="AP43" s="135"/>
      <c r="AQ43" s="107"/>
      <c r="AR43" s="107"/>
      <c r="AS43" s="213"/>
      <c r="AU43" s="172"/>
      <c r="AV43" s="214" t="n">
        <v>0</v>
      </c>
      <c r="AW43" s="213" t="n">
        <v>52</v>
      </c>
      <c r="AX43" s="207" t="n">
        <v>25</v>
      </c>
      <c r="AY43" s="291"/>
      <c r="AZ43" s="242" t="n">
        <f aca="false">SUM(N43,P43:U43)</f>
        <v>4.4443738264325</v>
      </c>
    </row>
    <row r="44" customFormat="false" ht="12.95" hidden="false" customHeight="true" outlineLevel="0" collapsed="false">
      <c r="A44" s="179" t="n">
        <v>30</v>
      </c>
      <c r="B44" s="106" t="n">
        <v>6899.05</v>
      </c>
      <c r="C44" s="107" t="n">
        <v>280090</v>
      </c>
      <c r="D44" s="207" t="n">
        <f aca="false">C44-C43</f>
        <v>329</v>
      </c>
      <c r="E44" s="107" t="n">
        <f aca="false">C44-152000</f>
        <v>128090</v>
      </c>
      <c r="F44" s="238" t="n">
        <f aca="false">D44/$D$2</f>
        <v>165.868414418956</v>
      </c>
      <c r="G44" s="135" t="n">
        <v>143</v>
      </c>
      <c r="H44" s="289" t="n">
        <v>5.8</v>
      </c>
      <c r="I44" s="135" t="n">
        <f aca="false">G44+H44</f>
        <v>148.8</v>
      </c>
      <c r="J44" s="136" t="n">
        <f aca="false">IF(L44&gt;0,L44,0)</f>
        <v>91.1684144189564</v>
      </c>
      <c r="K44" s="135" t="n">
        <f aca="false">I44+J44</f>
        <v>239.968414418956</v>
      </c>
      <c r="L44" s="135" t="n">
        <f aca="false">F44-(I44-AK44)</f>
        <v>91.1684144189564</v>
      </c>
      <c r="M44" s="240" t="n">
        <v>6.1</v>
      </c>
      <c r="N44" s="135" t="n">
        <v>0</v>
      </c>
      <c r="O44" s="135" t="n">
        <v>0</v>
      </c>
      <c r="P44" s="155" t="n">
        <v>0</v>
      </c>
      <c r="Q44" s="328" t="n">
        <f aca="false">887000/325851/1.9835*1.02</f>
        <v>1.39982107791287</v>
      </c>
      <c r="R44" s="328" t="n">
        <f aca="false">(2198439/325851/1.9835-T44)*1.04</f>
        <v>2.46877142766266</v>
      </c>
      <c r="S44" s="131" t="n">
        <v>0</v>
      </c>
      <c r="T44" s="131" t="n">
        <f aca="false">0.9881*1.04</f>
        <v>1.027624</v>
      </c>
      <c r="U44" s="96" t="n">
        <f aca="false">M44-(Q44+R44+S44+T44)</f>
        <v>1.20378349442446</v>
      </c>
      <c r="V44" s="135" t="n">
        <v>18</v>
      </c>
      <c r="W44" s="135" t="n">
        <v>0</v>
      </c>
      <c r="X44" s="135" t="n">
        <f aca="false">M44-N44-O44-P44-Q44-R44-S44-T44-U44+V44+W44</f>
        <v>18</v>
      </c>
      <c r="Y44" s="135" t="n">
        <f aca="false">X44-AO44</f>
        <v>18</v>
      </c>
      <c r="Z44" s="135"/>
      <c r="AA44" s="135"/>
      <c r="AB44" s="107"/>
      <c r="AC44" s="107"/>
      <c r="AD44" s="107"/>
      <c r="AE44" s="135" t="n">
        <v>0</v>
      </c>
      <c r="AF44" s="240"/>
      <c r="AG44" s="241"/>
      <c r="AH44" s="135" t="n">
        <v>50</v>
      </c>
      <c r="AI44" s="107" t="n">
        <f aca="false">AI43-AH44</f>
        <v>116</v>
      </c>
      <c r="AJ44" s="136"/>
      <c r="AK44" s="134" t="n">
        <f aca="false">N44+O44+P44+Q44+R44+S44+T44+U44+X44+AE44+AH44</f>
        <v>74.1</v>
      </c>
      <c r="AL44" s="135" t="n">
        <f aca="false">IF(L44&lt;0,L44*-1,0)</f>
        <v>0</v>
      </c>
      <c r="AM44" s="135" t="n">
        <f aca="false">AK44+AL44</f>
        <v>74.1</v>
      </c>
      <c r="AN44" s="212" t="n">
        <f aca="false">V44</f>
        <v>18</v>
      </c>
      <c r="AO44" s="136"/>
      <c r="AP44" s="135"/>
      <c r="AQ44" s="107"/>
      <c r="AR44" s="107"/>
      <c r="AS44" s="213"/>
      <c r="AU44" s="172"/>
      <c r="AV44" s="214" t="n">
        <v>0</v>
      </c>
      <c r="AW44" s="213" t="n">
        <v>54</v>
      </c>
      <c r="AX44" s="207" t="n">
        <v>34</v>
      </c>
      <c r="AY44" s="291"/>
      <c r="AZ44" s="242" t="n">
        <f aca="false">SUM(N44,P44:U44)</f>
        <v>6.1</v>
      </c>
    </row>
    <row r="45" customFormat="false" ht="12.95" hidden="false" customHeight="true" outlineLevel="0" collapsed="false">
      <c r="A45" s="179" t="n">
        <v>31</v>
      </c>
      <c r="B45" s="106" t="n">
        <v>6899.18</v>
      </c>
      <c r="C45" s="107" t="n">
        <v>280568</v>
      </c>
      <c r="D45" s="207" t="n">
        <f aca="false">C45-C44</f>
        <v>478</v>
      </c>
      <c r="E45" s="107" t="n">
        <f aca="false">C45-152000</f>
        <v>128568</v>
      </c>
      <c r="F45" s="238" t="n">
        <f aca="false">D45/$D$2</f>
        <v>240.988152256113</v>
      </c>
      <c r="G45" s="135" t="n">
        <v>175</v>
      </c>
      <c r="H45" s="289" t="n">
        <v>14</v>
      </c>
      <c r="I45" s="135" t="n">
        <f aca="false">G45+H45</f>
        <v>189</v>
      </c>
      <c r="J45" s="136" t="n">
        <f aca="false">IF(L45&gt;0,L45,0)</f>
        <v>136.988152256113</v>
      </c>
      <c r="K45" s="135" t="n">
        <f aca="false">I45+J45</f>
        <v>325.988152256113</v>
      </c>
      <c r="L45" s="135" t="n">
        <f aca="false">F45-(I45-AK45)</f>
        <v>136.988152256113</v>
      </c>
      <c r="M45" s="240" t="n">
        <v>35</v>
      </c>
      <c r="N45" s="135" t="n">
        <v>0</v>
      </c>
      <c r="O45" s="135" t="n">
        <f aca="false">(8+7)*1.05</f>
        <v>15.75</v>
      </c>
      <c r="P45" s="155" t="n">
        <v>0</v>
      </c>
      <c r="Q45" s="328" t="n">
        <f aca="false">969600/325851/1.9835*1.02</f>
        <v>1.53017645675797</v>
      </c>
      <c r="R45" s="328" t="n">
        <f aca="false">(2435595/325851/1.9835-T45)*1.04</f>
        <v>2.85037830505909</v>
      </c>
      <c r="S45" s="131" t="n">
        <v>0</v>
      </c>
      <c r="T45" s="131" t="n">
        <f aca="false">0.9881*1.04</f>
        <v>1.027624</v>
      </c>
      <c r="U45" s="96" t="n">
        <v>0</v>
      </c>
      <c r="V45" s="135" t="n">
        <v>0</v>
      </c>
      <c r="W45" s="135" t="n">
        <v>0</v>
      </c>
      <c r="X45" s="135" t="n">
        <f aca="false">M45-N45-O45-P45-Q45-R45-S45-T45-U45+V45+W45</f>
        <v>13.8418212381829</v>
      </c>
      <c r="Y45" s="135" t="n">
        <f aca="false">X45-AO45</f>
        <v>13.8418212381829</v>
      </c>
      <c r="Z45" s="135"/>
      <c r="AA45" s="135"/>
      <c r="AB45" s="107"/>
      <c r="AC45" s="107"/>
      <c r="AD45" s="107"/>
      <c r="AE45" s="135" t="n">
        <v>0</v>
      </c>
      <c r="AF45" s="240"/>
      <c r="AG45" s="241"/>
      <c r="AH45" s="135" t="n">
        <v>50</v>
      </c>
      <c r="AI45" s="107" t="n">
        <f aca="false">AI44-AH45</f>
        <v>66</v>
      </c>
      <c r="AJ45" s="136"/>
      <c r="AK45" s="134" t="n">
        <f aca="false">N45+O45+P45+Q45+R45+S45+T45+U45+X45+AE45+AH45</f>
        <v>85</v>
      </c>
      <c r="AL45" s="135" t="n">
        <f aca="false">IF(L45&lt;0,L45*-1,0)</f>
        <v>0</v>
      </c>
      <c r="AM45" s="135" t="n">
        <f aca="false">AK45+AL45</f>
        <v>85</v>
      </c>
      <c r="AN45" s="212" t="n">
        <f aca="false">V45</f>
        <v>0</v>
      </c>
      <c r="AO45" s="136"/>
      <c r="AP45" s="135"/>
      <c r="AQ45" s="135"/>
      <c r="AR45" s="135"/>
      <c r="AS45" s="213"/>
      <c r="AU45" s="172"/>
      <c r="AV45" s="214" t="n">
        <v>0</v>
      </c>
      <c r="AW45" s="213" t="n">
        <v>65</v>
      </c>
      <c r="AX45" s="207" t="n">
        <v>36</v>
      </c>
      <c r="AY45" s="291"/>
      <c r="AZ45" s="242" t="n">
        <f aca="false">SUM(N45,P45:U45)</f>
        <v>5.40817876181706</v>
      </c>
    </row>
    <row r="46" customFormat="false" ht="3" hidden="false" customHeight="true" outlineLevel="0" collapsed="false">
      <c r="A46" s="223"/>
      <c r="B46" s="244"/>
      <c r="C46" s="225"/>
      <c r="D46" s="226"/>
      <c r="E46" s="225"/>
      <c r="F46" s="227"/>
      <c r="G46" s="226"/>
      <c r="H46" s="254"/>
      <c r="I46" s="226"/>
      <c r="J46" s="226"/>
      <c r="K46" s="226"/>
      <c r="L46" s="226"/>
      <c r="M46" s="229"/>
      <c r="N46" s="226"/>
      <c r="O46" s="226"/>
      <c r="P46" s="230"/>
      <c r="Q46" s="226"/>
      <c r="R46" s="226"/>
      <c r="S46" s="226"/>
      <c r="T46" s="226"/>
      <c r="U46" s="325"/>
      <c r="V46" s="226"/>
      <c r="W46" s="226"/>
      <c r="X46" s="226"/>
      <c r="Y46" s="226"/>
      <c r="Z46" s="226"/>
      <c r="AA46" s="226"/>
      <c r="AB46" s="225"/>
      <c r="AC46" s="225"/>
      <c r="AD46" s="225"/>
      <c r="AE46" s="226"/>
      <c r="AF46" s="229"/>
      <c r="AG46" s="233"/>
      <c r="AH46" s="226"/>
      <c r="AI46" s="226"/>
      <c r="AJ46" s="232"/>
      <c r="AK46" s="226"/>
      <c r="AL46" s="226"/>
      <c r="AM46" s="226"/>
      <c r="AN46" s="234"/>
      <c r="AO46" s="232"/>
      <c r="AP46" s="235"/>
      <c r="AQ46" s="235"/>
      <c r="AR46" s="235"/>
      <c r="AS46" s="235"/>
      <c r="AT46" s="326"/>
      <c r="AU46" s="326"/>
      <c r="AV46" s="237"/>
      <c r="AW46" s="235"/>
      <c r="AX46" s="235"/>
      <c r="AY46" s="246"/>
      <c r="AZ46" s="247"/>
    </row>
    <row r="47" customFormat="false" ht="12.95" hidden="false" customHeight="true" outlineLevel="0" collapsed="false">
      <c r="A47" s="181" t="s">
        <v>101</v>
      </c>
      <c r="B47" s="205"/>
      <c r="C47" s="107"/>
      <c r="D47" s="107"/>
      <c r="E47" s="107"/>
      <c r="F47" s="206" t="n">
        <f aca="false">SUM(F15:F45)</f>
        <v>3594.15175195362</v>
      </c>
      <c r="G47" s="107" t="n">
        <f aca="false">SUM(G15:G45)</f>
        <v>3632</v>
      </c>
      <c r="H47" s="324" t="n">
        <f aca="false">SUM(H15:H45)</f>
        <v>322.2</v>
      </c>
      <c r="I47" s="107" t="n">
        <f aca="false">SUM(I15:I45)</f>
        <v>3954.2</v>
      </c>
      <c r="J47" s="107" t="n">
        <f aca="false">SUM(J15:J45)</f>
        <v>1923.25175195362</v>
      </c>
      <c r="K47" s="107" t="n">
        <f aca="false">SUM(K15:K45)</f>
        <v>5877.45175195362</v>
      </c>
      <c r="L47" s="107" t="n">
        <f aca="false">SUM(L15:L45)</f>
        <v>1923.25175195362</v>
      </c>
      <c r="M47" s="208" t="n">
        <f aca="false">SUM(M15:M45)</f>
        <v>284.3</v>
      </c>
      <c r="N47" s="107" t="n">
        <f aca="false">SUM(N15:N45)</f>
        <v>0</v>
      </c>
      <c r="O47" s="107" t="n">
        <f aca="false">SUM(O15:O45)</f>
        <v>21.735</v>
      </c>
      <c r="P47" s="155"/>
      <c r="Q47" s="107" t="n">
        <f aca="false">SUM(Q15:Q45)</f>
        <v>50.2412671092392</v>
      </c>
      <c r="R47" s="107" t="n">
        <f aca="false">SUM(R15:R45)</f>
        <v>53.3398868324227</v>
      </c>
      <c r="S47" s="107" t="n">
        <f aca="false">SUM(S15:S45)</f>
        <v>0</v>
      </c>
      <c r="T47" s="107" t="n">
        <f aca="false">SUM(T15:T45)</f>
        <v>35.895496</v>
      </c>
      <c r="U47" s="308" t="n">
        <f aca="false">SUM(U15:U45)</f>
        <v>9.57174870375448</v>
      </c>
      <c r="V47" s="107" t="n">
        <f aca="false">SUM(V15:V45)</f>
        <v>671</v>
      </c>
      <c r="W47" s="107" t="n">
        <f aca="false">SUM(W15:W45)</f>
        <v>0</v>
      </c>
      <c r="X47" s="107" t="n">
        <f aca="false">SUM(X15:X45)</f>
        <v>784.516601354584</v>
      </c>
      <c r="Y47" s="107" t="n">
        <f aca="false">SUM(Y15:Y45)</f>
        <v>784.516601354584</v>
      </c>
      <c r="Z47" s="107"/>
      <c r="AA47" s="107"/>
      <c r="AB47" s="107"/>
      <c r="AC47" s="107" t="n">
        <f aca="false">SUM(AC15:AC45)</f>
        <v>82.14</v>
      </c>
      <c r="AD47" s="107"/>
      <c r="AE47" s="107"/>
      <c r="AF47" s="208"/>
      <c r="AG47" s="210"/>
      <c r="AH47" s="107" t="n">
        <f aca="false">SUM(AH15:AH45)</f>
        <v>1328</v>
      </c>
      <c r="AI47" s="107"/>
      <c r="AJ47" s="136" t="n">
        <f aca="false">SUM(AJ15:AJ45)</f>
        <v>0</v>
      </c>
      <c r="AK47" s="107" t="n">
        <f aca="false">SUM(AK15:AK45)</f>
        <v>2283.3</v>
      </c>
      <c r="AL47" s="107" t="n">
        <f aca="false">SUM(AL15:AL45)</f>
        <v>0</v>
      </c>
      <c r="AM47" s="107" t="n">
        <f aca="false">SUM(AM15:AM45)</f>
        <v>2283.3</v>
      </c>
      <c r="AN47" s="136" t="n">
        <f aca="false">SUM(AN15:AN45)</f>
        <v>671</v>
      </c>
      <c r="AO47" s="136" t="n">
        <f aca="false">SUM(AO15:AO45)</f>
        <v>0</v>
      </c>
      <c r="AP47" s="135"/>
      <c r="AQ47" s="135"/>
      <c r="AR47" s="135"/>
      <c r="AS47" s="213"/>
      <c r="AT47" s="84" t="s">
        <v>114</v>
      </c>
      <c r="AU47" s="172"/>
      <c r="AV47" s="214" t="n">
        <f aca="false">SUM(AV15:AV45)</f>
        <v>0.563</v>
      </c>
      <c r="AW47" s="207" t="n">
        <f aca="false">AVERAGE(AW15:AW45)</f>
        <v>53.8709677419355</v>
      </c>
      <c r="AX47" s="207" t="n">
        <f aca="false">AVERAGE(AX15:AX45)</f>
        <v>28.8064516129032</v>
      </c>
      <c r="AY47" s="215" t="s">
        <v>119</v>
      </c>
      <c r="AZ47" s="330" t="n">
        <f aca="false">SUM(AZ15:AZ45)</f>
        <v>149.048398645416</v>
      </c>
    </row>
    <row r="48" customFormat="false" ht="12.95" hidden="false" customHeight="true" outlineLevel="0" collapsed="false">
      <c r="A48" s="181" t="s">
        <v>103</v>
      </c>
      <c r="B48" s="205"/>
      <c r="C48" s="107"/>
      <c r="D48" s="107" t="n">
        <f aca="false">SUM(D15:D45)</f>
        <v>7129</v>
      </c>
      <c r="E48" s="107"/>
      <c r="F48" s="206" t="n">
        <f aca="false">F47*$D$2</f>
        <v>7129</v>
      </c>
      <c r="G48" s="107" t="n">
        <f aca="false">G47*$D$2</f>
        <v>7204.072</v>
      </c>
      <c r="H48" s="324" t="n">
        <f aca="false">H47*$D$2</f>
        <v>639.0837</v>
      </c>
      <c r="I48" s="107" t="n">
        <f aca="false">I47*$D$2</f>
        <v>7843.1557</v>
      </c>
      <c r="J48" s="107" t="n">
        <f aca="false">J47*$D$2</f>
        <v>3814.76985</v>
      </c>
      <c r="K48" s="107" t="n">
        <f aca="false">K47*$D$2</f>
        <v>11657.92555</v>
      </c>
      <c r="L48" s="107" t="n">
        <f aca="false">L47*$D$2</f>
        <v>3814.76985</v>
      </c>
      <c r="M48" s="208" t="n">
        <f aca="false">M47*$D$2</f>
        <v>563.90905</v>
      </c>
      <c r="N48" s="107" t="n">
        <f aca="false">N47*$D$2</f>
        <v>0</v>
      </c>
      <c r="O48" s="107" t="n">
        <f aca="false">O47*$D$2</f>
        <v>43.1113725</v>
      </c>
      <c r="P48" s="155"/>
      <c r="Q48" s="107" t="n">
        <f aca="false">Q47*$D$2</f>
        <v>99.653553311176</v>
      </c>
      <c r="R48" s="107" t="n">
        <f aca="false">R47*$D$2</f>
        <v>105.79966553211</v>
      </c>
      <c r="S48" s="107" t="n">
        <f aca="false">S47*$D$2</f>
        <v>0</v>
      </c>
      <c r="T48" s="107" t="n">
        <f aca="false">T47*$D$2</f>
        <v>71.198716316</v>
      </c>
      <c r="U48" s="308" t="n">
        <f aca="false">U47*$D$2</f>
        <v>18.985563553897</v>
      </c>
      <c r="V48" s="107" t="n">
        <f aca="false">V47*$D$2</f>
        <v>1330.9285</v>
      </c>
      <c r="W48" s="107" t="n">
        <f aca="false">W47*$D$2</f>
        <v>0</v>
      </c>
      <c r="X48" s="107" t="n">
        <f aca="false">X47*$D$2</f>
        <v>1556.08867878682</v>
      </c>
      <c r="Y48" s="107" t="n">
        <f aca="false">Y47*$D$2</f>
        <v>1556.08867878682</v>
      </c>
      <c r="Z48" s="107"/>
      <c r="AA48" s="107"/>
      <c r="AB48" s="107"/>
      <c r="AC48" s="107" t="n">
        <f aca="false">AC47*$D$2</f>
        <v>162.92469</v>
      </c>
      <c r="AD48" s="107"/>
      <c r="AE48" s="107"/>
      <c r="AF48" s="208"/>
      <c r="AG48" s="210"/>
      <c r="AH48" s="107" t="n">
        <f aca="false">AH47*$D$2</f>
        <v>2634.088</v>
      </c>
      <c r="AI48" s="107"/>
      <c r="AJ48" s="136" t="n">
        <f aca="false">AJ47*$D$2</f>
        <v>0</v>
      </c>
      <c r="AK48" s="107" t="n">
        <f aca="false">AK47*$D$2</f>
        <v>4528.92555</v>
      </c>
      <c r="AL48" s="107" t="n">
        <f aca="false">AL47*$D$2</f>
        <v>0</v>
      </c>
      <c r="AM48" s="107" t="n">
        <f aca="false">AM47*$D$2</f>
        <v>4528.92555</v>
      </c>
      <c r="AN48" s="136" t="n">
        <f aca="false">AN47*$D$2</f>
        <v>1330.9285</v>
      </c>
      <c r="AO48" s="136" t="n">
        <f aca="false">AO47*$D$2</f>
        <v>0</v>
      </c>
      <c r="AP48" s="135"/>
      <c r="AQ48" s="135"/>
      <c r="AR48" s="135"/>
      <c r="AS48" s="213"/>
      <c r="AT48" s="84"/>
      <c r="AU48" s="172"/>
      <c r="AV48" s="214"/>
      <c r="AW48" s="207" t="n">
        <f aca="false">MAX(AW15:AW45)</f>
        <v>65</v>
      </c>
      <c r="AX48" s="207" t="n">
        <f aca="false">MAX(AX15:AX45)</f>
        <v>37</v>
      </c>
      <c r="AY48" s="215" t="s">
        <v>104</v>
      </c>
      <c r="AZ48" s="330" t="n">
        <f aca="false">AZ47*$D$2</f>
        <v>295.637498713183</v>
      </c>
    </row>
    <row r="49" customFormat="false" ht="3" hidden="false" customHeight="true" outlineLevel="0" collapsed="false">
      <c r="A49" s="223"/>
      <c r="B49" s="244"/>
      <c r="C49" s="225"/>
      <c r="D49" s="225"/>
      <c r="E49" s="225"/>
      <c r="F49" s="249"/>
      <c r="G49" s="225"/>
      <c r="H49" s="331"/>
      <c r="I49" s="225"/>
      <c r="J49" s="225"/>
      <c r="K49" s="225"/>
      <c r="L49" s="225"/>
      <c r="M49" s="250"/>
      <c r="N49" s="225"/>
      <c r="O49" s="225"/>
      <c r="P49" s="230"/>
      <c r="Q49" s="225"/>
      <c r="R49" s="225"/>
      <c r="S49" s="225"/>
      <c r="T49" s="225"/>
      <c r="U49" s="332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50"/>
      <c r="AG49" s="274"/>
      <c r="AH49" s="225"/>
      <c r="AI49" s="226"/>
      <c r="AJ49" s="232"/>
      <c r="AK49" s="225"/>
      <c r="AL49" s="225"/>
      <c r="AM49" s="225"/>
      <c r="AN49" s="232"/>
      <c r="AO49" s="232"/>
      <c r="AP49" s="225"/>
      <c r="AQ49" s="225"/>
      <c r="AR49" s="225"/>
      <c r="AS49" s="225"/>
      <c r="AT49" s="333"/>
      <c r="AU49" s="326"/>
      <c r="AV49" s="252"/>
      <c r="AW49" s="225"/>
      <c r="AX49" s="225"/>
      <c r="AY49" s="246"/>
      <c r="AZ49" s="309"/>
    </row>
    <row r="50" customFormat="false" ht="12.95" hidden="false" customHeight="true" outlineLevel="0" collapsed="false">
      <c r="A50" s="181" t="s">
        <v>105</v>
      </c>
      <c r="B50" s="205"/>
      <c r="C50" s="107"/>
      <c r="D50" s="107"/>
      <c r="E50" s="107"/>
      <c r="F50" s="206"/>
      <c r="G50" s="107"/>
      <c r="H50" s="324"/>
      <c r="I50" s="107"/>
      <c r="J50" s="107"/>
      <c r="K50" s="107"/>
      <c r="L50" s="107"/>
      <c r="M50" s="208"/>
      <c r="N50" s="107"/>
      <c r="O50" s="107" t="n">
        <f aca="false">O47</f>
        <v>21.735</v>
      </c>
      <c r="P50" s="155"/>
      <c r="Q50" s="107"/>
      <c r="R50" s="107"/>
      <c r="S50" s="107"/>
      <c r="T50" s="107"/>
      <c r="U50" s="334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208"/>
      <c r="AG50" s="210"/>
      <c r="AH50" s="107"/>
      <c r="AI50" s="107"/>
      <c r="AJ50" s="136"/>
      <c r="AK50" s="107"/>
      <c r="AL50" s="107"/>
      <c r="AM50" s="107"/>
      <c r="AN50" s="136"/>
      <c r="AO50" s="136"/>
      <c r="AP50" s="135"/>
      <c r="AQ50" s="135"/>
      <c r="AR50" s="135"/>
      <c r="AS50" s="213"/>
      <c r="AT50" s="84"/>
      <c r="AU50" s="172"/>
      <c r="AV50" s="214"/>
      <c r="AW50" s="207" t="n">
        <f aca="false">MIN(AW15:AW45)</f>
        <v>42</v>
      </c>
      <c r="AX50" s="207" t="n">
        <f aca="false">MIN(AX15:AX45)</f>
        <v>21</v>
      </c>
      <c r="AY50" s="215" t="s">
        <v>106</v>
      </c>
      <c r="AZ50" s="330"/>
    </row>
    <row r="51" customFormat="false" ht="12.95" hidden="false" customHeight="true" outlineLevel="0" collapsed="false">
      <c r="A51" s="181" t="s">
        <v>107</v>
      </c>
      <c r="B51" s="205"/>
      <c r="C51" s="107"/>
      <c r="D51" s="107"/>
      <c r="E51" s="107"/>
      <c r="F51" s="206"/>
      <c r="G51" s="107"/>
      <c r="H51" s="324"/>
      <c r="I51" s="107"/>
      <c r="J51" s="107"/>
      <c r="K51" s="107"/>
      <c r="L51" s="107"/>
      <c r="M51" s="208"/>
      <c r="N51" s="107"/>
      <c r="O51" s="107" t="n">
        <f aca="false">O50*D2</f>
        <v>43.1113725</v>
      </c>
      <c r="P51" s="155"/>
      <c r="Q51" s="107"/>
      <c r="R51" s="107"/>
      <c r="S51" s="107"/>
      <c r="T51" s="107"/>
      <c r="U51" s="334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208"/>
      <c r="AG51" s="210"/>
      <c r="AH51" s="107"/>
      <c r="AI51" s="107"/>
      <c r="AJ51" s="136"/>
      <c r="AK51" s="107"/>
      <c r="AL51" s="107"/>
      <c r="AM51" s="107"/>
      <c r="AN51" s="136"/>
      <c r="AO51" s="136"/>
      <c r="AP51" s="135"/>
      <c r="AQ51" s="135"/>
      <c r="AR51" s="135"/>
      <c r="AS51" s="213"/>
      <c r="AT51" s="84"/>
      <c r="AU51" s="172"/>
      <c r="AV51" s="214"/>
      <c r="AW51" s="207"/>
      <c r="AX51" s="207"/>
      <c r="AY51" s="291"/>
      <c r="AZ51" s="330"/>
    </row>
    <row r="52" customFormat="false" ht="3" hidden="false" customHeight="true" outlineLevel="0" collapsed="false">
      <c r="A52" s="223"/>
      <c r="B52" s="244"/>
      <c r="C52" s="225"/>
      <c r="D52" s="225"/>
      <c r="E52" s="225"/>
      <c r="F52" s="249"/>
      <c r="G52" s="225"/>
      <c r="H52" s="331"/>
      <c r="I52" s="225"/>
      <c r="J52" s="225"/>
      <c r="K52" s="225"/>
      <c r="L52" s="225"/>
      <c r="M52" s="250"/>
      <c r="N52" s="225"/>
      <c r="O52" s="225"/>
      <c r="P52" s="230"/>
      <c r="Q52" s="225"/>
      <c r="R52" s="225"/>
      <c r="S52" s="225"/>
      <c r="T52" s="225"/>
      <c r="U52" s="332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50"/>
      <c r="AG52" s="274"/>
      <c r="AH52" s="225"/>
      <c r="AI52" s="225"/>
      <c r="AJ52" s="232"/>
      <c r="AK52" s="225"/>
      <c r="AL52" s="225"/>
      <c r="AM52" s="225"/>
      <c r="AN52" s="232"/>
      <c r="AO52" s="232"/>
      <c r="AP52" s="254"/>
      <c r="AQ52" s="254"/>
      <c r="AR52" s="254"/>
      <c r="AS52" s="254"/>
      <c r="AT52" s="333"/>
      <c r="AU52" s="326"/>
      <c r="AV52" s="237"/>
      <c r="AW52" s="254"/>
      <c r="AX52" s="254"/>
      <c r="AY52" s="246"/>
      <c r="AZ52" s="309"/>
    </row>
    <row r="53" customFormat="false" ht="12.95" hidden="false" customHeight="true" outlineLevel="0" collapsed="false">
      <c r="A53" s="181" t="s">
        <v>108</v>
      </c>
      <c r="B53" s="205"/>
      <c r="C53" s="107"/>
      <c r="D53" s="107"/>
      <c r="E53" s="107"/>
      <c r="F53" s="206" t="n">
        <f aca="false">F13+F47</f>
        <v>1601.71414166877</v>
      </c>
      <c r="G53" s="107" t="n">
        <f aca="false">G13+G47</f>
        <v>11235</v>
      </c>
      <c r="H53" s="324" t="n">
        <f aca="false">H13+H47</f>
        <v>560.58</v>
      </c>
      <c r="I53" s="107" t="n">
        <f aca="false">I13+I47</f>
        <v>11795.58</v>
      </c>
      <c r="J53" s="107" t="n">
        <f aca="false">J13+J47</f>
        <v>3098.51044870179</v>
      </c>
      <c r="K53" s="107" t="n">
        <f aca="false">K13+K47</f>
        <v>14894.0904487018</v>
      </c>
      <c r="L53" s="107" t="n">
        <f aca="false">L13+L47</f>
        <v>2079.52414166877</v>
      </c>
      <c r="M53" s="208" t="n">
        <f aca="false">M13+M47</f>
        <v>923.11</v>
      </c>
      <c r="N53" s="107" t="n">
        <f aca="false">N13+N47</f>
        <v>0</v>
      </c>
      <c r="O53" s="107" t="n">
        <f aca="false">O13+O47</f>
        <v>21.735</v>
      </c>
      <c r="P53" s="155"/>
      <c r="Q53" s="107" t="n">
        <f aca="false">Q13+Q47</f>
        <v>255.013566048474</v>
      </c>
      <c r="R53" s="107" t="n">
        <f aca="false">R13+R47</f>
        <v>258.256246277567</v>
      </c>
      <c r="S53" s="107" t="n">
        <f aca="false">S13+S47</f>
        <v>0</v>
      </c>
      <c r="T53" s="107" t="n">
        <f aca="false">T13+T47</f>
        <v>167.81076</v>
      </c>
      <c r="U53" s="308" t="n">
        <f aca="false">U13+U47</f>
        <v>-12.2414035208269</v>
      </c>
      <c r="V53" s="107" t="n">
        <f aca="false">V13+V47</f>
        <v>6094</v>
      </c>
      <c r="W53" s="107" t="n">
        <f aca="false">W13+W47</f>
        <v>58.28</v>
      </c>
      <c r="X53" s="107" t="n">
        <f aca="false">X13+X47</f>
        <v>6384.81583119479</v>
      </c>
      <c r="Y53" s="107" t="n">
        <f aca="false">Y13+Y47</f>
        <v>6183.01660135458</v>
      </c>
      <c r="Z53" s="107"/>
      <c r="AA53" s="107"/>
      <c r="AB53" s="107"/>
      <c r="AC53" s="107" t="n">
        <f aca="false">AC13+AC47</f>
        <v>1714.14</v>
      </c>
      <c r="AD53" s="107"/>
      <c r="AE53" s="107"/>
      <c r="AF53" s="208"/>
      <c r="AG53" s="210"/>
      <c r="AH53" s="107" t="n">
        <f aca="false">AH13+AH47</f>
        <v>5198</v>
      </c>
      <c r="AI53" s="107" t="n">
        <f aca="false">AI45</f>
        <v>66</v>
      </c>
      <c r="AJ53" s="136" t="n">
        <f aca="false">AJ13+AJ47</f>
        <v>0</v>
      </c>
      <c r="AK53" s="107" t="n">
        <f aca="false">AK13+AK47</f>
        <v>12273.39</v>
      </c>
      <c r="AL53" s="107" t="n">
        <f aca="false">AL13+AL47</f>
        <v>1018.98630703302</v>
      </c>
      <c r="AM53" s="107" t="n">
        <f aca="false">AM13+AM47</f>
        <v>13292.376307033</v>
      </c>
      <c r="AN53" s="136" t="n">
        <f aca="false">AN13+AN47</f>
        <v>6069.5</v>
      </c>
      <c r="AO53" s="136" t="n">
        <f aca="false">AO13+AO47</f>
        <v>201.799229840203</v>
      </c>
      <c r="AP53" s="135"/>
      <c r="AQ53" s="135"/>
      <c r="AR53" s="135"/>
      <c r="AS53" s="213"/>
      <c r="AT53" s="84"/>
      <c r="AU53" s="172"/>
      <c r="AV53" s="214" t="n">
        <f aca="false">AV13+AV47</f>
        <v>4.323</v>
      </c>
      <c r="AW53" s="207"/>
      <c r="AX53" s="207"/>
      <c r="AY53" s="291"/>
      <c r="AZ53" s="330" t="n">
        <f aca="false">AZ13+AZ47</f>
        <v>668.839168805214</v>
      </c>
    </row>
    <row r="54" customFormat="false" ht="12.95" hidden="false" customHeight="true" outlineLevel="0" collapsed="false">
      <c r="A54" s="181" t="s">
        <v>109</v>
      </c>
      <c r="B54" s="205"/>
      <c r="C54" s="107"/>
      <c r="D54" s="107" t="n">
        <f aca="false">D13+D48</f>
        <v>3177</v>
      </c>
      <c r="E54" s="107" t="n">
        <f aca="false">E45</f>
        <v>128568</v>
      </c>
      <c r="F54" s="206" t="n">
        <f aca="false">F53*$D$2</f>
        <v>3177</v>
      </c>
      <c r="G54" s="107" t="n">
        <f aca="false">G53*$D$2</f>
        <v>22284.6225</v>
      </c>
      <c r="H54" s="324" t="n">
        <f aca="false">H53*$D$2</f>
        <v>1111.91043</v>
      </c>
      <c r="I54" s="107" t="n">
        <f aca="false">I53*$D$2</f>
        <v>23396.53293</v>
      </c>
      <c r="J54" s="107" t="n">
        <f aca="false">J53*$D$2</f>
        <v>6145.895475</v>
      </c>
      <c r="K54" s="107" t="n">
        <f aca="false">K53*$D$2</f>
        <v>29542.428405</v>
      </c>
      <c r="L54" s="107" t="n">
        <f aca="false">L53*$D$2</f>
        <v>4124.736135</v>
      </c>
      <c r="M54" s="208" t="n">
        <f aca="false">M53*$D$2</f>
        <v>1830.988685</v>
      </c>
      <c r="N54" s="107" t="n">
        <f aca="false">N53*$D$2</f>
        <v>0</v>
      </c>
      <c r="O54" s="107" t="n">
        <f aca="false">O53*$D$2</f>
        <v>43.1113725</v>
      </c>
      <c r="P54" s="155"/>
      <c r="Q54" s="107" t="n">
        <f aca="false">Q53*$D$2</f>
        <v>505.819408257148</v>
      </c>
      <c r="R54" s="107" t="n">
        <f aca="false">R53*$D$2</f>
        <v>512.251264491554</v>
      </c>
      <c r="S54" s="107" t="n">
        <f aca="false">S53*$D$2</f>
        <v>0</v>
      </c>
      <c r="T54" s="107" t="n">
        <f aca="false">T53*$D$2</f>
        <v>332.85264246</v>
      </c>
      <c r="U54" s="308" t="n">
        <f aca="false">U53*$D$2</f>
        <v>-24.2808238835601</v>
      </c>
      <c r="V54" s="107" t="n">
        <f aca="false">V53*$D$2</f>
        <v>12087.449</v>
      </c>
      <c r="W54" s="107" t="n">
        <f aca="false">W53*$D$2</f>
        <v>115.59838</v>
      </c>
      <c r="X54" s="107" t="n">
        <f aca="false">X53*$D$2</f>
        <v>12664.2822011749</v>
      </c>
      <c r="Y54" s="107" t="n">
        <f aca="false">Y53*$D$2</f>
        <v>12264.0134287868</v>
      </c>
      <c r="Z54" s="107"/>
      <c r="AA54" s="107"/>
      <c r="AB54" s="107"/>
      <c r="AC54" s="107" t="n">
        <f aca="false">AC53*$D$2</f>
        <v>3399.99669</v>
      </c>
      <c r="AD54" s="107"/>
      <c r="AE54" s="107"/>
      <c r="AF54" s="276"/>
      <c r="AG54" s="266"/>
      <c r="AH54" s="107" t="n">
        <f aca="false">AH53*$D$2</f>
        <v>10310.233</v>
      </c>
      <c r="AI54" s="107" t="n">
        <f aca="false">AI53*$D$2</f>
        <v>130.911</v>
      </c>
      <c r="AJ54" s="136" t="n">
        <f aca="false">AJ53*$D$2</f>
        <v>0</v>
      </c>
      <c r="AK54" s="107" t="n">
        <f aca="false">AK53*$D$2</f>
        <v>24344.269065</v>
      </c>
      <c r="AL54" s="107" t="n">
        <f aca="false">AL53*$D$2</f>
        <v>2021.15934</v>
      </c>
      <c r="AM54" s="107" t="n">
        <f aca="false">AM53*$D$2</f>
        <v>26365.428405</v>
      </c>
      <c r="AN54" s="207" t="n">
        <f aca="false">AN53*$D$2</f>
        <v>12038.85325</v>
      </c>
      <c r="AO54" s="136" t="n">
        <f aca="false">AO53*$D$2</f>
        <v>400.268772388042</v>
      </c>
      <c r="AP54" s="135"/>
      <c r="AQ54" s="135"/>
      <c r="AR54" s="135"/>
      <c r="AS54" s="213"/>
      <c r="AT54" s="84"/>
      <c r="AU54" s="172"/>
      <c r="AV54" s="214"/>
      <c r="AW54" s="207"/>
      <c r="AX54" s="207"/>
      <c r="AY54" s="291"/>
      <c r="AZ54" s="330" t="n">
        <f aca="false">AZ53*$D$2</f>
        <v>1326.64249132514</v>
      </c>
    </row>
    <row r="55" customFormat="false" ht="3" hidden="false" customHeight="true" outlineLevel="0" collapsed="false">
      <c r="A55" s="223"/>
      <c r="B55" s="244"/>
      <c r="C55" s="225"/>
      <c r="D55" s="226"/>
      <c r="E55" s="225"/>
      <c r="F55" s="227"/>
      <c r="G55" s="226"/>
      <c r="H55" s="254"/>
      <c r="I55" s="226"/>
      <c r="J55" s="226"/>
      <c r="K55" s="226"/>
      <c r="L55" s="226"/>
      <c r="M55" s="229"/>
      <c r="N55" s="226"/>
      <c r="O55" s="226"/>
      <c r="P55" s="230"/>
      <c r="Q55" s="226"/>
      <c r="R55" s="226"/>
      <c r="S55" s="226"/>
      <c r="T55" s="226"/>
      <c r="U55" s="325"/>
      <c r="V55" s="226"/>
      <c r="W55" s="226"/>
      <c r="X55" s="226"/>
      <c r="Y55" s="226"/>
      <c r="Z55" s="226"/>
      <c r="AA55" s="226"/>
      <c r="AB55" s="225"/>
      <c r="AC55" s="225"/>
      <c r="AD55" s="225"/>
      <c r="AE55" s="226"/>
      <c r="AF55" s="229"/>
      <c r="AG55" s="233"/>
      <c r="AH55" s="226"/>
      <c r="AI55" s="225"/>
      <c r="AJ55" s="232"/>
      <c r="AK55" s="226"/>
      <c r="AL55" s="226"/>
      <c r="AM55" s="226"/>
      <c r="AN55" s="234"/>
      <c r="AO55" s="232"/>
      <c r="AP55" s="226"/>
      <c r="AQ55" s="226"/>
      <c r="AR55" s="226"/>
      <c r="AS55" s="226"/>
      <c r="AT55" s="335"/>
      <c r="AU55" s="326"/>
      <c r="AV55" s="244"/>
      <c r="AW55" s="226"/>
      <c r="AX55" s="226"/>
      <c r="AY55" s="246"/>
      <c r="AZ55" s="247"/>
    </row>
    <row r="56" customFormat="false" ht="11.1" hidden="false" customHeight="true" outlineLevel="0" collapsed="false">
      <c r="A56" s="181"/>
      <c r="B56" s="259"/>
      <c r="D56" s="181"/>
      <c r="F56" s="181"/>
      <c r="G56" s="181"/>
      <c r="I56" s="181"/>
      <c r="J56" s="181"/>
      <c r="K56" s="181"/>
      <c r="L56" s="181"/>
      <c r="M56" s="181"/>
      <c r="N56" s="181"/>
      <c r="O56" s="181"/>
      <c r="Q56" s="181"/>
      <c r="R56" s="181"/>
      <c r="S56" s="181"/>
      <c r="T56" s="181"/>
      <c r="V56" s="181"/>
      <c r="W56" s="181"/>
      <c r="X56" s="181"/>
      <c r="Y56" s="181"/>
      <c r="Z56" s="181"/>
      <c r="AA56" s="181"/>
      <c r="AB56" s="173"/>
      <c r="AC56" s="173"/>
      <c r="AD56" s="173"/>
      <c r="AE56" s="181"/>
      <c r="AF56" s="181"/>
      <c r="AG56" s="181"/>
      <c r="AH56" s="181"/>
      <c r="AI56" s="173"/>
      <c r="AK56" s="181"/>
      <c r="AL56" s="181"/>
      <c r="AM56" s="181"/>
      <c r="AN56" s="179"/>
      <c r="AO56" s="260"/>
      <c r="AP56" s="184"/>
      <c r="AQ56" s="184"/>
      <c r="AR56" s="184"/>
      <c r="AX56" s="178"/>
    </row>
    <row r="57" customFormat="false" ht="11.1" hidden="false" customHeight="true" outlineLevel="0" collapsed="false">
      <c r="A57" s="181"/>
      <c r="B57" s="261"/>
      <c r="F57" s="181"/>
      <c r="G57" s="181"/>
      <c r="I57" s="182"/>
      <c r="J57" s="181"/>
      <c r="K57" s="170"/>
      <c r="L57" s="181"/>
      <c r="M57" s="181"/>
      <c r="N57" s="181"/>
      <c r="O57" s="181"/>
      <c r="Q57" s="181"/>
      <c r="R57" s="181"/>
      <c r="S57" s="181"/>
      <c r="T57" s="181"/>
      <c r="V57" s="181"/>
      <c r="W57" s="181"/>
      <c r="X57" s="181"/>
      <c r="Y57" s="181"/>
      <c r="Z57" s="181"/>
      <c r="AA57" s="181"/>
      <c r="AB57" s="173"/>
      <c r="AC57" s="173"/>
      <c r="AD57" s="173"/>
      <c r="AE57" s="181"/>
      <c r="AF57" s="181"/>
      <c r="AG57" s="181"/>
      <c r="AH57" s="181"/>
      <c r="AI57" s="173"/>
      <c r="AK57" s="181"/>
      <c r="AL57" s="181"/>
      <c r="AM57" s="181"/>
      <c r="AN57" s="179"/>
      <c r="AO57" s="260"/>
      <c r="AP57" s="184"/>
      <c r="AQ57" s="184"/>
      <c r="AR57" s="184"/>
      <c r="AX57" s="178"/>
    </row>
    <row r="58" customFormat="false" ht="11.1" hidden="false" customHeight="true" outlineLevel="0" collapsed="false">
      <c r="D58" s="173"/>
      <c r="S58" s="175"/>
      <c r="T58" s="175"/>
      <c r="X58" s="172"/>
      <c r="Y58" s="172"/>
      <c r="Z58" s="172"/>
      <c r="AA58" s="172"/>
      <c r="AB58" s="173"/>
      <c r="AC58" s="173"/>
      <c r="AD58" s="173"/>
      <c r="AH58" s="172"/>
      <c r="AI58" s="173"/>
      <c r="AM58" s="172"/>
      <c r="AN58" s="179"/>
      <c r="AO58" s="260"/>
      <c r="AP58" s="176"/>
      <c r="AQ58" s="176"/>
      <c r="AR58" s="176"/>
      <c r="AX58" s="178"/>
    </row>
    <row r="59" customFormat="false" ht="11.1" hidden="false" customHeight="true" outlineLevel="0" collapsed="false">
      <c r="B59" s="8"/>
      <c r="D59" s="173"/>
      <c r="AN59" s="280"/>
      <c r="AO59" s="316"/>
      <c r="AP59" s="176"/>
    </row>
    <row r="60" customFormat="false" ht="11.1" hidden="false" customHeight="true" outlineLevel="0" collapsed="false">
      <c r="G60" s="262"/>
      <c r="AN60" s="280"/>
      <c r="AO60" s="316"/>
      <c r="AP60" s="176"/>
    </row>
  </sheetData>
  <mergeCells count="2">
    <mergeCell ref="K2:T2"/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O26" activePane="bottomRight" state="frozen"/>
      <selection pane="topLeft" activeCell="A1" activeCellId="0" sqref="A1"/>
      <selection pane="topRight" activeCell="O1" activeCellId="0" sqref="O1"/>
      <selection pane="bottomLeft" activeCell="A26" activeCellId="0" sqref="A26"/>
      <selection pane="bottomRight" activeCell="AB1" activeCellId="0" sqref="AB1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5" width="5.16"/>
    <col collapsed="false" customWidth="true" hidden="false" outlineLevel="0" max="23" min="22" style="1" width="5.49"/>
    <col collapsed="false" customWidth="true" hidden="false" outlineLevel="0" max="25" min="24" style="2" width="6.32"/>
    <col collapsed="false" customWidth="true" hidden="false" outlineLevel="0" max="26" min="26" style="1" width="5.49"/>
    <col collapsed="false" customWidth="true" hidden="false" outlineLevel="0" max="27" min="27" style="2" width="6.32"/>
    <col collapsed="false" customWidth="true" hidden="false" outlineLevel="0" max="28" min="28" style="172" width="5.49"/>
    <col collapsed="false" customWidth="true" hidden="false" outlineLevel="0" max="29" min="29" style="1" width="5.82"/>
    <col collapsed="false" customWidth="true" hidden="false" outlineLevel="0" max="33" min="30" style="1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6" min="36" style="87" width="6.32"/>
    <col collapsed="false" customWidth="true" hidden="false" outlineLevel="0" max="37" min="37" style="1" width="6.32"/>
    <col collapsed="false" customWidth="true" hidden="false" outlineLevel="0" max="38" min="38" style="1" width="6.82"/>
    <col collapsed="false" customWidth="true" hidden="false" outlineLevel="0" max="39" min="39" style="5" width="6.82"/>
    <col collapsed="false" customWidth="true" hidden="false" outlineLevel="0" max="41" min="40" style="1" width="5.49"/>
    <col collapsed="false" customWidth="true" hidden="false" outlineLevel="0" max="42" min="42" style="1" width="6.32"/>
    <col collapsed="false" customWidth="true" hidden="false" outlineLevel="0" max="43" min="43" style="315" width="6.32"/>
    <col collapsed="false" customWidth="true" hidden="false" outlineLevel="0" max="44" min="44" style="260" width="5.49"/>
    <col collapsed="false" customWidth="true" hidden="false" outlineLevel="0" max="45" min="45" style="6" width="5.32"/>
    <col collapsed="false" customWidth="true" hidden="false" outlineLevel="0" max="46" min="46" style="1" width="6.32"/>
    <col collapsed="false" customWidth="true" hidden="false" outlineLevel="0" max="47" min="47" style="4" width="5.82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0" min="50" style="10" width="3.82"/>
    <col collapsed="false" customWidth="true" hidden="false" outlineLevel="0" max="51" min="51" style="0" width="3.82"/>
    <col collapsed="false" customWidth="true" hidden="false" outlineLevel="0" max="52" min="52" style="0" width="5.49"/>
  </cols>
  <sheetData>
    <row r="1" customFormat="false" ht="14.1" hidden="false" customHeight="true" outlineLevel="0" collapsed="false">
      <c r="A1" s="11" t="s">
        <v>114</v>
      </c>
      <c r="B1" s="11"/>
      <c r="D1" s="11"/>
      <c r="F1" s="11"/>
      <c r="G1" s="11"/>
      <c r="I1" s="11"/>
      <c r="J1" s="11"/>
      <c r="K1" s="13" t="s">
        <v>0</v>
      </c>
      <c r="L1" s="11"/>
      <c r="M1" s="11"/>
      <c r="N1" s="11"/>
      <c r="S1" s="11"/>
      <c r="T1" s="11"/>
      <c r="V1" s="11"/>
      <c r="W1" s="11"/>
      <c r="Z1" s="11"/>
      <c r="AB1" s="336"/>
      <c r="AC1" s="337"/>
      <c r="AD1" s="11"/>
      <c r="AE1" s="11"/>
      <c r="AF1" s="11"/>
      <c r="AG1" s="11"/>
      <c r="AI1" s="11"/>
      <c r="AJ1" s="14"/>
      <c r="AK1" s="11"/>
      <c r="AL1" s="11"/>
      <c r="AN1" s="14"/>
      <c r="AO1" s="14"/>
      <c r="AP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38" t="s">
        <v>122</v>
      </c>
      <c r="L2" s="339"/>
      <c r="M2" s="340"/>
      <c r="N2" s="340"/>
      <c r="O2" s="168"/>
      <c r="P2" s="6"/>
      <c r="Q2" s="168"/>
      <c r="R2" s="168"/>
      <c r="S2" s="340"/>
      <c r="T2" s="340"/>
      <c r="U2" s="6"/>
      <c r="V2" s="340"/>
      <c r="W2" s="340"/>
      <c r="X2" s="341"/>
      <c r="Y2" s="341"/>
      <c r="Z2" s="340"/>
      <c r="AA2" s="341"/>
      <c r="AB2" s="317"/>
      <c r="AC2" s="340"/>
      <c r="AD2" s="340"/>
      <c r="AE2" s="340"/>
      <c r="AF2" s="340"/>
      <c r="AG2" s="340"/>
      <c r="AH2" s="341"/>
      <c r="AI2" s="11"/>
      <c r="AJ2" s="14"/>
      <c r="AK2" s="11"/>
      <c r="AL2" s="11"/>
      <c r="AN2" s="14"/>
      <c r="AO2" s="14"/>
      <c r="AP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16"/>
      <c r="U3" s="20"/>
      <c r="V3" s="16"/>
      <c r="W3" s="16"/>
      <c r="X3" s="17"/>
      <c r="Y3" s="17"/>
      <c r="Z3" s="16"/>
      <c r="AA3" s="90"/>
      <c r="AB3" s="181"/>
      <c r="AC3" s="16"/>
      <c r="AD3" s="16"/>
      <c r="AE3" s="16"/>
      <c r="AF3" s="16"/>
      <c r="AG3" s="16"/>
      <c r="AH3" s="17"/>
      <c r="AI3" s="16"/>
      <c r="AJ3" s="342"/>
      <c r="AK3" s="16"/>
      <c r="AL3" s="16"/>
      <c r="AM3" s="20"/>
      <c r="AN3" s="342"/>
      <c r="AO3" s="342"/>
      <c r="AP3" s="342"/>
      <c r="AQ3" s="318"/>
      <c r="AR3" s="343"/>
      <c r="AV3" s="27"/>
      <c r="AW3" s="28"/>
      <c r="AX3" s="29"/>
    </row>
    <row r="4" s="172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123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6"/>
      <c r="AS4" s="48"/>
      <c r="AT4" s="49"/>
      <c r="AU4" s="49"/>
      <c r="AV4" s="51"/>
      <c r="AW4" s="52" t="s">
        <v>7</v>
      </c>
      <c r="AX4" s="53"/>
      <c r="AY4" s="285"/>
      <c r="AZ4" s="320"/>
    </row>
    <row r="5" s="180" customFormat="tru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1" t="s">
        <v>18</v>
      </c>
      <c r="N5" s="201"/>
      <c r="O5" s="201"/>
      <c r="P5" s="201"/>
      <c r="Q5" s="201"/>
      <c r="R5" s="201"/>
      <c r="S5" s="201"/>
      <c r="T5" s="201"/>
      <c r="U5" s="201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02" t="s">
        <v>33</v>
      </c>
      <c r="AV5" s="70" t="s">
        <v>34</v>
      </c>
      <c r="AW5" s="71" t="s">
        <v>35</v>
      </c>
      <c r="AX5" s="71" t="s">
        <v>36</v>
      </c>
      <c r="AY5" s="286"/>
      <c r="AZ5" s="287" t="s">
        <v>17</v>
      </c>
    </row>
    <row r="6" s="180" customFormat="true" ht="12.95" hidden="false" customHeight="true" outlineLevel="0" collapsed="false">
      <c r="A6" s="73" t="s">
        <v>124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55" t="s">
        <v>45</v>
      </c>
      <c r="M6" s="74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02" t="s">
        <v>71</v>
      </c>
      <c r="AV6" s="78"/>
      <c r="AW6" s="71" t="s">
        <v>72</v>
      </c>
      <c r="AX6" s="71" t="s">
        <v>72</v>
      </c>
      <c r="AY6" s="286"/>
      <c r="AZ6" s="287" t="s">
        <v>73</v>
      </c>
    </row>
    <row r="7" s="180" customFormat="tru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02" t="s">
        <v>88</v>
      </c>
      <c r="AV7" s="78"/>
      <c r="AW7" s="71"/>
      <c r="AX7" s="71"/>
      <c r="AY7" s="286"/>
      <c r="AZ7" s="287" t="s">
        <v>89</v>
      </c>
    </row>
    <row r="8" s="180" customFormat="tru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02"/>
      <c r="AV8" s="78"/>
      <c r="AW8" s="71"/>
      <c r="AX8" s="71"/>
      <c r="AY8" s="286"/>
      <c r="AZ8" s="287"/>
    </row>
    <row r="9" s="180" customFormat="tru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02"/>
      <c r="AV9" s="78"/>
      <c r="AW9" s="71"/>
      <c r="AX9" s="71"/>
      <c r="AY9" s="286"/>
      <c r="AZ9" s="287"/>
    </row>
    <row r="10" s="180" customFormat="tru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6" t="s">
        <v>95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86"/>
      <c r="AZ10" s="287" t="s">
        <v>97</v>
      </c>
    </row>
    <row r="11" s="180" customFormat="tru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86"/>
      <c r="AZ11" s="287" t="s">
        <v>41</v>
      </c>
    </row>
    <row r="12" customFormat="false" ht="12.95" hidden="false" customHeight="true" outlineLevel="0" collapsed="false">
      <c r="A12" s="14" t="s">
        <v>99</v>
      </c>
      <c r="B12" s="344"/>
      <c r="C12" s="94"/>
      <c r="D12" s="94"/>
      <c r="E12" s="94"/>
      <c r="F12" s="345"/>
      <c r="G12" s="80"/>
      <c r="H12" s="134"/>
      <c r="I12" s="80"/>
      <c r="J12" s="80"/>
      <c r="K12" s="80"/>
      <c r="L12" s="80"/>
      <c r="M12" s="98"/>
      <c r="N12" s="94"/>
      <c r="O12" s="94" t="n">
        <f aca="false">MAR!O50</f>
        <v>21.735</v>
      </c>
      <c r="P12" s="83"/>
      <c r="Q12" s="94"/>
      <c r="R12" s="94"/>
      <c r="S12" s="94"/>
      <c r="T12" s="94"/>
      <c r="U12" s="346"/>
      <c r="V12" s="80"/>
      <c r="W12" s="80"/>
      <c r="X12" s="80"/>
      <c r="Y12" s="80"/>
      <c r="Z12" s="147"/>
      <c r="AA12" s="80"/>
      <c r="AB12" s="147"/>
      <c r="AC12" s="147"/>
      <c r="AD12" s="97"/>
      <c r="AE12" s="99"/>
      <c r="AF12" s="94"/>
      <c r="AG12" s="94"/>
      <c r="AH12" s="98"/>
      <c r="AI12" s="80"/>
      <c r="AJ12" s="86"/>
      <c r="AK12" s="80"/>
      <c r="AL12" s="80"/>
      <c r="AM12" s="94"/>
      <c r="AN12" s="347"/>
      <c r="AO12" s="97"/>
      <c r="AP12" s="147"/>
      <c r="AQ12" s="144"/>
      <c r="AR12" s="144"/>
      <c r="AS12" s="101"/>
      <c r="AT12" s="87"/>
      <c r="AU12" s="87"/>
      <c r="AV12" s="102"/>
      <c r="AW12" s="103"/>
      <c r="AX12" s="103"/>
      <c r="AY12" s="286"/>
      <c r="AZ12" s="348"/>
    </row>
    <row r="13" s="108" customFormat="true" ht="12.95" hidden="false" customHeight="true" outlineLevel="0" collapsed="false">
      <c r="A13" s="105" t="s">
        <v>100</v>
      </c>
      <c r="B13" s="349" t="n">
        <f aca="false">MAR!B45</f>
        <v>6899.18</v>
      </c>
      <c r="C13" s="94" t="n">
        <f aca="false">MAR!C45</f>
        <v>280568</v>
      </c>
      <c r="D13" s="94" t="n">
        <f aca="false">MAR!D54</f>
        <v>3177</v>
      </c>
      <c r="E13" s="94" t="n">
        <f aca="false">MAR!E54</f>
        <v>128568</v>
      </c>
      <c r="F13" s="345" t="n">
        <f aca="false">MAR!F53</f>
        <v>1601.71414166877</v>
      </c>
      <c r="G13" s="80" t="n">
        <f aca="false">MAR!G53</f>
        <v>11235</v>
      </c>
      <c r="H13" s="80" t="n">
        <f aca="false">MAR!H53</f>
        <v>560.58</v>
      </c>
      <c r="I13" s="80" t="n">
        <f aca="false">MAR!I53</f>
        <v>11795.58</v>
      </c>
      <c r="J13" s="80" t="n">
        <f aca="false">MAR!J53</f>
        <v>3098.51044870179</v>
      </c>
      <c r="K13" s="80" t="n">
        <f aca="false">MAR!K53</f>
        <v>14894.0904487018</v>
      </c>
      <c r="L13" s="80" t="n">
        <f aca="false">MAR!L53</f>
        <v>2079.52414166877</v>
      </c>
      <c r="M13" s="98" t="n">
        <f aca="false">MAR!M53</f>
        <v>923.11</v>
      </c>
      <c r="N13" s="94" t="n">
        <f aca="false">MAR!N53</f>
        <v>0</v>
      </c>
      <c r="O13" s="94" t="n">
        <f aca="false">MAR!O53</f>
        <v>21.735</v>
      </c>
      <c r="P13" s="83"/>
      <c r="Q13" s="94" t="n">
        <f aca="false">MAR!Q53</f>
        <v>255.013566048474</v>
      </c>
      <c r="R13" s="94" t="n">
        <f aca="false">MAR!R53</f>
        <v>258.256246277567</v>
      </c>
      <c r="S13" s="94" t="n">
        <f aca="false">MAR!S53</f>
        <v>0</v>
      </c>
      <c r="T13" s="94" t="n">
        <f aca="false">MAR!T53</f>
        <v>167.81076</v>
      </c>
      <c r="U13" s="350" t="n">
        <f aca="false">MAR!U53</f>
        <v>-12.2414035208269</v>
      </c>
      <c r="V13" s="80" t="n">
        <f aca="false">MAR!V53</f>
        <v>6094</v>
      </c>
      <c r="W13" s="80" t="n">
        <f aca="false">MAR!W53</f>
        <v>58.28</v>
      </c>
      <c r="X13" s="80" t="n">
        <f aca="false">MAR!X53</f>
        <v>6384.81583119479</v>
      </c>
      <c r="Y13" s="80" t="n">
        <f aca="false">MAR!Y53</f>
        <v>6183.01660135458</v>
      </c>
      <c r="Z13" s="147" t="n">
        <v>0</v>
      </c>
      <c r="AA13" s="80"/>
      <c r="AB13" s="147"/>
      <c r="AC13" s="80" t="n">
        <f aca="false">MAR!AC53</f>
        <v>1714.14</v>
      </c>
      <c r="AD13" s="97"/>
      <c r="AE13" s="351" t="n">
        <f aca="false">MAR!AE53</f>
        <v>0</v>
      </c>
      <c r="AF13" s="80" t="n">
        <f aca="false">MAR!AF53</f>
        <v>0</v>
      </c>
      <c r="AG13" s="80" t="n">
        <f aca="false">MAR!AG53</f>
        <v>0</v>
      </c>
      <c r="AH13" s="352" t="n">
        <f aca="false">MAR!AH53</f>
        <v>5198</v>
      </c>
      <c r="AI13" s="80" t="n">
        <f aca="false">AI7/D2</f>
        <v>16031.2578774893</v>
      </c>
      <c r="AJ13" s="80" t="n">
        <f aca="false">MAR!AJ53</f>
        <v>0</v>
      </c>
      <c r="AK13" s="80" t="n">
        <f aca="false">MAR!AK53</f>
        <v>12273.39</v>
      </c>
      <c r="AL13" s="80" t="n">
        <f aca="false">MAR!AL53</f>
        <v>1018.98630703302</v>
      </c>
      <c r="AM13" s="94" t="n">
        <f aca="false">MAR!AM53</f>
        <v>13292.376307033</v>
      </c>
      <c r="AN13" s="347" t="n">
        <f aca="false">MAR!AN54</f>
        <v>12038.85325</v>
      </c>
      <c r="AO13" s="97" t="n">
        <f aca="false">MAR!AO53</f>
        <v>201.799229840203</v>
      </c>
      <c r="AP13" s="147"/>
      <c r="AQ13" s="144"/>
      <c r="AR13" s="144"/>
      <c r="AS13" s="80"/>
      <c r="AT13" s="2"/>
      <c r="AU13" s="2"/>
      <c r="AV13" s="102" t="n">
        <f aca="false">MAR!AV53</f>
        <v>4.323</v>
      </c>
      <c r="AW13" s="103"/>
      <c r="AX13" s="103"/>
      <c r="AY13" s="353"/>
      <c r="AZ13" s="146" t="n">
        <f aca="false">MAR!AZ53</f>
        <v>668.839168805214</v>
      </c>
    </row>
    <row r="14" customFormat="false" ht="3" hidden="false" customHeight="true" outlineLevel="0" collapsed="false">
      <c r="A14" s="109"/>
      <c r="B14" s="354"/>
      <c r="C14" s="119"/>
      <c r="D14" s="116"/>
      <c r="E14" s="119"/>
      <c r="F14" s="355"/>
      <c r="G14" s="116"/>
      <c r="H14" s="116"/>
      <c r="I14" s="116"/>
      <c r="J14" s="116"/>
      <c r="K14" s="116"/>
      <c r="L14" s="116"/>
      <c r="M14" s="120"/>
      <c r="N14" s="116"/>
      <c r="O14" s="116"/>
      <c r="P14" s="356"/>
      <c r="Q14" s="116"/>
      <c r="R14" s="116"/>
      <c r="S14" s="116"/>
      <c r="T14" s="116"/>
      <c r="U14" s="357"/>
      <c r="V14" s="116"/>
      <c r="W14" s="116"/>
      <c r="X14" s="116"/>
      <c r="Y14" s="116"/>
      <c r="Z14" s="123"/>
      <c r="AA14" s="116"/>
      <c r="AB14" s="123"/>
      <c r="AC14" s="123"/>
      <c r="AD14" s="118"/>
      <c r="AE14" s="116"/>
      <c r="AF14" s="120"/>
      <c r="AG14" s="121"/>
      <c r="AH14" s="116"/>
      <c r="AI14" s="119"/>
      <c r="AJ14" s="119"/>
      <c r="AK14" s="116"/>
      <c r="AL14" s="116"/>
      <c r="AM14" s="116"/>
      <c r="AN14" s="154"/>
      <c r="AO14" s="118"/>
      <c r="AP14" s="123"/>
      <c r="AQ14" s="356"/>
      <c r="AR14" s="356"/>
      <c r="AS14" s="356"/>
      <c r="AT14" s="356"/>
      <c r="AU14" s="356"/>
      <c r="AV14" s="125"/>
      <c r="AW14" s="123"/>
      <c r="AX14" s="123"/>
      <c r="AY14" s="358"/>
      <c r="AZ14" s="359"/>
    </row>
    <row r="15" customFormat="false" ht="12.95" hidden="false" customHeight="true" outlineLevel="0" collapsed="false">
      <c r="A15" s="10" t="n">
        <v>1</v>
      </c>
      <c r="B15" s="360" t="n">
        <v>6899.42</v>
      </c>
      <c r="C15" s="94" t="n">
        <v>281449</v>
      </c>
      <c r="D15" s="103" t="n">
        <f aca="false">C15-C13</f>
        <v>881</v>
      </c>
      <c r="E15" s="94" t="n">
        <f aca="false">C15-152000</f>
        <v>129449</v>
      </c>
      <c r="F15" s="361" t="n">
        <f aca="false">D15/$D$2</f>
        <v>444.164355936476</v>
      </c>
      <c r="G15" s="134" t="n">
        <v>272</v>
      </c>
      <c r="H15" s="134" t="n">
        <v>52</v>
      </c>
      <c r="I15" s="134" t="n">
        <f aca="false">G15+H15</f>
        <v>324</v>
      </c>
      <c r="J15" s="362" t="n">
        <f aca="false">IF(L15&gt;0,L15,0)</f>
        <v>177.364355936476</v>
      </c>
      <c r="K15" s="134" t="n">
        <f aca="false">I15+J15</f>
        <v>501.364355936476</v>
      </c>
      <c r="L15" s="134" t="n">
        <f aca="false">F15-(I15-AK15)</f>
        <v>177.364355936476</v>
      </c>
      <c r="M15" s="137" t="n">
        <v>7.2</v>
      </c>
      <c r="N15" s="155" t="n">
        <f aca="false">(1.8299*1.03)/2</f>
        <v>0.9423985</v>
      </c>
      <c r="O15" s="363" t="n">
        <f aca="false">0.01*1.05</f>
        <v>0.0105</v>
      </c>
      <c r="P15" s="83" t="n">
        <v>0</v>
      </c>
      <c r="Q15" s="328" t="n">
        <f aca="false">948200/325851/1.9835*1.02</f>
        <v>1.496403997832</v>
      </c>
      <c r="R15" s="328" t="n">
        <f aca="false">(2306604/325851/1.9835-T15)*1.04</f>
        <v>2.44477838504019</v>
      </c>
      <c r="S15" s="131" t="n">
        <v>0</v>
      </c>
      <c r="T15" s="131" t="n">
        <f aca="false">1.1712*1.04</f>
        <v>1.218048</v>
      </c>
      <c r="U15" s="346" t="n">
        <v>0</v>
      </c>
      <c r="V15" s="134" t="n">
        <v>0</v>
      </c>
      <c r="W15" s="134" t="n">
        <v>0</v>
      </c>
      <c r="X15" s="135" t="n">
        <f aca="false">M15-N15-O15-P15-Q15-R15-S15-T15-U15+V15+W15-AT15+AR15</f>
        <v>1.08787111712781</v>
      </c>
      <c r="Y15" s="135" t="n">
        <f aca="false">X15-AO15</f>
        <v>1.08787111712781</v>
      </c>
      <c r="Z15" s="107" t="n">
        <f aca="false">AP15</f>
        <v>317.2709465</v>
      </c>
      <c r="AA15" s="135"/>
      <c r="AB15" s="107" t="n">
        <f aca="false">AB13+(Y15+AP15)*1.9835</f>
        <v>631.464714743573</v>
      </c>
      <c r="AC15" s="107" t="n">
        <f aca="false">AC13</f>
        <v>1714.14</v>
      </c>
      <c r="AD15" s="97"/>
      <c r="AE15" s="134"/>
      <c r="AF15" s="137" t="n">
        <v>1.7</v>
      </c>
      <c r="AG15" s="138" t="n">
        <v>1.3</v>
      </c>
      <c r="AH15" s="134" t="n">
        <v>50</v>
      </c>
      <c r="AI15" s="80" t="n">
        <f aca="false">AI13-AH15</f>
        <v>15981.2578774893</v>
      </c>
      <c r="AJ15" s="0"/>
      <c r="AK15" s="134" t="n">
        <f aca="false">N15+O15+P15+Q15+R15+S15+T15+U15+X15+AE15+AH15</f>
        <v>57.2</v>
      </c>
      <c r="AL15" s="134" t="n">
        <f aca="false">IF(L15&lt;0,L15*-1,0)</f>
        <v>0</v>
      </c>
      <c r="AM15" s="363" t="n">
        <f aca="false">AK15+AL15</f>
        <v>57.2</v>
      </c>
      <c r="AN15" s="364" t="n">
        <f aca="false">V15</f>
        <v>0</v>
      </c>
      <c r="AO15" s="97"/>
      <c r="AP15" s="147" t="n">
        <f aca="false">I15-Q15-R15-X15-AF15</f>
        <v>317.2709465</v>
      </c>
      <c r="AQ15" s="144" t="n">
        <f aca="false">34.18*(Z15*1.9835+AC15*1.9835)/E15</f>
        <v>1.06390622925818</v>
      </c>
      <c r="AR15" s="144"/>
      <c r="AS15" s="101"/>
      <c r="AT15" s="11" t="n">
        <v>0</v>
      </c>
      <c r="AU15" s="1"/>
      <c r="AV15" s="102" t="n">
        <v>0</v>
      </c>
      <c r="AW15" s="103" t="n">
        <v>69</v>
      </c>
      <c r="AX15" s="103" t="n">
        <v>35</v>
      </c>
      <c r="AY15" s="286"/>
      <c r="AZ15" s="242" t="n">
        <f aca="false">SUM(N15,P15:U15)</f>
        <v>6.10162888287219</v>
      </c>
    </row>
    <row r="16" customFormat="false" ht="12.95" hidden="false" customHeight="true" outlineLevel="0" collapsed="false">
      <c r="A16" s="10" t="n">
        <f aca="false">A15+1</f>
        <v>2</v>
      </c>
      <c r="B16" s="349" t="n">
        <v>6899.72</v>
      </c>
      <c r="C16" s="94" t="n">
        <v>282551</v>
      </c>
      <c r="D16" s="103" t="n">
        <f aca="false">C16-C15</f>
        <v>1102</v>
      </c>
      <c r="E16" s="94" t="n">
        <f aca="false">C16-152000</f>
        <v>130551</v>
      </c>
      <c r="F16" s="361" t="n">
        <f aca="false">D16/$D$2</f>
        <v>555.583564406352</v>
      </c>
      <c r="G16" s="134" t="n">
        <v>366</v>
      </c>
      <c r="H16" s="134" t="n">
        <v>87</v>
      </c>
      <c r="I16" s="134" t="n">
        <f aca="false">G16+H16</f>
        <v>453</v>
      </c>
      <c r="J16" s="362" t="n">
        <f aca="false">IF(L16&gt;0,L16,0)</f>
        <v>159.683564406352</v>
      </c>
      <c r="K16" s="134" t="n">
        <f aca="false">I16+J16</f>
        <v>612.683564406352</v>
      </c>
      <c r="L16" s="134" t="n">
        <f aca="false">F16-(I16-AK16)</f>
        <v>159.683564406352</v>
      </c>
      <c r="M16" s="137" t="n">
        <v>7.1</v>
      </c>
      <c r="N16" s="155" t="n">
        <f aca="false">(1.8299*1.03)/2</f>
        <v>0.9423985</v>
      </c>
      <c r="O16" s="363" t="n">
        <f aca="false">0.01*1.05</f>
        <v>0.0105</v>
      </c>
      <c r="P16" s="83" t="n">
        <v>0</v>
      </c>
      <c r="Q16" s="328" t="n">
        <f aca="false">1242900/325851/1.9835*1.02</f>
        <v>1.9614854765929</v>
      </c>
      <c r="R16" s="328" t="n">
        <f aca="false">(2022112/325851/1.9835-T16)*1.04</f>
        <v>1.9870033181464</v>
      </c>
      <c r="S16" s="131" t="n">
        <v>0</v>
      </c>
      <c r="T16" s="131" t="n">
        <f aca="false">1.1712*1.04</f>
        <v>1.218048</v>
      </c>
      <c r="U16" s="346" t="n">
        <v>0</v>
      </c>
      <c r="V16" s="134" t="n">
        <v>0</v>
      </c>
      <c r="W16" s="134" t="n">
        <v>0</v>
      </c>
      <c r="X16" s="135" t="n">
        <f aca="false">M16-N16-O16-P16-Q16-R16-S16-T16-U16+V16+W16-AT16</f>
        <v>0.980564705260697</v>
      </c>
      <c r="Y16" s="135" t="n">
        <f aca="false">X16-AO16</f>
        <v>0.980564705260697</v>
      </c>
      <c r="Z16" s="107" t="n">
        <f aca="false">Z15+AP16</f>
        <v>763.641893</v>
      </c>
      <c r="AA16" s="135"/>
      <c r="AB16" s="107" t="n">
        <f aca="false">AB15+(Y16+AP16)*1.9835</f>
        <v>1518.78643721921</v>
      </c>
      <c r="AC16" s="147" t="n">
        <f aca="false">AC15-(AQ15/1.9835)</f>
        <v>1713.60362176493</v>
      </c>
      <c r="AD16" s="97"/>
      <c r="AE16" s="134"/>
      <c r="AF16" s="137" t="n">
        <v>1.7</v>
      </c>
      <c r="AG16" s="138" t="n">
        <v>1.3</v>
      </c>
      <c r="AH16" s="134" t="n">
        <v>50</v>
      </c>
      <c r="AI16" s="80" t="n">
        <f aca="false">AI15-AH16</f>
        <v>15931.2578774893</v>
      </c>
      <c r="AJ16" s="80"/>
      <c r="AK16" s="134" t="n">
        <f aca="false">N16+O16+P16+Q16+R16+S16+T16+U16+X16+AE16+AH16</f>
        <v>57.1</v>
      </c>
      <c r="AL16" s="134" t="n">
        <f aca="false">IF(L16&lt;0,L16*-1,0)</f>
        <v>0</v>
      </c>
      <c r="AM16" s="363" t="n">
        <f aca="false">AK16+AL16</f>
        <v>57.1</v>
      </c>
      <c r="AN16" s="364" t="n">
        <f aca="false">V16</f>
        <v>0</v>
      </c>
      <c r="AO16" s="97"/>
      <c r="AP16" s="147" t="n">
        <f aca="false">I16-Q16-R16-X16-AF16</f>
        <v>446.3709465</v>
      </c>
      <c r="AQ16" s="144" t="n">
        <f aca="false">34.18*(Z16*1.9835+AC16*1.9835)/E16</f>
        <v>1.28645059200135</v>
      </c>
      <c r="AR16" s="144"/>
      <c r="AS16" s="101"/>
      <c r="AT16" s="11" t="n">
        <v>0</v>
      </c>
      <c r="AU16" s="1"/>
      <c r="AV16" s="102" t="n">
        <v>0</v>
      </c>
      <c r="AW16" s="103" t="n">
        <v>70</v>
      </c>
      <c r="AX16" s="103" t="n">
        <v>37</v>
      </c>
      <c r="AY16" s="286"/>
      <c r="AZ16" s="242" t="n">
        <f aca="false">SUM(N16,P16:U16)</f>
        <v>6.1089352947393</v>
      </c>
    </row>
    <row r="17" customFormat="false" ht="12.95" hidden="false" customHeight="true" outlineLevel="0" collapsed="false">
      <c r="A17" s="10" t="n">
        <f aca="false">A16+1</f>
        <v>3</v>
      </c>
      <c r="B17" s="349" t="n">
        <v>6900.11</v>
      </c>
      <c r="C17" s="94" t="n">
        <v>283987</v>
      </c>
      <c r="D17" s="103" t="n">
        <f aca="false">C17-C16</f>
        <v>1436</v>
      </c>
      <c r="E17" s="94" t="n">
        <f aca="false">C17-152000</f>
        <v>131987</v>
      </c>
      <c r="F17" s="361" t="n">
        <f aca="false">D17/$D$2</f>
        <v>723.972775397025</v>
      </c>
      <c r="G17" s="134" t="n">
        <v>470</v>
      </c>
      <c r="H17" s="134" t="n">
        <v>131</v>
      </c>
      <c r="I17" s="134" t="n">
        <f aca="false">G17+H17</f>
        <v>601</v>
      </c>
      <c r="J17" s="362" t="n">
        <f aca="false">IF(L17&gt;0,L17,0)</f>
        <v>211.972775397025</v>
      </c>
      <c r="K17" s="134" t="n">
        <f aca="false">I17+J17</f>
        <v>812.972775397025</v>
      </c>
      <c r="L17" s="134" t="n">
        <f aca="false">F17-(I17-AK17)</f>
        <v>211.972775397025</v>
      </c>
      <c r="M17" s="137" t="n">
        <v>39</v>
      </c>
      <c r="N17" s="155" t="n">
        <f aca="false">(1.8299*1.03)/2</f>
        <v>0.9423985</v>
      </c>
      <c r="O17" s="363" t="n">
        <f aca="false">(5.9+5.6)*1.05</f>
        <v>12.075</v>
      </c>
      <c r="P17" s="83" t="n">
        <v>0</v>
      </c>
      <c r="Q17" s="328" t="n">
        <f aca="false">1081000/325851/1.9835*1.02</f>
        <v>1.70598262144736</v>
      </c>
      <c r="R17" s="328" t="n">
        <f aca="false">(1928490/325851/1.9835-T17)*1.04</f>
        <v>1.83635649042284</v>
      </c>
      <c r="S17" s="131" t="n">
        <v>0</v>
      </c>
      <c r="T17" s="131" t="n">
        <f aca="false">1.1712*1.04</f>
        <v>1.218048</v>
      </c>
      <c r="U17" s="346" t="n">
        <v>0</v>
      </c>
      <c r="V17" s="134" t="n">
        <v>0</v>
      </c>
      <c r="W17" s="134" t="n">
        <v>0</v>
      </c>
      <c r="X17" s="135" t="n">
        <f aca="false">M17-N17-O17-P17-Q17-R17-S17-T17-U17+V17+W17-AT17</f>
        <v>21.2222143881298</v>
      </c>
      <c r="Y17" s="135" t="n">
        <f aca="false">X17-AO17</f>
        <v>21.2222143881298</v>
      </c>
      <c r="Z17" s="107" t="n">
        <f aca="false">Z16+AP17</f>
        <v>1338.1773395</v>
      </c>
      <c r="AA17" s="135"/>
      <c r="AB17" s="107" t="n">
        <f aca="false">AB16+(Y17+AP17)*1.9835</f>
        <v>2700.47175759081</v>
      </c>
      <c r="AC17" s="147" t="n">
        <f aca="false">AC16-(AQ16/1.9835)</f>
        <v>1712.95504571653</v>
      </c>
      <c r="AD17" s="97"/>
      <c r="AE17" s="134"/>
      <c r="AF17" s="137" t="n">
        <v>1.7</v>
      </c>
      <c r="AG17" s="138" t="n">
        <v>1.3</v>
      </c>
      <c r="AH17" s="134" t="n">
        <v>50</v>
      </c>
      <c r="AI17" s="80" t="n">
        <f aca="false">AI16-AH17</f>
        <v>15881.2578774893</v>
      </c>
      <c r="AJ17" s="80"/>
      <c r="AK17" s="134" t="n">
        <f aca="false">N17+O17+P17+Q17+R17+S17+T17+U17+X17+AE17+AH17</f>
        <v>89</v>
      </c>
      <c r="AL17" s="134" t="n">
        <f aca="false">IF(L17&lt;0,L17*-1,0)</f>
        <v>0</v>
      </c>
      <c r="AM17" s="363" t="n">
        <f aca="false">AK17+AL17</f>
        <v>89</v>
      </c>
      <c r="AN17" s="364" t="n">
        <f aca="false">V17</f>
        <v>0</v>
      </c>
      <c r="AO17" s="97"/>
      <c r="AP17" s="147" t="n">
        <f aca="false">I17-Q17-R17-X17-AF17</f>
        <v>574.5354465</v>
      </c>
      <c r="AQ17" s="144" t="n">
        <f aca="false">34.18*(Z17*1.9835+AC17*1.9835)/E17</f>
        <v>1.56723512711185</v>
      </c>
      <c r="AR17" s="144"/>
      <c r="AS17" s="101"/>
      <c r="AT17" s="11" t="n">
        <v>0</v>
      </c>
      <c r="AU17" s="1"/>
      <c r="AV17" s="102" t="n">
        <v>0.01</v>
      </c>
      <c r="AW17" s="103" t="n">
        <v>60</v>
      </c>
      <c r="AX17" s="103" t="n">
        <v>26</v>
      </c>
      <c r="AY17" s="286"/>
      <c r="AZ17" s="242" t="n">
        <f aca="false">SUM(N17,P17:U17)</f>
        <v>5.7027856118702</v>
      </c>
    </row>
    <row r="18" customFormat="false" ht="12.95" hidden="false" customHeight="true" outlineLevel="0" collapsed="false">
      <c r="A18" s="10" t="n">
        <f aca="false">A17+1</f>
        <v>4</v>
      </c>
      <c r="B18" s="349" t="n">
        <v>6900.37</v>
      </c>
      <c r="C18" s="94" t="n">
        <v>284950</v>
      </c>
      <c r="D18" s="103" t="n">
        <f aca="false">C18-C17</f>
        <v>963</v>
      </c>
      <c r="E18" s="94" t="n">
        <f aca="false">C18-152000</f>
        <v>132950</v>
      </c>
      <c r="F18" s="361" t="n">
        <f aca="false">D18/$D$2</f>
        <v>485.505419712629</v>
      </c>
      <c r="G18" s="134" t="n">
        <v>378</v>
      </c>
      <c r="H18" s="134" t="n">
        <v>88</v>
      </c>
      <c r="I18" s="134" t="n">
        <f aca="false">G18+H18</f>
        <v>466</v>
      </c>
      <c r="J18" s="362" t="n">
        <f aca="false">IF(L18&gt;0,L18,0)</f>
        <v>105.505419712629</v>
      </c>
      <c r="K18" s="134" t="n">
        <f aca="false">I18+J18</f>
        <v>571.505419712629</v>
      </c>
      <c r="L18" s="134" t="n">
        <f aca="false">F18-(I18-AK18)</f>
        <v>105.505419712629</v>
      </c>
      <c r="M18" s="137" t="n">
        <v>36</v>
      </c>
      <c r="N18" s="155" t="n">
        <f aca="false">(1.8299*1.03)/2</f>
        <v>0.9423985</v>
      </c>
      <c r="O18" s="363" t="n">
        <f aca="false">(14+14)*1.05</f>
        <v>29.4</v>
      </c>
      <c r="P18" s="83" t="n">
        <v>0</v>
      </c>
      <c r="Q18" s="328" t="n">
        <f aca="false">933100/325851/1.9835*1.02</f>
        <v>1.47257389830947</v>
      </c>
      <c r="R18" s="328" t="n">
        <f aca="false">(1571225/325851/1.9835-T18)*1.04</f>
        <v>1.26148264766518</v>
      </c>
      <c r="S18" s="131" t="n">
        <v>0</v>
      </c>
      <c r="T18" s="131" t="n">
        <f aca="false">1.1712*1.04</f>
        <v>1.218048</v>
      </c>
      <c r="U18" s="346" t="n">
        <v>0</v>
      </c>
      <c r="V18" s="134" t="n">
        <v>0</v>
      </c>
      <c r="W18" s="134" t="n">
        <v>0</v>
      </c>
      <c r="X18" s="135" t="n">
        <f aca="false">M18-N18-O18-P18-Q18-R18-S18-T18-U18+V18+W18-AT18</f>
        <v>1.70549695402535</v>
      </c>
      <c r="Y18" s="135" t="n">
        <f aca="false">X18-AO18</f>
        <v>1.70549695402535</v>
      </c>
      <c r="Z18" s="107" t="n">
        <f aca="false">Z17+AP18</f>
        <v>1798.037786</v>
      </c>
      <c r="AA18" s="135"/>
      <c r="AB18" s="107" t="n">
        <f aca="false">AB17+(Y18+AP18)*1.9835</f>
        <v>3615.98780643187</v>
      </c>
      <c r="AC18" s="147" t="n">
        <f aca="false">AC17-(AQ17/1.9835)</f>
        <v>1712.16490952943</v>
      </c>
      <c r="AD18" s="97"/>
      <c r="AE18" s="134"/>
      <c r="AF18" s="137" t="n">
        <v>1.7</v>
      </c>
      <c r="AG18" s="138" t="n">
        <v>1.3</v>
      </c>
      <c r="AH18" s="134" t="n">
        <v>50</v>
      </c>
      <c r="AI18" s="80" t="n">
        <f aca="false">AI17-AH18</f>
        <v>15831.2578774893</v>
      </c>
      <c r="AJ18" s="80"/>
      <c r="AK18" s="134" t="n">
        <f aca="false">N18+O18+P18+Q18+R18+S18+T18+U18+X18+AE18+AH18</f>
        <v>86</v>
      </c>
      <c r="AL18" s="134" t="n">
        <f aca="false">IF(L18&lt;0,L18*-1,0)</f>
        <v>0</v>
      </c>
      <c r="AM18" s="363" t="n">
        <f aca="false">AK18+AL18</f>
        <v>86</v>
      </c>
      <c r="AN18" s="364" t="n">
        <f aca="false">V18</f>
        <v>0</v>
      </c>
      <c r="AO18" s="97"/>
      <c r="AP18" s="147" t="n">
        <f aca="false">I18-Q18-R18-X18-AF18</f>
        <v>459.8604465</v>
      </c>
      <c r="AQ18" s="144" t="n">
        <f aca="false">34.18*(Z18*1.9835+AC18*1.9835)/E18</f>
        <v>1.78997974616167</v>
      </c>
      <c r="AR18" s="144"/>
      <c r="AS18" s="101"/>
      <c r="AT18" s="11" t="n">
        <v>0</v>
      </c>
      <c r="AU18" s="1"/>
      <c r="AV18" s="102" t="n">
        <v>0</v>
      </c>
      <c r="AW18" s="103" t="n">
        <v>49</v>
      </c>
      <c r="AX18" s="103" t="n">
        <v>20</v>
      </c>
      <c r="AY18" s="286"/>
      <c r="AZ18" s="242" t="n">
        <f aca="false">SUM(N18,P18:U18)</f>
        <v>4.89450304597465</v>
      </c>
    </row>
    <row r="19" customFormat="false" ht="12.95" hidden="false" customHeight="true" outlineLevel="0" collapsed="false">
      <c r="A19" s="10" t="n">
        <f aca="false">A18+1</f>
        <v>5</v>
      </c>
      <c r="B19" s="349" t="n">
        <v>6900.57</v>
      </c>
      <c r="C19" s="94" t="n">
        <v>285690</v>
      </c>
      <c r="D19" s="103" t="n">
        <f aca="false">C19-C18</f>
        <v>740</v>
      </c>
      <c r="E19" s="94" t="n">
        <f aca="false">C19-152000</f>
        <v>133690</v>
      </c>
      <c r="F19" s="361" t="n">
        <f aca="false">D19/$D$2</f>
        <v>373.077892614066</v>
      </c>
      <c r="G19" s="134" t="n">
        <v>353</v>
      </c>
      <c r="H19" s="134" t="n">
        <v>53</v>
      </c>
      <c r="I19" s="134" t="n">
        <f aca="false">G19+H19</f>
        <v>406</v>
      </c>
      <c r="J19" s="362" t="n">
        <f aca="false">IF(L19&gt;0,L19,0)</f>
        <v>74.0778926140661</v>
      </c>
      <c r="K19" s="134" t="n">
        <f aca="false">I19+J19</f>
        <v>480.077892614066</v>
      </c>
      <c r="L19" s="134" t="n">
        <f aca="false">F19-(I19-AK19)</f>
        <v>74.0778926140661</v>
      </c>
      <c r="M19" s="137" t="n">
        <v>57</v>
      </c>
      <c r="N19" s="155" t="n">
        <f aca="false">(1.8299*1.03)/2</f>
        <v>0.9423985</v>
      </c>
      <c r="O19" s="363" t="n">
        <f aca="false">(18+19)*1.05</f>
        <v>38.85</v>
      </c>
      <c r="P19" s="83" t="n">
        <v>0</v>
      </c>
      <c r="Q19" s="328" t="n">
        <f aca="false">937500/325851/1.9835*1.02</f>
        <v>1.47951776836901</v>
      </c>
      <c r="R19" s="328" t="n">
        <f aca="false">(1868421/325851/1.9835-T19)*1.04</f>
        <v>1.73969967584372</v>
      </c>
      <c r="S19" s="131" t="n">
        <v>0</v>
      </c>
      <c r="T19" s="131" t="n">
        <f aca="false">1.1712*1.04</f>
        <v>1.218048</v>
      </c>
      <c r="U19" s="346" t="n">
        <v>0</v>
      </c>
      <c r="V19" s="134" t="n">
        <v>0</v>
      </c>
      <c r="W19" s="134" t="n">
        <v>0</v>
      </c>
      <c r="X19" s="135" t="n">
        <f aca="false">M19-N19-O19-P19-Q19-R19-S19-T19-U19+V19+W19-AT19</f>
        <v>12.7703360557873</v>
      </c>
      <c r="Y19" s="135" t="n">
        <f aca="false">X19-AO19</f>
        <v>12.7703360557873</v>
      </c>
      <c r="Z19" s="107" t="n">
        <f aca="false">Z18+AP19</f>
        <v>2186.3482325</v>
      </c>
      <c r="AA19" s="135"/>
      <c r="AB19" s="107" t="n">
        <f aca="false">AB18+(Y19+AP19)*1.9835</f>
        <v>4411.53153863128</v>
      </c>
      <c r="AC19" s="147" t="n">
        <f aca="false">AC18-(AQ18/1.9835)</f>
        <v>1711.26247456792</v>
      </c>
      <c r="AD19" s="97"/>
      <c r="AE19" s="134"/>
      <c r="AF19" s="137" t="n">
        <v>1.7</v>
      </c>
      <c r="AG19" s="138" t="n">
        <v>1.3</v>
      </c>
      <c r="AH19" s="134" t="n">
        <v>50</v>
      </c>
      <c r="AI19" s="80" t="n">
        <f aca="false">AI18-AH19</f>
        <v>15781.2578774893</v>
      </c>
      <c r="AJ19" s="80"/>
      <c r="AK19" s="134" t="n">
        <f aca="false">N19+O19+P19+Q19+R19+S19+T19+U19+X19+AE19+AH19</f>
        <v>107</v>
      </c>
      <c r="AL19" s="134" t="n">
        <f aca="false">IF(L19&lt;0,L19*-1,0)</f>
        <v>0</v>
      </c>
      <c r="AM19" s="363" t="n">
        <f aca="false">AK19+AL19</f>
        <v>107</v>
      </c>
      <c r="AN19" s="364" t="n">
        <f aca="false">V19</f>
        <v>0</v>
      </c>
      <c r="AO19" s="97"/>
      <c r="AP19" s="147" t="n">
        <f aca="false">I19-Q19-R19-X19-AF19</f>
        <v>388.3104465</v>
      </c>
      <c r="AQ19" s="144" t="n">
        <f aca="false">34.18*(Z19*1.9835+AC19*1.9835)/E19</f>
        <v>1.97653177069862</v>
      </c>
      <c r="AR19" s="144"/>
      <c r="AS19" s="101"/>
      <c r="AT19" s="11" t="n">
        <v>0</v>
      </c>
      <c r="AU19" s="1"/>
      <c r="AV19" s="102" t="n">
        <v>0</v>
      </c>
      <c r="AW19" s="103" t="n">
        <v>65</v>
      </c>
      <c r="AX19" s="103" t="n">
        <v>28</v>
      </c>
      <c r="AY19" s="286"/>
      <c r="AZ19" s="242" t="n">
        <f aca="false">SUM(N19,P19:U19)</f>
        <v>5.37966394421273</v>
      </c>
    </row>
    <row r="20" customFormat="false" ht="12.95" hidden="false" customHeight="true" outlineLevel="0" collapsed="false">
      <c r="A20" s="10" t="n">
        <f aca="false">A19+1</f>
        <v>6</v>
      </c>
      <c r="B20" s="349" t="n">
        <v>6900.87</v>
      </c>
      <c r="C20" s="94" t="n">
        <v>286801</v>
      </c>
      <c r="D20" s="103" t="n">
        <f aca="false">C20-C19</f>
        <v>1111</v>
      </c>
      <c r="E20" s="94" t="n">
        <f aca="false">C20-152000</f>
        <v>134801</v>
      </c>
      <c r="F20" s="361" t="n">
        <f aca="false">D20/$D$2</f>
        <v>560.120998235442</v>
      </c>
      <c r="G20" s="134" t="n">
        <v>447</v>
      </c>
      <c r="H20" s="134" t="n">
        <v>89</v>
      </c>
      <c r="I20" s="134" t="n">
        <f aca="false">G20+H20</f>
        <v>536</v>
      </c>
      <c r="J20" s="362" t="n">
        <f aca="false">IF(L20&gt;0,L20,0)</f>
        <v>144.100998235442</v>
      </c>
      <c r="K20" s="134" t="n">
        <f aca="false">I20+J20</f>
        <v>680.100998235442</v>
      </c>
      <c r="L20" s="134" t="n">
        <f aca="false">F20-(I20-AK20)</f>
        <v>144.100998235442</v>
      </c>
      <c r="M20" s="137" t="n">
        <v>70</v>
      </c>
      <c r="N20" s="155" t="n">
        <f aca="false">(1.8299*1.03)/2</f>
        <v>0.9423985</v>
      </c>
      <c r="O20" s="363" t="n">
        <f aca="false">(25+24)*1.05</f>
        <v>51.45</v>
      </c>
      <c r="P20" s="83" t="n">
        <v>0</v>
      </c>
      <c r="Q20" s="328" t="n">
        <f aca="false">1035400/325851/1.9835*1.02</f>
        <v>1.6340188771939</v>
      </c>
      <c r="R20" s="328" t="n">
        <f aca="false">(1835310/325851/1.9835-T20)*1.04</f>
        <v>1.68642088332962</v>
      </c>
      <c r="S20" s="131" t="n">
        <v>0</v>
      </c>
      <c r="T20" s="131" t="n">
        <f aca="false">1.1712*1.04</f>
        <v>1.218048</v>
      </c>
      <c r="U20" s="346" t="n">
        <v>0</v>
      </c>
      <c r="V20" s="134" t="n">
        <v>0</v>
      </c>
      <c r="W20" s="134" t="n">
        <v>0.59</v>
      </c>
      <c r="X20" s="135" t="n">
        <f aca="false">M20-N20-O20-P20-Q20-R20-S20-T20-U20+V20+W20-AT20</f>
        <v>13.0491137394765</v>
      </c>
      <c r="Y20" s="135" t="n">
        <f aca="false">X20-AO20</f>
        <v>8.05911373947649</v>
      </c>
      <c r="Z20" s="107" t="n">
        <f aca="false">Z19+AP20</f>
        <v>2704.278679</v>
      </c>
      <c r="AA20" s="135"/>
      <c r="AB20" s="107" t="n">
        <f aca="false">AB19+(Y20+AP20)*1.9835</f>
        <v>5454.83183136628</v>
      </c>
      <c r="AC20" s="147" t="n">
        <f aca="false">AC19-(AQ19/1.9835)</f>
        <v>1710.26598766563</v>
      </c>
      <c r="AD20" s="97"/>
      <c r="AE20" s="134"/>
      <c r="AF20" s="137" t="n">
        <v>1.7</v>
      </c>
      <c r="AG20" s="138" t="n">
        <v>1.3</v>
      </c>
      <c r="AH20" s="134" t="n">
        <v>50</v>
      </c>
      <c r="AI20" s="80" t="n">
        <f aca="false">AI19-AH20</f>
        <v>15731.2578774893</v>
      </c>
      <c r="AJ20" s="80"/>
      <c r="AK20" s="134" t="n">
        <f aca="false">N20+O20+P20+Q20+R20+S20+T20+U20+X20+AE20+AH20</f>
        <v>119.98</v>
      </c>
      <c r="AL20" s="134" t="n">
        <f aca="false">IF(L20&lt;0,L20*-1,0)</f>
        <v>0</v>
      </c>
      <c r="AM20" s="363" t="n">
        <f aca="false">AK20+AL20</f>
        <v>119.98</v>
      </c>
      <c r="AN20" s="364" t="n">
        <f aca="false">V20</f>
        <v>0</v>
      </c>
      <c r="AO20" s="97" t="n">
        <f aca="false">W20+3.4+1</f>
        <v>4.99</v>
      </c>
      <c r="AP20" s="147" t="n">
        <f aca="false">I20-Q20-R20-X20-AF20</f>
        <v>517.9304465</v>
      </c>
      <c r="AQ20" s="144" t="n">
        <f aca="false">34.18*(Z20*1.9835+AC20*1.9835)/E20</f>
        <v>2.22022538896301</v>
      </c>
      <c r="AR20" s="144"/>
      <c r="AS20" s="101"/>
      <c r="AT20" s="11" t="n">
        <v>0.61</v>
      </c>
      <c r="AU20" s="1"/>
      <c r="AV20" s="102" t="n">
        <v>0.08</v>
      </c>
      <c r="AW20" s="103" t="n">
        <v>58</v>
      </c>
      <c r="AX20" s="103" t="n">
        <v>32</v>
      </c>
      <c r="AY20" s="286"/>
      <c r="AZ20" s="242" t="n">
        <f aca="false">SUM(N20,P20:U20)</f>
        <v>5.48088626052352</v>
      </c>
    </row>
    <row r="21" customFormat="false" ht="12.95" hidden="false" customHeight="true" outlineLevel="0" collapsed="false">
      <c r="A21" s="10" t="n">
        <f aca="false">A20+1</f>
        <v>7</v>
      </c>
      <c r="B21" s="349" t="n">
        <v>6901.14</v>
      </c>
      <c r="C21" s="94" t="n">
        <v>287804</v>
      </c>
      <c r="D21" s="103" t="n">
        <f aca="false">C21-C20</f>
        <v>1003</v>
      </c>
      <c r="E21" s="94" t="n">
        <f aca="false">C21-152000</f>
        <v>135804</v>
      </c>
      <c r="F21" s="361" t="n">
        <f aca="false">D21/$D$2</f>
        <v>505.671792286362</v>
      </c>
      <c r="G21" s="134" t="n">
        <v>427</v>
      </c>
      <c r="H21" s="134" t="n">
        <v>62</v>
      </c>
      <c r="I21" s="134" t="n">
        <f aca="false">G21+H21</f>
        <v>489</v>
      </c>
      <c r="J21" s="362" t="n">
        <f aca="false">IF(L21&gt;0,L21,0)</f>
        <v>183.131792286362</v>
      </c>
      <c r="K21" s="134" t="n">
        <f aca="false">I21+J21</f>
        <v>672.131792286362</v>
      </c>
      <c r="L21" s="134" t="n">
        <f aca="false">F21-(I21-AK21)</f>
        <v>183.131792286362</v>
      </c>
      <c r="M21" s="137" t="n">
        <v>96</v>
      </c>
      <c r="N21" s="155" t="n">
        <f aca="false">(1.8299*1.03)/2</f>
        <v>0.9423985</v>
      </c>
      <c r="O21" s="363" t="n">
        <f aca="false">(31+29)*1.05</f>
        <v>63</v>
      </c>
      <c r="P21" s="83" t="n">
        <v>0</v>
      </c>
      <c r="Q21" s="328" t="n">
        <f aca="false">708600/325851/1.9835*1.02</f>
        <v>1.11827871004404</v>
      </c>
      <c r="R21" s="328" t="n">
        <f aca="false">(2020362/325851/1.9835-T21)*1.04</f>
        <v>1.98418739936111</v>
      </c>
      <c r="S21" s="131" t="n">
        <v>0</v>
      </c>
      <c r="T21" s="131" t="n">
        <f aca="false">1.1712*1.04</f>
        <v>1.218048</v>
      </c>
      <c r="U21" s="346" t="n">
        <v>0</v>
      </c>
      <c r="V21" s="134" t="n">
        <v>9.6</v>
      </c>
      <c r="W21" s="134" t="n">
        <v>12</v>
      </c>
      <c r="X21" s="135" t="n">
        <f aca="false">M21-N21-O21-P21-Q21-R21-S21-T21-U21+V21+W21-AT21</f>
        <v>48.1970873905949</v>
      </c>
      <c r="Y21" s="135" t="n">
        <f aca="false">X21-AO21</f>
        <v>2.79708739059486</v>
      </c>
      <c r="Z21" s="107" t="n">
        <f aca="false">Z20+AP21</f>
        <v>3140.2791255</v>
      </c>
      <c r="AA21" s="135"/>
      <c r="AB21" s="107" t="n">
        <f aca="false">AB20+(Y21+AP21)*1.9835</f>
        <v>6325.18673983827</v>
      </c>
      <c r="AC21" s="147" t="n">
        <f aca="false">AC20-(AQ20/1.9835)</f>
        <v>1709.14664035584</v>
      </c>
      <c r="AD21" s="97"/>
      <c r="AE21" s="134"/>
      <c r="AF21" s="137" t="n">
        <v>1.7</v>
      </c>
      <c r="AG21" s="138" t="n">
        <v>1.3</v>
      </c>
      <c r="AH21" s="134" t="n">
        <v>50</v>
      </c>
      <c r="AI21" s="80" t="n">
        <f aca="false">AI20-AH21</f>
        <v>15681.2578774893</v>
      </c>
      <c r="AJ21" s="80"/>
      <c r="AK21" s="134" t="n">
        <f aca="false">N21+O21+P21+Q21+R21+S21+T21+U21+X21+AE21+AH21</f>
        <v>166.46</v>
      </c>
      <c r="AL21" s="134" t="n">
        <f aca="false">IF(L21&lt;0,L21*-1,0)</f>
        <v>0</v>
      </c>
      <c r="AM21" s="363" t="n">
        <f aca="false">AK21+AL21</f>
        <v>166.46</v>
      </c>
      <c r="AN21" s="364" t="n">
        <v>0</v>
      </c>
      <c r="AO21" s="97" t="n">
        <f aca="false">V21+W21+14.2+9.6</f>
        <v>45.4</v>
      </c>
      <c r="AP21" s="147" t="n">
        <f aca="false">I21-Q21-R21-X21-AF21</f>
        <v>436.0004465</v>
      </c>
      <c r="AQ21" s="144" t="n">
        <f aca="false">34.18*(Z21*1.9835+AC21*1.9835)/E21</f>
        <v>2.4209287996284</v>
      </c>
      <c r="AR21" s="144"/>
      <c r="AS21" s="101"/>
      <c r="AT21" s="11" t="n">
        <v>1.14</v>
      </c>
      <c r="AU21" s="1"/>
      <c r="AV21" s="102" t="n">
        <v>0.09</v>
      </c>
      <c r="AW21" s="103" t="n">
        <v>54</v>
      </c>
      <c r="AX21" s="103" t="n">
        <v>33</v>
      </c>
      <c r="AY21" s="286"/>
      <c r="AZ21" s="242" t="n">
        <f aca="false">SUM(N21,P21:U21)</f>
        <v>5.26291260940515</v>
      </c>
    </row>
    <row r="22" customFormat="false" ht="12.95" hidden="false" customHeight="true" outlineLevel="0" collapsed="false">
      <c r="A22" s="10" t="n">
        <f aca="false">A21+1</f>
        <v>8</v>
      </c>
      <c r="B22" s="349" t="n">
        <v>6901.35</v>
      </c>
      <c r="C22" s="94" t="n">
        <v>288588</v>
      </c>
      <c r="D22" s="103" t="n">
        <f aca="false">C22-C21</f>
        <v>784</v>
      </c>
      <c r="E22" s="94" t="n">
        <f aca="false">C22-152000</f>
        <v>136588</v>
      </c>
      <c r="F22" s="361" t="n">
        <f aca="false">D22/$D$2</f>
        <v>395.260902445173</v>
      </c>
      <c r="G22" s="134" t="n">
        <v>387</v>
      </c>
      <c r="H22" s="134" t="n">
        <v>46</v>
      </c>
      <c r="I22" s="134" t="n">
        <f aca="false">G22+H22</f>
        <v>433</v>
      </c>
      <c r="J22" s="362" t="n">
        <f aca="false">IF(L22&gt;0,L22,0)</f>
        <v>147.120902445173</v>
      </c>
      <c r="K22" s="134" t="n">
        <f aca="false">I22+J22</f>
        <v>580.120902445173</v>
      </c>
      <c r="L22" s="134" t="n">
        <f aca="false">F22-(I22-AK22)</f>
        <v>147.120902445173</v>
      </c>
      <c r="M22" s="137" t="n">
        <v>103</v>
      </c>
      <c r="N22" s="155" t="n">
        <f aca="false">(1.8299*1.03)/2</f>
        <v>0.9423985</v>
      </c>
      <c r="O22" s="363" t="n">
        <f aca="false">(31+30)*1.05</f>
        <v>64.05</v>
      </c>
      <c r="P22" s="83" t="n">
        <v>0</v>
      </c>
      <c r="Q22" s="328" t="n">
        <f aca="false">1067300/325851/1.9835*1.02</f>
        <v>1.6843619351256</v>
      </c>
      <c r="R22" s="328" t="n">
        <f aca="false">(1538466/325851/1.9835-T22)*1.04</f>
        <v>1.24738337710104</v>
      </c>
      <c r="S22" s="131" t="n">
        <v>0</v>
      </c>
      <c r="T22" s="131" t="n">
        <f aca="false">1.1355*1.04</f>
        <v>1.18092</v>
      </c>
      <c r="U22" s="346" t="n">
        <v>0</v>
      </c>
      <c r="V22" s="134" t="n">
        <v>18</v>
      </c>
      <c r="W22" s="134" t="n">
        <v>15</v>
      </c>
      <c r="X22" s="135" t="n">
        <f aca="false">M22-N22-O22-P22-Q22-R22-S22-T22-U22+V22+W22-AT22</f>
        <v>65.7549361877734</v>
      </c>
      <c r="Y22" s="135" t="n">
        <f aca="false">X22-AO22</f>
        <v>5.75493618777337</v>
      </c>
      <c r="Z22" s="107" t="n">
        <f aca="false">Z21+AP22</f>
        <v>3502.892444</v>
      </c>
      <c r="AA22" s="135"/>
      <c r="AB22" s="107" t="n">
        <f aca="false">AB21+(Y22+AP22)*1.9835</f>
        <v>7055.84517301147</v>
      </c>
      <c r="AC22" s="147" t="n">
        <f aca="false">AC21-(AQ21/1.9835)</f>
        <v>1707.92610655214</v>
      </c>
      <c r="AD22" s="97"/>
      <c r="AE22" s="134"/>
      <c r="AF22" s="137" t="n">
        <v>1.7</v>
      </c>
      <c r="AG22" s="138" t="n">
        <v>1.3</v>
      </c>
      <c r="AH22" s="134" t="n">
        <v>50</v>
      </c>
      <c r="AI22" s="80" t="n">
        <f aca="false">AI21-AH22</f>
        <v>15631.2578774893</v>
      </c>
      <c r="AJ22" s="80"/>
      <c r="AK22" s="134" t="n">
        <f aca="false">N22+O22+P22+Q22+R22+S22+T22+U22+X22+AE22+AH22</f>
        <v>184.86</v>
      </c>
      <c r="AL22" s="134" t="n">
        <f aca="false">IF(L22&lt;0,L22*-1,0)</f>
        <v>0</v>
      </c>
      <c r="AM22" s="363" t="n">
        <f aca="false">AK22+AL22</f>
        <v>184.86</v>
      </c>
      <c r="AN22" s="364" t="n">
        <v>0</v>
      </c>
      <c r="AO22" s="97" t="n">
        <f aca="false">V22+W22+15+12</f>
        <v>60</v>
      </c>
      <c r="AP22" s="147" t="n">
        <f aca="false">I22-Q22-R22-X22-AF22</f>
        <v>362.6133185</v>
      </c>
      <c r="AQ22" s="144" t="n">
        <f aca="false">34.18*(Z22*1.9835+AC22*1.9835)/E22</f>
        <v>2.58641176953898</v>
      </c>
      <c r="AR22" s="144"/>
      <c r="AS22" s="101"/>
      <c r="AT22" s="11" t="n">
        <v>1.14</v>
      </c>
      <c r="AU22" s="1"/>
      <c r="AV22" s="102" t="n">
        <v>0</v>
      </c>
      <c r="AW22" s="103" t="n">
        <v>56</v>
      </c>
      <c r="AX22" s="103" t="n">
        <v>41</v>
      </c>
      <c r="AY22" s="286"/>
      <c r="AZ22" s="242" t="n">
        <f aca="false">SUM(N22,P22:U22)</f>
        <v>5.05506381222664</v>
      </c>
    </row>
    <row r="23" customFormat="false" ht="12.95" hidden="false" customHeight="true" outlineLevel="0" collapsed="false">
      <c r="A23" s="10" t="n">
        <f aca="false">A22+1</f>
        <v>9</v>
      </c>
      <c r="B23" s="349" t="n">
        <v>6901.52</v>
      </c>
      <c r="C23" s="94" t="n">
        <v>289223</v>
      </c>
      <c r="D23" s="103" t="n">
        <f aca="false">C23-C22</f>
        <v>635</v>
      </c>
      <c r="E23" s="94" t="n">
        <f aca="false">C23-152000</f>
        <v>137223</v>
      </c>
      <c r="F23" s="361" t="n">
        <f aca="false">D23/$D$2</f>
        <v>320.141164608016</v>
      </c>
      <c r="G23" s="134" t="n">
        <v>346</v>
      </c>
      <c r="H23" s="134" t="n">
        <v>28</v>
      </c>
      <c r="I23" s="134" t="n">
        <f aca="false">G23+H23</f>
        <v>374</v>
      </c>
      <c r="J23" s="362" t="n">
        <f aca="false">IF(L23&gt;0,L23,0)</f>
        <v>121.011164608016</v>
      </c>
      <c r="K23" s="134" t="n">
        <f aca="false">I23+J23</f>
        <v>495.011164608016</v>
      </c>
      <c r="L23" s="134" t="n">
        <f aca="false">F23-(I23-AK23)</f>
        <v>121.011164608016</v>
      </c>
      <c r="M23" s="137" t="n">
        <v>91</v>
      </c>
      <c r="N23" s="155" t="n">
        <f aca="false">(1.8299*1.03)/2</f>
        <v>0.9423985</v>
      </c>
      <c r="O23" s="363" t="n">
        <f aca="false">(29+28)*1.05</f>
        <v>59.85</v>
      </c>
      <c r="P23" s="83" t="n">
        <v>0</v>
      </c>
      <c r="Q23" s="328" t="n">
        <f aca="false">981700/325851/1.9835*1.02</f>
        <v>1.54927209942172</v>
      </c>
      <c r="R23" s="328" t="n">
        <f aca="false">(1725561/325851/1.9835-T23)*1.04</f>
        <v>1.5484372771773</v>
      </c>
      <c r="S23" s="131" t="n">
        <v>0</v>
      </c>
      <c r="T23" s="131" t="n">
        <f aca="false">1.1355*1.04</f>
        <v>1.18092</v>
      </c>
      <c r="U23" s="346" t="n">
        <v>0</v>
      </c>
      <c r="V23" s="134" t="n">
        <v>18</v>
      </c>
      <c r="W23" s="134" t="n">
        <v>17</v>
      </c>
      <c r="X23" s="135" t="n">
        <f aca="false">M23-N23-O23-P23-Q23-R23-S23-T23-U23+V23+W23-AT23</f>
        <v>59.798972123401</v>
      </c>
      <c r="Y23" s="135" t="n">
        <f aca="false">X23-AO23</f>
        <v>-2.20102787659902</v>
      </c>
      <c r="Z23" s="107" t="n">
        <f aca="false">Z22+AP23</f>
        <v>3812.2957625</v>
      </c>
      <c r="AA23" s="135"/>
      <c r="AB23" s="107" t="n">
        <f aca="false">AB22+(Y23+AP23)*1.9835</f>
        <v>7665.18091646299</v>
      </c>
      <c r="AC23" s="147" t="n">
        <f aca="false">AC22-(AQ22/1.9835)</f>
        <v>1706.6221429678</v>
      </c>
      <c r="AD23" s="97"/>
      <c r="AE23" s="134"/>
      <c r="AF23" s="137" t="n">
        <v>1.7</v>
      </c>
      <c r="AG23" s="138" t="n">
        <v>1.3</v>
      </c>
      <c r="AH23" s="134" t="n">
        <v>50</v>
      </c>
      <c r="AI23" s="80" t="n">
        <f aca="false">AI22-AH23</f>
        <v>15581.2578774893</v>
      </c>
      <c r="AJ23" s="80"/>
      <c r="AK23" s="134" t="n">
        <f aca="false">N23+O23+P23+Q23+R23+S23+T23+U23+X23+AE23+AH23</f>
        <v>174.87</v>
      </c>
      <c r="AL23" s="134" t="n">
        <f aca="false">IF(L23&lt;0,L23*-1,0)</f>
        <v>0</v>
      </c>
      <c r="AM23" s="363" t="n">
        <f aca="false">AK23+AL23</f>
        <v>174.87</v>
      </c>
      <c r="AN23" s="364" t="n">
        <v>0</v>
      </c>
      <c r="AO23" s="97" t="n">
        <f aca="false">V23+W23+15+12</f>
        <v>62</v>
      </c>
      <c r="AP23" s="147" t="n">
        <f aca="false">I23-Q23-R23-X23-AF23</f>
        <v>309.4033185</v>
      </c>
      <c r="AQ23" s="144" t="n">
        <f aca="false">34.18*(Z23*1.9835+AC23*1.9835)/E23</f>
        <v>2.7266618853008</v>
      </c>
      <c r="AR23" s="144"/>
      <c r="AS23" s="101"/>
      <c r="AT23" s="11" t="n">
        <v>1.13</v>
      </c>
      <c r="AU23" s="1"/>
      <c r="AV23" s="102" t="n">
        <v>0.01</v>
      </c>
      <c r="AW23" s="141" t="n">
        <v>48</v>
      </c>
      <c r="AX23" s="103" t="n">
        <v>25</v>
      </c>
      <c r="AY23" s="286"/>
      <c r="AZ23" s="242" t="n">
        <f aca="false">SUM(N23,P23:U23)</f>
        <v>5.22102787659902</v>
      </c>
    </row>
    <row r="24" customFormat="false" ht="12.95" hidden="false" customHeight="true" outlineLevel="0" collapsed="false">
      <c r="A24" s="10" t="n">
        <f aca="false">A23+1</f>
        <v>10</v>
      </c>
      <c r="B24" s="349" t="n">
        <v>6901.65</v>
      </c>
      <c r="C24" s="94" t="n">
        <v>289708</v>
      </c>
      <c r="D24" s="103" t="n">
        <f aca="false">C24-C23</f>
        <v>485</v>
      </c>
      <c r="E24" s="94" t="n">
        <f aca="false">C24-152000</f>
        <v>137708</v>
      </c>
      <c r="F24" s="361" t="n">
        <f aca="false">D24/$D$2</f>
        <v>244.517267456516</v>
      </c>
      <c r="G24" s="134" t="n">
        <v>305</v>
      </c>
      <c r="H24" s="134" t="n">
        <v>14</v>
      </c>
      <c r="I24" s="134" t="n">
        <f aca="false">G24+H24</f>
        <v>319</v>
      </c>
      <c r="J24" s="362" t="n">
        <f aca="false">IF(L24&gt;0,L24,0)</f>
        <v>114.417267456516</v>
      </c>
      <c r="K24" s="134" t="n">
        <f aca="false">I24+J24</f>
        <v>433.417267456516</v>
      </c>
      <c r="L24" s="134" t="n">
        <f aca="false">F24-(I24-AK24)</f>
        <v>114.417267456516</v>
      </c>
      <c r="M24" s="137" t="n">
        <v>95</v>
      </c>
      <c r="N24" s="155" t="n">
        <f aca="false">(1.8299*1.03)/2</f>
        <v>0.9423985</v>
      </c>
      <c r="O24" s="363" t="n">
        <f aca="false">(32+32)*1.05</f>
        <v>67.2</v>
      </c>
      <c r="P24" s="83" t="n">
        <v>0</v>
      </c>
      <c r="Q24" s="328" t="n">
        <f aca="false">1052800/325851/1.9835*1.02</f>
        <v>1.66147872697482</v>
      </c>
      <c r="R24" s="328" t="n">
        <f aca="false">(1862145/325851/1.9835-T24)*1.04</f>
        <v>1.76821410653145</v>
      </c>
      <c r="S24" s="131" t="n">
        <v>0</v>
      </c>
      <c r="T24" s="131" t="n">
        <f aca="false">1.1355*1.04</f>
        <v>1.18092</v>
      </c>
      <c r="U24" s="346" t="n">
        <v>0</v>
      </c>
      <c r="V24" s="134" t="n">
        <v>28</v>
      </c>
      <c r="W24" s="134" t="n">
        <v>17</v>
      </c>
      <c r="X24" s="135" t="n">
        <f aca="false">M24-N24-O24-P24-Q24-R24-S24-T24-U24+V24+W24-AT24</f>
        <v>66.1469886664937</v>
      </c>
      <c r="Y24" s="135" t="n">
        <f aca="false">X24-AO24</f>
        <v>-5.85301133350626</v>
      </c>
      <c r="Z24" s="107" t="n">
        <f aca="false">Z23+AP24</f>
        <v>4060.019081</v>
      </c>
      <c r="AA24" s="135"/>
      <c r="AB24" s="107" t="n">
        <f aca="false">AB23+(Y24+AP24)*1.9835</f>
        <v>8144.93067072773</v>
      </c>
      <c r="AC24" s="147" t="n">
        <f aca="false">AC23-(AQ23/1.9835)</f>
        <v>1705.24747098126</v>
      </c>
      <c r="AD24" s="97"/>
      <c r="AE24" s="134"/>
      <c r="AF24" s="137" t="n">
        <v>1.7</v>
      </c>
      <c r="AG24" s="138" t="n">
        <v>1.3</v>
      </c>
      <c r="AH24" s="134" t="n">
        <v>50</v>
      </c>
      <c r="AI24" s="80" t="n">
        <f aca="false">AI23-AH24</f>
        <v>15531.2578774893</v>
      </c>
      <c r="AJ24" s="80"/>
      <c r="AK24" s="134" t="n">
        <f aca="false">N24+O24+P24+Q24+R24+S24+T24+U24+X24+AE24+AH24</f>
        <v>188.9</v>
      </c>
      <c r="AL24" s="134" t="n">
        <f aca="false">IF(L24&lt;0,L24*-1,0)</f>
        <v>0</v>
      </c>
      <c r="AM24" s="363" t="n">
        <f aca="false">AK24+AL24</f>
        <v>188.9</v>
      </c>
      <c r="AN24" s="364" t="n">
        <v>0</v>
      </c>
      <c r="AO24" s="97" t="n">
        <f aca="false">V24+W24+15+12</f>
        <v>72</v>
      </c>
      <c r="AP24" s="147" t="n">
        <f aca="false">I24-Q24-R24-X24-AF24</f>
        <v>247.7233185</v>
      </c>
      <c r="AQ24" s="144" t="n">
        <f aca="false">34.18*(Z24*1.9835+AC24*1.9835)/E24</f>
        <v>2.8383404313193</v>
      </c>
      <c r="AR24" s="144"/>
      <c r="AS24" s="101"/>
      <c r="AT24" s="11" t="n">
        <v>1.1</v>
      </c>
      <c r="AU24" s="1"/>
      <c r="AV24" s="102" t="n">
        <v>0</v>
      </c>
      <c r="AW24" s="103" t="n">
        <v>46</v>
      </c>
      <c r="AX24" s="103" t="n">
        <v>18</v>
      </c>
      <c r="AY24" s="286"/>
      <c r="AZ24" s="242" t="n">
        <f aca="false">SUM(N24,P24:U24)</f>
        <v>5.55301133350628</v>
      </c>
    </row>
    <row r="25" customFormat="false" ht="12.95" hidden="false" customHeight="true" outlineLevel="0" collapsed="false">
      <c r="A25" s="10" t="n">
        <f aca="false">A24+1</f>
        <v>11</v>
      </c>
      <c r="B25" s="349" t="n">
        <v>6901.75</v>
      </c>
      <c r="C25" s="94" t="n">
        <v>290081</v>
      </c>
      <c r="D25" s="103" t="n">
        <f aca="false">C25-C24</f>
        <v>373</v>
      </c>
      <c r="E25" s="94" t="n">
        <f aca="false">C25-152000</f>
        <v>138081</v>
      </c>
      <c r="F25" s="361" t="n">
        <f aca="false">D25/$D$2</f>
        <v>188.051424250063</v>
      </c>
      <c r="G25" s="134" t="n">
        <v>272</v>
      </c>
      <c r="H25" s="134" t="n">
        <v>7.9</v>
      </c>
      <c r="I25" s="134" t="n">
        <f aca="false">G25+H25</f>
        <v>279.9</v>
      </c>
      <c r="J25" s="362" t="n">
        <f aca="false">IF(L25&gt;0,L25,0)</f>
        <v>98.051424250063</v>
      </c>
      <c r="K25" s="134" t="n">
        <f aca="false">I25+J25</f>
        <v>377.951424250063</v>
      </c>
      <c r="L25" s="134" t="n">
        <f aca="false">F25-(I25-AK25)</f>
        <v>98.051424250063</v>
      </c>
      <c r="M25" s="137" t="n">
        <v>105</v>
      </c>
      <c r="N25" s="155" t="n">
        <f aca="false">(1.8299*1.03)/2</f>
        <v>0.9423985</v>
      </c>
      <c r="O25" s="363" t="n">
        <f aca="false">(39+39)*1.05</f>
        <v>81.9</v>
      </c>
      <c r="P25" s="83" t="n">
        <v>0</v>
      </c>
      <c r="Q25" s="328" t="n">
        <f aca="false">1033900/325851/1.9835*1.02</f>
        <v>1.63165164876451</v>
      </c>
      <c r="R25" s="328" t="n">
        <f aca="false">(2140046/325851/1.9835-T25)*1.04</f>
        <v>2.21538361873163</v>
      </c>
      <c r="S25" s="131" t="n">
        <v>0</v>
      </c>
      <c r="T25" s="131" t="n">
        <f aca="false">1.1355*1.04</f>
        <v>1.18092</v>
      </c>
      <c r="U25" s="346" t="n">
        <v>0</v>
      </c>
      <c r="V25" s="134" t="n">
        <v>28</v>
      </c>
      <c r="W25" s="134" t="n">
        <v>7.99</v>
      </c>
      <c r="X25" s="135" t="n">
        <f aca="false">M25-N25-O25-P25-Q25-R25-S25-T25-U25+V25+W25-AT25</f>
        <v>52.0296462325039</v>
      </c>
      <c r="Y25" s="135" t="n">
        <f aca="false">X25-AO25</f>
        <v>3.83964623250386</v>
      </c>
      <c r="Z25" s="107" t="n">
        <f aca="false">Z24+AP25</f>
        <v>4282.3423995</v>
      </c>
      <c r="AA25" s="135"/>
      <c r="AB25" s="107" t="n">
        <f aca="false">AB24+(Y25+AP25)*1.9835</f>
        <v>8593.52491127465</v>
      </c>
      <c r="AC25" s="147" t="n">
        <f aca="false">AC24-(AQ24/1.9835)</f>
        <v>1703.81649521554</v>
      </c>
      <c r="AD25" s="97"/>
      <c r="AE25" s="134"/>
      <c r="AF25" s="137" t="n">
        <v>1.7</v>
      </c>
      <c r="AG25" s="138" t="n">
        <v>1.3</v>
      </c>
      <c r="AH25" s="134" t="n">
        <v>50</v>
      </c>
      <c r="AI25" s="80" t="n">
        <f aca="false">AI24-AH25</f>
        <v>15481.2578774893</v>
      </c>
      <c r="AJ25" s="80"/>
      <c r="AK25" s="134" t="n">
        <f aca="false">N25+O25+P25+Q25+R25+S25+T25+U25+X25+AE25+AH25</f>
        <v>189.9</v>
      </c>
      <c r="AL25" s="134" t="n">
        <f aca="false">IF(L25&lt;0,L25*-1,0)</f>
        <v>0</v>
      </c>
      <c r="AM25" s="363" t="n">
        <f aca="false">AK25+AL25</f>
        <v>189.9</v>
      </c>
      <c r="AN25" s="364" t="n">
        <v>0</v>
      </c>
      <c r="AO25" s="97" t="n">
        <f aca="false">V25+W25+6.7+5.5</f>
        <v>48.19</v>
      </c>
      <c r="AP25" s="147" t="n">
        <f aca="false">I25-Q25-R25-X25-AF25</f>
        <v>222.3233185</v>
      </c>
      <c r="AQ25" s="144" t="n">
        <f aca="false">34.18*(Z25*1.9835+AC25*1.9835)/E25</f>
        <v>2.9391285405733</v>
      </c>
      <c r="AR25" s="144"/>
      <c r="AS25" s="101"/>
      <c r="AT25" s="11" t="n">
        <v>1.09</v>
      </c>
      <c r="AU25" s="1"/>
      <c r="AV25" s="102" t="n">
        <v>0</v>
      </c>
      <c r="AW25" s="103" t="n">
        <v>57</v>
      </c>
      <c r="AX25" s="103" t="n">
        <v>22</v>
      </c>
      <c r="AY25" s="286"/>
      <c r="AZ25" s="242" t="n">
        <f aca="false">SUM(N25,P25:U25)</f>
        <v>5.97035376749613</v>
      </c>
    </row>
    <row r="26" customFormat="false" ht="12.95" hidden="false" customHeight="true" outlineLevel="0" collapsed="false">
      <c r="A26" s="10" t="n">
        <f aca="false">A25+1</f>
        <v>12</v>
      </c>
      <c r="B26" s="349" t="n">
        <v>6901.86</v>
      </c>
      <c r="C26" s="94" t="n">
        <v>290492</v>
      </c>
      <c r="D26" s="103" t="n">
        <f aca="false">C26-C25</f>
        <v>411</v>
      </c>
      <c r="E26" s="94" t="n">
        <f aca="false">C26-152000</f>
        <v>138492</v>
      </c>
      <c r="F26" s="361" t="n">
        <f aca="false">D26/$D$2</f>
        <v>207.20947819511</v>
      </c>
      <c r="G26" s="134" t="n">
        <v>299</v>
      </c>
      <c r="H26" s="134" t="n">
        <v>11</v>
      </c>
      <c r="I26" s="134" t="n">
        <f aca="false">G26+H26</f>
        <v>310</v>
      </c>
      <c r="J26" s="362" t="n">
        <f aca="false">IF(L26&gt;0,L26,0)</f>
        <v>39.1194781951096</v>
      </c>
      <c r="K26" s="134" t="n">
        <f aca="false">I26+J26</f>
        <v>349.11947819511</v>
      </c>
      <c r="L26" s="134" t="n">
        <f aca="false">F26-(I26-AK26)</f>
        <v>39.1194781951096</v>
      </c>
      <c r="M26" s="137" t="n">
        <v>93</v>
      </c>
      <c r="N26" s="155" t="n">
        <f aca="false">(1.8299*1.03)/2</f>
        <v>0.9423985</v>
      </c>
      <c r="O26" s="363" t="n">
        <f aca="false">(44+43)*1.05</f>
        <v>91.35</v>
      </c>
      <c r="P26" s="83" t="n">
        <v>0</v>
      </c>
      <c r="Q26" s="328" t="n">
        <f aca="false">922000/325851/1.9835*1.02</f>
        <v>1.45505640793198</v>
      </c>
      <c r="R26" s="328" t="n">
        <f aca="false">(2311518/325851/1.9835-T26)*1.04</f>
        <v>2.49129860498928</v>
      </c>
      <c r="S26" s="131" t="n">
        <v>0</v>
      </c>
      <c r="T26" s="131" t="n">
        <f aca="false">1.1355*1.04</f>
        <v>1.18092</v>
      </c>
      <c r="U26" s="346" t="n">
        <v>0</v>
      </c>
      <c r="V26" s="134" t="n">
        <v>0</v>
      </c>
      <c r="W26" s="134" t="n">
        <v>0</v>
      </c>
      <c r="X26" s="135" t="n">
        <f aca="false">M26-N26-O26-P26-Q26-R26-S26-T26-U26+V26+W26-AT26</f>
        <v>-5.50967351292127</v>
      </c>
      <c r="Y26" s="135" t="n">
        <f aca="false">X26-AO26</f>
        <v>-5.50967351292127</v>
      </c>
      <c r="Z26" s="107" t="n">
        <f aca="false">Z25+AP26</f>
        <v>4592.205718</v>
      </c>
      <c r="AA26" s="135"/>
      <c r="AB26" s="107" t="n">
        <f aca="false">AB25+(Y26+AP26)*1.9835</f>
        <v>9197.21036610652</v>
      </c>
      <c r="AC26" s="147" t="n">
        <f aca="false">AC25-(AQ25/1.9835)</f>
        <v>1702.33470618575</v>
      </c>
      <c r="AD26" s="97"/>
      <c r="AE26" s="134"/>
      <c r="AF26" s="137" t="n">
        <v>1.7</v>
      </c>
      <c r="AG26" s="138" t="n">
        <v>1.3</v>
      </c>
      <c r="AH26" s="134" t="n">
        <v>50</v>
      </c>
      <c r="AI26" s="80" t="n">
        <f aca="false">AI25-AH26</f>
        <v>15431.2578774893</v>
      </c>
      <c r="AJ26" s="80"/>
      <c r="AK26" s="134" t="n">
        <f aca="false">N26+O26+P26+Q26+R26+S26+T26+U26+X26+AE26+AH26</f>
        <v>141.91</v>
      </c>
      <c r="AL26" s="134" t="n">
        <f aca="false">IF(L26&lt;0,L26*-1,0)</f>
        <v>0</v>
      </c>
      <c r="AM26" s="363" t="n">
        <f aca="false">AK26+AL26</f>
        <v>141.91</v>
      </c>
      <c r="AN26" s="364" t="n">
        <f aca="false">AN25</f>
        <v>0</v>
      </c>
      <c r="AO26" s="97"/>
      <c r="AP26" s="147" t="n">
        <f aca="false">I26-Q26-R26-X26-AF26</f>
        <v>309.8633185</v>
      </c>
      <c r="AQ26" s="144" t="n">
        <f aca="false">34.18*(Z26*1.9835+AC26*1.9835)/E26</f>
        <v>3.08136824823318</v>
      </c>
      <c r="AR26" s="144"/>
      <c r="AS26" s="101"/>
      <c r="AT26" s="11" t="n">
        <v>1.09</v>
      </c>
      <c r="AU26" s="1"/>
      <c r="AV26" s="102" t="n">
        <v>0</v>
      </c>
      <c r="AW26" s="103" t="n">
        <v>63</v>
      </c>
      <c r="AX26" s="103" t="n">
        <v>34</v>
      </c>
      <c r="AY26" s="286"/>
      <c r="AZ26" s="242" t="n">
        <f aca="false">SUM(N26,P26:U26)</f>
        <v>6.06967351292126</v>
      </c>
    </row>
    <row r="27" customFormat="false" ht="12.95" hidden="false" customHeight="true" outlineLevel="0" collapsed="false">
      <c r="A27" s="10" t="n">
        <f aca="false">A26+1</f>
        <v>13</v>
      </c>
      <c r="B27" s="349" t="n">
        <v>6902.03</v>
      </c>
      <c r="C27" s="94" t="n">
        <v>291127</v>
      </c>
      <c r="D27" s="103" t="n">
        <f aca="false">C27-C26</f>
        <v>635</v>
      </c>
      <c r="E27" s="94" t="n">
        <f aca="false">C27-152000</f>
        <v>139127</v>
      </c>
      <c r="F27" s="361" t="n">
        <f aca="false">D27/$D$2</f>
        <v>320.141164608016</v>
      </c>
      <c r="G27" s="134" t="n">
        <v>318</v>
      </c>
      <c r="H27" s="134" t="n">
        <v>23</v>
      </c>
      <c r="I27" s="134" t="n">
        <f aca="false">G27+H27</f>
        <v>341</v>
      </c>
      <c r="J27" s="362" t="n">
        <f aca="false">IF(L27&gt;0,L27,0)</f>
        <v>125.931164608016</v>
      </c>
      <c r="K27" s="134" t="n">
        <f aca="false">I27+J27</f>
        <v>466.931164608016</v>
      </c>
      <c r="L27" s="134" t="n">
        <f aca="false">F27-(I27-AK27)</f>
        <v>125.931164608016</v>
      </c>
      <c r="M27" s="137" t="n">
        <v>98</v>
      </c>
      <c r="N27" s="155" t="n">
        <f aca="false">(1.8299*1.03)/2</f>
        <v>0.9423985</v>
      </c>
      <c r="O27" s="363" t="n">
        <f aca="false">(39+37)*1.05</f>
        <v>79.8</v>
      </c>
      <c r="P27" s="83" t="n">
        <v>0</v>
      </c>
      <c r="Q27" s="328" t="n">
        <f aca="false">1016700/325851/1.9835*1.02</f>
        <v>1.60450742944083</v>
      </c>
      <c r="R27" s="328" t="n">
        <f aca="false">(2344078/325851/1.9835-T27)*1.04</f>
        <v>2.54369078536012</v>
      </c>
      <c r="S27" s="131" t="n">
        <v>0</v>
      </c>
      <c r="T27" s="131" t="n">
        <f aca="false">1.1355*1.04</f>
        <v>1.18092</v>
      </c>
      <c r="U27" s="346" t="n">
        <v>0</v>
      </c>
      <c r="V27" s="134" t="n">
        <v>0</v>
      </c>
      <c r="W27" s="134" t="n">
        <v>0</v>
      </c>
      <c r="X27" s="135" t="n">
        <f aca="false">M27-N27-O27-P27-Q27-R27-S27-T27-U27+V27+W27-AT27</f>
        <v>10.7184832851991</v>
      </c>
      <c r="Y27" s="135" t="n">
        <f aca="false">X27-AO27</f>
        <v>10.7184832851991</v>
      </c>
      <c r="Z27" s="107" t="n">
        <f aca="false">Z26+AP27</f>
        <v>4916.6390365</v>
      </c>
      <c r="AA27" s="135"/>
      <c r="AB27" s="107" t="n">
        <f aca="false">AB26+(Y27+AP27)*1.9835</f>
        <v>9861.98396494746</v>
      </c>
      <c r="AC27" s="147" t="n">
        <f aca="false">AC26-(AQ26/1.9835)</f>
        <v>1700.78120568249</v>
      </c>
      <c r="AD27" s="97"/>
      <c r="AE27" s="134"/>
      <c r="AF27" s="137" t="n">
        <v>1.7</v>
      </c>
      <c r="AG27" s="138" t="n">
        <v>1.3</v>
      </c>
      <c r="AH27" s="134" t="n">
        <v>50</v>
      </c>
      <c r="AI27" s="80" t="n">
        <f aca="false">AI26-AH27</f>
        <v>15381.2578774893</v>
      </c>
      <c r="AJ27" s="80"/>
      <c r="AK27" s="134" t="n">
        <f aca="false">N27+O27+P27+Q27+R27+S27+T27+U27+X27+AE27+AH27</f>
        <v>146.79</v>
      </c>
      <c r="AL27" s="134" t="n">
        <f aca="false">IF(L27&lt;0,L27*-1,0)</f>
        <v>0</v>
      </c>
      <c r="AM27" s="363" t="n">
        <f aca="false">AK27+AL27</f>
        <v>146.79</v>
      </c>
      <c r="AN27" s="364" t="n">
        <f aca="false">AN26</f>
        <v>0</v>
      </c>
      <c r="AO27" s="97"/>
      <c r="AP27" s="147" t="n">
        <f aca="false">I27-Q27-R27-X27-AF27</f>
        <v>324.4333185</v>
      </c>
      <c r="AQ27" s="144" t="n">
        <f aca="false">34.18*(Z27*1.9835+AC27*1.9835)/E27</f>
        <v>3.22464238617674</v>
      </c>
      <c r="AR27" s="144"/>
      <c r="AS27" s="101"/>
      <c r="AT27" s="11" t="n">
        <v>1.21</v>
      </c>
      <c r="AU27" s="1"/>
      <c r="AV27" s="102" t="n">
        <v>0</v>
      </c>
      <c r="AW27" s="103" t="n">
        <v>60</v>
      </c>
      <c r="AX27" s="103" t="n">
        <v>31</v>
      </c>
      <c r="AY27" s="286"/>
      <c r="AZ27" s="242" t="n">
        <f aca="false">SUM(N27,P27:U27)</f>
        <v>6.27151671480095</v>
      </c>
    </row>
    <row r="28" customFormat="false" ht="12.95" hidden="false" customHeight="true" outlineLevel="0" collapsed="false">
      <c r="A28" s="10" t="n">
        <f aca="false">A27+1</f>
        <v>14</v>
      </c>
      <c r="B28" s="349" t="n">
        <v>6902.23</v>
      </c>
      <c r="C28" s="94" t="n">
        <v>291880</v>
      </c>
      <c r="D28" s="103" t="n">
        <f aca="false">C28-C27</f>
        <v>753</v>
      </c>
      <c r="E28" s="94" t="n">
        <f aca="false">C28-152000</f>
        <v>139880</v>
      </c>
      <c r="F28" s="361" t="n">
        <f aca="false">D28/$D$2</f>
        <v>379.631963700529</v>
      </c>
      <c r="G28" s="134" t="n">
        <v>372</v>
      </c>
      <c r="H28" s="134" t="n">
        <v>50</v>
      </c>
      <c r="I28" s="134" t="n">
        <f aca="false">G28+H28</f>
        <v>422</v>
      </c>
      <c r="J28" s="362" t="n">
        <f aca="false">IF(L28&gt;0,L28,0)</f>
        <v>93.8219637005293</v>
      </c>
      <c r="K28" s="134" t="n">
        <f aca="false">I28+J28</f>
        <v>515.821963700529</v>
      </c>
      <c r="L28" s="134" t="n">
        <f aca="false">F28-(I28-AK28)</f>
        <v>93.8219637005293</v>
      </c>
      <c r="M28" s="137" t="n">
        <v>87</v>
      </c>
      <c r="N28" s="155" t="n">
        <f aca="false">(1.8299*1.03)/2</f>
        <v>0.9423985</v>
      </c>
      <c r="O28" s="363" t="n">
        <f aca="false">(43+43)*1.05</f>
        <v>90.3</v>
      </c>
      <c r="P28" s="83" t="n">
        <v>0</v>
      </c>
      <c r="Q28" s="328" t="n">
        <f aca="false">901900/325851/1.9835*1.02</f>
        <v>1.42333554697815</v>
      </c>
      <c r="R28" s="328" t="n">
        <f aca="false">(2589762/325851/1.9835-T28)*1.04</f>
        <v>2.93902003727137</v>
      </c>
      <c r="S28" s="131" t="n">
        <v>0</v>
      </c>
      <c r="T28" s="131" t="n">
        <f aca="false">1.1355*1.04</f>
        <v>1.18092</v>
      </c>
      <c r="U28" s="346" t="n">
        <v>0</v>
      </c>
      <c r="V28" s="134" t="n">
        <v>0</v>
      </c>
      <c r="W28" s="134" t="n">
        <v>0</v>
      </c>
      <c r="X28" s="135" t="n">
        <f aca="false">M28-N28-O28-P28-Q28-R28-S28-T28-U28+V28+W28-AT28</f>
        <v>-10.5956740842495</v>
      </c>
      <c r="Y28" s="135" t="n">
        <f aca="false">X28-AO28</f>
        <v>-10.5956740842495</v>
      </c>
      <c r="Z28" s="107" t="n">
        <f aca="false">Z27+AP28</f>
        <v>5343.172355</v>
      </c>
      <c r="AA28" s="135"/>
      <c r="AB28" s="107" t="n">
        <f aca="false">AB27+(Y28+AP28)*1.9835</f>
        <v>10686.9962826461</v>
      </c>
      <c r="AC28" s="147" t="n">
        <f aca="false">AC27-(AQ27/1.9835)</f>
        <v>1699.15547218807</v>
      </c>
      <c r="AD28" s="97"/>
      <c r="AE28" s="134"/>
      <c r="AF28" s="137" t="n">
        <v>1.7</v>
      </c>
      <c r="AG28" s="138" t="n">
        <v>1.3</v>
      </c>
      <c r="AH28" s="134" t="n">
        <v>50</v>
      </c>
      <c r="AI28" s="80" t="n">
        <f aca="false">AI27-AH28</f>
        <v>15331.2578774893</v>
      </c>
      <c r="AJ28" s="80"/>
      <c r="AK28" s="134" t="n">
        <f aca="false">N28+O28+P28+Q28+R28+S28+T28+U28+X28+AE28+AH28</f>
        <v>136.19</v>
      </c>
      <c r="AL28" s="134" t="n">
        <f aca="false">IF(L28&lt;0,L28*-1,0)</f>
        <v>0</v>
      </c>
      <c r="AM28" s="363" t="n">
        <f aca="false">AK28+AL28</f>
        <v>136.19</v>
      </c>
      <c r="AN28" s="364" t="n">
        <f aca="false">AN27</f>
        <v>0</v>
      </c>
      <c r="AO28" s="97"/>
      <c r="AP28" s="147" t="n">
        <f aca="false">I28-Q28-R28-X28-AF28</f>
        <v>426.5333185</v>
      </c>
      <c r="AQ28" s="144" t="n">
        <f aca="false">34.18*(Z28*1.9835+AC28*1.9835)/E28</f>
        <v>3.41322468288445</v>
      </c>
      <c r="AR28" s="144"/>
      <c r="AS28" s="101"/>
      <c r="AT28" s="11" t="n">
        <v>0.81</v>
      </c>
      <c r="AU28" s="1"/>
      <c r="AV28" s="102" t="n">
        <v>0</v>
      </c>
      <c r="AW28" s="141" t="n">
        <v>50</v>
      </c>
      <c r="AX28" s="103" t="n">
        <v>32</v>
      </c>
      <c r="AY28" s="286"/>
      <c r="AZ28" s="242" t="n">
        <f aca="false">SUM(N28,P28:U28)</f>
        <v>6.48567408424952</v>
      </c>
    </row>
    <row r="29" customFormat="false" ht="12.95" hidden="false" customHeight="true" outlineLevel="0" collapsed="false">
      <c r="A29" s="10" t="n">
        <f aca="false">A28+1</f>
        <v>15</v>
      </c>
      <c r="B29" s="349" t="n">
        <v>6902.38</v>
      </c>
      <c r="C29" s="94" t="n">
        <v>292444</v>
      </c>
      <c r="D29" s="103" t="n">
        <f aca="false">C29-C28</f>
        <v>564</v>
      </c>
      <c r="E29" s="94" t="n">
        <f aca="false">C29-152000</f>
        <v>140444</v>
      </c>
      <c r="F29" s="361" t="n">
        <f aca="false">D29/$D$2</f>
        <v>284.34585328964</v>
      </c>
      <c r="G29" s="134" t="n">
        <v>332</v>
      </c>
      <c r="H29" s="134" t="n">
        <v>30</v>
      </c>
      <c r="I29" s="134" t="n">
        <f aca="false">G29+H29</f>
        <v>362</v>
      </c>
      <c r="J29" s="362" t="n">
        <f aca="false">IF(L29&gt;0,L29,0)</f>
        <v>62.3458532896395</v>
      </c>
      <c r="K29" s="134" t="n">
        <f aca="false">I29+J29</f>
        <v>424.34585328964</v>
      </c>
      <c r="L29" s="134" t="n">
        <f aca="false">F29-(I29-AK29)</f>
        <v>62.3458532896395</v>
      </c>
      <c r="M29" s="137" t="n">
        <v>90</v>
      </c>
      <c r="N29" s="155" t="n">
        <f aca="false">(1.8299*1.03)/2</f>
        <v>0.9423985</v>
      </c>
      <c r="O29" s="363" t="n">
        <f aca="false">(41+44)*1.05</f>
        <v>89.25</v>
      </c>
      <c r="P29" s="83" t="n">
        <v>0</v>
      </c>
      <c r="Q29" s="328" t="n">
        <f aca="false">994900/325851/1.9835*1.02</f>
        <v>1.57010370960035</v>
      </c>
      <c r="R29" s="328" t="n">
        <f aca="false">(2360507/325851/1.9835-T29)*1.04</f>
        <v>2.51063863091641</v>
      </c>
      <c r="S29" s="131" t="n">
        <v>0</v>
      </c>
      <c r="T29" s="131" t="n">
        <f aca="false">1.1905*1.04</f>
        <v>1.23812</v>
      </c>
      <c r="U29" s="346" t="n">
        <v>0</v>
      </c>
      <c r="V29" s="134" t="n">
        <v>0</v>
      </c>
      <c r="W29" s="134" t="n">
        <v>0</v>
      </c>
      <c r="X29" s="135" t="n">
        <f aca="false">M29-N29-O29-P29-Q29-R29-S29-T29-U29+V29+W29-AT29</f>
        <v>-5.51126084051676</v>
      </c>
      <c r="Y29" s="135" t="n">
        <f aca="false">X29-AO29</f>
        <v>-5.51126084051676</v>
      </c>
      <c r="Z29" s="107" t="n">
        <f aca="false">Z28+AP29</f>
        <v>5704.9028735</v>
      </c>
      <c r="AA29" s="135"/>
      <c r="AB29" s="107" t="n">
        <f aca="false">AB28+(Y29+AP29)*1.9835</f>
        <v>11393.5571802137</v>
      </c>
      <c r="AC29" s="147" t="n">
        <f aca="false">AC28-(AQ28/1.9835)</f>
        <v>1697.43466317225</v>
      </c>
      <c r="AD29" s="97"/>
      <c r="AE29" s="134"/>
      <c r="AF29" s="137" t="n">
        <v>1.7</v>
      </c>
      <c r="AG29" s="138" t="n">
        <v>1.3</v>
      </c>
      <c r="AH29" s="134" t="n">
        <v>50</v>
      </c>
      <c r="AI29" s="80" t="n">
        <f aca="false">AI28-AH29</f>
        <v>15281.2578774893</v>
      </c>
      <c r="AJ29" s="80"/>
      <c r="AK29" s="134" t="n">
        <f aca="false">N29+O29+P29+Q29+R29+S29+T29+U29+X29+AE29+AH29</f>
        <v>140</v>
      </c>
      <c r="AL29" s="134" t="n">
        <f aca="false">IF(L29&lt;0,L29*-1,0)</f>
        <v>0</v>
      </c>
      <c r="AM29" s="363" t="n">
        <f aca="false">AK29+AL29</f>
        <v>140</v>
      </c>
      <c r="AN29" s="364" t="n">
        <f aca="false">AN28</f>
        <v>0</v>
      </c>
      <c r="AO29" s="97"/>
      <c r="AP29" s="147" t="n">
        <f aca="false">I29-Q29-R29-X29-AF29</f>
        <v>361.7305185</v>
      </c>
      <c r="AQ29" s="144" t="n">
        <f aca="false">34.18*(Z29*1.9835+AC29*1.9835)/E29</f>
        <v>3.57330393399759</v>
      </c>
      <c r="AR29" s="144"/>
      <c r="AS29" s="101"/>
      <c r="AT29" s="11" t="n">
        <v>0</v>
      </c>
      <c r="AU29" s="1"/>
      <c r="AV29" s="102" t="n">
        <v>0</v>
      </c>
      <c r="AW29" s="141" t="n">
        <v>56</v>
      </c>
      <c r="AX29" s="103" t="n">
        <v>29</v>
      </c>
      <c r="AY29" s="286"/>
      <c r="AZ29" s="242" t="n">
        <f aca="false">SUM(N29,P29:U29)</f>
        <v>6.26126084051676</v>
      </c>
    </row>
    <row r="30" customFormat="false" ht="12.95" hidden="false" customHeight="true" outlineLevel="0" collapsed="false">
      <c r="A30" s="10" t="n">
        <f aca="false">A29+1</f>
        <v>16</v>
      </c>
      <c r="B30" s="349" t="n">
        <v>6902.6</v>
      </c>
      <c r="C30" s="94" t="n">
        <v>293272</v>
      </c>
      <c r="D30" s="103" t="n">
        <f aca="false">C30-C29</f>
        <v>828</v>
      </c>
      <c r="E30" s="94" t="n">
        <f aca="false">C30-152000</f>
        <v>141272</v>
      </c>
      <c r="F30" s="361" t="n">
        <f aca="false">D30/$D$2</f>
        <v>417.443912276279</v>
      </c>
      <c r="G30" s="134" t="n">
        <v>379</v>
      </c>
      <c r="H30" s="134" t="n">
        <v>34</v>
      </c>
      <c r="I30" s="134" t="n">
        <f aca="false">G30+H30</f>
        <v>413</v>
      </c>
      <c r="J30" s="362" t="n">
        <f aca="false">IF(L30&gt;0,L30,0)</f>
        <v>115.443912276279</v>
      </c>
      <c r="K30" s="134" t="n">
        <f aca="false">I30+J30</f>
        <v>528.443912276279</v>
      </c>
      <c r="L30" s="134" t="n">
        <f aca="false">F30-(I30-AK30)</f>
        <v>115.443912276279</v>
      </c>
      <c r="M30" s="137" t="n">
        <v>61</v>
      </c>
      <c r="N30" s="155" t="n">
        <f aca="false">(1.8299*1.03)/2</f>
        <v>0.9423985</v>
      </c>
      <c r="O30" s="363" t="n">
        <f aca="false">(31+29)*1.05</f>
        <v>63</v>
      </c>
      <c r="P30" s="83" t="n">
        <v>0</v>
      </c>
      <c r="Q30" s="328" t="n">
        <f aca="false">1313700/325851/1.9835*1.02</f>
        <v>2.07321865846013</v>
      </c>
      <c r="R30" s="328" t="n">
        <f aca="false">(2478286/325851/1.9835-T30)*1.04</f>
        <v>2.70015640155208</v>
      </c>
      <c r="S30" s="131" t="n">
        <v>0</v>
      </c>
      <c r="T30" s="131" t="n">
        <f aca="false">1.1905*1.04</f>
        <v>1.23812</v>
      </c>
      <c r="U30" s="346" t="n">
        <v>0</v>
      </c>
      <c r="V30" s="134" t="n">
        <v>0</v>
      </c>
      <c r="W30" s="134" t="n">
        <v>0</v>
      </c>
      <c r="X30" s="135" t="n">
        <f aca="false">M30-N30-O30-P30-Q30-R30-S30-T30-U30+V30+W30-AT30</f>
        <v>-8.95389356001222</v>
      </c>
      <c r="Y30" s="135" t="n">
        <f aca="false">X30-AO30</f>
        <v>-8.95389356001222</v>
      </c>
      <c r="Z30" s="107" t="n">
        <f aca="false">Z29+AP30</f>
        <v>6120.383392</v>
      </c>
      <c r="AA30" s="135"/>
      <c r="AB30" s="107" t="n">
        <f aca="false">AB29+(Y30+AP30)*1.9835</f>
        <v>12199.9027407822</v>
      </c>
      <c r="AC30" s="147" t="n">
        <f aca="false">AC29-(AQ29/1.9835)</f>
        <v>1695.63314871094</v>
      </c>
      <c r="AD30" s="97"/>
      <c r="AE30" s="134"/>
      <c r="AF30" s="137" t="n">
        <v>1.7</v>
      </c>
      <c r="AG30" s="138" t="n">
        <v>1.3</v>
      </c>
      <c r="AH30" s="134" t="n">
        <v>50</v>
      </c>
      <c r="AI30" s="80" t="n">
        <f aca="false">AI29-AH30</f>
        <v>15231.2578774893</v>
      </c>
      <c r="AJ30" s="80"/>
      <c r="AK30" s="134" t="n">
        <f aca="false">N30+O30+P30+Q30+R30+S30+T30+U30+X30+AE30+AH30</f>
        <v>111</v>
      </c>
      <c r="AL30" s="134" t="n">
        <f aca="false">IF(L30&lt;0,L30*-1,0)</f>
        <v>0</v>
      </c>
      <c r="AM30" s="363" t="n">
        <f aca="false">AK30+AL30</f>
        <v>111</v>
      </c>
      <c r="AN30" s="364" t="n">
        <f aca="false">AN29</f>
        <v>0</v>
      </c>
      <c r="AO30" s="97"/>
      <c r="AP30" s="147" t="n">
        <f aca="false">I30-Q30-R30-X30-AF30</f>
        <v>415.4805185</v>
      </c>
      <c r="AQ30" s="144" t="n">
        <f aca="false">34.18*(Z30*1.9835+AC30*1.9835)/E30</f>
        <v>3.75088405256905</v>
      </c>
      <c r="AR30" s="144"/>
      <c r="AS30" s="101"/>
      <c r="AT30" s="11" t="n">
        <v>0</v>
      </c>
      <c r="AU30" s="1"/>
      <c r="AV30" s="102" t="n">
        <v>0</v>
      </c>
      <c r="AW30" s="141" t="n">
        <v>64</v>
      </c>
      <c r="AX30" s="103" t="n">
        <v>32</v>
      </c>
      <c r="AY30" s="286"/>
      <c r="AZ30" s="242" t="n">
        <f aca="false">SUM(N30,P30:U30)</f>
        <v>6.95389356001221</v>
      </c>
    </row>
    <row r="31" customFormat="false" ht="12.95" hidden="false" customHeight="true" outlineLevel="0" collapsed="false">
      <c r="A31" s="10" t="n">
        <f aca="false">A30+1</f>
        <v>17</v>
      </c>
      <c r="B31" s="349" t="n">
        <v>6902.91</v>
      </c>
      <c r="C31" s="94" t="n">
        <v>294439</v>
      </c>
      <c r="D31" s="103" t="n">
        <f aca="false">C31-C30</f>
        <v>1167</v>
      </c>
      <c r="E31" s="94" t="n">
        <f aca="false">C31-152000</f>
        <v>142439</v>
      </c>
      <c r="F31" s="361" t="n">
        <f aca="false">D31/$D$2</f>
        <v>588.353919838669</v>
      </c>
      <c r="G31" s="134" t="n">
        <v>528</v>
      </c>
      <c r="H31" s="134" t="n">
        <v>75</v>
      </c>
      <c r="I31" s="134" t="n">
        <f aca="false">G31+H31</f>
        <v>603</v>
      </c>
      <c r="J31" s="362" t="n">
        <f aca="false">IF(L31&gt;0,L31,0)</f>
        <v>78.353919838669</v>
      </c>
      <c r="K31" s="134" t="n">
        <f aca="false">I31+J31</f>
        <v>681.353919838669</v>
      </c>
      <c r="L31" s="134" t="n">
        <f aca="false">F31-(I31-AK31)</f>
        <v>78.353919838669</v>
      </c>
      <c r="M31" s="137" t="n">
        <v>43</v>
      </c>
      <c r="N31" s="155" t="n">
        <f aca="false">(1.8299*1.03)/2</f>
        <v>0.9423985</v>
      </c>
      <c r="O31" s="363" t="n">
        <f aca="false">(21+20)*1.05</f>
        <v>43.05</v>
      </c>
      <c r="P31" s="83" t="n">
        <v>0</v>
      </c>
      <c r="Q31" s="328" t="n">
        <f aca="false">1309700/325851/1.9835*1.02</f>
        <v>2.06690604931509</v>
      </c>
      <c r="R31" s="328" t="n">
        <f aca="false">(2975610/325851/1.9835-T31)*1.04</f>
        <v>3.50039868382325</v>
      </c>
      <c r="S31" s="131" t="n">
        <v>0</v>
      </c>
      <c r="T31" s="131" t="n">
        <f aca="false">1.1905*1.04</f>
        <v>1.23812</v>
      </c>
      <c r="U31" s="346" t="n">
        <v>0</v>
      </c>
      <c r="V31" s="134" t="n">
        <v>0</v>
      </c>
      <c r="W31" s="134" t="n">
        <v>0</v>
      </c>
      <c r="X31" s="135" t="n">
        <f aca="false">M31-N31-O31-P31-Q31-R31-S31-T31-U31+V31+W31-AT31</f>
        <v>-7.79782323313835</v>
      </c>
      <c r="Y31" s="135" t="n">
        <f aca="false">X31-AO31</f>
        <v>-7.79782323313835</v>
      </c>
      <c r="Z31" s="107" t="n">
        <f aca="false">Z30+AP31</f>
        <v>6723.9139105</v>
      </c>
      <c r="AA31" s="135"/>
      <c r="AB31" s="107" t="n">
        <f aca="false">AB30+(Y31+AP31)*1.9835</f>
        <v>13381.538541844</v>
      </c>
      <c r="AC31" s="147" t="n">
        <f aca="false">AC30-(AQ30/1.9835)</f>
        <v>1693.74210557882</v>
      </c>
      <c r="AD31" s="97"/>
      <c r="AE31" s="134"/>
      <c r="AF31" s="137" t="n">
        <v>1.7</v>
      </c>
      <c r="AG31" s="138" t="n">
        <v>1.3</v>
      </c>
      <c r="AH31" s="134" t="n">
        <v>50</v>
      </c>
      <c r="AI31" s="80" t="n">
        <f aca="false">AI30-AH31</f>
        <v>15181.2578774893</v>
      </c>
      <c r="AJ31" s="80"/>
      <c r="AK31" s="134" t="n">
        <f aca="false">N31+O31+P31+Q31+R31+S31+T31+U31+X31+AE31+AH31</f>
        <v>93</v>
      </c>
      <c r="AL31" s="134" t="n">
        <f aca="false">IF(L31&lt;0,L31*-1,0)</f>
        <v>0</v>
      </c>
      <c r="AM31" s="363" t="n">
        <f aca="false">AK31+AL31</f>
        <v>93</v>
      </c>
      <c r="AN31" s="364" t="n">
        <f aca="false">AN30</f>
        <v>0</v>
      </c>
      <c r="AO31" s="97"/>
      <c r="AP31" s="147" t="n">
        <f aca="false">I31-Q31-R31-X31-AF31</f>
        <v>603.5305185</v>
      </c>
      <c r="AQ31" s="144" t="n">
        <f aca="false">34.18*(Z31*1.9835+AC31*1.9835)/E31</f>
        <v>4.00651268118816</v>
      </c>
      <c r="AR31" s="144"/>
      <c r="AS31" s="101"/>
      <c r="AT31" s="11" t="n">
        <v>0</v>
      </c>
      <c r="AU31" s="1"/>
      <c r="AV31" s="102" t="n">
        <v>0</v>
      </c>
      <c r="AW31" s="141" t="n">
        <v>69</v>
      </c>
      <c r="AX31" s="103" t="n">
        <v>37</v>
      </c>
      <c r="AY31" s="286"/>
      <c r="AZ31" s="242" t="n">
        <f aca="false">SUM(N31,P31:U31)</f>
        <v>7.74782323313834</v>
      </c>
    </row>
    <row r="32" customFormat="false" ht="12.95" hidden="false" customHeight="true" outlineLevel="0" collapsed="false">
      <c r="A32" s="10" t="n">
        <f aca="false">A31+1</f>
        <v>18</v>
      </c>
      <c r="B32" s="349" t="n">
        <v>6903.4</v>
      </c>
      <c r="C32" s="94" t="n">
        <v>296295</v>
      </c>
      <c r="D32" s="103" t="n">
        <f aca="false">C32-C31</f>
        <v>1856</v>
      </c>
      <c r="E32" s="94" t="n">
        <f aca="false">C32-152000</f>
        <v>144295</v>
      </c>
      <c r="F32" s="361" t="n">
        <f aca="false">D32/$D$2</f>
        <v>935.719687421225</v>
      </c>
      <c r="G32" s="134" t="n">
        <v>719</v>
      </c>
      <c r="H32" s="134" t="n">
        <v>126</v>
      </c>
      <c r="I32" s="134" t="n">
        <f aca="false">G32+H32</f>
        <v>845</v>
      </c>
      <c r="J32" s="362" t="n">
        <f aca="false">IF(L32&gt;0,L32,0)</f>
        <v>197.719687421225</v>
      </c>
      <c r="K32" s="134" t="n">
        <f aca="false">I32+J32</f>
        <v>1042.71968742123</v>
      </c>
      <c r="L32" s="134" t="n">
        <f aca="false">F32-(I32-AK32)</f>
        <v>197.719687421225</v>
      </c>
      <c r="M32" s="137" t="n">
        <v>57</v>
      </c>
      <c r="N32" s="155" t="n">
        <f aca="false">(1.8299*1.03)/2</f>
        <v>0.9423985</v>
      </c>
      <c r="O32" s="363" t="n">
        <f aca="false">(20+20)*1.05</f>
        <v>42</v>
      </c>
      <c r="P32" s="83" t="n">
        <v>0</v>
      </c>
      <c r="Q32" s="328" t="n">
        <f aca="false">1006900/325851/1.9835*1.02</f>
        <v>1.58904153703548</v>
      </c>
      <c r="R32" s="328" t="n">
        <f aca="false">(2726819/325851/1.9835-T32)*1.04</f>
        <v>3.10006996924578</v>
      </c>
      <c r="S32" s="131" t="n">
        <v>0</v>
      </c>
      <c r="T32" s="131" t="n">
        <f aca="false">1.1905*1.04</f>
        <v>1.23812</v>
      </c>
      <c r="U32" s="346" t="n">
        <v>0</v>
      </c>
      <c r="V32" s="134" t="n">
        <v>0</v>
      </c>
      <c r="W32" s="134" t="n">
        <v>0</v>
      </c>
      <c r="X32" s="135" t="n">
        <f aca="false">M32-N32-O32-P32-Q32-R32-S32-T32-U32+V32+W32-AT32</f>
        <v>8.13036999371874</v>
      </c>
      <c r="Y32" s="135" t="n">
        <f aca="false">X32-AO32</f>
        <v>8.13036999371874</v>
      </c>
      <c r="Z32" s="107" t="n">
        <f aca="false">Z31+AP32</f>
        <v>7510.78354050628</v>
      </c>
      <c r="AA32" s="135"/>
      <c r="AB32" s="107" t="n">
        <f aca="false">AB31+(Y32+AP32)*1.9835</f>
        <v>14958.421041844</v>
      </c>
      <c r="AC32" s="147" t="n">
        <f aca="false">AC31-(AQ31/1.9835)</f>
        <v>1691.72218489256</v>
      </c>
      <c r="AD32" s="97"/>
      <c r="AE32" s="134"/>
      <c r="AF32" s="137" t="n">
        <v>1.7</v>
      </c>
      <c r="AG32" s="138" t="n">
        <v>1.3</v>
      </c>
      <c r="AH32" s="134" t="n">
        <v>50</v>
      </c>
      <c r="AI32" s="80" t="n">
        <f aca="false">AI31-AH32</f>
        <v>15131.2578774893</v>
      </c>
      <c r="AJ32" s="80"/>
      <c r="AK32" s="134" t="n">
        <f aca="false">N32+O32+P32+Q32+R32+S32+T32+U32+X32+AE32+AH32</f>
        <v>107</v>
      </c>
      <c r="AL32" s="134" t="n">
        <f aca="false">IF(L32&lt;0,L32*-1,0)</f>
        <v>0</v>
      </c>
      <c r="AM32" s="363" t="n">
        <f aca="false">AK32+AL32</f>
        <v>107</v>
      </c>
      <c r="AN32" s="364" t="n">
        <f aca="false">AN31</f>
        <v>0</v>
      </c>
      <c r="AO32" s="97"/>
      <c r="AP32" s="147" t="n">
        <f aca="false">795-Y32</f>
        <v>786.869630006281</v>
      </c>
      <c r="AQ32" s="144" t="n">
        <f aca="false">34.18*(Z32*1.9835+AC32*1.9835)/E32</f>
        <v>4.3237350859996</v>
      </c>
      <c r="AR32" s="144"/>
      <c r="AS32" s="101"/>
      <c r="AT32" s="11" t="n">
        <v>0</v>
      </c>
      <c r="AU32" s="1"/>
      <c r="AV32" s="102" t="n">
        <v>0</v>
      </c>
      <c r="AW32" s="141" t="n">
        <v>64</v>
      </c>
      <c r="AX32" s="103" t="n">
        <v>38</v>
      </c>
      <c r="AY32" s="286"/>
      <c r="AZ32" s="242" t="n">
        <f aca="false">SUM(N32,P32:U32)</f>
        <v>6.86963000628126</v>
      </c>
    </row>
    <row r="33" customFormat="false" ht="12.95" hidden="false" customHeight="true" outlineLevel="0" collapsed="false">
      <c r="A33" s="10" t="n">
        <f aca="false">A32+1</f>
        <v>19</v>
      </c>
      <c r="B33" s="349" t="n">
        <v>6903.93</v>
      </c>
      <c r="C33" s="94" t="n">
        <v>298306</v>
      </c>
      <c r="D33" s="103" t="n">
        <f aca="false">C33-C32</f>
        <v>2011</v>
      </c>
      <c r="E33" s="94" t="n">
        <f aca="false">C33-152000</f>
        <v>146306</v>
      </c>
      <c r="F33" s="361" t="n">
        <f aca="false">D33/$D$2</f>
        <v>1013.86438114444</v>
      </c>
      <c r="G33" s="134" t="n">
        <v>822</v>
      </c>
      <c r="H33" s="134" t="n">
        <v>130</v>
      </c>
      <c r="I33" s="134" t="n">
        <f aca="false">G33+H33</f>
        <v>952</v>
      </c>
      <c r="J33" s="362" t="n">
        <f aca="false">IF(L33&gt;0,L33,0)</f>
        <v>206.864381144442</v>
      </c>
      <c r="K33" s="134" t="n">
        <f aca="false">I33+J33</f>
        <v>1158.86438114444</v>
      </c>
      <c r="L33" s="134" t="n">
        <f aca="false">F33-(I33-AK33)</f>
        <v>206.864381144442</v>
      </c>
      <c r="M33" s="137" t="n">
        <v>95</v>
      </c>
      <c r="N33" s="155" t="n">
        <f aca="false">(1.8299*1.03)/2</f>
        <v>0.9423985</v>
      </c>
      <c r="O33" s="363" t="n">
        <f aca="false">(33+32)*1.05</f>
        <v>68.25</v>
      </c>
      <c r="P33" s="83" t="n">
        <v>0</v>
      </c>
      <c r="Q33" s="328" t="n">
        <f aca="false">900100/325851/1.9835*1.02</f>
        <v>1.42049487286288</v>
      </c>
      <c r="R33" s="328" t="n">
        <f aca="false">(2459930/325851/1.9835-T33)*1.04</f>
        <v>2.67061982713908</v>
      </c>
      <c r="S33" s="131" t="n">
        <v>0</v>
      </c>
      <c r="T33" s="131" t="n">
        <f aca="false">1.1905*1.04</f>
        <v>1.23812</v>
      </c>
      <c r="U33" s="346" t="n">
        <v>0</v>
      </c>
      <c r="V33" s="134" t="n">
        <v>0</v>
      </c>
      <c r="W33" s="134" t="n">
        <v>0</v>
      </c>
      <c r="X33" s="135" t="n">
        <f aca="false">M33-N33-O33-P33-Q33-R33-S33-T33-U33+V33+W33-AT33</f>
        <v>20.478366799998</v>
      </c>
      <c r="Y33" s="135" t="n">
        <f aca="false">X33-AO33</f>
        <v>20.478366799998</v>
      </c>
      <c r="Z33" s="107" t="n">
        <f aca="false">Z32+AP33</f>
        <v>8285.30517370628</v>
      </c>
      <c r="AA33" s="135"/>
      <c r="AB33" s="107" t="n">
        <f aca="false">AB32+(Y33+AP33)*1.9835</f>
        <v>16535.303541844</v>
      </c>
      <c r="AC33" s="147" t="n">
        <f aca="false">AC32-(AQ32/1.9835)</f>
        <v>1689.5423335762</v>
      </c>
      <c r="AD33" s="97"/>
      <c r="AE33" s="134"/>
      <c r="AF33" s="137" t="n">
        <v>1.7</v>
      </c>
      <c r="AG33" s="138" t="n">
        <v>1.3</v>
      </c>
      <c r="AH33" s="134" t="n">
        <v>50</v>
      </c>
      <c r="AI33" s="80" t="n">
        <f aca="false">AI32-AH33</f>
        <v>15081.2578774893</v>
      </c>
      <c r="AJ33" s="80"/>
      <c r="AK33" s="134" t="n">
        <f aca="false">N33+O33+P33+Q33+R33+S33+T33+U33+X33+AE33+AH33</f>
        <v>145</v>
      </c>
      <c r="AL33" s="134" t="n">
        <f aca="false">IF(L33&lt;0,L33*-1,0)</f>
        <v>0</v>
      </c>
      <c r="AM33" s="363" t="n">
        <f aca="false">AK33+AL33</f>
        <v>145</v>
      </c>
      <c r="AN33" s="364" t="n">
        <f aca="false">AN32+(V33*1.9835)</f>
        <v>0</v>
      </c>
      <c r="AO33" s="97"/>
      <c r="AP33" s="147" t="n">
        <f aca="false">795-Y33</f>
        <v>774.521633200002</v>
      </c>
      <c r="AQ33" s="144" t="n">
        <f aca="false">34.18*(Z33*1.9835+AC33*1.9835)/E33</f>
        <v>4.62219636138742</v>
      </c>
      <c r="AR33" s="144"/>
      <c r="AS33" s="101"/>
      <c r="AT33" s="11" t="n">
        <v>0</v>
      </c>
      <c r="AU33" s="1"/>
      <c r="AV33" s="102" t="n">
        <v>0.09</v>
      </c>
      <c r="AW33" s="141" t="n">
        <v>60</v>
      </c>
      <c r="AX33" s="103" t="n">
        <v>35</v>
      </c>
      <c r="AY33" s="286"/>
      <c r="AZ33" s="242" t="n">
        <f aca="false">SUM(N33,P33:U33)</f>
        <v>6.27163320000196</v>
      </c>
    </row>
    <row r="34" customFormat="false" ht="12.95" hidden="false" customHeight="true" outlineLevel="0" collapsed="false">
      <c r="A34" s="10" t="n">
        <f aca="false">A33+1</f>
        <v>20</v>
      </c>
      <c r="B34" s="349" t="n">
        <v>6904.4</v>
      </c>
      <c r="C34" s="94" t="n">
        <v>300101</v>
      </c>
      <c r="D34" s="103" t="n">
        <f aca="false">C34-C33</f>
        <v>1795</v>
      </c>
      <c r="E34" s="94" t="n">
        <f aca="false">C34-152000</f>
        <v>148101</v>
      </c>
      <c r="F34" s="361" t="n">
        <f aca="false">D34/$D$2</f>
        <v>904.965969246282</v>
      </c>
      <c r="G34" s="134" t="n">
        <v>721</v>
      </c>
      <c r="H34" s="134" t="n">
        <v>111</v>
      </c>
      <c r="I34" s="134" t="n">
        <f aca="false">G34+H34</f>
        <v>832</v>
      </c>
      <c r="J34" s="362" t="n">
        <f aca="false">IF(L34&gt;0,L34,0)</f>
        <v>250.965969246282</v>
      </c>
      <c r="K34" s="134" t="n">
        <f aca="false">I34+J34</f>
        <v>1082.96596924628</v>
      </c>
      <c r="L34" s="134" t="n">
        <f aca="false">F34-(I34-AK34)</f>
        <v>250.965969246282</v>
      </c>
      <c r="M34" s="137" t="n">
        <v>102</v>
      </c>
      <c r="N34" s="155" t="n">
        <f aca="false">(1.8299*1.03)/2</f>
        <v>0.9423985</v>
      </c>
      <c r="O34" s="363" t="n">
        <f aca="false">(43+43)*1.05</f>
        <v>90.3</v>
      </c>
      <c r="P34" s="83" t="n">
        <v>0</v>
      </c>
      <c r="Q34" s="328" t="n">
        <f aca="false">1216200/325851/1.9835*1.02</f>
        <v>1.91934881054975</v>
      </c>
      <c r="R34" s="328" t="n">
        <f aca="false">(2603742/325851/1.9835-T34)*1.04</f>
        <v>2.9020272056247</v>
      </c>
      <c r="S34" s="131" t="n">
        <v>0</v>
      </c>
      <c r="T34" s="131" t="n">
        <f aca="false">1.1905*1.04</f>
        <v>1.23812</v>
      </c>
      <c r="U34" s="346" t="n">
        <v>0</v>
      </c>
      <c r="V34" s="134" t="n">
        <v>0</v>
      </c>
      <c r="W34" s="134" t="n">
        <v>0</v>
      </c>
      <c r="X34" s="135" t="n">
        <f aca="false">M34-N34-O34-P34-Q34-R34-S34-T34-U34+V34+W34-AT34</f>
        <v>4.69810548382555</v>
      </c>
      <c r="Y34" s="135" t="n">
        <f aca="false">X34-AO34</f>
        <v>4.69810548382555</v>
      </c>
      <c r="Z34" s="107" t="n">
        <f aca="false">Z33+AP34</f>
        <v>9075.60706822246</v>
      </c>
      <c r="AA34" s="135"/>
      <c r="AB34" s="107" t="n">
        <f aca="false">AB33+(Y34+AP34)*1.9835</f>
        <v>18112.186041844</v>
      </c>
      <c r="AC34" s="147" t="n">
        <f aca="false">AC33-(AQ33/1.9835)</f>
        <v>1687.21201022788</v>
      </c>
      <c r="AD34" s="97"/>
      <c r="AE34" s="134" t="n">
        <v>26</v>
      </c>
      <c r="AF34" s="137" t="n">
        <v>1.7</v>
      </c>
      <c r="AG34" s="138" t="n">
        <v>1.3</v>
      </c>
      <c r="AH34" s="134" t="n">
        <v>50</v>
      </c>
      <c r="AI34" s="80" t="n">
        <f aca="false">AI33-AH34</f>
        <v>15031.2578774893</v>
      </c>
      <c r="AJ34" s="80"/>
      <c r="AK34" s="134" t="n">
        <f aca="false">N34+O34+P34+Q34+R34+S34+T34+U34+X34+AE34+AH34</f>
        <v>178</v>
      </c>
      <c r="AL34" s="134" t="n">
        <f aca="false">IF(L34&lt;0,L34*-1,0)</f>
        <v>0</v>
      </c>
      <c r="AM34" s="363" t="n">
        <f aca="false">AK34+AL34</f>
        <v>178</v>
      </c>
      <c r="AN34" s="364" t="n">
        <f aca="false">AN33+(V34*1.9835)</f>
        <v>0</v>
      </c>
      <c r="AO34" s="97"/>
      <c r="AP34" s="147" t="n">
        <f aca="false">795-Y34</f>
        <v>790.301894516175</v>
      </c>
      <c r="AQ34" s="144" t="n">
        <f aca="false">34.18*(Z34*1.9835+AC34*1.9835)/E34</f>
        <v>4.92688371535095</v>
      </c>
      <c r="AR34" s="144"/>
      <c r="AS34" s="101"/>
      <c r="AT34" s="11" t="n">
        <v>0</v>
      </c>
      <c r="AU34" s="1"/>
      <c r="AV34" s="102" t="n">
        <v>0</v>
      </c>
      <c r="AW34" s="141" t="n">
        <v>66</v>
      </c>
      <c r="AX34" s="103" t="n">
        <v>42</v>
      </c>
      <c r="AY34" s="286"/>
      <c r="AZ34" s="242" t="n">
        <f aca="false">SUM(N34,P34:U34)</f>
        <v>7.00189451617446</v>
      </c>
    </row>
    <row r="35" customFormat="false" ht="12.95" hidden="false" customHeight="true" outlineLevel="0" collapsed="false">
      <c r="A35" s="10" t="n">
        <f aca="false">A34+1</f>
        <v>21</v>
      </c>
      <c r="B35" s="349" t="n">
        <v>6904.9</v>
      </c>
      <c r="C35" s="94" t="n">
        <v>302013</v>
      </c>
      <c r="D35" s="103" t="n">
        <f aca="false">C35-C34</f>
        <v>1912</v>
      </c>
      <c r="E35" s="94" t="n">
        <f aca="false">C35-152000</f>
        <v>150013</v>
      </c>
      <c r="F35" s="361" t="n">
        <f aca="false">D35/$D$2</f>
        <v>963.952609024452</v>
      </c>
      <c r="G35" s="134" t="n">
        <v>800</v>
      </c>
      <c r="H35" s="134" t="n">
        <v>139</v>
      </c>
      <c r="I35" s="134" t="n">
        <f aca="false">G35+H35</f>
        <v>939</v>
      </c>
      <c r="J35" s="362" t="n">
        <f aca="false">IF(L35&gt;0,L35,0)</f>
        <v>232.952609024452</v>
      </c>
      <c r="K35" s="134" t="n">
        <f aca="false">I35+J35</f>
        <v>1171.95260902445</v>
      </c>
      <c r="L35" s="134" t="n">
        <f aca="false">F35-(I35-AK35)</f>
        <v>232.952609024452</v>
      </c>
      <c r="M35" s="137" t="n">
        <v>113</v>
      </c>
      <c r="N35" s="155" t="n">
        <f aca="false">(1.8299*1.03)/2</f>
        <v>0.9423985</v>
      </c>
      <c r="O35" s="363" t="n">
        <f aca="false">(42+42)*1.05</f>
        <v>88.2</v>
      </c>
      <c r="P35" s="83" t="n">
        <v>0</v>
      </c>
      <c r="Q35" s="328" t="n">
        <f aca="false">944700/325851/1.9835*1.02</f>
        <v>1.49088046483009</v>
      </c>
      <c r="R35" s="328" t="n">
        <f aca="false">(3281152/325851/1.9835-T35)*1.04</f>
        <v>3.99204523096294</v>
      </c>
      <c r="S35" s="131" t="n">
        <v>0</v>
      </c>
      <c r="T35" s="131" t="n">
        <f aca="false">1.1905*1.04</f>
        <v>1.23812</v>
      </c>
      <c r="U35" s="346" t="n">
        <v>0</v>
      </c>
      <c r="V35" s="134" t="n">
        <v>0</v>
      </c>
      <c r="W35" s="134" t="n">
        <v>0</v>
      </c>
      <c r="X35" s="135" t="n">
        <f aca="false">M35-N35-O35-P35-Q35-R35-S35-T35-U35+V35+W35-AT35</f>
        <v>17.136555804207</v>
      </c>
      <c r="Y35" s="135" t="n">
        <f aca="false">X35-AO35</f>
        <v>17.136555804207</v>
      </c>
      <c r="Z35" s="107" t="n">
        <f aca="false">Z34+AP35</f>
        <v>9853.47051241825</v>
      </c>
      <c r="AA35" s="135"/>
      <c r="AB35" s="107" t="n">
        <f aca="false">AB34+(Y35+AP35)*1.9835</f>
        <v>19689.068541844</v>
      </c>
      <c r="AC35" s="147" t="n">
        <f aca="false">AC34-(AQ34/1.9835)</f>
        <v>1684.7280759121</v>
      </c>
      <c r="AD35" s="97"/>
      <c r="AE35" s="134" t="n">
        <v>44</v>
      </c>
      <c r="AF35" s="137" t="n">
        <v>1.7</v>
      </c>
      <c r="AG35" s="138" t="n">
        <v>1.3</v>
      </c>
      <c r="AH35" s="134" t="n">
        <v>51</v>
      </c>
      <c r="AI35" s="80" t="n">
        <f aca="false">AI34-AH35</f>
        <v>14980.2578774893</v>
      </c>
      <c r="AJ35" s="80"/>
      <c r="AK35" s="134" t="n">
        <f aca="false">N35+O35+P35+Q35+R35+S35+T35+U35+X35+AE35+AH35</f>
        <v>208</v>
      </c>
      <c r="AL35" s="134" t="n">
        <f aca="false">IF(L35&lt;0,L35*-1,0)</f>
        <v>0</v>
      </c>
      <c r="AM35" s="363" t="n">
        <f aca="false">AK35+AL35</f>
        <v>208</v>
      </c>
      <c r="AN35" s="364" t="n">
        <f aca="false">AN34+(V35*1.9835)</f>
        <v>0</v>
      </c>
      <c r="AO35" s="97"/>
      <c r="AP35" s="147" t="n">
        <f aca="false">795-Y35</f>
        <v>777.863444195793</v>
      </c>
      <c r="AQ35" s="144" t="n">
        <f aca="false">34.18*(Z35*1.9835+AC35*1.9835)/E35</f>
        <v>5.2145084602028</v>
      </c>
      <c r="AR35" s="144"/>
      <c r="AS35" s="101"/>
      <c r="AT35" s="11" t="n">
        <v>0</v>
      </c>
      <c r="AU35" s="1"/>
      <c r="AV35" s="102" t="n">
        <v>0</v>
      </c>
      <c r="AW35" s="103" t="n">
        <v>66</v>
      </c>
      <c r="AX35" s="103" t="n">
        <v>41</v>
      </c>
      <c r="AY35" s="286"/>
      <c r="AZ35" s="242" t="n">
        <f aca="false">SUM(N35,P35:U35)</f>
        <v>7.66344419579303</v>
      </c>
    </row>
    <row r="36" customFormat="false" ht="12.95" hidden="false" customHeight="true" outlineLevel="0" collapsed="false">
      <c r="A36" s="10" t="n">
        <f aca="false">A35+1</f>
        <v>22</v>
      </c>
      <c r="B36" s="349" t="n">
        <v>6905.4</v>
      </c>
      <c r="C36" s="94" t="n">
        <v>303938</v>
      </c>
      <c r="D36" s="103" t="n">
        <f aca="false">C36-C35</f>
        <v>1925</v>
      </c>
      <c r="E36" s="94" t="n">
        <f aca="false">C36-152000</f>
        <v>151938</v>
      </c>
      <c r="F36" s="361" t="n">
        <f aca="false">D36/$D$2</f>
        <v>970.506680110915</v>
      </c>
      <c r="G36" s="134" t="n">
        <v>835</v>
      </c>
      <c r="H36" s="134" t="n">
        <v>120</v>
      </c>
      <c r="I36" s="134" t="n">
        <f aca="false">G36+H36</f>
        <v>955</v>
      </c>
      <c r="J36" s="362" t="n">
        <f aca="false">IF(L36&gt;0,L36,0)</f>
        <v>159.906680110915</v>
      </c>
      <c r="K36" s="134" t="n">
        <f aca="false">I36+J36</f>
        <v>1114.90668011091</v>
      </c>
      <c r="L36" s="134" t="n">
        <f aca="false">F36-(I36-AK36)</f>
        <v>159.906680110915</v>
      </c>
      <c r="M36" s="137" t="n">
        <v>52</v>
      </c>
      <c r="N36" s="155" t="n">
        <f aca="false">(1.8299*1.03)/2</f>
        <v>0.9423985</v>
      </c>
      <c r="O36" s="363" t="n">
        <f aca="false">(20+18)*1.05</f>
        <v>39.9</v>
      </c>
      <c r="P36" s="83" t="n">
        <v>0</v>
      </c>
      <c r="Q36" s="328" t="n">
        <f aca="false">1289800/325851/1.9835*1.02</f>
        <v>2.03550081881851</v>
      </c>
      <c r="R36" s="328" t="n">
        <f aca="false">((2633092+257)/325851/1.9835-T36)*1.04</f>
        <v>2.94252916418243</v>
      </c>
      <c r="S36" s="131" t="n">
        <v>0</v>
      </c>
      <c r="T36" s="131" t="n">
        <f aca="false">1.1971*1.04</f>
        <v>1.244984</v>
      </c>
      <c r="U36" s="346" t="n">
        <v>0</v>
      </c>
      <c r="V36" s="134" t="n">
        <v>0</v>
      </c>
      <c r="W36" s="134" t="n">
        <v>6.4</v>
      </c>
      <c r="X36" s="135" t="n">
        <f aca="false">M36-N36-O36-P36-Q36-R36-S36-T36-U36+V36+W36-AT36</f>
        <v>11.3345875169991</v>
      </c>
      <c r="Y36" s="135" t="n">
        <f aca="false">X36-AO36</f>
        <v>11.3345875169991</v>
      </c>
      <c r="Z36" s="107" t="n">
        <f aca="false">Z35+AP36</f>
        <v>10637.1359249013</v>
      </c>
      <c r="AA36" s="135"/>
      <c r="AB36" s="107" t="n">
        <f aca="false">AB35+(Y36+AP36)*1.9835</f>
        <v>21265.951041844</v>
      </c>
      <c r="AC36" s="147" t="n">
        <f aca="false">AC35-(AQ35/1.9835)</f>
        <v>1682.09913290217</v>
      </c>
      <c r="AD36" s="97"/>
      <c r="AE36" s="134" t="n">
        <v>35</v>
      </c>
      <c r="AF36" s="137" t="n">
        <v>1.7</v>
      </c>
      <c r="AG36" s="138" t="n">
        <v>1.3</v>
      </c>
      <c r="AH36" s="134" t="n">
        <v>51</v>
      </c>
      <c r="AI36" s="80" t="n">
        <f aca="false">AI35-AH36</f>
        <v>14929.2578774893</v>
      </c>
      <c r="AJ36" s="80"/>
      <c r="AK36" s="134" t="n">
        <f aca="false">N36+O36+P36+Q36+R36+S36+T36+U36+X36+AE36+AH36</f>
        <v>144.4</v>
      </c>
      <c r="AL36" s="134" t="n">
        <f aca="false">IF(L36&lt;0,L36*-1,0)</f>
        <v>0</v>
      </c>
      <c r="AM36" s="363" t="n">
        <f aca="false">AK36+AL36</f>
        <v>144.4</v>
      </c>
      <c r="AN36" s="364" t="n">
        <f aca="false">AN35+(V36*1.9835)</f>
        <v>0</v>
      </c>
      <c r="AO36" s="97"/>
      <c r="AP36" s="147" t="n">
        <f aca="false">795-Y36</f>
        <v>783.665412483001</v>
      </c>
      <c r="AQ36" s="144" t="n">
        <f aca="false">34.18*(Z36*1.9835+AC36*1.9835)/E36</f>
        <v>5.496947633613</v>
      </c>
      <c r="AR36" s="144"/>
      <c r="AS36" s="101"/>
      <c r="AT36" s="11" t="n">
        <v>0</v>
      </c>
      <c r="AU36" s="1"/>
      <c r="AV36" s="102" t="n">
        <v>0</v>
      </c>
      <c r="AW36" s="103" t="n">
        <v>59</v>
      </c>
      <c r="AX36" s="103" t="n">
        <v>31</v>
      </c>
      <c r="AY36" s="286"/>
      <c r="AZ36" s="242" t="n">
        <f aca="false">SUM(N36,P36:U36)</f>
        <v>7.16541248300094</v>
      </c>
    </row>
    <row r="37" customFormat="false" ht="12.95" hidden="false" customHeight="true" outlineLevel="0" collapsed="false">
      <c r="A37" s="10" t="n">
        <f aca="false">A36+1</f>
        <v>23</v>
      </c>
      <c r="B37" s="349" t="n">
        <v>6905.9</v>
      </c>
      <c r="C37" s="94" t="n">
        <v>305886</v>
      </c>
      <c r="D37" s="103" t="n">
        <f aca="false">C37-C36</f>
        <v>1948</v>
      </c>
      <c r="E37" s="94" t="n">
        <f aca="false">C37-152000</f>
        <v>153886</v>
      </c>
      <c r="F37" s="361" t="n">
        <f aca="false">D37/$D$2</f>
        <v>982.102344340812</v>
      </c>
      <c r="G37" s="134" t="n">
        <v>763</v>
      </c>
      <c r="H37" s="134" t="n">
        <v>85</v>
      </c>
      <c r="I37" s="134" t="n">
        <f aca="false">G37+H37</f>
        <v>848</v>
      </c>
      <c r="J37" s="362" t="n">
        <f aca="false">IF(L37&gt;0,L37,0)</f>
        <v>290.102344340812</v>
      </c>
      <c r="K37" s="134" t="n">
        <f aca="false">I37+J37</f>
        <v>1138.10234434081</v>
      </c>
      <c r="L37" s="134" t="n">
        <f aca="false">F37-(I37-AK37)</f>
        <v>290.102344340812</v>
      </c>
      <c r="M37" s="137" t="n">
        <v>58</v>
      </c>
      <c r="N37" s="155" t="n">
        <f aca="false">(1.8299*1.03)/2</f>
        <v>0.9423985</v>
      </c>
      <c r="O37" s="363" t="n">
        <f aca="false">(13+13)*1.05</f>
        <v>27.3</v>
      </c>
      <c r="P37" s="83" t="n">
        <v>0</v>
      </c>
      <c r="Q37" s="328" t="n">
        <f aca="false">1110100/325851/1.9835*1.02</f>
        <v>1.75190685297754</v>
      </c>
      <c r="R37" s="328" t="n">
        <f aca="false">(2666554/325851/1.9835-T37)*1.04</f>
        <v>2.99595921176271</v>
      </c>
      <c r="S37" s="131" t="n">
        <v>0</v>
      </c>
      <c r="T37" s="131" t="n">
        <f aca="false">1.1971*1.04</f>
        <v>1.244984</v>
      </c>
      <c r="U37" s="346" t="n">
        <v>0</v>
      </c>
      <c r="V37" s="134" t="n">
        <v>0</v>
      </c>
      <c r="W37" s="134" t="n">
        <v>11</v>
      </c>
      <c r="X37" s="135" t="n">
        <f aca="false">M37-N37-O37-P37-Q37-R37-S37-T37-U37+V37+W37-AT37</f>
        <v>34.7647514352598</v>
      </c>
      <c r="Y37" s="135" t="n">
        <f aca="false">X37-AO37</f>
        <v>34.7647514352598</v>
      </c>
      <c r="Z37" s="107" t="n">
        <f aca="false">Z36+AP37</f>
        <v>11397.371173466</v>
      </c>
      <c r="AA37" s="135"/>
      <c r="AB37" s="107" t="n">
        <f aca="false">AB36+(Y37+AP37)*1.9835</f>
        <v>22842.833541844</v>
      </c>
      <c r="AC37" s="147" t="n">
        <f aca="false">AC36-(AQ36/1.9835)</f>
        <v>1679.32779555223</v>
      </c>
      <c r="AD37" s="97"/>
      <c r="AE37" s="134" t="n">
        <v>36</v>
      </c>
      <c r="AF37" s="137" t="n">
        <v>1.7</v>
      </c>
      <c r="AG37" s="138" t="n">
        <v>1.3</v>
      </c>
      <c r="AH37" s="134" t="n">
        <v>51</v>
      </c>
      <c r="AI37" s="80" t="n">
        <f aca="false">AI36-AH37</f>
        <v>14878.2578774893</v>
      </c>
      <c r="AJ37" s="80"/>
      <c r="AK37" s="134" t="n">
        <f aca="false">N37+O37+P37+Q37+R37+S37+T37+U37+X37+AE37+AH37</f>
        <v>156</v>
      </c>
      <c r="AL37" s="134" t="n">
        <f aca="false">IF(L37&lt;0,L37*-1,0)</f>
        <v>0</v>
      </c>
      <c r="AM37" s="363" t="n">
        <f aca="false">AK37+AL37</f>
        <v>156</v>
      </c>
      <c r="AN37" s="364" t="n">
        <f aca="false">AN36+(V37*1.9835)</f>
        <v>0</v>
      </c>
      <c r="AO37" s="97"/>
      <c r="AP37" s="147" t="n">
        <f aca="false">795-Y37</f>
        <v>760.23524856474</v>
      </c>
      <c r="AQ37" s="144" t="n">
        <f aca="false">34.18*(Z37*1.9835+AC37*1.9835)/E37</f>
        <v>5.7610716738659</v>
      </c>
      <c r="AR37" s="144"/>
      <c r="AS37" s="101"/>
      <c r="AT37" s="11" t="n">
        <v>0</v>
      </c>
      <c r="AU37" s="1"/>
      <c r="AV37" s="102" t="n">
        <v>0.17</v>
      </c>
      <c r="AW37" s="103" t="n">
        <v>56</v>
      </c>
      <c r="AX37" s="141" t="n">
        <v>41</v>
      </c>
      <c r="AY37" s="286"/>
      <c r="AZ37" s="242" t="n">
        <f aca="false">SUM(N37,P37:U37)</f>
        <v>6.93524856474025</v>
      </c>
    </row>
    <row r="38" customFormat="false" ht="12.95" hidden="false" customHeight="true" outlineLevel="0" collapsed="false">
      <c r="A38" s="10" t="n">
        <f aca="false">A37+1</f>
        <v>24</v>
      </c>
      <c r="B38" s="349" t="n">
        <v>6906.4</v>
      </c>
      <c r="C38" s="94" t="n">
        <v>307806</v>
      </c>
      <c r="D38" s="103" t="n">
        <f aca="false">C38-C37</f>
        <v>1920</v>
      </c>
      <c r="E38" s="94" t="n">
        <f aca="false">C38-152000</f>
        <v>155806</v>
      </c>
      <c r="F38" s="361" t="n">
        <f aca="false">D38/$D$2</f>
        <v>967.985883539198</v>
      </c>
      <c r="G38" s="134" t="n">
        <v>739</v>
      </c>
      <c r="H38" s="134" t="n">
        <v>65</v>
      </c>
      <c r="I38" s="134" t="n">
        <f aca="false">G38+H38</f>
        <v>804</v>
      </c>
      <c r="J38" s="362" t="n">
        <f aca="false">IF(L38&gt;0,L38,0)</f>
        <v>295.915883539198</v>
      </c>
      <c r="K38" s="134" t="n">
        <f aca="false">I38+J38</f>
        <v>1099.9158835392</v>
      </c>
      <c r="L38" s="134" t="n">
        <f aca="false">F38-(I38-AK38)</f>
        <v>295.915883539198</v>
      </c>
      <c r="M38" s="137" t="n">
        <v>64</v>
      </c>
      <c r="N38" s="155" t="n">
        <f aca="false">(1.8299*1.03)/2</f>
        <v>0.9423985</v>
      </c>
      <c r="O38" s="363" t="n">
        <f aca="false">(12+13)*1.05</f>
        <v>26.25</v>
      </c>
      <c r="P38" s="83" t="n">
        <v>0</v>
      </c>
      <c r="Q38" s="328" t="n">
        <f aca="false">923300/325851/1.9835*1.02</f>
        <v>1.45710800590412</v>
      </c>
      <c r="R38" s="328" t="n">
        <f aca="false">(2847162/325851/1.9835-T38)*1.04</f>
        <v>3.28657490317601</v>
      </c>
      <c r="S38" s="131" t="n">
        <v>0</v>
      </c>
      <c r="T38" s="131" t="n">
        <f aca="false">1.1971*1.04</f>
        <v>1.244984</v>
      </c>
      <c r="U38" s="346" t="n">
        <v>0</v>
      </c>
      <c r="V38" s="134" t="n">
        <v>0</v>
      </c>
      <c r="W38" s="134" t="n">
        <v>10</v>
      </c>
      <c r="X38" s="135" t="n">
        <f aca="false">M38-N38-O38-P38-Q38-R38-S38-T38-U38+V38+W38-AT38</f>
        <v>40.8189345909199</v>
      </c>
      <c r="Y38" s="135" t="n">
        <f aca="false">X38-AO38</f>
        <v>40.8189345909199</v>
      </c>
      <c r="Z38" s="107" t="n">
        <f aca="false">Z37+AP38</f>
        <v>12151.5522388751</v>
      </c>
      <c r="AA38" s="135"/>
      <c r="AB38" s="107" t="n">
        <f aca="false">AB37+(Y38+AP38)*1.9835</f>
        <v>24419.716041844</v>
      </c>
      <c r="AC38" s="147" t="n">
        <f aca="false">AC37-(AQ37/1.9835)</f>
        <v>1676.42329760725</v>
      </c>
      <c r="AD38" s="97"/>
      <c r="AE38" s="134" t="n">
        <v>6.93</v>
      </c>
      <c r="AF38" s="137" t="n">
        <v>1.7</v>
      </c>
      <c r="AG38" s="138" t="n">
        <v>1.3</v>
      </c>
      <c r="AH38" s="134" t="n">
        <v>51</v>
      </c>
      <c r="AI38" s="80" t="n">
        <f aca="false">AI37-AH38</f>
        <v>14827.2578774893</v>
      </c>
      <c r="AJ38" s="80"/>
      <c r="AK38" s="134" t="n">
        <f aca="false">N38+O38+P38+Q38+R38+S38+T38+U38+X38+AE38+AH38</f>
        <v>131.93</v>
      </c>
      <c r="AL38" s="134" t="n">
        <f aca="false">IF(L38&lt;0,L38*-1,0)</f>
        <v>0</v>
      </c>
      <c r="AM38" s="363" t="n">
        <f aca="false">AK38+AL38</f>
        <v>131.93</v>
      </c>
      <c r="AN38" s="364" t="n">
        <f aca="false">AN37</f>
        <v>0</v>
      </c>
      <c r="AO38" s="97"/>
      <c r="AP38" s="147" t="n">
        <f aca="false">795-Y38</f>
        <v>754.18106540908</v>
      </c>
      <c r="AQ38" s="144" t="n">
        <f aca="false">34.18*(Z38*1.9835+AC38*1.9835)/E38</f>
        <v>6.01698165866925</v>
      </c>
      <c r="AR38" s="144"/>
      <c r="AS38" s="101"/>
      <c r="AT38" s="11" t="n">
        <v>0</v>
      </c>
      <c r="AU38" s="1"/>
      <c r="AV38" s="102" t="n">
        <v>0.33</v>
      </c>
      <c r="AW38" s="103" t="n">
        <v>51</v>
      </c>
      <c r="AX38" s="141" t="n">
        <v>36</v>
      </c>
      <c r="AY38" s="286"/>
      <c r="AZ38" s="242" t="n">
        <f aca="false">SUM(N38,P38:U38)</f>
        <v>6.93106540908013</v>
      </c>
    </row>
    <row r="39" customFormat="false" ht="12.95" hidden="false" customHeight="true" outlineLevel="0" collapsed="false">
      <c r="A39" s="10" t="n">
        <f aca="false">A38+1</f>
        <v>25</v>
      </c>
      <c r="B39" s="349" t="n">
        <v>6906.88</v>
      </c>
      <c r="C39" s="94" t="n">
        <v>309671</v>
      </c>
      <c r="D39" s="103" t="n">
        <f aca="false">C39-C38</f>
        <v>1865</v>
      </c>
      <c r="E39" s="94" t="n">
        <f aca="false">C39-152000</f>
        <v>157671</v>
      </c>
      <c r="F39" s="361" t="n">
        <f aca="false">D39/$D$2</f>
        <v>940.257121250315</v>
      </c>
      <c r="G39" s="134" t="n">
        <v>690</v>
      </c>
      <c r="H39" s="134" t="n">
        <v>64</v>
      </c>
      <c r="I39" s="134" t="n">
        <f aca="false">G39+H39</f>
        <v>754</v>
      </c>
      <c r="J39" s="362" t="n">
        <f aca="false">IF(L39&gt;0,L39,0)</f>
        <v>332.467121250315</v>
      </c>
      <c r="K39" s="134" t="n">
        <f aca="false">I39+J39</f>
        <v>1086.46712125032</v>
      </c>
      <c r="L39" s="134" t="n">
        <f aca="false">F39-(I39-AK39)</f>
        <v>332.467121250315</v>
      </c>
      <c r="M39" s="137" t="n">
        <v>74</v>
      </c>
      <c r="N39" s="155" t="n">
        <f aca="false">(1.8299*1.03)/2</f>
        <v>0.9423985</v>
      </c>
      <c r="O39" s="363" t="n">
        <f aca="false">(25+24)*1.05</f>
        <v>51.45</v>
      </c>
      <c r="P39" s="83" t="n">
        <v>0</v>
      </c>
      <c r="Q39" s="328" t="n">
        <f aca="false">1046200/325851/1.9835*1.02</f>
        <v>1.65106292188551</v>
      </c>
      <c r="R39" s="328" t="n">
        <f aca="false">(2106816/325851/1.9835-T39)*1.04</f>
        <v>2.09528678374013</v>
      </c>
      <c r="S39" s="131" t="n">
        <v>0</v>
      </c>
      <c r="T39" s="131" t="n">
        <f aca="false">1.1971*1.04</f>
        <v>1.244984</v>
      </c>
      <c r="U39" s="346" t="n">
        <v>0</v>
      </c>
      <c r="V39" s="134" t="n">
        <v>0</v>
      </c>
      <c r="W39" s="134" t="n">
        <v>12</v>
      </c>
      <c r="X39" s="135" t="n">
        <f aca="false">M39-N39-O39-P39-Q39-R39-S39-T39-U39+V39+W39-AT39</f>
        <v>28.6162677943744</v>
      </c>
      <c r="Y39" s="135" t="n">
        <f aca="false">X39-AO39</f>
        <v>28.6162677943744</v>
      </c>
      <c r="Z39" s="107" t="n">
        <f aca="false">Z38+AP39</f>
        <v>12871.4896213751</v>
      </c>
      <c r="AA39" s="135"/>
      <c r="AB39" s="107" t="n">
        <f aca="false">AB38+(Y39+AP39)*1.9835</f>
        <v>25904.4722072029</v>
      </c>
      <c r="AC39" s="147" t="n">
        <f aca="false">AC38-(AQ38/1.9835)</f>
        <v>1673.3897802598</v>
      </c>
      <c r="AD39" s="97"/>
      <c r="AE39" s="134" t="n">
        <v>9.21</v>
      </c>
      <c r="AF39" s="137" t="n">
        <v>1.7</v>
      </c>
      <c r="AG39" s="138" t="n">
        <v>1.3</v>
      </c>
      <c r="AH39" s="134" t="n">
        <v>51</v>
      </c>
      <c r="AI39" s="80" t="n">
        <f aca="false">AI38-AH39</f>
        <v>14776.2578774893</v>
      </c>
      <c r="AJ39" s="80"/>
      <c r="AK39" s="134" t="n">
        <f aca="false">N39+O39+P39+Q39+R39+S39+T39+U39+X39+AE39+AH39</f>
        <v>146.21</v>
      </c>
      <c r="AL39" s="134" t="n">
        <f aca="false">IF(L39&lt;0,L39*-1,0)</f>
        <v>0</v>
      </c>
      <c r="AM39" s="363" t="n">
        <f aca="false">AK39+AL39</f>
        <v>146.21</v>
      </c>
      <c r="AN39" s="364" t="n">
        <f aca="false">AN38</f>
        <v>0</v>
      </c>
      <c r="AO39" s="97"/>
      <c r="AP39" s="147" t="n">
        <f aca="false">I39-Q39-R39-X39-AF39</f>
        <v>719.9373825</v>
      </c>
      <c r="AQ39" s="144" t="n">
        <f aca="false">34.18*(Z39*1.9835+AC39*1.9835)/E39</f>
        <v>6.25406752198958</v>
      </c>
      <c r="AR39" s="144"/>
      <c r="AS39" s="101"/>
      <c r="AT39" s="11" t="n">
        <v>0</v>
      </c>
      <c r="AU39" s="1"/>
      <c r="AV39" s="102" t="n">
        <v>0.2</v>
      </c>
      <c r="AW39" s="103" t="n">
        <v>53</v>
      </c>
      <c r="AX39" s="141" t="n">
        <v>31</v>
      </c>
      <c r="AY39" s="286"/>
      <c r="AZ39" s="242" t="n">
        <f aca="false">SUM(N39,P39:U39)</f>
        <v>5.93373220562564</v>
      </c>
    </row>
    <row r="40" customFormat="false" ht="12.95" hidden="false" customHeight="true" outlineLevel="0" collapsed="false">
      <c r="A40" s="10" t="n">
        <f aca="false">A39+1</f>
        <v>26</v>
      </c>
      <c r="B40" s="349" t="n">
        <v>6907.39</v>
      </c>
      <c r="C40" s="94" t="n">
        <v>311666</v>
      </c>
      <c r="D40" s="103" t="n">
        <f aca="false">C40-C39</f>
        <v>1995</v>
      </c>
      <c r="E40" s="94" t="n">
        <f aca="false">C40-152000</f>
        <v>159666</v>
      </c>
      <c r="F40" s="361" t="n">
        <f aca="false">D40/$D$2</f>
        <v>1005.79783211495</v>
      </c>
      <c r="G40" s="134" t="n">
        <v>679</v>
      </c>
      <c r="H40" s="134" t="n">
        <v>70</v>
      </c>
      <c r="I40" s="134" t="n">
        <f aca="false">G40+H40</f>
        <v>749</v>
      </c>
      <c r="J40" s="362" t="n">
        <f aca="false">IF(L40&gt;0,L40,0)</f>
        <v>413.797832114948</v>
      </c>
      <c r="K40" s="134" t="n">
        <f aca="false">I40+J40</f>
        <v>1162.79783211495</v>
      </c>
      <c r="L40" s="134" t="n">
        <f aca="false">F40-(I40-AK40)</f>
        <v>413.797832114948</v>
      </c>
      <c r="M40" s="137" t="n">
        <v>57</v>
      </c>
      <c r="N40" s="155" t="n">
        <f aca="false">(1.8299*1.03)/2</f>
        <v>0.9423985</v>
      </c>
      <c r="O40" s="4" t="n">
        <f aca="false">(11+9.8)*1.05</f>
        <v>21.84</v>
      </c>
      <c r="P40" s="83" t="n">
        <v>0</v>
      </c>
      <c r="Q40" s="328" t="n">
        <f aca="false">792100/325851/1.9835*1.02</f>
        <v>1.25005442594677</v>
      </c>
      <c r="R40" s="328" t="n">
        <f aca="false">(2245903/325851/1.9835-T40)*1.04</f>
        <v>2.31909118150547</v>
      </c>
      <c r="S40" s="131" t="n">
        <v>0</v>
      </c>
      <c r="T40" s="131" t="n">
        <f aca="false">1.1971*1.04</f>
        <v>1.244984</v>
      </c>
      <c r="U40" s="346" t="n">
        <v>0</v>
      </c>
      <c r="V40" s="134" t="n">
        <v>0</v>
      </c>
      <c r="W40" s="134" t="n">
        <v>14</v>
      </c>
      <c r="X40" s="135" t="n">
        <f aca="false">M40-N40-O40-P40-Q40-R40-S40-T40-U40+V40+W40-AT40</f>
        <v>43.4034718925478</v>
      </c>
      <c r="Y40" s="135" t="n">
        <f aca="false">X40-AO40</f>
        <v>43.4034718925478</v>
      </c>
      <c r="Z40" s="107" t="n">
        <f aca="false">Z39+AP40</f>
        <v>13571.8170038751</v>
      </c>
      <c r="AA40" s="135"/>
      <c r="AB40" s="107" t="n">
        <f aca="false">AB39+(Y40+AP40)*1.9835</f>
        <v>27379.6623568905</v>
      </c>
      <c r="AC40" s="147" t="n">
        <f aca="false">AC39-(AQ39/1.9835)</f>
        <v>1670.23673386605</v>
      </c>
      <c r="AD40" s="97"/>
      <c r="AE40" s="134" t="n">
        <v>35</v>
      </c>
      <c r="AF40" s="137" t="n">
        <v>1.7</v>
      </c>
      <c r="AG40" s="138" t="n">
        <v>1.3</v>
      </c>
      <c r="AH40" s="134" t="n">
        <v>51</v>
      </c>
      <c r="AI40" s="80" t="n">
        <f aca="false">AI39-AH40</f>
        <v>14725.2578774893</v>
      </c>
      <c r="AJ40" s="80"/>
      <c r="AK40" s="134" t="n">
        <f aca="false">N40+O40+P40+Q40+R40+S40+T40+U40+X40+AE40+AH40</f>
        <v>157</v>
      </c>
      <c r="AL40" s="134" t="n">
        <f aca="false">IF(L40&lt;0,L40*-1,0)</f>
        <v>0</v>
      </c>
      <c r="AM40" s="363" t="n">
        <f aca="false">AK40+AL40</f>
        <v>157</v>
      </c>
      <c r="AN40" s="364" t="n">
        <f aca="false">AN39</f>
        <v>0</v>
      </c>
      <c r="AO40" s="97"/>
      <c r="AP40" s="147" t="n">
        <f aca="false">I40-Q40-R40-X40-AF40</f>
        <v>700.3273825</v>
      </c>
      <c r="AQ40" s="144" t="n">
        <f aca="false">34.18*(Z40*1.9835+AC40*1.9835)/E40</f>
        <v>6.47195227829036</v>
      </c>
      <c r="AR40" s="144"/>
      <c r="AS40" s="101"/>
      <c r="AT40" s="4" t="n">
        <v>0</v>
      </c>
      <c r="AU40" s="1"/>
      <c r="AV40" s="102" t="n">
        <v>0.05</v>
      </c>
      <c r="AW40" s="103" t="n">
        <v>47</v>
      </c>
      <c r="AX40" s="103" t="n">
        <v>28</v>
      </c>
      <c r="AY40" s="286"/>
      <c r="AZ40" s="242" t="n">
        <f aca="false">SUM(N40,P40:U40)</f>
        <v>5.75652810745224</v>
      </c>
    </row>
    <row r="41" customFormat="false" ht="12.95" hidden="false" customHeight="true" outlineLevel="0" collapsed="false">
      <c r="A41" s="10" t="n">
        <f aca="false">A40+1</f>
        <v>27</v>
      </c>
      <c r="B41" s="349" t="n">
        <v>6907.81</v>
      </c>
      <c r="C41" s="94" t="n">
        <v>313311</v>
      </c>
      <c r="D41" s="103" t="n">
        <f aca="false">C41-C40</f>
        <v>1645</v>
      </c>
      <c r="E41" s="94" t="n">
        <f aca="false">C41-152000</f>
        <v>161311</v>
      </c>
      <c r="F41" s="361" t="n">
        <f aca="false">D41/$D$2</f>
        <v>829.342072094782</v>
      </c>
      <c r="G41" s="134" t="n">
        <v>577</v>
      </c>
      <c r="H41" s="134" t="n">
        <v>49</v>
      </c>
      <c r="I41" s="134" t="n">
        <f aca="false">G41+H41</f>
        <v>626</v>
      </c>
      <c r="J41" s="362" t="n">
        <f aca="false">IF(L41&gt;0,L41,0)</f>
        <v>316.342072094782</v>
      </c>
      <c r="K41" s="134" t="n">
        <f aca="false">I41+J41</f>
        <v>942.342072094782</v>
      </c>
      <c r="L41" s="134" t="n">
        <f aca="false">F41-(I41-AK41)</f>
        <v>316.342072094782</v>
      </c>
      <c r="M41" s="137" t="n">
        <v>46</v>
      </c>
      <c r="N41" s="155" t="n">
        <f aca="false">(1.8299*1.03)/2</f>
        <v>0.9423985</v>
      </c>
      <c r="O41" s="363" t="n">
        <f aca="false">(1.3+0.42)*1.05</f>
        <v>1.806</v>
      </c>
      <c r="P41" s="83" t="n">
        <v>0</v>
      </c>
      <c r="Q41" s="328" t="n">
        <f aca="false">960900/325851/1.9835*1.02</f>
        <v>1.51644653186751</v>
      </c>
      <c r="R41" s="328" t="n">
        <f aca="false">(2272595/325851/1.9835-T41)*1.04</f>
        <v>2.36204118391513</v>
      </c>
      <c r="S41" s="131" t="n">
        <v>0</v>
      </c>
      <c r="T41" s="131" t="n">
        <f aca="false">1.1971*1.04</f>
        <v>1.244984</v>
      </c>
      <c r="U41" s="346" t="n">
        <v>0</v>
      </c>
      <c r="V41" s="134" t="n">
        <v>0</v>
      </c>
      <c r="W41" s="134" t="n">
        <v>16</v>
      </c>
      <c r="X41" s="135" t="n">
        <f aca="false">M41-N41-O41-P41-Q41-R41-S41-T41-U41+V41+W41-AT41</f>
        <v>54.1281297842174</v>
      </c>
      <c r="Y41" s="135" t="n">
        <f aca="false">X41-AO41</f>
        <v>54.1281297842174</v>
      </c>
      <c r="Z41" s="107" t="n">
        <f aca="false">Z40+AP41</f>
        <v>14138.1103863751</v>
      </c>
      <c r="AA41" s="135"/>
      <c r="AB41" s="107" t="n">
        <f aca="false">AB40+(Y41+AP41)*1.9835</f>
        <v>28610.2684265062</v>
      </c>
      <c r="AC41" s="147" t="n">
        <f aca="false">AC40-(AQ40/1.9835)</f>
        <v>1666.97383884297</v>
      </c>
      <c r="AD41" s="97"/>
      <c r="AE41" s="134" t="n">
        <v>0</v>
      </c>
      <c r="AF41" s="137" t="n">
        <v>1.7</v>
      </c>
      <c r="AG41" s="138" t="n">
        <v>1.3</v>
      </c>
      <c r="AH41" s="134" t="n">
        <v>51</v>
      </c>
      <c r="AI41" s="80" t="n">
        <f aca="false">AI40-AH41</f>
        <v>14674.2578774893</v>
      </c>
      <c r="AJ41" s="80"/>
      <c r="AK41" s="134" t="n">
        <f aca="false">N41+O41+P41+Q41+R41+S41+T41+U41+X41+AE41+AH41</f>
        <v>113</v>
      </c>
      <c r="AL41" s="134" t="n">
        <f aca="false">IF(L41&lt;0,L41*-1,0)</f>
        <v>0</v>
      </c>
      <c r="AM41" s="363" t="n">
        <f aca="false">AK41+AL41</f>
        <v>113</v>
      </c>
      <c r="AN41" s="364" t="n">
        <f aca="false">AN40</f>
        <v>0</v>
      </c>
      <c r="AO41" s="97"/>
      <c r="AP41" s="147" t="n">
        <f aca="false">I41-Q41-R41-X41-AF41</f>
        <v>566.2933825</v>
      </c>
      <c r="AQ41" s="144" t="n">
        <f aca="false">34.18*(Z41*1.9835+AC41*1.9835)/E41</f>
        <v>6.64258459922391</v>
      </c>
      <c r="AR41" s="144"/>
      <c r="AS41" s="101"/>
      <c r="AT41" s="11" t="n">
        <v>0</v>
      </c>
      <c r="AU41" s="1"/>
      <c r="AV41" s="102" t="n">
        <v>0</v>
      </c>
      <c r="AW41" s="103" t="n">
        <v>49</v>
      </c>
      <c r="AX41" s="103" t="n">
        <v>23</v>
      </c>
      <c r="AY41" s="286"/>
      <c r="AZ41" s="242" t="n">
        <f aca="false">SUM(N41,P41:U41)</f>
        <v>6.06587021578264</v>
      </c>
    </row>
    <row r="42" customFormat="false" ht="12.95" hidden="false" customHeight="true" outlineLevel="0" collapsed="false">
      <c r="A42" s="10" t="n">
        <f aca="false">A41+1</f>
        <v>28</v>
      </c>
      <c r="B42" s="349" t="n">
        <v>6908.19</v>
      </c>
      <c r="C42" s="94" t="n">
        <v>314806</v>
      </c>
      <c r="D42" s="103" t="n">
        <f aca="false">C42-C41</f>
        <v>1495</v>
      </c>
      <c r="E42" s="94" t="n">
        <f aca="false">C42-152000</f>
        <v>162806</v>
      </c>
      <c r="F42" s="361" t="n">
        <f aca="false">D42/$D$2</f>
        <v>753.718174943282</v>
      </c>
      <c r="G42" s="134" t="n">
        <v>563</v>
      </c>
      <c r="H42" s="134" t="n">
        <v>41</v>
      </c>
      <c r="I42" s="134" t="n">
        <f aca="false">G42+H42</f>
        <v>604</v>
      </c>
      <c r="J42" s="362" t="n">
        <f aca="false">IF(L42&gt;0,L42,0)</f>
        <v>268.718174943282</v>
      </c>
      <c r="K42" s="134" t="n">
        <f aca="false">I42+J42</f>
        <v>872.718174943282</v>
      </c>
      <c r="L42" s="134" t="n">
        <f aca="false">F42-(I42-AK42)</f>
        <v>268.718174943282</v>
      </c>
      <c r="M42" s="137" t="n">
        <v>39</v>
      </c>
      <c r="N42" s="155" t="n">
        <f aca="false">(1.8299*1.03)/2</f>
        <v>0.9423985</v>
      </c>
      <c r="O42" s="363" t="n">
        <f aca="false">(0.11+0.26)*1.05</f>
        <v>0.3885</v>
      </c>
      <c r="P42" s="83" t="n">
        <v>0</v>
      </c>
      <c r="Q42" s="328" t="n">
        <f aca="false">989400/325851/1.9835*1.02</f>
        <v>1.56142387202592</v>
      </c>
      <c r="R42" s="328" t="n">
        <f aca="false">(2507844/325851/1.9835-T42)*1.04</f>
        <v>2.74057951438382</v>
      </c>
      <c r="S42" s="131" t="n">
        <v>0</v>
      </c>
      <c r="T42" s="131" t="n">
        <f aca="false">1.1971*1.04</f>
        <v>1.244984</v>
      </c>
      <c r="U42" s="346" t="n">
        <v>0</v>
      </c>
      <c r="V42" s="134" t="n">
        <v>13</v>
      </c>
      <c r="W42" s="134" t="n">
        <v>16</v>
      </c>
      <c r="X42" s="135" t="n">
        <f aca="false">M42-N42-O42-P42-Q42-R42-S42-T42-U42+V42+W42-AT42</f>
        <v>61.1221141135903</v>
      </c>
      <c r="Y42" s="135" t="n">
        <f aca="false">X42-AO42</f>
        <v>61.1221141135903</v>
      </c>
      <c r="Z42" s="107" t="n">
        <f aca="false">Z41+AP42</f>
        <v>14674.9862688751</v>
      </c>
      <c r="AA42" s="135"/>
      <c r="AB42" s="107" t="n">
        <f aca="false">AB41+(Y42+AP42)*1.9835</f>
        <v>29796.3974527893</v>
      </c>
      <c r="AC42" s="147" t="n">
        <f aca="false">AC41-(AQ41/1.9835)</f>
        <v>1663.62491794595</v>
      </c>
      <c r="AD42" s="97"/>
      <c r="AE42" s="134" t="n">
        <v>0</v>
      </c>
      <c r="AF42" s="137" t="n">
        <v>1.7</v>
      </c>
      <c r="AG42" s="138" t="n">
        <v>1.3</v>
      </c>
      <c r="AH42" s="134" t="n">
        <v>51</v>
      </c>
      <c r="AI42" s="80" t="n">
        <f aca="false">AI41-AH42</f>
        <v>14623.2578774893</v>
      </c>
      <c r="AJ42" s="80"/>
      <c r="AK42" s="134" t="n">
        <f aca="false">N42+O42+P42+Q42+R42+S42+T42+U42+X42+AE42+AH42</f>
        <v>119</v>
      </c>
      <c r="AL42" s="134" t="n">
        <f aca="false">IF(L42&lt;0,L42*-1,0)</f>
        <v>0</v>
      </c>
      <c r="AM42" s="363" t="n">
        <f aca="false">AK42+AL42</f>
        <v>119</v>
      </c>
      <c r="AN42" s="364" t="n">
        <f aca="false">AN41</f>
        <v>0</v>
      </c>
      <c r="AO42" s="97"/>
      <c r="AP42" s="147" t="n">
        <f aca="false">I42-Q42-R42-X42-AF42</f>
        <v>536.8758825</v>
      </c>
      <c r="AQ42" s="144" t="n">
        <f aca="false">34.18*(Z42*1.9835+AC42*1.9835)/E42</f>
        <v>6.80376014508098</v>
      </c>
      <c r="AR42" s="144"/>
      <c r="AS42" s="101"/>
      <c r="AT42" s="11" t="n">
        <v>0</v>
      </c>
      <c r="AU42" s="1"/>
      <c r="AV42" s="102" t="n">
        <v>0</v>
      </c>
      <c r="AW42" s="103" t="n">
        <v>62</v>
      </c>
      <c r="AX42" s="103" t="n">
        <v>28</v>
      </c>
      <c r="AY42" s="286"/>
      <c r="AZ42" s="242" t="n">
        <f aca="false">SUM(N42,P42:U42)</f>
        <v>6.48938588640974</v>
      </c>
    </row>
    <row r="43" customFormat="false" ht="12.95" hidden="false" customHeight="true" outlineLevel="0" collapsed="false">
      <c r="A43" s="10" t="n">
        <f aca="false">A42+1</f>
        <v>29</v>
      </c>
      <c r="B43" s="349" t="n">
        <v>6908.61</v>
      </c>
      <c r="C43" s="94" t="n">
        <v>316465</v>
      </c>
      <c r="D43" s="103" t="n">
        <f aca="false">C43-C42</f>
        <v>1659</v>
      </c>
      <c r="E43" s="94" t="n">
        <f aca="false">C43-152000</f>
        <v>164465</v>
      </c>
      <c r="F43" s="361" t="n">
        <f aca="false">D43/$D$2</f>
        <v>836.400302495589</v>
      </c>
      <c r="G43" s="134" t="n">
        <v>662</v>
      </c>
      <c r="H43" s="134" t="n">
        <v>55</v>
      </c>
      <c r="I43" s="134" t="n">
        <f aca="false">G43+H43</f>
        <v>717</v>
      </c>
      <c r="J43" s="362" t="n">
        <f aca="false">IF(L43&gt;0,L43,0)</f>
        <v>276.400302495589</v>
      </c>
      <c r="K43" s="134" t="n">
        <f aca="false">I43+J43</f>
        <v>993.400302495589</v>
      </c>
      <c r="L43" s="134" t="n">
        <f aca="false">F43-(I43-AK43)</f>
        <v>276.400302495589</v>
      </c>
      <c r="M43" s="137" t="n">
        <v>47</v>
      </c>
      <c r="N43" s="155" t="n">
        <f aca="false">(1.8299*1.03)/2</f>
        <v>0.9423985</v>
      </c>
      <c r="O43" s="363" t="n">
        <f aca="false">(0+0.98)*1.05</f>
        <v>1.029</v>
      </c>
      <c r="P43" s="83" t="n">
        <v>0</v>
      </c>
      <c r="Q43" s="328" t="n">
        <f aca="false">855100/325851/1.9835*1.02</f>
        <v>1.34947801998117</v>
      </c>
      <c r="R43" s="328" t="n">
        <f aca="false">(2641366/325851/1.9835-T43)*1.04</f>
        <v>2.83212689041194</v>
      </c>
      <c r="S43" s="131" t="n">
        <v>0</v>
      </c>
      <c r="T43" s="131" t="n">
        <f aca="false">1.3111*1.04</f>
        <v>1.363544</v>
      </c>
      <c r="U43" s="346" t="n">
        <v>0</v>
      </c>
      <c r="V43" s="134" t="n">
        <v>38</v>
      </c>
      <c r="W43" s="134" t="n">
        <v>21</v>
      </c>
      <c r="X43" s="135" t="n">
        <f aca="false">M43-N43-O43-P43-Q43-R43-S43-T43-U43+V43+W43-AT43</f>
        <v>98.4834525896069</v>
      </c>
      <c r="Y43" s="135" t="n">
        <f aca="false">X43-AO43</f>
        <v>98.4834525896069</v>
      </c>
      <c r="Z43" s="107" t="n">
        <f aca="false">Z42+AP43</f>
        <v>15287.6212113751</v>
      </c>
      <c r="AA43" s="135"/>
      <c r="AB43" s="107" t="n">
        <f aca="false">AB42+(Y43+AP43)*1.9835</f>
        <v>31206.9007894495</v>
      </c>
      <c r="AC43" s="147" t="n">
        <f aca="false">AC42-(AQ42/1.9835)</f>
        <v>1660.19473889625</v>
      </c>
      <c r="AD43" s="97"/>
      <c r="AE43" s="134" t="n">
        <v>0</v>
      </c>
      <c r="AF43" s="137" t="n">
        <v>1.7</v>
      </c>
      <c r="AG43" s="138" t="n">
        <v>1.3</v>
      </c>
      <c r="AH43" s="134" t="n">
        <v>51</v>
      </c>
      <c r="AI43" s="80" t="n">
        <f aca="false">AI42-AH43</f>
        <v>14572.2578774893</v>
      </c>
      <c r="AJ43" s="80"/>
      <c r="AK43" s="134" t="n">
        <f aca="false">N43+O43+P43+Q43+R43+S43+T43+U43+X43+AE43+AH43</f>
        <v>157</v>
      </c>
      <c r="AL43" s="134" t="n">
        <f aca="false">IF(L43&lt;0,L43*-1,0)</f>
        <v>0</v>
      </c>
      <c r="AM43" s="363" t="n">
        <f aca="false">AK43+AL43</f>
        <v>157</v>
      </c>
      <c r="AN43" s="364" t="n">
        <f aca="false">AN42</f>
        <v>0</v>
      </c>
      <c r="AO43" s="97"/>
      <c r="AP43" s="147" t="n">
        <f aca="false">I43-Q43-R43-X43-AF43</f>
        <v>612.6349425</v>
      </c>
      <c r="AQ43" s="144" t="n">
        <f aca="false">34.18*(Z43*1.9835+AC43*1.9835)/E43</f>
        <v>6.98625627701379</v>
      </c>
      <c r="AR43" s="144"/>
      <c r="AS43" s="101"/>
      <c r="AT43" s="11" t="n">
        <v>0</v>
      </c>
      <c r="AU43" s="1"/>
      <c r="AV43" s="102" t="n">
        <v>0</v>
      </c>
      <c r="AW43" s="141" t="n">
        <v>63</v>
      </c>
      <c r="AX43" s="103" t="n">
        <v>31</v>
      </c>
      <c r="AY43" s="286"/>
      <c r="AZ43" s="242" t="n">
        <f aca="false">SUM(N43,P43:U43)</f>
        <v>6.48754741039311</v>
      </c>
    </row>
    <row r="44" customFormat="false" ht="12.95" hidden="false" customHeight="true" outlineLevel="0" collapsed="false">
      <c r="A44" s="10" t="n">
        <v>30</v>
      </c>
      <c r="B44" s="349" t="n">
        <v>6908.97</v>
      </c>
      <c r="C44" s="94" t="n">
        <v>317887</v>
      </c>
      <c r="D44" s="103" t="n">
        <f aca="false">C44-C43</f>
        <v>1422</v>
      </c>
      <c r="E44" s="94" t="n">
        <f aca="false">C44-152000</f>
        <v>165887</v>
      </c>
      <c r="F44" s="361" t="n">
        <f aca="false">D44/$D$2</f>
        <v>716.914544996219</v>
      </c>
      <c r="G44" s="134" t="n">
        <v>650</v>
      </c>
      <c r="H44" s="134" t="n">
        <v>45</v>
      </c>
      <c r="I44" s="134" t="n">
        <f aca="false">G44+H44</f>
        <v>695</v>
      </c>
      <c r="J44" s="362" t="n">
        <f aca="false">IF(L44&gt;0,L44,0)</f>
        <v>225.914544996219</v>
      </c>
      <c r="K44" s="134" t="n">
        <f aca="false">I44+J44</f>
        <v>920.914544996219</v>
      </c>
      <c r="L44" s="134" t="n">
        <f aca="false">F44-(I44-AK44)</f>
        <v>225.914544996219</v>
      </c>
      <c r="M44" s="137" t="n">
        <v>86</v>
      </c>
      <c r="N44" s="155" t="n">
        <f aca="false">(1.8299*1.03)/2</f>
        <v>0.9423985</v>
      </c>
      <c r="O44" s="363" t="n">
        <f aca="false">(0+5)*1.05</f>
        <v>5.25</v>
      </c>
      <c r="P44" s="83" t="n">
        <v>0</v>
      </c>
      <c r="Q44" s="328" t="n">
        <f aca="false">1114000/325851/1.9835*1.02</f>
        <v>1.75806164689395</v>
      </c>
      <c r="R44" s="328" t="n">
        <f aca="false">(2625220/325851/1.9835-T44)*1.04</f>
        <v>2.80614641915065</v>
      </c>
      <c r="S44" s="131" t="n">
        <v>0</v>
      </c>
      <c r="T44" s="131" t="n">
        <f aca="false">1.3111*1.04</f>
        <v>1.363544</v>
      </c>
      <c r="U44" s="346" t="n">
        <v>0</v>
      </c>
      <c r="V44" s="134" t="n">
        <v>38</v>
      </c>
      <c r="W44" s="134" t="n">
        <v>29</v>
      </c>
      <c r="X44" s="135" t="n">
        <f aca="false">M44-N44-O44-P44-Q44-R44-S44-T44-U44+V44+W44-AT44</f>
        <v>140.879849433955</v>
      </c>
      <c r="Y44" s="135" t="n">
        <f aca="false">X44-AO44</f>
        <v>140.879849433955</v>
      </c>
      <c r="Z44" s="107" t="n">
        <f aca="false">Z43+AP44</f>
        <v>15835.4771538751</v>
      </c>
      <c r="AA44" s="135"/>
      <c r="AB44" s="107" t="n">
        <f aca="false">AB43+(Y44+AP44)*1.9835</f>
        <v>32573.0082327505</v>
      </c>
      <c r="AC44" s="147" t="n">
        <f aca="false">AC43-(AQ43/1.9835)</f>
        <v>1656.67255272181</v>
      </c>
      <c r="AD44" s="97"/>
      <c r="AE44" s="134" t="n">
        <v>0</v>
      </c>
      <c r="AF44" s="137" t="n">
        <v>1.7</v>
      </c>
      <c r="AG44" s="138" t="n">
        <v>1.3</v>
      </c>
      <c r="AH44" s="134" t="n">
        <v>51</v>
      </c>
      <c r="AI44" s="80" t="n">
        <f aca="false">AI43-AH44</f>
        <v>14521.2578774893</v>
      </c>
      <c r="AJ44" s="80"/>
      <c r="AK44" s="134" t="n">
        <f aca="false">N44+O44+P44+Q44+R44+S44+T44+U44+X44+AE44+AH44</f>
        <v>204</v>
      </c>
      <c r="AL44" s="134" t="n">
        <f aca="false">IF(L44&lt;0,L44*-1,0)</f>
        <v>0</v>
      </c>
      <c r="AM44" s="363" t="n">
        <f aca="false">AK44+AL44</f>
        <v>204</v>
      </c>
      <c r="AN44" s="364" t="n">
        <f aca="false">AN43</f>
        <v>0</v>
      </c>
      <c r="AO44" s="97"/>
      <c r="AP44" s="147" t="n">
        <f aca="false">I44-Q44-R44-X44-AF44</f>
        <v>547.8559425</v>
      </c>
      <c r="AQ44" s="144" t="n">
        <f aca="false">34.18*(Z44*1.9835+AC44*1.9835)/E44</f>
        <v>7.14883207408015</v>
      </c>
      <c r="AR44" s="144"/>
      <c r="AS44" s="101"/>
      <c r="AT44" s="11" t="n">
        <v>0</v>
      </c>
      <c r="AU44" s="1"/>
      <c r="AV44" s="102" t="n">
        <v>0</v>
      </c>
      <c r="AW44" s="141" t="n">
        <v>45</v>
      </c>
      <c r="AX44" s="103" t="n">
        <v>23</v>
      </c>
      <c r="AY44" s="286"/>
      <c r="AZ44" s="242" t="n">
        <f aca="false">SUM(N44,P44:U44)</f>
        <v>6.87015056604461</v>
      </c>
    </row>
    <row r="45" customFormat="false" ht="3" hidden="false" customHeight="true" outlineLevel="0" collapsed="false">
      <c r="A45" s="109"/>
      <c r="B45" s="365"/>
      <c r="C45" s="119"/>
      <c r="D45" s="116"/>
      <c r="E45" s="119"/>
      <c r="F45" s="355"/>
      <c r="G45" s="116"/>
      <c r="H45" s="116"/>
      <c r="I45" s="116"/>
      <c r="J45" s="116"/>
      <c r="K45" s="116"/>
      <c r="L45" s="116"/>
      <c r="M45" s="120"/>
      <c r="N45" s="116"/>
      <c r="O45" s="116"/>
      <c r="P45" s="356"/>
      <c r="Q45" s="356"/>
      <c r="R45" s="356"/>
      <c r="S45" s="356"/>
      <c r="T45" s="356"/>
      <c r="U45" s="357"/>
      <c r="V45" s="116"/>
      <c r="W45" s="116"/>
      <c r="X45" s="116"/>
      <c r="Y45" s="116"/>
      <c r="Z45" s="123"/>
      <c r="AA45" s="116"/>
      <c r="AB45" s="123"/>
      <c r="AC45" s="123"/>
      <c r="AD45" s="118"/>
      <c r="AE45" s="116"/>
      <c r="AF45" s="120"/>
      <c r="AG45" s="121"/>
      <c r="AH45" s="116"/>
      <c r="AI45" s="116"/>
      <c r="AJ45" s="116"/>
      <c r="AK45" s="116"/>
      <c r="AL45" s="116"/>
      <c r="AM45" s="116"/>
      <c r="AN45" s="154"/>
      <c r="AO45" s="118"/>
      <c r="AP45" s="123"/>
      <c r="AQ45" s="356"/>
      <c r="AR45" s="356"/>
      <c r="AS45" s="356"/>
      <c r="AT45" s="356"/>
      <c r="AU45" s="356"/>
      <c r="AV45" s="125"/>
      <c r="AW45" s="123"/>
      <c r="AX45" s="123"/>
      <c r="AY45" s="358"/>
      <c r="AZ45" s="359"/>
    </row>
    <row r="46" customFormat="false" ht="12.95" hidden="false" customHeight="true" outlineLevel="0" collapsed="false">
      <c r="A46" s="11" t="s">
        <v>101</v>
      </c>
      <c r="B46" s="344"/>
      <c r="C46" s="94"/>
      <c r="D46" s="94"/>
      <c r="E46" s="94"/>
      <c r="F46" s="345" t="n">
        <f aca="false">SUM(F15:F44)</f>
        <v>18814.7214519788</v>
      </c>
      <c r="G46" s="80" t="n">
        <f aca="false">SUM(G15:G44)</f>
        <v>15471</v>
      </c>
      <c r="H46" s="80" t="n">
        <f aca="false">SUM(H15:H44)</f>
        <v>1980.9</v>
      </c>
      <c r="I46" s="80" t="n">
        <f aca="false">SUM(I15:I44)</f>
        <v>17451.9</v>
      </c>
      <c r="J46" s="80" t="n">
        <f aca="false">SUM(J15:J44)</f>
        <v>5519.52145197883</v>
      </c>
      <c r="K46" s="80" t="n">
        <f aca="false">SUM(K15:K44)</f>
        <v>22971.4214519788</v>
      </c>
      <c r="L46" s="80" t="n">
        <f aca="false">SUM(L15:L44)</f>
        <v>5519.52145197883</v>
      </c>
      <c r="M46" s="98" t="n">
        <f aca="false">SUM(M15:M44)</f>
        <v>2068.3</v>
      </c>
      <c r="N46" s="94" t="n">
        <f aca="false">SUM(N15:N44)</f>
        <v>28.271955</v>
      </c>
      <c r="O46" s="94" t="n">
        <f aca="false">SUM(O15:O44)</f>
        <v>1388.5095</v>
      </c>
      <c r="P46" s="83" t="n">
        <f aca="false">SUM(P15:P44)</f>
        <v>0</v>
      </c>
      <c r="Q46" s="94" t="n">
        <f aca="false">SUM(Q15:Q44)</f>
        <v>48.3389623433811</v>
      </c>
      <c r="R46" s="94" t="n">
        <f aca="false">SUM(R15:R44)</f>
        <v>73.4496478084638</v>
      </c>
      <c r="S46" s="94" t="n">
        <f aca="false">SUM(S15:S44)</f>
        <v>0</v>
      </c>
      <c r="T46" s="94" t="n">
        <f aca="false">SUM(T15:T44)</f>
        <v>36.901592</v>
      </c>
      <c r="U46" s="346" t="n">
        <f aca="false">SUM(U15:U44)</f>
        <v>0</v>
      </c>
      <c r="V46" s="80" t="n">
        <f aca="false">SUM(V15:V44)</f>
        <v>190.6</v>
      </c>
      <c r="W46" s="80" t="n">
        <f aca="false">SUM(W15:W44)</f>
        <v>204.98</v>
      </c>
      <c r="X46" s="80" t="n">
        <f aca="false">SUM(X15:X44)</f>
        <v>879.088342848155</v>
      </c>
      <c r="Y46" s="80" t="n">
        <f aca="false">SUM(Y15:Y44)</f>
        <v>586.508342848155</v>
      </c>
      <c r="Z46" s="366"/>
      <c r="AA46" s="80"/>
      <c r="AB46" s="103"/>
      <c r="AC46" s="147"/>
      <c r="AD46" s="97"/>
      <c r="AE46" s="80" t="n">
        <f aca="false">SUM(AE15:AE44)</f>
        <v>192.14</v>
      </c>
      <c r="AF46" s="98" t="n">
        <f aca="false">SUM(AF15:AF44)</f>
        <v>51</v>
      </c>
      <c r="AG46" s="99" t="n">
        <f aca="false">SUM(AG15:AG44)</f>
        <v>39</v>
      </c>
      <c r="AH46" s="80" t="n">
        <f aca="false">SUM(AH15:AH44)</f>
        <v>1510</v>
      </c>
      <c r="AI46" s="80"/>
      <c r="AJ46" s="80" t="n">
        <f aca="false">SUM(AJ15:AJ44)</f>
        <v>0</v>
      </c>
      <c r="AK46" s="80" t="n">
        <f aca="false">SUM(AK15:AK44)</f>
        <v>4156.7</v>
      </c>
      <c r="AL46" s="80" t="n">
        <f aca="false">SUM(AL15:AL44)</f>
        <v>0</v>
      </c>
      <c r="AM46" s="94" t="n">
        <f aca="false">SUM(AM15:AM44)</f>
        <v>4156.7</v>
      </c>
      <c r="AN46" s="94" t="n">
        <f aca="false">SUM(AN14:AN44)</f>
        <v>0</v>
      </c>
      <c r="AO46" s="148" t="n">
        <f aca="false">SUM(AO15:AO44)</f>
        <v>292.58</v>
      </c>
      <c r="AP46" s="147"/>
      <c r="AQ46" s="144"/>
      <c r="AR46" s="144"/>
      <c r="AS46" s="101"/>
      <c r="AT46" s="80" t="n">
        <f aca="false">SUM(AT15:AT44)</f>
        <v>9.32</v>
      </c>
      <c r="AU46" s="1"/>
      <c r="AV46" s="102" t="n">
        <f aca="false">SUM(AV15:AV44)</f>
        <v>1.03</v>
      </c>
      <c r="AW46" s="103" t="n">
        <f aca="false">AVERAGE(AW15:AW44)</f>
        <v>57.8333333333333</v>
      </c>
      <c r="AX46" s="103" t="n">
        <f aca="false">AVERAGE(AX15:AX44)</f>
        <v>31.3333333333333</v>
      </c>
      <c r="AY46" s="345" t="s">
        <v>125</v>
      </c>
      <c r="AZ46" s="367" t="n">
        <f aca="false">SUM(AZ15:AZ44)</f>
        <v>186.962157151845</v>
      </c>
    </row>
    <row r="47" customFormat="false" ht="12.95" hidden="false" customHeight="true" outlineLevel="0" collapsed="false">
      <c r="A47" s="11" t="s">
        <v>103</v>
      </c>
      <c r="B47" s="344"/>
      <c r="C47" s="94"/>
      <c r="D47" s="94" t="n">
        <f aca="false">SUM(D15:D44)</f>
        <v>37319</v>
      </c>
      <c r="E47" s="94"/>
      <c r="F47" s="345" t="n">
        <f aca="false">F46*$D$2</f>
        <v>37319</v>
      </c>
      <c r="G47" s="80" t="n">
        <f aca="false">G46*$D$2</f>
        <v>30686.7285</v>
      </c>
      <c r="H47" s="80" t="n">
        <f aca="false">H46*$D$2</f>
        <v>3929.11515</v>
      </c>
      <c r="I47" s="80" t="n">
        <f aca="false">I46*$D$2</f>
        <v>34615.84365</v>
      </c>
      <c r="J47" s="80" t="n">
        <f aca="false">J46*$D$2</f>
        <v>10947.9708</v>
      </c>
      <c r="K47" s="80" t="n">
        <f aca="false">K46*$D$2</f>
        <v>45563.81445</v>
      </c>
      <c r="L47" s="80" t="n">
        <f aca="false">L46*$D$2</f>
        <v>10947.9708</v>
      </c>
      <c r="M47" s="98" t="n">
        <f aca="false">M46*$D$2</f>
        <v>4102.47305</v>
      </c>
      <c r="N47" s="94" t="n">
        <f aca="false">N46*$D$2</f>
        <v>56.0774227425</v>
      </c>
      <c r="O47" s="94" t="n">
        <f aca="false">O46*$D$2</f>
        <v>2754.10859325</v>
      </c>
      <c r="P47" s="83" t="n">
        <f aca="false">P46*$D$2</f>
        <v>0</v>
      </c>
      <c r="Q47" s="94" t="n">
        <f aca="false">Q46*$D$2</f>
        <v>95.8803318080964</v>
      </c>
      <c r="R47" s="94" t="n">
        <f aca="false">R46*$D$2</f>
        <v>145.687376428088</v>
      </c>
      <c r="S47" s="94" t="n">
        <f aca="false">S46*$D$2</f>
        <v>0</v>
      </c>
      <c r="T47" s="94" t="n">
        <f aca="false">T46*$D$2</f>
        <v>73.194307732</v>
      </c>
      <c r="U47" s="346" t="n">
        <f aca="false">U46*$D$2</f>
        <v>0</v>
      </c>
      <c r="V47" s="80" t="n">
        <f aca="false">V46*$D$2</f>
        <v>378.0551</v>
      </c>
      <c r="W47" s="80" t="n">
        <f aca="false">W46*$D$2</f>
        <v>406.57783</v>
      </c>
      <c r="X47" s="80" t="n">
        <f aca="false">X46*$D$2</f>
        <v>1743.67172803932</v>
      </c>
      <c r="Y47" s="80" t="n">
        <f aca="false">Y46*$D$2</f>
        <v>1163.33929803932</v>
      </c>
      <c r="Z47" s="147"/>
      <c r="AA47" s="80"/>
      <c r="AB47" s="147"/>
      <c r="AC47" s="147"/>
      <c r="AD47" s="97"/>
      <c r="AE47" s="80" t="n">
        <f aca="false">AE46*$D$2</f>
        <v>381.10969</v>
      </c>
      <c r="AF47" s="98" t="n">
        <f aca="false">AF46*$D$2</f>
        <v>101.1585</v>
      </c>
      <c r="AG47" s="99" t="n">
        <f aca="false">AG46*$D$2</f>
        <v>77.3565</v>
      </c>
      <c r="AH47" s="80" t="n">
        <f aca="false">AH46*$D$2</f>
        <v>2995.085</v>
      </c>
      <c r="AI47" s="80"/>
      <c r="AJ47" s="80" t="n">
        <f aca="false">AJ46*$D$2</f>
        <v>0</v>
      </c>
      <c r="AK47" s="80" t="n">
        <f aca="false">AK46*$D$2</f>
        <v>8244.81445</v>
      </c>
      <c r="AL47" s="80" t="n">
        <f aca="false">AL46*$D$2</f>
        <v>0</v>
      </c>
      <c r="AM47" s="94" t="n">
        <f aca="false">AM46*$D$2</f>
        <v>8244.81445</v>
      </c>
      <c r="AN47" s="148" t="n">
        <f aca="false">AN46*$D$2</f>
        <v>0</v>
      </c>
      <c r="AO47" s="148" t="n">
        <f aca="false">AO46*$D$2</f>
        <v>580.33243</v>
      </c>
      <c r="AP47" s="147"/>
      <c r="AQ47" s="144" t="n">
        <f aca="false">SUM(AQ15:AQ44)</f>
        <v>121.135513750372</v>
      </c>
      <c r="AR47" s="144"/>
      <c r="AS47" s="101"/>
      <c r="AT47" s="80" t="n">
        <f aca="false">AT46*$D$2</f>
        <v>18.48622</v>
      </c>
      <c r="AU47" s="1"/>
      <c r="AV47" s="102"/>
      <c r="AW47" s="103" t="n">
        <f aca="false">MAX(AW15:AW44)</f>
        <v>70</v>
      </c>
      <c r="AX47" s="103" t="n">
        <f aca="false">MAX(AX15:AX44)</f>
        <v>42</v>
      </c>
      <c r="AY47" s="345" t="s">
        <v>104</v>
      </c>
      <c r="AZ47" s="367" t="n">
        <f aca="false">AZ46*$D$2</f>
        <v>370.839438710684</v>
      </c>
    </row>
    <row r="48" customFormat="false" ht="3" hidden="false" customHeight="true" outlineLevel="0" collapsed="false">
      <c r="A48" s="109"/>
      <c r="B48" s="365"/>
      <c r="C48" s="119"/>
      <c r="D48" s="119"/>
      <c r="E48" s="119"/>
      <c r="F48" s="358"/>
      <c r="G48" s="119"/>
      <c r="H48" s="116"/>
      <c r="I48" s="119"/>
      <c r="J48" s="119"/>
      <c r="K48" s="119"/>
      <c r="L48" s="119"/>
      <c r="M48" s="152"/>
      <c r="N48" s="119"/>
      <c r="O48" s="119"/>
      <c r="P48" s="356"/>
      <c r="Q48" s="119"/>
      <c r="R48" s="119"/>
      <c r="S48" s="119"/>
      <c r="T48" s="119"/>
      <c r="U48" s="357"/>
      <c r="V48" s="119"/>
      <c r="W48" s="119"/>
      <c r="X48" s="119"/>
      <c r="Y48" s="119"/>
      <c r="Z48" s="123"/>
      <c r="AA48" s="119"/>
      <c r="AB48" s="123"/>
      <c r="AC48" s="123"/>
      <c r="AD48" s="118"/>
      <c r="AE48" s="119"/>
      <c r="AF48" s="152"/>
      <c r="AG48" s="153"/>
      <c r="AH48" s="119"/>
      <c r="AI48" s="116"/>
      <c r="AJ48" s="119"/>
      <c r="AK48" s="119"/>
      <c r="AL48" s="119"/>
      <c r="AM48" s="119"/>
      <c r="AN48" s="154"/>
      <c r="AO48" s="118"/>
      <c r="AP48" s="123"/>
      <c r="AQ48" s="356"/>
      <c r="AR48" s="356"/>
      <c r="AS48" s="356"/>
      <c r="AT48" s="119"/>
      <c r="AU48" s="356"/>
      <c r="AV48" s="154"/>
      <c r="AW48" s="119"/>
      <c r="AX48" s="119"/>
      <c r="AY48" s="358"/>
      <c r="AZ48" s="359"/>
    </row>
    <row r="49" customFormat="false" ht="12.95" hidden="false" customHeight="true" outlineLevel="0" collapsed="false">
      <c r="A49" s="11" t="s">
        <v>105</v>
      </c>
      <c r="B49" s="344"/>
      <c r="C49" s="94"/>
      <c r="D49" s="94"/>
      <c r="E49" s="94"/>
      <c r="F49" s="345" t="n">
        <f aca="false">F46</f>
        <v>18814.7214519788</v>
      </c>
      <c r="G49" s="80" t="n">
        <f aca="false">G46</f>
        <v>15471</v>
      </c>
      <c r="H49" s="80" t="n">
        <f aca="false">H46</f>
        <v>1980.9</v>
      </c>
      <c r="I49" s="80" t="n">
        <f aca="false">I46</f>
        <v>17451.9</v>
      </c>
      <c r="J49" s="80" t="n">
        <f aca="false">J46</f>
        <v>5519.52145197883</v>
      </c>
      <c r="K49" s="80" t="n">
        <f aca="false">K46</f>
        <v>22971.4214519788</v>
      </c>
      <c r="L49" s="80" t="n">
        <f aca="false">L46</f>
        <v>5519.52145197883</v>
      </c>
      <c r="M49" s="98" t="n">
        <f aca="false">M46</f>
        <v>2068.3</v>
      </c>
      <c r="N49" s="94" t="n">
        <f aca="false">N46</f>
        <v>28.271955</v>
      </c>
      <c r="O49" s="94" t="n">
        <f aca="false">O12+O46</f>
        <v>1410.2445</v>
      </c>
      <c r="P49" s="83" t="n">
        <f aca="false">P12+P46</f>
        <v>0</v>
      </c>
      <c r="Q49" s="94"/>
      <c r="R49" s="94"/>
      <c r="S49" s="94"/>
      <c r="T49" s="94"/>
      <c r="U49" s="346"/>
      <c r="V49" s="80" t="n">
        <f aca="false">V46</f>
        <v>190.6</v>
      </c>
      <c r="W49" s="80" t="n">
        <f aca="false">W46</f>
        <v>204.98</v>
      </c>
      <c r="X49" s="80" t="n">
        <f aca="false">X12+X46</f>
        <v>879.088342848155</v>
      </c>
      <c r="Y49" s="80" t="n">
        <f aca="false">Y12+Y46</f>
        <v>586.508342848155</v>
      </c>
      <c r="Z49" s="80" t="n">
        <f aca="false">Z12+Z44</f>
        <v>15835.4771538751</v>
      </c>
      <c r="AA49" s="80"/>
      <c r="AB49" s="147"/>
      <c r="AC49" s="147"/>
      <c r="AD49" s="97"/>
      <c r="AE49" s="80" t="n">
        <f aca="false">AE46</f>
        <v>192.14</v>
      </c>
      <c r="AF49" s="98" t="n">
        <f aca="false">AF46</f>
        <v>51</v>
      </c>
      <c r="AG49" s="99" t="n">
        <f aca="false">AG46</f>
        <v>39</v>
      </c>
      <c r="AH49" s="80"/>
      <c r="AI49" s="80"/>
      <c r="AJ49" s="80" t="n">
        <f aca="false">AJ46</f>
        <v>0</v>
      </c>
      <c r="AK49" s="80" t="n">
        <f aca="false">AK46</f>
        <v>4156.7</v>
      </c>
      <c r="AL49" s="80" t="n">
        <f aca="false">AL46</f>
        <v>0</v>
      </c>
      <c r="AM49" s="94" t="n">
        <f aca="false">AM46</f>
        <v>4156.7</v>
      </c>
      <c r="AN49" s="94"/>
      <c r="AO49" s="97"/>
      <c r="AP49" s="147"/>
      <c r="AQ49" s="144"/>
      <c r="AR49" s="144"/>
      <c r="AS49" s="101"/>
      <c r="AT49" s="80" t="n">
        <f aca="false">AT46</f>
        <v>9.32</v>
      </c>
      <c r="AU49" s="1"/>
      <c r="AV49" s="102"/>
      <c r="AW49" s="103" t="n">
        <f aca="false">MIN(AW15:AW44)</f>
        <v>45</v>
      </c>
      <c r="AX49" s="103" t="n">
        <f aca="false">MIN(AX15:AX44)</f>
        <v>18</v>
      </c>
      <c r="AY49" s="345" t="s">
        <v>106</v>
      </c>
      <c r="AZ49" s="367" t="n">
        <f aca="false">AZ46</f>
        <v>186.962157151845</v>
      </c>
    </row>
    <row r="50" customFormat="false" ht="12.95" hidden="false" customHeight="true" outlineLevel="0" collapsed="false">
      <c r="A50" s="11" t="s">
        <v>107</v>
      </c>
      <c r="B50" s="344"/>
      <c r="C50" s="94"/>
      <c r="D50" s="94"/>
      <c r="E50" s="94"/>
      <c r="F50" s="345" t="n">
        <f aca="false">F49*$D$2</f>
        <v>37319</v>
      </c>
      <c r="G50" s="80" t="n">
        <f aca="false">G49*$D$2</f>
        <v>30686.7285</v>
      </c>
      <c r="H50" s="80" t="n">
        <f aca="false">H49*$D$2</f>
        <v>3929.11515</v>
      </c>
      <c r="I50" s="80" t="n">
        <f aca="false">I49*$D$2</f>
        <v>34615.84365</v>
      </c>
      <c r="J50" s="80" t="n">
        <f aca="false">J49*$D$2</f>
        <v>10947.9708</v>
      </c>
      <c r="K50" s="80" t="n">
        <f aca="false">K49*$D$2</f>
        <v>45563.81445</v>
      </c>
      <c r="L50" s="80" t="n">
        <f aca="false">L49*$D$2</f>
        <v>10947.9708</v>
      </c>
      <c r="M50" s="98" t="n">
        <f aca="false">M49*$D$2</f>
        <v>4102.47305</v>
      </c>
      <c r="N50" s="94" t="n">
        <f aca="false">N49*$D$2</f>
        <v>56.0774227425</v>
      </c>
      <c r="O50" s="94" t="n">
        <f aca="false">O49*$D$2</f>
        <v>2797.21996575</v>
      </c>
      <c r="P50" s="83" t="n">
        <f aca="false">P49*$D$2</f>
        <v>0</v>
      </c>
      <c r="Q50" s="94"/>
      <c r="R50" s="94"/>
      <c r="S50" s="94"/>
      <c r="T50" s="94"/>
      <c r="U50" s="346"/>
      <c r="V50" s="80" t="n">
        <f aca="false">V49*$D$2</f>
        <v>378.0551</v>
      </c>
      <c r="W50" s="80" t="n">
        <f aca="false">W49*$D$2</f>
        <v>406.57783</v>
      </c>
      <c r="X50" s="80" t="n">
        <f aca="false">X49*$D$2</f>
        <v>1743.67172803932</v>
      </c>
      <c r="Y50" s="80" t="n">
        <f aca="false">Y49*$D$2</f>
        <v>1163.33929803932</v>
      </c>
      <c r="Z50" s="80" t="n">
        <f aca="false">Z49*$D$2</f>
        <v>31409.6689347112</v>
      </c>
      <c r="AA50" s="80"/>
      <c r="AB50" s="147"/>
      <c r="AC50" s="147"/>
      <c r="AD50" s="97"/>
      <c r="AE50" s="80" t="n">
        <f aca="false">AE49*$D$2</f>
        <v>381.10969</v>
      </c>
      <c r="AF50" s="98" t="n">
        <f aca="false">AF49*$D$2</f>
        <v>101.1585</v>
      </c>
      <c r="AG50" s="99" t="n">
        <f aca="false">AG49*$D$2</f>
        <v>77.3565</v>
      </c>
      <c r="AH50" s="80"/>
      <c r="AI50" s="80"/>
      <c r="AJ50" s="80" t="n">
        <f aca="false">AJ49*$D$2</f>
        <v>0</v>
      </c>
      <c r="AK50" s="80" t="n">
        <f aca="false">AK49*$D$2</f>
        <v>8244.81445</v>
      </c>
      <c r="AL50" s="80" t="n">
        <f aca="false">AL49*$D$2</f>
        <v>0</v>
      </c>
      <c r="AM50" s="94" t="n">
        <f aca="false">AM49*$D$2</f>
        <v>8244.81445</v>
      </c>
      <c r="AN50" s="94"/>
      <c r="AO50" s="97"/>
      <c r="AP50" s="147"/>
      <c r="AQ50" s="144" t="n">
        <f aca="false">AQ47</f>
        <v>121.135513750372</v>
      </c>
      <c r="AR50" s="144"/>
      <c r="AS50" s="101"/>
      <c r="AT50" s="80" t="n">
        <f aca="false">AT49*$D$2</f>
        <v>18.48622</v>
      </c>
      <c r="AU50" s="1"/>
      <c r="AV50" s="102"/>
      <c r="AW50" s="103"/>
      <c r="AX50" s="103"/>
      <c r="AY50" s="286"/>
      <c r="AZ50" s="367" t="n">
        <f aca="false">AZ49*$D$2</f>
        <v>370.839438710684</v>
      </c>
    </row>
    <row r="51" customFormat="false" ht="3" hidden="false" customHeight="true" outlineLevel="0" collapsed="false">
      <c r="A51" s="109"/>
      <c r="B51" s="365"/>
      <c r="C51" s="119"/>
      <c r="D51" s="119"/>
      <c r="E51" s="119"/>
      <c r="F51" s="358"/>
      <c r="G51" s="119"/>
      <c r="H51" s="116"/>
      <c r="I51" s="119"/>
      <c r="J51" s="119"/>
      <c r="K51" s="119"/>
      <c r="L51" s="119"/>
      <c r="M51" s="152"/>
      <c r="N51" s="119"/>
      <c r="O51" s="119"/>
      <c r="P51" s="356"/>
      <c r="Q51" s="119"/>
      <c r="R51" s="119"/>
      <c r="S51" s="119"/>
      <c r="T51" s="119"/>
      <c r="U51" s="357"/>
      <c r="V51" s="119"/>
      <c r="W51" s="119"/>
      <c r="X51" s="119"/>
      <c r="Y51" s="119"/>
      <c r="Z51" s="123"/>
      <c r="AA51" s="119"/>
      <c r="AB51" s="123"/>
      <c r="AC51" s="123"/>
      <c r="AD51" s="118"/>
      <c r="AE51" s="119"/>
      <c r="AF51" s="152"/>
      <c r="AG51" s="153"/>
      <c r="AH51" s="119"/>
      <c r="AI51" s="119"/>
      <c r="AJ51" s="119"/>
      <c r="AK51" s="119"/>
      <c r="AL51" s="119"/>
      <c r="AM51" s="119"/>
      <c r="AN51" s="119"/>
      <c r="AO51" s="118"/>
      <c r="AP51" s="123"/>
      <c r="AQ51" s="356"/>
      <c r="AR51" s="356"/>
      <c r="AS51" s="356"/>
      <c r="AT51" s="356"/>
      <c r="AU51" s="356"/>
      <c r="AV51" s="125"/>
      <c r="AW51" s="368"/>
      <c r="AX51" s="368"/>
      <c r="AY51" s="358"/>
      <c r="AZ51" s="359"/>
    </row>
    <row r="52" customFormat="false" ht="12.95" hidden="false" customHeight="true" outlineLevel="0" collapsed="false">
      <c r="A52" s="11" t="s">
        <v>108</v>
      </c>
      <c r="B52" s="344"/>
      <c r="C52" s="94"/>
      <c r="D52" s="94"/>
      <c r="E52" s="94"/>
      <c r="F52" s="345" t="n">
        <f aca="false">F13+F46</f>
        <v>20416.4355936476</v>
      </c>
      <c r="G52" s="80" t="n">
        <f aca="false">G13+G46</f>
        <v>26706</v>
      </c>
      <c r="H52" s="80" t="n">
        <f aca="false">H13+H46</f>
        <v>2541.48</v>
      </c>
      <c r="I52" s="80" t="n">
        <f aca="false">I13+I46</f>
        <v>29247.48</v>
      </c>
      <c r="J52" s="80" t="n">
        <f aca="false">J13+J46</f>
        <v>8618.03190068062</v>
      </c>
      <c r="K52" s="80" t="n">
        <f aca="false">K13+K46</f>
        <v>37865.5119006806</v>
      </c>
      <c r="L52" s="80" t="n">
        <f aca="false">L13+L46</f>
        <v>7599.04559364759</v>
      </c>
      <c r="M52" s="98" t="n">
        <f aca="false">M13+M46</f>
        <v>2991.41</v>
      </c>
      <c r="N52" s="94" t="n">
        <f aca="false">N13+N46</f>
        <v>28.271955</v>
      </c>
      <c r="O52" s="94" t="n">
        <f aca="false">O13+O46</f>
        <v>1410.2445</v>
      </c>
      <c r="P52" s="83"/>
      <c r="Q52" s="94" t="n">
        <f aca="false">Q13+Q46</f>
        <v>303.352528391855</v>
      </c>
      <c r="R52" s="94" t="n">
        <f aca="false">R13+R46</f>
        <v>331.70589408603</v>
      </c>
      <c r="S52" s="94" t="n">
        <f aca="false">S13+S46</f>
        <v>0</v>
      </c>
      <c r="T52" s="94" t="n">
        <f aca="false">T13+T46</f>
        <v>204.712352</v>
      </c>
      <c r="U52" s="350" t="n">
        <f aca="false">U13+U46</f>
        <v>-12.2414035208269</v>
      </c>
      <c r="V52" s="80" t="n">
        <f aca="false">V13+V46</f>
        <v>6284.6</v>
      </c>
      <c r="W52" s="80" t="n">
        <f aca="false">W13+W46</f>
        <v>263.26</v>
      </c>
      <c r="X52" s="80" t="n">
        <f aca="false">X13+X46</f>
        <v>7263.90417404294</v>
      </c>
      <c r="Y52" s="80" t="n">
        <f aca="false">Y13+Y46</f>
        <v>6769.52494420274</v>
      </c>
      <c r="Z52" s="147"/>
      <c r="AA52" s="80"/>
      <c r="AB52" s="147"/>
      <c r="AC52" s="147"/>
      <c r="AD52" s="97"/>
      <c r="AE52" s="80"/>
      <c r="AF52" s="80" t="n">
        <f aca="false">AF13+AF46</f>
        <v>51</v>
      </c>
      <c r="AG52" s="80" t="n">
        <f aca="false">AG13+AG46</f>
        <v>39</v>
      </c>
      <c r="AH52" s="80" t="n">
        <f aca="false">AH13+AH46</f>
        <v>6708</v>
      </c>
      <c r="AI52" s="80" t="n">
        <f aca="false">AI44</f>
        <v>14521.2578774893</v>
      </c>
      <c r="AJ52" s="80" t="n">
        <f aca="false">AJ13+AJ46</f>
        <v>0</v>
      </c>
      <c r="AK52" s="80" t="n">
        <f aca="false">AK13+AK46</f>
        <v>16430.09</v>
      </c>
      <c r="AL52" s="80" t="n">
        <f aca="false">AL13+AL46</f>
        <v>1018.98630703302</v>
      </c>
      <c r="AM52" s="94" t="n">
        <f aca="false">AM13+AM46</f>
        <v>17449.076307033</v>
      </c>
      <c r="AN52" s="94"/>
      <c r="AO52" s="148" t="n">
        <f aca="false">AO13+AO46</f>
        <v>494.379229840203</v>
      </c>
      <c r="AP52" s="147"/>
      <c r="AQ52" s="144"/>
      <c r="AR52" s="144"/>
      <c r="AS52" s="101"/>
      <c r="AU52" s="1"/>
      <c r="AV52" s="102" t="n">
        <f aca="false">AV13+AV46</f>
        <v>5.353</v>
      </c>
      <c r="AW52" s="103"/>
      <c r="AX52" s="103"/>
      <c r="AY52" s="286"/>
      <c r="AZ52" s="367" t="n">
        <f aca="false">AZ13+AZ46</f>
        <v>855.801325957059</v>
      </c>
    </row>
    <row r="53" customFormat="false" ht="12.95" hidden="false" customHeight="true" outlineLevel="0" collapsed="false">
      <c r="A53" s="11" t="s">
        <v>109</v>
      </c>
      <c r="B53" s="369"/>
      <c r="C53" s="370"/>
      <c r="D53" s="370" t="n">
        <f aca="false">D13+D47</f>
        <v>40496</v>
      </c>
      <c r="E53" s="370" t="n">
        <f aca="false">E44</f>
        <v>165887</v>
      </c>
      <c r="F53" s="371" t="n">
        <f aca="false">F52*$D$2</f>
        <v>40496</v>
      </c>
      <c r="G53" s="80" t="n">
        <f aca="false">G52*$D$2</f>
        <v>52971.351</v>
      </c>
      <c r="H53" s="80" t="n">
        <f aca="false">H52*$D$2</f>
        <v>5041.02558</v>
      </c>
      <c r="I53" s="80" t="n">
        <f aca="false">I52*$D$2</f>
        <v>58012.37658</v>
      </c>
      <c r="J53" s="80" t="n">
        <f aca="false">J52*$D$2</f>
        <v>17093.866275</v>
      </c>
      <c r="K53" s="80" t="n">
        <f aca="false">K52*$D$2</f>
        <v>75106.242855</v>
      </c>
      <c r="L53" s="80" t="n">
        <f aca="false">L52*$D$2</f>
        <v>15072.706935</v>
      </c>
      <c r="M53" s="98" t="n">
        <f aca="false">M52*$D$2</f>
        <v>5933.461735</v>
      </c>
      <c r="N53" s="94" t="n">
        <f aca="false">N52*$D$2</f>
        <v>56.0774227425</v>
      </c>
      <c r="O53" s="94" t="n">
        <f aca="false">O52*$D$2</f>
        <v>2797.21996575</v>
      </c>
      <c r="P53" s="83"/>
      <c r="Q53" s="94" t="n">
        <f aca="false">Q52*$D$2</f>
        <v>601.699740065245</v>
      </c>
      <c r="R53" s="94" t="n">
        <f aca="false">R52*$D$2</f>
        <v>657.938640919641</v>
      </c>
      <c r="S53" s="94" t="n">
        <f aca="false">S52*$D$2</f>
        <v>0</v>
      </c>
      <c r="T53" s="94" t="n">
        <f aca="false">T52*$D$2</f>
        <v>406.046950192</v>
      </c>
      <c r="U53" s="350" t="n">
        <f aca="false">U52*$D$2</f>
        <v>-24.2808238835601</v>
      </c>
      <c r="V53" s="80" t="n">
        <f aca="false">V52*$D$2</f>
        <v>12465.5041</v>
      </c>
      <c r="W53" s="80" t="n">
        <f aca="false">W52*$D$2</f>
        <v>522.17621</v>
      </c>
      <c r="X53" s="80" t="n">
        <f aca="false">X52*$D$2</f>
        <v>14407.9539292142</v>
      </c>
      <c r="Y53" s="80" t="n">
        <f aca="false">Y52*$D$2</f>
        <v>13427.3527268261</v>
      </c>
      <c r="Z53" s="147"/>
      <c r="AA53" s="80"/>
      <c r="AB53" s="147"/>
      <c r="AC53" s="147"/>
      <c r="AD53" s="97"/>
      <c r="AE53" s="80"/>
      <c r="AF53" s="80" t="n">
        <f aca="false">AF52*$D$2</f>
        <v>101.1585</v>
      </c>
      <c r="AG53" s="80" t="n">
        <f aca="false">AG52*$D$2</f>
        <v>77.3565</v>
      </c>
      <c r="AH53" s="80" t="n">
        <f aca="false">AH52*$D$2</f>
        <v>13305.318</v>
      </c>
      <c r="AI53" s="80" t="n">
        <f aca="false">AI52*$D$2</f>
        <v>28802.915</v>
      </c>
      <c r="AJ53" s="80" t="n">
        <f aca="false">AJ52*$D$2</f>
        <v>0</v>
      </c>
      <c r="AK53" s="80" t="n">
        <f aca="false">AK52*$D$2</f>
        <v>32589.083515</v>
      </c>
      <c r="AL53" s="80" t="n">
        <f aca="false">AL52*$D$2</f>
        <v>2021.15934</v>
      </c>
      <c r="AM53" s="94" t="n">
        <f aca="false">AM52*$D$2</f>
        <v>34610.242855</v>
      </c>
      <c r="AN53" s="94" t="n">
        <f aca="false">AN13+AN47</f>
        <v>12038.85325</v>
      </c>
      <c r="AO53" s="148" t="n">
        <f aca="false">AO52*$D$2</f>
        <v>980.601202388042</v>
      </c>
      <c r="AP53" s="147"/>
      <c r="AQ53" s="144" t="n">
        <f aca="false">AQ47</f>
        <v>121.135513750372</v>
      </c>
      <c r="AR53" s="144"/>
      <c r="AS53" s="101"/>
      <c r="AU53" s="1"/>
      <c r="AV53" s="102"/>
      <c r="AW53" s="103"/>
      <c r="AX53" s="103"/>
      <c r="AY53" s="286"/>
      <c r="AZ53" s="367" t="n">
        <f aca="false">AZ52*$D$2</f>
        <v>1697.48193003583</v>
      </c>
    </row>
    <row r="54" customFormat="false" ht="3" hidden="false" customHeight="true" outlineLevel="0" collapsed="false">
      <c r="A54" s="109"/>
      <c r="B54" s="142"/>
      <c r="C54" s="111"/>
      <c r="D54" s="109"/>
      <c r="E54" s="111"/>
      <c r="F54" s="112"/>
      <c r="G54" s="109"/>
      <c r="H54" s="109"/>
      <c r="I54" s="109"/>
      <c r="J54" s="109"/>
      <c r="K54" s="109"/>
      <c r="L54" s="109"/>
      <c r="M54" s="114"/>
      <c r="N54" s="109"/>
      <c r="O54" s="109"/>
      <c r="P54" s="115"/>
      <c r="Q54" s="109"/>
      <c r="R54" s="109"/>
      <c r="S54" s="109"/>
      <c r="T54" s="109"/>
      <c r="U54" s="372"/>
      <c r="V54" s="109"/>
      <c r="W54" s="109"/>
      <c r="X54" s="109"/>
      <c r="Y54" s="109"/>
      <c r="Z54" s="157"/>
      <c r="AA54" s="109"/>
      <c r="AB54" s="157"/>
      <c r="AC54" s="157"/>
      <c r="AD54" s="161"/>
      <c r="AE54" s="109"/>
      <c r="AF54" s="114"/>
      <c r="AG54" s="160"/>
      <c r="AH54" s="109"/>
      <c r="AI54" s="111"/>
      <c r="AJ54" s="373"/>
      <c r="AK54" s="109"/>
      <c r="AL54" s="109"/>
      <c r="AM54" s="109"/>
      <c r="AN54" s="374"/>
      <c r="AO54" s="161"/>
      <c r="AP54" s="157"/>
      <c r="AQ54" s="115"/>
      <c r="AR54" s="115"/>
      <c r="AS54" s="115"/>
      <c r="AT54" s="375"/>
      <c r="AU54" s="376"/>
      <c r="AV54" s="142"/>
      <c r="AW54" s="109"/>
      <c r="AX54" s="109"/>
      <c r="AY54" s="358"/>
      <c r="AZ54" s="359"/>
    </row>
    <row r="55" customFormat="false" ht="14.1" hidden="false" customHeight="true" outlineLevel="0" collapsed="false">
      <c r="A55" s="166"/>
      <c r="B55" s="167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T55" s="11"/>
      <c r="V55" s="11"/>
      <c r="W55" s="11"/>
      <c r="X55" s="11"/>
      <c r="Y55" s="11"/>
      <c r="Z55" s="9"/>
      <c r="AA55" s="11"/>
      <c r="AB55" s="9"/>
      <c r="AC55" s="9"/>
      <c r="AD55" s="4"/>
      <c r="AE55" s="11"/>
      <c r="AF55" s="11"/>
      <c r="AG55" s="11"/>
      <c r="AH55" s="11"/>
      <c r="AI55" s="2"/>
      <c r="AJ55" s="105"/>
      <c r="AK55" s="11"/>
      <c r="AL55" s="11"/>
      <c r="AM55" s="26"/>
      <c r="AN55" s="2"/>
      <c r="AO55" s="4"/>
      <c r="AP55" s="377"/>
      <c r="AQ55" s="67"/>
      <c r="AR55" s="67"/>
      <c r="AS55" s="1"/>
      <c r="AT55" s="87"/>
      <c r="AU55" s="87"/>
      <c r="AV55" s="378"/>
      <c r="AW55" s="127"/>
      <c r="AX55" s="127"/>
    </row>
    <row r="56" customFormat="false" ht="11.1" hidden="false" customHeight="true" outlineLevel="0" collapsed="false">
      <c r="A56" s="11"/>
      <c r="B56" s="169"/>
      <c r="F56" s="11"/>
      <c r="G56" s="11"/>
      <c r="H56" s="11"/>
      <c r="I56" s="12"/>
      <c r="J56" s="11"/>
      <c r="K56" s="170"/>
      <c r="L56" s="11"/>
      <c r="M56" s="11"/>
      <c r="N56" s="11"/>
      <c r="O56" s="11"/>
      <c r="Q56" s="11"/>
      <c r="R56" s="11"/>
      <c r="S56" s="11"/>
      <c r="T56" s="11"/>
      <c r="V56" s="11"/>
      <c r="W56" s="11"/>
      <c r="X56" s="11"/>
      <c r="Y56" s="11"/>
      <c r="Z56" s="9"/>
      <c r="AA56" s="11"/>
      <c r="AB56" s="9"/>
      <c r="AC56" s="9"/>
      <c r="AD56" s="4"/>
      <c r="AE56" s="11"/>
      <c r="AF56" s="11"/>
      <c r="AG56" s="11"/>
      <c r="AH56" s="11"/>
      <c r="AI56" s="2"/>
      <c r="AJ56" s="105"/>
      <c r="AK56" s="11"/>
      <c r="AL56" s="11"/>
      <c r="AM56" s="130"/>
      <c r="AN56" s="2"/>
      <c r="AO56" s="4"/>
      <c r="AP56" s="377"/>
      <c r="AQ56" s="67"/>
      <c r="AR56" s="67"/>
      <c r="AS56" s="1"/>
      <c r="AT56" s="87"/>
      <c r="AU56" s="87"/>
      <c r="AV56" s="378"/>
      <c r="AW56" s="127"/>
      <c r="AX56" s="127"/>
    </row>
    <row r="57" customFormat="false" ht="11.1" hidden="false" customHeight="true" outlineLevel="0" collapsed="false">
      <c r="D57" s="2"/>
      <c r="H57" s="11"/>
      <c r="S57" s="4"/>
      <c r="T57" s="4"/>
      <c r="X57" s="1"/>
      <c r="Y57" s="1"/>
      <c r="Z57" s="9"/>
      <c r="AA57" s="1"/>
      <c r="AB57" s="9"/>
      <c r="AC57" s="9"/>
      <c r="AD57" s="4"/>
      <c r="AH57" s="1"/>
      <c r="AI57" s="2"/>
      <c r="AJ57" s="105"/>
      <c r="AM57" s="26"/>
      <c r="AN57" s="2"/>
      <c r="AO57" s="4"/>
      <c r="AP57" s="377"/>
      <c r="AQ57" s="67"/>
      <c r="AR57" s="67"/>
      <c r="AS57" s="1"/>
      <c r="AT57" s="87"/>
      <c r="AU57" s="87"/>
      <c r="AV57" s="378"/>
      <c r="AW57" s="127"/>
      <c r="AX57" s="127"/>
    </row>
    <row r="58" customFormat="false" ht="11.1" hidden="false" customHeight="true" outlineLevel="0" collapsed="false">
      <c r="B58" s="172"/>
      <c r="C58" s="173"/>
      <c r="D58" s="173"/>
      <c r="E58" s="379"/>
      <c r="H58" s="175"/>
      <c r="K58" s="380"/>
      <c r="L58" s="175"/>
      <c r="O58" s="175"/>
      <c r="P58" s="8"/>
      <c r="Q58" s="175"/>
      <c r="R58" s="175"/>
      <c r="S58" s="26"/>
      <c r="T58" s="26"/>
      <c r="U58" s="93"/>
      <c r="V58" s="26"/>
      <c r="W58" s="26"/>
      <c r="X58" s="90"/>
      <c r="Y58" s="90"/>
      <c r="Z58" s="178"/>
      <c r="AA58" s="90"/>
      <c r="AC58" s="178"/>
      <c r="AD58" s="178"/>
      <c r="AE58" s="173"/>
      <c r="AF58" s="173"/>
      <c r="AG58" s="173"/>
      <c r="AI58" s="173"/>
      <c r="AJ58" s="217"/>
      <c r="AN58" s="87"/>
      <c r="AO58" s="87"/>
      <c r="AP58" s="87"/>
    </row>
    <row r="59" customFormat="false" ht="11.1" hidden="false" customHeight="true" outlineLevel="0" collapsed="false">
      <c r="B59" s="8"/>
      <c r="C59" s="173"/>
      <c r="D59" s="173"/>
      <c r="E59" s="379"/>
      <c r="F59" s="381"/>
      <c r="G59" s="172"/>
      <c r="K59" s="170"/>
      <c r="Z59" s="2"/>
      <c r="AC59" s="2"/>
      <c r="AD59" s="2"/>
      <c r="AN59" s="87"/>
      <c r="AO59" s="87"/>
      <c r="AP59" s="87"/>
    </row>
    <row r="61" customFormat="false" ht="11.1" hidden="false" customHeight="true" outlineLevel="0" collapsed="false">
      <c r="B61" s="167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Y35" activePane="bottomRight" state="frozen"/>
      <selection pane="topLeft" activeCell="A1" activeCellId="0" sqref="A1"/>
      <selection pane="topRight" activeCell="Y1" activeCellId="0" sqref="Y1"/>
      <selection pane="bottomLeft" activeCell="A35" activeCellId="0" sqref="A35"/>
      <selection pane="bottomRight" activeCell="AI1" activeCellId="0" sqref="AI1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175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8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18" min="17" style="175" width="4.32"/>
    <col collapsed="false" customWidth="true" hidden="false" outlineLevel="0" max="20" min="19" style="261" width="4.32"/>
    <col collapsed="false" customWidth="true" hidden="false" outlineLevel="0" max="21" min="21" style="8" width="5.16"/>
    <col collapsed="false" customWidth="true" hidden="false" outlineLevel="0" max="23" min="22" style="172" width="5.49"/>
    <col collapsed="false" customWidth="true" hidden="false" outlineLevel="0" max="25" min="24" style="173" width="6.32"/>
    <col collapsed="false" customWidth="true" hidden="false" outlineLevel="0" max="26" min="26" style="172" width="5.49"/>
    <col collapsed="false" customWidth="true" hidden="false" outlineLevel="0" max="27" min="27" style="173" width="6.32"/>
    <col collapsed="false" customWidth="true" hidden="false" outlineLevel="0" max="28" min="28" style="172" width="5.49"/>
    <col collapsed="false" customWidth="true" hidden="false" outlineLevel="0" max="29" min="29" style="172" width="5.82"/>
    <col collapsed="false" customWidth="true" hidden="false" outlineLevel="0" max="33" min="30" style="172" width="5.49"/>
    <col collapsed="false" customWidth="true" hidden="false" outlineLevel="0" max="34" min="34" style="178" width="6.32"/>
    <col collapsed="false" customWidth="true" hidden="false" outlineLevel="0" max="35" min="35" style="172" width="5.49"/>
    <col collapsed="false" customWidth="true" hidden="false" outlineLevel="0" max="36" min="36" style="316" width="6.32"/>
    <col collapsed="false" customWidth="true" hidden="false" outlineLevel="0" max="37" min="37" style="172" width="6.32"/>
    <col collapsed="false" customWidth="true" hidden="false" outlineLevel="0" max="38" min="38" style="172" width="6.82"/>
    <col collapsed="false" customWidth="true" hidden="false" outlineLevel="0" max="39" min="39" style="8" width="6.82"/>
    <col collapsed="false" customWidth="true" hidden="false" outlineLevel="0" max="40" min="40" style="173" width="5.49"/>
    <col collapsed="false" customWidth="true" hidden="false" outlineLevel="0" max="41" min="41" style="172" width="5.49"/>
    <col collapsed="false" customWidth="true" hidden="false" outlineLevel="0" max="42" min="42" style="172" width="6.32"/>
    <col collapsed="false" customWidth="true" hidden="false" outlineLevel="0" max="43" min="43" style="315" width="6.32"/>
    <col collapsed="false" customWidth="true" hidden="false" outlineLevel="0" max="44" min="44" style="260" width="5.49"/>
    <col collapsed="false" customWidth="true" hidden="false" outlineLevel="0" max="45" min="45" style="172" width="5.32"/>
    <col collapsed="false" customWidth="true" hidden="false" outlineLevel="0" max="46" min="46" style="316" width="5.82"/>
    <col collapsed="false" customWidth="true" hidden="false" outlineLevel="0" max="47" min="47" style="176" width="4.99"/>
    <col collapsed="false" customWidth="true" hidden="false" outlineLevel="0" max="48" min="48" style="174" width="5.32"/>
    <col collapsed="false" customWidth="true" hidden="false" outlineLevel="0" max="49" min="49" style="178" width="3.82"/>
    <col collapsed="false" customWidth="true" hidden="false" outlineLevel="0" max="50" min="50" style="179" width="3.82"/>
    <col collapsed="false" customWidth="true" hidden="false" outlineLevel="0" max="51" min="51" style="172" width="3.82"/>
    <col collapsed="false" customWidth="true" hidden="false" outlineLevel="0" max="52" min="52" style="172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81"/>
      <c r="B1" s="181"/>
      <c r="D1" s="181"/>
      <c r="F1" s="181"/>
      <c r="G1" s="181"/>
      <c r="I1" s="181"/>
      <c r="J1" s="181"/>
      <c r="K1" s="382" t="s">
        <v>0</v>
      </c>
      <c r="L1" s="181"/>
      <c r="M1" s="181"/>
      <c r="O1" s="181"/>
      <c r="Q1" s="181"/>
      <c r="R1" s="181"/>
      <c r="V1" s="181"/>
      <c r="W1" s="181"/>
      <c r="Z1" s="181"/>
      <c r="AB1" s="181"/>
      <c r="AC1" s="181"/>
      <c r="AD1" s="181"/>
      <c r="AE1" s="181"/>
      <c r="AF1" s="181"/>
      <c r="AG1" s="181"/>
      <c r="AI1" s="181"/>
      <c r="AK1" s="181"/>
      <c r="AL1" s="181"/>
      <c r="AN1" s="217"/>
      <c r="AO1" s="184"/>
      <c r="AP1" s="184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I2" s="181"/>
      <c r="J2" s="181"/>
      <c r="K2" s="382" t="s">
        <v>126</v>
      </c>
      <c r="L2" s="186"/>
      <c r="M2" s="317"/>
      <c r="N2" s="315"/>
      <c r="O2" s="317"/>
      <c r="P2" s="315"/>
      <c r="Q2" s="317"/>
      <c r="R2" s="317"/>
      <c r="S2" s="383"/>
      <c r="T2" s="383"/>
      <c r="U2" s="315"/>
      <c r="V2" s="317"/>
      <c r="W2" s="317"/>
      <c r="X2" s="84"/>
      <c r="Y2" s="84"/>
      <c r="Z2" s="317"/>
      <c r="AA2" s="84"/>
      <c r="AB2" s="317"/>
      <c r="AC2" s="317"/>
      <c r="AD2" s="317"/>
      <c r="AE2" s="181"/>
      <c r="AF2" s="181"/>
      <c r="AG2" s="181"/>
      <c r="AI2" s="181"/>
      <c r="AK2" s="181"/>
      <c r="AL2" s="181"/>
      <c r="AN2" s="217"/>
      <c r="AO2" s="184"/>
      <c r="AP2" s="184"/>
    </row>
    <row r="3" customFormat="false" ht="14.1" hidden="false" customHeight="true" outlineLevel="0" collapsed="false">
      <c r="A3" s="181"/>
      <c r="B3" s="181"/>
      <c r="D3" s="384"/>
      <c r="F3" s="181"/>
      <c r="G3" s="181"/>
      <c r="I3" s="181"/>
      <c r="J3" s="181"/>
      <c r="K3" s="181"/>
      <c r="L3" s="181"/>
      <c r="M3" s="181"/>
      <c r="O3" s="181"/>
      <c r="Q3" s="181"/>
      <c r="R3" s="181"/>
      <c r="V3" s="181"/>
      <c r="W3" s="181"/>
      <c r="Z3" s="181"/>
      <c r="AB3" s="181"/>
      <c r="AC3" s="181"/>
      <c r="AD3" s="181"/>
      <c r="AE3" s="181"/>
      <c r="AF3" s="181"/>
      <c r="AG3" s="181"/>
      <c r="AI3" s="181"/>
      <c r="AK3" s="181"/>
      <c r="AL3" s="181"/>
      <c r="AN3" s="217"/>
      <c r="AO3" s="193"/>
      <c r="AP3" s="193"/>
    </row>
    <row r="4" s="172" customFormat="true" ht="14.1" hidden="false" customHeight="true" outlineLevel="0" collapsed="false">
      <c r="A4" s="385"/>
      <c r="B4" s="386"/>
      <c r="C4" s="387"/>
      <c r="D4" s="388" t="s">
        <v>3</v>
      </c>
      <c r="E4" s="387"/>
      <c r="F4" s="385"/>
      <c r="G4" s="386"/>
      <c r="H4" s="389"/>
      <c r="I4" s="390" t="s">
        <v>111</v>
      </c>
      <c r="J4" s="385"/>
      <c r="K4" s="385"/>
      <c r="L4" s="391"/>
      <c r="M4" s="385"/>
      <c r="N4" s="392"/>
      <c r="O4" s="385"/>
      <c r="P4" s="392"/>
      <c r="Q4" s="385"/>
      <c r="R4" s="385"/>
      <c r="S4" s="393"/>
      <c r="T4" s="393"/>
      <c r="U4" s="392"/>
      <c r="V4" s="390"/>
      <c r="W4" s="385"/>
      <c r="X4" s="390" t="s">
        <v>5</v>
      </c>
      <c r="Y4" s="387"/>
      <c r="Z4" s="385"/>
      <c r="AA4" s="387"/>
      <c r="AB4" s="385"/>
      <c r="AC4" s="385"/>
      <c r="AD4" s="385"/>
      <c r="AE4" s="385"/>
      <c r="AF4" s="385"/>
      <c r="AG4" s="385"/>
      <c r="AH4" s="394"/>
      <c r="AI4" s="385"/>
      <c r="AJ4" s="395"/>
      <c r="AK4" s="385"/>
      <c r="AL4" s="385"/>
      <c r="AM4" s="392"/>
      <c r="AN4" s="43"/>
      <c r="AO4" s="30"/>
      <c r="AP4" s="396" t="s">
        <v>6</v>
      </c>
      <c r="AQ4" s="47"/>
      <c r="AR4" s="397"/>
      <c r="AS4" s="48"/>
      <c r="AT4" s="395"/>
      <c r="AU4" s="395"/>
      <c r="AV4" s="398"/>
      <c r="AW4" s="399" t="s">
        <v>7</v>
      </c>
      <c r="AX4" s="400"/>
      <c r="AY4" s="401"/>
      <c r="AZ4" s="402"/>
    </row>
    <row r="5" customFormat="false" ht="12.95" hidden="false" customHeight="true" outlineLevel="0" collapsed="false">
      <c r="A5" s="313" t="s">
        <v>8</v>
      </c>
      <c r="B5" s="403" t="s">
        <v>9</v>
      </c>
      <c r="C5" s="404" t="s">
        <v>9</v>
      </c>
      <c r="D5" s="313" t="s">
        <v>10</v>
      </c>
      <c r="E5" s="404" t="s">
        <v>11</v>
      </c>
      <c r="F5" s="313" t="s">
        <v>12</v>
      </c>
      <c r="G5" s="403" t="s">
        <v>13</v>
      </c>
      <c r="H5" s="405" t="s">
        <v>14</v>
      </c>
      <c r="I5" s="313" t="s">
        <v>15</v>
      </c>
      <c r="J5" s="313" t="s">
        <v>16</v>
      </c>
      <c r="K5" s="313" t="s">
        <v>17</v>
      </c>
      <c r="L5" s="313" t="s">
        <v>16</v>
      </c>
      <c r="M5" s="406" t="s">
        <v>18</v>
      </c>
      <c r="N5" s="406"/>
      <c r="O5" s="406"/>
      <c r="P5" s="406"/>
      <c r="Q5" s="406"/>
      <c r="R5" s="406"/>
      <c r="S5" s="406"/>
      <c r="T5" s="406"/>
      <c r="U5" s="406"/>
      <c r="V5" s="313" t="s">
        <v>19</v>
      </c>
      <c r="W5" s="31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4" t="s">
        <v>22</v>
      </c>
      <c r="AD5" s="404" t="s">
        <v>21</v>
      </c>
      <c r="AE5" s="313" t="s">
        <v>23</v>
      </c>
      <c r="AF5" s="407" t="s">
        <v>127</v>
      </c>
      <c r="AG5" s="408"/>
      <c r="AH5" s="409" t="s">
        <v>25</v>
      </c>
      <c r="AI5" s="404" t="s">
        <v>128</v>
      </c>
      <c r="AJ5" s="405" t="s">
        <v>27</v>
      </c>
      <c r="AK5" s="313" t="s">
        <v>15</v>
      </c>
      <c r="AL5" s="313" t="s">
        <v>16</v>
      </c>
      <c r="AM5" s="313" t="s">
        <v>17</v>
      </c>
      <c r="AN5" s="6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5" t="s">
        <v>32</v>
      </c>
      <c r="AU5" s="202" t="s">
        <v>33</v>
      </c>
      <c r="AV5" s="410" t="s">
        <v>34</v>
      </c>
      <c r="AW5" s="409" t="s">
        <v>35</v>
      </c>
      <c r="AX5" s="409" t="s">
        <v>36</v>
      </c>
      <c r="AY5" s="264"/>
      <c r="AZ5" s="72" t="s">
        <v>17</v>
      </c>
    </row>
    <row r="6" customFormat="false" ht="12.95" hidden="false" customHeight="true" outlineLevel="0" collapsed="false">
      <c r="A6" s="411" t="s">
        <v>129</v>
      </c>
      <c r="B6" s="403" t="s">
        <v>38</v>
      </c>
      <c r="C6" s="404"/>
      <c r="D6" s="313" t="s">
        <v>39</v>
      </c>
      <c r="E6" s="404" t="s">
        <v>40</v>
      </c>
      <c r="F6" s="313" t="s">
        <v>41</v>
      </c>
      <c r="G6" s="403" t="s">
        <v>42</v>
      </c>
      <c r="H6" s="405" t="s">
        <v>43</v>
      </c>
      <c r="I6" s="313" t="s">
        <v>44</v>
      </c>
      <c r="J6" s="313" t="s">
        <v>44</v>
      </c>
      <c r="K6" s="313" t="s">
        <v>44</v>
      </c>
      <c r="L6" s="313" t="s">
        <v>45</v>
      </c>
      <c r="M6" s="412" t="s">
        <v>46</v>
      </c>
      <c r="N6" s="69" t="s">
        <v>47</v>
      </c>
      <c r="O6" s="31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3" t="s">
        <v>52</v>
      </c>
      <c r="V6" s="313" t="s">
        <v>53</v>
      </c>
      <c r="W6" s="31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4" t="s">
        <v>57</v>
      </c>
      <c r="AD6" s="404" t="s">
        <v>58</v>
      </c>
      <c r="AE6" s="313" t="s">
        <v>59</v>
      </c>
      <c r="AF6" s="74" t="s">
        <v>60</v>
      </c>
      <c r="AG6" s="77" t="s">
        <v>61</v>
      </c>
      <c r="AH6" s="409" t="s">
        <v>62</v>
      </c>
      <c r="AI6" s="404" t="s">
        <v>63</v>
      </c>
      <c r="AJ6" s="405"/>
      <c r="AK6" s="313" t="s">
        <v>64</v>
      </c>
      <c r="AL6" s="313" t="s">
        <v>64</v>
      </c>
      <c r="AM6" s="313" t="s">
        <v>64</v>
      </c>
      <c r="AN6" s="6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5" t="s">
        <v>70</v>
      </c>
      <c r="AU6" s="202" t="s">
        <v>71</v>
      </c>
      <c r="AV6" s="414"/>
      <c r="AW6" s="409" t="s">
        <v>72</v>
      </c>
      <c r="AX6" s="409" t="s">
        <v>72</v>
      </c>
      <c r="AY6" s="264"/>
      <c r="AZ6" s="72" t="s">
        <v>73</v>
      </c>
    </row>
    <row r="7" customFormat="false" ht="12.95" hidden="false" customHeight="true" outlineLevel="0" collapsed="false">
      <c r="A7" s="313"/>
      <c r="B7" s="403"/>
      <c r="C7" s="404"/>
      <c r="D7" s="313"/>
      <c r="E7" s="404"/>
      <c r="F7" s="313"/>
      <c r="G7" s="403"/>
      <c r="H7" s="405"/>
      <c r="I7" s="313"/>
      <c r="J7" s="313"/>
      <c r="K7" s="313"/>
      <c r="L7" s="415"/>
      <c r="M7" s="313"/>
      <c r="N7" s="69" t="s">
        <v>74</v>
      </c>
      <c r="O7" s="31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3" t="s">
        <v>77</v>
      </c>
      <c r="V7" s="313"/>
      <c r="W7" s="31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4"/>
      <c r="AD7" s="404"/>
      <c r="AE7" s="313"/>
      <c r="AF7" s="79" t="n">
        <v>1.7</v>
      </c>
      <c r="AG7" s="79" t="n">
        <v>1.3</v>
      </c>
      <c r="AH7" s="409"/>
      <c r="AI7" s="404"/>
      <c r="AJ7" s="405"/>
      <c r="AK7" s="313"/>
      <c r="AL7" s="313"/>
      <c r="AM7" s="313"/>
      <c r="AN7" s="6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5" t="s">
        <v>87</v>
      </c>
      <c r="AU7" s="202" t="s">
        <v>88</v>
      </c>
      <c r="AV7" s="414"/>
      <c r="AW7" s="409"/>
      <c r="AX7" s="409"/>
      <c r="AY7" s="264"/>
      <c r="AZ7" s="72" t="s">
        <v>89</v>
      </c>
    </row>
    <row r="8" customFormat="false" ht="12.95" hidden="false" customHeight="true" outlineLevel="0" collapsed="false">
      <c r="A8" s="313"/>
      <c r="B8" s="403"/>
      <c r="C8" s="404"/>
      <c r="D8" s="313"/>
      <c r="E8" s="404"/>
      <c r="F8" s="313"/>
      <c r="G8" s="403"/>
      <c r="H8" s="405"/>
      <c r="I8" s="313"/>
      <c r="J8" s="313"/>
      <c r="K8" s="313"/>
      <c r="L8" s="415"/>
      <c r="M8" s="313"/>
      <c r="N8" s="69"/>
      <c r="O8" s="313"/>
      <c r="P8" s="69"/>
      <c r="Q8" s="58" t="s">
        <v>61</v>
      </c>
      <c r="R8" s="58" t="s">
        <v>61</v>
      </c>
      <c r="S8" s="58"/>
      <c r="T8" s="58"/>
      <c r="U8" s="413"/>
      <c r="V8" s="313"/>
      <c r="W8" s="31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4"/>
      <c r="AD8" s="404"/>
      <c r="AE8" s="313"/>
      <c r="AF8" s="416"/>
      <c r="AG8" s="417"/>
      <c r="AH8" s="409"/>
      <c r="AI8" s="404"/>
      <c r="AJ8" s="405"/>
      <c r="AK8" s="313"/>
      <c r="AL8" s="313"/>
      <c r="AM8" s="313"/>
      <c r="AN8" s="66"/>
      <c r="AO8" s="61"/>
      <c r="AP8" s="67"/>
      <c r="AQ8" s="67"/>
      <c r="AR8" s="62"/>
      <c r="AS8" s="68"/>
      <c r="AT8" s="405"/>
      <c r="AU8" s="202"/>
      <c r="AV8" s="414"/>
      <c r="AW8" s="409"/>
      <c r="AX8" s="409"/>
      <c r="AY8" s="264"/>
      <c r="AZ8" s="72"/>
    </row>
    <row r="9" customFormat="false" ht="12.95" hidden="false" customHeight="true" outlineLevel="0" collapsed="false">
      <c r="A9" s="313"/>
      <c r="B9" s="403"/>
      <c r="C9" s="404"/>
      <c r="D9" s="313"/>
      <c r="E9" s="404"/>
      <c r="F9" s="313"/>
      <c r="G9" s="403"/>
      <c r="H9" s="405"/>
      <c r="I9" s="313"/>
      <c r="J9" s="313"/>
      <c r="K9" s="313"/>
      <c r="L9" s="415"/>
      <c r="M9" s="313"/>
      <c r="N9" s="69"/>
      <c r="O9" s="313"/>
      <c r="P9" s="69"/>
      <c r="Q9" s="58"/>
      <c r="R9" s="81" t="n">
        <v>4.2</v>
      </c>
      <c r="S9" s="58"/>
      <c r="T9" s="58"/>
      <c r="U9" s="413"/>
      <c r="V9" s="313"/>
      <c r="W9" s="313"/>
      <c r="X9" s="65"/>
      <c r="Y9" s="57" t="s">
        <v>90</v>
      </c>
      <c r="Z9" s="61"/>
      <c r="AA9" s="57" t="s">
        <v>90</v>
      </c>
      <c r="AB9" s="61" t="s">
        <v>93</v>
      </c>
      <c r="AC9" s="404"/>
      <c r="AD9" s="404"/>
      <c r="AE9" s="313"/>
      <c r="AF9" s="416"/>
      <c r="AG9" s="417"/>
      <c r="AH9" s="409"/>
      <c r="AI9" s="404"/>
      <c r="AJ9" s="405"/>
      <c r="AK9" s="313"/>
      <c r="AL9" s="313"/>
      <c r="AM9" s="313"/>
      <c r="AN9" s="66"/>
      <c r="AO9" s="61"/>
      <c r="AP9" s="67"/>
      <c r="AQ9" s="67"/>
      <c r="AR9" s="62"/>
      <c r="AS9" s="68"/>
      <c r="AT9" s="405"/>
      <c r="AU9" s="202"/>
      <c r="AV9" s="414"/>
      <c r="AW9" s="409"/>
      <c r="AX9" s="409"/>
      <c r="AY9" s="264"/>
      <c r="AZ9" s="72"/>
    </row>
    <row r="10" customFormat="false" ht="12.95" hidden="false" customHeight="true" outlineLevel="0" collapsed="false">
      <c r="A10" s="313"/>
      <c r="B10" s="403"/>
      <c r="C10" s="404" t="s">
        <v>10</v>
      </c>
      <c r="D10" s="313"/>
      <c r="E10" s="404" t="s">
        <v>95</v>
      </c>
      <c r="F10" s="313"/>
      <c r="G10" s="403" t="s">
        <v>41</v>
      </c>
      <c r="H10" s="405" t="s">
        <v>41</v>
      </c>
      <c r="I10" s="405" t="s">
        <v>41</v>
      </c>
      <c r="J10" s="405" t="s">
        <v>41</v>
      </c>
      <c r="K10" s="405" t="s">
        <v>41</v>
      </c>
      <c r="L10" s="418" t="s">
        <v>41</v>
      </c>
      <c r="M10" s="405" t="s">
        <v>41</v>
      </c>
      <c r="N10" s="405" t="s">
        <v>41</v>
      </c>
      <c r="O10" s="405" t="s">
        <v>41</v>
      </c>
      <c r="P10" s="405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18" t="s">
        <v>41</v>
      </c>
      <c r="V10" s="405" t="s">
        <v>41</v>
      </c>
      <c r="W10" s="405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5" t="s">
        <v>41</v>
      </c>
      <c r="AD10" s="405" t="s">
        <v>41</v>
      </c>
      <c r="AE10" s="405" t="s">
        <v>41</v>
      </c>
      <c r="AF10" s="419" t="s">
        <v>41</v>
      </c>
      <c r="AG10" s="418" t="s">
        <v>41</v>
      </c>
      <c r="AH10" s="405" t="s">
        <v>41</v>
      </c>
      <c r="AI10" s="405" t="s">
        <v>41</v>
      </c>
      <c r="AJ10" s="405" t="s">
        <v>41</v>
      </c>
      <c r="AK10" s="405" t="s">
        <v>41</v>
      </c>
      <c r="AL10" s="405" t="s">
        <v>41</v>
      </c>
      <c r="AM10" s="405" t="s">
        <v>41</v>
      </c>
      <c r="AN10" s="61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2" t="s">
        <v>41</v>
      </c>
      <c r="AU10" s="61" t="s">
        <v>41</v>
      </c>
      <c r="AV10" s="414"/>
      <c r="AW10" s="409"/>
      <c r="AX10" s="409"/>
      <c r="AY10" s="264"/>
      <c r="AZ10" s="72" t="s">
        <v>97</v>
      </c>
    </row>
    <row r="11" customFormat="false" ht="12.95" hidden="false" customHeight="true" outlineLevel="0" collapsed="false">
      <c r="A11" s="313"/>
      <c r="B11" s="403"/>
      <c r="C11" s="404"/>
      <c r="D11" s="313"/>
      <c r="E11" s="404"/>
      <c r="F11" s="313"/>
      <c r="G11" s="403"/>
      <c r="H11" s="405"/>
      <c r="I11" s="313"/>
      <c r="J11" s="313"/>
      <c r="K11" s="313"/>
      <c r="L11" s="313"/>
      <c r="M11" s="412"/>
      <c r="N11" s="69" t="n">
        <v>1.03</v>
      </c>
      <c r="O11" s="420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3"/>
      <c r="V11" s="313"/>
      <c r="W11" s="31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4"/>
      <c r="AD11" s="404"/>
      <c r="AE11" s="313"/>
      <c r="AF11" s="416"/>
      <c r="AG11" s="417"/>
      <c r="AH11" s="409"/>
      <c r="AI11" s="404"/>
      <c r="AJ11" s="405"/>
      <c r="AK11" s="313"/>
      <c r="AL11" s="313"/>
      <c r="AM11" s="313"/>
      <c r="AN11" s="66"/>
      <c r="AO11" s="61"/>
      <c r="AP11" s="67"/>
      <c r="AQ11" s="67"/>
      <c r="AR11" s="62"/>
      <c r="AS11" s="87"/>
      <c r="AV11" s="414"/>
      <c r="AW11" s="409"/>
      <c r="AX11" s="409"/>
      <c r="AY11" s="264"/>
      <c r="AZ11" s="72" t="s">
        <v>41</v>
      </c>
    </row>
    <row r="12" customFormat="false" ht="12.95" hidden="false" customHeight="true" outlineLevel="0" collapsed="false">
      <c r="A12" s="184" t="s">
        <v>99</v>
      </c>
      <c r="B12" s="205"/>
      <c r="C12" s="107"/>
      <c r="D12" s="107"/>
      <c r="E12" s="107"/>
      <c r="F12" s="107" t="n">
        <f aca="false">APR!F49</f>
        <v>18814.7214519788</v>
      </c>
      <c r="G12" s="364" t="n">
        <f aca="false">APR!G49</f>
        <v>15471</v>
      </c>
      <c r="H12" s="136" t="n">
        <f aca="false">APR!H49</f>
        <v>1980.9</v>
      </c>
      <c r="I12" s="107" t="n">
        <f aca="false">APR!I49</f>
        <v>17451.9</v>
      </c>
      <c r="J12" s="107" t="n">
        <f aca="false">APR!J49</f>
        <v>5519.52145197883</v>
      </c>
      <c r="K12" s="107" t="n">
        <f aca="false">APR!K49</f>
        <v>22971.4214519788</v>
      </c>
      <c r="L12" s="107" t="n">
        <f aca="false">APR!L49</f>
        <v>5519.52145197883</v>
      </c>
      <c r="M12" s="208" t="n">
        <f aca="false">APR!M49</f>
        <v>2068.3</v>
      </c>
      <c r="N12" s="136" t="n">
        <f aca="false">APR!N49</f>
        <v>28.271955</v>
      </c>
      <c r="O12" s="107" t="n">
        <f aca="false">APR!O49</f>
        <v>1410.2445</v>
      </c>
      <c r="P12" s="155" t="n">
        <f aca="false">APR!P49</f>
        <v>0</v>
      </c>
      <c r="Q12" s="107"/>
      <c r="R12" s="107"/>
      <c r="S12" s="328"/>
      <c r="T12" s="328"/>
      <c r="U12" s="209"/>
      <c r="V12" s="107" t="n">
        <f aca="false">APR!V49</f>
        <v>190.6</v>
      </c>
      <c r="W12" s="107" t="n">
        <f aca="false">APR!W49</f>
        <v>204.98</v>
      </c>
      <c r="X12" s="107" t="n">
        <f aca="false">APR!X49</f>
        <v>879.088342848155</v>
      </c>
      <c r="Y12" s="107" t="n">
        <f aca="false">APR!Y49</f>
        <v>586.508342848155</v>
      </c>
      <c r="Z12" s="107" t="n">
        <f aca="false">APR!Z44</f>
        <v>15835.4771538751</v>
      </c>
      <c r="AA12" s="107"/>
      <c r="AB12" s="107" t="n">
        <f aca="false">APR!AB44</f>
        <v>32573.0082327505</v>
      </c>
      <c r="AC12" s="107" t="n">
        <f aca="false">APR!AC44</f>
        <v>1656.67255272181</v>
      </c>
      <c r="AD12" s="107"/>
      <c r="AE12" s="107" t="n">
        <f aca="false">APR!AE49</f>
        <v>192.14</v>
      </c>
      <c r="AF12" s="208" t="n">
        <f aca="false">APR!AF49</f>
        <v>51</v>
      </c>
      <c r="AG12" s="210" t="n">
        <f aca="false">APR!AG49</f>
        <v>39</v>
      </c>
      <c r="AH12" s="207"/>
      <c r="AI12" s="107"/>
      <c r="AJ12" s="136" t="n">
        <f aca="false">APR!AJ49</f>
        <v>0</v>
      </c>
      <c r="AK12" s="107" t="n">
        <f aca="false">APR!AK49</f>
        <v>4156.7</v>
      </c>
      <c r="AL12" s="107" t="n">
        <f aca="false">APR!AL49</f>
        <v>0</v>
      </c>
      <c r="AM12" s="107" t="n">
        <f aca="false">APR!AM49</f>
        <v>4156.7</v>
      </c>
      <c r="AN12" s="364"/>
      <c r="AO12" s="207"/>
      <c r="AP12" s="135"/>
      <c r="AQ12" s="155" t="n">
        <f aca="false">APR!AQ50</f>
        <v>121.135513750372</v>
      </c>
      <c r="AR12" s="136"/>
      <c r="AS12" s="107" t="n">
        <f aca="false">APR!AS49</f>
        <v>0</v>
      </c>
      <c r="AT12" s="136" t="n">
        <f aca="false">APR!AT49</f>
        <v>9.32</v>
      </c>
      <c r="AV12" s="214"/>
      <c r="AW12" s="207"/>
      <c r="AX12" s="207"/>
      <c r="AY12" s="264"/>
      <c r="AZ12" s="421"/>
    </row>
    <row r="13" s="222" customFormat="true" ht="12.95" hidden="false" customHeight="true" outlineLevel="0" collapsed="false">
      <c r="A13" s="217" t="s">
        <v>100</v>
      </c>
      <c r="B13" s="106" t="n">
        <f aca="false">APR!B44</f>
        <v>6908.97</v>
      </c>
      <c r="C13" s="107" t="n">
        <f aca="false">APR!C44</f>
        <v>317887</v>
      </c>
      <c r="D13" s="107" t="n">
        <f aca="false">APR!D53</f>
        <v>40496</v>
      </c>
      <c r="E13" s="107" t="n">
        <f aca="false">APR!E53</f>
        <v>165887</v>
      </c>
      <c r="F13" s="107" t="n">
        <f aca="false">APR!F52</f>
        <v>20416.4355936476</v>
      </c>
      <c r="G13" s="364" t="n">
        <f aca="false">APR!G52</f>
        <v>26706</v>
      </c>
      <c r="H13" s="136" t="n">
        <f aca="false">APR!H52</f>
        <v>2541.48</v>
      </c>
      <c r="I13" s="107" t="n">
        <f aca="false">APR!I52</f>
        <v>29247.48</v>
      </c>
      <c r="J13" s="107" t="n">
        <f aca="false">APR!J52</f>
        <v>8618.03190068062</v>
      </c>
      <c r="K13" s="107" t="n">
        <f aca="false">APR!K52</f>
        <v>37865.5119006806</v>
      </c>
      <c r="L13" s="107" t="n">
        <f aca="false">APR!L52</f>
        <v>7599.04559364759</v>
      </c>
      <c r="M13" s="208" t="n">
        <f aca="false">APR!M52</f>
        <v>2991.41</v>
      </c>
      <c r="N13" s="136" t="n">
        <f aca="false">APR!N52</f>
        <v>28.271955</v>
      </c>
      <c r="O13" s="107" t="n">
        <f aca="false">APR!O52</f>
        <v>1410.2445</v>
      </c>
      <c r="P13" s="155"/>
      <c r="Q13" s="107" t="n">
        <f aca="false">APR!Q52</f>
        <v>303.352528391855</v>
      </c>
      <c r="R13" s="107" t="n">
        <f aca="false">APR!R52</f>
        <v>331.70589408603</v>
      </c>
      <c r="S13" s="269" t="n">
        <f aca="false">APR!S52</f>
        <v>0</v>
      </c>
      <c r="T13" s="218" t="n">
        <f aca="false">APR!T52</f>
        <v>204.712352</v>
      </c>
      <c r="U13" s="422" t="n">
        <f aca="false">APR!U52</f>
        <v>-12.2414035208269</v>
      </c>
      <c r="V13" s="107" t="n">
        <f aca="false">APR!V52</f>
        <v>6284.6</v>
      </c>
      <c r="W13" s="107" t="n">
        <f aca="false">APR!W52</f>
        <v>263.26</v>
      </c>
      <c r="X13" s="107" t="n">
        <f aca="false">APR!X52</f>
        <v>7263.90417404294</v>
      </c>
      <c r="Y13" s="80" t="n">
        <f aca="false">APR!Y52</f>
        <v>6769.52494420274</v>
      </c>
      <c r="Z13" s="107"/>
      <c r="AA13" s="80"/>
      <c r="AB13" s="107"/>
      <c r="AC13" s="107"/>
      <c r="AD13" s="107"/>
      <c r="AE13" s="107"/>
      <c r="AF13" s="208"/>
      <c r="AG13" s="210"/>
      <c r="AH13" s="207" t="n">
        <f aca="false">APR!AH52</f>
        <v>6708</v>
      </c>
      <c r="AI13" s="107" t="n">
        <f aca="false">APR!AI52</f>
        <v>14521.2578774893</v>
      </c>
      <c r="AJ13" s="136" t="n">
        <f aca="false">APR!AJ52</f>
        <v>0</v>
      </c>
      <c r="AK13" s="107" t="n">
        <f aca="false">APR!AK52</f>
        <v>16430.09</v>
      </c>
      <c r="AL13" s="107" t="n">
        <f aca="false">APR!AL52</f>
        <v>1018.98630703302</v>
      </c>
      <c r="AM13" s="107" t="n">
        <f aca="false">APR!AM52</f>
        <v>17449.076307033</v>
      </c>
      <c r="AN13" s="423" t="n">
        <f aca="false">APR!AN53</f>
        <v>12038.85325</v>
      </c>
      <c r="AO13" s="324" t="n">
        <f aca="false">APR!AO52</f>
        <v>494.379229840203</v>
      </c>
      <c r="AP13" s="107"/>
      <c r="AQ13" s="155"/>
      <c r="AR13" s="136"/>
      <c r="AS13" s="107" t="n">
        <f aca="false">APR!AS52</f>
        <v>0</v>
      </c>
      <c r="AT13" s="136"/>
      <c r="AU13" s="173"/>
      <c r="AV13" s="214" t="n">
        <f aca="false">APR!AV52</f>
        <v>5.353</v>
      </c>
      <c r="AW13" s="207"/>
      <c r="AX13" s="207"/>
      <c r="AY13" s="268"/>
      <c r="AZ13" s="424" t="n">
        <f aca="false">APR!AZ52</f>
        <v>855.801325957059</v>
      </c>
    </row>
    <row r="14" customFormat="false" ht="2.25" hidden="false" customHeight="true" outlineLevel="0" collapsed="false">
      <c r="A14" s="223"/>
      <c r="B14" s="224"/>
      <c r="C14" s="225"/>
      <c r="D14" s="226"/>
      <c r="E14" s="225"/>
      <c r="F14" s="226"/>
      <c r="G14" s="244"/>
      <c r="H14" s="232"/>
      <c r="I14" s="226"/>
      <c r="J14" s="226"/>
      <c r="K14" s="226"/>
      <c r="L14" s="226"/>
      <c r="M14" s="229"/>
      <c r="N14" s="230"/>
      <c r="O14" s="226"/>
      <c r="P14" s="230"/>
      <c r="Q14" s="226"/>
      <c r="R14" s="226"/>
      <c r="S14" s="425"/>
      <c r="T14" s="425"/>
      <c r="U14" s="231"/>
      <c r="V14" s="226"/>
      <c r="W14" s="226"/>
      <c r="X14" s="226"/>
      <c r="Y14" s="226"/>
      <c r="Z14" s="225"/>
      <c r="AA14" s="226"/>
      <c r="AB14" s="225"/>
      <c r="AC14" s="225"/>
      <c r="AD14" s="225"/>
      <c r="AE14" s="226"/>
      <c r="AF14" s="229"/>
      <c r="AG14" s="233"/>
      <c r="AH14" s="235"/>
      <c r="AI14" s="225"/>
      <c r="AJ14" s="232"/>
      <c r="AK14" s="226"/>
      <c r="AL14" s="226"/>
      <c r="AM14" s="226"/>
      <c r="AN14" s="252"/>
      <c r="AO14" s="235"/>
      <c r="AP14" s="235"/>
      <c r="AQ14" s="230"/>
      <c r="AR14" s="232"/>
      <c r="AS14" s="230"/>
      <c r="AT14" s="232"/>
      <c r="AU14" s="232"/>
      <c r="AV14" s="237"/>
      <c r="AW14" s="235"/>
      <c r="AX14" s="235"/>
      <c r="AY14" s="249"/>
      <c r="AZ14" s="309"/>
    </row>
    <row r="15" customFormat="false" ht="12.95" hidden="false" customHeight="true" outlineLevel="0" collapsed="false">
      <c r="A15" s="179" t="n">
        <v>1</v>
      </c>
      <c r="B15" s="106" t="n">
        <v>6909.27</v>
      </c>
      <c r="C15" s="107" t="n">
        <v>319080</v>
      </c>
      <c r="D15" s="207" t="n">
        <f aca="false">C15-C13</f>
        <v>1193</v>
      </c>
      <c r="E15" s="107" t="n">
        <f aca="false">C15-152000</f>
        <v>167080</v>
      </c>
      <c r="F15" s="135" t="n">
        <f aca="false">D15/$D$2</f>
        <v>601.462062011596</v>
      </c>
      <c r="G15" s="205" t="n">
        <v>569</v>
      </c>
      <c r="H15" s="136" t="n">
        <v>26</v>
      </c>
      <c r="I15" s="135" t="n">
        <f aca="false">G15+H15</f>
        <v>595</v>
      </c>
      <c r="J15" s="136" t="n">
        <f aca="false">IF(L15&gt;0,L15,0)</f>
        <v>195.462062011596</v>
      </c>
      <c r="K15" s="135" t="n">
        <f aca="false">I15+J15</f>
        <v>790.462062011596</v>
      </c>
      <c r="L15" s="135" t="n">
        <f aca="false">F15-(I15-AK15)</f>
        <v>195.462062011596</v>
      </c>
      <c r="M15" s="240" t="n">
        <v>68</v>
      </c>
      <c r="N15" s="155" t="n">
        <f aca="false">(1.8299*1.03)/2</f>
        <v>0.9423985</v>
      </c>
      <c r="O15" s="135" t="n">
        <f aca="false">(0.56+5.4)*1.05</f>
        <v>6.258</v>
      </c>
      <c r="P15" s="155" t="n">
        <v>0</v>
      </c>
      <c r="Q15" s="328" t="n">
        <f aca="false">1067500/325851/1.9835*1.02</f>
        <v>1.68467756558285</v>
      </c>
      <c r="R15" s="328" t="n">
        <f aca="false">(2449439/325851/1.9835-T15)*1.04</f>
        <v>2.60366071629539</v>
      </c>
      <c r="S15" s="131" t="n">
        <v>0</v>
      </c>
      <c r="T15" s="131" t="n">
        <f aca="false">1.2368*1.04</f>
        <v>1.286272</v>
      </c>
      <c r="U15" s="346" t="n">
        <v>0</v>
      </c>
      <c r="V15" s="135" t="n">
        <v>38</v>
      </c>
      <c r="W15" s="135" t="n">
        <v>32</v>
      </c>
      <c r="X15" s="135" t="n">
        <f aca="false">M15-N15-O15-P15-Q15-R15-S15-T15-U15+V15+W15-AT15+AR15</f>
        <v>125.224991218122</v>
      </c>
      <c r="Y15" s="135" t="n">
        <f aca="false">X15-AO15</f>
        <v>120.224991218122</v>
      </c>
      <c r="Z15" s="107" t="n">
        <f aca="false">Z12+AP15</f>
        <v>16299.2638243751</v>
      </c>
      <c r="AA15" s="135"/>
      <c r="AB15" s="107" t="n">
        <f aca="false">AB12+(Y15+AP15)*1.9835</f>
        <v>33731.3953637684</v>
      </c>
      <c r="AC15" s="107" t="n">
        <f aca="false">AC12-(APR!AQ44/1.9835)</f>
        <v>1653.06840244498</v>
      </c>
      <c r="AD15" s="107"/>
      <c r="AE15" s="135" t="n">
        <v>0</v>
      </c>
      <c r="AF15" s="240" t="n">
        <v>1.7</v>
      </c>
      <c r="AG15" s="241" t="n">
        <v>1.3</v>
      </c>
      <c r="AH15" s="136" t="n">
        <v>51</v>
      </c>
      <c r="AI15" s="107" t="n">
        <f aca="false">AI13-AH15</f>
        <v>14470.2578774893</v>
      </c>
      <c r="AJ15" s="97"/>
      <c r="AK15" s="134" t="n">
        <f aca="false">N15+O15+P15+Q15+R15+S15+T15+U15+X15+AE15+AH15+AT15-AR15</f>
        <v>189</v>
      </c>
      <c r="AL15" s="135" t="n">
        <f aca="false">IF(L15&lt;0,L15*-1,0)</f>
        <v>0</v>
      </c>
      <c r="AM15" s="135" t="n">
        <f aca="false">AK15+AL15</f>
        <v>189</v>
      </c>
      <c r="AN15" s="364" t="n">
        <v>0</v>
      </c>
      <c r="AO15" s="207" t="n">
        <v>5</v>
      </c>
      <c r="AP15" s="147" t="n">
        <f aca="false">I15-Q15-R15-X15-AF15</f>
        <v>463.7866705</v>
      </c>
      <c r="AQ15" s="155" t="n">
        <f aca="false">47.9*(Z15*1.9835+AC15*1.9835)/E15</f>
        <v>10.208551601352</v>
      </c>
      <c r="AR15" s="136"/>
      <c r="AS15" s="213"/>
      <c r="AT15" s="175" t="n">
        <v>0</v>
      </c>
      <c r="AU15" s="172"/>
      <c r="AV15" s="214" t="n">
        <v>0</v>
      </c>
      <c r="AW15" s="207" t="n">
        <v>43</v>
      </c>
      <c r="AX15" s="207" t="n">
        <v>28</v>
      </c>
      <c r="AY15" s="264"/>
      <c r="AZ15" s="242" t="n">
        <f aca="false">SUM(N15,P15:U15)</f>
        <v>6.51700878187825</v>
      </c>
    </row>
    <row r="16" customFormat="false" ht="12.95" hidden="false" customHeight="true" outlineLevel="0" collapsed="false">
      <c r="A16" s="179" t="n">
        <f aca="false">A15+1</f>
        <v>2</v>
      </c>
      <c r="B16" s="106" t="n">
        <v>6909.49</v>
      </c>
      <c r="C16" s="107" t="n">
        <v>319956</v>
      </c>
      <c r="D16" s="207" t="n">
        <f aca="false">C16-C15</f>
        <v>876</v>
      </c>
      <c r="E16" s="107" t="n">
        <f aca="false">C16-152000</f>
        <v>167956</v>
      </c>
      <c r="F16" s="135" t="n">
        <f aca="false">D16/$D$2</f>
        <v>441.643559364759</v>
      </c>
      <c r="G16" s="205" t="n">
        <v>499</v>
      </c>
      <c r="H16" s="136" t="n">
        <v>9.9</v>
      </c>
      <c r="I16" s="135" t="n">
        <f aca="false">G16+H16</f>
        <v>508.9</v>
      </c>
      <c r="J16" s="136" t="n">
        <f aca="false">IF(L16&gt;0,L16,0)</f>
        <v>161.743559364759</v>
      </c>
      <c r="K16" s="135" t="n">
        <f aca="false">I16+J16</f>
        <v>670.643559364759</v>
      </c>
      <c r="L16" s="135" t="n">
        <f aca="false">F16-(I16-AK16)</f>
        <v>161.743559364759</v>
      </c>
      <c r="M16" s="240" t="n">
        <v>104</v>
      </c>
      <c r="N16" s="155" t="n">
        <f aca="false">(1.8299*1.03)/2</f>
        <v>0.9423985</v>
      </c>
      <c r="O16" s="135" t="n">
        <f aca="false">(15+14)*1.05</f>
        <v>30.45</v>
      </c>
      <c r="P16" s="155" t="n">
        <v>0</v>
      </c>
      <c r="Q16" s="328" t="n">
        <f aca="false">1025100/325851/1.9835*1.02</f>
        <v>1.61776390864542</v>
      </c>
      <c r="R16" s="328" t="n">
        <f aca="false">(2582292/325851/1.9835-T16)*1.04</f>
        <v>2.81743400679932</v>
      </c>
      <c r="S16" s="131" t="n">
        <v>0</v>
      </c>
      <c r="T16" s="131" t="n">
        <f aca="false">1.2368*1.04</f>
        <v>1.286272</v>
      </c>
      <c r="U16" s="346" t="n">
        <v>0</v>
      </c>
      <c r="V16" s="135" t="n">
        <v>39</v>
      </c>
      <c r="W16" s="135" t="n">
        <v>33</v>
      </c>
      <c r="X16" s="135" t="n">
        <f aca="false">M16-N16-O16-P16-Q16-R16-S16-T16-U16+V16+W16-AT16+AR16</f>
        <v>138.886131584555</v>
      </c>
      <c r="Y16" s="135" t="n">
        <f aca="false">X16-AO16</f>
        <v>133.886131584555</v>
      </c>
      <c r="Z16" s="107" t="n">
        <f aca="false">Z15+AP16</f>
        <v>16663.1424948751</v>
      </c>
      <c r="AA16" s="135"/>
      <c r="AB16" s="107" t="n">
        <f aca="false">AB15+(Y16+AP16)*1.9835</f>
        <v>34718.7118487031</v>
      </c>
      <c r="AC16" s="107" t="n">
        <f aca="false">AC15-(AQ15/1.9835)</f>
        <v>1647.92166606921</v>
      </c>
      <c r="AD16" s="107"/>
      <c r="AE16" s="135" t="n">
        <v>0</v>
      </c>
      <c r="AF16" s="240" t="n">
        <v>1.7</v>
      </c>
      <c r="AG16" s="241" t="n">
        <v>1.3</v>
      </c>
      <c r="AH16" s="136" t="n">
        <v>53</v>
      </c>
      <c r="AI16" s="107" t="n">
        <f aca="false">AI15-AH16</f>
        <v>14417.2578774893</v>
      </c>
      <c r="AJ16" s="97"/>
      <c r="AK16" s="134" t="n">
        <f aca="false">N16+O16+P16+Q16+R16+S16+T16+U16+X16+AE16+AH16+AT16-AR16</f>
        <v>229</v>
      </c>
      <c r="AL16" s="135" t="n">
        <f aca="false">IF(L16&lt;0,L16*-1,0)</f>
        <v>0</v>
      </c>
      <c r="AM16" s="135" t="n">
        <f aca="false">AK16+AL16</f>
        <v>229</v>
      </c>
      <c r="AN16" s="364" t="n">
        <v>0</v>
      </c>
      <c r="AO16" s="207" t="n">
        <v>5</v>
      </c>
      <c r="AP16" s="147" t="n">
        <f aca="false">I16-Q16-R16-X16-AF16</f>
        <v>363.8786705</v>
      </c>
      <c r="AQ16" s="155" t="n">
        <f aca="false">47.9*(Z16*1.9835+AC16*1.9835)/E16</f>
        <v>10.3582354727361</v>
      </c>
      <c r="AR16" s="136"/>
      <c r="AS16" s="213"/>
      <c r="AT16" s="175" t="n">
        <v>0</v>
      </c>
      <c r="AU16" s="172"/>
      <c r="AV16" s="214" t="n">
        <v>0</v>
      </c>
      <c r="AW16" s="207" t="n">
        <v>53</v>
      </c>
      <c r="AX16" s="207" t="n">
        <v>29</v>
      </c>
      <c r="AY16" s="264"/>
      <c r="AZ16" s="242" t="n">
        <f aca="false">SUM(N16,P16:U16)</f>
        <v>6.66386841544473</v>
      </c>
    </row>
    <row r="17" customFormat="false" ht="12.95" hidden="false" customHeight="true" outlineLevel="0" collapsed="false">
      <c r="A17" s="179" t="n">
        <f aca="false">A16+1</f>
        <v>3</v>
      </c>
      <c r="B17" s="106" t="n">
        <v>6909.59</v>
      </c>
      <c r="C17" s="107" t="n">
        <v>320354</v>
      </c>
      <c r="D17" s="207" t="n">
        <f aca="false">C17-C16</f>
        <v>398</v>
      </c>
      <c r="E17" s="107" t="n">
        <f aca="false">C17-152000</f>
        <v>168354</v>
      </c>
      <c r="F17" s="135" t="n">
        <f aca="false">D17/$D$2</f>
        <v>200.655407108646</v>
      </c>
      <c r="G17" s="205" t="n">
        <v>455</v>
      </c>
      <c r="H17" s="136" t="n">
        <v>4.6</v>
      </c>
      <c r="I17" s="135" t="n">
        <f aca="false">G17+H17</f>
        <v>459.6</v>
      </c>
      <c r="J17" s="136" t="n">
        <f aca="false">IF(L17&gt;0,L17,0)</f>
        <v>52.0554071086463</v>
      </c>
      <c r="K17" s="135" t="n">
        <f aca="false">I17+J17</f>
        <v>511.655407108646</v>
      </c>
      <c r="L17" s="135" t="n">
        <f aca="false">F17-(I17-AK17)</f>
        <v>52.0554071086463</v>
      </c>
      <c r="M17" s="240" t="n">
        <v>164</v>
      </c>
      <c r="N17" s="155" t="n">
        <f aca="false">(1.8299*1.03)/2</f>
        <v>0.9423985</v>
      </c>
      <c r="O17" s="135" t="n">
        <f aca="false">(33+32)*1.05</f>
        <v>68.25</v>
      </c>
      <c r="P17" s="155" t="n">
        <v>0</v>
      </c>
      <c r="Q17" s="328" t="n">
        <f aca="false">1129900/325851/1.9835*1.02</f>
        <v>1.78315426824549</v>
      </c>
      <c r="R17" s="328" t="n">
        <f aca="false">(3220243/325851/1.9835-T17)*1.04</f>
        <v>3.84395869536688</v>
      </c>
      <c r="S17" s="131" t="n">
        <v>0</v>
      </c>
      <c r="T17" s="131" t="n">
        <f aca="false">1.2368*1.04</f>
        <v>1.286272</v>
      </c>
      <c r="U17" s="346" t="n">
        <v>0</v>
      </c>
      <c r="V17" s="135" t="n">
        <v>42</v>
      </c>
      <c r="W17" s="135" t="n">
        <v>38</v>
      </c>
      <c r="X17" s="135" t="n">
        <f aca="false">M17-N17-O17-P17-Q17-R17-S17-T17-U17+V17+W17-AT17+AR17</f>
        <v>168.894216536388</v>
      </c>
      <c r="Y17" s="135" t="n">
        <f aca="false">X17-AO17</f>
        <v>163.894216536388</v>
      </c>
      <c r="Z17" s="107" t="n">
        <f aca="false">Z16+AP17</f>
        <v>16946.5211653751</v>
      </c>
      <c r="AA17" s="135"/>
      <c r="AB17" s="107" t="n">
        <f aca="false">AB16+(Y17+AP17)*1.9835</f>
        <v>35605.8776201398</v>
      </c>
      <c r="AC17" s="107" t="n">
        <f aca="false">AC16-(AQ16/1.9835)</f>
        <v>1642.69946517547</v>
      </c>
      <c r="AD17" s="107"/>
      <c r="AE17" s="135" t="n">
        <v>12</v>
      </c>
      <c r="AF17" s="240" t="n">
        <v>1.7</v>
      </c>
      <c r="AG17" s="241" t="n">
        <v>1.3</v>
      </c>
      <c r="AH17" s="136" t="n">
        <v>55</v>
      </c>
      <c r="AI17" s="107" t="n">
        <f aca="false">AI16-AH17</f>
        <v>14362.2578774893</v>
      </c>
      <c r="AJ17" s="97"/>
      <c r="AK17" s="134" t="n">
        <f aca="false">N17+O17+P17+Q17+R17+S17+T17+U17+X17+AE17+AH17+AT17-AR17</f>
        <v>311</v>
      </c>
      <c r="AL17" s="135" t="n">
        <f aca="false">IF(L17&lt;0,L17*-1,0)</f>
        <v>0</v>
      </c>
      <c r="AM17" s="135" t="n">
        <f aca="false">AK17+AL17</f>
        <v>311</v>
      </c>
      <c r="AN17" s="364" t="n">
        <v>0</v>
      </c>
      <c r="AO17" s="207" t="n">
        <v>5</v>
      </c>
      <c r="AP17" s="147" t="n">
        <f aca="false">I17-Q17-R17-X17-AF17</f>
        <v>283.3786705</v>
      </c>
      <c r="AQ17" s="155" t="n">
        <f aca="false">47.9*(Z17*1.9835+AC17*1.9835)/E17</f>
        <v>10.4907239856575</v>
      </c>
      <c r="AR17" s="136" t="n">
        <v>1</v>
      </c>
      <c r="AS17" s="213"/>
      <c r="AT17" s="175" t="n">
        <v>0</v>
      </c>
      <c r="AU17" s="172"/>
      <c r="AV17" s="214" t="n">
        <v>0</v>
      </c>
      <c r="AW17" s="207" t="n">
        <v>62</v>
      </c>
      <c r="AX17" s="207" t="n">
        <v>28</v>
      </c>
      <c r="AY17" s="264"/>
      <c r="AZ17" s="242" t="n">
        <f aca="false">SUM(N17,P17:U17)</f>
        <v>7.85578346361237</v>
      </c>
    </row>
    <row r="18" customFormat="false" ht="12.95" hidden="false" customHeight="true" outlineLevel="0" collapsed="false">
      <c r="A18" s="179" t="n">
        <f aca="false">A17+1</f>
        <v>4</v>
      </c>
      <c r="B18" s="106" t="n">
        <v>6909.74</v>
      </c>
      <c r="C18" s="107" t="n">
        <v>320951</v>
      </c>
      <c r="D18" s="207" t="n">
        <f aca="false">C18-C17</f>
        <v>597</v>
      </c>
      <c r="E18" s="107" t="n">
        <f aca="false">C18-152000</f>
        <v>168951</v>
      </c>
      <c r="F18" s="135" t="n">
        <f aca="false">D18/$D$2</f>
        <v>300.983110662969</v>
      </c>
      <c r="G18" s="205" t="n">
        <v>468</v>
      </c>
      <c r="H18" s="136" t="n">
        <v>2.5</v>
      </c>
      <c r="I18" s="135" t="n">
        <f aca="false">G18+H18</f>
        <v>470.5</v>
      </c>
      <c r="J18" s="136" t="n">
        <f aca="false">IF(L18&gt;0,L18,0)</f>
        <v>196.483110662969</v>
      </c>
      <c r="K18" s="135" t="n">
        <f aca="false">I18+J18</f>
        <v>666.98311066297</v>
      </c>
      <c r="L18" s="135" t="n">
        <f aca="false">F18-(I18-AK18)</f>
        <v>196.483110662969</v>
      </c>
      <c r="M18" s="240" t="n">
        <v>210</v>
      </c>
      <c r="N18" s="155" t="n">
        <f aca="false">(1.8299*1.03)/2</f>
        <v>0.9423985</v>
      </c>
      <c r="O18" s="135" t="n">
        <f aca="false">(48+46)*1.05</f>
        <v>98.7</v>
      </c>
      <c r="P18" s="155" t="n">
        <v>0</v>
      </c>
      <c r="Q18" s="328" t="n">
        <f aca="false">1205700/325851/1.9835*1.02</f>
        <v>1.90277821154402</v>
      </c>
      <c r="R18" s="328" t="n">
        <v>4.2</v>
      </c>
      <c r="S18" s="131" t="n">
        <f aca="false">((3495459/325851/1.9835-T18)*1.04)-4.2</f>
        <v>0.0868077836021985</v>
      </c>
      <c r="T18" s="131" t="n">
        <f aca="false">1.2368*1.04</f>
        <v>1.286272</v>
      </c>
      <c r="U18" s="346" t="n">
        <v>0</v>
      </c>
      <c r="V18" s="135" t="n">
        <v>46</v>
      </c>
      <c r="W18" s="135" t="n">
        <v>45</v>
      </c>
      <c r="X18" s="135" t="n">
        <f aca="false">M18-N18-O18-P18-Q18-R18-S18-T18-U18+V18+W18-AT18+AR18</f>
        <v>194.881743504854</v>
      </c>
      <c r="Y18" s="135" t="n">
        <f aca="false">X18-AO18</f>
        <v>189.881743504854</v>
      </c>
      <c r="Z18" s="107" t="n">
        <f aca="false">Z17+AP18</f>
        <v>17214.3366436587</v>
      </c>
      <c r="AA18" s="135"/>
      <c r="AB18" s="107" t="n">
        <f aca="false">AB17+(Y18+AP18)*1.9835</f>
        <v>36513.7200595572</v>
      </c>
      <c r="AC18" s="107" t="n">
        <f aca="false">AC17-(AQ17/1.9835)</f>
        <v>1637.41046896389</v>
      </c>
      <c r="AD18" s="107"/>
      <c r="AE18" s="135" t="n">
        <v>10</v>
      </c>
      <c r="AF18" s="240" t="n">
        <v>1.7</v>
      </c>
      <c r="AG18" s="241" t="n">
        <v>1.3</v>
      </c>
      <c r="AH18" s="136" t="n">
        <v>55</v>
      </c>
      <c r="AI18" s="107" t="n">
        <f aca="false">AI17-AH18</f>
        <v>14307.2578774893</v>
      </c>
      <c r="AJ18" s="97"/>
      <c r="AK18" s="134" t="n">
        <f aca="false">N18+O18+P18+Q18+R18+S18+T18+U18+X18+AE18+AH18+AT18-AR18</f>
        <v>366</v>
      </c>
      <c r="AL18" s="135" t="n">
        <f aca="false">IF(L18&lt;0,L18*-1,0)</f>
        <v>0</v>
      </c>
      <c r="AM18" s="135" t="n">
        <f aca="false">AK18+AL18</f>
        <v>366</v>
      </c>
      <c r="AN18" s="364" t="n">
        <v>0</v>
      </c>
      <c r="AO18" s="207" t="n">
        <v>5</v>
      </c>
      <c r="AP18" s="147" t="n">
        <f aca="false">I18-Q18-R18-X18-AF18</f>
        <v>267.815478283602</v>
      </c>
      <c r="AQ18" s="155" t="n">
        <f aca="false">47.9*(Z18*1.9835+AC18*1.9835)/E18</f>
        <v>10.6012861424838</v>
      </c>
      <c r="AR18" s="136" t="n">
        <v>1</v>
      </c>
      <c r="AS18" s="213"/>
      <c r="AT18" s="175" t="n">
        <v>0</v>
      </c>
      <c r="AU18" s="172"/>
      <c r="AV18" s="214" t="n">
        <v>0</v>
      </c>
      <c r="AW18" s="207" t="n">
        <v>66</v>
      </c>
      <c r="AX18" s="207" t="n">
        <v>33</v>
      </c>
      <c r="AY18" s="264"/>
      <c r="AZ18" s="242" t="n">
        <f aca="false">SUM(N18,P18:U18)</f>
        <v>8.41825649514622</v>
      </c>
    </row>
    <row r="19" customFormat="false" ht="12.95" hidden="false" customHeight="true" outlineLevel="0" collapsed="false">
      <c r="A19" s="179" t="n">
        <f aca="false">A18+1</f>
        <v>5</v>
      </c>
      <c r="B19" s="106" t="n">
        <v>6909.86</v>
      </c>
      <c r="C19" s="107" t="n">
        <v>321429</v>
      </c>
      <c r="D19" s="207" t="n">
        <f aca="false">C19-C18</f>
        <v>478</v>
      </c>
      <c r="E19" s="107" t="n">
        <f aca="false">C19-152000</f>
        <v>169429</v>
      </c>
      <c r="F19" s="135" t="n">
        <f aca="false">D19/$D$2</f>
        <v>240.988152256113</v>
      </c>
      <c r="G19" s="205" t="n">
        <v>544</v>
      </c>
      <c r="H19" s="136" t="n">
        <v>5.9</v>
      </c>
      <c r="I19" s="135" t="n">
        <f aca="false">G19+H19</f>
        <v>549.9</v>
      </c>
      <c r="J19" s="136" t="n">
        <f aca="false">IF(L19&gt;0,L19,0)</f>
        <v>116.088152256113</v>
      </c>
      <c r="K19" s="135" t="n">
        <f aca="false">I19+J19</f>
        <v>665.988152256113</v>
      </c>
      <c r="L19" s="135" t="n">
        <f aca="false">F19-(I19-AK19)</f>
        <v>116.088152256113</v>
      </c>
      <c r="M19" s="240" t="n">
        <v>254</v>
      </c>
      <c r="N19" s="155" t="n">
        <f aca="false">(1.8299*1.03)/2</f>
        <v>0.9423985</v>
      </c>
      <c r="O19" s="135" t="n">
        <f aca="false">(53+51)*1.05</f>
        <v>109.2</v>
      </c>
      <c r="P19" s="155" t="n">
        <v>0</v>
      </c>
      <c r="Q19" s="328" t="n">
        <f aca="false">1318900/325851/1.9835*1.02</f>
        <v>2.08142505034869</v>
      </c>
      <c r="R19" s="328" t="n">
        <v>4.2</v>
      </c>
      <c r="S19" s="131" t="n">
        <f aca="false">((3959229/325851/1.9835-T19)*1.04)-4.2</f>
        <v>0.83305844363248</v>
      </c>
      <c r="T19" s="131" t="n">
        <f aca="false">1.2368*1.04</f>
        <v>1.286272</v>
      </c>
      <c r="U19" s="346" t="n">
        <v>0</v>
      </c>
      <c r="V19" s="135" t="n">
        <v>47</v>
      </c>
      <c r="W19" s="135" t="n">
        <v>48</v>
      </c>
      <c r="X19" s="135" t="n">
        <f aca="false">M19-N19-O19-P19-Q19-R19-S19-T19-U19+V19+W19-AT19+AR19</f>
        <v>222.256846006019</v>
      </c>
      <c r="Y19" s="135" t="n">
        <f aca="false">X19-AO19</f>
        <v>217.256846006019</v>
      </c>
      <c r="Z19" s="107" t="n">
        <f aca="false">Z18+AP19</f>
        <v>17533.9983726023</v>
      </c>
      <c r="AA19" s="135"/>
      <c r="AB19" s="107" t="n">
        <f aca="false">AB18+(Y19+AP19)*1.9835</f>
        <v>37578.6980529698</v>
      </c>
      <c r="AC19" s="107" t="n">
        <f aca="false">AC18-(AQ18/1.9835)</f>
        <v>1632.06573181114</v>
      </c>
      <c r="AD19" s="107"/>
      <c r="AE19" s="135" t="n">
        <v>22</v>
      </c>
      <c r="AF19" s="240" t="n">
        <v>1.7</v>
      </c>
      <c r="AG19" s="241" t="n">
        <v>1.3</v>
      </c>
      <c r="AH19" s="136" t="n">
        <v>54</v>
      </c>
      <c r="AI19" s="107" t="n">
        <f aca="false">AI18-AH19</f>
        <v>14253.2578774893</v>
      </c>
      <c r="AJ19" s="97"/>
      <c r="AK19" s="134" t="n">
        <f aca="false">N19+O19+P19+Q19+R19+S19+T19+U19+X19+AE19+AH19+AT19-AR19</f>
        <v>425</v>
      </c>
      <c r="AL19" s="135" t="n">
        <f aca="false">IF(L19&lt;0,L19*-1,0)</f>
        <v>0</v>
      </c>
      <c r="AM19" s="135" t="n">
        <f aca="false">AK19+AL19</f>
        <v>425</v>
      </c>
      <c r="AN19" s="364" t="n">
        <v>0</v>
      </c>
      <c r="AO19" s="207" t="n">
        <v>5</v>
      </c>
      <c r="AP19" s="147" t="n">
        <f aca="false">I19-Q19-R19-X19-AF19</f>
        <v>319.661728943632</v>
      </c>
      <c r="AQ19" s="155" t="n">
        <f aca="false">47.9*(Z19*1.9835+AC19*1.9835)/E19</f>
        <v>10.7476349529177</v>
      </c>
      <c r="AR19" s="136" t="n">
        <v>4</v>
      </c>
      <c r="AS19" s="213"/>
      <c r="AT19" s="175" t="n">
        <v>12.2</v>
      </c>
      <c r="AU19" s="172"/>
      <c r="AV19" s="214" t="n">
        <v>0</v>
      </c>
      <c r="AW19" s="207" t="n">
        <v>68</v>
      </c>
      <c r="AX19" s="207" t="n">
        <v>36</v>
      </c>
      <c r="AY19" s="264"/>
      <c r="AZ19" s="242" t="n">
        <f aca="false">SUM(N19,P19:U19)</f>
        <v>9.34315399398117</v>
      </c>
    </row>
    <row r="20" customFormat="false" ht="12.95" hidden="false" customHeight="true" outlineLevel="0" collapsed="false">
      <c r="A20" s="179" t="n">
        <f aca="false">A19+1</f>
        <v>6</v>
      </c>
      <c r="B20" s="106" t="n">
        <v>6910.08</v>
      </c>
      <c r="C20" s="107" t="n">
        <v>322307</v>
      </c>
      <c r="D20" s="207" t="n">
        <f aca="false">C20-C19</f>
        <v>878</v>
      </c>
      <c r="E20" s="107" t="n">
        <f aca="false">C20-152000</f>
        <v>170307</v>
      </c>
      <c r="F20" s="135" t="n">
        <f aca="false">D20/$D$2</f>
        <v>442.651877993446</v>
      </c>
      <c r="G20" s="205" t="n">
        <v>708</v>
      </c>
      <c r="H20" s="136" t="n">
        <v>35</v>
      </c>
      <c r="I20" s="135" t="n">
        <f aca="false">G20+H20</f>
        <v>743</v>
      </c>
      <c r="J20" s="136" t="n">
        <f aca="false">IF(L20&gt;0,L20,0)</f>
        <v>166.651877993446</v>
      </c>
      <c r="K20" s="135" t="n">
        <f aca="false">I20+J20</f>
        <v>909.651877993446</v>
      </c>
      <c r="L20" s="135" t="n">
        <f aca="false">F20-(I20-AK20)</f>
        <v>166.651877993446</v>
      </c>
      <c r="M20" s="240" t="n">
        <v>283</v>
      </c>
      <c r="N20" s="155" t="n">
        <f aca="false">(1.8299*1.03)/2</f>
        <v>0.9423985</v>
      </c>
      <c r="O20" s="135" t="n">
        <f aca="false">(55+53)*1.05</f>
        <v>113.4</v>
      </c>
      <c r="P20" s="155" t="n">
        <v>0</v>
      </c>
      <c r="Q20" s="328" t="n">
        <f aca="false">1430900/325851/1.9835*1.02</f>
        <v>2.25817810640984</v>
      </c>
      <c r="R20" s="328" t="n">
        <v>4.2</v>
      </c>
      <c r="S20" s="131" t="n">
        <f aca="false">((3986924/325851/1.9835-T20)*1.04)-4.2</f>
        <v>0.792933089780223</v>
      </c>
      <c r="T20" s="131" t="n">
        <f aca="false">1.3151*1.04</f>
        <v>1.367704</v>
      </c>
      <c r="U20" s="346" t="n">
        <v>0</v>
      </c>
      <c r="V20" s="135" t="n">
        <v>55</v>
      </c>
      <c r="W20" s="135" t="n">
        <v>54</v>
      </c>
      <c r="X20" s="135" t="n">
        <f aca="false">M20-N20-O20-P20-Q20-R20-S20-T20-U20+V20+W20-AT20+AR20</f>
        <v>254.23878630381</v>
      </c>
      <c r="Y20" s="135" t="n">
        <f aca="false">X20-AO20</f>
        <v>249.23878630381</v>
      </c>
      <c r="Z20" s="107" t="n">
        <f aca="false">Z19+AP20</f>
        <v>18014.6014081921</v>
      </c>
      <c r="AA20" s="135"/>
      <c r="AB20" s="107" t="n">
        <f aca="false">AB19+(Y20+AP20)*1.9835</f>
        <v>39026.3393066958</v>
      </c>
      <c r="AC20" s="107" t="n">
        <f aca="false">AC19-(AQ19/1.9835)</f>
        <v>1626.64721154247</v>
      </c>
      <c r="AD20" s="107"/>
      <c r="AE20" s="135" t="n">
        <v>22</v>
      </c>
      <c r="AF20" s="240" t="n">
        <v>1.7</v>
      </c>
      <c r="AG20" s="241" t="n">
        <v>1.3</v>
      </c>
      <c r="AH20" s="136" t="n">
        <v>53</v>
      </c>
      <c r="AI20" s="107" t="n">
        <f aca="false">AI19-AH20</f>
        <v>14200.2578774893</v>
      </c>
      <c r="AJ20" s="97"/>
      <c r="AK20" s="134" t="n">
        <f aca="false">N20+O20+P20+Q20+R20+S20+T20+U20+X20+AE20+AH20+AT20-AR20</f>
        <v>467</v>
      </c>
      <c r="AL20" s="135" t="n">
        <f aca="false">IF(L20&lt;0,L20*-1,0)</f>
        <v>0</v>
      </c>
      <c r="AM20" s="135" t="n">
        <f aca="false">AK20+AL20</f>
        <v>467</v>
      </c>
      <c r="AN20" s="364" t="n">
        <v>0</v>
      </c>
      <c r="AO20" s="207" t="n">
        <v>5</v>
      </c>
      <c r="AP20" s="147" t="n">
        <f aca="false">I20-Q20-R20-X20-AF20</f>
        <v>480.60303558978</v>
      </c>
      <c r="AQ20" s="155" t="n">
        <f aca="false">47.9*(Z20*1.9835+AC20*1.9835)/E20</f>
        <v>10.9573191760994</v>
      </c>
      <c r="AR20" s="136" t="n">
        <v>5</v>
      </c>
      <c r="AS20" s="213"/>
      <c r="AT20" s="175" t="n">
        <v>19.8</v>
      </c>
      <c r="AU20" s="172"/>
      <c r="AV20" s="214" t="n">
        <v>0</v>
      </c>
      <c r="AW20" s="207" t="n">
        <v>73</v>
      </c>
      <c r="AX20" s="207" t="n">
        <v>38</v>
      </c>
      <c r="AY20" s="264"/>
      <c r="AZ20" s="242" t="n">
        <f aca="false">SUM(N20,P20:U20)</f>
        <v>9.56121369619006</v>
      </c>
    </row>
    <row r="21" customFormat="false" ht="12.95" hidden="false" customHeight="true" outlineLevel="0" collapsed="false">
      <c r="A21" s="179" t="n">
        <f aca="false">A20+1</f>
        <v>7</v>
      </c>
      <c r="B21" s="106" t="n">
        <v>6910.46</v>
      </c>
      <c r="C21" s="107" t="n">
        <v>323832</v>
      </c>
      <c r="D21" s="207" t="n">
        <f aca="false">C21-C20</f>
        <v>1525</v>
      </c>
      <c r="E21" s="107" t="n">
        <f aca="false">C21-152000</f>
        <v>171832</v>
      </c>
      <c r="F21" s="135" t="n">
        <f aca="false">D21/$D$2</f>
        <v>768.842954373582</v>
      </c>
      <c r="G21" s="205" t="n">
        <v>991</v>
      </c>
      <c r="H21" s="136" t="n">
        <v>74</v>
      </c>
      <c r="I21" s="135" t="n">
        <f aca="false">G21+H21</f>
        <v>1065</v>
      </c>
      <c r="J21" s="136" t="n">
        <f aca="false">IF(L21&gt;0,L21,0)</f>
        <v>210.842954373582</v>
      </c>
      <c r="K21" s="135" t="n">
        <f aca="false">I21+J21</f>
        <v>1275.84295437358</v>
      </c>
      <c r="L21" s="135" t="n">
        <f aca="false">F21-(I21-AK21)</f>
        <v>210.842954373582</v>
      </c>
      <c r="M21" s="240" t="n">
        <v>294</v>
      </c>
      <c r="N21" s="155" t="n">
        <f aca="false">(1.8299*1.03)/2</f>
        <v>0.9423985</v>
      </c>
      <c r="O21" s="135" t="n">
        <f aca="false">(53+52)*1.05</f>
        <v>110.25</v>
      </c>
      <c r="P21" s="155" t="n">
        <v>0</v>
      </c>
      <c r="Q21" s="328" t="n">
        <f aca="false">1656600/325851/1.9835*1.02</f>
        <v>2.61436707741878</v>
      </c>
      <c r="R21" s="328" t="n">
        <v>4.2</v>
      </c>
      <c r="S21" s="131" t="n">
        <f aca="false">((3714403/325851/1.9835-T21)*1.04)-4.2</f>
        <v>0.354420516474248</v>
      </c>
      <c r="T21" s="131" t="n">
        <f aca="false">1.3151*1.04</f>
        <v>1.367704</v>
      </c>
      <c r="U21" s="346" t="n">
        <v>0</v>
      </c>
      <c r="V21" s="135" t="n">
        <v>63</v>
      </c>
      <c r="W21" s="135" t="n">
        <v>58</v>
      </c>
      <c r="X21" s="135" t="n">
        <f aca="false">M21-N21-O21-P21-Q21-R21-S21-T21-U21+V21+W21-AT21+AR21</f>
        <v>282.671109906107</v>
      </c>
      <c r="Y21" s="135" t="n">
        <f aca="false">X21-AO21</f>
        <v>277.671109906107</v>
      </c>
      <c r="Z21" s="107" t="n">
        <f aca="false">Z20+AP21</f>
        <v>18531.930298286</v>
      </c>
      <c r="AA21" s="135"/>
      <c r="AB21" s="107" t="n">
        <f aca="false">AB20+(Y21+AP21)*1.9835</f>
        <v>40603.2218066958</v>
      </c>
      <c r="AC21" s="107" t="n">
        <f aca="false">AC20-(AQ20/1.9835)</f>
        <v>1621.1229770196</v>
      </c>
      <c r="AD21" s="107"/>
      <c r="AE21" s="135" t="n">
        <v>38</v>
      </c>
      <c r="AF21" s="240" t="n">
        <v>1.7</v>
      </c>
      <c r="AG21" s="241" t="n">
        <v>1.3</v>
      </c>
      <c r="AH21" s="136" t="n">
        <v>54</v>
      </c>
      <c r="AI21" s="107" t="n">
        <f aca="false">AI20-AH21</f>
        <v>14146.2578774893</v>
      </c>
      <c r="AJ21" s="97"/>
      <c r="AK21" s="134" t="n">
        <f aca="false">N21+O21+P21+Q21+R21+S21+T21+U21+X21+AE21+AH21+AT21-AR21</f>
        <v>507</v>
      </c>
      <c r="AL21" s="135" t="n">
        <f aca="false">IF(L21&lt;0,L21*-1,0)</f>
        <v>0</v>
      </c>
      <c r="AM21" s="135" t="n">
        <f aca="false">AK21+AL21</f>
        <v>507</v>
      </c>
      <c r="AN21" s="364" t="n">
        <v>0</v>
      </c>
      <c r="AO21" s="207" t="n">
        <v>5</v>
      </c>
      <c r="AP21" s="147" t="n">
        <f aca="false">795-Y21</f>
        <v>517.328890093893</v>
      </c>
      <c r="AQ21" s="155" t="n">
        <f aca="false">47.9*(Z21*1.9835+AC21*1.9835)/E21</f>
        <v>11.1430614677018</v>
      </c>
      <c r="AR21" s="136" t="n">
        <v>7</v>
      </c>
      <c r="AS21" s="213"/>
      <c r="AT21" s="175" t="n">
        <v>19.6</v>
      </c>
      <c r="AU21" s="172"/>
      <c r="AV21" s="214" t="n">
        <v>0</v>
      </c>
      <c r="AW21" s="207" t="n">
        <v>75</v>
      </c>
      <c r="AX21" s="207" t="n">
        <v>40</v>
      </c>
      <c r="AY21" s="264"/>
      <c r="AZ21" s="242" t="n">
        <f aca="false">SUM(N21,P21:U21)</f>
        <v>9.47889009389303</v>
      </c>
    </row>
    <row r="22" customFormat="false" ht="12.95" hidden="false" customHeight="true" outlineLevel="0" collapsed="false">
      <c r="A22" s="179" t="n">
        <f aca="false">A21+1</f>
        <v>8</v>
      </c>
      <c r="B22" s="106" t="n">
        <v>6911.05</v>
      </c>
      <c r="C22" s="107" t="n">
        <v>326202</v>
      </c>
      <c r="D22" s="207" t="n">
        <f aca="false">C22-C21</f>
        <v>2370</v>
      </c>
      <c r="E22" s="107" t="n">
        <f aca="false">C22-152000</f>
        <v>174202</v>
      </c>
      <c r="F22" s="135" t="n">
        <f aca="false">D22/$D$2</f>
        <v>1194.8575749937</v>
      </c>
      <c r="G22" s="205" t="n">
        <v>1310</v>
      </c>
      <c r="H22" s="136" t="n">
        <v>112</v>
      </c>
      <c r="I22" s="135" t="n">
        <f aca="false">G22+H22</f>
        <v>1422</v>
      </c>
      <c r="J22" s="136" t="n">
        <f aca="false">IF(L22&gt;0,L22,0)</f>
        <v>289.857574993698</v>
      </c>
      <c r="K22" s="135" t="n">
        <f aca="false">I22+J22</f>
        <v>1711.8575749937</v>
      </c>
      <c r="L22" s="135" t="n">
        <f aca="false">F22-(I22-AK22)</f>
        <v>289.857574993698</v>
      </c>
      <c r="M22" s="240" t="n">
        <v>305</v>
      </c>
      <c r="N22" s="155" t="n">
        <f aca="false">(1.8299*1.03)/2</f>
        <v>0.9423985</v>
      </c>
      <c r="O22" s="135" t="n">
        <f aca="false">(52+50)*1.05</f>
        <v>107.1</v>
      </c>
      <c r="P22" s="155" t="n">
        <v>0</v>
      </c>
      <c r="Q22" s="328" t="n">
        <f aca="false">1386800/325851/1.9835*1.02</f>
        <v>2.18858159058576</v>
      </c>
      <c r="R22" s="328" t="n">
        <v>4.2</v>
      </c>
      <c r="S22" s="131" t="n">
        <f aca="false">((3606274/325851/1.9835-T22)*1.04)-4.2</f>
        <v>0.180430526568876</v>
      </c>
      <c r="T22" s="131" t="n">
        <f aca="false">1.3151*1.04</f>
        <v>1.367704</v>
      </c>
      <c r="U22" s="346" t="n">
        <v>0</v>
      </c>
      <c r="V22" s="135" t="n">
        <v>67</v>
      </c>
      <c r="W22" s="135" t="n">
        <v>59</v>
      </c>
      <c r="X22" s="135" t="n">
        <f aca="false">M22-N22-O22-P22-Q22-R22-S22-T22-U22+V22+W22-AT22+AR22</f>
        <v>301.920885382845</v>
      </c>
      <c r="Y22" s="135" t="n">
        <f aca="false">X22-AO22</f>
        <v>296.920885382845</v>
      </c>
      <c r="Z22" s="107" t="n">
        <f aca="false">Z21+AP22</f>
        <v>19030.0094129031</v>
      </c>
      <c r="AA22" s="135"/>
      <c r="AB22" s="107" t="n">
        <f aca="false">AB21+(Y22+AP22)*1.9835</f>
        <v>42180.1043066958</v>
      </c>
      <c r="AC22" s="107" t="n">
        <f aca="false">AC21-(AQ21/1.9835)</f>
        <v>1615.50509879036</v>
      </c>
      <c r="AD22" s="107"/>
      <c r="AE22" s="135" t="n">
        <v>31</v>
      </c>
      <c r="AF22" s="240" t="n">
        <v>1.7</v>
      </c>
      <c r="AG22" s="241" t="n">
        <v>1.3</v>
      </c>
      <c r="AH22" s="136" t="n">
        <v>55</v>
      </c>
      <c r="AI22" s="107" t="n">
        <f aca="false">AI21-AH22</f>
        <v>14091.2578774893</v>
      </c>
      <c r="AJ22" s="97"/>
      <c r="AK22" s="134" t="n">
        <f aca="false">N22+O22+P22+Q22+R22+S22+T22+U22+X22+AE22+AH22+AT22-AR22</f>
        <v>517</v>
      </c>
      <c r="AL22" s="135" t="n">
        <f aca="false">IF(L22&lt;0,L22*-1,0)</f>
        <v>0</v>
      </c>
      <c r="AM22" s="135" t="n">
        <f aca="false">AK22+AL22</f>
        <v>517</v>
      </c>
      <c r="AN22" s="364" t="n">
        <v>0</v>
      </c>
      <c r="AO22" s="207" t="n">
        <v>5</v>
      </c>
      <c r="AP22" s="147" t="n">
        <f aca="false">795-Y22</f>
        <v>498.079114617155</v>
      </c>
      <c r="AQ22" s="155" t="n">
        <f aca="false">47.9*(Z22*1.9835+AC22*1.9835)/E22</f>
        <v>11.2600492980903</v>
      </c>
      <c r="AR22" s="136" t="n">
        <v>6</v>
      </c>
      <c r="AS22" s="213"/>
      <c r="AT22" s="175" t="n">
        <v>19.1</v>
      </c>
      <c r="AU22" s="172"/>
      <c r="AV22" s="214" t="n">
        <v>0</v>
      </c>
      <c r="AW22" s="207" t="n">
        <v>72</v>
      </c>
      <c r="AX22" s="207" t="n">
        <v>39</v>
      </c>
      <c r="AY22" s="264"/>
      <c r="AZ22" s="242" t="n">
        <f aca="false">SUM(N22,P22:U22)</f>
        <v>8.87911461715463</v>
      </c>
    </row>
    <row r="23" customFormat="false" ht="12.95" hidden="false" customHeight="true" outlineLevel="0" collapsed="false">
      <c r="A23" s="179" t="n">
        <f aca="false">A22+1</f>
        <v>9</v>
      </c>
      <c r="B23" s="106" t="n">
        <v>6911.77</v>
      </c>
      <c r="C23" s="107" t="n">
        <v>329114</v>
      </c>
      <c r="D23" s="207" t="n">
        <f aca="false">C23-C22</f>
        <v>2912</v>
      </c>
      <c r="E23" s="107" t="n">
        <f aca="false">C23-152000</f>
        <v>177114</v>
      </c>
      <c r="F23" s="135" t="n">
        <f aca="false">D23/$D$2</f>
        <v>1468.11192336778</v>
      </c>
      <c r="G23" s="205" t="n">
        <v>1510</v>
      </c>
      <c r="H23" s="136" t="n">
        <v>117</v>
      </c>
      <c r="I23" s="135" t="n">
        <f aca="false">G23+H23</f>
        <v>1627</v>
      </c>
      <c r="J23" s="136" t="n">
        <f aca="false">IF(L23&gt;0,L23,0)</f>
        <v>371.111923367784</v>
      </c>
      <c r="K23" s="135" t="n">
        <f aca="false">I23+J23</f>
        <v>1998.11192336778</v>
      </c>
      <c r="L23" s="135" t="n">
        <f aca="false">F23-(I23-AK23)</f>
        <v>371.111923367784</v>
      </c>
      <c r="M23" s="240" t="n">
        <v>307</v>
      </c>
      <c r="N23" s="155" t="n">
        <f aca="false">(1.8299*1.03)/2</f>
        <v>0.9423985</v>
      </c>
      <c r="O23" s="135" t="n">
        <f aca="false">(47+47)*1.05</f>
        <v>98.7</v>
      </c>
      <c r="P23" s="155" t="n">
        <v>0</v>
      </c>
      <c r="Q23" s="328" t="n">
        <f aca="false">1120900/325851/1.9835*1.02</f>
        <v>1.76895089766915</v>
      </c>
      <c r="R23" s="328" t="n">
        <f aca="false">(2855733/325851/1.9835-T23)*1.04</f>
        <v>3.17273766883813</v>
      </c>
      <c r="S23" s="131" t="n">
        <v>0</v>
      </c>
      <c r="T23" s="131" t="n">
        <f aca="false">1.3151*1.04</f>
        <v>1.367704</v>
      </c>
      <c r="U23" s="346" t="n">
        <v>0</v>
      </c>
      <c r="V23" s="135" t="n">
        <v>66</v>
      </c>
      <c r="W23" s="135" t="n">
        <v>61</v>
      </c>
      <c r="X23" s="135" t="n">
        <f aca="false">M23-N23-O23-P23-Q23-R23-S23-T23-U23+V23+W23-AT23+AR23</f>
        <v>317.148208933493</v>
      </c>
      <c r="Y23" s="135" t="n">
        <f aca="false">X23-AO23</f>
        <v>312.148208933493</v>
      </c>
      <c r="Z23" s="107" t="n">
        <f aca="false">Z22+AP23</f>
        <v>19512.8612039696</v>
      </c>
      <c r="AA23" s="135"/>
      <c r="AB23" s="107" t="n">
        <f aca="false">AB22+(Y23+AP23)*1.9835</f>
        <v>43756.9868066958</v>
      </c>
      <c r="AC23" s="107" t="n">
        <f aca="false">AC22-(AQ22/1.9835)</f>
        <v>1609.82824005676</v>
      </c>
      <c r="AD23" s="107"/>
      <c r="AE23" s="135" t="n">
        <v>41</v>
      </c>
      <c r="AF23" s="240" t="n">
        <v>1.7</v>
      </c>
      <c r="AG23" s="241" t="n">
        <v>1.3</v>
      </c>
      <c r="AH23" s="136" t="n">
        <v>55</v>
      </c>
      <c r="AI23" s="107" t="n">
        <f aca="false">AI22-AH23</f>
        <v>14036.2578774893</v>
      </c>
      <c r="AJ23" s="97"/>
      <c r="AK23" s="134" t="n">
        <f aca="false">N23+O23+P23+Q23+R23+S23+T23+U23+X23+AE23+AH23+AT23-AR23</f>
        <v>530</v>
      </c>
      <c r="AL23" s="135" t="n">
        <f aca="false">IF(L23&lt;0,L23*-1,0)</f>
        <v>0</v>
      </c>
      <c r="AM23" s="135" t="n">
        <f aca="false">AK23+AL23</f>
        <v>530</v>
      </c>
      <c r="AN23" s="364" t="n">
        <v>0</v>
      </c>
      <c r="AO23" s="207" t="n">
        <v>5</v>
      </c>
      <c r="AP23" s="147" t="n">
        <f aca="false">795-Y23</f>
        <v>482.851791066507</v>
      </c>
      <c r="AQ23" s="155" t="n">
        <f aca="false">47.9*(Z23*1.9835+AC23*1.9835)/E23</f>
        <v>11.3308904498551</v>
      </c>
      <c r="AR23" s="136" t="n">
        <v>9</v>
      </c>
      <c r="AS23" s="213"/>
      <c r="AT23" s="175" t="n">
        <v>19.9</v>
      </c>
      <c r="AU23" s="172"/>
      <c r="AV23" s="214" t="n">
        <v>0</v>
      </c>
      <c r="AW23" s="207" t="n">
        <v>59</v>
      </c>
      <c r="AX23" s="207" t="n">
        <v>35</v>
      </c>
      <c r="AY23" s="264"/>
      <c r="AZ23" s="242" t="n">
        <f aca="false">SUM(N23,P23:U23)</f>
        <v>7.25179106650728</v>
      </c>
    </row>
    <row r="24" customFormat="false" ht="12.95" hidden="false" customHeight="true" outlineLevel="0" collapsed="false">
      <c r="A24" s="179" t="n">
        <f aca="false">A23+1</f>
        <v>10</v>
      </c>
      <c r="B24" s="106" t="n">
        <v>6912.16</v>
      </c>
      <c r="C24" s="107" t="n">
        <v>330697</v>
      </c>
      <c r="D24" s="207" t="n">
        <f aca="false">C24-C23</f>
        <v>1583</v>
      </c>
      <c r="E24" s="107" t="n">
        <f aca="false">C24-152000</f>
        <v>178697</v>
      </c>
      <c r="F24" s="135" t="n">
        <f aca="false">D24/$D$2</f>
        <v>798.084194605495</v>
      </c>
      <c r="G24" s="205" t="n">
        <v>1140</v>
      </c>
      <c r="H24" s="136" t="n">
        <v>53</v>
      </c>
      <c r="I24" s="135" t="n">
        <f aca="false">G24+H24</f>
        <v>1193</v>
      </c>
      <c r="J24" s="136" t="n">
        <f aca="false">IF(L24&gt;0,L24,0)</f>
        <v>234.084194605495</v>
      </c>
      <c r="K24" s="135" t="n">
        <f aca="false">I24+J24</f>
        <v>1427.0841946055</v>
      </c>
      <c r="L24" s="135" t="n">
        <f aca="false">F24-(I24-AK24)</f>
        <v>234.084194605495</v>
      </c>
      <c r="M24" s="240" t="n">
        <v>296</v>
      </c>
      <c r="N24" s="155" t="n">
        <f aca="false">(1.8299*1.03)/2</f>
        <v>0.9423985</v>
      </c>
      <c r="O24" s="135" t="n">
        <f aca="false">(47+49)*1.05</f>
        <v>100.8</v>
      </c>
      <c r="P24" s="155" t="n">
        <v>0</v>
      </c>
      <c r="Q24" s="328" t="n">
        <f aca="false">1202300/325851/1.9835*1.02</f>
        <v>1.89741249377074</v>
      </c>
      <c r="R24" s="328" t="n">
        <f aca="false">(3441390/325851/1.9835-T24)*1.04</f>
        <v>4.11511626771549</v>
      </c>
      <c r="S24" s="131" t="n">
        <v>0</v>
      </c>
      <c r="T24" s="131" t="n">
        <f aca="false">1.3151*1.04</f>
        <v>1.367704</v>
      </c>
      <c r="U24" s="346" t="n">
        <v>0</v>
      </c>
      <c r="V24" s="135" t="n">
        <v>76</v>
      </c>
      <c r="W24" s="135" t="n">
        <v>63</v>
      </c>
      <c r="X24" s="135" t="n">
        <f aca="false">M24-N24-O24-P24-Q24-R24-S24-T24-U24+V24+W24-AT24+AR24</f>
        <v>314.077368738514</v>
      </c>
      <c r="Y24" s="135" t="n">
        <f aca="false">X24-AO24</f>
        <v>309.077368738514</v>
      </c>
      <c r="Z24" s="107" t="n">
        <f aca="false">Z23+AP24-AA24</f>
        <v>19896.7838352311</v>
      </c>
      <c r="AA24" s="135" t="n">
        <f aca="false">AJ24</f>
        <v>102</v>
      </c>
      <c r="AB24" s="107" t="n">
        <f aca="false">AB23+(Y24+AP24-AA24)*1.9835</f>
        <v>45131.5523066958</v>
      </c>
      <c r="AC24" s="107" t="n">
        <f aca="false">AC23-(AQ23/1.9835)</f>
        <v>1604.11566609666</v>
      </c>
      <c r="AD24" s="107"/>
      <c r="AE24" s="135" t="n">
        <v>37</v>
      </c>
      <c r="AF24" s="240" t="n">
        <v>1.7</v>
      </c>
      <c r="AG24" s="241" t="n">
        <v>1.3</v>
      </c>
      <c r="AH24" s="136" t="n">
        <v>157</v>
      </c>
      <c r="AI24" s="107" t="n">
        <f aca="false">AI23-55</f>
        <v>13981.2578774893</v>
      </c>
      <c r="AJ24" s="97" t="n">
        <f aca="false">AH24-55</f>
        <v>102</v>
      </c>
      <c r="AK24" s="134" t="n">
        <f aca="false">N24+O24+P24+Q24+R24+S24+T24+U24+X24+AE24+AH24+AT24-AR24</f>
        <v>629</v>
      </c>
      <c r="AL24" s="135" t="n">
        <f aca="false">IF(L24&lt;0,L24*-1,0)</f>
        <v>0</v>
      </c>
      <c r="AM24" s="135" t="n">
        <f aca="false">AK24+AL24</f>
        <v>629</v>
      </c>
      <c r="AN24" s="364" t="n">
        <v>0</v>
      </c>
      <c r="AO24" s="207" t="n">
        <v>5</v>
      </c>
      <c r="AP24" s="147" t="n">
        <f aca="false">795-Y24</f>
        <v>485.922631261486</v>
      </c>
      <c r="AQ24" s="155" t="n">
        <f aca="false">47.9*(Z24*1.9835+AC24*1.9835)/E24</f>
        <v>11.4316017409712</v>
      </c>
      <c r="AR24" s="136" t="n">
        <v>8</v>
      </c>
      <c r="AS24" s="213"/>
      <c r="AT24" s="175" t="n">
        <v>19.8</v>
      </c>
      <c r="AU24" s="172"/>
      <c r="AV24" s="214" t="n">
        <v>0</v>
      </c>
      <c r="AW24" s="207" t="n">
        <v>57</v>
      </c>
      <c r="AX24" s="207" t="n">
        <v>29</v>
      </c>
      <c r="AY24" s="264"/>
      <c r="AZ24" s="242" t="n">
        <f aca="false">SUM(N24,P24:U24)</f>
        <v>8.32263126148623</v>
      </c>
    </row>
    <row r="25" customFormat="false" ht="12.95" hidden="false" customHeight="true" outlineLevel="0" collapsed="false">
      <c r="A25" s="179" t="n">
        <f aca="false">A24+1</f>
        <v>11</v>
      </c>
      <c r="B25" s="106" t="n">
        <v>6912.35</v>
      </c>
      <c r="C25" s="107" t="n">
        <v>331471</v>
      </c>
      <c r="D25" s="207" t="n">
        <f aca="false">C25-C24</f>
        <v>774</v>
      </c>
      <c r="E25" s="107" t="n">
        <f aca="false">C25-152000</f>
        <v>179471</v>
      </c>
      <c r="F25" s="135" t="n">
        <f aca="false">D25/$D$2</f>
        <v>390.219309301739</v>
      </c>
      <c r="G25" s="205" t="n">
        <v>988</v>
      </c>
      <c r="H25" s="136" t="n">
        <v>26</v>
      </c>
      <c r="I25" s="135" t="n">
        <f aca="false">G25+H25</f>
        <v>1014</v>
      </c>
      <c r="J25" s="136" t="n">
        <f aca="false">IF(L25&gt;0,L25,0)</f>
        <v>402.219309301739</v>
      </c>
      <c r="K25" s="135" t="n">
        <f aca="false">I25+J25</f>
        <v>1416.21930930174</v>
      </c>
      <c r="L25" s="135" t="n">
        <f aca="false">F25-(I25-AK25)</f>
        <v>402.219309301739</v>
      </c>
      <c r="M25" s="240" t="n">
        <v>309</v>
      </c>
      <c r="N25" s="155" t="n">
        <f aca="false">(1.8299*1.03)/2</f>
        <v>0.9423985</v>
      </c>
      <c r="O25" s="135" t="n">
        <f aca="false">(51+51)*1.05</f>
        <v>107.1</v>
      </c>
      <c r="P25" s="155" t="n">
        <v>0</v>
      </c>
      <c r="Q25" s="328" t="n">
        <f aca="false">1014500/325851/1.9835*1.02</f>
        <v>1.60103549441106</v>
      </c>
      <c r="R25" s="328" t="n">
        <v>4.2</v>
      </c>
      <c r="S25" s="131" t="n">
        <f aca="false">((3596492/325851/1.9835-T25)*1.04)-4.2</f>
        <v>0.164690345107339</v>
      </c>
      <c r="T25" s="131" t="n">
        <f aca="false">1.3151*1.04</f>
        <v>1.367704</v>
      </c>
      <c r="U25" s="346" t="n">
        <v>0</v>
      </c>
      <c r="V25" s="135" t="n">
        <v>128</v>
      </c>
      <c r="W25" s="135" t="n">
        <v>63</v>
      </c>
      <c r="X25" s="135" t="n">
        <f aca="false">M25-N25-O25-P25-Q25-R25-S25-T25-U25+V25+W25-AT25+AR25</f>
        <v>374.424171660482</v>
      </c>
      <c r="Y25" s="135" t="n">
        <f aca="false">X25-AO25</f>
        <v>369.424171660482</v>
      </c>
      <c r="Z25" s="107" t="n">
        <f aca="false">Z24+AP25-AA25</f>
        <v>19836.3596635706</v>
      </c>
      <c r="AA25" s="135" t="n">
        <f aca="false">AJ25</f>
        <v>486</v>
      </c>
      <c r="AB25" s="107" t="n">
        <f aca="false">AB24+(Y25+AP25-AA25)*1.9835</f>
        <v>45744.4538066958</v>
      </c>
      <c r="AC25" s="107" t="n">
        <f aca="false">AC24-(AQ24/1.9835)</f>
        <v>1598.35231760109</v>
      </c>
      <c r="AD25" s="107"/>
      <c r="AE25" s="135" t="n">
        <v>40</v>
      </c>
      <c r="AF25" s="240" t="n">
        <v>1.7</v>
      </c>
      <c r="AG25" s="241" t="n">
        <v>1.3</v>
      </c>
      <c r="AH25" s="136" t="n">
        <v>486</v>
      </c>
      <c r="AI25" s="107" t="n">
        <f aca="false">AI24</f>
        <v>13981.2578774893</v>
      </c>
      <c r="AJ25" s="97" t="n">
        <f aca="false">AH25</f>
        <v>486</v>
      </c>
      <c r="AK25" s="134" t="n">
        <f aca="false">N25+O25+P25+Q25+R25+S25+T25+U25+X25+AE25+AH25+AT25-AR25</f>
        <v>1026</v>
      </c>
      <c r="AL25" s="135" t="n">
        <f aca="false">IF(L25&lt;0,L25*-1,0)</f>
        <v>0</v>
      </c>
      <c r="AM25" s="135" t="n">
        <f aca="false">AK25+AL25</f>
        <v>1026</v>
      </c>
      <c r="AN25" s="364" t="n">
        <v>0</v>
      </c>
      <c r="AO25" s="207" t="n">
        <v>5</v>
      </c>
      <c r="AP25" s="147" t="n">
        <f aca="false">795-Y25</f>
        <v>425.575828339518</v>
      </c>
      <c r="AQ25" s="155" t="n">
        <f aca="false">47.9*(Z25*1.9835+AC25*1.9835)/E25</f>
        <v>11.3472621380721</v>
      </c>
      <c r="AR25" s="136" t="n">
        <v>9</v>
      </c>
      <c r="AS25" s="213"/>
      <c r="AT25" s="175" t="n">
        <v>19.2</v>
      </c>
      <c r="AU25" s="172"/>
      <c r="AV25" s="214" t="n">
        <v>0.23</v>
      </c>
      <c r="AW25" s="207" t="n">
        <v>51</v>
      </c>
      <c r="AX25" s="207" t="n">
        <v>32</v>
      </c>
      <c r="AY25" s="264"/>
      <c r="AZ25" s="242" t="n">
        <f aca="false">SUM(N25,P25:U25)</f>
        <v>8.2758283395184</v>
      </c>
    </row>
    <row r="26" customFormat="false" ht="12.95" hidden="false" customHeight="true" outlineLevel="0" collapsed="false">
      <c r="A26" s="179" t="n">
        <f aca="false">A25+1</f>
        <v>12</v>
      </c>
      <c r="B26" s="106" t="n">
        <v>6912.37</v>
      </c>
      <c r="C26" s="107" t="n">
        <v>331553</v>
      </c>
      <c r="D26" s="207" t="n">
        <f aca="false">C26-C25</f>
        <v>82</v>
      </c>
      <c r="E26" s="107" t="n">
        <f aca="false">C26-152000</f>
        <v>179553</v>
      </c>
      <c r="F26" s="135" t="n">
        <f aca="false">D26/$D$2</f>
        <v>41.3410637761533</v>
      </c>
      <c r="G26" s="205" t="n">
        <v>843</v>
      </c>
      <c r="H26" s="136" t="n">
        <v>13</v>
      </c>
      <c r="I26" s="135" t="n">
        <f aca="false">G26+H26</f>
        <v>856</v>
      </c>
      <c r="J26" s="136" t="n">
        <f aca="false">IF(L26&gt;0,L26,0)</f>
        <v>262.341063776153</v>
      </c>
      <c r="K26" s="135" t="n">
        <f aca="false">I26+J26</f>
        <v>1118.34106377615</v>
      </c>
      <c r="L26" s="135" t="n">
        <f aca="false">F26-(I26-AK26)</f>
        <v>262.341063776153</v>
      </c>
      <c r="M26" s="240" t="n">
        <v>316</v>
      </c>
      <c r="N26" s="155" t="n">
        <f aca="false">(1.8299*1.03)/2</f>
        <v>0.9423985</v>
      </c>
      <c r="O26" s="135" t="n">
        <f aca="false">(50+50)*1.05</f>
        <v>105</v>
      </c>
      <c r="P26" s="155" t="n">
        <v>0</v>
      </c>
      <c r="Q26" s="328" t="n">
        <f aca="false">1088300/325851/1.9835*1.02</f>
        <v>1.71750313313706</v>
      </c>
      <c r="R26" s="328" t="n">
        <v>4.2</v>
      </c>
      <c r="S26" s="131" t="n">
        <f aca="false">((3713545/325851/1.9835-T26)*1.04)-4.2</f>
        <v>0.353039911721233</v>
      </c>
      <c r="T26" s="131" t="n">
        <f aca="false">1.3151*1.04</f>
        <v>1.367704</v>
      </c>
      <c r="U26" s="346" t="n">
        <v>0</v>
      </c>
      <c r="V26" s="135" t="n">
        <v>139</v>
      </c>
      <c r="W26" s="135" t="n">
        <v>63</v>
      </c>
      <c r="X26" s="135" t="n">
        <f aca="false">M26-N26-O26-P26-Q26-R26-S26-T26-U26+V26+W26-AT26+AR26</f>
        <v>395.819354455142</v>
      </c>
      <c r="Y26" s="135" t="n">
        <f aca="false">X26-AO26</f>
        <v>390.819354455142</v>
      </c>
      <c r="Z26" s="107" t="n">
        <f aca="false">Z25+AP26-AA26</f>
        <v>19724.5403091155</v>
      </c>
      <c r="AA26" s="135" t="n">
        <f aca="false">AJ26</f>
        <v>516</v>
      </c>
      <c r="AB26" s="107" t="n">
        <f aca="false">AB25+(Y26+AP26-AA26)*1.9835</f>
        <v>46297.8503066958</v>
      </c>
      <c r="AC26" s="107" t="n">
        <f aca="false">AC25-(AQ25/1.9835)</f>
        <v>1592.63148970189</v>
      </c>
      <c r="AD26" s="107"/>
      <c r="AE26" s="135" t="n">
        <v>43</v>
      </c>
      <c r="AF26" s="240" t="n">
        <v>1.7</v>
      </c>
      <c r="AG26" s="241" t="n">
        <v>1.3</v>
      </c>
      <c r="AH26" s="136" t="n">
        <v>516</v>
      </c>
      <c r="AI26" s="107" t="n">
        <f aca="false">AI25</f>
        <v>13981.2578774893</v>
      </c>
      <c r="AJ26" s="97" t="n">
        <f aca="false">AH26</f>
        <v>516</v>
      </c>
      <c r="AK26" s="134" t="n">
        <f aca="false">N26+O26+P26+Q26+R26+S26+T26+U26+X26+AE26+AH26+AT26-AR26</f>
        <v>1077</v>
      </c>
      <c r="AL26" s="135" t="n">
        <f aca="false">IF(L26&lt;0,L26*-1,0)</f>
        <v>0</v>
      </c>
      <c r="AM26" s="135" t="n">
        <f aca="false">AK26+AL26</f>
        <v>1077</v>
      </c>
      <c r="AN26" s="364" t="n">
        <v>0</v>
      </c>
      <c r="AO26" s="207" t="n">
        <v>5</v>
      </c>
      <c r="AP26" s="147" t="n">
        <f aca="false">795-Y26</f>
        <v>404.180645544858</v>
      </c>
      <c r="AQ26" s="155" t="n">
        <f aca="false">47.9*(Z26*1.9835+AC26*1.9835)/E26</f>
        <v>11.2798841099592</v>
      </c>
      <c r="AR26" s="136" t="n">
        <v>11</v>
      </c>
      <c r="AS26" s="213"/>
      <c r="AT26" s="175" t="n">
        <v>19.6</v>
      </c>
      <c r="AU26" s="172"/>
      <c r="AV26" s="214" t="n">
        <v>0</v>
      </c>
      <c r="AW26" s="324" t="n">
        <v>61</v>
      </c>
      <c r="AX26" s="207" t="n">
        <v>33</v>
      </c>
      <c r="AY26" s="264"/>
      <c r="AZ26" s="242" t="n">
        <f aca="false">SUM(N26,P26:U26)</f>
        <v>8.5806455448583</v>
      </c>
    </row>
    <row r="27" customFormat="false" ht="12.95" hidden="false" customHeight="true" outlineLevel="0" collapsed="false">
      <c r="A27" s="179" t="n">
        <f aca="false">A26+1</f>
        <v>13</v>
      </c>
      <c r="B27" s="106" t="n">
        <v>6912.39</v>
      </c>
      <c r="C27" s="107" t="n">
        <v>331634</v>
      </c>
      <c r="D27" s="207" t="n">
        <f aca="false">C27-C26</f>
        <v>81</v>
      </c>
      <c r="E27" s="107" t="n">
        <f aca="false">C27-152000</f>
        <v>179634</v>
      </c>
      <c r="F27" s="135" t="n">
        <f aca="false">D27/$D$2</f>
        <v>40.8369044618099</v>
      </c>
      <c r="G27" s="205" t="n">
        <v>804</v>
      </c>
      <c r="H27" s="136" t="n">
        <v>23</v>
      </c>
      <c r="I27" s="135" t="n">
        <f aca="false">G27+H27</f>
        <v>827</v>
      </c>
      <c r="J27" s="136" t="n">
        <f aca="false">IF(L27&gt;0,L27,0)</f>
        <v>277.83690446181</v>
      </c>
      <c r="K27" s="135" t="n">
        <f aca="false">I27+J27</f>
        <v>1104.83690446181</v>
      </c>
      <c r="L27" s="135" t="n">
        <f aca="false">F27-(I27-AK27)</f>
        <v>277.83690446181</v>
      </c>
      <c r="M27" s="240" t="n">
        <v>320</v>
      </c>
      <c r="N27" s="155" t="n">
        <f aca="false">(1.8299*1.03)/2</f>
        <v>0.9423985</v>
      </c>
      <c r="O27" s="135" t="n">
        <f aca="false">(50+51)*1.05</f>
        <v>106.05</v>
      </c>
      <c r="P27" s="155" t="n">
        <v>0</v>
      </c>
      <c r="Q27" s="328" t="n">
        <f aca="false">1571700/325851/1.9835*1.02</f>
        <v>2.48038194831529</v>
      </c>
      <c r="R27" s="328" t="n">
        <v>4.2</v>
      </c>
      <c r="S27" s="131" t="n">
        <f aca="false">((4267867/325851/1.9835-T27)*1.04)-4.2</f>
        <v>0.994715233377454</v>
      </c>
      <c r="T27" s="131" t="n">
        <f aca="false">1.5465*1.04</f>
        <v>1.60836</v>
      </c>
      <c r="U27" s="346" t="n">
        <v>0</v>
      </c>
      <c r="V27" s="135" t="n">
        <v>143</v>
      </c>
      <c r="W27" s="135" t="n">
        <v>64</v>
      </c>
      <c r="X27" s="135" t="n">
        <f aca="false">M27-N27-O27-P27-Q27-R27-S27-T27-U27+V27+W27-AT27+AR27</f>
        <v>406.024144318307</v>
      </c>
      <c r="Y27" s="135" t="n">
        <f aca="false">X27-AO27</f>
        <v>401.024144318307</v>
      </c>
      <c r="Z27" s="107" t="n">
        <f aca="false">Z26+AP27-AA27</f>
        <v>19701.5161647972</v>
      </c>
      <c r="AA27" s="135" t="n">
        <f aca="false">AJ27</f>
        <v>417</v>
      </c>
      <c r="AB27" s="107" t="n">
        <f aca="false">AB26+(Y27+AP27-AA27)*1.9835</f>
        <v>47047.6133066958</v>
      </c>
      <c r="AC27" s="107" t="n">
        <f aca="false">AC26-(AQ26/1.9835)</f>
        <v>1586.94463106314</v>
      </c>
      <c r="AD27" s="107"/>
      <c r="AE27" s="135" t="n">
        <v>65</v>
      </c>
      <c r="AF27" s="240" t="n">
        <v>1.7</v>
      </c>
      <c r="AG27" s="241" t="n">
        <v>1.3</v>
      </c>
      <c r="AH27" s="136" t="n">
        <v>472</v>
      </c>
      <c r="AI27" s="107" t="n">
        <f aca="false">AI26-55</f>
        <v>13926.2578774893</v>
      </c>
      <c r="AJ27" s="97" t="n">
        <f aca="false">AH27-55</f>
        <v>417</v>
      </c>
      <c r="AK27" s="134" t="n">
        <f aca="false">N27+O27+P27+Q27+R27+S27+T27+U27+X27+AE27+AH27+AT27-AR27</f>
        <v>1064</v>
      </c>
      <c r="AL27" s="135" t="n">
        <f aca="false">IF(L27&lt;0,L27*-1,0)</f>
        <v>0</v>
      </c>
      <c r="AM27" s="135" t="n">
        <f aca="false">AK27+AL27</f>
        <v>1064</v>
      </c>
      <c r="AN27" s="364" t="n">
        <v>0</v>
      </c>
      <c r="AO27" s="207" t="n">
        <v>5</v>
      </c>
      <c r="AP27" s="147" t="n">
        <f aca="false">795-Y27</f>
        <v>393.975855681693</v>
      </c>
      <c r="AQ27" s="155" t="n">
        <f aca="false">47.9*(Z27*1.9835+AC27*1.9835)/E27</f>
        <v>11.2596123743468</v>
      </c>
      <c r="AR27" s="136" t="n">
        <v>15</v>
      </c>
      <c r="AS27" s="213"/>
      <c r="AT27" s="175" t="n">
        <v>19.7</v>
      </c>
      <c r="AU27" s="172"/>
      <c r="AV27" s="214" t="n">
        <v>0</v>
      </c>
      <c r="AW27" s="324" t="n">
        <v>71</v>
      </c>
      <c r="AX27" s="207" t="n">
        <v>35</v>
      </c>
      <c r="AY27" s="264"/>
      <c r="AZ27" s="242" t="n">
        <f aca="false">SUM(N27,P27:U27)</f>
        <v>10.2258556816927</v>
      </c>
    </row>
    <row r="28" customFormat="false" ht="12.95" hidden="false" customHeight="true" outlineLevel="0" collapsed="false">
      <c r="A28" s="179" t="n">
        <f aca="false">A27+1</f>
        <v>14</v>
      </c>
      <c r="B28" s="106" t="n">
        <v>6912.5</v>
      </c>
      <c r="C28" s="107" t="n">
        <v>332083</v>
      </c>
      <c r="D28" s="207" t="n">
        <f aca="false">C28-C27</f>
        <v>449</v>
      </c>
      <c r="E28" s="107" t="n">
        <f aca="false">C28-152000</f>
        <v>180083</v>
      </c>
      <c r="F28" s="135" t="n">
        <f aca="false">D28/$D$2</f>
        <v>226.367532140156</v>
      </c>
      <c r="G28" s="205" t="n">
        <v>948</v>
      </c>
      <c r="H28" s="136" t="n">
        <v>48</v>
      </c>
      <c r="I28" s="135" t="n">
        <f aca="false">G28+H28</f>
        <v>996</v>
      </c>
      <c r="J28" s="136" t="n">
        <f aca="false">IF(L28&gt;0,L28,0)</f>
        <v>102.367532140156</v>
      </c>
      <c r="K28" s="135" t="n">
        <f aca="false">I28+J28</f>
        <v>1098.36753214016</v>
      </c>
      <c r="L28" s="135" t="n">
        <f aca="false">F28-(I28-AK28)</f>
        <v>102.367532140156</v>
      </c>
      <c r="M28" s="240" t="n">
        <v>313</v>
      </c>
      <c r="N28" s="155" t="n">
        <f aca="false">(1.8299*1.03)/2</f>
        <v>0.9423985</v>
      </c>
      <c r="O28" s="135" t="n">
        <f aca="false">(43+42)*1.05</f>
        <v>89.25</v>
      </c>
      <c r="P28" s="155" t="n">
        <v>0</v>
      </c>
      <c r="Q28" s="328" t="n">
        <f aca="false">1507500/325851/1.9835*1.02</f>
        <v>2.37906457153738</v>
      </c>
      <c r="R28" s="328" t="n">
        <v>4.2</v>
      </c>
      <c r="S28" s="131" t="n">
        <f aca="false">((4499442/325851/1.9835-T28)*1.04)-4.2</f>
        <v>1.36734174349349</v>
      </c>
      <c r="T28" s="131" t="n">
        <f aca="false">1.5465*1.04</f>
        <v>1.60836</v>
      </c>
      <c r="U28" s="346" t="n">
        <v>0</v>
      </c>
      <c r="V28" s="135" t="n">
        <v>153</v>
      </c>
      <c r="W28" s="135" t="n">
        <v>65</v>
      </c>
      <c r="X28" s="135" t="n">
        <f aca="false">M28-N28-O28-P28-Q28-R28-S28-T28-U28+V28+W28-AT28+AR28</f>
        <v>427.252835184969</v>
      </c>
      <c r="Y28" s="135" t="n">
        <f aca="false">X28-AO28</f>
        <v>422.252835184969</v>
      </c>
      <c r="Z28" s="107" t="n">
        <f aca="false">Z27+AP28-AA28</f>
        <v>19892.2633296122</v>
      </c>
      <c r="AA28" s="135" t="n">
        <f aca="false">AJ28</f>
        <v>182</v>
      </c>
      <c r="AB28" s="107" t="n">
        <f aca="false">AB27+(Y28+AP28-AA28)*1.9835</f>
        <v>48263.4988066958</v>
      </c>
      <c r="AC28" s="107" t="n">
        <f aca="false">AC27-(AQ27/1.9835)</f>
        <v>1581.26799260871</v>
      </c>
      <c r="AD28" s="107"/>
      <c r="AE28" s="135" t="n">
        <v>104</v>
      </c>
      <c r="AF28" s="240" t="n">
        <v>1.7</v>
      </c>
      <c r="AG28" s="241" t="n">
        <v>1.3</v>
      </c>
      <c r="AH28" s="136" t="n">
        <v>237</v>
      </c>
      <c r="AI28" s="107" t="n">
        <f aca="false">AI27-55</f>
        <v>13871.2578774893</v>
      </c>
      <c r="AJ28" s="97" t="n">
        <f aca="false">AH28-55</f>
        <v>182</v>
      </c>
      <c r="AK28" s="134" t="n">
        <f aca="false">N28+O28+P28+Q28+R28+S28+T28+U28+X28+AE28+AH28+AT28-AR28</f>
        <v>872</v>
      </c>
      <c r="AL28" s="135" t="n">
        <f aca="false">IF(L28&lt;0,L28*-1,0)</f>
        <v>0</v>
      </c>
      <c r="AM28" s="135" t="n">
        <f aca="false">AK28+AL28</f>
        <v>872</v>
      </c>
      <c r="AN28" s="364" t="n">
        <v>0</v>
      </c>
      <c r="AO28" s="207" t="n">
        <v>5</v>
      </c>
      <c r="AP28" s="147" t="n">
        <f aca="false">795-Y28</f>
        <v>372.747164815031</v>
      </c>
      <c r="AQ28" s="155" t="n">
        <f aca="false">47.9*(Z28*1.9835+AC28*1.9835)/E28</f>
        <v>11.3291798514477</v>
      </c>
      <c r="AR28" s="136" t="n">
        <v>16</v>
      </c>
      <c r="AS28" s="213"/>
      <c r="AT28" s="175" t="n">
        <v>20</v>
      </c>
      <c r="AU28" s="172"/>
      <c r="AV28" s="214" t="n">
        <v>0</v>
      </c>
      <c r="AW28" s="324" t="n">
        <v>72</v>
      </c>
      <c r="AX28" s="207" t="n">
        <v>44</v>
      </c>
      <c r="AY28" s="264"/>
      <c r="AZ28" s="242" t="n">
        <f aca="false">SUM(N28,P28:U28)</f>
        <v>10.4971648150309</v>
      </c>
    </row>
    <row r="29" customFormat="false" ht="12.95" hidden="false" customHeight="true" outlineLevel="0" collapsed="false">
      <c r="A29" s="179" t="n">
        <f aca="false">A28+1</f>
        <v>15</v>
      </c>
      <c r="B29" s="106" t="n">
        <v>6912.78</v>
      </c>
      <c r="C29" s="107" t="n">
        <v>333224</v>
      </c>
      <c r="D29" s="207" t="n">
        <f aca="false">C29-C28</f>
        <v>1141</v>
      </c>
      <c r="E29" s="107" t="n">
        <f aca="false">C29-152000</f>
        <v>181224</v>
      </c>
      <c r="F29" s="135" t="n">
        <f aca="false">D29/$D$2</f>
        <v>575.245777665742</v>
      </c>
      <c r="G29" s="205" t="n">
        <v>1060</v>
      </c>
      <c r="H29" s="136" t="n">
        <v>64</v>
      </c>
      <c r="I29" s="135" t="n">
        <f aca="false">G29+H29</f>
        <v>1124</v>
      </c>
      <c r="J29" s="136" t="n">
        <f aca="false">IF(L29&gt;0,L29,0)</f>
        <v>223.245777665742</v>
      </c>
      <c r="K29" s="135" t="n">
        <f aca="false">I29+J29</f>
        <v>1347.24577766574</v>
      </c>
      <c r="L29" s="135" t="n">
        <f aca="false">F29-(I29-AK29)</f>
        <v>223.245777665742</v>
      </c>
      <c r="M29" s="240" t="n">
        <v>326</v>
      </c>
      <c r="N29" s="155" t="n">
        <f aca="false">(1.8299*1.03)/2</f>
        <v>0.9423985</v>
      </c>
      <c r="O29" s="135" t="n">
        <f aca="false">(47+46)*1.05</f>
        <v>97.65</v>
      </c>
      <c r="P29" s="155" t="n">
        <v>0</v>
      </c>
      <c r="Q29" s="328" t="n">
        <f aca="false">1835100/325851/1.9835*1.02</f>
        <v>2.89606726051624</v>
      </c>
      <c r="R29" s="328" t="n">
        <v>4.2</v>
      </c>
      <c r="S29" s="131" t="n">
        <f aca="false">((3777185/325851/1.9835-T29)*1.04)-4.2</f>
        <v>0.205160569718789</v>
      </c>
      <c r="T29" s="131" t="n">
        <f aca="false">1.5465*1.04</f>
        <v>1.60836</v>
      </c>
      <c r="U29" s="346" t="n">
        <v>0</v>
      </c>
      <c r="V29" s="135" t="n">
        <v>168</v>
      </c>
      <c r="W29" s="135" t="n">
        <v>65</v>
      </c>
      <c r="X29" s="135" t="n">
        <f aca="false">M29-N29-O29-P29-Q29-R29-S29-T29-U29+V29+W29-AT29+AR29</f>
        <v>447.598013669765</v>
      </c>
      <c r="Y29" s="135" t="n">
        <f aca="false">X29-AO29</f>
        <v>442.598013669765</v>
      </c>
      <c r="Z29" s="107" t="n">
        <f aca="false">Z28+AP29</f>
        <v>20244.6653159425</v>
      </c>
      <c r="AA29" s="135" t="n">
        <f aca="false">AJ29</f>
        <v>0</v>
      </c>
      <c r="AB29" s="107" t="n">
        <f aca="false">AB28+(Y29+AP29-AA29)*1.9835</f>
        <v>49840.3813066958</v>
      </c>
      <c r="AC29" s="107" t="n">
        <f aca="false">AC28-(AQ28/1.9835)</f>
        <v>1575.55628106274</v>
      </c>
      <c r="AD29" s="107"/>
      <c r="AE29" s="135" t="n">
        <v>137</v>
      </c>
      <c r="AF29" s="240" t="n">
        <v>1.7</v>
      </c>
      <c r="AG29" s="241" t="n">
        <v>1.3</v>
      </c>
      <c r="AH29" s="136" t="n">
        <v>76</v>
      </c>
      <c r="AI29" s="107" t="n">
        <f aca="false">AI28-AH29</f>
        <v>13795.2578774893</v>
      </c>
      <c r="AJ29" s="97"/>
      <c r="AK29" s="134" t="n">
        <f aca="false">N29+O29+P29+Q29+R29+S29+T29+U29+X29+AE29+AH29+AT29-AR29</f>
        <v>772</v>
      </c>
      <c r="AL29" s="135" t="n">
        <f aca="false">IF(L29&lt;0,L29*-1,0)</f>
        <v>0</v>
      </c>
      <c r="AM29" s="135" t="n">
        <f aca="false">AK29+AL29</f>
        <v>772</v>
      </c>
      <c r="AN29" s="364" t="n">
        <v>0</v>
      </c>
      <c r="AO29" s="207" t="n">
        <v>5</v>
      </c>
      <c r="AP29" s="147" t="n">
        <f aca="false">795-Y29</f>
        <v>352.401986330235</v>
      </c>
      <c r="AQ29" s="155" t="n">
        <f aca="false">47.9*(Z29*1.9835+AC29*1.9835)/E29</f>
        <v>11.4396085333836</v>
      </c>
      <c r="AR29" s="136" t="n">
        <v>16</v>
      </c>
      <c r="AS29" s="213"/>
      <c r="AT29" s="175" t="n">
        <v>19.9</v>
      </c>
      <c r="AU29" s="172"/>
      <c r="AV29" s="214" t="n">
        <v>0</v>
      </c>
      <c r="AW29" s="324" t="n">
        <v>72</v>
      </c>
      <c r="AX29" s="207" t="n">
        <v>43</v>
      </c>
      <c r="AY29" s="264"/>
      <c r="AZ29" s="242" t="n">
        <f aca="false">SUM(N29,P29:U29)</f>
        <v>9.85198633023503</v>
      </c>
    </row>
    <row r="30" customFormat="false" ht="12.95" hidden="false" customHeight="true" outlineLevel="0" collapsed="false">
      <c r="A30" s="179" t="n">
        <f aca="false">A29+1</f>
        <v>16</v>
      </c>
      <c r="B30" s="106" t="n">
        <v>6913.27</v>
      </c>
      <c r="C30" s="107" t="n">
        <v>335231</v>
      </c>
      <c r="D30" s="207" t="n">
        <f aca="false">C30-C29</f>
        <v>2007</v>
      </c>
      <c r="E30" s="107" t="n">
        <f aca="false">C30-152000</f>
        <v>183231</v>
      </c>
      <c r="F30" s="135" t="n">
        <f aca="false">D30/$D$2</f>
        <v>1011.84774388707</v>
      </c>
      <c r="G30" s="205" t="n">
        <v>1470</v>
      </c>
      <c r="H30" s="136" t="n">
        <v>89</v>
      </c>
      <c r="I30" s="135" t="n">
        <f aca="false">G30+H30</f>
        <v>1559</v>
      </c>
      <c r="J30" s="136" t="n">
        <f aca="false">IF(L30&gt;0,L30,0)</f>
        <v>220.847743887068</v>
      </c>
      <c r="K30" s="135" t="n">
        <f aca="false">I30+J30</f>
        <v>1779.84774388707</v>
      </c>
      <c r="L30" s="135" t="n">
        <f aca="false">F30-(I30-AK30)</f>
        <v>220.847743887068</v>
      </c>
      <c r="M30" s="240" t="n">
        <v>336</v>
      </c>
      <c r="N30" s="155" t="n">
        <f aca="false">(1.8299*1.03)/2</f>
        <v>0.9423985</v>
      </c>
      <c r="O30" s="135" t="n">
        <f aca="false">(51+52)*1.05</f>
        <v>108.15</v>
      </c>
      <c r="P30" s="155" t="n">
        <v>0</v>
      </c>
      <c r="Q30" s="328" t="n">
        <f aca="false">1395200/325851/1.9835*1.02</f>
        <v>2.20183806979035</v>
      </c>
      <c r="R30" s="328" t="n">
        <v>4.2</v>
      </c>
      <c r="S30" s="131" t="n">
        <f aca="false">((4553422/325851/1.9835-T30)*1.04)-4.2</f>
        <v>1.45420076979625</v>
      </c>
      <c r="T30" s="131" t="n">
        <f aca="false">1.5465*1.04</f>
        <v>1.60836</v>
      </c>
      <c r="U30" s="346" t="n">
        <v>0</v>
      </c>
      <c r="V30" s="135" t="n">
        <v>170</v>
      </c>
      <c r="W30" s="135" t="n">
        <v>66</v>
      </c>
      <c r="X30" s="135" t="n">
        <f aca="false">M30-N30-O30-P30-Q30-R30-S30-T30-U30+V30+W30-AT30+AR30</f>
        <v>461.183202660413</v>
      </c>
      <c r="Y30" s="135" t="n">
        <f aca="false">X30-AO30</f>
        <v>456.183202660413</v>
      </c>
      <c r="Z30" s="107" t="n">
        <f aca="false">Z29+AP30</f>
        <v>20583.482113282</v>
      </c>
      <c r="AA30" s="135"/>
      <c r="AB30" s="107" t="n">
        <f aca="false">AB29+(Y30+AP30-AA30)*1.9835</f>
        <v>51417.2638066958</v>
      </c>
      <c r="AC30" s="107" t="n">
        <f aca="false">AC29-(AQ29/1.9835)</f>
        <v>1569.78889586819</v>
      </c>
      <c r="AD30" s="107"/>
      <c r="AE30" s="135" t="n">
        <v>123</v>
      </c>
      <c r="AF30" s="240" t="n">
        <v>1.7</v>
      </c>
      <c r="AG30" s="241" t="n">
        <v>1.3</v>
      </c>
      <c r="AH30" s="136" t="n">
        <v>73</v>
      </c>
      <c r="AI30" s="107" t="n">
        <f aca="false">AI29-AH30</f>
        <v>13722.2578774893</v>
      </c>
      <c r="AJ30" s="97"/>
      <c r="AK30" s="134" t="n">
        <f aca="false">N30+O30+P30+Q30+R30+S30+T30+U30+X30+AE30+AH30+AT30-AR30</f>
        <v>768</v>
      </c>
      <c r="AL30" s="135" t="n">
        <f aca="false">IF(L30&lt;0,L30*-1,0)</f>
        <v>0</v>
      </c>
      <c r="AM30" s="135" t="n">
        <f aca="false">AK30+AL30</f>
        <v>768</v>
      </c>
      <c r="AN30" s="364" t="n">
        <v>0</v>
      </c>
      <c r="AO30" s="207" t="n">
        <v>5</v>
      </c>
      <c r="AP30" s="147" t="n">
        <f aca="false">795-Y30</f>
        <v>338.816797339587</v>
      </c>
      <c r="AQ30" s="155" t="n">
        <f aca="false">47.9*(Z30*1.9835+AC30*1.9835)/E30</f>
        <v>11.4870001524552</v>
      </c>
      <c r="AR30" s="136" t="n">
        <v>16</v>
      </c>
      <c r="AS30" s="213"/>
      <c r="AT30" s="175" t="n">
        <v>8.26</v>
      </c>
      <c r="AU30" s="172"/>
      <c r="AV30" s="214" t="n">
        <v>0</v>
      </c>
      <c r="AW30" s="207" t="n">
        <v>70</v>
      </c>
      <c r="AX30" s="207" t="n">
        <v>38</v>
      </c>
      <c r="AY30" s="264"/>
      <c r="AZ30" s="242" t="n">
        <f aca="false">SUM(N30,P30:U30)</f>
        <v>10.4067973395866</v>
      </c>
    </row>
    <row r="31" customFormat="false" ht="12.95" hidden="false" customHeight="true" outlineLevel="0" collapsed="false">
      <c r="A31" s="179" t="n">
        <f aca="false">A30+1</f>
        <v>17</v>
      </c>
      <c r="B31" s="106" t="n">
        <v>6913.86</v>
      </c>
      <c r="C31" s="107" t="n">
        <v>337655</v>
      </c>
      <c r="D31" s="207" t="n">
        <f aca="false">C31-C30</f>
        <v>2424</v>
      </c>
      <c r="E31" s="107" t="n">
        <f aca="false">C31-152000</f>
        <v>185655</v>
      </c>
      <c r="F31" s="135" t="n">
        <f aca="false">D31/$D$2</f>
        <v>1222.08217796824</v>
      </c>
      <c r="G31" s="205" t="n">
        <v>1590</v>
      </c>
      <c r="H31" s="136" t="n">
        <v>80</v>
      </c>
      <c r="I31" s="135" t="n">
        <f aca="false">G31+H31</f>
        <v>1670</v>
      </c>
      <c r="J31" s="136" t="n">
        <f aca="false">IF(L31&gt;0,L31,0)</f>
        <v>330.082177968238</v>
      </c>
      <c r="K31" s="135" t="n">
        <f aca="false">I31+J31</f>
        <v>2000.08217796824</v>
      </c>
      <c r="L31" s="135" t="n">
        <f aca="false">F31-(I31-AK31)</f>
        <v>330.082177968238</v>
      </c>
      <c r="M31" s="240" t="n">
        <v>321</v>
      </c>
      <c r="N31" s="155" t="n">
        <f aca="false">(1.8299*1.03)/2</f>
        <v>0.9423985</v>
      </c>
      <c r="O31" s="135" t="n">
        <f aca="false">(54+49)*1.05</f>
        <v>108.15</v>
      </c>
      <c r="P31" s="155" t="n">
        <v>0</v>
      </c>
      <c r="Q31" s="328" t="n">
        <f aca="false">1270900/325851/1.9835*1.02</f>
        <v>2.00567374060819</v>
      </c>
      <c r="R31" s="328" t="n">
        <v>4.2</v>
      </c>
      <c r="S31" s="131" t="n">
        <f aca="false">((3652921/325851/1.9835-T31)*1.04)-4.2</f>
        <v>0.00520780861306225</v>
      </c>
      <c r="T31" s="131" t="n">
        <f aca="false">1.5465*1.04</f>
        <v>1.60836</v>
      </c>
      <c r="U31" s="346" t="n">
        <v>0</v>
      </c>
      <c r="V31" s="135" t="n">
        <v>170</v>
      </c>
      <c r="W31" s="135" t="n">
        <v>73</v>
      </c>
      <c r="X31" s="135" t="n">
        <f aca="false">M31-N31-O31-P31-Q31-R31-S31-T31-U31+V31+W31-AT31+AR31</f>
        <v>463.088359950779</v>
      </c>
      <c r="Y31" s="135" t="n">
        <f aca="false">X31-AO31</f>
        <v>458.088359950779</v>
      </c>
      <c r="Z31" s="107" t="n">
        <f aca="false">Z30+AP31</f>
        <v>20920.3937533313</v>
      </c>
      <c r="AA31" s="135"/>
      <c r="AB31" s="107" t="n">
        <f aca="false">AB30+(Y31+AP31-AA31)*1.9835</f>
        <v>52994.1463066958</v>
      </c>
      <c r="AC31" s="107" t="n">
        <f aca="false">AC30-(AQ30/1.9835)</f>
        <v>1563.99761774747</v>
      </c>
      <c r="AD31" s="107"/>
      <c r="AE31" s="135" t="n">
        <v>141</v>
      </c>
      <c r="AF31" s="240" t="n">
        <v>1.7</v>
      </c>
      <c r="AG31" s="241" t="n">
        <v>1.3</v>
      </c>
      <c r="AH31" s="136" t="n">
        <v>73</v>
      </c>
      <c r="AI31" s="107" t="n">
        <f aca="false">AI30-AH31</f>
        <v>13649.2578774893</v>
      </c>
      <c r="AJ31" s="97"/>
      <c r="AK31" s="134" t="n">
        <f aca="false">N31+O31+P31+Q31+R31+S31+T31+U31+X31+AE31+AH31+AT31-AR31</f>
        <v>778</v>
      </c>
      <c r="AL31" s="135" t="n">
        <f aca="false">IF(L31&lt;0,L31*-1,0)</f>
        <v>0</v>
      </c>
      <c r="AM31" s="135" t="n">
        <f aca="false">AK31+AL31</f>
        <v>778</v>
      </c>
      <c r="AN31" s="364" t="n">
        <v>0</v>
      </c>
      <c r="AO31" s="207" t="n">
        <v>5</v>
      </c>
      <c r="AP31" s="147" t="n">
        <f aca="false">795-Y31</f>
        <v>336.911640049221</v>
      </c>
      <c r="AQ31" s="155" t="n">
        <f aca="false">47.9*(Z31*1.9835+AC31*1.9835)/E31</f>
        <v>11.5064725142291</v>
      </c>
      <c r="AR31" s="136" t="n">
        <v>16</v>
      </c>
      <c r="AS31" s="213"/>
      <c r="AT31" s="175" t="n">
        <v>0</v>
      </c>
      <c r="AU31" s="172"/>
      <c r="AV31" s="214" t="n">
        <v>0</v>
      </c>
      <c r="AW31" s="207" t="n">
        <v>60</v>
      </c>
      <c r="AX31" s="207" t="n">
        <v>42</v>
      </c>
      <c r="AY31" s="264"/>
      <c r="AZ31" s="242" t="n">
        <f aca="false">SUM(N31,P31:U31)</f>
        <v>8.76164004922125</v>
      </c>
    </row>
    <row r="32" customFormat="false" ht="12.95" hidden="false" customHeight="true" outlineLevel="0" collapsed="false">
      <c r="A32" s="179" t="n">
        <f aca="false">A31+1</f>
        <v>18</v>
      </c>
      <c r="B32" s="106" t="n">
        <v>6914.35</v>
      </c>
      <c r="C32" s="107" t="n">
        <v>339680</v>
      </c>
      <c r="D32" s="207" t="n">
        <f aca="false">C32-C31</f>
        <v>2025</v>
      </c>
      <c r="E32" s="107" t="n">
        <f aca="false">C32-152000</f>
        <v>187680</v>
      </c>
      <c r="F32" s="135" t="n">
        <f aca="false">D32/$D$2</f>
        <v>1020.92261154525</v>
      </c>
      <c r="G32" s="205" t="n">
        <v>1270</v>
      </c>
      <c r="H32" s="136" t="n">
        <v>77</v>
      </c>
      <c r="I32" s="135" t="n">
        <f aca="false">G32+H32</f>
        <v>1347</v>
      </c>
      <c r="J32" s="136" t="n">
        <f aca="false">IF(L32&gt;0,L32,0)</f>
        <v>389.922611545248</v>
      </c>
      <c r="K32" s="135" t="n">
        <f aca="false">I32+J32</f>
        <v>1736.92261154525</v>
      </c>
      <c r="L32" s="135" t="n">
        <f aca="false">F32-(I32-AK32)</f>
        <v>389.922611545248</v>
      </c>
      <c r="M32" s="240" t="n">
        <v>296</v>
      </c>
      <c r="N32" s="155" t="n">
        <f aca="false">(1.8299*1.03)/2</f>
        <v>0.9423985</v>
      </c>
      <c r="O32" s="135" t="n">
        <f aca="false">(54+51)*1.05</f>
        <v>110.25</v>
      </c>
      <c r="P32" s="155" t="n">
        <v>0</v>
      </c>
      <c r="Q32" s="328" t="n">
        <f aca="false">925900/325851/1.9835*1.02</f>
        <v>1.4612112018484</v>
      </c>
      <c r="R32" s="328" t="n">
        <f aca="false">(2824426/325851/1.9835-T32)*1.04</f>
        <v>2.87207944631755</v>
      </c>
      <c r="S32" s="131" t="n">
        <v>0</v>
      </c>
      <c r="T32" s="131" t="n">
        <f aca="false">1.5465*1.04</f>
        <v>1.60836</v>
      </c>
      <c r="U32" s="346" t="n">
        <v>0</v>
      </c>
      <c r="V32" s="135" t="n">
        <v>172</v>
      </c>
      <c r="W32" s="135" t="n">
        <v>76</v>
      </c>
      <c r="X32" s="135" t="n">
        <f aca="false">M32-N32-O32-P32-Q32-R32-S32-T32-U32+V32+W32-AT32+AR32</f>
        <v>441.865950851834</v>
      </c>
      <c r="Y32" s="135" t="n">
        <f aca="false">X32-AO32</f>
        <v>436.865950851834</v>
      </c>
      <c r="Z32" s="107" t="n">
        <f aca="false">Z31+AP32</f>
        <v>21278.5278024794</v>
      </c>
      <c r="AA32" s="135"/>
      <c r="AB32" s="107" t="n">
        <f aca="false">AB31+(Y32+AP32-AA32)*1.9835</f>
        <v>54571.0288066958</v>
      </c>
      <c r="AC32" s="107" t="n">
        <f aca="false">AC31-(AQ31/1.9835)</f>
        <v>1558.19652245418</v>
      </c>
      <c r="AD32" s="107"/>
      <c r="AE32" s="135" t="n">
        <v>98</v>
      </c>
      <c r="AF32" s="240" t="n">
        <v>1.7</v>
      </c>
      <c r="AG32" s="241" t="n">
        <v>1.3</v>
      </c>
      <c r="AH32" s="136" t="n">
        <v>74</v>
      </c>
      <c r="AI32" s="107" t="n">
        <f aca="false">AI31-AH32</f>
        <v>13575.2578774893</v>
      </c>
      <c r="AJ32" s="97"/>
      <c r="AK32" s="134" t="n">
        <f aca="false">N32+O32+P32+Q32+R32+S32+T32+U32+X32+AE32+AH32+AT32-AR32</f>
        <v>716</v>
      </c>
      <c r="AL32" s="135" t="n">
        <f aca="false">IF(L32&lt;0,L32*-1,0)</f>
        <v>0</v>
      </c>
      <c r="AM32" s="135" t="n">
        <f aca="false">AK32+AL32</f>
        <v>716</v>
      </c>
      <c r="AN32" s="364" t="n">
        <v>0</v>
      </c>
      <c r="AO32" s="207" t="n">
        <v>5</v>
      </c>
      <c r="AP32" s="147" t="n">
        <f aca="false">795-Y32</f>
        <v>358.134049148166</v>
      </c>
      <c r="AQ32" s="155" t="n">
        <f aca="false">47.9*(Z32*1.9835+AC32*1.9835)/E32</f>
        <v>11.5606840646762</v>
      </c>
      <c r="AR32" s="136" t="n">
        <v>15</v>
      </c>
      <c r="AS32" s="213"/>
      <c r="AT32" s="175" t="n">
        <v>0</v>
      </c>
      <c r="AU32" s="172"/>
      <c r="AV32" s="214" t="n">
        <v>0.44</v>
      </c>
      <c r="AW32" s="207" t="n">
        <v>51</v>
      </c>
      <c r="AX32" s="207" t="n">
        <v>34</v>
      </c>
      <c r="AY32" s="264"/>
      <c r="AZ32" s="242" t="n">
        <f aca="false">SUM(N32,P32:U32)</f>
        <v>6.88404914816595</v>
      </c>
    </row>
    <row r="33" customFormat="false" ht="12.95" hidden="false" customHeight="true" outlineLevel="0" collapsed="false">
      <c r="A33" s="179" t="n">
        <f aca="false">A32+1</f>
        <v>19</v>
      </c>
      <c r="B33" s="106" t="n">
        <v>6914.83</v>
      </c>
      <c r="C33" s="300" t="n">
        <v>341668</v>
      </c>
      <c r="D33" s="207" t="n">
        <f aca="false">C33-C32</f>
        <v>1988</v>
      </c>
      <c r="E33" s="107" t="n">
        <f aca="false">C33-152000</f>
        <v>189668</v>
      </c>
      <c r="F33" s="135" t="n">
        <f aca="false">D33/$D$2</f>
        <v>1002.26871691455</v>
      </c>
      <c r="G33" s="205" t="n">
        <v>1070</v>
      </c>
      <c r="H33" s="136" t="n">
        <v>66</v>
      </c>
      <c r="I33" s="135" t="n">
        <f aca="false">G33+H33</f>
        <v>1136</v>
      </c>
      <c r="J33" s="136" t="n">
        <f aca="false">IF(L33&gt;0,L33,0)</f>
        <v>379.268716914545</v>
      </c>
      <c r="K33" s="135" t="n">
        <f aca="false">I33+J33</f>
        <v>1515.26871691454</v>
      </c>
      <c r="L33" s="135" t="n">
        <f aca="false">F33-(I33-AK33)</f>
        <v>379.268716914545</v>
      </c>
      <c r="M33" s="240" t="n">
        <v>179</v>
      </c>
      <c r="N33" s="155" t="n">
        <f aca="false">(1.8299*1.03)/2</f>
        <v>0.9423985</v>
      </c>
      <c r="O33" s="135" t="n">
        <f aca="false">(24+20)*1.05</f>
        <v>46.2</v>
      </c>
      <c r="P33" s="155" t="n">
        <v>0</v>
      </c>
      <c r="Q33" s="328" t="n">
        <f aca="false">1022300/325851/1.9835*1.02</f>
        <v>1.61334508224389</v>
      </c>
      <c r="R33" s="328" t="n">
        <f aca="false">(3032096/325851/1.9835-T33)*1.04</f>
        <v>3.20624050582655</v>
      </c>
      <c r="S33" s="131" t="n">
        <v>0</v>
      </c>
      <c r="T33" s="131" t="n">
        <f aca="false">1.5465*1.04</f>
        <v>1.60836</v>
      </c>
      <c r="U33" s="346" t="n">
        <v>0</v>
      </c>
      <c r="V33" s="135" t="n">
        <v>174</v>
      </c>
      <c r="W33" s="135" t="n">
        <v>74</v>
      </c>
      <c r="X33" s="135" t="n">
        <f aca="false">M33-N33-O33-P33-Q33-R33-S33-T33-U33+V33+W33-AT33+AR33</f>
        <v>376.42965591193</v>
      </c>
      <c r="Y33" s="135" t="n">
        <f aca="false">X33-AO33</f>
        <v>371.42965591193</v>
      </c>
      <c r="Z33" s="107" t="n">
        <f aca="false">Z32+AP33</f>
        <v>21702.0981465675</v>
      </c>
      <c r="AA33" s="135"/>
      <c r="AB33" s="107" t="n">
        <f aca="false">AB32+(Y33+AP33-AA33)*1.9835</f>
        <v>56147.9113066958</v>
      </c>
      <c r="AC33" s="107" t="n">
        <f aca="false">AC32-(AQ32/1.9835)</f>
        <v>1552.36809590279</v>
      </c>
      <c r="AD33" s="107"/>
      <c r="AE33" s="135" t="n">
        <v>12</v>
      </c>
      <c r="AF33" s="240" t="n">
        <v>1.7</v>
      </c>
      <c r="AG33" s="241" t="n">
        <v>1.3</v>
      </c>
      <c r="AH33" s="136" t="n">
        <v>74</v>
      </c>
      <c r="AI33" s="107" t="n">
        <f aca="false">AI32-AH33</f>
        <v>13501.2578774893</v>
      </c>
      <c r="AJ33" s="97"/>
      <c r="AK33" s="134" t="n">
        <f aca="false">N33+O33+P33+Q33+R33+S33+T33+U33+X33+AE33+AH33+AT33-AR33</f>
        <v>513</v>
      </c>
      <c r="AL33" s="135" t="n">
        <f aca="false">IF(L33&lt;0,L33*-1,0)</f>
        <v>0</v>
      </c>
      <c r="AM33" s="135" t="n">
        <f aca="false">AK33+AL33</f>
        <v>513</v>
      </c>
      <c r="AN33" s="364" t="n">
        <v>0</v>
      </c>
      <c r="AO33" s="207" t="n">
        <v>5</v>
      </c>
      <c r="AP33" s="147" t="n">
        <f aca="false">795-Y33</f>
        <v>423.57034408807</v>
      </c>
      <c r="AQ33" s="155" t="n">
        <f aca="false">47.9*(Z33*1.9835+AC33*1.9835)/E33</f>
        <v>11.6487688942464</v>
      </c>
      <c r="AR33" s="136" t="n">
        <v>3</v>
      </c>
      <c r="AS33" s="213"/>
      <c r="AT33" s="175" t="n">
        <v>0</v>
      </c>
      <c r="AU33" s="172"/>
      <c r="AV33" s="214" t="n">
        <v>0.35</v>
      </c>
      <c r="AW33" s="207" t="n">
        <v>43</v>
      </c>
      <c r="AX33" s="207" t="n">
        <v>32</v>
      </c>
      <c r="AY33" s="264"/>
      <c r="AZ33" s="242" t="n">
        <f aca="false">SUM(N33,P33:U33)</f>
        <v>7.37034408807044</v>
      </c>
    </row>
    <row r="34" customFormat="false" ht="12.95" hidden="false" customHeight="true" outlineLevel="0" collapsed="false">
      <c r="A34" s="179" t="n">
        <f aca="false">A33+1</f>
        <v>20</v>
      </c>
      <c r="B34" s="106" t="n">
        <v>6915.27</v>
      </c>
      <c r="C34" s="107" t="n">
        <v>343499</v>
      </c>
      <c r="D34" s="207" t="n">
        <f aca="false">C34-C33</f>
        <v>1831</v>
      </c>
      <c r="E34" s="107" t="n">
        <f aca="false">C34-152000</f>
        <v>191499</v>
      </c>
      <c r="F34" s="135" t="n">
        <f aca="false">D34/$D$2</f>
        <v>923.115704562642</v>
      </c>
      <c r="G34" s="205" t="n">
        <v>937</v>
      </c>
      <c r="H34" s="136" t="n">
        <v>58</v>
      </c>
      <c r="I34" s="135" t="n">
        <f aca="false">G34+H34</f>
        <v>995</v>
      </c>
      <c r="J34" s="136" t="n">
        <f aca="false">IF(L34&gt;0,L34,0)</f>
        <v>362.115704562642</v>
      </c>
      <c r="K34" s="135" t="n">
        <f aca="false">I34+J34</f>
        <v>1357.11570456264</v>
      </c>
      <c r="L34" s="135" t="n">
        <f aca="false">F34-(I34-AK34)</f>
        <v>362.115704562642</v>
      </c>
      <c r="M34" s="240" t="n">
        <v>102</v>
      </c>
      <c r="N34" s="155" t="n">
        <f aca="false">(1.8299*1.03)/2</f>
        <v>0.9423985</v>
      </c>
      <c r="O34" s="135" t="n">
        <f aca="false">(6.3+2.7)*1.05</f>
        <v>9.45</v>
      </c>
      <c r="P34" s="155" t="n">
        <v>0</v>
      </c>
      <c r="Q34" s="328" t="n">
        <f aca="false">993900/325851/1.9835*1.02</f>
        <v>1.56852555731409</v>
      </c>
      <c r="R34" s="328" t="n">
        <f aca="false">(2605712/325851/1.9835-T34)*1.04</f>
        <v>2.85122528562871</v>
      </c>
      <c r="S34" s="131" t="n">
        <v>0</v>
      </c>
      <c r="T34" s="131" t="n">
        <f aca="false">1.2404*1.04</f>
        <v>1.290016</v>
      </c>
      <c r="U34" s="346" t="n">
        <v>0</v>
      </c>
      <c r="V34" s="135" t="n">
        <v>171</v>
      </c>
      <c r="W34" s="135" t="n">
        <v>68</v>
      </c>
      <c r="X34" s="135" t="n">
        <f aca="false">M34-N34-O34-P34-Q34-R34-S34-T34-U34+V34+W34-AT34+AR34</f>
        <v>328.897834657057</v>
      </c>
      <c r="Y34" s="135" t="n">
        <f aca="false">X34-AO34</f>
        <v>323.897834657057</v>
      </c>
      <c r="Z34" s="107" t="n">
        <f aca="false">Z33+AP34</f>
        <v>22173.2003119104</v>
      </c>
      <c r="AA34" s="135"/>
      <c r="AB34" s="107" t="n">
        <f aca="false">AB33+(Y34+AP34-AA34)*1.9835</f>
        <v>57724.7938066958</v>
      </c>
      <c r="AC34" s="107" t="n">
        <f aca="false">AC33-(AQ33/1.9835)</f>
        <v>1546.49526056413</v>
      </c>
      <c r="AD34" s="107"/>
      <c r="AE34" s="135" t="n">
        <v>19</v>
      </c>
      <c r="AF34" s="240" t="n">
        <v>1.7</v>
      </c>
      <c r="AG34" s="241" t="n">
        <v>1.3</v>
      </c>
      <c r="AH34" s="136" t="n">
        <v>74</v>
      </c>
      <c r="AI34" s="107" t="n">
        <f aca="false">AI33-AH34</f>
        <v>13427.2578774893</v>
      </c>
      <c r="AJ34" s="97"/>
      <c r="AK34" s="134" t="n">
        <f aca="false">N34+O34+P34+Q34+R34+S34+T34+U34+X34+AE34+AH34+AT34-AR34</f>
        <v>434</v>
      </c>
      <c r="AL34" s="135" t="n">
        <f aca="false">IF(L34&lt;0,L34*-1,0)</f>
        <v>0</v>
      </c>
      <c r="AM34" s="135" t="n">
        <f aca="false">AK34+AL34</f>
        <v>434</v>
      </c>
      <c r="AN34" s="364" t="n">
        <v>0</v>
      </c>
      <c r="AO34" s="207" t="n">
        <v>5</v>
      </c>
      <c r="AP34" s="147" t="n">
        <f aca="false">795-Y34</f>
        <v>471.102165342943</v>
      </c>
      <c r="AQ34" s="155" t="n">
        <f aca="false">47.9*(Z34*1.9835+AC34*1.9835)/E34</f>
        <v>11.7682075334459</v>
      </c>
      <c r="AR34" s="136" t="n">
        <v>4</v>
      </c>
      <c r="AS34" s="213"/>
      <c r="AT34" s="175" t="n">
        <v>0</v>
      </c>
      <c r="AU34" s="172"/>
      <c r="AV34" s="214" t="n">
        <v>0.48</v>
      </c>
      <c r="AW34" s="207" t="n">
        <v>52</v>
      </c>
      <c r="AX34" s="207" t="n">
        <v>33</v>
      </c>
      <c r="AY34" s="264"/>
      <c r="AZ34" s="242" t="n">
        <f aca="false">SUM(N34,P34:U34)</f>
        <v>6.65216534294281</v>
      </c>
    </row>
    <row r="35" customFormat="false" ht="12.95" hidden="false" customHeight="true" outlineLevel="0" collapsed="false">
      <c r="A35" s="179" t="n">
        <f aca="false">A34+1</f>
        <v>21</v>
      </c>
      <c r="B35" s="426" t="n">
        <v>6915.63</v>
      </c>
      <c r="C35" s="107" t="n">
        <v>345002</v>
      </c>
      <c r="D35" s="207" t="n">
        <f aca="false">C35-C34</f>
        <v>1503</v>
      </c>
      <c r="E35" s="107" t="n">
        <f aca="false">C35-152000</f>
        <v>193002</v>
      </c>
      <c r="F35" s="135" t="n">
        <f aca="false">D35/$D$2</f>
        <v>757.751449458029</v>
      </c>
      <c r="G35" s="205" t="n">
        <v>849</v>
      </c>
      <c r="H35" s="136" t="n">
        <v>57</v>
      </c>
      <c r="I35" s="135" t="n">
        <f aca="false">G35+H35</f>
        <v>906</v>
      </c>
      <c r="J35" s="136" t="n">
        <f aca="false">IF(L35&gt;0,L35,0)</f>
        <v>306.751449458029</v>
      </c>
      <c r="K35" s="135" t="n">
        <f aca="false">I35+J35</f>
        <v>1212.75144945803</v>
      </c>
      <c r="L35" s="135" t="n">
        <f aca="false">F35-(I35-AK35)</f>
        <v>306.751449458029</v>
      </c>
      <c r="M35" s="240" t="n">
        <v>127</v>
      </c>
      <c r="N35" s="155" t="n">
        <f aca="false">(1.8299*1.03)/2</f>
        <v>0.9423985</v>
      </c>
      <c r="O35" s="135" t="n">
        <f aca="false">(3.1+0)*1.05</f>
        <v>3.255</v>
      </c>
      <c r="P35" s="155" t="n">
        <v>0</v>
      </c>
      <c r="Q35" s="328" t="n">
        <f aca="false">1099800/325851/1.9835*1.02</f>
        <v>1.73565188442906</v>
      </c>
      <c r="R35" s="328" t="n">
        <f aca="false">(2502075/325851/1.9835-T35)*1.04</f>
        <v>2.68446335697106</v>
      </c>
      <c r="S35" s="131" t="n">
        <v>0</v>
      </c>
      <c r="T35" s="131" t="n">
        <f aca="false">1.2404*1.04</f>
        <v>1.290016</v>
      </c>
      <c r="U35" s="346" t="n">
        <v>0</v>
      </c>
      <c r="V35" s="135" t="n">
        <v>158</v>
      </c>
      <c r="W35" s="135" t="n">
        <v>63</v>
      </c>
      <c r="X35" s="135" t="n">
        <f aca="false">M35-N35-O35-P35-Q35-R35-S35-T35-U35+V35+W35-AT35+AR35</f>
        <v>344.0924702586</v>
      </c>
      <c r="Y35" s="135" t="n">
        <f aca="false">X35-AO35</f>
        <v>339.0924702586</v>
      </c>
      <c r="Z35" s="107" t="n">
        <f aca="false">Z34+AP35</f>
        <v>22629.1078416518</v>
      </c>
      <c r="AA35" s="135"/>
      <c r="AB35" s="107" t="n">
        <f aca="false">AB34+(Y35+AP35-AA35-AN35)*1.9835</f>
        <v>59116.0207066958</v>
      </c>
      <c r="AC35" s="107" t="n">
        <f aca="false">AC34-(AQ34/1.9835)</f>
        <v>1540.56220912302</v>
      </c>
      <c r="AD35" s="107"/>
      <c r="AE35" s="135" t="n">
        <v>33</v>
      </c>
      <c r="AF35" s="240" t="n">
        <v>1.7</v>
      </c>
      <c r="AG35" s="241" t="n">
        <v>1.3</v>
      </c>
      <c r="AH35" s="136" t="n">
        <v>74</v>
      </c>
      <c r="AI35" s="107" t="n">
        <f aca="false">AI34-AH35</f>
        <v>13353.2578774893</v>
      </c>
      <c r="AJ35" s="97"/>
      <c r="AK35" s="134" t="n">
        <f aca="false">N35+O35+P35+Q35+R35+S35+T35+U35+X35+AE35+AH35+AT35-AR35</f>
        <v>455</v>
      </c>
      <c r="AL35" s="135" t="n">
        <f aca="false">IF(L35&lt;0,L35*-1,0)</f>
        <v>0</v>
      </c>
      <c r="AM35" s="135" t="n">
        <f aca="false">AK35+AL35</f>
        <v>455</v>
      </c>
      <c r="AN35" s="364" t="n">
        <v>93.6</v>
      </c>
      <c r="AO35" s="207" t="n">
        <v>5</v>
      </c>
      <c r="AP35" s="147" t="n">
        <f aca="false">795-Y35</f>
        <v>455.9075297414</v>
      </c>
      <c r="AQ35" s="155" t="n">
        <f aca="false">47.9*(Z35*1.9835+AC35*1.9835)/E35</f>
        <v>11.8980730362359</v>
      </c>
      <c r="AR35" s="136" t="n">
        <v>6</v>
      </c>
      <c r="AS35" s="213"/>
      <c r="AT35" s="175" t="n">
        <v>0</v>
      </c>
      <c r="AU35" s="172"/>
      <c r="AV35" s="214" t="n">
        <v>0</v>
      </c>
      <c r="AW35" s="207" t="n">
        <v>62</v>
      </c>
      <c r="AX35" s="207" t="n">
        <v>34</v>
      </c>
      <c r="AY35" s="264"/>
      <c r="AZ35" s="242" t="n">
        <f aca="false">SUM(N35,P35:U35)</f>
        <v>6.65252974140012</v>
      </c>
    </row>
    <row r="36" customFormat="false" ht="12.95" hidden="false" customHeight="true" outlineLevel="0" collapsed="false">
      <c r="A36" s="179" t="n">
        <f aca="false">A35+1</f>
        <v>22</v>
      </c>
      <c r="B36" s="106" t="n">
        <v>6916.13</v>
      </c>
      <c r="C36" s="107" t="n">
        <v>347094</v>
      </c>
      <c r="D36" s="207" t="n">
        <f aca="false">C36-C35</f>
        <v>2092</v>
      </c>
      <c r="E36" s="107" t="n">
        <f aca="false">C36-152000</f>
        <v>195094</v>
      </c>
      <c r="F36" s="135" t="n">
        <f aca="false">D36/$D$2</f>
        <v>1054.70128560625</v>
      </c>
      <c r="G36" s="205" t="n">
        <v>953</v>
      </c>
      <c r="H36" s="136" t="n">
        <v>80</v>
      </c>
      <c r="I36" s="135" t="n">
        <f aca="false">G36+H36</f>
        <v>1033</v>
      </c>
      <c r="J36" s="136" t="n">
        <f aca="false">IF(L36&gt;0,L36,0)</f>
        <v>440.701285606252</v>
      </c>
      <c r="K36" s="135" t="n">
        <f aca="false">I36+J36</f>
        <v>1473.70128560625</v>
      </c>
      <c r="L36" s="135" t="n">
        <f aca="false">F36-(I36-AK36)</f>
        <v>440.701285606252</v>
      </c>
      <c r="M36" s="240" t="n">
        <v>135</v>
      </c>
      <c r="N36" s="155" t="n">
        <f aca="false">(1.8299*1.03)/2</f>
        <v>0.9423985</v>
      </c>
      <c r="O36" s="135" t="n">
        <f aca="false">(2.9+0)*1.05</f>
        <v>3.045</v>
      </c>
      <c r="P36" s="155" t="n">
        <v>0</v>
      </c>
      <c r="Q36" s="328" t="n">
        <f aca="false">1270400/325851/1.9835*1.02</f>
        <v>2.00488466446506</v>
      </c>
      <c r="R36" s="328" t="n">
        <f aca="false">((2300000)/325851/1.9835-T36)*1.04</f>
        <v>2.35930519209274</v>
      </c>
      <c r="S36" s="131" t="n">
        <v>0</v>
      </c>
      <c r="T36" s="131" t="n">
        <f aca="false">1.2404*1.04</f>
        <v>1.290016</v>
      </c>
      <c r="U36" s="346" t="n">
        <v>0</v>
      </c>
      <c r="V36" s="135" t="n">
        <v>112</v>
      </c>
      <c r="W36" s="135" t="n">
        <v>61</v>
      </c>
      <c r="X36" s="135" t="n">
        <f aca="false">M36-N36-O36-P36-Q36-R36-S36-T36-U36+V36+W36-AT36+AR36</f>
        <v>304.358395643442</v>
      </c>
      <c r="Y36" s="135" t="n">
        <f aca="false">X36-AO36</f>
        <v>299.358395643442</v>
      </c>
      <c r="Z36" s="107" t="n">
        <f aca="false">Z35+AP36</f>
        <v>23124.7494460084</v>
      </c>
      <c r="AA36" s="135"/>
      <c r="AB36" s="107" t="n">
        <f aca="false">AB35+(Y36+AP36-AA36-AN36)*1.9835</f>
        <v>60593.7282066958</v>
      </c>
      <c r="AC36" s="107" t="n">
        <f aca="false">AC35-(AQ35/1.9835)</f>
        <v>1534.56368477906</v>
      </c>
      <c r="AD36" s="107"/>
      <c r="AE36" s="135" t="n">
        <v>37</v>
      </c>
      <c r="AF36" s="240" t="n">
        <v>1.7</v>
      </c>
      <c r="AG36" s="241" t="n">
        <v>1.3</v>
      </c>
      <c r="AH36" s="136" t="n">
        <v>74</v>
      </c>
      <c r="AI36" s="107" t="n">
        <f aca="false">AI35-AH36</f>
        <v>13279.2578774893</v>
      </c>
      <c r="AJ36" s="97"/>
      <c r="AK36" s="134" t="n">
        <f aca="false">N36+O36+P36+Q36+R36+S36+T36+U36+X36+AE36+AH36+AT36-AR36</f>
        <v>419</v>
      </c>
      <c r="AL36" s="135" t="n">
        <f aca="false">IF(L36&lt;0,L36*-1,0)</f>
        <v>0</v>
      </c>
      <c r="AM36" s="135" t="n">
        <f aca="false">AK36+AL36</f>
        <v>419</v>
      </c>
      <c r="AN36" s="364" t="n">
        <v>50</v>
      </c>
      <c r="AO36" s="207" t="n">
        <v>5</v>
      </c>
      <c r="AP36" s="147" t="n">
        <f aca="false">795-Y36</f>
        <v>495.641604356558</v>
      </c>
      <c r="AQ36" s="155" t="n">
        <f aca="false">47.9*(Z36*1.9835+AC36*1.9835)/E36</f>
        <v>12.0089429187803</v>
      </c>
      <c r="AR36" s="136" t="n">
        <v>6</v>
      </c>
      <c r="AS36" s="213"/>
      <c r="AT36" s="175" t="n">
        <v>0</v>
      </c>
      <c r="AU36" s="172"/>
      <c r="AV36" s="214" t="n">
        <v>0</v>
      </c>
      <c r="AW36" s="207" t="n">
        <v>69</v>
      </c>
      <c r="AX36" s="207" t="n">
        <v>40</v>
      </c>
      <c r="AY36" s="264"/>
      <c r="AZ36" s="242" t="n">
        <f aca="false">SUM(N36,P36:U36)</f>
        <v>6.5966043565578</v>
      </c>
    </row>
    <row r="37" customFormat="false" ht="12.95" hidden="false" customHeight="true" outlineLevel="0" collapsed="false">
      <c r="A37" s="179" t="n">
        <f aca="false">A36+1</f>
        <v>23</v>
      </c>
      <c r="B37" s="106" t="n">
        <v>6916.78</v>
      </c>
      <c r="C37" s="107" t="n">
        <v>349828</v>
      </c>
      <c r="D37" s="207" t="n">
        <f aca="false">C37-C36</f>
        <v>2734</v>
      </c>
      <c r="E37" s="107" t="n">
        <f aca="false">C37-152000</f>
        <v>197828</v>
      </c>
      <c r="F37" s="135" t="n">
        <f aca="false">D37/$D$2</f>
        <v>1378.37156541467</v>
      </c>
      <c r="G37" s="205" t="n">
        <v>1210</v>
      </c>
      <c r="H37" s="136" t="n">
        <v>222</v>
      </c>
      <c r="I37" s="135" t="n">
        <f aca="false">G37+H37</f>
        <v>1432</v>
      </c>
      <c r="J37" s="136" t="n">
        <f aca="false">IF(L37&gt;0,L37,0)</f>
        <v>376.371565414671</v>
      </c>
      <c r="K37" s="135" t="n">
        <f aca="false">I37+J37</f>
        <v>1808.37156541467</v>
      </c>
      <c r="L37" s="135" t="n">
        <f aca="false">F37-(I37-AK37)</f>
        <v>376.371565414671</v>
      </c>
      <c r="M37" s="240" t="n">
        <v>148</v>
      </c>
      <c r="N37" s="155" t="n">
        <f aca="false">(1.8299*1.03)/2</f>
        <v>0.9423985</v>
      </c>
      <c r="O37" s="135" t="n">
        <f aca="false">(3.1+0)*1.05</f>
        <v>3.255</v>
      </c>
      <c r="P37" s="155" t="n">
        <v>0</v>
      </c>
      <c r="Q37" s="328" t="n">
        <f aca="false">1258900/325851/1.9835*1.02</f>
        <v>1.98673591317307</v>
      </c>
      <c r="R37" s="328" t="n">
        <f aca="false">(2767032/325851/1.9835-T37)*1.04</f>
        <v>3.1108047247388</v>
      </c>
      <c r="S37" s="131" t="n">
        <v>0</v>
      </c>
      <c r="T37" s="131" t="n">
        <f aca="false">1.2404*1.04</f>
        <v>1.290016</v>
      </c>
      <c r="U37" s="346" t="n">
        <v>0</v>
      </c>
      <c r="V37" s="135" t="n">
        <v>72</v>
      </c>
      <c r="W37" s="135" t="n">
        <v>62</v>
      </c>
      <c r="X37" s="135" t="n">
        <f aca="false">M37-N37-O37-P37-Q37-R37-S37-T37-U37+V37+W37-AT37+AR37</f>
        <v>280.485044862088</v>
      </c>
      <c r="Y37" s="135" t="n">
        <f aca="false">X37-AO37</f>
        <v>275.485044862088</v>
      </c>
      <c r="Z37" s="107" t="n">
        <f aca="false">Z36+AP37</f>
        <v>23644.2644011463</v>
      </c>
      <c r="AA37" s="135"/>
      <c r="AB37" s="107" t="n">
        <f aca="false">AB36+(Y37+AP37-AA37)*1.9835</f>
        <v>62170.6107066958</v>
      </c>
      <c r="AC37" s="107" t="n">
        <f aca="false">AC36-(AQ36/1.9835)</f>
        <v>1528.50926435114</v>
      </c>
      <c r="AD37" s="107"/>
      <c r="AE37" s="135" t="n">
        <v>74</v>
      </c>
      <c r="AF37" s="240" t="n">
        <v>1.7</v>
      </c>
      <c r="AG37" s="241" t="n">
        <v>1.3</v>
      </c>
      <c r="AH37" s="136" t="n">
        <v>74</v>
      </c>
      <c r="AI37" s="107" t="n">
        <f aca="false">AI36-AH37</f>
        <v>13205.2578774893</v>
      </c>
      <c r="AJ37" s="97"/>
      <c r="AK37" s="134" t="n">
        <f aca="false">N37+O37+P37+Q37+R37+S37+T37+U37+X37+AE37+AH37+AT37-AR37</f>
        <v>430</v>
      </c>
      <c r="AL37" s="135" t="n">
        <f aca="false">IF(L37&lt;0,L37*-1,0)</f>
        <v>0</v>
      </c>
      <c r="AM37" s="135" t="n">
        <f aca="false">AK37+AL37</f>
        <v>430</v>
      </c>
      <c r="AN37" s="364" t="n">
        <v>0</v>
      </c>
      <c r="AO37" s="207" t="n">
        <v>5</v>
      </c>
      <c r="AP37" s="147" t="n">
        <f aca="false">795-Y37</f>
        <v>519.514955137912</v>
      </c>
      <c r="AQ37" s="155" t="n">
        <f aca="false">47.9*(Z37*1.9835+AC37*1.9835)/E37</f>
        <v>12.0895748604249</v>
      </c>
      <c r="AR37" s="136" t="n">
        <v>9.07</v>
      </c>
      <c r="AS37" s="213"/>
      <c r="AT37" s="175" t="n">
        <v>0</v>
      </c>
      <c r="AU37" s="172"/>
      <c r="AV37" s="214" t="n">
        <v>0</v>
      </c>
      <c r="AW37" s="207" t="n">
        <v>67</v>
      </c>
      <c r="AX37" s="207" t="n">
        <v>45</v>
      </c>
      <c r="AY37" s="264"/>
      <c r="AZ37" s="242" t="n">
        <f aca="false">SUM(N37,P37:U37)</f>
        <v>7.32995513791187</v>
      </c>
    </row>
    <row r="38" customFormat="false" ht="12.95" hidden="false" customHeight="true" outlineLevel="0" collapsed="false">
      <c r="A38" s="179" t="n">
        <f aca="false">A37+1</f>
        <v>24</v>
      </c>
      <c r="B38" s="106" t="n">
        <v>6917.36</v>
      </c>
      <c r="C38" s="107" t="n">
        <v>352280</v>
      </c>
      <c r="D38" s="207" t="n">
        <f aca="false">C38-C37</f>
        <v>2452</v>
      </c>
      <c r="E38" s="107" t="n">
        <f aca="false">C38-152000</f>
        <v>200280</v>
      </c>
      <c r="F38" s="135" t="n">
        <f aca="false">D38/$D$2</f>
        <v>1236.19863876985</v>
      </c>
      <c r="G38" s="205" t="n">
        <v>1200</v>
      </c>
      <c r="H38" s="136" t="n">
        <v>212</v>
      </c>
      <c r="I38" s="135" t="n">
        <f aca="false">G38+H38</f>
        <v>1412</v>
      </c>
      <c r="J38" s="136" t="n">
        <f aca="false">IF(L38&gt;0,L38,0)</f>
        <v>320.198638769851</v>
      </c>
      <c r="K38" s="135" t="n">
        <f aca="false">I38+J38</f>
        <v>1732.19863876985</v>
      </c>
      <c r="L38" s="135" t="n">
        <f aca="false">F38-(I38-AK38)</f>
        <v>320.198638769851</v>
      </c>
      <c r="M38" s="240" t="n">
        <v>205</v>
      </c>
      <c r="N38" s="155" t="n">
        <f aca="false">(1.8299*1.03)/2</f>
        <v>0.9423985</v>
      </c>
      <c r="O38" s="135" t="n">
        <f aca="false">(19+18)*1.05</f>
        <v>38.85</v>
      </c>
      <c r="P38" s="155" t="n">
        <v>0</v>
      </c>
      <c r="Q38" s="328" t="n">
        <f aca="false">1335600/325851/1.9835*1.02</f>
        <v>2.10778019352923</v>
      </c>
      <c r="R38" s="328" t="n">
        <f aca="false">(3053174/325851/1.9835-T38)*1.04</f>
        <v>3.57123480077301</v>
      </c>
      <c r="S38" s="131" t="n">
        <v>0</v>
      </c>
      <c r="T38" s="131" t="n">
        <f aca="false">1.2404*1.04</f>
        <v>1.290016</v>
      </c>
      <c r="U38" s="346" t="n">
        <v>0</v>
      </c>
      <c r="V38" s="135" t="n">
        <v>62</v>
      </c>
      <c r="W38" s="135" t="n">
        <v>68</v>
      </c>
      <c r="X38" s="135" t="n">
        <f aca="false">M38-N38-O38-P38-Q38-R38-S38-T38-U38+V38+W38-AT38+AR38</f>
        <v>301.238570505698</v>
      </c>
      <c r="Y38" s="135" t="n">
        <f aca="false">X38-AO38</f>
        <v>296.238570505698</v>
      </c>
      <c r="Z38" s="107" t="n">
        <f aca="false">Z37+AP38-AA38</f>
        <v>24143.0258306406</v>
      </c>
      <c r="AA38" s="135"/>
      <c r="AB38" s="107" t="n">
        <f aca="false">AB37+(Y38+AP38-AA38)*1.9835</f>
        <v>63747.4932066958</v>
      </c>
      <c r="AC38" s="107" t="n">
        <f aca="false">AC37-(AQ37/1.9835)</f>
        <v>1522.4141925788</v>
      </c>
      <c r="AD38" s="107"/>
      <c r="AE38" s="135" t="n">
        <v>86</v>
      </c>
      <c r="AF38" s="240" t="n">
        <v>1.7</v>
      </c>
      <c r="AG38" s="241" t="n">
        <v>1.3</v>
      </c>
      <c r="AH38" s="136" t="n">
        <v>75</v>
      </c>
      <c r="AI38" s="107" t="n">
        <f aca="false">AI37-AH38</f>
        <v>13130.2578774893</v>
      </c>
      <c r="AJ38" s="97"/>
      <c r="AK38" s="134" t="n">
        <f aca="false">N38+O38+P38+Q38+R38+S38+T38+U38+X38+AE38+AH38+AT38-AR38</f>
        <v>496</v>
      </c>
      <c r="AL38" s="135" t="n">
        <f aca="false">IF(L38&lt;0,L38*-1,0)</f>
        <v>0</v>
      </c>
      <c r="AM38" s="135" t="n">
        <f aca="false">AK38+AL38</f>
        <v>496</v>
      </c>
      <c r="AN38" s="364" t="n">
        <v>0</v>
      </c>
      <c r="AO38" s="207" t="n">
        <v>5</v>
      </c>
      <c r="AP38" s="147" t="n">
        <f aca="false">795-Y38</f>
        <v>498.761429494302</v>
      </c>
      <c r="AQ38" s="155" t="n">
        <f aca="false">47.9*(Z38*1.9835+AC38*1.9835)/E38</f>
        <v>12.1752769807373</v>
      </c>
      <c r="AR38" s="136" t="n">
        <v>13</v>
      </c>
      <c r="AS38" s="213"/>
      <c r="AT38" s="175" t="n">
        <v>0</v>
      </c>
      <c r="AU38" s="172"/>
      <c r="AV38" s="214" t="n">
        <v>0.03</v>
      </c>
      <c r="AW38" s="207" t="n">
        <v>55</v>
      </c>
      <c r="AX38" s="207" t="n">
        <v>38</v>
      </c>
      <c r="AY38" s="264"/>
      <c r="AZ38" s="242" t="n">
        <f aca="false">SUM(N38,P38:U38)</f>
        <v>7.91142949430224</v>
      </c>
    </row>
    <row r="39" customFormat="false" ht="12.95" hidden="false" customHeight="true" outlineLevel="0" collapsed="false">
      <c r="A39" s="179" t="n">
        <f aca="false">A38+1</f>
        <v>25</v>
      </c>
      <c r="B39" s="106" t="n">
        <v>6917.77</v>
      </c>
      <c r="C39" s="107" t="n">
        <v>354019</v>
      </c>
      <c r="D39" s="207" t="n">
        <f aca="false">C39-C38</f>
        <v>1739</v>
      </c>
      <c r="E39" s="107" t="n">
        <f aca="false">C39-152000</f>
        <v>202019</v>
      </c>
      <c r="F39" s="135" t="n">
        <f aca="false">D39/$D$2</f>
        <v>876.733047643055</v>
      </c>
      <c r="G39" s="205" t="n">
        <v>1070</v>
      </c>
      <c r="H39" s="136" t="n">
        <v>139</v>
      </c>
      <c r="I39" s="135" t="n">
        <f aca="false">G39+H39</f>
        <v>1209</v>
      </c>
      <c r="J39" s="136" t="n">
        <f aca="false">IF(L39&gt;0,L39,0)</f>
        <v>295.733047643055</v>
      </c>
      <c r="K39" s="135" t="n">
        <f aca="false">I39+J39</f>
        <v>1504.73304764306</v>
      </c>
      <c r="L39" s="135" t="n">
        <f aca="false">F39-(I39-AK39)</f>
        <v>295.733047643055</v>
      </c>
      <c r="M39" s="240" t="n">
        <v>247</v>
      </c>
      <c r="N39" s="155" t="n">
        <f aca="false">(1.8299*1.03)/2</f>
        <v>0.9423985</v>
      </c>
      <c r="O39" s="135" t="n">
        <f aca="false">(33+33)*1.05</f>
        <v>69.3</v>
      </c>
      <c r="P39" s="155" t="n">
        <v>3.113</v>
      </c>
      <c r="Q39" s="328" t="n">
        <f aca="false">1371400/325851/1.9835*1.02</f>
        <v>2.16427804537735</v>
      </c>
      <c r="R39" s="328" t="n">
        <f aca="false">(3381649/325851/1.9835-T39)*1.04</f>
        <v>4.09978275677156</v>
      </c>
      <c r="S39" s="131" t="n">
        <v>0</v>
      </c>
      <c r="T39" s="131" t="n">
        <f aca="false">1.2404*1.04</f>
        <v>1.290016</v>
      </c>
      <c r="U39" s="346" t="n">
        <v>0</v>
      </c>
      <c r="V39" s="135" t="n">
        <v>87</v>
      </c>
      <c r="W39" s="135" t="n">
        <v>43</v>
      </c>
      <c r="X39" s="135" t="n">
        <f aca="false">M39-N39-O39-P39-Q39-R39-S39-T39-U39+V39+W39-AT39+AR39</f>
        <v>298.190524697851</v>
      </c>
      <c r="Y39" s="135" t="n">
        <f aca="false">X39-AO39</f>
        <v>293.190524697851</v>
      </c>
      <c r="Z39" s="107" t="n">
        <f aca="false">Z38+AP39-AA39</f>
        <v>24465.8353059428</v>
      </c>
      <c r="AA39" s="135" t="n">
        <f aca="false">AJ39</f>
        <v>179</v>
      </c>
      <c r="AB39" s="107" t="n">
        <f aca="false">AB38+(Y39+AP39-AA39-AN39)*1.9835</f>
        <v>64939.5767066958</v>
      </c>
      <c r="AC39" s="107" t="n">
        <f aca="false">AC38-(AQ38/1.9835)</f>
        <v>1516.27591328426</v>
      </c>
      <c r="AD39" s="107"/>
      <c r="AE39" s="135" t="n">
        <v>72</v>
      </c>
      <c r="AF39" s="240" t="n">
        <v>1.7</v>
      </c>
      <c r="AG39" s="241" t="n">
        <v>1.3</v>
      </c>
      <c r="AH39" s="136" t="n">
        <v>179</v>
      </c>
      <c r="AI39" s="107" t="n">
        <f aca="false">AI38</f>
        <v>13130.2578774893</v>
      </c>
      <c r="AJ39" s="97" t="n">
        <f aca="false">AH39</f>
        <v>179</v>
      </c>
      <c r="AK39" s="134" t="n">
        <f aca="false">N39+O39+P39+Q39+R39+S39+T39+U39+X39+AE39+AH39+AT39-AR39</f>
        <v>628</v>
      </c>
      <c r="AL39" s="135" t="n">
        <f aca="false">IF(L39&lt;0,L39*-1,0)</f>
        <v>0</v>
      </c>
      <c r="AM39" s="135" t="n">
        <f aca="false">AK39+AL39</f>
        <v>628</v>
      </c>
      <c r="AN39" s="364" t="n">
        <v>15</v>
      </c>
      <c r="AO39" s="207" t="n">
        <v>5</v>
      </c>
      <c r="AP39" s="147" t="n">
        <f aca="false">795-Y39</f>
        <v>501.809475302149</v>
      </c>
      <c r="AQ39" s="155" t="n">
        <f aca="false">47.9*(Z39*1.9835+AC39*1.9835)/E39</f>
        <v>12.2194016067787</v>
      </c>
      <c r="AR39" s="136" t="n">
        <v>11</v>
      </c>
      <c r="AS39" s="213"/>
      <c r="AT39" s="175" t="n">
        <v>8.9</v>
      </c>
      <c r="AU39" s="172"/>
      <c r="AV39" s="214" t="n">
        <v>0</v>
      </c>
      <c r="AW39" s="207" t="n">
        <v>66</v>
      </c>
      <c r="AX39" s="207" t="n">
        <v>37</v>
      </c>
      <c r="AY39" s="264"/>
      <c r="AZ39" s="242" t="n">
        <f aca="false">SUM(N39,P39:U39)</f>
        <v>11.6094753021489</v>
      </c>
    </row>
    <row r="40" customFormat="false" ht="12.95" hidden="false" customHeight="true" outlineLevel="0" collapsed="false">
      <c r="A40" s="179" t="n">
        <f aca="false">A39+1</f>
        <v>26</v>
      </c>
      <c r="B40" s="106" t="n">
        <v>6917.94</v>
      </c>
      <c r="C40" s="107" t="n">
        <v>354739</v>
      </c>
      <c r="D40" s="207" t="n">
        <f aca="false">C40-C39</f>
        <v>720</v>
      </c>
      <c r="E40" s="107" t="n">
        <f aca="false">C40-152000</f>
        <v>202739</v>
      </c>
      <c r="F40" s="135" t="n">
        <f aca="false">D40/$D$2</f>
        <v>362.994706327199</v>
      </c>
      <c r="G40" s="205" t="n">
        <v>1150</v>
      </c>
      <c r="H40" s="136" t="n">
        <v>123</v>
      </c>
      <c r="I40" s="135" t="n">
        <f aca="false">G40+H40</f>
        <v>1273</v>
      </c>
      <c r="J40" s="136" t="n">
        <f aca="false">IF(L40&gt;0,L40,0)</f>
        <v>304.994706327199</v>
      </c>
      <c r="K40" s="135" t="n">
        <f aca="false">I40+J40</f>
        <v>1577.9947063272</v>
      </c>
      <c r="L40" s="135" t="n">
        <f aca="false">F40-(I40-AK40)</f>
        <v>304.994706327199</v>
      </c>
      <c r="M40" s="240" t="n">
        <v>305</v>
      </c>
      <c r="N40" s="155" t="n">
        <f aca="false">(1.8299*1.03)/2</f>
        <v>0.9423985</v>
      </c>
      <c r="O40" s="135" t="n">
        <f aca="false">(39+39)*1.05</f>
        <v>81.9</v>
      </c>
      <c r="P40" s="155" t="n">
        <v>4.25</v>
      </c>
      <c r="Q40" s="328" t="n">
        <f aca="false">1232500/325851/1.9835*1.02</f>
        <v>1.9450726928158</v>
      </c>
      <c r="R40" s="328" t="n">
        <v>4.2</v>
      </c>
      <c r="S40" s="131" t="n">
        <f aca="false">((3706188/325851/1.9835-T40)*1.04)-4.2</f>
        <v>0.42199730914788</v>
      </c>
      <c r="T40" s="131" t="n">
        <f aca="false">1.2404*1.04</f>
        <v>1.290016</v>
      </c>
      <c r="U40" s="346" t="n">
        <v>0</v>
      </c>
      <c r="V40" s="135" t="n">
        <v>105</v>
      </c>
      <c r="W40" s="135" t="n">
        <v>65</v>
      </c>
      <c r="X40" s="135" t="n">
        <f aca="false">M40-N40-O40-P40-Q40-R40-S40-T40-U40+V40+W40-AT40+AR40</f>
        <v>382.000515498036</v>
      </c>
      <c r="Y40" s="135" t="n">
        <f aca="false">X40-AO40</f>
        <v>377.000515498036</v>
      </c>
      <c r="Z40" s="107" t="n">
        <f aca="false">Z39+AP40-AA40</f>
        <v>24289.8347904447</v>
      </c>
      <c r="AA40" s="135" t="n">
        <f aca="false">AJ40</f>
        <v>594</v>
      </c>
      <c r="AB40" s="107" t="n">
        <f aca="false">AB39+(Y40+AP40-AA40-AN40)*1.9835</f>
        <v>65221.2337066958</v>
      </c>
      <c r="AC40" s="107" t="n">
        <f aca="false">AC39-(AQ39/1.9835)</f>
        <v>1510.1153881485</v>
      </c>
      <c r="AD40" s="107"/>
      <c r="AE40" s="135" t="n">
        <v>146</v>
      </c>
      <c r="AF40" s="240" t="n">
        <v>1.7</v>
      </c>
      <c r="AG40" s="241" t="n">
        <v>1.3</v>
      </c>
      <c r="AH40" s="136" t="n">
        <v>594</v>
      </c>
      <c r="AI40" s="107" t="n">
        <f aca="false">AI39</f>
        <v>13130.2578774893</v>
      </c>
      <c r="AJ40" s="97" t="n">
        <f aca="false">AH40</f>
        <v>594</v>
      </c>
      <c r="AK40" s="134" t="n">
        <f aca="false">N40+O40+P40+Q40+R40+S40+T40+U40+X40+AE40+AH40+AT40-AR40</f>
        <v>1215</v>
      </c>
      <c r="AL40" s="135" t="n">
        <f aca="false">IF(L40&lt;0,L40*-1,0)</f>
        <v>0</v>
      </c>
      <c r="AM40" s="135" t="n">
        <f aca="false">AK40+AL40</f>
        <v>1215</v>
      </c>
      <c r="AN40" s="364" t="n">
        <v>59</v>
      </c>
      <c r="AO40" s="207" t="n">
        <v>5</v>
      </c>
      <c r="AP40" s="147" t="n">
        <f aca="false">795-Y40</f>
        <v>417.999484501964</v>
      </c>
      <c r="AQ40" s="155" t="n">
        <f aca="false">47.9*(Z40*1.9835+AC40*1.9835)/E40</f>
        <v>12.0906398694162</v>
      </c>
      <c r="AR40" s="136" t="n">
        <v>17.8</v>
      </c>
      <c r="AS40" s="213"/>
      <c r="AT40" s="175" t="n">
        <v>15.85</v>
      </c>
      <c r="AU40" s="172"/>
      <c r="AV40" s="214" t="n">
        <v>0</v>
      </c>
      <c r="AW40" s="207" t="n">
        <v>74</v>
      </c>
      <c r="AX40" s="207" t="n">
        <v>45</v>
      </c>
      <c r="AY40" s="264"/>
      <c r="AZ40" s="242" t="n">
        <f aca="false">SUM(N40,P40:U40)</f>
        <v>13.0494845019637</v>
      </c>
    </row>
    <row r="41" customFormat="false" ht="12.95" hidden="false" customHeight="true" outlineLevel="0" collapsed="false">
      <c r="A41" s="179" t="n">
        <f aca="false">A40+1</f>
        <v>27</v>
      </c>
      <c r="B41" s="106" t="n">
        <v>6918.08</v>
      </c>
      <c r="C41" s="107" t="n">
        <v>355336</v>
      </c>
      <c r="D41" s="207" t="n">
        <f aca="false">C41-C40</f>
        <v>597</v>
      </c>
      <c r="E41" s="107" t="n">
        <f aca="false">C41-152000</f>
        <v>203336</v>
      </c>
      <c r="F41" s="135" t="n">
        <f aca="false">D41/$D$2</f>
        <v>300.983110662969</v>
      </c>
      <c r="G41" s="205" t="n">
        <v>1410</v>
      </c>
      <c r="H41" s="136" t="n">
        <v>122</v>
      </c>
      <c r="I41" s="135" t="n">
        <f aca="false">G41+H41</f>
        <v>1532</v>
      </c>
      <c r="J41" s="136" t="n">
        <f aca="false">IF(L41&gt;0,L41,0)</f>
        <v>347.983110662969</v>
      </c>
      <c r="K41" s="135" t="n">
        <f aca="false">I41+J41</f>
        <v>1879.98311066297</v>
      </c>
      <c r="L41" s="135" t="n">
        <f aca="false">F41-(I41-AK41)</f>
        <v>347.983110662969</v>
      </c>
      <c r="M41" s="240" t="n">
        <v>311</v>
      </c>
      <c r="N41" s="155" t="n">
        <f aca="false">(1.8299*1.03)/2</f>
        <v>0.9423985</v>
      </c>
      <c r="O41" s="135" t="n">
        <f aca="false">(40+41)*1.05</f>
        <v>85.05</v>
      </c>
      <c r="P41" s="155" t="n">
        <v>0</v>
      </c>
      <c r="Q41" s="328" t="n">
        <f aca="false">1453200/325851/1.9835*1.02</f>
        <v>2.29337090239344</v>
      </c>
      <c r="R41" s="328" t="n">
        <v>4.2</v>
      </c>
      <c r="S41" s="131" t="n">
        <f aca="false">((4253195/325851/1.9835-T41)*1.04)-4.2</f>
        <v>1.1464231142816</v>
      </c>
      <c r="T41" s="131" t="n">
        <f aca="false">1.38441*1.04</f>
        <v>1.4397864</v>
      </c>
      <c r="U41" s="346" t="n">
        <v>0</v>
      </c>
      <c r="V41" s="135" t="n">
        <v>134</v>
      </c>
      <c r="W41" s="135" t="n">
        <v>70</v>
      </c>
      <c r="X41" s="135" t="n">
        <f aca="false">M41-N41-O41-P41-Q41-R41-S41-T41-U41+V41+W41-AT41+AR41</f>
        <v>416.928021083325</v>
      </c>
      <c r="Y41" s="135" t="n">
        <f aca="false">X41-AO41</f>
        <v>411.928021083325</v>
      </c>
      <c r="Z41" s="107" t="n">
        <f aca="false">Z40+AP41-AA41</f>
        <v>23756.9067693614</v>
      </c>
      <c r="AA41" s="135" t="n">
        <f aca="false">AJ41</f>
        <v>916</v>
      </c>
      <c r="AB41" s="107" t="n">
        <f aca="false">AB40+(Y41+AP41-AA41-AN41)*1.9835</f>
        <v>64864.2037066958</v>
      </c>
      <c r="AC41" s="107" t="n">
        <f aca="false">AC40-(AQ40/1.9835)</f>
        <v>1504.01977944196</v>
      </c>
      <c r="AD41" s="107"/>
      <c r="AE41" s="135" t="n">
        <v>148</v>
      </c>
      <c r="AF41" s="240" t="n">
        <v>1.7</v>
      </c>
      <c r="AG41" s="241" t="n">
        <v>1.3</v>
      </c>
      <c r="AH41" s="136" t="n">
        <v>916</v>
      </c>
      <c r="AI41" s="107" t="n">
        <f aca="false">AI40</f>
        <v>13130.2578774893</v>
      </c>
      <c r="AJ41" s="97" t="n">
        <f aca="false">AH41</f>
        <v>916</v>
      </c>
      <c r="AK41" s="134" t="n">
        <f aca="false">N41+O41+P41+Q41+R41+S41+T41+U41+X41+AE41+AH41+AT41-AR41</f>
        <v>1579</v>
      </c>
      <c r="AL41" s="135" t="n">
        <f aca="false">IF(L41&lt;0,L41*-1,0)</f>
        <v>0</v>
      </c>
      <c r="AM41" s="135" t="n">
        <f aca="false">AK41+AL41</f>
        <v>1579</v>
      </c>
      <c r="AN41" s="364" t="n">
        <v>59</v>
      </c>
      <c r="AO41" s="207" t="n">
        <v>5</v>
      </c>
      <c r="AP41" s="147" t="n">
        <f aca="false">795-Y41</f>
        <v>383.071978916675</v>
      </c>
      <c r="AQ41" s="155" t="n">
        <f aca="false">47.9*(Z41*1.9835+AC41*1.9835)/E41</f>
        <v>11.8032802360503</v>
      </c>
      <c r="AR41" s="136" t="n">
        <v>17.9</v>
      </c>
      <c r="AS41" s="213"/>
      <c r="AT41" s="175" t="n">
        <v>20.9</v>
      </c>
      <c r="AU41" s="172"/>
      <c r="AV41" s="214" t="n">
        <v>0</v>
      </c>
      <c r="AW41" s="207" t="n">
        <v>75</v>
      </c>
      <c r="AX41" s="207" t="n">
        <v>41</v>
      </c>
      <c r="AY41" s="264"/>
      <c r="AZ41" s="242" t="n">
        <f aca="false">SUM(N41,P41:U41)</f>
        <v>10.021978916675</v>
      </c>
    </row>
    <row r="42" customFormat="false" ht="12.95" hidden="false" customHeight="true" outlineLevel="0" collapsed="false">
      <c r="A42" s="179" t="n">
        <v>28</v>
      </c>
      <c r="B42" s="106" t="n">
        <v>6918.55</v>
      </c>
      <c r="C42" s="107" t="n">
        <v>357344</v>
      </c>
      <c r="D42" s="207" t="n">
        <f aca="false">C42-C41</f>
        <v>2008</v>
      </c>
      <c r="E42" s="107" t="n">
        <f aca="false">C42-152000</f>
        <v>205344</v>
      </c>
      <c r="F42" s="135" t="n">
        <f aca="false">D42/$D$2</f>
        <v>1012.35190320141</v>
      </c>
      <c r="G42" s="205" t="n">
        <v>2000</v>
      </c>
      <c r="H42" s="136" t="n">
        <v>128</v>
      </c>
      <c r="I42" s="135" t="n">
        <f aca="false">G42+H42</f>
        <v>2128</v>
      </c>
      <c r="J42" s="136" t="n">
        <f aca="false">IF(L42&gt;0,L42,0)</f>
        <v>584.351903201412</v>
      </c>
      <c r="K42" s="135" t="n">
        <f aca="false">I42+J42</f>
        <v>2712.35190320141</v>
      </c>
      <c r="L42" s="135" t="n">
        <f aca="false">F42-(I42-AK42)</f>
        <v>584.351903201412</v>
      </c>
      <c r="M42" s="240" t="n">
        <v>292</v>
      </c>
      <c r="N42" s="155" t="n">
        <f aca="false">(1.8299*1.03)/2</f>
        <v>0.9423985</v>
      </c>
      <c r="O42" s="135" t="n">
        <f aca="false">(36+34)*1.05</f>
        <v>73.5</v>
      </c>
      <c r="P42" s="155" t="n">
        <v>0</v>
      </c>
      <c r="Q42" s="328" t="n">
        <f aca="false">1412800/325851/1.9835*1.02</f>
        <v>2.22961355002853</v>
      </c>
      <c r="R42" s="328" t="n">
        <v>4.2</v>
      </c>
      <c r="S42" s="131" t="n">
        <f aca="false">((4205943/325851/1.9835-T42)*1.04)-4.2</f>
        <v>1.07039008888593</v>
      </c>
      <c r="T42" s="131" t="n">
        <f aca="false">1.38441*1.04</f>
        <v>1.4397864</v>
      </c>
      <c r="U42" s="346" t="n">
        <v>0</v>
      </c>
      <c r="V42" s="135" t="n">
        <v>155</v>
      </c>
      <c r="W42" s="135" t="n">
        <v>69</v>
      </c>
      <c r="X42" s="135" t="n">
        <f aca="false">M42-N42-O42-P42-Q42-R42-S42-T42-U42+V42+W42-AT42+AR42</f>
        <v>429.717811461086</v>
      </c>
      <c r="Y42" s="135" t="n">
        <f aca="false">X42-AO42</f>
        <v>424.717811461086</v>
      </c>
      <c r="Z42" s="107" t="n">
        <f aca="false">Z41+AP42-AA42</f>
        <v>23137.1889579003</v>
      </c>
      <c r="AA42" s="135" t="n">
        <f aca="false">AJ42</f>
        <v>990</v>
      </c>
      <c r="AB42" s="107" t="n">
        <f aca="false">AB41+(Y42+AP42-AA42-AN42)*1.9835</f>
        <v>64360.3947066958</v>
      </c>
      <c r="AC42" s="107" t="n">
        <f aca="false">AC41-(AQ41/1.9835)</f>
        <v>1498.06904577115</v>
      </c>
      <c r="AD42" s="107"/>
      <c r="AE42" s="135" t="n">
        <v>194</v>
      </c>
      <c r="AF42" s="240" t="n">
        <v>1.7</v>
      </c>
      <c r="AG42" s="241" t="n">
        <v>1.3</v>
      </c>
      <c r="AH42" s="136" t="n">
        <v>990</v>
      </c>
      <c r="AI42" s="107" t="n">
        <f aca="false">AI41</f>
        <v>13130.2578774893</v>
      </c>
      <c r="AJ42" s="97" t="n">
        <f aca="false">AH42</f>
        <v>990</v>
      </c>
      <c r="AK42" s="134" t="n">
        <f aca="false">N42+O42+P42+Q42+R42+S42+T42+U42+X42+AE42+AH42+AT42-AR42</f>
        <v>1700</v>
      </c>
      <c r="AL42" s="135" t="n">
        <f aca="false">IF(L42&lt;0,L42*-1,0)</f>
        <v>0</v>
      </c>
      <c r="AM42" s="135" t="n">
        <f aca="false">AK42+AL42</f>
        <v>1700</v>
      </c>
      <c r="AN42" s="364" t="n">
        <v>59</v>
      </c>
      <c r="AO42" s="207" t="n">
        <v>5</v>
      </c>
      <c r="AP42" s="147" t="n">
        <f aca="false">795-Y42</f>
        <v>370.282188538914</v>
      </c>
      <c r="AQ42" s="155" t="n">
        <f aca="false">47.9*(Z42*1.9835+AC42*1.9835)/E42</f>
        <v>11.3983717108293</v>
      </c>
      <c r="AR42" s="136" t="n">
        <v>18</v>
      </c>
      <c r="AS42" s="213"/>
      <c r="AT42" s="175" t="n">
        <v>20.9</v>
      </c>
      <c r="AU42" s="172"/>
      <c r="AV42" s="214" t="n">
        <v>0</v>
      </c>
      <c r="AW42" s="207" t="n">
        <v>79</v>
      </c>
      <c r="AX42" s="207" t="n">
        <v>43</v>
      </c>
      <c r="AY42" s="264"/>
      <c r="AZ42" s="242" t="n">
        <f aca="false">SUM(N42,P42:U42)</f>
        <v>9.88218853891445</v>
      </c>
    </row>
    <row r="43" customFormat="false" ht="12.95" hidden="false" customHeight="true" outlineLevel="0" collapsed="false">
      <c r="A43" s="179" t="n">
        <v>29</v>
      </c>
      <c r="B43" s="106" t="n">
        <v>6919.34</v>
      </c>
      <c r="C43" s="107" t="n">
        <v>360731</v>
      </c>
      <c r="D43" s="207" t="n">
        <f aca="false">C43-C42</f>
        <v>3387</v>
      </c>
      <c r="E43" s="107" t="n">
        <f aca="false">C43-152000</f>
        <v>208731</v>
      </c>
      <c r="F43" s="135" t="n">
        <f aca="false">D43/$D$2</f>
        <v>1707.58759768087</v>
      </c>
      <c r="G43" s="205" t="n">
        <v>2900</v>
      </c>
      <c r="H43" s="136" t="n">
        <v>138</v>
      </c>
      <c r="I43" s="135" t="n">
        <f aca="false">G43+H43</f>
        <v>3038</v>
      </c>
      <c r="J43" s="136" t="n">
        <f aca="false">IF(L43&gt;0,L43,0)</f>
        <v>370.587597680867</v>
      </c>
      <c r="K43" s="135" t="n">
        <f aca="false">I43+J43</f>
        <v>3408.58759768087</v>
      </c>
      <c r="L43" s="135" t="n">
        <f aca="false">F43-(I43-AK43)</f>
        <v>370.587597680867</v>
      </c>
      <c r="M43" s="240" t="n">
        <v>312</v>
      </c>
      <c r="N43" s="155" t="n">
        <f aca="false">(1.8299*1.03)/2</f>
        <v>0.9423985</v>
      </c>
      <c r="O43" s="135" t="n">
        <f aca="false">(39+37)*1.05</f>
        <v>79.8</v>
      </c>
      <c r="P43" s="155" t="n">
        <v>0</v>
      </c>
      <c r="Q43" s="328" t="n">
        <f aca="false">1416300/325851/1.9835*1.02</f>
        <v>2.23513708303044</v>
      </c>
      <c r="R43" s="328" t="n">
        <f aca="false">(3024556/325851/1.9835-T43)*1.04</f>
        <v>3.36942446260308</v>
      </c>
      <c r="S43" s="131" t="n">
        <v>0</v>
      </c>
      <c r="T43" s="131" t="n">
        <f aca="false">1.38441*1.04</f>
        <v>1.4397864</v>
      </c>
      <c r="U43" s="346" t="n">
        <v>0</v>
      </c>
      <c r="V43" s="135" t="n">
        <v>173</v>
      </c>
      <c r="W43" s="135" t="n">
        <v>70</v>
      </c>
      <c r="X43" s="135" t="n">
        <f aca="false">M43-N43-O43-P43-Q43-R43-S43-T43-U43+V43+W43-AT43+AR43</f>
        <v>464.813253554367</v>
      </c>
      <c r="Y43" s="135" t="n">
        <f aca="false">X43-AO43</f>
        <v>459.813253554367</v>
      </c>
      <c r="Z43" s="107" t="n">
        <f aca="false">Z42+AP43-AA43</f>
        <v>22482.375704346</v>
      </c>
      <c r="AA43" s="135" t="n">
        <f aca="false">AJ43</f>
        <v>990</v>
      </c>
      <c r="AB43" s="107" t="n">
        <f aca="false">AB42+(Y43+AP43-AA43-AN43)*1.9835</f>
        <v>63856.5857066958</v>
      </c>
      <c r="AC43" s="107" t="n">
        <f aca="false">AC42-(AQ42/1.9835)</f>
        <v>1492.32245050479</v>
      </c>
      <c r="AD43" s="107"/>
      <c r="AE43" s="135" t="n">
        <v>156</v>
      </c>
      <c r="AF43" s="240" t="n">
        <v>1.7</v>
      </c>
      <c r="AG43" s="241" t="n">
        <v>1.3</v>
      </c>
      <c r="AH43" s="136" t="n">
        <v>990</v>
      </c>
      <c r="AI43" s="107" t="n">
        <f aca="false">AI42</f>
        <v>13130.2578774893</v>
      </c>
      <c r="AJ43" s="97" t="n">
        <f aca="false">AH43</f>
        <v>990</v>
      </c>
      <c r="AK43" s="134" t="n">
        <f aca="false">N43+O43+P43+Q43+R43+S43+T43+U43+X43+AE43+AH43+AT43-AR43</f>
        <v>1701</v>
      </c>
      <c r="AL43" s="135" t="n">
        <f aca="false">IF(L43&lt;0,L43*-1,0)</f>
        <v>0</v>
      </c>
      <c r="AM43" s="135" t="n">
        <f aca="false">AK43+AL43</f>
        <v>1701</v>
      </c>
      <c r="AN43" s="364" t="n">
        <v>59</v>
      </c>
      <c r="AO43" s="207" t="n">
        <v>5</v>
      </c>
      <c r="AP43" s="147" t="n">
        <f aca="false">795-Y43</f>
        <v>335.186746445633</v>
      </c>
      <c r="AQ43" s="155" t="n">
        <f aca="false">47.9*(Z43*1.9835+AC43*1.9835)/E43</f>
        <v>10.9127426235107</v>
      </c>
      <c r="AR43" s="136" t="n">
        <v>18</v>
      </c>
      <c r="AS43" s="213"/>
      <c r="AT43" s="175" t="n">
        <v>20.4</v>
      </c>
      <c r="AU43" s="172"/>
      <c r="AV43" s="214" t="n">
        <v>0</v>
      </c>
      <c r="AW43" s="207" t="n">
        <v>76</v>
      </c>
      <c r="AX43" s="207" t="n">
        <v>53</v>
      </c>
      <c r="AY43" s="264"/>
      <c r="AZ43" s="242" t="n">
        <f aca="false">SUM(N43,P43:U43)</f>
        <v>7.98674644563352</v>
      </c>
    </row>
    <row r="44" customFormat="false" ht="12.95" hidden="false" customHeight="true" outlineLevel="0" collapsed="false">
      <c r="A44" s="179" t="n">
        <v>30</v>
      </c>
      <c r="B44" s="106" t="n">
        <v>6920.19</v>
      </c>
      <c r="C44" s="107" t="n">
        <v>364398</v>
      </c>
      <c r="D44" s="207" t="n">
        <f aca="false">C44-C43</f>
        <v>3667</v>
      </c>
      <c r="E44" s="107" t="n">
        <f aca="false">C44-152000</f>
        <v>212398</v>
      </c>
      <c r="F44" s="135" t="n">
        <f aca="false">D44/$D$2</f>
        <v>1848.752205697</v>
      </c>
      <c r="G44" s="205" t="n">
        <v>3050</v>
      </c>
      <c r="H44" s="136" t="n">
        <v>117</v>
      </c>
      <c r="I44" s="135" t="n">
        <f aca="false">G44+H44</f>
        <v>3167</v>
      </c>
      <c r="J44" s="136" t="n">
        <f aca="false">IF(L44&gt;0,L44,0)</f>
        <v>402.752205697</v>
      </c>
      <c r="K44" s="135" t="n">
        <f aca="false">I44+J44</f>
        <v>3569.752205697</v>
      </c>
      <c r="L44" s="135" t="n">
        <f aca="false">F44-(I44-AK44)</f>
        <v>402.752205697</v>
      </c>
      <c r="M44" s="240" t="n">
        <v>303</v>
      </c>
      <c r="N44" s="155" t="n">
        <f aca="false">(1.8299*1.03)/2</f>
        <v>0.9423985</v>
      </c>
      <c r="O44" s="135" t="n">
        <f aca="false">(34+32)*1.05</f>
        <v>69.3</v>
      </c>
      <c r="P44" s="155" t="n">
        <v>0</v>
      </c>
      <c r="Q44" s="328" t="n">
        <f aca="false">1744200/325851/1.9835*1.02</f>
        <v>2.75261321769518</v>
      </c>
      <c r="R44" s="328" t="n">
        <v>4.2</v>
      </c>
      <c r="S44" s="131" t="n">
        <f aca="false">((3559129/325851/1.9835-T44)*1.04)-4.2</f>
        <v>0.0296039784932178</v>
      </c>
      <c r="T44" s="131" t="n">
        <f aca="false">1.38441*1.04</f>
        <v>1.4397864</v>
      </c>
      <c r="U44" s="346" t="n">
        <v>0</v>
      </c>
      <c r="V44" s="135" t="n">
        <v>186</v>
      </c>
      <c r="W44" s="135" t="n">
        <v>71</v>
      </c>
      <c r="X44" s="135" t="n">
        <f aca="false">M44-N44-O44-P44-Q44-R44-S44-T44-U44+V44+W44-AT44+AR44</f>
        <v>479.036597903812</v>
      </c>
      <c r="Y44" s="135" t="n">
        <f aca="false">X44-AO44</f>
        <v>474.036597903812</v>
      </c>
      <c r="Z44" s="107" t="n">
        <f aca="false">Z43+AP44-AA44</f>
        <v>21813.3391064421</v>
      </c>
      <c r="AA44" s="135" t="n">
        <f aca="false">AJ44</f>
        <v>990</v>
      </c>
      <c r="AB44" s="107" t="n">
        <f aca="false">AB43+(Y44+AP44-AA44-AN44)*1.9835</f>
        <v>63352.7767066958</v>
      </c>
      <c r="AC44" s="107" t="n">
        <f aca="false">AC43-(AQ43/1.9835)</f>
        <v>1486.82068966611</v>
      </c>
      <c r="AD44" s="107"/>
      <c r="AE44" s="135" t="n">
        <v>171</v>
      </c>
      <c r="AF44" s="240" t="n">
        <v>1.7</v>
      </c>
      <c r="AG44" s="241" t="n">
        <v>1.3</v>
      </c>
      <c r="AH44" s="136" t="n">
        <v>990</v>
      </c>
      <c r="AI44" s="107" t="n">
        <f aca="false">AI43</f>
        <v>13130.2578774893</v>
      </c>
      <c r="AJ44" s="97" t="n">
        <f aca="false">AH44</f>
        <v>990</v>
      </c>
      <c r="AK44" s="134" t="n">
        <f aca="false">N44+O44+P44+Q44+R44+S44+T44+U44+X44+AE44+AH44+AT44-AR44</f>
        <v>1721</v>
      </c>
      <c r="AL44" s="135" t="n">
        <f aca="false">IF(L44&lt;0,L44*-1,0)</f>
        <v>0</v>
      </c>
      <c r="AM44" s="135" t="n">
        <f aca="false">AK44+AL44</f>
        <v>1721</v>
      </c>
      <c r="AN44" s="364" t="n">
        <v>59</v>
      </c>
      <c r="AO44" s="207" t="n">
        <v>5</v>
      </c>
      <c r="AP44" s="147" t="n">
        <f aca="false">795-Y44</f>
        <v>320.963402096188</v>
      </c>
      <c r="AQ44" s="155" t="n">
        <f aca="false">47.9*(Z44*1.9835+AC44*1.9835)/E44</f>
        <v>10.4226029772988</v>
      </c>
      <c r="AR44" s="136" t="n">
        <v>18.001</v>
      </c>
      <c r="AS44" s="213"/>
      <c r="AT44" s="175" t="n">
        <v>20.3</v>
      </c>
      <c r="AU44" s="172"/>
      <c r="AV44" s="214" t="n">
        <v>0</v>
      </c>
      <c r="AW44" s="207" t="n">
        <v>59</v>
      </c>
      <c r="AX44" s="207" t="n">
        <v>38</v>
      </c>
      <c r="AY44" s="264"/>
      <c r="AZ44" s="242" t="n">
        <f aca="false">SUM(N44,P44:U44)</f>
        <v>9.3644020961884</v>
      </c>
    </row>
    <row r="45" customFormat="false" ht="12.95" hidden="false" customHeight="true" outlineLevel="0" collapsed="false">
      <c r="A45" s="179" t="n">
        <v>31</v>
      </c>
      <c r="B45" s="106" t="n">
        <v>6920.58</v>
      </c>
      <c r="C45" s="107" t="n">
        <v>366091</v>
      </c>
      <c r="D45" s="207" t="n">
        <f aca="false">C45-C44</f>
        <v>1693</v>
      </c>
      <c r="E45" s="107" t="n">
        <f aca="false">C45-152000</f>
        <v>214091</v>
      </c>
      <c r="F45" s="135" t="n">
        <f aca="false">D45/$D$2</f>
        <v>853.541719183262</v>
      </c>
      <c r="G45" s="205" t="n">
        <v>2160</v>
      </c>
      <c r="H45" s="136" t="n">
        <v>71</v>
      </c>
      <c r="I45" s="135" t="n">
        <f aca="false">G45+H45</f>
        <v>2231</v>
      </c>
      <c r="J45" s="136" t="n">
        <f aca="false">IF(L45&gt;0,L45,0)</f>
        <v>408.541719183262</v>
      </c>
      <c r="K45" s="135" t="n">
        <f aca="false">I45+J45</f>
        <v>2639.54171918326</v>
      </c>
      <c r="L45" s="135" t="n">
        <f aca="false">F45-(I45-AK45)</f>
        <v>408.541719183262</v>
      </c>
      <c r="M45" s="240" t="n">
        <v>307</v>
      </c>
      <c r="N45" s="155" t="n">
        <f aca="false">(1.8299*1.03)/2</f>
        <v>0.9423985</v>
      </c>
      <c r="O45" s="135" t="n">
        <f aca="false">(36+35)*1.05</f>
        <v>74.55</v>
      </c>
      <c r="P45" s="155" t="n">
        <v>0</v>
      </c>
      <c r="Q45" s="328" t="n">
        <f aca="false">1504500/325851/1.9835*1.02</f>
        <v>2.37433011467859</v>
      </c>
      <c r="R45" s="328" t="n">
        <v>4.2</v>
      </c>
      <c r="S45" s="131" t="n">
        <f aca="false">((4146137/325851/1.9835-T45)*1.04)-4.2</f>
        <v>0.974156466672824</v>
      </c>
      <c r="T45" s="131" t="n">
        <f aca="false">1.38441*1.04</f>
        <v>1.4397864</v>
      </c>
      <c r="U45" s="346" t="n">
        <v>0</v>
      </c>
      <c r="V45" s="135" t="n">
        <v>217</v>
      </c>
      <c r="W45" s="135" t="n">
        <v>73</v>
      </c>
      <c r="X45" s="135" t="n">
        <f aca="false">M45-N45-O45-P45-Q45-R45-S45-T45-U45+V45+W45-AT45+AR45</f>
        <v>519.127328518649</v>
      </c>
      <c r="Y45" s="135" t="n">
        <f aca="false">X45-AO45</f>
        <v>514.127328518649</v>
      </c>
      <c r="Z45" s="107" t="n">
        <f aca="false">Z44+AP45-AA45</f>
        <v>21104.2117779235</v>
      </c>
      <c r="AA45" s="135" t="n">
        <f aca="false">AJ45</f>
        <v>990</v>
      </c>
      <c r="AB45" s="107" t="n">
        <f aca="false">AB44+(Y45+AP45-AA45-AN45)*1.9835</f>
        <v>62848.9677066958</v>
      </c>
      <c r="AC45" s="107" t="n">
        <f aca="false">AC44-(AQ44/1.9835)</f>
        <v>1481.56603729541</v>
      </c>
      <c r="AD45" s="107"/>
      <c r="AE45" s="135" t="n">
        <v>199</v>
      </c>
      <c r="AF45" s="240" t="n">
        <v>1.7</v>
      </c>
      <c r="AG45" s="241" t="n">
        <v>1.3</v>
      </c>
      <c r="AH45" s="136" t="n">
        <v>990</v>
      </c>
      <c r="AI45" s="107" t="n">
        <f aca="false">AI44</f>
        <v>13130.2578774893</v>
      </c>
      <c r="AJ45" s="97" t="n">
        <f aca="false">AH45</f>
        <v>990</v>
      </c>
      <c r="AK45" s="134" t="n">
        <f aca="false">N45+O45+P45+Q45+R45+S45+T45+U45+X45+AE45+AH45+AT45-AR45</f>
        <v>1786</v>
      </c>
      <c r="AL45" s="135" t="n">
        <f aca="false">IF(L45&lt;0,L45*-1,0)</f>
        <v>0</v>
      </c>
      <c r="AM45" s="135" t="n">
        <f aca="false">AK45+AL45</f>
        <v>1786</v>
      </c>
      <c r="AN45" s="364" t="n">
        <v>59</v>
      </c>
      <c r="AO45" s="207" t="n">
        <v>5</v>
      </c>
      <c r="AP45" s="147" t="n">
        <f aca="false">795-Y45</f>
        <v>280.872671481351</v>
      </c>
      <c r="AQ45" s="155" t="n">
        <f aca="false">47.9*(Z45*1.9835+AC45*1.9835)/E45</f>
        <v>10.0231529826182</v>
      </c>
      <c r="AR45" s="136" t="n">
        <v>18.008</v>
      </c>
      <c r="AS45" s="213"/>
      <c r="AT45" s="175" t="n">
        <v>11.4</v>
      </c>
      <c r="AU45" s="172"/>
      <c r="AV45" s="214" t="n">
        <v>0</v>
      </c>
      <c r="AW45" s="207" t="n">
        <v>75</v>
      </c>
      <c r="AX45" s="207" t="n">
        <v>33</v>
      </c>
      <c r="AY45" s="264"/>
      <c r="AZ45" s="242" t="n">
        <f aca="false">SUM(N45,P45:U45)</f>
        <v>9.93067148135142</v>
      </c>
    </row>
    <row r="46" customFormat="false" ht="3" hidden="false" customHeight="true" outlineLevel="0" collapsed="false">
      <c r="A46" s="223"/>
      <c r="B46" s="244"/>
      <c r="C46" s="225"/>
      <c r="D46" s="226"/>
      <c r="E46" s="225"/>
      <c r="F46" s="226"/>
      <c r="G46" s="244"/>
      <c r="H46" s="232"/>
      <c r="I46" s="226"/>
      <c r="J46" s="226"/>
      <c r="K46" s="226"/>
      <c r="L46" s="226"/>
      <c r="M46" s="229"/>
      <c r="N46" s="230"/>
      <c r="O46" s="226"/>
      <c r="P46" s="230"/>
      <c r="Q46" s="226"/>
      <c r="R46" s="226"/>
      <c r="S46" s="425"/>
      <c r="T46" s="425"/>
      <c r="U46" s="231"/>
      <c r="V46" s="226"/>
      <c r="W46" s="226"/>
      <c r="X46" s="226"/>
      <c r="Y46" s="226"/>
      <c r="Z46" s="225"/>
      <c r="AA46" s="226"/>
      <c r="AB46" s="225"/>
      <c r="AC46" s="225"/>
      <c r="AD46" s="225"/>
      <c r="AE46" s="226"/>
      <c r="AF46" s="244"/>
      <c r="AG46" s="227"/>
      <c r="AH46" s="235"/>
      <c r="AI46" s="226"/>
      <c r="AJ46" s="232"/>
      <c r="AK46" s="226"/>
      <c r="AL46" s="226"/>
      <c r="AM46" s="226"/>
      <c r="AN46" s="252"/>
      <c r="AO46" s="235"/>
      <c r="AP46" s="235"/>
      <c r="AQ46" s="230"/>
      <c r="AR46" s="232"/>
      <c r="AS46" s="230"/>
      <c r="AT46" s="232"/>
      <c r="AU46" s="232"/>
      <c r="AV46" s="237"/>
      <c r="AW46" s="235"/>
      <c r="AX46" s="235"/>
      <c r="AY46" s="249"/>
      <c r="AZ46" s="309"/>
    </row>
    <row r="47" customFormat="false" ht="12.95" hidden="false" customHeight="true" outlineLevel="0" collapsed="false">
      <c r="A47" s="181" t="s">
        <v>101</v>
      </c>
      <c r="B47" s="205"/>
      <c r="C47" s="107"/>
      <c r="D47" s="107"/>
      <c r="E47" s="107"/>
      <c r="F47" s="107" t="n">
        <f aca="false">SUM(F15:F45)</f>
        <v>24302.495588606</v>
      </c>
      <c r="G47" s="364" t="n">
        <f aca="false">SUM(G15:G45)</f>
        <v>37126</v>
      </c>
      <c r="H47" s="136" t="n">
        <f aca="false">SUM(H15:H45)</f>
        <v>2392.9</v>
      </c>
      <c r="I47" s="107" t="n">
        <f aca="false">SUM(I15:I45)</f>
        <v>39518.9</v>
      </c>
      <c r="J47" s="107" t="n">
        <f aca="false">SUM(J15:J45)</f>
        <v>9103.595588606</v>
      </c>
      <c r="K47" s="107" t="n">
        <f aca="false">SUM(K15:K45)</f>
        <v>48622.495588606</v>
      </c>
      <c r="L47" s="107" t="n">
        <f aca="false">SUM(L15:L45)</f>
        <v>9103.595588606</v>
      </c>
      <c r="M47" s="208" t="n">
        <f aca="false">SUM(M15:M45)</f>
        <v>7795</v>
      </c>
      <c r="N47" s="136" t="n">
        <f aca="false">SUM(N15:N45)</f>
        <v>29.2143535</v>
      </c>
      <c r="O47" s="107" t="n">
        <f aca="false">SUM(O15:O45)</f>
        <v>2312.163</v>
      </c>
      <c r="P47" s="155" t="n">
        <f aca="false">SUM(P15:P45)</f>
        <v>7.363</v>
      </c>
      <c r="Q47" s="107" t="n">
        <f aca="false">SUM(Q15:Q45)</f>
        <v>63.5514034915584</v>
      </c>
      <c r="R47" s="107" t="n">
        <f aca="false">SUM(R15:R45)</f>
        <v>116.077467886738</v>
      </c>
      <c r="S47" s="135" t="n">
        <f aca="false">SUM(S15:S45)</f>
        <v>10.4345776993671</v>
      </c>
      <c r="T47" s="135" t="n">
        <f aca="false">SUM(T15:T45)</f>
        <v>43.492852</v>
      </c>
      <c r="U47" s="210" t="n">
        <f aca="false">SUM(U15:U45)</f>
        <v>0</v>
      </c>
      <c r="V47" s="107" t="n">
        <f aca="false">SUM(V15:V45)</f>
        <v>3588</v>
      </c>
      <c r="W47" s="107" t="n">
        <f aca="false">SUM(W15:W45)</f>
        <v>1883</v>
      </c>
      <c r="X47" s="107" t="n">
        <f aca="false">SUM(X15:X45)</f>
        <v>10662.7723454223</v>
      </c>
      <c r="Y47" s="107" t="n">
        <f aca="false">SUM(Y15:Y45)</f>
        <v>10507.7723454223</v>
      </c>
      <c r="Z47" s="107"/>
      <c r="AA47" s="107" t="n">
        <f aca="false">SUM(AA15:AA45)</f>
        <v>7352</v>
      </c>
      <c r="AB47" s="107"/>
      <c r="AC47" s="107"/>
      <c r="AD47" s="107"/>
      <c r="AE47" s="107" t="n">
        <f aca="false">SUM(AE15:AE45)</f>
        <v>2311</v>
      </c>
      <c r="AF47" s="427" t="n">
        <f aca="false">SUM(AF15:AF45)</f>
        <v>52.7</v>
      </c>
      <c r="AG47" s="428" t="n">
        <f aca="false">SUM(AG15:AG45)</f>
        <v>40.3</v>
      </c>
      <c r="AH47" s="207" t="n">
        <f aca="false">SUM(AH15:AH45)</f>
        <v>8743</v>
      </c>
      <c r="AI47" s="107"/>
      <c r="AJ47" s="136" t="n">
        <f aca="false">SUM(AJ15:AJ45)</f>
        <v>7352</v>
      </c>
      <c r="AK47" s="107" t="n">
        <f aca="false">SUM(AK15:AK45)</f>
        <v>24320</v>
      </c>
      <c r="AL47" s="107" t="n">
        <f aca="false">SUM(AL15:AL45)</f>
        <v>0</v>
      </c>
      <c r="AM47" s="107" t="n">
        <f aca="false">SUM(AM15:AM45)</f>
        <v>24320</v>
      </c>
      <c r="AN47" s="94" t="n">
        <f aca="false">SUM(AN15:AN45)</f>
        <v>512.6</v>
      </c>
      <c r="AO47" s="107" t="n">
        <f aca="false">SUM(AO15:AO45)</f>
        <v>155</v>
      </c>
      <c r="AP47" s="135"/>
      <c r="AQ47" s="155"/>
      <c r="AR47" s="136" t="n">
        <f aca="false">SUM(AR15:AR45)</f>
        <v>314.779</v>
      </c>
      <c r="AS47" s="213" t="n">
        <f aca="false">SUM(AS15:AS45)</f>
        <v>0</v>
      </c>
      <c r="AT47" s="136" t="n">
        <f aca="false">SUM(AT15:AT45)</f>
        <v>335.71</v>
      </c>
      <c r="AU47" s="172"/>
      <c r="AV47" s="214" t="n">
        <f aca="false">SUM(AV15:AV45)</f>
        <v>1.53</v>
      </c>
      <c r="AW47" s="207" t="n">
        <f aca="false">AVERAGE(AW15:AW45)</f>
        <v>64.1290322580645</v>
      </c>
      <c r="AX47" s="207" t="n">
        <f aca="false">AVERAGE(AX15:AX45)</f>
        <v>37.0322580645161</v>
      </c>
      <c r="AY47" s="206" t="s">
        <v>125</v>
      </c>
      <c r="AZ47" s="330" t="n">
        <f aca="false">SUM(AZ15:AZ45)</f>
        <v>270.133654577664</v>
      </c>
    </row>
    <row r="48" customFormat="false" ht="12.95" hidden="false" customHeight="true" outlineLevel="0" collapsed="false">
      <c r="A48" s="181" t="s">
        <v>103</v>
      </c>
      <c r="B48" s="205"/>
      <c r="C48" s="107"/>
      <c r="D48" s="107" t="n">
        <f aca="false">SUM(D15:D45)</f>
        <v>48204</v>
      </c>
      <c r="E48" s="107"/>
      <c r="F48" s="107" t="n">
        <f aca="false">F47*$D$2</f>
        <v>48204</v>
      </c>
      <c r="G48" s="364" t="n">
        <f aca="false">G47*$D$2</f>
        <v>73639.421</v>
      </c>
      <c r="H48" s="136" t="n">
        <f aca="false">H47*$D$2</f>
        <v>4746.31715</v>
      </c>
      <c r="I48" s="107" t="n">
        <f aca="false">I47*$D$2</f>
        <v>78385.73815</v>
      </c>
      <c r="J48" s="107" t="n">
        <f aca="false">J47*$D$2</f>
        <v>18056.98185</v>
      </c>
      <c r="K48" s="107" t="n">
        <f aca="false">K47*$D$2</f>
        <v>96442.72</v>
      </c>
      <c r="L48" s="107" t="n">
        <f aca="false">L47*$D$2</f>
        <v>18056.98185</v>
      </c>
      <c r="M48" s="208" t="n">
        <f aca="false">M47*$D$2</f>
        <v>15461.3825</v>
      </c>
      <c r="N48" s="207" t="n">
        <f aca="false">N47*$D$2</f>
        <v>57.94667016725</v>
      </c>
      <c r="O48" s="107" t="n">
        <f aca="false">O47*$D$2</f>
        <v>4586.1753105</v>
      </c>
      <c r="P48" s="155" t="n">
        <f aca="false">P47*$D$2</f>
        <v>14.6045105</v>
      </c>
      <c r="Q48" s="107" t="n">
        <f aca="false">Q47*$D$2</f>
        <v>126.054208825506</v>
      </c>
      <c r="R48" s="107" t="n">
        <f aca="false">R47*$D$2</f>
        <v>230.239657553345</v>
      </c>
      <c r="S48" s="135" t="n">
        <f aca="false">S47*$D$2</f>
        <v>20.6969848666946</v>
      </c>
      <c r="T48" s="135" t="n">
        <f aca="false">T47*$D$2</f>
        <v>86.268071942</v>
      </c>
      <c r="U48" s="210" t="n">
        <f aca="false">U47*$D$2</f>
        <v>0</v>
      </c>
      <c r="V48" s="107" t="n">
        <f aca="false">V47*$D$2</f>
        <v>7116.798</v>
      </c>
      <c r="W48" s="107" t="n">
        <f aca="false">W47*$D$2</f>
        <v>3734.9305</v>
      </c>
      <c r="X48" s="107" t="n">
        <f aca="false">X47*$D$2</f>
        <v>21149.6089471452</v>
      </c>
      <c r="Y48" s="107" t="n">
        <f aca="false">Y47*$D$2</f>
        <v>20842.1664471452</v>
      </c>
      <c r="Z48" s="107"/>
      <c r="AA48" s="107" t="n">
        <f aca="false">AA47*$D$2</f>
        <v>14582.692</v>
      </c>
      <c r="AB48" s="107"/>
      <c r="AC48" s="107"/>
      <c r="AD48" s="107"/>
      <c r="AE48" s="107" t="n">
        <f aca="false">AE47*$D$2</f>
        <v>4583.8685</v>
      </c>
      <c r="AF48" s="208" t="n">
        <f aca="false">AF47*$D$2</f>
        <v>104.53045</v>
      </c>
      <c r="AG48" s="210" t="n">
        <f aca="false">AG47*$D$2</f>
        <v>79.93505</v>
      </c>
      <c r="AH48" s="207" t="n">
        <f aca="false">AH47*$D$2</f>
        <v>17341.7405</v>
      </c>
      <c r="AI48" s="107"/>
      <c r="AJ48" s="429" t="n">
        <f aca="false">AJ47*$D$2</f>
        <v>14582.692</v>
      </c>
      <c r="AK48" s="430" t="n">
        <f aca="false">AK47*$D$2</f>
        <v>48238.72</v>
      </c>
      <c r="AL48" s="107" t="n">
        <f aca="false">AL47*$D$2</f>
        <v>0</v>
      </c>
      <c r="AM48" s="107" t="n">
        <f aca="false">AM47*$D$2</f>
        <v>48238.72</v>
      </c>
      <c r="AN48" s="107" t="n">
        <f aca="false">AN47*$D$2</f>
        <v>1016.7421</v>
      </c>
      <c r="AO48" s="107" t="n">
        <f aca="false">AO47*$D$2</f>
        <v>307.4425</v>
      </c>
      <c r="AP48" s="135"/>
      <c r="AQ48" s="155" t="n">
        <f aca="false">SUM(AQ15:AQ45)</f>
        <v>350.198094256808</v>
      </c>
      <c r="AR48" s="136" t="n">
        <f aca="false">AR47*$D$2</f>
        <v>624.3641465</v>
      </c>
      <c r="AS48" s="107" t="n">
        <f aca="false">AS47*$D$2</f>
        <v>0</v>
      </c>
      <c r="AT48" s="136" t="n">
        <f aca="false">AT47*$D$2</f>
        <v>665.880785</v>
      </c>
      <c r="AU48" s="172"/>
      <c r="AV48" s="214"/>
      <c r="AW48" s="207" t="n">
        <f aca="false">MAX(AW15:AW45)</f>
        <v>79</v>
      </c>
      <c r="AX48" s="207" t="n">
        <f aca="false">MAX(AX15:AX45)</f>
        <v>53</v>
      </c>
      <c r="AY48" s="206" t="s">
        <v>104</v>
      </c>
      <c r="AZ48" s="330" t="n">
        <f aca="false">AZ47*$D$2</f>
        <v>535.810103854796</v>
      </c>
    </row>
    <row r="49" customFormat="false" ht="3" hidden="false" customHeight="true" outlineLevel="0" collapsed="false">
      <c r="A49" s="223"/>
      <c r="B49" s="244"/>
      <c r="C49" s="225"/>
      <c r="D49" s="225"/>
      <c r="E49" s="225"/>
      <c r="F49" s="225"/>
      <c r="G49" s="252"/>
      <c r="H49" s="232"/>
      <c r="I49" s="225"/>
      <c r="J49" s="225"/>
      <c r="K49" s="225"/>
      <c r="L49" s="225"/>
      <c r="M49" s="250"/>
      <c r="N49" s="230"/>
      <c r="O49" s="225"/>
      <c r="P49" s="230"/>
      <c r="Q49" s="225"/>
      <c r="R49" s="225"/>
      <c r="S49" s="425"/>
      <c r="T49" s="425"/>
      <c r="U49" s="274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50"/>
      <c r="AG49" s="274"/>
      <c r="AH49" s="235"/>
      <c r="AI49" s="226"/>
      <c r="AJ49" s="232"/>
      <c r="AK49" s="225"/>
      <c r="AL49" s="225"/>
      <c r="AM49" s="225"/>
      <c r="AN49" s="252"/>
      <c r="AO49" s="225"/>
      <c r="AP49" s="225"/>
      <c r="AQ49" s="230"/>
      <c r="AR49" s="232"/>
      <c r="AS49" s="230"/>
      <c r="AT49" s="232"/>
      <c r="AU49" s="232"/>
      <c r="AV49" s="225"/>
      <c r="AW49" s="225"/>
      <c r="AX49" s="225"/>
      <c r="AY49" s="249"/>
      <c r="AZ49" s="309"/>
    </row>
    <row r="50" customFormat="false" ht="12.95" hidden="false" customHeight="true" outlineLevel="0" collapsed="false">
      <c r="A50" s="181" t="s">
        <v>105</v>
      </c>
      <c r="B50" s="205"/>
      <c r="C50" s="107"/>
      <c r="D50" s="107"/>
      <c r="E50" s="107"/>
      <c r="F50" s="107" t="n">
        <f aca="false">F12+F47</f>
        <v>43117.2170405848</v>
      </c>
      <c r="G50" s="364" t="n">
        <f aca="false">G12+G47</f>
        <v>52597</v>
      </c>
      <c r="H50" s="136" t="n">
        <f aca="false">H12+H47</f>
        <v>4373.8</v>
      </c>
      <c r="I50" s="107" t="n">
        <f aca="false">I12+I47</f>
        <v>56970.8</v>
      </c>
      <c r="J50" s="107" t="n">
        <f aca="false">J12+J47</f>
        <v>14623.1170405848</v>
      </c>
      <c r="K50" s="107" t="n">
        <f aca="false">K12+K47</f>
        <v>71593.9170405848</v>
      </c>
      <c r="L50" s="107" t="n">
        <f aca="false">L12+L47</f>
        <v>14623.1170405848</v>
      </c>
      <c r="M50" s="208" t="n">
        <f aca="false">M12+M47</f>
        <v>9863.3</v>
      </c>
      <c r="N50" s="207" t="n">
        <f aca="false">N12+N47</f>
        <v>57.4863085</v>
      </c>
      <c r="O50" s="107" t="n">
        <f aca="false">O12+O47</f>
        <v>3722.4075</v>
      </c>
      <c r="P50" s="155" t="n">
        <f aca="false">P12+P47</f>
        <v>7.363</v>
      </c>
      <c r="Q50" s="107"/>
      <c r="R50" s="107"/>
      <c r="S50" s="328"/>
      <c r="T50" s="328"/>
      <c r="U50" s="210"/>
      <c r="V50" s="107" t="n">
        <f aca="false">V12+V47</f>
        <v>3778.6</v>
      </c>
      <c r="W50" s="107" t="n">
        <f aca="false">W12+W47</f>
        <v>2087.98</v>
      </c>
      <c r="X50" s="107" t="n">
        <f aca="false">X12+X47</f>
        <v>11541.8606882705</v>
      </c>
      <c r="Y50" s="107" t="n">
        <f aca="false">Y12+Y47</f>
        <v>11094.2806882705</v>
      </c>
      <c r="Z50" s="80" t="n">
        <f aca="false">Z45</f>
        <v>21104.2117779235</v>
      </c>
      <c r="AA50" s="107" t="n">
        <f aca="false">AA12+AA47</f>
        <v>7352</v>
      </c>
      <c r="AB50" s="107"/>
      <c r="AC50" s="107"/>
      <c r="AD50" s="107"/>
      <c r="AE50" s="107" t="n">
        <f aca="false">AE12+AE47</f>
        <v>2503.14</v>
      </c>
      <c r="AF50" s="208" t="n">
        <f aca="false">AF12+AF47</f>
        <v>103.7</v>
      </c>
      <c r="AG50" s="210" t="n">
        <f aca="false">AG12+AG47</f>
        <v>79.3</v>
      </c>
      <c r="AH50" s="207"/>
      <c r="AI50" s="107"/>
      <c r="AJ50" s="136" t="n">
        <f aca="false">AJ12+AJ47</f>
        <v>7352</v>
      </c>
      <c r="AK50" s="107" t="n">
        <f aca="false">AK12+AK47</f>
        <v>28476.7</v>
      </c>
      <c r="AL50" s="107" t="n">
        <f aca="false">AL12+AL47</f>
        <v>0</v>
      </c>
      <c r="AM50" s="107" t="n">
        <f aca="false">AM12+AM47</f>
        <v>28476.7</v>
      </c>
      <c r="AN50" s="364"/>
      <c r="AO50" s="207"/>
      <c r="AP50" s="135"/>
      <c r="AQ50" s="155"/>
      <c r="AR50" s="136" t="n">
        <f aca="false">AR12+AR47</f>
        <v>314.779</v>
      </c>
      <c r="AS50" s="107" t="n">
        <f aca="false">AS12+AS47</f>
        <v>0</v>
      </c>
      <c r="AT50" s="136" t="n">
        <f aca="false">AT12+AT47</f>
        <v>345.03</v>
      </c>
      <c r="AU50" s="172"/>
      <c r="AV50" s="214"/>
      <c r="AW50" s="207" t="n">
        <f aca="false">MIN(AW15:AW45)</f>
        <v>43</v>
      </c>
      <c r="AX50" s="207" t="n">
        <f aca="false">MIN(AX15:AX45)</f>
        <v>28</v>
      </c>
      <c r="AY50" s="206" t="s">
        <v>106</v>
      </c>
      <c r="AZ50" s="330" t="n">
        <f aca="false">AZ12+AZ47</f>
        <v>270.133654577664</v>
      </c>
    </row>
    <row r="51" customFormat="false" ht="12.95" hidden="false" customHeight="true" outlineLevel="0" collapsed="false">
      <c r="A51" s="181" t="s">
        <v>107</v>
      </c>
      <c r="B51" s="205"/>
      <c r="C51" s="107"/>
      <c r="D51" s="107"/>
      <c r="E51" s="107"/>
      <c r="F51" s="107" t="n">
        <f aca="false">F50*$D$2</f>
        <v>85523</v>
      </c>
      <c r="G51" s="364" t="n">
        <f aca="false">G50*$D$2</f>
        <v>104326.1495</v>
      </c>
      <c r="H51" s="207" t="n">
        <f aca="false">H50*$D$2</f>
        <v>8675.4323</v>
      </c>
      <c r="I51" s="107" t="n">
        <f aca="false">I50*$D$2</f>
        <v>113001.5818</v>
      </c>
      <c r="J51" s="107" t="n">
        <f aca="false">J50*$D$2</f>
        <v>29004.95265</v>
      </c>
      <c r="K51" s="107" t="n">
        <f aca="false">K50*$D$2</f>
        <v>142006.53445</v>
      </c>
      <c r="L51" s="107" t="n">
        <f aca="false">L50*$D$2</f>
        <v>29004.95265</v>
      </c>
      <c r="M51" s="208" t="n">
        <f aca="false">M50*$D$2</f>
        <v>19563.85555</v>
      </c>
      <c r="N51" s="207" t="n">
        <f aca="false">N50*$D$2</f>
        <v>114.02409290975</v>
      </c>
      <c r="O51" s="107" t="n">
        <f aca="false">O50*$D$2</f>
        <v>7383.39527625</v>
      </c>
      <c r="P51" s="155" t="n">
        <f aca="false">P50*$D$2</f>
        <v>14.6045105</v>
      </c>
      <c r="Q51" s="107"/>
      <c r="R51" s="107"/>
      <c r="S51" s="328"/>
      <c r="T51" s="328"/>
      <c r="U51" s="210"/>
      <c r="V51" s="107" t="n">
        <f aca="false">V50*$D$2</f>
        <v>7494.8531</v>
      </c>
      <c r="W51" s="107" t="n">
        <f aca="false">W50*$D$2</f>
        <v>4141.50833</v>
      </c>
      <c r="X51" s="107" t="n">
        <f aca="false">X50*$D$2</f>
        <v>22893.2806751845</v>
      </c>
      <c r="Y51" s="107" t="n">
        <f aca="false">Y50*$D$2</f>
        <v>22005.5057451845</v>
      </c>
      <c r="Z51" s="80" t="n">
        <f aca="false">Z50*$D$2</f>
        <v>41860.2040615113</v>
      </c>
      <c r="AA51" s="107" t="n">
        <f aca="false">AA50*$D$2</f>
        <v>14582.692</v>
      </c>
      <c r="AB51" s="107"/>
      <c r="AC51" s="107"/>
      <c r="AD51" s="107"/>
      <c r="AE51" s="107" t="n">
        <f aca="false">AE50*$D$2</f>
        <v>4964.97819</v>
      </c>
      <c r="AF51" s="208" t="n">
        <f aca="false">AF50*$D$2</f>
        <v>205.68895</v>
      </c>
      <c r="AG51" s="210" t="n">
        <f aca="false">AG50*$D$2</f>
        <v>157.29155</v>
      </c>
      <c r="AH51" s="207"/>
      <c r="AI51" s="107"/>
      <c r="AJ51" s="136" t="n">
        <f aca="false">AJ50*$D$2</f>
        <v>14582.692</v>
      </c>
      <c r="AK51" s="107" t="n">
        <f aca="false">AK50*$D$2</f>
        <v>56483.53445</v>
      </c>
      <c r="AL51" s="107" t="n">
        <f aca="false">AL50*$D$2</f>
        <v>0</v>
      </c>
      <c r="AM51" s="107" t="n">
        <f aca="false">AM50*$D$2</f>
        <v>56483.53445</v>
      </c>
      <c r="AN51" s="364"/>
      <c r="AO51" s="207"/>
      <c r="AP51" s="135"/>
      <c r="AQ51" s="155" t="n">
        <f aca="false">AQ12+AQ48</f>
        <v>471.33360800718</v>
      </c>
      <c r="AR51" s="136" t="n">
        <f aca="false">AR50*$D$2</f>
        <v>624.3641465</v>
      </c>
      <c r="AS51" s="107" t="n">
        <f aca="false">AS50*$D$2</f>
        <v>0</v>
      </c>
      <c r="AT51" s="136" t="n">
        <f aca="false">AT50*$D$2</f>
        <v>684.367005</v>
      </c>
      <c r="AU51" s="172"/>
      <c r="AV51" s="214"/>
      <c r="AW51" s="207"/>
      <c r="AX51" s="207"/>
      <c r="AY51" s="264"/>
      <c r="AZ51" s="330" t="n">
        <f aca="false">AZ50*$D$2</f>
        <v>535.810103854796</v>
      </c>
    </row>
    <row r="52" customFormat="false" ht="3" hidden="false" customHeight="true" outlineLevel="0" collapsed="false">
      <c r="A52" s="223"/>
      <c r="B52" s="244"/>
      <c r="C52" s="225"/>
      <c r="D52" s="225"/>
      <c r="E52" s="225"/>
      <c r="F52" s="225"/>
      <c r="G52" s="252"/>
      <c r="H52" s="232"/>
      <c r="I52" s="225"/>
      <c r="J52" s="225"/>
      <c r="K52" s="225"/>
      <c r="L52" s="225"/>
      <c r="M52" s="250"/>
      <c r="N52" s="232"/>
      <c r="O52" s="225"/>
      <c r="P52" s="230"/>
      <c r="Q52" s="225"/>
      <c r="R52" s="225"/>
      <c r="S52" s="425"/>
      <c r="T52" s="425"/>
      <c r="U52" s="274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50"/>
      <c r="AG52" s="274"/>
      <c r="AH52" s="235"/>
      <c r="AI52" s="225"/>
      <c r="AJ52" s="232"/>
      <c r="AK52" s="225"/>
      <c r="AL52" s="225"/>
      <c r="AM52" s="225"/>
      <c r="AN52" s="252"/>
      <c r="AO52" s="254"/>
      <c r="AP52" s="254"/>
      <c r="AQ52" s="230"/>
      <c r="AR52" s="232"/>
      <c r="AS52" s="230"/>
      <c r="AT52" s="232"/>
      <c r="AU52" s="232"/>
      <c r="AV52" s="237"/>
      <c r="AW52" s="431"/>
      <c r="AX52" s="254"/>
      <c r="AY52" s="249"/>
      <c r="AZ52" s="309"/>
    </row>
    <row r="53" customFormat="false" ht="12.95" hidden="false" customHeight="true" outlineLevel="0" collapsed="false">
      <c r="A53" s="181" t="s">
        <v>108</v>
      </c>
      <c r="B53" s="205"/>
      <c r="C53" s="107"/>
      <c r="D53" s="107"/>
      <c r="E53" s="107"/>
      <c r="F53" s="107" t="n">
        <f aca="false">F13+F47</f>
        <v>44718.9311822536</v>
      </c>
      <c r="G53" s="364" t="n">
        <f aca="false">G13+G47</f>
        <v>63832</v>
      </c>
      <c r="H53" s="136" t="n">
        <f aca="false">H13+H47</f>
        <v>4934.38</v>
      </c>
      <c r="I53" s="107" t="n">
        <f aca="false">I13+I47</f>
        <v>68766.38</v>
      </c>
      <c r="J53" s="107" t="n">
        <f aca="false">J13+J47</f>
        <v>17721.6274892866</v>
      </c>
      <c r="K53" s="107" t="n">
        <f aca="false">K13+K47</f>
        <v>86488.0074892866</v>
      </c>
      <c r="L53" s="107" t="n">
        <f aca="false">L13+L47</f>
        <v>16702.6411822536</v>
      </c>
      <c r="M53" s="208" t="n">
        <f aca="false">M13+M47</f>
        <v>10786.41</v>
      </c>
      <c r="N53" s="207" t="n">
        <f aca="false">N13+N47</f>
        <v>57.4863085</v>
      </c>
      <c r="O53" s="107" t="n">
        <f aca="false">O13+O47</f>
        <v>3722.4075</v>
      </c>
      <c r="P53" s="328" t="n">
        <f aca="false">P13+P47</f>
        <v>7.363</v>
      </c>
      <c r="Q53" s="107" t="n">
        <f aca="false">Q13+Q47</f>
        <v>366.903931883413</v>
      </c>
      <c r="R53" s="107" t="n">
        <f aca="false">R13+R47</f>
        <v>447.783361972769</v>
      </c>
      <c r="S53" s="135" t="n">
        <f aca="false">S13+S47</f>
        <v>10.4345776993671</v>
      </c>
      <c r="T53" s="107" t="n">
        <f aca="false">T13+T47</f>
        <v>248.205204</v>
      </c>
      <c r="U53" s="210" t="n">
        <f aca="false">U13+U47</f>
        <v>-12.2414035208269</v>
      </c>
      <c r="V53" s="107" t="n">
        <f aca="false">V13+V47</f>
        <v>9872.6</v>
      </c>
      <c r="W53" s="107" t="n">
        <f aca="false">W13+W47</f>
        <v>2146.26</v>
      </c>
      <c r="X53" s="107" t="n">
        <f aca="false">X13+X47</f>
        <v>17926.6765194653</v>
      </c>
      <c r="Y53" s="107" t="n">
        <f aca="false">Y13+Y47</f>
        <v>17277.2972896251</v>
      </c>
      <c r="Z53" s="107"/>
      <c r="AA53" s="107"/>
      <c r="AB53" s="107"/>
      <c r="AC53" s="107"/>
      <c r="AD53" s="107"/>
      <c r="AE53" s="107"/>
      <c r="AF53" s="107" t="n">
        <f aca="false">AF13+AF47</f>
        <v>52.7</v>
      </c>
      <c r="AG53" s="107" t="n">
        <f aca="false">AG13+AG47</f>
        <v>40.3</v>
      </c>
      <c r="AH53" s="207" t="n">
        <f aca="false">AH13+AH47</f>
        <v>15451</v>
      </c>
      <c r="AI53" s="107" t="n">
        <f aca="false">AI45</f>
        <v>13130.2578774893</v>
      </c>
      <c r="AJ53" s="136" t="n">
        <f aca="false">AJ13+AJ47</f>
        <v>7352</v>
      </c>
      <c r="AK53" s="107" t="n">
        <f aca="false">AK13+AK47</f>
        <v>40750.09</v>
      </c>
      <c r="AL53" s="107" t="n">
        <f aca="false">AL13+AL47</f>
        <v>1018.98630703302</v>
      </c>
      <c r="AM53" s="107" t="n">
        <f aca="false">AM13+AM47</f>
        <v>41769.076307033</v>
      </c>
      <c r="AN53" s="364"/>
      <c r="AO53" s="107" t="n">
        <f aca="false">AO13+AO47</f>
        <v>649.379229840203</v>
      </c>
      <c r="AP53" s="135"/>
      <c r="AQ53" s="155"/>
      <c r="AR53" s="136" t="n">
        <f aca="false">AR13+AR47</f>
        <v>314.779</v>
      </c>
      <c r="AS53" s="107" t="n">
        <f aca="false">AS13+AS47</f>
        <v>0</v>
      </c>
      <c r="AT53" s="136"/>
      <c r="AU53" s="172"/>
      <c r="AV53" s="214" t="n">
        <f aca="false">AV13+AV47</f>
        <v>6.883</v>
      </c>
      <c r="AW53" s="207"/>
      <c r="AX53" s="207"/>
      <c r="AY53" s="264"/>
      <c r="AZ53" s="330" t="n">
        <f aca="false">AZ13+AZ47</f>
        <v>1125.93498053472</v>
      </c>
    </row>
    <row r="54" customFormat="false" ht="12.95" hidden="false" customHeight="true" outlineLevel="0" collapsed="false">
      <c r="A54" s="181" t="s">
        <v>109</v>
      </c>
      <c r="B54" s="205"/>
      <c r="C54" s="107"/>
      <c r="D54" s="107" t="n">
        <f aca="false">D13+D48</f>
        <v>88700</v>
      </c>
      <c r="E54" s="107" t="n">
        <f aca="false">E45</f>
        <v>214091</v>
      </c>
      <c r="F54" s="107" t="n">
        <f aca="false">F53*$D$2</f>
        <v>88700</v>
      </c>
      <c r="G54" s="364" t="n">
        <f aca="false">G53*$D$2</f>
        <v>126610.772</v>
      </c>
      <c r="H54" s="207" t="n">
        <f aca="false">H53*$D$2</f>
        <v>9787.34273</v>
      </c>
      <c r="I54" s="107" t="n">
        <f aca="false">I53*$D$2</f>
        <v>136398.11473</v>
      </c>
      <c r="J54" s="107" t="n">
        <f aca="false">J53*$D$2</f>
        <v>35150.848125</v>
      </c>
      <c r="K54" s="107" t="n">
        <f aca="false">K53*$D$2</f>
        <v>171548.962855</v>
      </c>
      <c r="L54" s="107" t="n">
        <f aca="false">L53*$D$2</f>
        <v>33129.688785</v>
      </c>
      <c r="M54" s="208" t="n">
        <f aca="false">M53*$D$2</f>
        <v>21394.844235</v>
      </c>
      <c r="N54" s="207" t="n">
        <f aca="false">N53*$D$2</f>
        <v>114.02409290975</v>
      </c>
      <c r="O54" s="107" t="n">
        <f aca="false">O53*$D$2</f>
        <v>7383.39527625</v>
      </c>
      <c r="P54" s="328" t="n">
        <f aca="false">P53*$D$2</f>
        <v>14.6045105</v>
      </c>
      <c r="Q54" s="107" t="n">
        <f aca="false">Q53*$D$2</f>
        <v>727.753948890751</v>
      </c>
      <c r="R54" s="107" t="n">
        <f aca="false">R53*$D$2</f>
        <v>888.178298472987</v>
      </c>
      <c r="S54" s="135" t="n">
        <f aca="false">S53*$D$2</f>
        <v>20.6969848666946</v>
      </c>
      <c r="T54" s="107" t="n">
        <f aca="false">T53*$D$2</f>
        <v>492.315022134</v>
      </c>
      <c r="U54" s="210" t="n">
        <f aca="false">U53*$D$2</f>
        <v>-24.2808238835601</v>
      </c>
      <c r="V54" s="107" t="n">
        <f aca="false">V53*$D$2</f>
        <v>19582.3021</v>
      </c>
      <c r="W54" s="107" t="n">
        <f aca="false">W53*$D$2</f>
        <v>4257.10671</v>
      </c>
      <c r="X54" s="107" t="n">
        <f aca="false">X53*$D$2</f>
        <v>35557.5628763594</v>
      </c>
      <c r="Y54" s="107" t="n">
        <f aca="false">Y53*$D$2</f>
        <v>34269.5191739713</v>
      </c>
      <c r="Z54" s="107"/>
      <c r="AA54" s="107"/>
      <c r="AB54" s="107"/>
      <c r="AC54" s="107"/>
      <c r="AD54" s="107"/>
      <c r="AE54" s="107"/>
      <c r="AF54" s="107" t="n">
        <f aca="false">AF53*$D$2</f>
        <v>104.53045</v>
      </c>
      <c r="AG54" s="107" t="n">
        <f aca="false">AG53*$D$2</f>
        <v>79.93505</v>
      </c>
      <c r="AH54" s="207" t="n">
        <f aca="false">AH53*$D$2</f>
        <v>30647.0585</v>
      </c>
      <c r="AI54" s="107" t="n">
        <f aca="false">AI53*$D$2</f>
        <v>26043.8665</v>
      </c>
      <c r="AJ54" s="136" t="n">
        <f aca="false">AJ53*$D$2</f>
        <v>14582.692</v>
      </c>
      <c r="AK54" s="107" t="n">
        <f aca="false">AK53*$D$2</f>
        <v>80827.803515</v>
      </c>
      <c r="AL54" s="107" t="n">
        <f aca="false">AL53*$D$2</f>
        <v>2021.15934</v>
      </c>
      <c r="AM54" s="107" t="n">
        <f aca="false">AM53*$D$2</f>
        <v>82848.962855</v>
      </c>
      <c r="AN54" s="94" t="n">
        <f aca="false">AN13+AN48</f>
        <v>13055.59535</v>
      </c>
      <c r="AO54" s="107" t="n">
        <f aca="false">AO53*$D$2</f>
        <v>1288.04370238804</v>
      </c>
      <c r="AP54" s="135"/>
      <c r="AQ54" s="155" t="n">
        <f aca="false">AQ12+AQ48</f>
        <v>471.33360800718</v>
      </c>
      <c r="AR54" s="136" t="n">
        <f aca="false">AR53*$D$2</f>
        <v>624.3641465</v>
      </c>
      <c r="AS54" s="107" t="n">
        <f aca="false">AS53*$D$2</f>
        <v>0</v>
      </c>
      <c r="AT54" s="136"/>
      <c r="AU54" s="172"/>
      <c r="AV54" s="214"/>
      <c r="AW54" s="207"/>
      <c r="AX54" s="207"/>
      <c r="AY54" s="264"/>
      <c r="AZ54" s="330" t="n">
        <f aca="false">AZ53*$D$2</f>
        <v>2233.29203389062</v>
      </c>
    </row>
    <row r="55" customFormat="false" ht="3" hidden="false" customHeight="true" outlineLevel="0" collapsed="false">
      <c r="A55" s="223"/>
      <c r="B55" s="244"/>
      <c r="C55" s="225"/>
      <c r="D55" s="226"/>
      <c r="E55" s="225"/>
      <c r="F55" s="432"/>
      <c r="G55" s="433"/>
      <c r="H55" s="434"/>
      <c r="I55" s="226"/>
      <c r="J55" s="226"/>
      <c r="K55" s="226"/>
      <c r="L55" s="226"/>
      <c r="M55" s="229"/>
      <c r="N55" s="230"/>
      <c r="O55" s="226"/>
      <c r="P55" s="230"/>
      <c r="Q55" s="226"/>
      <c r="R55" s="226"/>
      <c r="S55" s="425"/>
      <c r="T55" s="425"/>
      <c r="U55" s="231"/>
      <c r="V55" s="226"/>
      <c r="W55" s="226"/>
      <c r="X55" s="226"/>
      <c r="Y55" s="226"/>
      <c r="Z55" s="225"/>
      <c r="AA55" s="226"/>
      <c r="AB55" s="225"/>
      <c r="AC55" s="225"/>
      <c r="AD55" s="225"/>
      <c r="AE55" s="226"/>
      <c r="AF55" s="229"/>
      <c r="AG55" s="233"/>
      <c r="AH55" s="235"/>
      <c r="AI55" s="225"/>
      <c r="AJ55" s="232"/>
      <c r="AK55" s="226"/>
      <c r="AL55" s="226"/>
      <c r="AM55" s="226"/>
      <c r="AN55" s="252"/>
      <c r="AO55" s="226"/>
      <c r="AP55" s="226"/>
      <c r="AQ55" s="230"/>
      <c r="AR55" s="232"/>
      <c r="AS55" s="230"/>
      <c r="AT55" s="232"/>
      <c r="AU55" s="232"/>
      <c r="AV55" s="226"/>
      <c r="AW55" s="226"/>
      <c r="AX55" s="226"/>
      <c r="AY55" s="249"/>
      <c r="AZ55" s="309"/>
    </row>
    <row r="56" customFormat="false" ht="11.1" hidden="false" customHeight="true" outlineLevel="0" collapsed="false">
      <c r="A56" s="435"/>
      <c r="B56" s="259"/>
      <c r="D56" s="181"/>
      <c r="F56" s="436"/>
      <c r="G56" s="436"/>
      <c r="H56" s="437"/>
      <c r="I56" s="181"/>
      <c r="J56" s="181"/>
      <c r="K56" s="181"/>
      <c r="L56" s="181"/>
      <c r="M56" s="181"/>
      <c r="O56" s="181"/>
      <c r="Q56" s="181"/>
      <c r="R56" s="181"/>
      <c r="V56" s="181"/>
      <c r="W56" s="181"/>
      <c r="X56" s="181"/>
      <c r="Y56" s="181"/>
      <c r="Z56" s="173"/>
      <c r="AA56" s="181"/>
      <c r="AB56" s="173"/>
      <c r="AC56" s="173"/>
      <c r="AD56" s="173"/>
      <c r="AE56" s="181"/>
      <c r="AF56" s="181"/>
      <c r="AG56" s="181"/>
      <c r="AI56" s="173"/>
      <c r="AK56" s="181"/>
      <c r="AL56" s="181"/>
      <c r="AM56" s="181"/>
      <c r="AN56" s="84"/>
      <c r="AO56" s="179"/>
      <c r="AP56" s="184"/>
      <c r="AQ56" s="69"/>
      <c r="AR56" s="405"/>
      <c r="AX56" s="178"/>
    </row>
    <row r="57" customFormat="false" ht="11.1" hidden="false" customHeight="true" outlineLevel="0" collapsed="false">
      <c r="A57" s="181"/>
      <c r="B57" s="173"/>
      <c r="E57" s="379"/>
      <c r="F57" s="217"/>
      <c r="G57" s="176"/>
      <c r="I57" s="379"/>
      <c r="J57" s="181"/>
      <c r="K57" s="170"/>
      <c r="L57" s="181"/>
      <c r="M57" s="181"/>
      <c r="O57" s="26"/>
      <c r="P57" s="93"/>
      <c r="Q57" s="26"/>
      <c r="R57" s="26"/>
      <c r="V57" s="181"/>
      <c r="W57" s="173"/>
      <c r="X57" s="26"/>
      <c r="Y57" s="26"/>
      <c r="Z57" s="173"/>
      <c r="AA57" s="26"/>
      <c r="AB57" s="173"/>
      <c r="AC57" s="173"/>
      <c r="AD57" s="173"/>
      <c r="AE57" s="173"/>
      <c r="AF57" s="173"/>
      <c r="AG57" s="173"/>
      <c r="AI57" s="438"/>
      <c r="AJ57" s="439"/>
      <c r="AK57" s="181"/>
      <c r="AL57" s="181"/>
      <c r="AN57" s="217"/>
      <c r="AO57" s="184"/>
      <c r="AP57" s="184"/>
    </row>
    <row r="59" customFormat="false" ht="11.1" hidden="false" customHeight="true" outlineLevel="0" collapsed="false">
      <c r="B59" s="8"/>
      <c r="D59" s="173"/>
      <c r="F59" s="381"/>
      <c r="AE59" s="173"/>
      <c r="AF59" s="173"/>
      <c r="AG59" s="173"/>
      <c r="AN59" s="217"/>
      <c r="AO59" s="176"/>
      <c r="AP59" s="176"/>
    </row>
    <row r="60" customFormat="false" ht="11.1" hidden="false" customHeight="true" outlineLevel="0" collapsed="false">
      <c r="B60" s="1"/>
      <c r="D60" s="1"/>
      <c r="G60" s="440"/>
      <c r="H60" s="441"/>
      <c r="I60" s="442"/>
      <c r="AN60" s="217"/>
      <c r="AO60" s="176"/>
      <c r="AP60" s="176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P26" activePane="bottomRight" state="frozen"/>
      <selection pane="topLeft" activeCell="A1" activeCellId="0" sqref="A1"/>
      <selection pane="topRight" activeCell="P1" activeCellId="0" sqref="P1"/>
      <selection pane="bottomLeft" activeCell="A26" activeCellId="0" sqref="A26"/>
      <selection pane="bottomRight" activeCell="AE1" activeCellId="0" sqref="AE1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5" width="5.16"/>
    <col collapsed="false" customWidth="true" hidden="false" outlineLevel="0" max="23" min="22" style="1" width="5.49"/>
    <col collapsed="false" customWidth="true" hidden="false" outlineLevel="0" max="25" min="24" style="2" width="6.32"/>
    <col collapsed="false" customWidth="true" hidden="false" outlineLevel="0" max="26" min="26" style="1" width="5.49"/>
    <col collapsed="false" customWidth="true" hidden="false" outlineLevel="0" max="27" min="27" style="2" width="6.32"/>
    <col collapsed="false" customWidth="true" hidden="false" outlineLevel="0" max="28" min="28" style="172" width="5.49"/>
    <col collapsed="false" customWidth="true" hidden="false" outlineLevel="0" max="29" min="29" style="1" width="5.82"/>
    <col collapsed="false" customWidth="true" hidden="false" outlineLevel="0" max="33" min="30" style="1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6" min="36" style="87" width="6.32"/>
    <col collapsed="false" customWidth="true" hidden="false" outlineLevel="0" max="37" min="37" style="1" width="6.32"/>
    <col collapsed="false" customWidth="true" hidden="false" outlineLevel="0" max="38" min="38" style="1" width="6.82"/>
    <col collapsed="false" customWidth="true" hidden="false" outlineLevel="0" max="39" min="39" style="5" width="6.82"/>
    <col collapsed="false" customWidth="true" hidden="false" outlineLevel="0" max="41" min="40" style="1" width="5.49"/>
    <col collapsed="false" customWidth="true" hidden="false" outlineLevel="0" max="42" min="42" style="1" width="6.32"/>
    <col collapsed="false" customWidth="true" hidden="false" outlineLevel="0" max="43" min="43" style="315" width="6.32"/>
    <col collapsed="false" customWidth="true" hidden="false" outlineLevel="0" max="44" min="44" style="260" width="5.49"/>
    <col collapsed="false" customWidth="true" hidden="false" outlineLevel="0" max="45" min="45" style="6" width="5.32"/>
    <col collapsed="false" customWidth="true" hidden="false" outlineLevel="0" max="46" min="46" style="1" width="5.82"/>
    <col collapsed="false" customWidth="true" hidden="false" outlineLevel="0" max="47" min="47" style="4" width="4.99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0" min="50" style="10" width="3.82"/>
    <col collapsed="false" customWidth="true" hidden="false" outlineLevel="0" max="51" min="51" style="0" width="3.82"/>
    <col collapsed="false" customWidth="true" hidden="false" outlineLevel="0" max="52" min="52" style="0" width="5.49"/>
  </cols>
  <sheetData>
    <row r="1" customFormat="false" ht="14.1" hidden="false" customHeight="true" outlineLevel="0" collapsed="false">
      <c r="A1" s="11" t="s">
        <v>114</v>
      </c>
      <c r="B1" s="11"/>
      <c r="D1" s="11"/>
      <c r="F1" s="11"/>
      <c r="G1" s="11"/>
      <c r="I1" s="11"/>
      <c r="J1" s="11"/>
      <c r="K1" s="13" t="s">
        <v>0</v>
      </c>
      <c r="L1" s="11"/>
      <c r="M1" s="11"/>
      <c r="N1" s="11"/>
      <c r="S1" s="11"/>
      <c r="T1" s="11"/>
      <c r="V1" s="11"/>
      <c r="W1" s="11"/>
      <c r="Z1" s="11"/>
      <c r="AB1" s="181"/>
      <c r="AC1" s="11"/>
      <c r="AD1" s="11"/>
      <c r="AE1" s="11"/>
      <c r="AF1" s="11"/>
      <c r="AG1" s="11"/>
      <c r="AI1" s="11"/>
      <c r="AJ1" s="14"/>
      <c r="AK1" s="11"/>
      <c r="AL1" s="11"/>
      <c r="AN1" s="14"/>
      <c r="AO1" s="14"/>
      <c r="AP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38" t="s">
        <v>130</v>
      </c>
      <c r="L2" s="339"/>
      <c r="M2" s="340"/>
      <c r="N2" s="340"/>
      <c r="O2" s="168"/>
      <c r="P2" s="6"/>
      <c r="Q2" s="168"/>
      <c r="R2" s="168"/>
      <c r="S2" s="340"/>
      <c r="T2" s="340"/>
      <c r="U2" s="6"/>
      <c r="V2" s="340"/>
      <c r="W2" s="340"/>
      <c r="X2" s="341"/>
      <c r="Y2" s="341"/>
      <c r="Z2" s="340"/>
      <c r="AA2" s="341"/>
      <c r="AB2" s="317"/>
      <c r="AC2" s="340"/>
      <c r="AD2" s="340"/>
      <c r="AE2" s="340"/>
      <c r="AF2" s="340"/>
      <c r="AG2" s="340"/>
      <c r="AH2" s="341"/>
      <c r="AI2" s="11"/>
      <c r="AJ2" s="14"/>
      <c r="AK2" s="11"/>
      <c r="AL2" s="11"/>
      <c r="AN2" s="14"/>
      <c r="AO2" s="14"/>
      <c r="AP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16"/>
      <c r="U3" s="20"/>
      <c r="V3" s="16"/>
      <c r="W3" s="16"/>
      <c r="X3" s="17"/>
      <c r="Y3" s="17"/>
      <c r="Z3" s="16"/>
      <c r="AA3" s="90"/>
      <c r="AB3" s="181"/>
      <c r="AC3" s="16"/>
      <c r="AD3" s="16"/>
      <c r="AE3" s="16"/>
      <c r="AF3" s="16"/>
      <c r="AG3" s="16"/>
      <c r="AH3" s="17"/>
      <c r="AI3" s="16"/>
      <c r="AJ3" s="342"/>
      <c r="AK3" s="16"/>
      <c r="AL3" s="16"/>
      <c r="AM3" s="20"/>
      <c r="AN3" s="342"/>
      <c r="AO3" s="342"/>
      <c r="AP3" s="342"/>
      <c r="AV3" s="27"/>
      <c r="AW3" s="28"/>
      <c r="AX3" s="29"/>
    </row>
    <row r="4" s="172" customFormat="true" ht="14.1" hidden="false" customHeight="true" outlineLevel="0" collapsed="false">
      <c r="A4" s="385"/>
      <c r="B4" s="386"/>
      <c r="C4" s="387"/>
      <c r="D4" s="388" t="s">
        <v>3</v>
      </c>
      <c r="E4" s="387"/>
      <c r="F4" s="385"/>
      <c r="G4" s="386"/>
      <c r="H4" s="389"/>
      <c r="I4" s="390" t="s">
        <v>111</v>
      </c>
      <c r="J4" s="385"/>
      <c r="K4" s="385"/>
      <c r="L4" s="391"/>
      <c r="M4" s="385"/>
      <c r="N4" s="392"/>
      <c r="O4" s="385"/>
      <c r="P4" s="392"/>
      <c r="Q4" s="385"/>
      <c r="R4" s="385"/>
      <c r="S4" s="385"/>
      <c r="T4" s="385"/>
      <c r="U4" s="392"/>
      <c r="V4" s="390"/>
      <c r="W4" s="385"/>
      <c r="X4" s="390" t="s">
        <v>5</v>
      </c>
      <c r="Y4" s="387"/>
      <c r="Z4" s="385"/>
      <c r="AA4" s="387"/>
      <c r="AB4" s="385"/>
      <c r="AC4" s="385"/>
      <c r="AD4" s="385"/>
      <c r="AE4" s="385"/>
      <c r="AF4" s="385"/>
      <c r="AG4" s="385"/>
      <c r="AH4" s="394"/>
      <c r="AI4" s="385"/>
      <c r="AJ4" s="443"/>
      <c r="AK4" s="385"/>
      <c r="AL4" s="385"/>
      <c r="AM4" s="392"/>
      <c r="AN4" s="444"/>
      <c r="AO4" s="30"/>
      <c r="AP4" s="396" t="s">
        <v>6</v>
      </c>
      <c r="AQ4" s="47"/>
      <c r="AR4" s="397"/>
      <c r="AS4" s="48"/>
      <c r="AT4" s="395"/>
      <c r="AU4" s="395"/>
      <c r="AV4" s="398"/>
      <c r="AW4" s="399" t="s">
        <v>7</v>
      </c>
      <c r="AX4" s="400"/>
      <c r="AY4" s="401"/>
      <c r="AZ4" s="402"/>
    </row>
    <row r="5" s="180" customFormat="true" ht="12.95" hidden="false" customHeight="true" outlineLevel="0" collapsed="false">
      <c r="A5" s="313" t="s">
        <v>8</v>
      </c>
      <c r="B5" s="403" t="s">
        <v>9</v>
      </c>
      <c r="C5" s="404" t="s">
        <v>9</v>
      </c>
      <c r="D5" s="313" t="s">
        <v>10</v>
      </c>
      <c r="E5" s="404" t="s">
        <v>11</v>
      </c>
      <c r="F5" s="313" t="s">
        <v>12</v>
      </c>
      <c r="G5" s="403" t="s">
        <v>13</v>
      </c>
      <c r="H5" s="405" t="s">
        <v>14</v>
      </c>
      <c r="I5" s="313" t="s">
        <v>15</v>
      </c>
      <c r="J5" s="313" t="s">
        <v>16</v>
      </c>
      <c r="K5" s="313" t="s">
        <v>17</v>
      </c>
      <c r="L5" s="415" t="s">
        <v>16</v>
      </c>
      <c r="M5" s="445" t="s">
        <v>18</v>
      </c>
      <c r="N5" s="445"/>
      <c r="O5" s="445"/>
      <c r="P5" s="445"/>
      <c r="Q5" s="445"/>
      <c r="R5" s="445"/>
      <c r="S5" s="445"/>
      <c r="T5" s="445"/>
      <c r="U5" s="445"/>
      <c r="V5" s="313" t="s">
        <v>19</v>
      </c>
      <c r="W5" s="31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4" t="s">
        <v>22</v>
      </c>
      <c r="AD5" s="404" t="s">
        <v>21</v>
      </c>
      <c r="AE5" s="313" t="s">
        <v>23</v>
      </c>
      <c r="AF5" s="407" t="s">
        <v>127</v>
      </c>
      <c r="AG5" s="408"/>
      <c r="AH5" s="409" t="s">
        <v>25</v>
      </c>
      <c r="AI5" s="404" t="s">
        <v>128</v>
      </c>
      <c r="AJ5" s="404" t="s">
        <v>27</v>
      </c>
      <c r="AK5" s="313" t="s">
        <v>15</v>
      </c>
      <c r="AL5" s="313" t="s">
        <v>16</v>
      </c>
      <c r="AM5" s="313" t="s">
        <v>17</v>
      </c>
      <c r="AN5" s="44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5" t="s">
        <v>32</v>
      </c>
      <c r="AU5" s="202" t="s">
        <v>33</v>
      </c>
      <c r="AV5" s="410" t="s">
        <v>34</v>
      </c>
      <c r="AW5" s="409" t="s">
        <v>35</v>
      </c>
      <c r="AX5" s="409" t="s">
        <v>36</v>
      </c>
      <c r="AY5" s="447"/>
      <c r="AZ5" s="287" t="s">
        <v>17</v>
      </c>
    </row>
    <row r="6" s="180" customFormat="true" ht="12.95" hidden="false" customHeight="true" outlineLevel="0" collapsed="false">
      <c r="A6" s="411" t="s">
        <v>131</v>
      </c>
      <c r="B6" s="403" t="s">
        <v>38</v>
      </c>
      <c r="C6" s="404"/>
      <c r="D6" s="313" t="s">
        <v>39</v>
      </c>
      <c r="E6" s="404" t="s">
        <v>40</v>
      </c>
      <c r="F6" s="313" t="s">
        <v>41</v>
      </c>
      <c r="G6" s="403" t="s">
        <v>42</v>
      </c>
      <c r="H6" s="405" t="s">
        <v>43</v>
      </c>
      <c r="I6" s="313" t="s">
        <v>44</v>
      </c>
      <c r="J6" s="313" t="s">
        <v>44</v>
      </c>
      <c r="K6" s="313" t="s">
        <v>44</v>
      </c>
      <c r="L6" s="415" t="s">
        <v>45</v>
      </c>
      <c r="M6" s="313" t="s">
        <v>46</v>
      </c>
      <c r="N6" s="69" t="s">
        <v>47</v>
      </c>
      <c r="O6" s="31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3" t="s">
        <v>52</v>
      </c>
      <c r="V6" s="313" t="s">
        <v>53</v>
      </c>
      <c r="W6" s="31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4" t="s">
        <v>57</v>
      </c>
      <c r="AD6" s="404" t="s">
        <v>58</v>
      </c>
      <c r="AE6" s="313" t="s">
        <v>59</v>
      </c>
      <c r="AF6" s="74" t="s">
        <v>60</v>
      </c>
      <c r="AG6" s="77" t="s">
        <v>61</v>
      </c>
      <c r="AH6" s="409" t="s">
        <v>62</v>
      </c>
      <c r="AI6" s="404" t="s">
        <v>63</v>
      </c>
      <c r="AJ6" s="404"/>
      <c r="AK6" s="313" t="s">
        <v>64</v>
      </c>
      <c r="AL6" s="313" t="s">
        <v>64</v>
      </c>
      <c r="AM6" s="313" t="s">
        <v>64</v>
      </c>
      <c r="AN6" s="44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5" t="s">
        <v>70</v>
      </c>
      <c r="AU6" s="202" t="s">
        <v>71</v>
      </c>
      <c r="AV6" s="414"/>
      <c r="AW6" s="409" t="s">
        <v>72</v>
      </c>
      <c r="AX6" s="409" t="s">
        <v>72</v>
      </c>
      <c r="AY6" s="447"/>
      <c r="AZ6" s="287" t="s">
        <v>73</v>
      </c>
    </row>
    <row r="7" s="180" customFormat="true" ht="12.95" hidden="false" customHeight="true" outlineLevel="0" collapsed="false">
      <c r="A7" s="313"/>
      <c r="B7" s="403"/>
      <c r="C7" s="404"/>
      <c r="D7" s="313"/>
      <c r="E7" s="404"/>
      <c r="F7" s="313"/>
      <c r="G7" s="403"/>
      <c r="H7" s="405"/>
      <c r="I7" s="313"/>
      <c r="J7" s="313"/>
      <c r="K7" s="313"/>
      <c r="L7" s="415"/>
      <c r="M7" s="313"/>
      <c r="N7" s="69" t="s">
        <v>74</v>
      </c>
      <c r="O7" s="31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3" t="s">
        <v>77</v>
      </c>
      <c r="V7" s="313"/>
      <c r="W7" s="31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4"/>
      <c r="AD7" s="404"/>
      <c r="AE7" s="313"/>
      <c r="AF7" s="79" t="n">
        <v>1.7</v>
      </c>
      <c r="AG7" s="79" t="n">
        <v>1.3</v>
      </c>
      <c r="AH7" s="409"/>
      <c r="AI7" s="404"/>
      <c r="AJ7" s="404"/>
      <c r="AK7" s="313"/>
      <c r="AL7" s="313"/>
      <c r="AM7" s="313"/>
      <c r="AN7" s="44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5" t="s">
        <v>87</v>
      </c>
      <c r="AU7" s="202" t="s">
        <v>88</v>
      </c>
      <c r="AV7" s="414"/>
      <c r="AW7" s="409"/>
      <c r="AX7" s="409"/>
      <c r="AY7" s="447"/>
      <c r="AZ7" s="287" t="s">
        <v>89</v>
      </c>
    </row>
    <row r="8" s="180" customFormat="true" ht="12.95" hidden="false" customHeight="true" outlineLevel="0" collapsed="false">
      <c r="A8" s="313"/>
      <c r="B8" s="403"/>
      <c r="C8" s="404"/>
      <c r="D8" s="313"/>
      <c r="E8" s="404"/>
      <c r="F8" s="313"/>
      <c r="G8" s="403"/>
      <c r="H8" s="405"/>
      <c r="I8" s="313"/>
      <c r="J8" s="313"/>
      <c r="K8" s="313"/>
      <c r="L8" s="415"/>
      <c r="M8" s="313"/>
      <c r="N8" s="69"/>
      <c r="O8" s="313"/>
      <c r="P8" s="69"/>
      <c r="Q8" s="58" t="s">
        <v>61</v>
      </c>
      <c r="R8" s="58" t="s">
        <v>61</v>
      </c>
      <c r="S8" s="58"/>
      <c r="T8" s="58"/>
      <c r="U8" s="413"/>
      <c r="V8" s="313"/>
      <c r="W8" s="31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4"/>
      <c r="AD8" s="404"/>
      <c r="AE8" s="313"/>
      <c r="AF8" s="416"/>
      <c r="AG8" s="417"/>
      <c r="AH8" s="409"/>
      <c r="AI8" s="404"/>
      <c r="AJ8" s="404"/>
      <c r="AK8" s="313"/>
      <c r="AL8" s="313"/>
      <c r="AM8" s="313"/>
      <c r="AN8" s="446"/>
      <c r="AO8" s="61"/>
      <c r="AP8" s="67"/>
      <c r="AQ8" s="67"/>
      <c r="AR8" s="62"/>
      <c r="AS8" s="68"/>
      <c r="AT8" s="405"/>
      <c r="AU8" s="202"/>
      <c r="AV8" s="414"/>
      <c r="AW8" s="409"/>
      <c r="AX8" s="409"/>
      <c r="AY8" s="447"/>
      <c r="AZ8" s="287"/>
    </row>
    <row r="9" s="180" customFormat="true" ht="12.95" hidden="false" customHeight="true" outlineLevel="0" collapsed="false">
      <c r="A9" s="313"/>
      <c r="B9" s="403"/>
      <c r="C9" s="404"/>
      <c r="D9" s="313"/>
      <c r="E9" s="404"/>
      <c r="F9" s="313"/>
      <c r="G9" s="403"/>
      <c r="H9" s="405"/>
      <c r="I9" s="313"/>
      <c r="J9" s="313"/>
      <c r="K9" s="313"/>
      <c r="L9" s="415"/>
      <c r="M9" s="313"/>
      <c r="N9" s="69"/>
      <c r="O9" s="313"/>
      <c r="P9" s="69"/>
      <c r="Q9" s="58"/>
      <c r="R9" s="81" t="n">
        <v>4.2</v>
      </c>
      <c r="S9" s="58"/>
      <c r="T9" s="58"/>
      <c r="U9" s="413"/>
      <c r="V9" s="313"/>
      <c r="W9" s="313"/>
      <c r="X9" s="65"/>
      <c r="Y9" s="57" t="s">
        <v>90</v>
      </c>
      <c r="Z9" s="61"/>
      <c r="AA9" s="57" t="s">
        <v>90</v>
      </c>
      <c r="AB9" s="61" t="s">
        <v>93</v>
      </c>
      <c r="AC9" s="404"/>
      <c r="AD9" s="404"/>
      <c r="AE9" s="313"/>
      <c r="AF9" s="416"/>
      <c r="AG9" s="417"/>
      <c r="AH9" s="409"/>
      <c r="AI9" s="404"/>
      <c r="AJ9" s="404"/>
      <c r="AK9" s="313"/>
      <c r="AL9" s="313"/>
      <c r="AM9" s="313"/>
      <c r="AN9" s="446"/>
      <c r="AO9" s="61"/>
      <c r="AP9" s="67"/>
      <c r="AQ9" s="67"/>
      <c r="AR9" s="62"/>
      <c r="AS9" s="7"/>
      <c r="AT9" s="405"/>
      <c r="AU9" s="202"/>
      <c r="AV9" s="414"/>
      <c r="AW9" s="409"/>
      <c r="AX9" s="409"/>
      <c r="AY9" s="447"/>
      <c r="AZ9" s="287"/>
    </row>
    <row r="10" s="180" customFormat="true" ht="12.95" hidden="false" customHeight="true" outlineLevel="0" collapsed="false">
      <c r="A10" s="313"/>
      <c r="B10" s="403"/>
      <c r="C10" s="404" t="s">
        <v>10</v>
      </c>
      <c r="D10" s="313"/>
      <c r="E10" s="404" t="s">
        <v>95</v>
      </c>
      <c r="F10" s="313"/>
      <c r="G10" s="403" t="s">
        <v>41</v>
      </c>
      <c r="H10" s="405" t="s">
        <v>41</v>
      </c>
      <c r="I10" s="405" t="s">
        <v>41</v>
      </c>
      <c r="J10" s="405" t="s">
        <v>41</v>
      </c>
      <c r="K10" s="405" t="s">
        <v>41</v>
      </c>
      <c r="L10" s="418" t="s">
        <v>41</v>
      </c>
      <c r="M10" s="405" t="s">
        <v>41</v>
      </c>
      <c r="N10" s="405" t="s">
        <v>41</v>
      </c>
      <c r="O10" s="405" t="s">
        <v>41</v>
      </c>
      <c r="P10" s="405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18" t="s">
        <v>41</v>
      </c>
      <c r="V10" s="405" t="s">
        <v>41</v>
      </c>
      <c r="W10" s="405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5" t="s">
        <v>41</v>
      </c>
      <c r="AD10" s="405" t="s">
        <v>41</v>
      </c>
      <c r="AE10" s="405" t="s">
        <v>41</v>
      </c>
      <c r="AF10" s="419" t="s">
        <v>41</v>
      </c>
      <c r="AG10" s="418" t="s">
        <v>41</v>
      </c>
      <c r="AH10" s="405" t="s">
        <v>41</v>
      </c>
      <c r="AI10" s="405" t="s">
        <v>41</v>
      </c>
      <c r="AJ10" s="405" t="s">
        <v>41</v>
      </c>
      <c r="AK10" s="405" t="s">
        <v>41</v>
      </c>
      <c r="AL10" s="405" t="s">
        <v>41</v>
      </c>
      <c r="AM10" s="405" t="s">
        <v>41</v>
      </c>
      <c r="AN10" s="446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1" t="s">
        <v>41</v>
      </c>
      <c r="AU10" s="61" t="s">
        <v>41</v>
      </c>
      <c r="AV10" s="414"/>
      <c r="AW10" s="409"/>
      <c r="AX10" s="409"/>
      <c r="AY10" s="291"/>
      <c r="AZ10" s="287" t="s">
        <v>97</v>
      </c>
    </row>
    <row r="11" s="180" customFormat="true" ht="12.95" hidden="false" customHeight="true" outlineLevel="0" collapsed="false">
      <c r="A11" s="313"/>
      <c r="B11" s="403"/>
      <c r="C11" s="404"/>
      <c r="D11" s="313"/>
      <c r="E11" s="404"/>
      <c r="F11" s="448"/>
      <c r="G11" s="313"/>
      <c r="H11" s="405"/>
      <c r="I11" s="313"/>
      <c r="J11" s="313"/>
      <c r="K11" s="313"/>
      <c r="L11" s="415"/>
      <c r="M11" s="313"/>
      <c r="N11" s="69" t="n">
        <v>1.03</v>
      </c>
      <c r="O11" s="420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3"/>
      <c r="V11" s="313"/>
      <c r="W11" s="31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4"/>
      <c r="AD11" s="404"/>
      <c r="AE11" s="313"/>
      <c r="AF11" s="416"/>
      <c r="AG11" s="417"/>
      <c r="AH11" s="409"/>
      <c r="AI11" s="404"/>
      <c r="AJ11" s="404"/>
      <c r="AK11" s="313"/>
      <c r="AL11" s="313"/>
      <c r="AM11" s="313"/>
      <c r="AN11" s="446"/>
      <c r="AO11" s="61"/>
      <c r="AP11" s="67"/>
      <c r="AQ11" s="67"/>
      <c r="AR11" s="62"/>
      <c r="AS11" s="87"/>
      <c r="AT11" s="316"/>
      <c r="AU11" s="176"/>
      <c r="AV11" s="414"/>
      <c r="AW11" s="409"/>
      <c r="AX11" s="409"/>
      <c r="AY11" s="291"/>
      <c r="AZ11" s="287" t="s">
        <v>41</v>
      </c>
    </row>
    <row r="12" customFormat="false" ht="12.95" hidden="false" customHeight="true" outlineLevel="0" collapsed="false">
      <c r="A12" s="11" t="s">
        <v>99</v>
      </c>
      <c r="B12" s="344"/>
      <c r="C12" s="94"/>
      <c r="D12" s="94"/>
      <c r="E12" s="94"/>
      <c r="F12" s="345" t="n">
        <f aca="false">MAY!F50</f>
        <v>43117.2170405848</v>
      </c>
      <c r="G12" s="94" t="n">
        <f aca="false">MAY!G50</f>
        <v>52597</v>
      </c>
      <c r="H12" s="94" t="n">
        <f aca="false">MAY!H50</f>
        <v>4373.8</v>
      </c>
      <c r="I12" s="94" t="n">
        <f aca="false">MAY!I50</f>
        <v>56970.8</v>
      </c>
      <c r="J12" s="94" t="n">
        <f aca="false">MAY!J50</f>
        <v>14623.1170405848</v>
      </c>
      <c r="K12" s="94" t="n">
        <f aca="false">MAY!K50</f>
        <v>71593.9170405848</v>
      </c>
      <c r="L12" s="99" t="n">
        <f aca="false">MAY!L50</f>
        <v>14623.1170405848</v>
      </c>
      <c r="M12" s="94" t="n">
        <f aca="false">MAY!M50</f>
        <v>9863.3</v>
      </c>
      <c r="N12" s="94" t="n">
        <f aca="false">MAY!N50</f>
        <v>57.4863085</v>
      </c>
      <c r="O12" s="94" t="n">
        <f aca="false">MAY!O50</f>
        <v>3722.4075</v>
      </c>
      <c r="P12" s="83" t="n">
        <f aca="false">MAY!P50</f>
        <v>7.363</v>
      </c>
      <c r="Q12" s="148"/>
      <c r="R12" s="148"/>
      <c r="S12" s="94"/>
      <c r="T12" s="94"/>
      <c r="U12" s="346"/>
      <c r="V12" s="94" t="n">
        <f aca="false">MAY!V50</f>
        <v>3778.6</v>
      </c>
      <c r="W12" s="94" t="n">
        <f aca="false">MAY!W50</f>
        <v>2087.98</v>
      </c>
      <c r="X12" s="94" t="n">
        <f aca="false">MAY!X50</f>
        <v>11541.8606882705</v>
      </c>
      <c r="Y12" s="94" t="n">
        <f aca="false">MAY!Y50</f>
        <v>11094.2806882705</v>
      </c>
      <c r="Z12" s="107" t="n">
        <f aca="false">MAY!Z45</f>
        <v>21104.2117779235</v>
      </c>
      <c r="AA12" s="107" t="n">
        <f aca="false">MAY!AA50</f>
        <v>7352</v>
      </c>
      <c r="AB12" s="107" t="n">
        <f aca="false">MAY!AB45</f>
        <v>62848.9677066958</v>
      </c>
      <c r="AC12" s="107" t="n">
        <f aca="false">MAY!AC45</f>
        <v>1481.56603729541</v>
      </c>
      <c r="AD12" s="80"/>
      <c r="AE12" s="94" t="n">
        <f aca="false">MAY!AE50</f>
        <v>2503.14</v>
      </c>
      <c r="AF12" s="98" t="n">
        <f aca="false">MAY!AF50</f>
        <v>103.7</v>
      </c>
      <c r="AG12" s="99" t="n">
        <f aca="false">MAY!AG50</f>
        <v>79.3</v>
      </c>
      <c r="AH12" s="80"/>
      <c r="AI12" s="80"/>
      <c r="AJ12" s="94" t="n">
        <f aca="false">MAY!AJ50</f>
        <v>7352</v>
      </c>
      <c r="AK12" s="94" t="n">
        <f aca="false">MAY!AK50</f>
        <v>28476.7</v>
      </c>
      <c r="AL12" s="94" t="n">
        <f aca="false">MAY!AL50</f>
        <v>0</v>
      </c>
      <c r="AM12" s="94" t="n">
        <f aca="false">MAY!AM50</f>
        <v>28476.7</v>
      </c>
      <c r="AN12" s="449"/>
      <c r="AO12" s="147"/>
      <c r="AP12" s="80"/>
      <c r="AQ12" s="94" t="n">
        <f aca="false">MAY!AQ51</f>
        <v>471.33360800718</v>
      </c>
      <c r="AR12" s="103" t="n">
        <f aca="false">MAY!AR50</f>
        <v>314.779</v>
      </c>
      <c r="AS12" s="83" t="n">
        <f aca="false">MAY!AS50</f>
        <v>0</v>
      </c>
      <c r="AT12" s="94" t="n">
        <f aca="false">MAY!AT50</f>
        <v>345.03</v>
      </c>
      <c r="AU12" s="450"/>
      <c r="AV12" s="451"/>
      <c r="AW12" s="103"/>
      <c r="AX12" s="103"/>
      <c r="AY12" s="286"/>
      <c r="AZ12" s="348"/>
    </row>
    <row r="13" s="108" customFormat="true" ht="12.95" hidden="false" customHeight="true" outlineLevel="0" collapsed="false">
      <c r="A13" s="2" t="s">
        <v>100</v>
      </c>
      <c r="B13" s="131" t="n">
        <f aca="false">MAY!B45</f>
        <v>6920.58</v>
      </c>
      <c r="C13" s="94" t="n">
        <f aca="false">MAY!C45</f>
        <v>366091</v>
      </c>
      <c r="D13" s="94" t="n">
        <f aca="false">MAY!D54</f>
        <v>88700</v>
      </c>
      <c r="E13" s="94" t="n">
        <f aca="false">MAY!E54</f>
        <v>214091</v>
      </c>
      <c r="F13" s="371" t="n">
        <f aca="false">MAY!F53</f>
        <v>44718.9311822536</v>
      </c>
      <c r="G13" s="94" t="n">
        <f aca="false">MAY!G53</f>
        <v>63832</v>
      </c>
      <c r="H13" s="94" t="n">
        <f aca="false">MAY!H53</f>
        <v>4934.38</v>
      </c>
      <c r="I13" s="94" t="n">
        <f aca="false">MAY!I53</f>
        <v>68766.38</v>
      </c>
      <c r="J13" s="94" t="n">
        <f aca="false">MAY!J53</f>
        <v>17721.6274892866</v>
      </c>
      <c r="K13" s="94" t="n">
        <f aca="false">MAY!K53</f>
        <v>86488.0074892866</v>
      </c>
      <c r="L13" s="351" t="n">
        <f aca="false">MAY!L53</f>
        <v>16702.6411822536</v>
      </c>
      <c r="M13" s="94" t="n">
        <f aca="false">MAY!M53</f>
        <v>10786.41</v>
      </c>
      <c r="N13" s="94" t="n">
        <f aca="false">MAY!N53</f>
        <v>57.4863085</v>
      </c>
      <c r="O13" s="94" t="n">
        <f aca="false">MAY!O53</f>
        <v>3722.4075</v>
      </c>
      <c r="P13" s="83"/>
      <c r="Q13" s="94" t="n">
        <f aca="false">MAY!Q53</f>
        <v>366.903931883413</v>
      </c>
      <c r="R13" s="94" t="n">
        <f aca="false">MAY!R53</f>
        <v>447.783361972769</v>
      </c>
      <c r="S13" s="94" t="n">
        <f aca="false">MAY!S53</f>
        <v>10.4345776993671</v>
      </c>
      <c r="T13" s="94" t="n">
        <f aca="false">MAY!T53</f>
        <v>248.205204</v>
      </c>
      <c r="U13" s="452" t="n">
        <f aca="false">MAY!U53</f>
        <v>-12.2414035208269</v>
      </c>
      <c r="V13" s="94" t="n">
        <f aca="false">MAY!V53</f>
        <v>9872.6</v>
      </c>
      <c r="W13" s="94" t="n">
        <f aca="false">MAY!W53</f>
        <v>2146.26</v>
      </c>
      <c r="X13" s="94" t="n">
        <f aca="false">MAY!X53</f>
        <v>17926.6765194653</v>
      </c>
      <c r="Y13" s="94" t="n">
        <f aca="false">MAY!Y53</f>
        <v>17277.2972896251</v>
      </c>
      <c r="Z13" s="80"/>
      <c r="AA13" s="94"/>
      <c r="AB13" s="107"/>
      <c r="AC13" s="80"/>
      <c r="AD13" s="80"/>
      <c r="AE13" s="94"/>
      <c r="AF13" s="352"/>
      <c r="AG13" s="351"/>
      <c r="AH13" s="94" t="n">
        <f aca="false">MAY!AH53</f>
        <v>15451</v>
      </c>
      <c r="AI13" s="94" t="n">
        <f aca="false">MAY!AI53</f>
        <v>13130.2578774893</v>
      </c>
      <c r="AJ13" s="94" t="n">
        <f aca="false">MAY!AJ53</f>
        <v>7352</v>
      </c>
      <c r="AK13" s="94" t="n">
        <f aca="false">MAY!AK53</f>
        <v>40750.09</v>
      </c>
      <c r="AL13" s="94" t="n">
        <f aca="false">MAY!AL53</f>
        <v>1018.98630703302</v>
      </c>
      <c r="AM13" s="94" t="n">
        <f aca="false">MAY!AM53</f>
        <v>41769.076307033</v>
      </c>
      <c r="AN13" s="347" t="n">
        <f aca="false">MAY!AN54</f>
        <v>13055.59535</v>
      </c>
      <c r="AO13" s="94" t="n">
        <f aca="false">MAY!AO53</f>
        <v>649.379229840203</v>
      </c>
      <c r="AP13" s="134"/>
      <c r="AQ13" s="94" t="n">
        <f aca="false">MAY!AQ54</f>
        <v>471.33360800718</v>
      </c>
      <c r="AR13" s="103" t="n">
        <f aca="false">MAY!AR53</f>
        <v>314.779</v>
      </c>
      <c r="AS13" s="83" t="n">
        <f aca="false">MAY!AS53</f>
        <v>0</v>
      </c>
      <c r="AT13" s="94" t="n">
        <f aca="false">MAY!AT53</f>
        <v>0</v>
      </c>
      <c r="AU13" s="453"/>
      <c r="AV13" s="131" t="n">
        <f aca="false">MAY!AV53</f>
        <v>6.883</v>
      </c>
      <c r="AW13" s="103"/>
      <c r="AX13" s="103"/>
      <c r="AY13" s="353"/>
      <c r="AZ13" s="367" t="n">
        <f aca="false">MAY!AZ53</f>
        <v>1125.93498053472</v>
      </c>
    </row>
    <row r="14" customFormat="false" ht="3" hidden="false" customHeight="true" outlineLevel="0" collapsed="false">
      <c r="A14" s="109"/>
      <c r="B14" s="354"/>
      <c r="C14" s="119"/>
      <c r="D14" s="116"/>
      <c r="E14" s="119"/>
      <c r="F14" s="355"/>
      <c r="G14" s="116"/>
      <c r="H14" s="118"/>
      <c r="I14" s="116"/>
      <c r="J14" s="116"/>
      <c r="K14" s="116"/>
      <c r="L14" s="116"/>
      <c r="M14" s="120"/>
      <c r="N14" s="116"/>
      <c r="O14" s="118" t="n">
        <v>0</v>
      </c>
      <c r="P14" s="356"/>
      <c r="Q14" s="118"/>
      <c r="R14" s="118"/>
      <c r="S14" s="116"/>
      <c r="T14" s="116"/>
      <c r="U14" s="357"/>
      <c r="V14" s="116"/>
      <c r="W14" s="116" t="n">
        <v>0</v>
      </c>
      <c r="X14" s="116"/>
      <c r="Y14" s="116"/>
      <c r="Z14" s="119"/>
      <c r="AA14" s="116"/>
      <c r="AB14" s="225"/>
      <c r="AC14" s="119"/>
      <c r="AD14" s="119"/>
      <c r="AE14" s="116"/>
      <c r="AF14" s="120"/>
      <c r="AG14" s="121"/>
      <c r="AH14" s="116"/>
      <c r="AI14" s="119"/>
      <c r="AJ14" s="119"/>
      <c r="AK14" s="116"/>
      <c r="AL14" s="116"/>
      <c r="AM14" s="116"/>
      <c r="AN14" s="454"/>
      <c r="AO14" s="123"/>
      <c r="AP14" s="123"/>
      <c r="AQ14" s="230"/>
      <c r="AR14" s="232"/>
      <c r="AS14" s="230"/>
      <c r="AT14" s="235"/>
      <c r="AU14" s="232"/>
      <c r="AV14" s="125"/>
      <c r="AW14" s="123"/>
      <c r="AX14" s="123"/>
      <c r="AY14" s="358"/>
      <c r="AZ14" s="359"/>
    </row>
    <row r="15" customFormat="false" ht="12.95" hidden="false" customHeight="true" outlineLevel="0" collapsed="false">
      <c r="A15" s="10" t="n">
        <v>1</v>
      </c>
      <c r="B15" s="349" t="n">
        <v>6920.91</v>
      </c>
      <c r="C15" s="94" t="n">
        <v>367524</v>
      </c>
      <c r="D15" s="103" t="n">
        <f aca="false">C15-C13</f>
        <v>1433</v>
      </c>
      <c r="E15" s="94" t="n">
        <f aca="false">C15-152000</f>
        <v>215524</v>
      </c>
      <c r="F15" s="361" t="n">
        <f aca="false">D15/$D$2</f>
        <v>722.460297453995</v>
      </c>
      <c r="G15" s="134" t="n">
        <v>2230</v>
      </c>
      <c r="H15" s="97" t="n">
        <v>61</v>
      </c>
      <c r="I15" s="134" t="n">
        <f aca="false">G15+H15</f>
        <v>2291</v>
      </c>
      <c r="J15" s="362" t="n">
        <f aca="false">IF(L15&gt;0,L15,0)</f>
        <v>421.460297453995</v>
      </c>
      <c r="K15" s="134" t="n">
        <f aca="false">I15+J15</f>
        <v>2712.460297454</v>
      </c>
      <c r="L15" s="134" t="n">
        <f aca="false">F15-(I15-AK15)</f>
        <v>421.460297453995</v>
      </c>
      <c r="M15" s="137" t="n">
        <v>298</v>
      </c>
      <c r="N15" s="155" t="n">
        <f aca="false">(1.8299*1.03)/2</f>
        <v>0.9423985</v>
      </c>
      <c r="O15" s="136" t="n">
        <f aca="false">(34+34)*1.05</f>
        <v>71.4</v>
      </c>
      <c r="P15" s="155" t="n">
        <v>0</v>
      </c>
      <c r="Q15" s="328" t="n">
        <f aca="false">1636100/325851/1.9835*1.02</f>
        <v>2.58201495555045</v>
      </c>
      <c r="R15" s="328" t="n">
        <v>4.2</v>
      </c>
      <c r="S15" s="131" t="n">
        <f aca="false">((4750397/325851/1.9835-T15)*1.04)-4.2</f>
        <v>1.83734646278602</v>
      </c>
      <c r="T15" s="131" t="n">
        <f aca="false">1.4853*1.04</f>
        <v>1.544712</v>
      </c>
      <c r="U15" s="346" t="n">
        <v>0</v>
      </c>
      <c r="V15" s="134" t="n">
        <v>237</v>
      </c>
      <c r="W15" s="134" t="n">
        <v>77</v>
      </c>
      <c r="X15" s="135" t="n">
        <f aca="false">M15-N15-O15-P15-Q15-R15-S15-T15-U15+V15+W15-AT15+AR15</f>
        <v>564.693528081664</v>
      </c>
      <c r="Y15" s="135" t="n">
        <f aca="false">X15-AO15</f>
        <v>559.693528081664</v>
      </c>
      <c r="Z15" s="107" t="n">
        <f aca="false">Z12+AP15-AA15</f>
        <v>20189.5182498418</v>
      </c>
      <c r="AA15" s="135" t="n">
        <f aca="false">AJ15</f>
        <v>1150</v>
      </c>
      <c r="AB15" s="107" t="n">
        <f aca="false">AB12+(Y15+AP15-AA15-AN15)*1.9835</f>
        <v>62027.7987066958</v>
      </c>
      <c r="AC15" s="107" t="n">
        <f aca="false">AC12-(MAY!AQ45/1.9835)</f>
        <v>1476.51277136013</v>
      </c>
      <c r="AD15" s="80"/>
      <c r="AE15" s="134" t="n">
        <v>228</v>
      </c>
      <c r="AF15" s="137" t="n">
        <v>1.7</v>
      </c>
      <c r="AG15" s="138" t="n">
        <v>1.3</v>
      </c>
      <c r="AH15" s="134" t="n">
        <v>1150</v>
      </c>
      <c r="AI15" s="80" t="n">
        <f aca="false">AI13</f>
        <v>13130.2578774893</v>
      </c>
      <c r="AJ15" s="134" t="n">
        <f aca="false">AH15</f>
        <v>1150</v>
      </c>
      <c r="AK15" s="134" t="n">
        <f aca="false">N16+O15+P15+Q15+R15+S15+T15+U15+X15+AE15+AH15-AR15</f>
        <v>1990</v>
      </c>
      <c r="AL15" s="134" t="n">
        <f aca="false">IF(L15&lt;0,L15*-1,0)</f>
        <v>0</v>
      </c>
      <c r="AM15" s="134" t="n">
        <f aca="false">AK15+AL15</f>
        <v>1990</v>
      </c>
      <c r="AN15" s="449" t="n">
        <v>59</v>
      </c>
      <c r="AO15" s="147" t="n">
        <v>5</v>
      </c>
      <c r="AP15" s="147" t="n">
        <f aca="false">795-Y15</f>
        <v>235.306471918336</v>
      </c>
      <c r="AQ15" s="155" t="n">
        <f aca="false">63.14*(Z15*1.9835+AC15*1.9835)/E15</f>
        <v>12.5898485067982</v>
      </c>
      <c r="AR15" s="136" t="n">
        <v>35.2</v>
      </c>
      <c r="AS15" s="144"/>
      <c r="AT15" s="11" t="n">
        <v>0</v>
      </c>
      <c r="AV15" s="102" t="n">
        <v>0</v>
      </c>
      <c r="AW15" s="103" t="n">
        <v>84</v>
      </c>
      <c r="AX15" s="103" t="n">
        <v>54</v>
      </c>
      <c r="AY15" s="286"/>
      <c r="AZ15" s="242" t="n">
        <f aca="false">SUM(N16,P15:U15)</f>
        <v>11.1064719183365</v>
      </c>
    </row>
    <row r="16" customFormat="false" ht="12.95" hidden="false" customHeight="true" outlineLevel="0" collapsed="false">
      <c r="A16" s="10" t="n">
        <f aca="false">A15+1</f>
        <v>2</v>
      </c>
      <c r="B16" s="349" t="n">
        <v>6921.25</v>
      </c>
      <c r="C16" s="94" t="n">
        <v>369009</v>
      </c>
      <c r="D16" s="103" t="n">
        <f aca="false">C16-C15</f>
        <v>1485</v>
      </c>
      <c r="E16" s="94" t="n">
        <f aca="false">C16-152000</f>
        <v>217009</v>
      </c>
      <c r="F16" s="361" t="n">
        <f aca="false">D16/$D$2</f>
        <v>748.676581799849</v>
      </c>
      <c r="G16" s="134" t="n">
        <v>2460</v>
      </c>
      <c r="H16" s="97" t="n">
        <v>55</v>
      </c>
      <c r="I16" s="134" t="n">
        <f aca="false">G16+H16</f>
        <v>2515</v>
      </c>
      <c r="J16" s="362" t="n">
        <f aca="false">IF(L16&gt;0,L16,0)</f>
        <v>244.476581799849</v>
      </c>
      <c r="K16" s="134" t="n">
        <f aca="false">I16+J16</f>
        <v>2759.47658179985</v>
      </c>
      <c r="L16" s="134" t="n">
        <f aca="false">F16-(I16-AK16)</f>
        <v>244.476581799849</v>
      </c>
      <c r="M16" s="137" t="n">
        <v>350</v>
      </c>
      <c r="N16" s="155" t="n">
        <f aca="false">(1.8299*1.03)/2</f>
        <v>0.9423985</v>
      </c>
      <c r="O16" s="363" t="n">
        <f aca="false">(41+41)*1.05</f>
        <v>86.1</v>
      </c>
      <c r="P16" s="155" t="n">
        <v>0</v>
      </c>
      <c r="Q16" s="328" t="n">
        <f aca="false">1387800/325851/1.9835*1.02</f>
        <v>2.19015974287202</v>
      </c>
      <c r="R16" s="328" t="n">
        <v>4.2</v>
      </c>
      <c r="S16" s="131" t="n">
        <f aca="false">((4360992/325851/1.9835-T16)*1.04)-4.2</f>
        <v>1.21075626016599</v>
      </c>
      <c r="T16" s="131" t="n">
        <f aca="false">1.4853*1.04</f>
        <v>1.544712</v>
      </c>
      <c r="U16" s="346" t="n">
        <v>0</v>
      </c>
      <c r="V16" s="134" t="n">
        <v>195</v>
      </c>
      <c r="W16" s="134" t="n">
        <v>80</v>
      </c>
      <c r="X16" s="135" t="n">
        <f aca="false">M16-N16-O16-P16-Q16-R16-S16-T16-U16+V16+W16-AT16+AR16</f>
        <v>527.818973496962</v>
      </c>
      <c r="Y16" s="135" t="n">
        <f aca="false">X16-AO16</f>
        <v>522.818973496962</v>
      </c>
      <c r="Z16" s="107" t="n">
        <f aca="false">Z15+AP16-AA16</f>
        <v>19281.6992763449</v>
      </c>
      <c r="AA16" s="135" t="n">
        <f aca="false">AJ16</f>
        <v>1180</v>
      </c>
      <c r="AB16" s="107" t="n">
        <f aca="false">AB15+(Y16+AP16-AA16-AN16)*1.9835</f>
        <v>61147.1247066958</v>
      </c>
      <c r="AC16" s="107" t="n">
        <f aca="false">AC15-(AQ15/1.9835)</f>
        <v>1470.16548196926</v>
      </c>
      <c r="AD16" s="107"/>
      <c r="AE16" s="134" t="n">
        <v>242</v>
      </c>
      <c r="AF16" s="137" t="n">
        <v>1.7</v>
      </c>
      <c r="AG16" s="138" t="n">
        <v>1.3</v>
      </c>
      <c r="AH16" s="134" t="n">
        <v>1180</v>
      </c>
      <c r="AI16" s="80" t="n">
        <f aca="false">AI15</f>
        <v>13130.2578774893</v>
      </c>
      <c r="AJ16" s="134" t="n">
        <f aca="false">AH16</f>
        <v>1180</v>
      </c>
      <c r="AK16" s="134" t="n">
        <f aca="false">N17+O16+P16+Q16+R16+S16+T16+U16+X16+AE16+AH16-AR16</f>
        <v>2010.8</v>
      </c>
      <c r="AL16" s="134" t="n">
        <f aca="false">IF(L16&lt;0,L16*-1,0)</f>
        <v>0</v>
      </c>
      <c r="AM16" s="134" t="n">
        <f aca="false">AK16+AL16</f>
        <v>2010.8</v>
      </c>
      <c r="AN16" s="449" t="n">
        <v>59</v>
      </c>
      <c r="AO16" s="147" t="n">
        <v>5</v>
      </c>
      <c r="AP16" s="147" t="n">
        <f aca="false">795-Y16</f>
        <v>272.181026503038</v>
      </c>
      <c r="AQ16" s="155" t="n">
        <f aca="false">63.14*(Z16*1.9835+AC16*1.9835)/E16</f>
        <v>11.9761207205971</v>
      </c>
      <c r="AR16" s="136" t="n">
        <v>35.207</v>
      </c>
      <c r="AS16" s="144"/>
      <c r="AT16" s="11" t="n">
        <v>36.2</v>
      </c>
      <c r="AV16" s="102" t="n">
        <v>0</v>
      </c>
      <c r="AW16" s="103" t="n">
        <v>79</v>
      </c>
      <c r="AX16" s="103" t="n">
        <v>45</v>
      </c>
      <c r="AY16" s="286"/>
      <c r="AZ16" s="242" t="n">
        <f aca="false">SUM(N17,P16:U16)</f>
        <v>10.088026503038</v>
      </c>
    </row>
    <row r="17" customFormat="false" ht="12.95" hidden="false" customHeight="true" outlineLevel="0" collapsed="false">
      <c r="A17" s="10" t="n">
        <f aca="false">A16+1</f>
        <v>3</v>
      </c>
      <c r="B17" s="349" t="n">
        <v>6921.6</v>
      </c>
      <c r="C17" s="94" t="n">
        <v>370542</v>
      </c>
      <c r="D17" s="103" t="n">
        <f aca="false">C17-C16</f>
        <v>1533</v>
      </c>
      <c r="E17" s="94" t="n">
        <f aca="false">C17-152000</f>
        <v>218542</v>
      </c>
      <c r="F17" s="361" t="n">
        <f aca="false">D17/$D$2</f>
        <v>772.876228888329</v>
      </c>
      <c r="G17" s="134" t="n">
        <v>2600</v>
      </c>
      <c r="H17" s="97" t="n">
        <v>35</v>
      </c>
      <c r="I17" s="134" t="n">
        <f aca="false">G17+H17</f>
        <v>2635</v>
      </c>
      <c r="J17" s="362" t="n">
        <f aca="false">IF(L17&gt;0,L17,0)</f>
        <v>164.976228888328</v>
      </c>
      <c r="K17" s="134" t="n">
        <f aca="false">I17+J17</f>
        <v>2799.97622888833</v>
      </c>
      <c r="L17" s="134" t="n">
        <f aca="false">F17-(I17-AK17)</f>
        <v>164.976228888328</v>
      </c>
      <c r="M17" s="137" t="n">
        <v>355</v>
      </c>
      <c r="N17" s="155" t="n">
        <f aca="false">(1.8299*1.03)/2</f>
        <v>0.9423985</v>
      </c>
      <c r="O17" s="148" t="n">
        <f aca="false">(41+39)*1.05</f>
        <v>84</v>
      </c>
      <c r="P17" s="83" t="n">
        <v>0</v>
      </c>
      <c r="Q17" s="328" t="n">
        <f aca="false">1709300/325851/1.9835*1.02</f>
        <v>2.6975357029047</v>
      </c>
      <c r="R17" s="328" t="n">
        <v>4.2</v>
      </c>
      <c r="S17" s="131" t="n">
        <f aca="false">((4133243/325851/1.9835-T17)*1.04)-4.2</f>
        <v>0.737640393062821</v>
      </c>
      <c r="T17" s="131" t="n">
        <f aca="false">1.5839*1.04</f>
        <v>1.647256</v>
      </c>
      <c r="U17" s="346" t="n">
        <v>0</v>
      </c>
      <c r="V17" s="134" t="n">
        <v>146</v>
      </c>
      <c r="W17" s="134" t="n">
        <v>80</v>
      </c>
      <c r="X17" s="135" t="n">
        <f aca="false">M17-N17-O17-P17-Q17-R17-S17-T17-U17+V17+W17-AT17+AR17</f>
        <v>470.082169404033</v>
      </c>
      <c r="Y17" s="135" t="n">
        <f aca="false">X17-AO17</f>
        <v>465.082169404032</v>
      </c>
      <c r="Z17" s="107" t="n">
        <f aca="false">Z16+AP17-AA17</f>
        <v>18341.6171069408</v>
      </c>
      <c r="AA17" s="135" t="n">
        <f aca="false">AJ17</f>
        <v>1270</v>
      </c>
      <c r="AB17" s="107" t="n">
        <f aca="false">AB16+(Y17+AP17-AA17-AN17)*1.9835</f>
        <v>60090.9902966958</v>
      </c>
      <c r="AC17" s="107" t="n">
        <f aca="false">AC16-(AQ16/1.9835)</f>
        <v>1464.12760915827</v>
      </c>
      <c r="AD17" s="107"/>
      <c r="AE17" s="134" t="n">
        <v>228</v>
      </c>
      <c r="AF17" s="137" t="n">
        <v>1.7</v>
      </c>
      <c r="AG17" s="138" t="n">
        <v>1.3</v>
      </c>
      <c r="AH17" s="134" t="n">
        <v>1270</v>
      </c>
      <c r="AI17" s="80" t="n">
        <f aca="false">AI16</f>
        <v>13130.2578774893</v>
      </c>
      <c r="AJ17" s="134" t="n">
        <f aca="false">AH17</f>
        <v>1270</v>
      </c>
      <c r="AK17" s="134" t="n">
        <f aca="false">N18+O17+P17+Q17+R17+S17+T17+U17+X17+AE17+AH17-AR17</f>
        <v>2027.1</v>
      </c>
      <c r="AL17" s="134" t="n">
        <f aca="false">IF(L17&lt;0,L17*-1,0)</f>
        <v>0</v>
      </c>
      <c r="AM17" s="134" t="n">
        <f aca="false">AK17+AL17</f>
        <v>2027.1</v>
      </c>
      <c r="AN17" s="449" t="n">
        <v>57.46</v>
      </c>
      <c r="AO17" s="147" t="n">
        <v>5</v>
      </c>
      <c r="AP17" s="147" t="n">
        <f aca="false">795-Y17</f>
        <v>329.917830595968</v>
      </c>
      <c r="AQ17" s="155" t="n">
        <f aca="false">63.14*(Z17*1.9835+AC17*1.9835)/E17</f>
        <v>11.3499264207627</v>
      </c>
      <c r="AR17" s="136" t="n">
        <v>35.207</v>
      </c>
      <c r="AS17" s="144"/>
      <c r="AT17" s="11" t="n">
        <v>51.9</v>
      </c>
      <c r="AU17" s="0"/>
      <c r="AV17" s="102" t="n">
        <v>0</v>
      </c>
      <c r="AW17" s="103" t="n">
        <v>78</v>
      </c>
      <c r="AX17" s="103" t="n">
        <v>39</v>
      </c>
      <c r="AY17" s="286"/>
      <c r="AZ17" s="242" t="n">
        <f aca="false">SUM(N17,P17:U17)</f>
        <v>10.2248305959675</v>
      </c>
    </row>
    <row r="18" customFormat="false" ht="12.95" hidden="false" customHeight="true" outlineLevel="0" collapsed="false">
      <c r="A18" s="10" t="n">
        <f aca="false">A17+1</f>
        <v>4</v>
      </c>
      <c r="B18" s="349" t="n">
        <v>6921.7</v>
      </c>
      <c r="C18" s="94" t="n">
        <v>370980</v>
      </c>
      <c r="D18" s="103" t="n">
        <f aca="false">C18-C17</f>
        <v>438</v>
      </c>
      <c r="E18" s="94" t="n">
        <f aca="false">C18-152000</f>
        <v>218980</v>
      </c>
      <c r="F18" s="361" t="n">
        <f aca="false">D18/$D$2</f>
        <v>220.82177968238</v>
      </c>
      <c r="G18" s="134" t="n">
        <v>2300</v>
      </c>
      <c r="H18" s="97" t="n">
        <v>7.7</v>
      </c>
      <c r="I18" s="134" t="n">
        <f aca="false">G18+H18</f>
        <v>2307.7</v>
      </c>
      <c r="J18" s="362" t="n">
        <f aca="false">IF(L18&gt;0,L18,0)</f>
        <v>191.82177968238</v>
      </c>
      <c r="K18" s="134" t="n">
        <f aca="false">I18+J18</f>
        <v>2499.52177968238</v>
      </c>
      <c r="L18" s="134" t="n">
        <f aca="false">F18-(I18-AK18)</f>
        <v>191.82177968238</v>
      </c>
      <c r="M18" s="137" t="n">
        <v>367</v>
      </c>
      <c r="N18" s="155" t="n">
        <f aca="false">(1.8299*1.03)/2</f>
        <v>0.9423985</v>
      </c>
      <c r="O18" s="148" t="n">
        <f aca="false">(46+42)*1.05</f>
        <v>92.4</v>
      </c>
      <c r="P18" s="83" t="n">
        <v>0</v>
      </c>
      <c r="Q18" s="328" t="n">
        <f aca="false">1717700/325851/1.9835*1.02</f>
        <v>2.71079218210929</v>
      </c>
      <c r="R18" s="328" t="n">
        <v>4.2</v>
      </c>
      <c r="S18" s="131" t="n">
        <f aca="false">((4143522/325851/1.9835-T18)*1.04)-4.2</f>
        <v>0.754180295459379</v>
      </c>
      <c r="T18" s="131" t="n">
        <f aca="false">1.5839*1.04</f>
        <v>1.647256</v>
      </c>
      <c r="U18" s="346" t="n">
        <v>0</v>
      </c>
      <c r="V18" s="134" t="n">
        <v>151</v>
      </c>
      <c r="W18" s="134" t="n">
        <v>77</v>
      </c>
      <c r="X18" s="135" t="n">
        <f aca="false">M18-N18-O18-P18-Q18-R18-S18-T18-U18+V18+W18-AT18+AR18</f>
        <v>477.252373022431</v>
      </c>
      <c r="Y18" s="135" t="n">
        <f aca="false">X18-AO18</f>
        <v>472.252373022431</v>
      </c>
      <c r="Z18" s="107" t="n">
        <f aca="false">Z17+AP18-AA18</f>
        <v>17204.3647339184</v>
      </c>
      <c r="AA18" s="135" t="n">
        <f aca="false">AJ18</f>
        <v>1460</v>
      </c>
      <c r="AB18" s="107" t="n">
        <f aca="false">AB17+(Y18+AP18-AA18-AN18)*1.9835</f>
        <v>58771.9627966958</v>
      </c>
      <c r="AC18" s="107" t="n">
        <f aca="false">AC17-(AQ17/1.9835)</f>
        <v>1458.40543803613</v>
      </c>
      <c r="AD18" s="107"/>
      <c r="AE18" s="134" t="n">
        <v>274</v>
      </c>
      <c r="AF18" s="137" t="n">
        <v>1.7</v>
      </c>
      <c r="AG18" s="138" t="n">
        <v>1.3</v>
      </c>
      <c r="AH18" s="134" t="n">
        <v>1460</v>
      </c>
      <c r="AI18" s="80" t="n">
        <f aca="false">AI17</f>
        <v>13130.2578774893</v>
      </c>
      <c r="AJ18" s="134" t="n">
        <f aca="false">AH18</f>
        <v>1460</v>
      </c>
      <c r="AK18" s="134" t="n">
        <f aca="false">N19+O18+P18+Q18+R18+S18+T18+U18+X18+AE18+AH18-AR18</f>
        <v>2278.7</v>
      </c>
      <c r="AL18" s="134" t="n">
        <f aca="false">IF(L18&lt;0,L18*-1,0)</f>
        <v>0</v>
      </c>
      <c r="AM18" s="134" t="n">
        <f aca="false">AK18+AL18</f>
        <v>2278.7</v>
      </c>
      <c r="AN18" s="449"/>
      <c r="AO18" s="147" t="n">
        <v>5</v>
      </c>
      <c r="AP18" s="147" t="n">
        <f aca="false">795-Y18</f>
        <v>322.747626977569</v>
      </c>
      <c r="AQ18" s="155" t="n">
        <f aca="false">63.14*(Z18*1.9835+AC18*1.9835)/E18</f>
        <v>10.6735389383577</v>
      </c>
      <c r="AR18" s="136" t="n">
        <v>35.207</v>
      </c>
      <c r="AS18" s="144"/>
      <c r="AT18" s="11" t="n">
        <v>50.3</v>
      </c>
      <c r="AV18" s="102" t="n">
        <v>0</v>
      </c>
      <c r="AW18" s="103" t="n">
        <v>84</v>
      </c>
      <c r="AX18" s="103" t="n">
        <v>46</v>
      </c>
      <c r="AY18" s="286"/>
      <c r="AZ18" s="242" t="n">
        <f aca="false">SUM(N18,P18:U18)</f>
        <v>10.2546269775687</v>
      </c>
    </row>
    <row r="19" customFormat="false" ht="12.95" hidden="false" customHeight="true" outlineLevel="0" collapsed="false">
      <c r="A19" s="10" t="n">
        <f aca="false">A18+1</f>
        <v>5</v>
      </c>
      <c r="B19" s="349" t="n">
        <v>6922.04</v>
      </c>
      <c r="C19" s="94" t="n">
        <v>372470</v>
      </c>
      <c r="D19" s="103" t="n">
        <f aca="false">C19-C18</f>
        <v>1490</v>
      </c>
      <c r="E19" s="94" t="n">
        <f aca="false">C19-152000</f>
        <v>220470</v>
      </c>
      <c r="F19" s="361" t="n">
        <f aca="false">D19/$D$2</f>
        <v>751.197378371565</v>
      </c>
      <c r="G19" s="134" t="n">
        <v>2510</v>
      </c>
      <c r="H19" s="97" t="n">
        <v>6.2</v>
      </c>
      <c r="I19" s="134" t="n">
        <f aca="false">G19+H19</f>
        <v>2516.2</v>
      </c>
      <c r="J19" s="362" t="n">
        <f aca="false">IF(L19&gt;0,L19,0)</f>
        <v>458.797378371566</v>
      </c>
      <c r="K19" s="134" t="n">
        <f aca="false">I19+J19</f>
        <v>2974.99737837157</v>
      </c>
      <c r="L19" s="134" t="n">
        <f aca="false">F19-(I19-AK19)</f>
        <v>458.797378371566</v>
      </c>
      <c r="M19" s="137" t="n">
        <v>361</v>
      </c>
      <c r="N19" s="155" t="n">
        <f aca="false">(1.8299*1.03)/2</f>
        <v>0.9423985</v>
      </c>
      <c r="O19" s="148" t="n">
        <f aca="false">(41+40)*1.05</f>
        <v>85.05</v>
      </c>
      <c r="P19" s="83" t="n">
        <v>0</v>
      </c>
      <c r="Q19" s="328" t="n">
        <f aca="false">1988200/325851/1.9835*1.02</f>
        <v>3.13768237554269</v>
      </c>
      <c r="R19" s="328" t="n">
        <v>4.2</v>
      </c>
      <c r="S19" s="131" t="n">
        <f aca="false">((4580759/325851/1.9835-T19)*1.04)-4.2</f>
        <v>1.45773679941535</v>
      </c>
      <c r="T19" s="131" t="n">
        <f aca="false">1.5839*1.04</f>
        <v>1.647256</v>
      </c>
      <c r="U19" s="346" t="n">
        <v>0</v>
      </c>
      <c r="V19" s="134" t="n">
        <v>158</v>
      </c>
      <c r="W19" s="134" t="n">
        <v>77</v>
      </c>
      <c r="X19" s="135" t="n">
        <f aca="false">M19-N19-O19-P19-Q19-R19-S19-T19-U19+V19+W19-AT19+AR19</f>
        <v>483.571926325042</v>
      </c>
      <c r="Y19" s="135" t="n">
        <f aca="false">X19-AO19</f>
        <v>478.571926325042</v>
      </c>
      <c r="Z19" s="107" t="n">
        <f aca="false">Z18+AP19-AA19</f>
        <v>16060.7928075934</v>
      </c>
      <c r="AA19" s="135" t="n">
        <f aca="false">AJ19</f>
        <v>1460</v>
      </c>
      <c r="AB19" s="107" t="n">
        <f aca="false">AB18+(Y19+AP19-AA19-AN19)*1.9835</f>
        <v>57452.9352966958</v>
      </c>
      <c r="AC19" s="107" t="n">
        <f aca="false">AC18-(AQ18/1.9835)</f>
        <v>1453.02427396335</v>
      </c>
      <c r="AD19" s="107"/>
      <c r="AE19" s="134" t="n">
        <v>219</v>
      </c>
      <c r="AF19" s="137" t="n">
        <v>1.7</v>
      </c>
      <c r="AG19" s="138" t="n">
        <v>1.3</v>
      </c>
      <c r="AH19" s="134" t="n">
        <v>1460</v>
      </c>
      <c r="AI19" s="80" t="n">
        <f aca="false">AI18</f>
        <v>13130.2578774893</v>
      </c>
      <c r="AJ19" s="134" t="n">
        <f aca="false">AH19</f>
        <v>1460</v>
      </c>
      <c r="AK19" s="134" t="n">
        <f aca="false">N20+O19+P19+Q19+R19+S19+T19+U19+X19+AE19+AH19-AR19</f>
        <v>2223.8</v>
      </c>
      <c r="AL19" s="134" t="n">
        <f aca="false">IF(L19&lt;0,L19*-1,0)</f>
        <v>0</v>
      </c>
      <c r="AM19" s="134" t="n">
        <f aca="false">AK19+AL19</f>
        <v>2223.8</v>
      </c>
      <c r="AN19" s="449"/>
      <c r="AO19" s="147" t="n">
        <v>5</v>
      </c>
      <c r="AP19" s="147" t="n">
        <f aca="false">795-Y19</f>
        <v>316.428073674958</v>
      </c>
      <c r="AQ19" s="155" t="n">
        <f aca="false">63.14*(Z19*1.9835+AC19*1.9835)/E19</f>
        <v>9.94874019723883</v>
      </c>
      <c r="AR19" s="136" t="n">
        <v>35.207</v>
      </c>
      <c r="AS19" s="144"/>
      <c r="AT19" s="11" t="n">
        <v>51.2</v>
      </c>
      <c r="AV19" s="102" t="n">
        <v>0</v>
      </c>
      <c r="AW19" s="103" t="n">
        <v>87</v>
      </c>
      <c r="AX19" s="103" t="n">
        <v>49</v>
      </c>
      <c r="AY19" s="286"/>
      <c r="AZ19" s="242" t="n">
        <f aca="false">SUM(N19,P19:U19)</f>
        <v>11.385073674958</v>
      </c>
    </row>
    <row r="20" customFormat="false" ht="12.95" hidden="false" customHeight="true" outlineLevel="0" collapsed="false">
      <c r="A20" s="10" t="n">
        <f aca="false">A19+1</f>
        <v>6</v>
      </c>
      <c r="B20" s="349" t="n">
        <v>6922.45</v>
      </c>
      <c r="C20" s="94" t="n">
        <v>374280</v>
      </c>
      <c r="D20" s="103" t="n">
        <f aca="false">C20-C19</f>
        <v>1810</v>
      </c>
      <c r="E20" s="94" t="n">
        <f aca="false">C20-152000</f>
        <v>222280</v>
      </c>
      <c r="F20" s="361" t="n">
        <f aca="false">D20/$D$2</f>
        <v>912.528358961432</v>
      </c>
      <c r="G20" s="134" t="n">
        <v>2800</v>
      </c>
      <c r="H20" s="97" t="n">
        <v>5.8</v>
      </c>
      <c r="I20" s="134" t="n">
        <f aca="false">G20+H20</f>
        <v>2805.8</v>
      </c>
      <c r="J20" s="362" t="n">
        <f aca="false">IF(L20&gt;0,L20,0)</f>
        <v>206.328358961431</v>
      </c>
      <c r="K20" s="134" t="n">
        <f aca="false">I20+J20</f>
        <v>3012.12835896143</v>
      </c>
      <c r="L20" s="134" t="n">
        <f aca="false">F20-(I20-AK20)</f>
        <v>206.328358961431</v>
      </c>
      <c r="M20" s="137" t="n">
        <v>360</v>
      </c>
      <c r="N20" s="155" t="n">
        <f aca="false">(1.8299*1.03)/2</f>
        <v>0.9423985</v>
      </c>
      <c r="O20" s="148" t="n">
        <f aca="false">(40+40)*1.05</f>
        <v>84</v>
      </c>
      <c r="P20" s="83" t="n">
        <v>0</v>
      </c>
      <c r="Q20" s="328" t="n">
        <f aca="false">1739100/325851/1.9835*1.02</f>
        <v>2.74456464103526</v>
      </c>
      <c r="R20" s="328" t="n">
        <v>4.2</v>
      </c>
      <c r="S20" s="131" t="n">
        <f aca="false">((4982547/325851/1.9835-T20)*1.04)-4.2</f>
        <v>2.10425244336008</v>
      </c>
      <c r="T20" s="131" t="n">
        <f aca="false">1.5839*1.04</f>
        <v>1.647256</v>
      </c>
      <c r="U20" s="346" t="n">
        <v>0</v>
      </c>
      <c r="V20" s="134" t="n">
        <v>183</v>
      </c>
      <c r="W20" s="134" t="n">
        <v>77</v>
      </c>
      <c r="X20" s="135" t="n">
        <f aca="false">M20-N20-O20-P20-Q20-R20-S20-T20-U20+V20+W20-AT20+AR20</f>
        <v>508.168528415605</v>
      </c>
      <c r="Y20" s="135" t="n">
        <f aca="false">X20-AO20</f>
        <v>503.168528415605</v>
      </c>
      <c r="Z20" s="107" t="n">
        <f aca="false">Z19+AP20-AA20</f>
        <v>15082.6242791778</v>
      </c>
      <c r="AA20" s="135" t="n">
        <f aca="false">AJ20</f>
        <v>1270</v>
      </c>
      <c r="AB20" s="107" t="n">
        <f aca="false">AB19+(Y20+AP20-AA20-AN20)*1.9835</f>
        <v>56510.7727966958</v>
      </c>
      <c r="AC20" s="107" t="n">
        <f aca="false">AC19-(AQ19/1.9835)</f>
        <v>1448.00852392693</v>
      </c>
      <c r="AD20" s="107"/>
      <c r="AE20" s="134" t="n">
        <v>261</v>
      </c>
      <c r="AF20" s="137" t="n">
        <v>1.7</v>
      </c>
      <c r="AG20" s="138" t="n">
        <v>1.3</v>
      </c>
      <c r="AH20" s="134" t="n">
        <v>1270</v>
      </c>
      <c r="AI20" s="80" t="n">
        <f aca="false">AI19</f>
        <v>13130.2578774893</v>
      </c>
      <c r="AJ20" s="134" t="n">
        <f aca="false">AH20</f>
        <v>1270</v>
      </c>
      <c r="AK20" s="134" t="n">
        <f aca="false">N21+O20+P20+Q20+R20+S20+T20+U20+X20+AE20+AH20-AR20</f>
        <v>2099.6</v>
      </c>
      <c r="AL20" s="134" t="n">
        <f aca="false">IF(L20&lt;0,L20*-1,0)</f>
        <v>0</v>
      </c>
      <c r="AM20" s="134" t="n">
        <f aca="false">AK20+AL20</f>
        <v>2099.6</v>
      </c>
      <c r="AN20" s="449"/>
      <c r="AO20" s="147" t="n">
        <v>5</v>
      </c>
      <c r="AP20" s="147" t="n">
        <f aca="false">795-Y20</f>
        <v>291.831471584395</v>
      </c>
      <c r="AQ20" s="155" t="n">
        <f aca="false">63.14*(Z20*1.9835+AC20*1.9835)/E20</f>
        <v>9.31377781093871</v>
      </c>
      <c r="AR20" s="136" t="n">
        <v>35.207</v>
      </c>
      <c r="AS20" s="144"/>
      <c r="AT20" s="11" t="n">
        <v>51.4</v>
      </c>
      <c r="AV20" s="102" t="n">
        <v>0</v>
      </c>
      <c r="AW20" s="103" t="n">
        <v>87</v>
      </c>
      <c r="AX20" s="103" t="n">
        <v>49</v>
      </c>
      <c r="AY20" s="286"/>
      <c r="AZ20" s="242" t="n">
        <f aca="false">SUM(N20,P20:U20)</f>
        <v>11.6384715843953</v>
      </c>
    </row>
    <row r="21" customFormat="false" ht="12.95" hidden="false" customHeight="true" outlineLevel="0" collapsed="false">
      <c r="A21" s="10" t="n">
        <f aca="false">A20+1</f>
        <v>7</v>
      </c>
      <c r="B21" s="349" t="n">
        <v>6923</v>
      </c>
      <c r="C21" s="94" t="n">
        <v>376709</v>
      </c>
      <c r="D21" s="103" t="n">
        <f aca="false">C21-C20</f>
        <v>2429</v>
      </c>
      <c r="E21" s="94" t="n">
        <f aca="false">C21-152000</f>
        <v>224709</v>
      </c>
      <c r="F21" s="361" t="n">
        <f aca="false">D21/$D$2</f>
        <v>1224.60297453995</v>
      </c>
      <c r="G21" s="134" t="n">
        <v>2970</v>
      </c>
      <c r="H21" s="97" t="n">
        <v>4.9</v>
      </c>
      <c r="I21" s="134" t="n">
        <f aca="false">G21+H21</f>
        <v>2974.9</v>
      </c>
      <c r="J21" s="362" t="n">
        <f aca="false">IF(L21&gt;0,L21,0)</f>
        <v>145.202974539954</v>
      </c>
      <c r="K21" s="134" t="n">
        <f aca="false">I21+J21</f>
        <v>3120.10297453995</v>
      </c>
      <c r="L21" s="134" t="n">
        <f aca="false">F21-(I21-AK21)</f>
        <v>145.202974539954</v>
      </c>
      <c r="M21" s="137" t="n">
        <v>310</v>
      </c>
      <c r="N21" s="155" t="n">
        <f aca="false">(1.8299*1.03)/2</f>
        <v>0.9423985</v>
      </c>
      <c r="O21" s="148" t="n">
        <f aca="false">(33+32)*1.05</f>
        <v>68.25</v>
      </c>
      <c r="P21" s="83" t="n">
        <v>0</v>
      </c>
      <c r="Q21" s="328" t="n">
        <f aca="false">2036400/325851/1.9835*1.02</f>
        <v>3.21374931574044</v>
      </c>
      <c r="R21" s="328" t="n">
        <v>4.2</v>
      </c>
      <c r="S21" s="131" t="n">
        <f aca="false">((4826717/325851/1.9835-T21)*1.04)-4.2</f>
        <v>1.85350694375355</v>
      </c>
      <c r="T21" s="131" t="n">
        <f aca="false">1.5839*1.04</f>
        <v>1.647256</v>
      </c>
      <c r="U21" s="346" t="n">
        <v>0</v>
      </c>
      <c r="V21" s="134" t="n">
        <v>211</v>
      </c>
      <c r="W21" s="134" t="n">
        <v>76</v>
      </c>
      <c r="X21" s="135" t="n">
        <f aca="false">M21-N21-O21-P21-Q21-R21-S21-T21-U21+V21+W21-AT21+AR21</f>
        <v>533.600089240506</v>
      </c>
      <c r="Y21" s="135" t="n">
        <f aca="false">X21-AO21</f>
        <v>528.600089240506</v>
      </c>
      <c r="Z21" s="107" t="n">
        <f aca="false">Z20+AP21-AA21</f>
        <v>14289.0241899373</v>
      </c>
      <c r="AA21" s="135" t="n">
        <f aca="false">AJ21</f>
        <v>1060</v>
      </c>
      <c r="AB21" s="107" t="n">
        <f aca="false">AB20+(Y21+AP21-AA21-AN21)*1.9835</f>
        <v>55985.1452966958</v>
      </c>
      <c r="AC21" s="107" t="n">
        <f aca="false">AC20-(AQ20/1.9835)</f>
        <v>1443.31289609182</v>
      </c>
      <c r="AD21" s="107"/>
      <c r="AE21" s="134" t="n">
        <v>257</v>
      </c>
      <c r="AF21" s="137" t="n">
        <v>1.7</v>
      </c>
      <c r="AG21" s="138" t="n">
        <v>1.3</v>
      </c>
      <c r="AH21" s="134" t="n">
        <v>1060</v>
      </c>
      <c r="AI21" s="80" t="n">
        <f aca="false">AI20</f>
        <v>13130.2578774893</v>
      </c>
      <c r="AJ21" s="134" t="n">
        <f aca="false">AH21</f>
        <v>1060</v>
      </c>
      <c r="AK21" s="134" t="n">
        <f aca="false">N22+O21+P21+Q21+R21+S21+T21+U21+X21+AE21+AH21-AR21</f>
        <v>1895.5</v>
      </c>
      <c r="AL21" s="134" t="n">
        <f aca="false">IF(L21&lt;0,L21*-1,0)</f>
        <v>0</v>
      </c>
      <c r="AM21" s="134" t="n">
        <f aca="false">AK21+AL21</f>
        <v>1895.5</v>
      </c>
      <c r="AN21" s="449"/>
      <c r="AO21" s="147" t="n">
        <v>5</v>
      </c>
      <c r="AP21" s="147" t="n">
        <f aca="false">795-Y21</f>
        <v>266.399910759494</v>
      </c>
      <c r="AQ21" s="155" t="n">
        <f aca="false">63.14*(Z21*1.9835+AC21*1.9835)/E21</f>
        <v>8.76818205378581</v>
      </c>
      <c r="AR21" s="136" t="n">
        <v>35.207</v>
      </c>
      <c r="AS21" s="144"/>
      <c r="AT21" s="11" t="n">
        <v>18.5</v>
      </c>
      <c r="AV21" s="102" t="n">
        <v>0</v>
      </c>
      <c r="AW21" s="103" t="n">
        <v>84</v>
      </c>
      <c r="AX21" s="103" t="n">
        <v>41</v>
      </c>
      <c r="AY21" s="286"/>
      <c r="AZ21" s="242" t="n">
        <f aca="false">SUM(N21,P21:U21)</f>
        <v>11.856910759494</v>
      </c>
    </row>
    <row r="22" customFormat="false" ht="12.95" hidden="false" customHeight="true" outlineLevel="0" collapsed="false">
      <c r="A22" s="10" t="n">
        <f aca="false">A21+1</f>
        <v>8</v>
      </c>
      <c r="B22" s="349" t="n">
        <v>6923.47</v>
      </c>
      <c r="C22" s="94" t="n">
        <v>378801</v>
      </c>
      <c r="D22" s="103" t="n">
        <f aca="false">C22-C21</f>
        <v>2092</v>
      </c>
      <c r="E22" s="94" t="n">
        <f aca="false">C22-152000</f>
        <v>226801</v>
      </c>
      <c r="F22" s="361" t="n">
        <f aca="false">D22/$D$2</f>
        <v>1054.70128560625</v>
      </c>
      <c r="G22" s="134" t="n">
        <v>2480</v>
      </c>
      <c r="H22" s="97" t="n">
        <v>4.2</v>
      </c>
      <c r="I22" s="134" t="n">
        <f aca="false">G22+H22</f>
        <v>2484.2</v>
      </c>
      <c r="J22" s="362" t="n">
        <f aca="false">IF(L22&gt;0,L22,0)</f>
        <v>346.501285606251</v>
      </c>
      <c r="K22" s="134" t="n">
        <f aca="false">I22+J22</f>
        <v>2830.70128560625</v>
      </c>
      <c r="L22" s="134" t="n">
        <f aca="false">F22-(I22-AK22)</f>
        <v>346.501285606251</v>
      </c>
      <c r="M22" s="137" t="n">
        <v>307</v>
      </c>
      <c r="N22" s="155" t="n">
        <f aca="false">(1.8299*1.03)/2</f>
        <v>0.9423985</v>
      </c>
      <c r="O22" s="148" t="n">
        <f aca="false">(40+39)*1.05</f>
        <v>82.95</v>
      </c>
      <c r="P22" s="83" t="n">
        <v>0</v>
      </c>
      <c r="Q22" s="328" t="n">
        <f aca="false">1693800/325851/1.9835*1.02</f>
        <v>2.67307434246767</v>
      </c>
      <c r="R22" s="328" t="n">
        <v>4.2</v>
      </c>
      <c r="S22" s="131" t="n">
        <f aca="false">((4503108/325851/1.9835-T22)*1.04)-4.2</f>
        <v>1.33278885107455</v>
      </c>
      <c r="T22" s="131" t="n">
        <f aca="false">1.5839*1.04</f>
        <v>1.647256</v>
      </c>
      <c r="U22" s="346" t="n">
        <v>0</v>
      </c>
      <c r="V22" s="134" t="n">
        <v>220</v>
      </c>
      <c r="W22" s="134" t="n">
        <v>74</v>
      </c>
      <c r="X22" s="135" t="n">
        <f aca="false">M22-N22-O22-P22-Q22-R22-S22-T22-U22+V22+W22-AT22+AR22</f>
        <v>542.461482306458</v>
      </c>
      <c r="Y22" s="135" t="n">
        <f aca="false">X22-AO22</f>
        <v>537.461482306458</v>
      </c>
      <c r="Z22" s="107" t="n">
        <f aca="false">Z21+AP22-AA22</f>
        <v>13635.5627076308</v>
      </c>
      <c r="AA22" s="135" t="n">
        <f aca="false">AJ22</f>
        <v>911</v>
      </c>
      <c r="AB22" s="107" t="n">
        <f aca="false">AB21+(Y22+AP22-AA22-AN22)*1.9835</f>
        <v>55755.0592966958</v>
      </c>
      <c r="AC22" s="107" t="n">
        <f aca="false">AC21-(AQ21/1.9835)</f>
        <v>1438.89233543955</v>
      </c>
      <c r="AD22" s="107"/>
      <c r="AE22" s="134" t="n">
        <v>264</v>
      </c>
      <c r="AF22" s="137" t="n">
        <v>1.7</v>
      </c>
      <c r="AG22" s="138" t="n">
        <v>1.3</v>
      </c>
      <c r="AH22" s="134" t="n">
        <v>911</v>
      </c>
      <c r="AI22" s="80" t="n">
        <f aca="false">AI21</f>
        <v>13130.2578774893</v>
      </c>
      <c r="AJ22" s="134" t="n">
        <f aca="false">AH22</f>
        <v>911</v>
      </c>
      <c r="AK22" s="134" t="n">
        <f aca="false">N23+O22+P22+Q22+R22+S22+T22+U22+X22+AE22+AH22-AR22</f>
        <v>1776</v>
      </c>
      <c r="AL22" s="134" t="n">
        <f aca="false">IF(L22&lt;0,L22*-1,0)</f>
        <v>0</v>
      </c>
      <c r="AM22" s="134" t="n">
        <f aca="false">AK22+AL22</f>
        <v>1776</v>
      </c>
      <c r="AN22" s="449"/>
      <c r="AO22" s="147" t="n">
        <v>5</v>
      </c>
      <c r="AP22" s="147" t="n">
        <f aca="false">795-Y22</f>
        <v>257.538517693542</v>
      </c>
      <c r="AQ22" s="155" t="n">
        <f aca="false">63.14*(Z22*1.9835+AC22*1.9835)/E22</f>
        <v>8.32402619402252</v>
      </c>
      <c r="AR22" s="136" t="n">
        <v>35.207</v>
      </c>
      <c r="AS22" s="144"/>
      <c r="AT22" s="11" t="n">
        <v>0</v>
      </c>
      <c r="AV22" s="102" t="n">
        <v>0</v>
      </c>
      <c r="AW22" s="103" t="n">
        <v>82</v>
      </c>
      <c r="AX22" s="103" t="n">
        <v>42</v>
      </c>
      <c r="AY22" s="286"/>
      <c r="AZ22" s="242" t="n">
        <f aca="false">SUM(N22,P22:U22)</f>
        <v>10.7955176935422</v>
      </c>
    </row>
    <row r="23" customFormat="false" ht="12.95" hidden="false" customHeight="true" outlineLevel="0" collapsed="false">
      <c r="A23" s="10" t="n">
        <f aca="false">A22+1</f>
        <v>9</v>
      </c>
      <c r="B23" s="349" t="n">
        <v>6923.78</v>
      </c>
      <c r="C23" s="94" t="n">
        <v>380181</v>
      </c>
      <c r="D23" s="103" t="n">
        <f aca="false">C23-C22</f>
        <v>1380</v>
      </c>
      <c r="E23" s="94" t="n">
        <f aca="false">C23-152000</f>
        <v>228181</v>
      </c>
      <c r="F23" s="361" t="n">
        <f aca="false">D23/$D$2</f>
        <v>695.739853793799</v>
      </c>
      <c r="G23" s="134" t="n">
        <v>2150</v>
      </c>
      <c r="H23" s="97" t="n">
        <v>3.2</v>
      </c>
      <c r="I23" s="134" t="n">
        <f aca="false">G23+H23</f>
        <v>2153.2</v>
      </c>
      <c r="J23" s="362" t="n">
        <f aca="false">IF(L23&gt;0,L23,0)</f>
        <v>253.539853793799</v>
      </c>
      <c r="K23" s="134" t="n">
        <f aca="false">I23+J23</f>
        <v>2406.7398537938</v>
      </c>
      <c r="L23" s="134" t="n">
        <f aca="false">F23-(I23-AK23)</f>
        <v>253.539853793799</v>
      </c>
      <c r="M23" s="137" t="n">
        <v>317</v>
      </c>
      <c r="N23" s="155" t="n">
        <f aca="false">(1.8299*1.03)/2</f>
        <v>0.9423985</v>
      </c>
      <c r="O23" s="148" t="n">
        <f aca="false">(39+38)*1.05</f>
        <v>80.85</v>
      </c>
      <c r="P23" s="83" t="n">
        <v>0</v>
      </c>
      <c r="Q23" s="328" t="n">
        <f aca="false">1913700/325851/1.9835*1.02</f>
        <v>3.0201100302163</v>
      </c>
      <c r="R23" s="328" t="n">
        <v>4.2</v>
      </c>
      <c r="S23" s="131" t="n">
        <f aca="false">((4846189/325851/1.9835-T23)*1.04)-4.2</f>
        <v>1.88483926980334</v>
      </c>
      <c r="T23" s="131" t="n">
        <f aca="false">1.5839*1.04</f>
        <v>1.647256</v>
      </c>
      <c r="U23" s="346" t="n">
        <v>0</v>
      </c>
      <c r="V23" s="134" t="n">
        <v>209</v>
      </c>
      <c r="W23" s="134" t="n">
        <v>73</v>
      </c>
      <c r="X23" s="135" t="n">
        <f aca="false">M23-N23-O23-P23-Q23-R23-S23-T23-U23+V23+W23-AT23+AR23</f>
        <v>541.66239619998</v>
      </c>
      <c r="Y23" s="135" t="n">
        <f aca="false">X23-AO23</f>
        <v>536.66239619998</v>
      </c>
      <c r="Z23" s="107" t="n">
        <f aca="false">Z22+AP23-AA23</f>
        <v>13062.9003114308</v>
      </c>
      <c r="AA23" s="135" t="n">
        <f aca="false">AJ23</f>
        <v>831</v>
      </c>
      <c r="AB23" s="107" t="n">
        <f aca="false">AB22+(Y23+AP23-AA23-AN23)*1.9835</f>
        <v>55683.6532966958</v>
      </c>
      <c r="AC23" s="107" t="n">
        <f aca="false">AC22-(AQ22/1.9835)</f>
        <v>1434.69570010099</v>
      </c>
      <c r="AD23" s="107"/>
      <c r="AE23" s="134" t="n">
        <v>281</v>
      </c>
      <c r="AF23" s="137" t="n">
        <v>1.7</v>
      </c>
      <c r="AG23" s="138" t="n">
        <v>1.3</v>
      </c>
      <c r="AH23" s="134" t="n">
        <v>831</v>
      </c>
      <c r="AI23" s="80" t="n">
        <f aca="false">AI22</f>
        <v>13130.2578774893</v>
      </c>
      <c r="AJ23" s="134" t="n">
        <f aca="false">AH23</f>
        <v>831</v>
      </c>
      <c r="AK23" s="134" t="n">
        <f aca="false">N24+O23+P23+Q23+R23+S23+T23+U23+X23+AE23+AH23-AR23</f>
        <v>1711</v>
      </c>
      <c r="AL23" s="134" t="n">
        <f aca="false">IF(L23&lt;0,L23*-1,0)</f>
        <v>0</v>
      </c>
      <c r="AM23" s="134" t="n">
        <f aca="false">AK23+AL23</f>
        <v>1711</v>
      </c>
      <c r="AN23" s="449"/>
      <c r="AO23" s="147" t="n">
        <v>5</v>
      </c>
      <c r="AP23" s="147" t="n">
        <f aca="false">795-Y23</f>
        <v>258.33760380002</v>
      </c>
      <c r="AQ23" s="155" t="n">
        <f aca="false">63.14*(Z23*1.9835+AC23*1.9835)/E23</f>
        <v>7.95707216567314</v>
      </c>
      <c r="AR23" s="136" t="n">
        <v>35.207</v>
      </c>
      <c r="AS23" s="144"/>
      <c r="AT23" s="11" t="n">
        <v>0</v>
      </c>
      <c r="AV23" s="102" t="n">
        <v>0</v>
      </c>
      <c r="AW23" s="103" t="n">
        <v>78</v>
      </c>
      <c r="AX23" s="103" t="n">
        <v>41</v>
      </c>
      <c r="AY23" s="286"/>
      <c r="AZ23" s="242" t="n">
        <f aca="false">SUM(N23,P23:U23)</f>
        <v>11.6946038000196</v>
      </c>
    </row>
    <row r="24" customFormat="false" ht="12.95" hidden="false" customHeight="true" outlineLevel="0" collapsed="false">
      <c r="A24" s="10" t="n">
        <f aca="false">A23+1</f>
        <v>10</v>
      </c>
      <c r="B24" s="349" t="n">
        <v>6924.14</v>
      </c>
      <c r="C24" s="94" t="n">
        <v>381788</v>
      </c>
      <c r="D24" s="103" t="n">
        <f aca="false">C24-C23</f>
        <v>1607</v>
      </c>
      <c r="E24" s="94" t="n">
        <f aca="false">C24-152000</f>
        <v>229788</v>
      </c>
      <c r="F24" s="361" t="n">
        <f aca="false">D24/$D$2</f>
        <v>810.184018149735</v>
      </c>
      <c r="G24" s="134" t="n">
        <v>1970</v>
      </c>
      <c r="H24" s="97" t="n">
        <v>2.6</v>
      </c>
      <c r="I24" s="134" t="n">
        <f aca="false">G24+H24</f>
        <v>1972.6</v>
      </c>
      <c r="J24" s="362" t="n">
        <f aca="false">IF(L24&gt;0,L24,0)</f>
        <v>356.584018149735</v>
      </c>
      <c r="K24" s="134" t="n">
        <f aca="false">I24+J24</f>
        <v>2329.18401814974</v>
      </c>
      <c r="L24" s="134" t="n">
        <f aca="false">F24-(I24-AK24)</f>
        <v>356.584018149735</v>
      </c>
      <c r="M24" s="137" t="n">
        <v>312</v>
      </c>
      <c r="N24" s="155" t="n">
        <f aca="false">(1.8299*1.03)/2</f>
        <v>0.9423985</v>
      </c>
      <c r="O24" s="148" t="n">
        <f aca="false">(43+42)*1.05</f>
        <v>89.25</v>
      </c>
      <c r="P24" s="83" t="n">
        <v>0</v>
      </c>
      <c r="Q24" s="328" t="n">
        <f aca="false">1677000/325851/1.9835*1.02</f>
        <v>2.64656138405849</v>
      </c>
      <c r="R24" s="328" t="n">
        <v>4.2</v>
      </c>
      <c r="S24" s="131" t="n">
        <f aca="false">((5165616/325851/1.9835-T24)*1.04)-4.2</f>
        <v>2.19418940113373</v>
      </c>
      <c r="T24" s="131" t="n">
        <f aca="false">1.7731*1.04</f>
        <v>1.844024</v>
      </c>
      <c r="U24" s="346" t="n">
        <v>0</v>
      </c>
      <c r="V24" s="134" t="n">
        <v>170</v>
      </c>
      <c r="W24" s="134" t="n">
        <v>71</v>
      </c>
      <c r="X24" s="135" t="n">
        <f aca="false">M24-N24-O24-P24-Q24-R24-S24-T24-U24+V24+W24-AT24+AR24</f>
        <v>487.129826714808</v>
      </c>
      <c r="Y24" s="135" t="n">
        <f aca="false">X24-AO24</f>
        <v>482.129826714808</v>
      </c>
      <c r="Z24" s="107" t="n">
        <f aca="false">Z23+AP24-AA24</f>
        <v>12380.9003114308</v>
      </c>
      <c r="AA24" s="135" t="n">
        <f aca="false">AJ24</f>
        <v>682</v>
      </c>
      <c r="AB24" s="107" t="n">
        <f aca="false">AB23+(Y24+AP24-AA24-AN24)*1.9835</f>
        <v>55287.2108079846</v>
      </c>
      <c r="AC24" s="107" t="n">
        <f aca="false">AC23-(AQ23/1.9835)</f>
        <v>1430.68406805377</v>
      </c>
      <c r="AD24" s="107"/>
      <c r="AE24" s="134" t="n">
        <v>284</v>
      </c>
      <c r="AF24" s="137" t="n">
        <v>1.7</v>
      </c>
      <c r="AG24" s="138" t="n">
        <v>1.3</v>
      </c>
      <c r="AH24" s="134" t="n">
        <v>682</v>
      </c>
      <c r="AI24" s="80" t="n">
        <f aca="false">AI23</f>
        <v>13130.2578774893</v>
      </c>
      <c r="AJ24" s="134" t="n">
        <f aca="false">AH24</f>
        <v>682</v>
      </c>
      <c r="AK24" s="134" t="n">
        <f aca="false">N25+O24+P24+Q24+R24+S24+T24+U24+X24+AE24+AH24-AR24</f>
        <v>1519</v>
      </c>
      <c r="AL24" s="134" t="n">
        <f aca="false">IF(L24&lt;0,L24*-1,0)</f>
        <v>0</v>
      </c>
      <c r="AM24" s="134" t="n">
        <f aca="false">AK24+AL24</f>
        <v>1519</v>
      </c>
      <c r="AN24" s="449"/>
      <c r="AO24" s="147" t="n">
        <v>5</v>
      </c>
      <c r="AP24" s="147" t="n">
        <v>0</v>
      </c>
      <c r="AQ24" s="155" t="n">
        <f aca="false">63.14*(Z24*1.9835+AC24*1.9835)/E24</f>
        <v>7.52753768133637</v>
      </c>
      <c r="AR24" s="136" t="n">
        <v>35.207</v>
      </c>
      <c r="AS24" s="144"/>
      <c r="AT24" s="11" t="n">
        <v>0</v>
      </c>
      <c r="AV24" s="102" t="n">
        <v>0</v>
      </c>
      <c r="AW24" s="103" t="n">
        <v>81</v>
      </c>
      <c r="AX24" s="103" t="n">
        <v>47</v>
      </c>
      <c r="AY24" s="286"/>
      <c r="AZ24" s="242" t="n">
        <f aca="false">SUM(N24,P24:U24)</f>
        <v>11.8271732851922</v>
      </c>
    </row>
    <row r="25" customFormat="false" ht="12.95" hidden="false" customHeight="true" outlineLevel="0" collapsed="false">
      <c r="A25" s="10" t="n">
        <f aca="false">A24+1</f>
        <v>11</v>
      </c>
      <c r="B25" s="349" t="n">
        <v>6924.43</v>
      </c>
      <c r="C25" s="94" t="n">
        <v>383089</v>
      </c>
      <c r="D25" s="103" t="n">
        <f aca="false">C25-C24</f>
        <v>1301</v>
      </c>
      <c r="E25" s="94" t="n">
        <f aca="false">C25-152000</f>
        <v>231089</v>
      </c>
      <c r="F25" s="361" t="n">
        <f aca="false">D25/$D$2</f>
        <v>655.911267960676</v>
      </c>
      <c r="G25" s="134" t="n">
        <v>1900</v>
      </c>
      <c r="H25" s="97" t="n">
        <v>2.2</v>
      </c>
      <c r="I25" s="134" t="n">
        <f aca="false">G25+H25</f>
        <v>1902.2</v>
      </c>
      <c r="J25" s="362" t="n">
        <f aca="false">IF(L25&gt;0,L25,0)</f>
        <v>305.711267960675</v>
      </c>
      <c r="K25" s="134" t="n">
        <f aca="false">I25+J25</f>
        <v>2207.91126796068</v>
      </c>
      <c r="L25" s="134" t="n">
        <f aca="false">F25-(I25-AK25)</f>
        <v>305.711267960675</v>
      </c>
      <c r="M25" s="137" t="n">
        <v>307</v>
      </c>
      <c r="N25" s="155" t="n">
        <f aca="false">(1.8299*1.03)/2</f>
        <v>0.9423985</v>
      </c>
      <c r="O25" s="148" t="n">
        <f aca="false">(42+39)*1.05</f>
        <v>85.05</v>
      </c>
      <c r="P25" s="83" t="n">
        <v>0</v>
      </c>
      <c r="Q25" s="328" t="n">
        <f aca="false">2054400/325851/1.9835*1.02</f>
        <v>3.24215605689312</v>
      </c>
      <c r="R25" s="328" t="n">
        <v>4.2</v>
      </c>
      <c r="S25" s="131" t="n">
        <f aca="false">((4951272/325851/1.9835-T25)*1.04)-4.2</f>
        <v>1.84928923192586</v>
      </c>
      <c r="T25" s="131" t="n">
        <f aca="false">1.7731*1.04</f>
        <v>1.844024</v>
      </c>
      <c r="U25" s="346" t="n">
        <v>0</v>
      </c>
      <c r="V25" s="134" t="n">
        <v>152</v>
      </c>
      <c r="W25" s="134" t="n">
        <v>72</v>
      </c>
      <c r="X25" s="135" t="n">
        <f aca="false">M25-N25-O25-P25-Q25-R25-S25-T25-U25+V25+W25-AT25+AR25</f>
        <v>469.079132211181</v>
      </c>
      <c r="Y25" s="135" t="n">
        <f aca="false">X25-AO25</f>
        <v>464.079132211181</v>
      </c>
      <c r="Z25" s="107" t="n">
        <f aca="false">Z24+AP25-AA25</f>
        <v>11642.9003114308</v>
      </c>
      <c r="AA25" s="135" t="n">
        <f aca="false">AJ25</f>
        <v>738</v>
      </c>
      <c r="AB25" s="107" t="n">
        <f aca="false">AB24+(Y25+AP25-AA25-AN25)*1.9835</f>
        <v>54743.8887667255</v>
      </c>
      <c r="AC25" s="107" t="n">
        <f aca="false">AC24-(AQ24/1.9835)</f>
        <v>1426.88898981765</v>
      </c>
      <c r="AD25" s="107"/>
      <c r="AE25" s="134" t="n">
        <v>283</v>
      </c>
      <c r="AF25" s="137" t="n">
        <v>1.7</v>
      </c>
      <c r="AG25" s="138" t="n">
        <v>1.3</v>
      </c>
      <c r="AH25" s="134" t="n">
        <v>738</v>
      </c>
      <c r="AI25" s="80" t="n">
        <f aca="false">AI24</f>
        <v>13130.2578774893</v>
      </c>
      <c r="AJ25" s="134" t="n">
        <f aca="false">AH25</f>
        <v>738</v>
      </c>
      <c r="AK25" s="134" t="n">
        <f aca="false">N26+O25+P25+Q25+R25+S25+T25+U25+X25+AE25+AH25-AR25</f>
        <v>1552</v>
      </c>
      <c r="AL25" s="134" t="n">
        <f aca="false">IF(L25&lt;0,L25*-1,0)</f>
        <v>0</v>
      </c>
      <c r="AM25" s="134" t="n">
        <f aca="false">AK25+AL25</f>
        <v>1552</v>
      </c>
      <c r="AN25" s="449"/>
      <c r="AO25" s="147" t="n">
        <v>5</v>
      </c>
      <c r="AP25" s="147" t="n">
        <v>0</v>
      </c>
      <c r="AQ25" s="155" t="n">
        <f aca="false">63.14*(Z25*1.9835+AC25*1.9835)/E25</f>
        <v>7.08314439791475</v>
      </c>
      <c r="AR25" s="136" t="n">
        <v>35.207</v>
      </c>
      <c r="AS25" s="144"/>
      <c r="AT25" s="11" t="n">
        <v>0</v>
      </c>
      <c r="AV25" s="102" t="n">
        <v>0</v>
      </c>
      <c r="AW25" s="103" t="n">
        <v>83</v>
      </c>
      <c r="AX25" s="103" t="n">
        <v>48</v>
      </c>
      <c r="AY25" s="286"/>
      <c r="AZ25" s="242" t="n">
        <f aca="false">SUM(N25,P25:U25)</f>
        <v>12.077867788819</v>
      </c>
    </row>
    <row r="26" customFormat="false" ht="12.95" hidden="false" customHeight="true" outlineLevel="0" collapsed="false">
      <c r="A26" s="10" t="n">
        <f aca="false">A25+1</f>
        <v>12</v>
      </c>
      <c r="B26" s="349" t="n">
        <v>6924.45</v>
      </c>
      <c r="C26" s="94" t="n">
        <v>383179</v>
      </c>
      <c r="D26" s="103" t="n">
        <f aca="false">C26-C25</f>
        <v>90</v>
      </c>
      <c r="E26" s="94" t="n">
        <f aca="false">C26-152000</f>
        <v>231179</v>
      </c>
      <c r="F26" s="361" t="n">
        <f aca="false">D26/$D$2</f>
        <v>45.3743382908999</v>
      </c>
      <c r="G26" s="134" t="n">
        <v>1800</v>
      </c>
      <c r="H26" s="97" t="n">
        <v>1.7</v>
      </c>
      <c r="I26" s="134" t="n">
        <f aca="false">G26+H26</f>
        <v>1801.7</v>
      </c>
      <c r="J26" s="362" t="n">
        <f aca="false">IF(L26&gt;0,L26,0)</f>
        <v>231.6743382909</v>
      </c>
      <c r="K26" s="134" t="n">
        <f aca="false">I26+J26</f>
        <v>2033.3743382909</v>
      </c>
      <c r="L26" s="134" t="n">
        <f aca="false">F26-(I26-AK26)</f>
        <v>231.6743382909</v>
      </c>
      <c r="M26" s="137" t="n">
        <v>304</v>
      </c>
      <c r="N26" s="155" t="n">
        <f aca="false">(1.8299*1.03)/2</f>
        <v>0.9423985</v>
      </c>
      <c r="O26" s="148" t="n">
        <f aca="false">(39+35)*1.05</f>
        <v>77.7</v>
      </c>
      <c r="P26" s="83" t="n">
        <v>0</v>
      </c>
      <c r="Q26" s="328" t="n">
        <f aca="false">2074400/325851/1.9835*1.02</f>
        <v>3.27371910261833</v>
      </c>
      <c r="R26" s="328" t="n">
        <v>4.2</v>
      </c>
      <c r="S26" s="131" t="n">
        <f aca="false">((4800183/325851/1.9835-T26)*1.04)-4.2</f>
        <v>1.60617245858279</v>
      </c>
      <c r="T26" s="131" t="n">
        <f aca="false">1.7731*1.04</f>
        <v>1.844024</v>
      </c>
      <c r="U26" s="346" t="n">
        <v>0</v>
      </c>
      <c r="V26" s="134" t="n">
        <v>153</v>
      </c>
      <c r="W26" s="134" t="n">
        <v>76</v>
      </c>
      <c r="X26" s="135" t="n">
        <f aca="false">M26-N26-O26-P26-Q26-R26-S26-T26-U26+V26+W26-AT26+AR26</f>
        <v>478.640685938799</v>
      </c>
      <c r="Y26" s="135" t="n">
        <f aca="false">X26-AO26</f>
        <v>473.640685938799</v>
      </c>
      <c r="Z26" s="107" t="n">
        <f aca="false">Z25+AP26-AA26</f>
        <v>10422.9003114308</v>
      </c>
      <c r="AA26" s="135" t="n">
        <f aca="false">AJ26</f>
        <v>1220</v>
      </c>
      <c r="AB26" s="107" t="n">
        <f aca="false">AB25+(Y26+AP26-AA26-AN26)*1.9835</f>
        <v>53263.4850672851</v>
      </c>
      <c r="AC26" s="107" t="n">
        <f aca="false">AC25-(AQ25/1.9835)</f>
        <v>1423.3179565946</v>
      </c>
      <c r="AD26" s="107"/>
      <c r="AE26" s="134" t="n">
        <v>235</v>
      </c>
      <c r="AF26" s="137" t="n">
        <v>1.7</v>
      </c>
      <c r="AG26" s="138" t="n">
        <v>1.3</v>
      </c>
      <c r="AH26" s="134" t="n">
        <v>1220</v>
      </c>
      <c r="AI26" s="80" t="n">
        <f aca="false">AI25</f>
        <v>13130.2578774893</v>
      </c>
      <c r="AJ26" s="134" t="n">
        <f aca="false">AH26</f>
        <v>1220</v>
      </c>
      <c r="AK26" s="134" t="n">
        <f aca="false">N27+O26+P26+Q26+R26+S26+T26+U26+X26+AE26+AH26-AR26</f>
        <v>1988</v>
      </c>
      <c r="AL26" s="134" t="n">
        <f aca="false">IF(L26&lt;0,L26*-1,0)</f>
        <v>0</v>
      </c>
      <c r="AM26" s="134" t="n">
        <f aca="false">AK26+AL26</f>
        <v>1988</v>
      </c>
      <c r="AN26" s="449"/>
      <c r="AO26" s="147" t="n">
        <v>5</v>
      </c>
      <c r="AP26" s="147" t="n">
        <v>0</v>
      </c>
      <c r="AQ26" s="155" t="n">
        <f aca="false">63.14*(Z26*1.9835+AC26*1.9835)/E26</f>
        <v>6.41753331501753</v>
      </c>
      <c r="AR26" s="136" t="n">
        <v>35.207</v>
      </c>
      <c r="AS26" s="144"/>
      <c r="AT26" s="11" t="n">
        <v>0</v>
      </c>
      <c r="AV26" s="102" t="n">
        <v>0</v>
      </c>
      <c r="AW26" s="103" t="n">
        <v>83</v>
      </c>
      <c r="AX26" s="103" t="n">
        <v>45</v>
      </c>
      <c r="AY26" s="286"/>
      <c r="AZ26" s="242" t="n">
        <f aca="false">SUM(N26,P26:U26)</f>
        <v>11.8663140612011</v>
      </c>
    </row>
    <row r="27" customFormat="false" ht="12.95" hidden="false" customHeight="true" outlineLevel="0" collapsed="false">
      <c r="A27" s="10" t="n">
        <f aca="false">A26+1</f>
        <v>13</v>
      </c>
      <c r="B27" s="349" t="n">
        <v>6924.43</v>
      </c>
      <c r="C27" s="94" t="n">
        <v>383089</v>
      </c>
      <c r="D27" s="103" t="n">
        <f aca="false">C27-C26</f>
        <v>-90</v>
      </c>
      <c r="E27" s="94" t="n">
        <f aca="false">C27-152000</f>
        <v>231089</v>
      </c>
      <c r="F27" s="361" t="n">
        <f aca="false">D27/$D$2</f>
        <v>-45.3743382908999</v>
      </c>
      <c r="G27" s="134" t="n">
        <v>1630</v>
      </c>
      <c r="H27" s="97" t="n">
        <v>1.4</v>
      </c>
      <c r="I27" s="134" t="n">
        <f aca="false">G27+H27</f>
        <v>1631.4</v>
      </c>
      <c r="J27" s="362" t="n">
        <f aca="false">IF(L27&gt;0,L27,0)</f>
        <v>362.2256617091</v>
      </c>
      <c r="K27" s="134" t="n">
        <f aca="false">I27+J27</f>
        <v>1993.6256617091</v>
      </c>
      <c r="L27" s="134" t="n">
        <f aca="false">F27-(I27-AK27)</f>
        <v>362.2256617091</v>
      </c>
      <c r="M27" s="137" t="n">
        <v>304</v>
      </c>
      <c r="N27" s="155" t="n">
        <f aca="false">(1.8299*1.03)/2</f>
        <v>0.9423985</v>
      </c>
      <c r="O27" s="148" t="n">
        <f aca="false">(41+38)*1.05</f>
        <v>82.95</v>
      </c>
      <c r="P27" s="83" t="n">
        <v>0</v>
      </c>
      <c r="Q27" s="328" t="n">
        <f aca="false">1690500/325851/1.9835*1.02</f>
        <v>2.66786643992301</v>
      </c>
      <c r="R27" s="328" t="n">
        <v>4.2</v>
      </c>
      <c r="S27" s="131" t="n">
        <f aca="false">((5033721/325851/1.9835-T27)*1.04)-4.2</f>
        <v>1.9819576250277</v>
      </c>
      <c r="T27" s="131" t="n">
        <f aca="false">1.7731*1.04</f>
        <v>1.844024</v>
      </c>
      <c r="U27" s="346" t="n">
        <v>0</v>
      </c>
      <c r="V27" s="134" t="n">
        <v>145</v>
      </c>
      <c r="W27" s="134" t="n">
        <v>76</v>
      </c>
      <c r="X27" s="135" t="n">
        <f aca="false">M27-N27-O27-P27-Q27-R27-S27-T27-U27+V27+W27-AT27+AR27</f>
        <v>465.620753435049</v>
      </c>
      <c r="Y27" s="135" t="n">
        <f aca="false">X27-AO27</f>
        <v>460.620753435049</v>
      </c>
      <c r="Z27" s="107" t="n">
        <f aca="false">Z26+AP27-AA27</f>
        <v>9182.90031143081</v>
      </c>
      <c r="AA27" s="135" t="n">
        <f aca="false">AJ27</f>
        <v>1240</v>
      </c>
      <c r="AB27" s="107" t="n">
        <f aca="false">AB26+(Y27+AP27-AA27-AN27)*1.9835</f>
        <v>51717.5863317235</v>
      </c>
      <c r="AC27" s="107" t="n">
        <f aca="false">AC26-(AQ26/1.9835)</f>
        <v>1420.08249739873</v>
      </c>
      <c r="AD27" s="107"/>
      <c r="AE27" s="134" t="n">
        <v>274</v>
      </c>
      <c r="AF27" s="137" t="n">
        <v>1.7</v>
      </c>
      <c r="AG27" s="138" t="n">
        <v>1.3</v>
      </c>
      <c r="AH27" s="134" t="n">
        <v>1240</v>
      </c>
      <c r="AI27" s="80" t="n">
        <f aca="false">AI26</f>
        <v>13130.2578774893</v>
      </c>
      <c r="AJ27" s="134" t="n">
        <f aca="false">AH27</f>
        <v>1240</v>
      </c>
      <c r="AK27" s="134" t="n">
        <f aca="false">N28+O27+P27+Q27+R27+S27+T27+U27+X27+AE27+AH27-AR27</f>
        <v>2039</v>
      </c>
      <c r="AL27" s="134" t="n">
        <f aca="false">IF(L27&lt;0,L27*-1,0)</f>
        <v>0</v>
      </c>
      <c r="AM27" s="134" t="n">
        <f aca="false">AK27+AL27</f>
        <v>2039</v>
      </c>
      <c r="AN27" s="449"/>
      <c r="AO27" s="147" t="n">
        <v>5</v>
      </c>
      <c r="AP27" s="147" t="n">
        <v>0</v>
      </c>
      <c r="AQ27" s="155" t="n">
        <f aca="false">63.14*(Z27*1.9835+AC27*1.9835)/E27</f>
        <v>5.74626388784809</v>
      </c>
      <c r="AR27" s="136" t="n">
        <v>35.207</v>
      </c>
      <c r="AS27" s="144"/>
      <c r="AT27" s="11" t="n">
        <v>0</v>
      </c>
      <c r="AV27" s="102" t="n">
        <v>0</v>
      </c>
      <c r="AW27" s="103" t="n">
        <v>81</v>
      </c>
      <c r="AX27" s="103" t="n">
        <v>49</v>
      </c>
      <c r="AY27" s="286"/>
      <c r="AZ27" s="242" t="n">
        <f aca="false">SUM(N27,P27:U27)</f>
        <v>11.6362465649507</v>
      </c>
    </row>
    <row r="28" customFormat="false" ht="12.95" hidden="false" customHeight="true" outlineLevel="0" collapsed="false">
      <c r="A28" s="10" t="n">
        <f aca="false">A27+1</f>
        <v>14</v>
      </c>
      <c r="B28" s="349" t="n">
        <v>6924.32</v>
      </c>
      <c r="C28" s="94" t="n">
        <v>382595</v>
      </c>
      <c r="D28" s="103" t="n">
        <f aca="false">C28-C27</f>
        <v>-494</v>
      </c>
      <c r="E28" s="94" t="n">
        <f aca="false">C28-152000</f>
        <v>230595</v>
      </c>
      <c r="F28" s="361" t="n">
        <f aca="false">D28/$D$2</f>
        <v>-249.054701285606</v>
      </c>
      <c r="G28" s="134" t="n">
        <v>1480</v>
      </c>
      <c r="H28" s="97" t="n">
        <v>1.1</v>
      </c>
      <c r="I28" s="134" t="n">
        <f aca="false">G28+H28</f>
        <v>1481.1</v>
      </c>
      <c r="J28" s="362" t="n">
        <f aca="false">IF(L28&gt;0,L28,0)</f>
        <v>298.845298714394</v>
      </c>
      <c r="K28" s="134" t="n">
        <f aca="false">I28+J28</f>
        <v>1779.94529871439</v>
      </c>
      <c r="L28" s="134" t="n">
        <f aca="false">F28-(I28-AK28)</f>
        <v>298.845298714394</v>
      </c>
      <c r="M28" s="137" t="n">
        <v>315</v>
      </c>
      <c r="N28" s="155" t="n">
        <f aca="false">(1.8299*1.03)/2</f>
        <v>0.9423985</v>
      </c>
      <c r="O28" s="148" t="n">
        <f aca="false">(40+39)*1.05</f>
        <v>82.95</v>
      </c>
      <c r="P28" s="83" t="n">
        <v>0</v>
      </c>
      <c r="Q28" s="328" t="n">
        <f aca="false">2063900/325851/1.9835*1.02</f>
        <v>3.2571485036126</v>
      </c>
      <c r="R28" s="328" t="n">
        <v>4.2</v>
      </c>
      <c r="S28" s="131" t="n">
        <f aca="false">((5004399/325851/1.9835-T28)*1.04)-4.2</f>
        <v>1.93477569895786</v>
      </c>
      <c r="T28" s="131" t="n">
        <f aca="false">1.7731*1.04</f>
        <v>1.844024</v>
      </c>
      <c r="U28" s="346" t="n">
        <v>0</v>
      </c>
      <c r="V28" s="134" t="n">
        <v>146</v>
      </c>
      <c r="W28" s="134" t="n">
        <v>79</v>
      </c>
      <c r="X28" s="135" t="n">
        <f aca="false">M28-N28-O28-P28-Q28-R28-S28-T28-U28+V28+W28-AT28+AR28</f>
        <v>480.07865329743</v>
      </c>
      <c r="Y28" s="135" t="n">
        <f aca="false">X28-AO28</f>
        <v>475.07865329743</v>
      </c>
      <c r="Z28" s="107" t="n">
        <f aca="false">Z27+AP28-AA28</f>
        <v>7952.90031143081</v>
      </c>
      <c r="AA28" s="135" t="n">
        <f aca="false">AJ28</f>
        <v>1230</v>
      </c>
      <c r="AB28" s="107" t="n">
        <f aca="false">AB27+(Y28+AP28-AA28-AN28)*1.9835</f>
        <v>50220.1998405389</v>
      </c>
      <c r="AC28" s="107" t="n">
        <f aca="false">AC27-(AQ27/1.9835)</f>
        <v>1417.18546493699</v>
      </c>
      <c r="AD28" s="107"/>
      <c r="AE28" s="134" t="n">
        <v>259</v>
      </c>
      <c r="AF28" s="137" t="n">
        <v>1.7</v>
      </c>
      <c r="AG28" s="138" t="n">
        <v>1.3</v>
      </c>
      <c r="AH28" s="134" t="n">
        <v>1230</v>
      </c>
      <c r="AI28" s="80" t="n">
        <f aca="false">AI27</f>
        <v>13130.2578774893</v>
      </c>
      <c r="AJ28" s="134" t="n">
        <f aca="false">AH28</f>
        <v>1230</v>
      </c>
      <c r="AK28" s="134" t="n">
        <f aca="false">N29+O28+P28+Q28+R28+S28+T28+U28+X28+AE28+AH28-AR28</f>
        <v>2029</v>
      </c>
      <c r="AL28" s="134" t="n">
        <f aca="false">IF(L28&lt;0,L28*-1,0)</f>
        <v>0</v>
      </c>
      <c r="AM28" s="134" t="n">
        <f aca="false">AK28+AL28</f>
        <v>2029</v>
      </c>
      <c r="AN28" s="449"/>
      <c r="AO28" s="147" t="n">
        <v>5</v>
      </c>
      <c r="AP28" s="147" t="n">
        <v>0</v>
      </c>
      <c r="AQ28" s="155" t="n">
        <f aca="false">63.14*(Z28*1.9835+AC28*1.9835)/E28</f>
        <v>5.08897670277781</v>
      </c>
      <c r="AR28" s="136" t="n">
        <v>35.207</v>
      </c>
      <c r="AS28" s="144"/>
      <c r="AT28" s="11" t="n">
        <v>0</v>
      </c>
      <c r="AV28" s="102" t="n">
        <v>0</v>
      </c>
      <c r="AW28" s="103" t="n">
        <v>82</v>
      </c>
      <c r="AX28" s="103" t="n">
        <v>50</v>
      </c>
      <c r="AY28" s="286"/>
      <c r="AZ28" s="242" t="n">
        <f aca="false">SUM(N28,P28:U28)</f>
        <v>12.1783467025705</v>
      </c>
    </row>
    <row r="29" customFormat="false" ht="12.95" hidden="false" customHeight="true" outlineLevel="0" collapsed="false">
      <c r="A29" s="10" t="n">
        <f aca="false">A28+1</f>
        <v>15</v>
      </c>
      <c r="B29" s="349" t="n">
        <v>6924.3</v>
      </c>
      <c r="C29" s="94" t="n">
        <v>382506</v>
      </c>
      <c r="D29" s="103" t="n">
        <f aca="false">C29-C28</f>
        <v>-89</v>
      </c>
      <c r="E29" s="94" t="n">
        <f aca="false">C29-152000</f>
        <v>230506</v>
      </c>
      <c r="F29" s="361" t="n">
        <f aca="false">D29/$D$2</f>
        <v>-44.8701789765566</v>
      </c>
      <c r="G29" s="134" t="n">
        <v>1500</v>
      </c>
      <c r="H29" s="97" t="n">
        <v>0.99</v>
      </c>
      <c r="I29" s="134" t="n">
        <f aca="false">G29+H29</f>
        <v>1500.99</v>
      </c>
      <c r="J29" s="362" t="n">
        <f aca="false">IF(L29&gt;0,L29,0)</f>
        <v>226.139821023443</v>
      </c>
      <c r="K29" s="134" t="n">
        <f aca="false">I29+J29</f>
        <v>1727.12982102344</v>
      </c>
      <c r="L29" s="134" t="n">
        <f aca="false">F29-(I29-AK29)</f>
        <v>226.139821023443</v>
      </c>
      <c r="M29" s="137" t="n">
        <v>279</v>
      </c>
      <c r="N29" s="155" t="n">
        <f aca="false">(1.8299*1.03)/2</f>
        <v>0.9423985</v>
      </c>
      <c r="O29" s="148" t="n">
        <f aca="false">(29+28)*1.05</f>
        <v>59.85</v>
      </c>
      <c r="P29" s="83" t="n">
        <v>0</v>
      </c>
      <c r="Q29" s="328" t="n">
        <f aca="false">2003400/325851/1.9835*1.02</f>
        <v>3.16167029029385</v>
      </c>
      <c r="R29" s="328" t="n">
        <v>4.2</v>
      </c>
      <c r="S29" s="131" t="n">
        <f aca="false">((4915520/325851/1.9835-T29)*1.04)-4.2</f>
        <v>1.79176081569065</v>
      </c>
      <c r="T29" s="131" t="n">
        <f aca="false">1.7731*1.04</f>
        <v>1.844024</v>
      </c>
      <c r="U29" s="346" t="n">
        <v>0</v>
      </c>
      <c r="V29" s="134" t="n">
        <v>146</v>
      </c>
      <c r="W29" s="134" t="n">
        <v>80</v>
      </c>
      <c r="X29" s="135" t="n">
        <f aca="false">M29-N29-O29-P29-Q29-R29-S29-T29-U29+V29+W29-AT29+AR29</f>
        <v>468.417146394016</v>
      </c>
      <c r="Y29" s="135" t="n">
        <f aca="false">X29-AO29</f>
        <v>463.417146394016</v>
      </c>
      <c r="Z29" s="107" t="n">
        <f aca="false">Z28+AP29-AA29</f>
        <v>6942.90031143081</v>
      </c>
      <c r="AA29" s="135" t="n">
        <f aca="false">AJ29</f>
        <v>1010</v>
      </c>
      <c r="AB29" s="107" t="n">
        <f aca="false">AB28+(Y29+AP29-AA29-AN29)*1.9835</f>
        <v>49136.0527504115</v>
      </c>
      <c r="AC29" s="107" t="n">
        <f aca="false">AC28-(AQ28/1.9835)</f>
        <v>1414.61980993181</v>
      </c>
      <c r="AD29" s="107"/>
      <c r="AE29" s="134" t="n">
        <v>257</v>
      </c>
      <c r="AF29" s="137" t="n">
        <v>1.7</v>
      </c>
      <c r="AG29" s="138" t="n">
        <v>1.3</v>
      </c>
      <c r="AH29" s="134" t="n">
        <v>1010</v>
      </c>
      <c r="AI29" s="80" t="n">
        <f aca="false">AI28</f>
        <v>13130.2578774893</v>
      </c>
      <c r="AJ29" s="134" t="n">
        <f aca="false">AH29</f>
        <v>1010</v>
      </c>
      <c r="AK29" s="134" t="n">
        <f aca="false">N30+O29+P29+Q29+R29+S29+T29+U29+X29+AE29+AH29-AR29</f>
        <v>1772</v>
      </c>
      <c r="AL29" s="134" t="n">
        <f aca="false">IF(L29&lt;0,L29*-1,0)</f>
        <v>0</v>
      </c>
      <c r="AM29" s="134" t="n">
        <f aca="false">AK29+AL29</f>
        <v>1772</v>
      </c>
      <c r="AN29" s="449"/>
      <c r="AO29" s="147" t="n">
        <v>5</v>
      </c>
      <c r="AP29" s="147" t="n">
        <v>0</v>
      </c>
      <c r="AQ29" s="155" t="n">
        <f aca="false">63.14*(Z29*1.9835+AC29*1.9835)/E29</f>
        <v>4.54079587033758</v>
      </c>
      <c r="AR29" s="136" t="n">
        <v>35.207</v>
      </c>
      <c r="AS29" s="144"/>
      <c r="AT29" s="11" t="n">
        <v>0</v>
      </c>
      <c r="AV29" s="102" t="n">
        <v>0</v>
      </c>
      <c r="AW29" s="103" t="n">
        <v>88</v>
      </c>
      <c r="AX29" s="103" t="n">
        <v>51</v>
      </c>
      <c r="AY29" s="286"/>
      <c r="AZ29" s="242" t="n">
        <f aca="false">SUM(N29,P29:U29)</f>
        <v>11.9398536059845</v>
      </c>
    </row>
    <row r="30" customFormat="false" ht="12.95" hidden="false" customHeight="true" outlineLevel="0" collapsed="false">
      <c r="A30" s="10" t="n">
        <f aca="false">A29+1</f>
        <v>16</v>
      </c>
      <c r="B30" s="349" t="n">
        <v>6924.27</v>
      </c>
      <c r="C30" s="94" t="n">
        <v>382371</v>
      </c>
      <c r="D30" s="103" t="n">
        <f aca="false">C30-C29</f>
        <v>-135</v>
      </c>
      <c r="E30" s="94" t="n">
        <f aca="false">C30-152000</f>
        <v>230371</v>
      </c>
      <c r="F30" s="361" t="n">
        <f aca="false">D30/$D$2</f>
        <v>-68.0615074363499</v>
      </c>
      <c r="G30" s="134" t="n">
        <v>1540</v>
      </c>
      <c r="H30" s="97" t="n">
        <v>0.84</v>
      </c>
      <c r="I30" s="134" t="n">
        <f aca="false">G30+H30</f>
        <v>1540.84</v>
      </c>
      <c r="J30" s="362" t="n">
        <f aca="false">IF(L30&gt;0,L30,0)</f>
        <v>208.09849256365</v>
      </c>
      <c r="K30" s="134" t="n">
        <f aca="false">I30+J30</f>
        <v>1748.93849256365</v>
      </c>
      <c r="L30" s="134" t="n">
        <f aca="false">F30-(I30-AK30)</f>
        <v>208.09849256365</v>
      </c>
      <c r="M30" s="137" t="n">
        <v>322</v>
      </c>
      <c r="N30" s="155" t="n">
        <f aca="false">(1.8299*1.03)/2</f>
        <v>0.9423985</v>
      </c>
      <c r="O30" s="148" t="n">
        <f aca="false">(46+46)*1.05</f>
        <v>96.6</v>
      </c>
      <c r="P30" s="83" t="n">
        <v>0</v>
      </c>
      <c r="Q30" s="328" t="n">
        <f aca="false">1872500/325851/1.9835*1.02</f>
        <v>2.95509015602238</v>
      </c>
      <c r="R30" s="328" t="n">
        <v>4.2</v>
      </c>
      <c r="S30" s="131" t="n">
        <f aca="false">((4873976/325851/1.9835-T30)*1.04)-4.2</f>
        <v>1.72491251282437</v>
      </c>
      <c r="T30" s="131" t="n">
        <f aca="false">1.7731*1.04</f>
        <v>1.844024</v>
      </c>
      <c r="U30" s="346" t="n">
        <v>0</v>
      </c>
      <c r="V30" s="134" t="n">
        <v>164</v>
      </c>
      <c r="W30" s="134" t="n">
        <v>80</v>
      </c>
      <c r="X30" s="135" t="n">
        <f aca="false">M30-N30-O30-P30-Q30-R30-S30-T30-U30+V30+W30-AT30+AR30</f>
        <v>492.940574831153</v>
      </c>
      <c r="Y30" s="135" t="n">
        <f aca="false">X30-AO30</f>
        <v>487.940574831153</v>
      </c>
      <c r="Z30" s="107" t="n">
        <f aca="false">Z29+AP30-AA30</f>
        <v>5952.90031143081</v>
      </c>
      <c r="AA30" s="135" t="n">
        <f aca="false">AJ30</f>
        <v>990</v>
      </c>
      <c r="AB30" s="107" t="n">
        <f aca="false">AB29+(Y30+AP30-AA30-AN30)*1.9835</f>
        <v>48140.2178805891</v>
      </c>
      <c r="AC30" s="107" t="n">
        <f aca="false">AC29-(AQ29/1.9835)</f>
        <v>1412.33052539925</v>
      </c>
      <c r="AD30" s="107"/>
      <c r="AE30" s="134" t="n">
        <v>261</v>
      </c>
      <c r="AF30" s="137" t="n">
        <v>1.7</v>
      </c>
      <c r="AG30" s="138" t="n">
        <v>1.3</v>
      </c>
      <c r="AH30" s="134" t="n">
        <v>990</v>
      </c>
      <c r="AI30" s="80" t="n">
        <f aca="false">AI29</f>
        <v>13130.2578774893</v>
      </c>
      <c r="AJ30" s="80" t="n">
        <f aca="false">AH30</f>
        <v>990</v>
      </c>
      <c r="AK30" s="134" t="n">
        <f aca="false">N31+O30+P30+Q30+R30+S30+T30+U30+X30+AE30+AH30-AR30</f>
        <v>1817</v>
      </c>
      <c r="AL30" s="134" t="n">
        <f aca="false">IF(L30&lt;0,L30*-1,0)</f>
        <v>0</v>
      </c>
      <c r="AM30" s="134" t="n">
        <f aca="false">AK30+AL30</f>
        <v>1817</v>
      </c>
      <c r="AN30" s="449"/>
      <c r="AO30" s="147" t="n">
        <v>5</v>
      </c>
      <c r="AP30" s="147" t="n">
        <v>0</v>
      </c>
      <c r="AQ30" s="155" t="n">
        <f aca="false">63.14*(Z30*1.9835+AC30*1.9835)/E30</f>
        <v>4.00401169824666</v>
      </c>
      <c r="AR30" s="136" t="n">
        <v>35.207</v>
      </c>
      <c r="AS30" s="144"/>
      <c r="AT30" s="11" t="n">
        <v>0</v>
      </c>
      <c r="AV30" s="102" t="n">
        <v>0</v>
      </c>
      <c r="AW30" s="103" t="n">
        <v>87</v>
      </c>
      <c r="AX30" s="103" t="n">
        <v>51</v>
      </c>
      <c r="AY30" s="286"/>
      <c r="AZ30" s="242" t="n">
        <f aca="false">SUM(N30,P30:U30)</f>
        <v>11.6664251688467</v>
      </c>
    </row>
    <row r="31" customFormat="false" ht="12.95" hidden="false" customHeight="true" outlineLevel="0" collapsed="false">
      <c r="A31" s="10" t="n">
        <f aca="false">A30+1</f>
        <v>17</v>
      </c>
      <c r="B31" s="349" t="n">
        <v>6924.24</v>
      </c>
      <c r="C31" s="94" t="n">
        <v>382237</v>
      </c>
      <c r="D31" s="103" t="n">
        <f aca="false">C31-C30</f>
        <v>-134</v>
      </c>
      <c r="E31" s="94" t="n">
        <f aca="false">C31-152000</f>
        <v>230237</v>
      </c>
      <c r="F31" s="361" t="n">
        <f aca="false">D31/$D$2</f>
        <v>-67.5573481220066</v>
      </c>
      <c r="G31" s="134" t="n">
        <v>1500</v>
      </c>
      <c r="H31" s="97" t="n">
        <v>0.68</v>
      </c>
      <c r="I31" s="134" t="n">
        <f aca="false">G31+H31</f>
        <v>1500.68</v>
      </c>
      <c r="J31" s="362" t="n">
        <f aca="false">IF(L31&gt;0,L31,0)</f>
        <v>209.762651877993</v>
      </c>
      <c r="K31" s="134" t="n">
        <f aca="false">I31+J31</f>
        <v>1710.44265187799</v>
      </c>
      <c r="L31" s="134" t="n">
        <f aca="false">F31-(I31-AK31)</f>
        <v>209.762651877993</v>
      </c>
      <c r="M31" s="137" t="n">
        <v>288</v>
      </c>
      <c r="N31" s="155" t="n">
        <f aca="false">(1.8299*1.03)/2</f>
        <v>0.9423985</v>
      </c>
      <c r="O31" s="148" t="n">
        <f aca="false">(42+41)*1.05</f>
        <v>87.15</v>
      </c>
      <c r="P31" s="83" t="n">
        <v>0</v>
      </c>
      <c r="Q31" s="328" t="n">
        <f aca="false">1725500/325851/1.9835*1.02</f>
        <v>2.72310176994212</v>
      </c>
      <c r="R31" s="328" t="n">
        <v>4.2</v>
      </c>
      <c r="S31" s="131" t="n">
        <f aca="false">((5348355/325851/1.9835-T31)*1.04)-4.2</f>
        <v>2.61737711707929</v>
      </c>
      <c r="T31" s="131" t="n">
        <f aca="false">1.6537*1.04</f>
        <v>1.719848</v>
      </c>
      <c r="U31" s="346" t="n">
        <v>0</v>
      </c>
      <c r="V31" s="134" t="n">
        <v>199</v>
      </c>
      <c r="W31" s="134" t="n">
        <v>78</v>
      </c>
      <c r="X31" s="135" t="n">
        <f aca="false">M31-N31-O31-P31-Q31-R31-S31-T31-U31+V31+W31-AT31+AR31</f>
        <v>500.854274612979</v>
      </c>
      <c r="Y31" s="135" t="n">
        <f aca="false">X31-AO31</f>
        <v>495.854274612979</v>
      </c>
      <c r="Z31" s="107" t="n">
        <f aca="false">Z30+AP31-AA31</f>
        <v>4982.90031143081</v>
      </c>
      <c r="AA31" s="135" t="n">
        <f aca="false">AJ31</f>
        <v>970</v>
      </c>
      <c r="AB31" s="107" t="n">
        <f aca="false">AB30+(Y31+AP31-AA31-AN31)*1.9835</f>
        <v>47199.7498342839</v>
      </c>
      <c r="AC31" s="107" t="n">
        <f aca="false">AC30-(AQ30/1.9835)</f>
        <v>1410.31186560684</v>
      </c>
      <c r="AD31" s="107"/>
      <c r="AE31" s="134" t="n">
        <v>243</v>
      </c>
      <c r="AF31" s="137" t="n">
        <v>1.7</v>
      </c>
      <c r="AG31" s="138" t="n">
        <v>1.3</v>
      </c>
      <c r="AH31" s="134" t="n">
        <v>970</v>
      </c>
      <c r="AI31" s="80" t="n">
        <f aca="false">AI30</f>
        <v>13130.2578774893</v>
      </c>
      <c r="AJ31" s="80" t="n">
        <f aca="false">AH31</f>
        <v>970</v>
      </c>
      <c r="AK31" s="134" t="n">
        <f aca="false">N32+O31+P31+Q31+R31+S31+T31+U31+X31+AE31+AH31-AR31</f>
        <v>1778</v>
      </c>
      <c r="AL31" s="134" t="n">
        <f aca="false">IF(L31&lt;0,L31*-1,0)</f>
        <v>0</v>
      </c>
      <c r="AM31" s="134" t="n">
        <f aca="false">AK31+AL31</f>
        <v>1778</v>
      </c>
      <c r="AN31" s="449"/>
      <c r="AO31" s="147" t="n">
        <v>5</v>
      </c>
      <c r="AP31" s="147" t="n">
        <v>0</v>
      </c>
      <c r="AQ31" s="155" t="n">
        <f aca="false">63.14*(Z31*1.9835+AC31*1.9835)/E31</f>
        <v>3.47760925193672</v>
      </c>
      <c r="AR31" s="136" t="n">
        <v>35.207</v>
      </c>
      <c r="AS31" s="144"/>
      <c r="AT31" s="11" t="n">
        <v>0</v>
      </c>
      <c r="AV31" s="102" t="n">
        <v>0</v>
      </c>
      <c r="AW31" s="103" t="n">
        <v>76</v>
      </c>
      <c r="AX31" s="103" t="n">
        <v>52</v>
      </c>
      <c r="AY31" s="286"/>
      <c r="AZ31" s="242" t="n">
        <f aca="false">SUM(N31,P31:U31)</f>
        <v>12.2027253870214</v>
      </c>
    </row>
    <row r="32" customFormat="false" ht="12.95" hidden="false" customHeight="true" outlineLevel="0" collapsed="false">
      <c r="A32" s="10" t="n">
        <f aca="false">A31+1</f>
        <v>18</v>
      </c>
      <c r="B32" s="349" t="n">
        <v>6924.18</v>
      </c>
      <c r="C32" s="94" t="n">
        <v>381967</v>
      </c>
      <c r="D32" s="103" t="n">
        <f aca="false">C32-C31</f>
        <v>-270</v>
      </c>
      <c r="E32" s="94" t="n">
        <f aca="false">C32-152000</f>
        <v>229967</v>
      </c>
      <c r="F32" s="361" t="n">
        <f aca="false">D32/$D$2</f>
        <v>-136.1230148727</v>
      </c>
      <c r="G32" s="134" t="n">
        <v>1210</v>
      </c>
      <c r="H32" s="97" t="n">
        <v>0.59</v>
      </c>
      <c r="I32" s="134" t="n">
        <f aca="false">G32+H32</f>
        <v>1210.59</v>
      </c>
      <c r="J32" s="362" t="n">
        <f aca="false">IF(L32&gt;0,L32,0)</f>
        <v>221.2869851273</v>
      </c>
      <c r="K32" s="134" t="n">
        <f aca="false">I32+J32</f>
        <v>1431.8769851273</v>
      </c>
      <c r="L32" s="134" t="n">
        <f aca="false">F32-(I32-AK32)</f>
        <v>221.2869851273</v>
      </c>
      <c r="M32" s="137" t="n">
        <v>324</v>
      </c>
      <c r="N32" s="155" t="n">
        <f aca="false">(1.8299*1.03)/2</f>
        <v>0.9423985</v>
      </c>
      <c r="O32" s="148" t="n">
        <f aca="false">(44+45)*1.05</f>
        <v>93.45</v>
      </c>
      <c r="P32" s="83" t="n">
        <v>0</v>
      </c>
      <c r="Q32" s="328" t="n">
        <f aca="false">2060700/325851/1.9835*1.02</f>
        <v>3.25209841629656</v>
      </c>
      <c r="R32" s="328" t="n">
        <v>4.2</v>
      </c>
      <c r="S32" s="131" t="n">
        <f aca="false">((5142057/325851/1.9835-T32)*1.04)-4.2</f>
        <v>2.28542373789796</v>
      </c>
      <c r="T32" s="131" t="n">
        <f aca="false">1.6537*1.04</f>
        <v>1.719848</v>
      </c>
      <c r="U32" s="346" t="n">
        <v>0</v>
      </c>
      <c r="V32" s="134" t="n">
        <v>217</v>
      </c>
      <c r="W32" s="134" t="n">
        <v>77</v>
      </c>
      <c r="X32" s="135" t="n">
        <f aca="false">M32-N32-O32-P32-Q32-R32-S32-T32-U32+V32+W32-AT32+AR32</f>
        <v>547.357231345805</v>
      </c>
      <c r="Y32" s="135" t="n">
        <f aca="false">X32-AO32</f>
        <v>542.357231345805</v>
      </c>
      <c r="Z32" s="107" t="n">
        <f aca="false">Z31+AP32-AA32</f>
        <v>4251.90031143081</v>
      </c>
      <c r="AA32" s="135" t="n">
        <f aca="false">AJ32</f>
        <v>731</v>
      </c>
      <c r="AB32" s="107" t="n">
        <f aca="false">AB31+(Y32+AP32-AA32-AN32)*1.9835</f>
        <v>46825.5769026583</v>
      </c>
      <c r="AC32" s="107" t="n">
        <f aca="false">AC31-(AQ31/1.9835)</f>
        <v>1408.55859651083</v>
      </c>
      <c r="AD32" s="107"/>
      <c r="AE32" s="134" t="n">
        <v>219</v>
      </c>
      <c r="AF32" s="137" t="n">
        <v>1.7</v>
      </c>
      <c r="AG32" s="138" t="n">
        <v>1.3</v>
      </c>
      <c r="AH32" s="134" t="n">
        <v>731</v>
      </c>
      <c r="AI32" s="80" t="n">
        <f aca="false">AI31</f>
        <v>13130.2578774893</v>
      </c>
      <c r="AJ32" s="80" t="n">
        <f aca="false">AH32</f>
        <v>731</v>
      </c>
      <c r="AK32" s="134" t="n">
        <f aca="false">N33+O32+P32+Q32+R32+S32+T32+U32+X32+AE32+AH32-AR32</f>
        <v>1568</v>
      </c>
      <c r="AL32" s="134" t="n">
        <f aca="false">IF(L32&lt;0,L32*-1,0)</f>
        <v>0</v>
      </c>
      <c r="AM32" s="134" t="n">
        <f aca="false">AK32+AL32</f>
        <v>1568</v>
      </c>
      <c r="AN32" s="449"/>
      <c r="AO32" s="147" t="n">
        <v>5</v>
      </c>
      <c r="AP32" s="147" t="n">
        <v>0</v>
      </c>
      <c r="AQ32" s="155" t="n">
        <f aca="false">63.14*(Z32*1.9835+AC32*1.9835)/E32</f>
        <v>3.0826406754012</v>
      </c>
      <c r="AR32" s="136" t="n">
        <v>35.207</v>
      </c>
      <c r="AS32" s="144"/>
      <c r="AT32" s="11" t="n">
        <v>0</v>
      </c>
      <c r="AV32" s="102" t="n">
        <v>0</v>
      </c>
      <c r="AW32" s="103" t="n">
        <v>83</v>
      </c>
      <c r="AX32" s="103" t="n">
        <v>50</v>
      </c>
      <c r="AY32" s="286"/>
      <c r="AZ32" s="242" t="n">
        <f aca="false">SUM(N32,P32:U32)</f>
        <v>12.3997686541945</v>
      </c>
    </row>
    <row r="33" customFormat="false" ht="12.95" hidden="false" customHeight="true" outlineLevel="0" collapsed="false">
      <c r="A33" s="10" t="n">
        <f aca="false">A32+1</f>
        <v>19</v>
      </c>
      <c r="B33" s="349" t="n">
        <v>6924.17</v>
      </c>
      <c r="C33" s="94" t="n">
        <v>381923</v>
      </c>
      <c r="D33" s="103" t="n">
        <f aca="false">C33-C32</f>
        <v>-44</v>
      </c>
      <c r="E33" s="94" t="n">
        <f aca="false">C33-152000</f>
        <v>229923</v>
      </c>
      <c r="F33" s="361" t="n">
        <f aca="false">D33/$D$2</f>
        <v>-22.1830098311066</v>
      </c>
      <c r="G33" s="134" t="n">
        <v>1140</v>
      </c>
      <c r="H33" s="97" t="n">
        <v>0.58</v>
      </c>
      <c r="I33" s="134" t="n">
        <f aca="false">G33+H33</f>
        <v>1140.58</v>
      </c>
      <c r="J33" s="362" t="n">
        <f aca="false">IF(L33&gt;0,L33,0)</f>
        <v>159.236990168893</v>
      </c>
      <c r="K33" s="134" t="n">
        <f aca="false">I33+J33</f>
        <v>1299.81699016889</v>
      </c>
      <c r="L33" s="134" t="n">
        <f aca="false">F33-(I33-AK33)</f>
        <v>159.236990168893</v>
      </c>
      <c r="M33" s="137" t="n">
        <v>306</v>
      </c>
      <c r="N33" s="155" t="n">
        <f aca="false">(1.8299*1.03)/2</f>
        <v>0.9423985</v>
      </c>
      <c r="O33" s="148" t="n">
        <f aca="false">(42+41)*1.05</f>
        <v>87.15</v>
      </c>
      <c r="P33" s="83" t="n">
        <v>0</v>
      </c>
      <c r="Q33" s="328" t="n">
        <f aca="false">1635800/325851/1.9835*1.02</f>
        <v>2.58154150986457</v>
      </c>
      <c r="R33" s="328" t="n">
        <v>4.2</v>
      </c>
      <c r="S33" s="131" t="n">
        <f aca="false">((4792169/325851/1.9835-T33)*1.04)-4.2</f>
        <v>1.72242019964262</v>
      </c>
      <c r="T33" s="131" t="n">
        <f aca="false">1.6537*1.04</f>
        <v>1.719848</v>
      </c>
      <c r="U33" s="346" t="n">
        <v>0</v>
      </c>
      <c r="V33" s="134" t="n">
        <v>231</v>
      </c>
      <c r="W33" s="134" t="n">
        <v>77</v>
      </c>
      <c r="X33" s="135" t="n">
        <f aca="false">M33-N33-O33-P33-Q33-R33-S33-T33-U33+V33+W33-AT33+AR33</f>
        <v>550.890791790493</v>
      </c>
      <c r="Y33" s="135" t="n">
        <f aca="false">X33-AO33</f>
        <v>545.890791790493</v>
      </c>
      <c r="Z33" s="107" t="n">
        <f aca="false">Z32+AP33-AA33</f>
        <v>3720.90031143081</v>
      </c>
      <c r="AA33" s="135" t="n">
        <f aca="false">AJ33</f>
        <v>531</v>
      </c>
      <c r="AB33" s="107" t="n">
        <f aca="false">AB32+(Y33+AP33-AA33-AN33)*1.9835</f>
        <v>46855.1127881748</v>
      </c>
      <c r="AC33" s="107" t="n">
        <f aca="false">AC32-(AQ32/1.9835)</f>
        <v>1407.00445450155</v>
      </c>
      <c r="AD33" s="107"/>
      <c r="AE33" s="134" t="n">
        <v>177</v>
      </c>
      <c r="AF33" s="137" t="n">
        <v>1.7</v>
      </c>
      <c r="AG33" s="138" t="n">
        <v>1.3</v>
      </c>
      <c r="AH33" s="134" t="n">
        <v>531</v>
      </c>
      <c r="AI33" s="80" t="n">
        <f aca="false">AI32</f>
        <v>13130.2578774893</v>
      </c>
      <c r="AJ33" s="80" t="n">
        <f aca="false">AH33</f>
        <v>531</v>
      </c>
      <c r="AK33" s="134" t="n">
        <f aca="false">N34+O33+P33+Q33+R33+S33+T33+U33+X33+AE33+AH33-AR33</f>
        <v>1322</v>
      </c>
      <c r="AL33" s="134" t="n">
        <f aca="false">IF(L33&lt;0,L33*-1,0)</f>
        <v>0</v>
      </c>
      <c r="AM33" s="134" t="n">
        <f aca="false">AK33+AL33</f>
        <v>1322</v>
      </c>
      <c r="AN33" s="449"/>
      <c r="AO33" s="147" t="n">
        <v>5</v>
      </c>
      <c r="AP33" s="147" t="n">
        <v>0</v>
      </c>
      <c r="AQ33" s="155" t="n">
        <f aca="false">63.14*(Z33*1.9835+AC33*1.9835)/E33</f>
        <v>2.79315036502543</v>
      </c>
      <c r="AR33" s="136" t="n">
        <v>35.207</v>
      </c>
      <c r="AS33" s="144"/>
      <c r="AT33" s="11" t="n">
        <v>0</v>
      </c>
      <c r="AV33" s="102" t="n">
        <v>0</v>
      </c>
      <c r="AW33" s="103" t="n">
        <v>79</v>
      </c>
      <c r="AX33" s="103" t="n">
        <v>45</v>
      </c>
      <c r="AY33" s="286"/>
      <c r="AZ33" s="242" t="n">
        <f aca="false">SUM(N33,P33:U33)</f>
        <v>11.1662082095072</v>
      </c>
    </row>
    <row r="34" customFormat="false" ht="12.95" hidden="false" customHeight="true" outlineLevel="0" collapsed="false">
      <c r="A34" s="10" t="n">
        <f aca="false">A33+1</f>
        <v>20</v>
      </c>
      <c r="B34" s="349" t="n">
        <v>6924.17</v>
      </c>
      <c r="C34" s="94" t="n">
        <v>381923</v>
      </c>
      <c r="D34" s="103" t="n">
        <f aca="false">C34-C33</f>
        <v>0</v>
      </c>
      <c r="E34" s="94" t="n">
        <f aca="false">C34-152000</f>
        <v>229923</v>
      </c>
      <c r="F34" s="361" t="n">
        <f aca="false">D34/$D$2</f>
        <v>0</v>
      </c>
      <c r="G34" s="134" t="n">
        <v>1010</v>
      </c>
      <c r="H34" s="97" t="n">
        <v>0.53</v>
      </c>
      <c r="I34" s="134" t="n">
        <f aca="false">G34+H34</f>
        <v>1010.53</v>
      </c>
      <c r="J34" s="362" t="n">
        <f aca="false">IF(L34&gt;0,L34,0)</f>
        <v>264.47</v>
      </c>
      <c r="K34" s="134" t="n">
        <f aca="false">I34+J34</f>
        <v>1275</v>
      </c>
      <c r="L34" s="134" t="n">
        <f aca="false">F34-(I34-AK34)</f>
        <v>264.47</v>
      </c>
      <c r="M34" s="137" t="n">
        <v>318</v>
      </c>
      <c r="N34" s="155" t="n">
        <f aca="false">(1.8299*1.03)/2</f>
        <v>0.9423985</v>
      </c>
      <c r="O34" s="97" t="n">
        <f aca="false">(43+42)*1.05</f>
        <v>89.25</v>
      </c>
      <c r="P34" s="83" t="n">
        <v>0</v>
      </c>
      <c r="Q34" s="328" t="n">
        <f aca="false">1831300/325851/1.9835*1.02</f>
        <v>2.89007028182845</v>
      </c>
      <c r="R34" s="328" t="n">
        <v>4.2</v>
      </c>
      <c r="S34" s="131" t="n">
        <f aca="false">((4491624/325851/1.9835-T34)*1.04)-4.2</f>
        <v>1.23881430745727</v>
      </c>
      <c r="T34" s="131" t="n">
        <f aca="false">1.6537*1.04</f>
        <v>1.719848</v>
      </c>
      <c r="U34" s="346" t="n">
        <v>0</v>
      </c>
      <c r="V34" s="134" t="n">
        <v>217</v>
      </c>
      <c r="W34" s="134" t="n">
        <v>77</v>
      </c>
      <c r="X34" s="135" t="n">
        <f aca="false">M34-N34-O34-P34-Q34-R34-S34-T34-U34+V34+W34-AT34+AR34</f>
        <v>546.965868910714</v>
      </c>
      <c r="Y34" s="135" t="n">
        <f aca="false">X34-AO34</f>
        <v>541.965868910714</v>
      </c>
      <c r="Z34" s="107" t="n">
        <f aca="false">Z33+AP34-AA34</f>
        <v>3258.90031143081</v>
      </c>
      <c r="AA34" s="135" t="n">
        <f aca="false">AJ34</f>
        <v>462</v>
      </c>
      <c r="AB34" s="107" t="n">
        <f aca="false">AB33+(Y34+AP34-AA34-AN34)*1.9835</f>
        <v>47013.7250891592</v>
      </c>
      <c r="AC34" s="107" t="n">
        <f aca="false">AC33-(AQ33/1.9835)</f>
        <v>1405.59626172866</v>
      </c>
      <c r="AD34" s="107"/>
      <c r="AE34" s="134" t="n">
        <v>201</v>
      </c>
      <c r="AF34" s="137" t="n">
        <v>1.7</v>
      </c>
      <c r="AG34" s="138" t="n">
        <v>1.3</v>
      </c>
      <c r="AH34" s="134" t="n">
        <v>462</v>
      </c>
      <c r="AI34" s="80" t="n">
        <f aca="false">AI33</f>
        <v>13130.2578774893</v>
      </c>
      <c r="AJ34" s="80" t="n">
        <f aca="false">AH34</f>
        <v>462</v>
      </c>
      <c r="AK34" s="134" t="n">
        <f aca="false">N35+O34+P34+Q34+R34+S34+T34+U34+X34+AE34+AH34-AR34</f>
        <v>1275</v>
      </c>
      <c r="AL34" s="134" t="n">
        <f aca="false">IF(L34&lt;0,L34*-1,0)</f>
        <v>0</v>
      </c>
      <c r="AM34" s="134" t="n">
        <f aca="false">AK34+AL34</f>
        <v>1275</v>
      </c>
      <c r="AN34" s="449"/>
      <c r="AO34" s="147" t="n">
        <v>5</v>
      </c>
      <c r="AP34" s="147" t="n">
        <v>0</v>
      </c>
      <c r="AQ34" s="155" t="n">
        <f aca="false">63.14*(Z34*1.9835+AC34*1.9835)/E34</f>
        <v>2.5407336720715</v>
      </c>
      <c r="AR34" s="136" t="n">
        <v>35.207</v>
      </c>
      <c r="AS34" s="144"/>
      <c r="AT34" s="11" t="n">
        <v>0</v>
      </c>
      <c r="AV34" s="102" t="n">
        <v>0</v>
      </c>
      <c r="AW34" s="103" t="n">
        <v>71</v>
      </c>
      <c r="AX34" s="103" t="n">
        <v>44</v>
      </c>
      <c r="AY34" s="286"/>
      <c r="AZ34" s="242" t="n">
        <f aca="false">SUM(N34,P34:U34)</f>
        <v>10.9911310892857</v>
      </c>
    </row>
    <row r="35" customFormat="false" ht="12.95" hidden="false" customHeight="true" outlineLevel="0" collapsed="false">
      <c r="A35" s="10" t="n">
        <f aca="false">A34+1</f>
        <v>21</v>
      </c>
      <c r="B35" s="349" t="n">
        <v>6924.09</v>
      </c>
      <c r="C35" s="94" t="n">
        <v>381564</v>
      </c>
      <c r="D35" s="103" t="n">
        <f aca="false">C35-C34</f>
        <v>-359</v>
      </c>
      <c r="E35" s="94" t="n">
        <f aca="false">C35-152000</f>
        <v>229564</v>
      </c>
      <c r="F35" s="361" t="n">
        <f aca="false">D35/$D$2</f>
        <v>-180.993193849256</v>
      </c>
      <c r="G35" s="134" t="n">
        <v>872</v>
      </c>
      <c r="H35" s="97" t="n">
        <v>0.36</v>
      </c>
      <c r="I35" s="134" t="n">
        <f aca="false">G35+H35</f>
        <v>872.36</v>
      </c>
      <c r="J35" s="362" t="n">
        <f aca="false">IF(L35&gt;0,L35,0)</f>
        <v>132.646806150743</v>
      </c>
      <c r="K35" s="134" t="n">
        <f aca="false">I35+J35</f>
        <v>1005.00680615074</v>
      </c>
      <c r="L35" s="134" t="n">
        <f aca="false">F35-(I35-AK35)</f>
        <v>132.646806150743</v>
      </c>
      <c r="M35" s="137" t="n">
        <v>324</v>
      </c>
      <c r="N35" s="155" t="n">
        <f aca="false">(1.8299*1.03)/2</f>
        <v>0.9423985</v>
      </c>
      <c r="O35" s="148" t="n">
        <f aca="false">(46+45)*1.05</f>
        <v>95.55</v>
      </c>
      <c r="P35" s="83" t="n">
        <v>0</v>
      </c>
      <c r="Q35" s="328" t="n">
        <f aca="false">1936600/325851/1.9835*1.02</f>
        <v>3.05624971757166</v>
      </c>
      <c r="R35" s="328" t="n">
        <v>4.2</v>
      </c>
      <c r="S35" s="131" t="n">
        <f aca="false">((4695093/325851/1.9835-T35)*1.04)-4.2</f>
        <v>1.56621555278513</v>
      </c>
      <c r="T35" s="131" t="n">
        <f aca="false">1.6537*1.04</f>
        <v>1.719848</v>
      </c>
      <c r="U35" s="346" t="n">
        <v>0</v>
      </c>
      <c r="V35" s="134" t="n">
        <v>205</v>
      </c>
      <c r="W35" s="134" t="n">
        <v>77</v>
      </c>
      <c r="X35" s="135" t="n">
        <f aca="false">M35-N35-O35-P35-Q35-R35-S35-T35-U35+V35+W35-AT35+AR35</f>
        <v>534.172288229643</v>
      </c>
      <c r="Y35" s="135" t="n">
        <f aca="false">X35-AO35</f>
        <v>529.172288229643</v>
      </c>
      <c r="Z35" s="107" t="n">
        <f aca="false">Z34+AP35-AA35</f>
        <v>2870.90031143081</v>
      </c>
      <c r="AA35" s="135" t="n">
        <f aca="false">AJ35</f>
        <v>388</v>
      </c>
      <c r="AB35" s="107" t="n">
        <f aca="false">AB34+(Y35+AP35-AA35-AN35)*1.9835</f>
        <v>47293.7403228626</v>
      </c>
      <c r="AC35" s="107" t="n">
        <f aca="false">AC34-(AQ34/1.9835)</f>
        <v>1404.31532718262</v>
      </c>
      <c r="AD35" s="107"/>
      <c r="AE35" s="134" t="n">
        <v>192</v>
      </c>
      <c r="AF35" s="137" t="n">
        <v>1.7</v>
      </c>
      <c r="AG35" s="138" t="n">
        <v>1.3</v>
      </c>
      <c r="AH35" s="134" t="n">
        <v>388</v>
      </c>
      <c r="AI35" s="80" t="n">
        <f aca="false">AI34</f>
        <v>13130.2578774893</v>
      </c>
      <c r="AJ35" s="80" t="n">
        <f aca="false">AH35</f>
        <v>388</v>
      </c>
      <c r="AK35" s="134" t="n">
        <f aca="false">N36+O35+P35+Q35+R35+S35+T35+U35+X35+AE35+AH35-AR35</f>
        <v>1186</v>
      </c>
      <c r="AL35" s="134" t="n">
        <f aca="false">IF(L35&lt;0,L35*-1,0)</f>
        <v>0</v>
      </c>
      <c r="AM35" s="134" t="n">
        <f aca="false">AK35+AL35</f>
        <v>1186</v>
      </c>
      <c r="AN35" s="449"/>
      <c r="AO35" s="147" t="n">
        <v>5</v>
      </c>
      <c r="AP35" s="147" t="n">
        <v>0</v>
      </c>
      <c r="AQ35" s="155" t="n">
        <f aca="false">63.14*(Z35*1.9835+AC35*1.9835)/E35</f>
        <v>2.33233550748219</v>
      </c>
      <c r="AR35" s="136" t="n">
        <v>35.207</v>
      </c>
      <c r="AS35" s="144"/>
      <c r="AT35" s="11" t="n">
        <v>0</v>
      </c>
      <c r="AV35" s="102" t="n">
        <v>0</v>
      </c>
      <c r="AW35" s="103" t="n">
        <v>82</v>
      </c>
      <c r="AX35" s="103" t="n">
        <v>44</v>
      </c>
      <c r="AY35" s="286"/>
      <c r="AZ35" s="242" t="n">
        <f aca="false">SUM(N35,P35:U35)</f>
        <v>11.4847117703568</v>
      </c>
    </row>
    <row r="36" customFormat="false" ht="12.95" hidden="false" customHeight="true" outlineLevel="0" collapsed="false">
      <c r="A36" s="10" t="n">
        <f aca="false">A35+1</f>
        <v>22</v>
      </c>
      <c r="B36" s="349" t="n">
        <v>6924.02</v>
      </c>
      <c r="C36" s="94" t="n">
        <v>381250</v>
      </c>
      <c r="D36" s="103" t="n">
        <f aca="false">C36-C35</f>
        <v>-314</v>
      </c>
      <c r="E36" s="94" t="n">
        <f aca="false">C36-152000</f>
        <v>229250</v>
      </c>
      <c r="F36" s="361" t="n">
        <f aca="false">D36/$D$2</f>
        <v>-158.306024703806</v>
      </c>
      <c r="G36" s="134" t="n">
        <v>870</v>
      </c>
      <c r="H36" s="97" t="n">
        <v>0.26</v>
      </c>
      <c r="I36" s="134" t="n">
        <f aca="false">G36+H36</f>
        <v>870.26</v>
      </c>
      <c r="J36" s="362" t="n">
        <f aca="false">IF(L36&gt;0,L36,0)</f>
        <v>40.4339752961934</v>
      </c>
      <c r="K36" s="134" t="n">
        <f aca="false">I36+J36</f>
        <v>910.693975296193</v>
      </c>
      <c r="L36" s="134" t="n">
        <f aca="false">F36-(I36-AK36)</f>
        <v>40.4339752961934</v>
      </c>
      <c r="M36" s="137" t="n">
        <v>328</v>
      </c>
      <c r="N36" s="155" t="n">
        <f aca="false">(1.8299*1.03)/2</f>
        <v>0.9423985</v>
      </c>
      <c r="O36" s="148" t="n">
        <f aca="false">(44+43)*1.05</f>
        <v>91.35</v>
      </c>
      <c r="P36" s="83" t="n">
        <v>0</v>
      </c>
      <c r="Q36" s="328" t="n">
        <f aca="false">2305500/325851/1.9835*1.02</f>
        <v>3.63843009597308</v>
      </c>
      <c r="R36" s="328" t="n">
        <v>4.2</v>
      </c>
      <c r="S36" s="131" t="n">
        <f aca="false">((4835711/325851/1.9835-T36)*1.04)-4.2</f>
        <v>1.79248347721348</v>
      </c>
      <c r="T36" s="131" t="n">
        <f aca="false">1.6537*1.04</f>
        <v>1.719848</v>
      </c>
      <c r="U36" s="346" t="n">
        <v>0</v>
      </c>
      <c r="V36" s="134" t="n">
        <v>205</v>
      </c>
      <c r="W36" s="134" t="n">
        <v>78</v>
      </c>
      <c r="X36" s="135" t="n">
        <f aca="false">M36-N36-O36-P36-Q36-R36-S36-T36-U36+V36+W36-AT36+AR36</f>
        <v>542.563839926813</v>
      </c>
      <c r="Y36" s="135" t="n">
        <f aca="false">X36-AO36</f>
        <v>537.563839926813</v>
      </c>
      <c r="Z36" s="107" t="n">
        <f aca="false">Z35+AP36-AA36</f>
        <v>2604.90031143081</v>
      </c>
      <c r="AA36" s="135" t="n">
        <f aca="false">AJ36</f>
        <v>266</v>
      </c>
      <c r="AB36" s="107" t="n">
        <f aca="false">AB35+(Y36+AP36-AA36-AN36)*1.9835</f>
        <v>47832.3871993575</v>
      </c>
      <c r="AC36" s="107" t="n">
        <f aca="false">AC35-(AQ35/1.9835)</f>
        <v>1403.13945851235</v>
      </c>
      <c r="AD36" s="107"/>
      <c r="AE36" s="134" t="n">
        <v>192</v>
      </c>
      <c r="AF36" s="137" t="n">
        <v>1.7</v>
      </c>
      <c r="AG36" s="138" t="n">
        <v>1.3</v>
      </c>
      <c r="AH36" s="134" t="n">
        <v>266</v>
      </c>
      <c r="AI36" s="80" t="n">
        <f aca="false">AI35</f>
        <v>13130.2578774893</v>
      </c>
      <c r="AJ36" s="80" t="n">
        <f aca="false">AH36</f>
        <v>266</v>
      </c>
      <c r="AK36" s="134" t="n">
        <f aca="false">N37+O36+P36+Q36+R36+S36+T36+U36+X36+AE36+AH36-AR36</f>
        <v>1069</v>
      </c>
      <c r="AL36" s="134" t="n">
        <f aca="false">IF(L36&lt;0,L36*-1,0)</f>
        <v>0</v>
      </c>
      <c r="AM36" s="134" t="n">
        <f aca="false">AK36+AL36</f>
        <v>1069</v>
      </c>
      <c r="AN36" s="449"/>
      <c r="AO36" s="147" t="n">
        <v>5</v>
      </c>
      <c r="AP36" s="147" t="n">
        <v>0</v>
      </c>
      <c r="AQ36" s="155" t="n">
        <f aca="false">63.14*(Z36*1.9835+AC36*1.9835)/E36</f>
        <v>2.18957315697142</v>
      </c>
      <c r="AR36" s="136" t="n">
        <v>35.207</v>
      </c>
      <c r="AS36" s="144"/>
      <c r="AT36" s="11" t="n">
        <v>0</v>
      </c>
      <c r="AV36" s="102" t="n">
        <v>0</v>
      </c>
      <c r="AW36" s="103" t="n">
        <v>90</v>
      </c>
      <c r="AX36" s="103" t="n">
        <v>53</v>
      </c>
      <c r="AY36" s="286"/>
      <c r="AZ36" s="242" t="n">
        <f aca="false">SUM(N36,P36:U36)</f>
        <v>12.2931600731866</v>
      </c>
    </row>
    <row r="37" customFormat="false" ht="12.95" hidden="false" customHeight="true" outlineLevel="0" collapsed="false">
      <c r="A37" s="10" t="n">
        <f aca="false">A36+1</f>
        <v>23</v>
      </c>
      <c r="B37" s="349" t="n">
        <v>6924.03</v>
      </c>
      <c r="C37" s="94" t="n">
        <v>381294</v>
      </c>
      <c r="D37" s="103" t="n">
        <f aca="false">C37-C36</f>
        <v>44</v>
      </c>
      <c r="E37" s="94" t="n">
        <f aca="false">C37-152000</f>
        <v>229294</v>
      </c>
      <c r="F37" s="361" t="n">
        <f aca="false">D37/$D$2</f>
        <v>22.1830098311066</v>
      </c>
      <c r="G37" s="134" t="n">
        <v>908</v>
      </c>
      <c r="H37" s="97" t="n">
        <v>0.24</v>
      </c>
      <c r="I37" s="134" t="n">
        <f aca="false">G37+H37</f>
        <v>908.24</v>
      </c>
      <c r="J37" s="362" t="n">
        <f aca="false">IF(L37&gt;0,L37,0)</f>
        <v>56.9430098311066</v>
      </c>
      <c r="K37" s="134" t="n">
        <f aca="false">I37+J37</f>
        <v>965.183009831107</v>
      </c>
      <c r="L37" s="134" t="n">
        <f aca="false">F37-(I37-AK37)</f>
        <v>56.9430098311066</v>
      </c>
      <c r="M37" s="137" t="n">
        <v>328</v>
      </c>
      <c r="N37" s="155" t="n">
        <f aca="false">(1.8299*1.03)/2</f>
        <v>0.9423985</v>
      </c>
      <c r="O37" s="148" t="n">
        <f aca="false">(39+38)*1.05</f>
        <v>80.85</v>
      </c>
      <c r="P37" s="83" t="n">
        <v>0</v>
      </c>
      <c r="Q37" s="328" t="n">
        <f aca="false">2121500/325851/1.9835*1.02</f>
        <v>3.34805007530119</v>
      </c>
      <c r="R37" s="328" t="n">
        <v>4.2</v>
      </c>
      <c r="S37" s="131" t="n">
        <f aca="false">((6169345/325851/1.9835-T37)*1.04)-4.2</f>
        <v>3.93842921052704</v>
      </c>
      <c r="T37" s="131" t="n">
        <f aca="false">1.6537*1.04</f>
        <v>1.719848</v>
      </c>
      <c r="U37" s="346" t="n">
        <v>0</v>
      </c>
      <c r="V37" s="134" t="n">
        <v>173</v>
      </c>
      <c r="W37" s="134" t="n">
        <v>76</v>
      </c>
      <c r="X37" s="135" t="n">
        <f aca="false">M37-N37-O37-P37-Q37-R37-S37-T37-U37+V37+W37-AT37+AR37</f>
        <v>517.208274214172</v>
      </c>
      <c r="Y37" s="135" t="n">
        <f aca="false">X37-AO37</f>
        <v>512.208274214172</v>
      </c>
      <c r="Z37" s="107" t="n">
        <f aca="false">Z36+AP37-AA37</f>
        <v>2419.90031143081</v>
      </c>
      <c r="AA37" s="135" t="n">
        <f aca="false">AJ37</f>
        <v>185</v>
      </c>
      <c r="AB37" s="107" t="n">
        <f aca="false">AB36+(Y37+AP37-AA37-AN37)*1.9835</f>
        <v>48481.4048112613</v>
      </c>
      <c r="AC37" s="107" t="n">
        <f aca="false">AC36-(AQ36/1.9835)</f>
        <v>1402.03556481083</v>
      </c>
      <c r="AD37" s="107"/>
      <c r="AE37" s="134" t="n">
        <v>181</v>
      </c>
      <c r="AF37" s="137" t="n">
        <v>1.7</v>
      </c>
      <c r="AG37" s="138" t="n">
        <v>1.3</v>
      </c>
      <c r="AH37" s="134" t="n">
        <v>185</v>
      </c>
      <c r="AI37" s="80" t="n">
        <f aca="false">AI36</f>
        <v>13130.2578774893</v>
      </c>
      <c r="AJ37" s="80" t="n">
        <f aca="false">AH37</f>
        <v>185</v>
      </c>
      <c r="AK37" s="134" t="n">
        <f aca="false">N38+O37+P37+Q37+R37+S37+T37+U37+X37+AE37+AH37-AR37</f>
        <v>943</v>
      </c>
      <c r="AL37" s="134" t="n">
        <f aca="false">IF(L37&lt;0,L37*-1,0)</f>
        <v>0</v>
      </c>
      <c r="AM37" s="134" t="n">
        <f aca="false">AK37+AL37</f>
        <v>943</v>
      </c>
      <c r="AN37" s="449"/>
      <c r="AO37" s="147" t="n">
        <v>5</v>
      </c>
      <c r="AP37" s="147" t="n">
        <v>0</v>
      </c>
      <c r="AQ37" s="155" t="n">
        <f aca="false">63.14*(Z37*1.9835+AC37*1.9835)/E37</f>
        <v>2.08750482540567</v>
      </c>
      <c r="AR37" s="136" t="n">
        <v>35.207</v>
      </c>
      <c r="AS37" s="144"/>
      <c r="AT37" s="11" t="n">
        <v>0</v>
      </c>
      <c r="AV37" s="102" t="n">
        <v>0</v>
      </c>
      <c r="AW37" s="103" t="n">
        <v>92</v>
      </c>
      <c r="AX37" s="103" t="n">
        <v>54</v>
      </c>
      <c r="AY37" s="286"/>
      <c r="AZ37" s="242" t="n">
        <f aca="false">SUM(N37,P37:U37)</f>
        <v>14.1487257858282</v>
      </c>
    </row>
    <row r="38" customFormat="false" ht="12.95" hidden="false" customHeight="true" outlineLevel="0" collapsed="false">
      <c r="A38" s="10" t="n">
        <f aca="false">A37+1</f>
        <v>24</v>
      </c>
      <c r="B38" s="349" t="n">
        <v>6924.12</v>
      </c>
      <c r="C38" s="94" t="n">
        <v>381698</v>
      </c>
      <c r="D38" s="103" t="n">
        <f aca="false">C38-C37</f>
        <v>404</v>
      </c>
      <c r="E38" s="94" t="n">
        <f aca="false">C38-152000</f>
        <v>229698</v>
      </c>
      <c r="F38" s="361" t="n">
        <f aca="false">D38/$D$2</f>
        <v>203.680362994706</v>
      </c>
      <c r="G38" s="134" t="n">
        <v>945</v>
      </c>
      <c r="H38" s="97" t="n">
        <v>0.27</v>
      </c>
      <c r="I38" s="134" t="n">
        <f aca="false">G38+H38</f>
        <v>945.27</v>
      </c>
      <c r="J38" s="362" t="n">
        <f aca="false">IF(L38&gt;0,L38,0)</f>
        <v>60.4103629947063</v>
      </c>
      <c r="K38" s="134" t="n">
        <f aca="false">I38+J38</f>
        <v>1005.68036299471</v>
      </c>
      <c r="L38" s="134" t="n">
        <f aca="false">F38-(I38-AK38)</f>
        <v>60.4103629947063</v>
      </c>
      <c r="M38" s="137" t="n">
        <v>330</v>
      </c>
      <c r="N38" s="155" t="n">
        <f aca="false">(1.8299*1.03)/2</f>
        <v>0.9423985</v>
      </c>
      <c r="O38" s="148" t="n">
        <f aca="false">(39+39)*1.05</f>
        <v>81.9</v>
      </c>
      <c r="P38" s="83" t="n">
        <v>0</v>
      </c>
      <c r="Q38" s="328" t="n">
        <f aca="false">2254400/325851/1.9835*1.02</f>
        <v>3.55778651414518</v>
      </c>
      <c r="R38" s="328" t="n">
        <v>4.2</v>
      </c>
      <c r="S38" s="131" t="n">
        <f aca="false">((6423775/325851/1.9835-T38)*1.04)-4.2</f>
        <v>4.10025337997893</v>
      </c>
      <c r="T38" s="131" t="n">
        <f aca="false">1.8826*1.04</f>
        <v>1.957904</v>
      </c>
      <c r="U38" s="346" t="n">
        <v>0</v>
      </c>
      <c r="V38" s="134" t="n">
        <v>118</v>
      </c>
      <c r="W38" s="134" t="n">
        <v>75</v>
      </c>
      <c r="X38" s="135" t="n">
        <f aca="false">M38-N38-O38-P38-Q38-R38-S38-T38-U38+V38+W38-AT38+AR38</f>
        <v>461.548657605876</v>
      </c>
      <c r="Y38" s="135" t="n">
        <f aca="false">X38-AO38</f>
        <v>456.548657605876</v>
      </c>
      <c r="Z38" s="107" t="n">
        <f aca="false">Z37+AP38-AA38</f>
        <v>2336.90031143081</v>
      </c>
      <c r="AA38" s="135" t="n">
        <f aca="false">AJ38</f>
        <v>83</v>
      </c>
      <c r="AB38" s="107" t="n">
        <f aca="false">AB37+(Y38+AP38-AA38-AN38)*1.9835</f>
        <v>49222.3385736225</v>
      </c>
      <c r="AC38" s="107" t="n">
        <f aca="false">AC37-(AQ37/1.9835)</f>
        <v>1400.98312980936</v>
      </c>
      <c r="AD38" s="107"/>
      <c r="AE38" s="134" t="n">
        <v>196</v>
      </c>
      <c r="AF38" s="137" t="n">
        <v>1.7</v>
      </c>
      <c r="AG38" s="138" t="n">
        <v>1.3</v>
      </c>
      <c r="AH38" s="134" t="n">
        <v>83</v>
      </c>
      <c r="AI38" s="80" t="n">
        <f aca="false">AI37</f>
        <v>13130.2578774893</v>
      </c>
      <c r="AJ38" s="80" t="n">
        <f aca="false">AH38</f>
        <v>83</v>
      </c>
      <c r="AK38" s="134" t="n">
        <f aca="false">N39+O38+P38+Q38+R38+S38+T38+U38+X38+AE38+AH38-AR38</f>
        <v>802</v>
      </c>
      <c r="AL38" s="134" t="n">
        <f aca="false">IF(L38&lt;0,L38*-1,0)</f>
        <v>0</v>
      </c>
      <c r="AM38" s="134" t="n">
        <f aca="false">AK38+AL38</f>
        <v>802</v>
      </c>
      <c r="AN38" s="449"/>
      <c r="AO38" s="147" t="n">
        <v>5</v>
      </c>
      <c r="AP38" s="147" t="n">
        <v>0</v>
      </c>
      <c r="AQ38" s="155" t="n">
        <f aca="false">63.14*(Z38*1.9835+AC38*1.9835)/E38</f>
        <v>2.03800536622822</v>
      </c>
      <c r="AR38" s="136" t="n">
        <v>35.207</v>
      </c>
      <c r="AS38" s="144"/>
      <c r="AT38" s="11" t="n">
        <v>0</v>
      </c>
      <c r="AV38" s="102" t="n">
        <v>0</v>
      </c>
      <c r="AW38" s="103" t="n">
        <v>90</v>
      </c>
      <c r="AX38" s="103" t="n">
        <v>52</v>
      </c>
      <c r="AY38" s="286"/>
      <c r="AZ38" s="242" t="n">
        <f aca="false">SUM(N38,P38:U38)</f>
        <v>14.7583423941241</v>
      </c>
    </row>
    <row r="39" customFormat="false" ht="12.95" hidden="false" customHeight="true" outlineLevel="0" collapsed="false">
      <c r="A39" s="10" t="n">
        <f aca="false">A38+1</f>
        <v>25</v>
      </c>
      <c r="B39" s="349" t="n">
        <v>6924.2</v>
      </c>
      <c r="C39" s="94" t="n">
        <v>382057</v>
      </c>
      <c r="D39" s="103" t="n">
        <f aca="false">C39-C38</f>
        <v>359</v>
      </c>
      <c r="E39" s="94" t="n">
        <f aca="false">C39-152000</f>
        <v>230057</v>
      </c>
      <c r="F39" s="361" t="n">
        <f aca="false">D39/$D$2</f>
        <v>180.993193849256</v>
      </c>
      <c r="G39" s="134" t="n">
        <v>907</v>
      </c>
      <c r="H39" s="97" t="n">
        <v>0.28</v>
      </c>
      <c r="I39" s="134" t="n">
        <f aca="false">G39+H39</f>
        <v>907.28</v>
      </c>
      <c r="J39" s="362" t="n">
        <f aca="false">IF(L39&gt;0,L39,0)</f>
        <v>28.7131938492563</v>
      </c>
      <c r="K39" s="134" t="n">
        <f aca="false">I39+J39</f>
        <v>935.993193849256</v>
      </c>
      <c r="L39" s="134" t="n">
        <f aca="false">F39-(I39-AK39)</f>
        <v>28.7131938492563</v>
      </c>
      <c r="M39" s="137" t="n">
        <v>324</v>
      </c>
      <c r="N39" s="155" t="n">
        <f aca="false">(1.8299*1.03)/2</f>
        <v>0.9423985</v>
      </c>
      <c r="O39" s="148" t="n">
        <f aca="false">(37+36)*1.05</f>
        <v>76.65</v>
      </c>
      <c r="P39" s="83" t="n">
        <v>0</v>
      </c>
      <c r="Q39" s="328" t="n">
        <f aca="false">2129400/325851/1.9835*1.02</f>
        <v>3.36051747836264</v>
      </c>
      <c r="R39" s="328" t="n">
        <v>4.2</v>
      </c>
      <c r="S39" s="131" t="n">
        <f aca="false">((5502712/325851/1.9835-T39)*1.04)-4.2</f>
        <v>2.61817417761683</v>
      </c>
      <c r="T39" s="131" t="n">
        <f aca="false">1.8826*1.04</f>
        <v>1.957904</v>
      </c>
      <c r="U39" s="346" t="n">
        <v>0</v>
      </c>
      <c r="V39" s="134" t="n">
        <v>109</v>
      </c>
      <c r="W39" s="134" t="n">
        <v>76</v>
      </c>
      <c r="X39" s="135" t="n">
        <f aca="false">M39-N39-O39-P39-Q39-R39-S39-T39-U39+V39+W39-AT39+AR39</f>
        <v>454.478005844021</v>
      </c>
      <c r="Y39" s="135" t="n">
        <f aca="false">X39-AO39</f>
        <v>449.47800584402</v>
      </c>
      <c r="Z39" s="107" t="n">
        <f aca="false">Z38+AP39-AA39</f>
        <v>2336.90031143081</v>
      </c>
      <c r="AA39" s="135" t="n">
        <f aca="false">AJ39</f>
        <v>0</v>
      </c>
      <c r="AB39" s="107" t="n">
        <f aca="false">AB38+(Y39+AP39-AA39-AN39)*1.9835</f>
        <v>50113.8781982142</v>
      </c>
      <c r="AC39" s="107" t="n">
        <f aca="false">AC38-(AQ38/1.9835)</f>
        <v>1399.9556504213</v>
      </c>
      <c r="AD39" s="107"/>
      <c r="AE39" s="134" t="n">
        <v>174</v>
      </c>
      <c r="AF39" s="137" t="n">
        <v>1.7</v>
      </c>
      <c r="AG39" s="138" t="n">
        <v>1.3</v>
      </c>
      <c r="AH39" s="134" t="n">
        <v>72</v>
      </c>
      <c r="AI39" s="80" t="n">
        <f aca="false">AI38-AH39</f>
        <v>13058.2578774893</v>
      </c>
      <c r="AJ39" s="80" t="n">
        <v>0</v>
      </c>
      <c r="AK39" s="134" t="n">
        <f aca="false">N40+O39+P39+Q39+R39+S39+T39+U39+X39+AE39+AH39-AR39</f>
        <v>755</v>
      </c>
      <c r="AL39" s="134" t="n">
        <f aca="false">IF(L39&lt;0,L39*-1,0)</f>
        <v>0</v>
      </c>
      <c r="AM39" s="134" t="n">
        <f aca="false">AK39+AL39</f>
        <v>755</v>
      </c>
      <c r="AN39" s="449"/>
      <c r="AO39" s="147" t="n">
        <v>5</v>
      </c>
      <c r="AP39" s="147" t="n">
        <v>0</v>
      </c>
      <c r="AQ39" s="155" t="n">
        <f aca="false">63.14*(Z39*1.9835+AC39*1.9835)/E39</f>
        <v>2.03426575567389</v>
      </c>
      <c r="AR39" s="136" t="n">
        <v>35.207</v>
      </c>
      <c r="AS39" s="144"/>
      <c r="AT39" s="11" t="n">
        <v>0</v>
      </c>
      <c r="AV39" s="102" t="n">
        <v>0</v>
      </c>
      <c r="AW39" s="103" t="n">
        <v>90</v>
      </c>
      <c r="AX39" s="103" t="n">
        <v>50</v>
      </c>
      <c r="AY39" s="286"/>
      <c r="AZ39" s="242" t="n">
        <f aca="false">SUM(N39,P39:U39)</f>
        <v>13.0789941559795</v>
      </c>
    </row>
    <row r="40" customFormat="false" ht="12.95" hidden="false" customHeight="true" outlineLevel="0" collapsed="false">
      <c r="A40" s="10" t="n">
        <f aca="false">A39+1</f>
        <v>26</v>
      </c>
      <c r="B40" s="349" t="n">
        <v>6924.24</v>
      </c>
      <c r="C40" s="94" t="n">
        <v>382237</v>
      </c>
      <c r="D40" s="103" t="n">
        <f aca="false">C40-C39</f>
        <v>180</v>
      </c>
      <c r="E40" s="94" t="n">
        <f aca="false">C40-152000</f>
        <v>230237</v>
      </c>
      <c r="F40" s="361" t="n">
        <f aca="false">D40/$D$2</f>
        <v>90.7486765817998</v>
      </c>
      <c r="G40" s="134" t="n">
        <v>829</v>
      </c>
      <c r="H40" s="97" t="n">
        <v>0.25</v>
      </c>
      <c r="I40" s="134" t="n">
        <f aca="false">G40+H40</f>
        <v>829.25</v>
      </c>
      <c r="J40" s="362" t="n">
        <f aca="false">IF(L40&gt;0,L40,0)</f>
        <v>50.4986765817997</v>
      </c>
      <c r="K40" s="134" t="n">
        <f aca="false">I40+J40</f>
        <v>879.7486765818</v>
      </c>
      <c r="L40" s="134" t="n">
        <f aca="false">F40-(I40-AK40)</f>
        <v>50.4986765817997</v>
      </c>
      <c r="M40" s="137" t="n">
        <v>337</v>
      </c>
      <c r="N40" s="155" t="n">
        <f aca="false">(1.8299*1.03)/2</f>
        <v>0.9423985</v>
      </c>
      <c r="O40" s="4" t="n">
        <f aca="false">(40+41)*1.05</f>
        <v>85.05</v>
      </c>
      <c r="P40" s="83" t="n">
        <v>0</v>
      </c>
      <c r="Q40" s="328" t="n">
        <f aca="false">2148400/325851/1.9835*1.02</f>
        <v>3.39050237180159</v>
      </c>
      <c r="R40" s="328" t="n">
        <v>4.2</v>
      </c>
      <c r="S40" s="131" t="n">
        <f aca="false">((4900000/325851/1.9835-T40)*1.04)-4.2</f>
        <v>1.64835243880627</v>
      </c>
      <c r="T40" s="131" t="n">
        <f aca="false">1.8826*1.04</f>
        <v>1.957904</v>
      </c>
      <c r="U40" s="346" t="n">
        <v>0</v>
      </c>
      <c r="V40" s="134" t="n">
        <v>109</v>
      </c>
      <c r="W40" s="134" t="n">
        <v>75</v>
      </c>
      <c r="X40" s="135" t="n">
        <f aca="false">M40-N40-O40-P40-Q40-R40-S40-T40-U40+V40+W40-AT40+AR40</f>
        <v>459.017842689392</v>
      </c>
      <c r="Y40" s="135" t="n">
        <f aca="false">X40-AO40</f>
        <v>454.017842689392</v>
      </c>
      <c r="Z40" s="107" t="n">
        <f aca="false">Z39+AP40-AA40</f>
        <v>2328.90031143081</v>
      </c>
      <c r="AA40" s="135" t="n">
        <f aca="false">AJ40</f>
        <v>8</v>
      </c>
      <c r="AB40" s="107" t="n">
        <f aca="false">AB39+(Y40+AP40-AA40-AN40)*1.9835</f>
        <v>50998.5545891886</v>
      </c>
      <c r="AC40" s="107" t="n">
        <f aca="false">AC39-(AQ39/1.9835)</f>
        <v>1398.93005639273</v>
      </c>
      <c r="AD40" s="107"/>
      <c r="AE40" s="455" t="n">
        <v>185</v>
      </c>
      <c r="AF40" s="137" t="n">
        <v>1.7</v>
      </c>
      <c r="AG40" s="138" t="n">
        <v>1.3</v>
      </c>
      <c r="AH40" s="134" t="n">
        <v>83</v>
      </c>
      <c r="AI40" s="80" t="n">
        <f aca="false">AI39-75</f>
        <v>12983.2578774893</v>
      </c>
      <c r="AJ40" s="80" t="n">
        <v>8</v>
      </c>
      <c r="AK40" s="134" t="n">
        <f aca="false">N41+O40+P40+Q40+R40+S40+T40+U40+X40+AE40+AH40-AR40</f>
        <v>789</v>
      </c>
      <c r="AL40" s="134" t="n">
        <f aca="false">IF(L40&lt;0,L40*-1,0)</f>
        <v>0</v>
      </c>
      <c r="AM40" s="134" t="n">
        <f aca="false">AK40+AL40</f>
        <v>789</v>
      </c>
      <c r="AN40" s="449"/>
      <c r="AO40" s="147" t="n">
        <v>5</v>
      </c>
      <c r="AP40" s="147" t="n">
        <v>0</v>
      </c>
      <c r="AQ40" s="155" t="n">
        <f aca="false">63.14*(Z40*1.9835+AC40*1.9835)/E40</f>
        <v>2.02776585819505</v>
      </c>
      <c r="AR40" s="136" t="n">
        <v>35.207</v>
      </c>
      <c r="AS40" s="144"/>
      <c r="AT40" s="4" t="n">
        <v>0</v>
      </c>
      <c r="AV40" s="102" t="n">
        <v>0</v>
      </c>
      <c r="AW40" s="103" t="n">
        <v>90</v>
      </c>
      <c r="AX40" s="103" t="n">
        <v>52</v>
      </c>
      <c r="AY40" s="286"/>
      <c r="AZ40" s="242" t="n">
        <f aca="false">SUM(N40,P40:U40)</f>
        <v>12.1391573106079</v>
      </c>
    </row>
    <row r="41" customFormat="false" ht="12.95" hidden="false" customHeight="true" outlineLevel="0" collapsed="false">
      <c r="A41" s="10" t="n">
        <f aca="false">A40+1</f>
        <v>27</v>
      </c>
      <c r="B41" s="349" t="n">
        <v>6924.21</v>
      </c>
      <c r="C41" s="94" t="n">
        <v>382102</v>
      </c>
      <c r="D41" s="103" t="n">
        <f aca="false">C41-C40</f>
        <v>-135</v>
      </c>
      <c r="E41" s="94" t="n">
        <f aca="false">C41-152000</f>
        <v>230102</v>
      </c>
      <c r="F41" s="361" t="n">
        <f aca="false">D41/$D$2</f>
        <v>-68.0615074363499</v>
      </c>
      <c r="G41" s="134" t="n">
        <v>745</v>
      </c>
      <c r="H41" s="97" t="n">
        <v>0.2</v>
      </c>
      <c r="I41" s="134" t="n">
        <f aca="false">G41+H41</f>
        <v>745.2</v>
      </c>
      <c r="J41" s="362" t="n">
        <f aca="false">IF(L41&gt;0,L41,0)</f>
        <v>0</v>
      </c>
      <c r="K41" s="134" t="n">
        <f aca="false">I41+J41</f>
        <v>745.2</v>
      </c>
      <c r="L41" s="134" t="n">
        <f aca="false">F41-(I41-AK41)</f>
        <v>-13.26150743635</v>
      </c>
      <c r="M41" s="137" t="n">
        <v>337</v>
      </c>
      <c r="N41" s="155" t="n">
        <f aca="false">(1.8299*1.03)/2</f>
        <v>0.9423985</v>
      </c>
      <c r="O41" s="148" t="n">
        <f aca="false">(39+38)*1.05</f>
        <v>80.85</v>
      </c>
      <c r="P41" s="83" t="n">
        <v>0</v>
      </c>
      <c r="Q41" s="328" t="n">
        <f aca="false">2183900/325851/1.9835*1.02</f>
        <v>3.44652677796383</v>
      </c>
      <c r="R41" s="328" t="n">
        <v>4.2</v>
      </c>
      <c r="S41" s="131" t="n">
        <f aca="false">((5396563/325851/1.9835-T41)*1.04)-4.2</f>
        <v>2.44737019867995</v>
      </c>
      <c r="T41" s="131" t="n">
        <f aca="false">1.8826*1.04</f>
        <v>1.957904</v>
      </c>
      <c r="U41" s="346" t="n">
        <v>0</v>
      </c>
      <c r="V41" s="134" t="n">
        <v>112</v>
      </c>
      <c r="W41" s="134" t="n">
        <v>76</v>
      </c>
      <c r="X41" s="135" t="n">
        <f aca="false">M41-N41-O41-P41-Q41-R41-S41-T41-U41+V41+W41-AT41+AR41</f>
        <v>466.362800523356</v>
      </c>
      <c r="Y41" s="135" t="n">
        <f aca="false">X41-AO41</f>
        <v>461.362800523356</v>
      </c>
      <c r="Z41" s="107" t="n">
        <f aca="false">Z40+AP41-AA41</f>
        <v>2324.90031143081</v>
      </c>
      <c r="AA41" s="135" t="n">
        <f aca="false">AJ41</f>
        <v>4</v>
      </c>
      <c r="AB41" s="107" t="n">
        <f aca="false">AB40+(Y41+AP41-AA41-AN41)*1.9835</f>
        <v>51905.7337040266</v>
      </c>
      <c r="AC41" s="107" t="n">
        <f aca="false">AC40-(AQ40/1.9835)</f>
        <v>1397.90773934801</v>
      </c>
      <c r="AD41" s="107"/>
      <c r="AE41" s="134" t="n">
        <v>196</v>
      </c>
      <c r="AF41" s="137" t="n">
        <v>1.7</v>
      </c>
      <c r="AG41" s="138" t="n">
        <v>1.3</v>
      </c>
      <c r="AH41" s="134" t="n">
        <v>79</v>
      </c>
      <c r="AI41" s="80" t="n">
        <f aca="false">AI40-75</f>
        <v>12908.2578774893</v>
      </c>
      <c r="AJ41" s="80" t="n">
        <v>4</v>
      </c>
      <c r="AK41" s="134" t="n">
        <f aca="false">N42+O41+P41+Q41+R41+S41+T41+U41+X41+AE41+AH41-AR41</f>
        <v>800</v>
      </c>
      <c r="AL41" s="134" t="n">
        <f aca="false">IF(L41&lt;0,L41*-1,0)</f>
        <v>13.26150743635</v>
      </c>
      <c r="AM41" s="134" t="n">
        <f aca="false">AK41+AL41</f>
        <v>813.26150743635</v>
      </c>
      <c r="AN41" s="449"/>
      <c r="AO41" s="147" t="n">
        <v>5</v>
      </c>
      <c r="AP41" s="147" t="n">
        <v>0</v>
      </c>
      <c r="AQ41" s="155" t="n">
        <f aca="false">63.14*(Z41*1.9835+AC41*1.9835)/E41</f>
        <v>2.02622203195525</v>
      </c>
      <c r="AR41" s="136" t="n">
        <v>35.207</v>
      </c>
      <c r="AS41" s="144"/>
      <c r="AT41" s="11" t="n">
        <v>0</v>
      </c>
      <c r="AV41" s="102" t="n">
        <v>0</v>
      </c>
      <c r="AW41" s="103" t="n">
        <v>92</v>
      </c>
      <c r="AX41" s="103" t="n">
        <v>50</v>
      </c>
      <c r="AY41" s="286"/>
      <c r="AZ41" s="242" t="n">
        <f aca="false">SUM(N41,P41:U41)</f>
        <v>12.9941994766438</v>
      </c>
    </row>
    <row r="42" customFormat="false" ht="12.95" hidden="false" customHeight="true" outlineLevel="0" collapsed="false">
      <c r="A42" s="10" t="n">
        <f aca="false">A41+1</f>
        <v>28</v>
      </c>
      <c r="B42" s="349" t="n">
        <v>6924.17</v>
      </c>
      <c r="C42" s="94" t="n">
        <v>381923</v>
      </c>
      <c r="D42" s="103" t="n">
        <f aca="false">C42-C41</f>
        <v>-179</v>
      </c>
      <c r="E42" s="94" t="n">
        <f aca="false">C42-152000</f>
        <v>229923</v>
      </c>
      <c r="F42" s="361" t="n">
        <f aca="false">D42/$D$2</f>
        <v>-90.2445172674565</v>
      </c>
      <c r="G42" s="134" t="n">
        <v>690</v>
      </c>
      <c r="H42" s="97" t="n">
        <v>0.21</v>
      </c>
      <c r="I42" s="134" t="n">
        <f aca="false">G42+H42</f>
        <v>690.21</v>
      </c>
      <c r="J42" s="362" t="n">
        <f aca="false">IF(L42&gt;0,L42,0)</f>
        <v>30.5454827325433</v>
      </c>
      <c r="K42" s="134" t="n">
        <f aca="false">I42+J42</f>
        <v>720.755482732543</v>
      </c>
      <c r="L42" s="134" t="n">
        <f aca="false">F42-(I42-AK42)</f>
        <v>30.5454827325433</v>
      </c>
      <c r="M42" s="137" t="n">
        <v>332</v>
      </c>
      <c r="N42" s="155" t="n">
        <f aca="false">(1.8299*1.03)/2</f>
        <v>0.9423985</v>
      </c>
      <c r="O42" s="148" t="n">
        <f aca="false">(40+41)*1.05</f>
        <v>85.05</v>
      </c>
      <c r="P42" s="83" t="n">
        <v>0</v>
      </c>
      <c r="Q42" s="328" t="n">
        <f aca="false">2004300/325851/1.9835*1.02</f>
        <v>3.16309062735148</v>
      </c>
      <c r="R42" s="328" t="n">
        <v>4.2</v>
      </c>
      <c r="S42" s="131" t="n">
        <f aca="false">((5933241/325851/1.9835-T42)*1.04)-4.2</f>
        <v>3.31093686259468</v>
      </c>
      <c r="T42" s="131" t="n">
        <f aca="false">1.8826*1.04</f>
        <v>1.957904</v>
      </c>
      <c r="U42" s="346" t="n">
        <v>0</v>
      </c>
      <c r="V42" s="134" t="n">
        <v>119</v>
      </c>
      <c r="W42" s="134" t="n">
        <v>77</v>
      </c>
      <c r="X42" s="135" t="n">
        <f aca="false">M42-N42-O42-P42-Q42-R42-S42-T42-U42+V42+W42-AT42+AR42</f>
        <v>464.582670010054</v>
      </c>
      <c r="Y42" s="135" t="n">
        <f aca="false">X42-AO42</f>
        <v>459.582670010054</v>
      </c>
      <c r="Z42" s="107" t="n">
        <f aca="false">Z41+AP42-AA42</f>
        <v>2324.90031143081</v>
      </c>
      <c r="AA42" s="135" t="n">
        <f aca="false">AJ42</f>
        <v>0</v>
      </c>
      <c r="AB42" s="107" t="n">
        <f aca="false">AB41+(Y42+AP42-AA42-AN42)*1.9835</f>
        <v>52817.3159299916</v>
      </c>
      <c r="AC42" s="107" t="n">
        <f aca="false">AC41-(AQ41/1.9835)</f>
        <v>1396.88620063767</v>
      </c>
      <c r="AD42" s="107"/>
      <c r="AE42" s="134" t="n">
        <v>210</v>
      </c>
      <c r="AF42" s="137" t="n">
        <v>1.7</v>
      </c>
      <c r="AG42" s="138" t="n">
        <v>1.3</v>
      </c>
      <c r="AH42" s="134" t="n">
        <v>73</v>
      </c>
      <c r="AI42" s="80" t="n">
        <f aca="false">AI41-AH42</f>
        <v>12835.2578774893</v>
      </c>
      <c r="AJ42" s="80"/>
      <c r="AK42" s="134" t="n">
        <f aca="false">N43+O42+P42+Q42+R42+S42+T42+U42+X42+AE42+AH42-AR42</f>
        <v>811</v>
      </c>
      <c r="AL42" s="134" t="n">
        <f aca="false">IF(L42&lt;0,L42*-1,0)</f>
        <v>0</v>
      </c>
      <c r="AM42" s="134" t="n">
        <f aca="false">AK42+AL42</f>
        <v>811</v>
      </c>
      <c r="AN42" s="449"/>
      <c r="AO42" s="147" t="n">
        <v>5</v>
      </c>
      <c r="AP42" s="147" t="n">
        <v>0</v>
      </c>
      <c r="AQ42" s="155" t="n">
        <f aca="false">63.14*(Z42*1.9835+AC42*1.9835)/E42</f>
        <v>2.0272430611025</v>
      </c>
      <c r="AR42" s="136" t="n">
        <v>35.207</v>
      </c>
      <c r="AS42" s="144"/>
      <c r="AT42" s="11" t="n">
        <v>0</v>
      </c>
      <c r="AV42" s="102" t="n">
        <v>0</v>
      </c>
      <c r="AW42" s="103" t="n">
        <v>94</v>
      </c>
      <c r="AX42" s="103" t="n">
        <v>55</v>
      </c>
      <c r="AY42" s="286"/>
      <c r="AZ42" s="242" t="n">
        <f aca="false">SUM(N42,P42:U42)</f>
        <v>13.5743299899462</v>
      </c>
    </row>
    <row r="43" customFormat="false" ht="12.95" hidden="false" customHeight="true" outlineLevel="0" collapsed="false">
      <c r="A43" s="10" t="n">
        <f aca="false">A42+1</f>
        <v>29</v>
      </c>
      <c r="B43" s="349" t="n">
        <v>6924.09</v>
      </c>
      <c r="C43" s="94" t="n">
        <v>381564</v>
      </c>
      <c r="D43" s="103" t="n">
        <f aca="false">C43-C42</f>
        <v>-359</v>
      </c>
      <c r="E43" s="94" t="n">
        <f aca="false">C43-152000</f>
        <v>229564</v>
      </c>
      <c r="F43" s="361" t="n">
        <f aca="false">D43/$D$2</f>
        <v>-180.993193849256</v>
      </c>
      <c r="G43" s="134" t="n">
        <v>673</v>
      </c>
      <c r="H43" s="97" t="n">
        <v>0.23</v>
      </c>
      <c r="I43" s="134" t="n">
        <f aca="false">G43+H43</f>
        <v>673.23</v>
      </c>
      <c r="J43" s="362" t="n">
        <f aca="false">IF(L43&gt;0,L43,0)</f>
        <v>0</v>
      </c>
      <c r="K43" s="134" t="n">
        <f aca="false">I43+J43</f>
        <v>673.23</v>
      </c>
      <c r="L43" s="134" t="n">
        <f aca="false">F43-(I43-AK43)</f>
        <v>-10.2231938492565</v>
      </c>
      <c r="M43" s="137" t="n">
        <v>340</v>
      </c>
      <c r="N43" s="155" t="n">
        <f aca="false">(1.8299*1.03)/2</f>
        <v>0.9423985</v>
      </c>
      <c r="O43" s="148" t="n">
        <f aca="false">(40+38)*1.05</f>
        <v>81.9</v>
      </c>
      <c r="P43" s="83" t="n">
        <v>0</v>
      </c>
      <c r="Q43" s="328" t="n">
        <f aca="false">1911200/325851/1.9835*1.02</f>
        <v>3.01616464950065</v>
      </c>
      <c r="R43" s="328" t="n">
        <v>4.2</v>
      </c>
      <c r="S43" s="131" t="n">
        <f aca="false">((5662989/325851/1.9835-T43)*1.04)-4.2</f>
        <v>2.99202284913088</v>
      </c>
      <c r="T43" s="131" t="n">
        <f aca="false">1.7754*1.04</f>
        <v>1.846416</v>
      </c>
      <c r="U43" s="346" t="n">
        <v>0</v>
      </c>
      <c r="V43" s="134" t="n">
        <v>136</v>
      </c>
      <c r="W43" s="134" t="n">
        <v>76</v>
      </c>
      <c r="X43" s="135" t="n">
        <f aca="false">M43-N43-O43-P43-Q43-R43-S43-T43-U43+V43+W43-AT43+AR43</f>
        <v>492.309998001368</v>
      </c>
      <c r="Y43" s="135" t="n">
        <f aca="false">X43-AO43</f>
        <v>487.309998001368</v>
      </c>
      <c r="Z43" s="107" t="n">
        <f aca="false">Z42+AP43-AA43</f>
        <v>2324.90031143081</v>
      </c>
      <c r="AA43" s="135" t="n">
        <f aca="false">AJ43</f>
        <v>0</v>
      </c>
      <c r="AB43" s="107" t="n">
        <f aca="false">AB42+(Y43+AP43-AA43-AN43)*1.9835</f>
        <v>53783.8953110273</v>
      </c>
      <c r="AC43" s="107" t="n">
        <f aca="false">AC42-(AQ42/1.9835)</f>
        <v>1395.86414716598</v>
      </c>
      <c r="AD43" s="107"/>
      <c r="AE43" s="134" t="n">
        <v>219</v>
      </c>
      <c r="AF43" s="137" t="n">
        <v>1.7</v>
      </c>
      <c r="AG43" s="138" t="n">
        <v>1.3</v>
      </c>
      <c r="AH43" s="134" t="n">
        <v>73</v>
      </c>
      <c r="AI43" s="80" t="n">
        <f aca="false">AI42-AH43</f>
        <v>12762.2578774893</v>
      </c>
      <c r="AJ43" s="80"/>
      <c r="AK43" s="134" t="n">
        <f aca="false">N44+O43+P43+Q43+R43+S43+T43+U43+X43+AE43+AH43-AR43</f>
        <v>844</v>
      </c>
      <c r="AL43" s="134" t="n">
        <f aca="false">IF(L43&lt;0,L43*-1,0)</f>
        <v>10.2231938492565</v>
      </c>
      <c r="AM43" s="134" t="n">
        <f aca="false">AK43+AL43</f>
        <v>854.223193849257</v>
      </c>
      <c r="AN43" s="449"/>
      <c r="AO43" s="147" t="n">
        <v>5</v>
      </c>
      <c r="AP43" s="147" t="n">
        <v>0</v>
      </c>
      <c r="AQ43" s="155" t="n">
        <f aca="false">63.14*(Z43*1.9835+AC43*1.9835)/E43</f>
        <v>2.02985575356324</v>
      </c>
      <c r="AR43" s="136" t="n">
        <v>35.207</v>
      </c>
      <c r="AS43" s="144"/>
      <c r="AT43" s="11" t="n">
        <v>0</v>
      </c>
      <c r="AV43" s="102" t="n">
        <v>0</v>
      </c>
      <c r="AW43" s="103" t="n">
        <v>94</v>
      </c>
      <c r="AX43" s="103" t="n">
        <v>60</v>
      </c>
      <c r="AY43" s="286"/>
      <c r="AZ43" s="242" t="n">
        <f aca="false">SUM(N43,P43:U43)</f>
        <v>12.9970019986315</v>
      </c>
    </row>
    <row r="44" customFormat="false" ht="12.95" hidden="false" customHeight="true" outlineLevel="0" collapsed="false">
      <c r="A44" s="10" t="n">
        <v>30</v>
      </c>
      <c r="B44" s="349" t="n">
        <v>6923.98</v>
      </c>
      <c r="C44" s="94" t="n">
        <v>381071</v>
      </c>
      <c r="D44" s="103" t="n">
        <f aca="false">C44-C43</f>
        <v>-493</v>
      </c>
      <c r="E44" s="94" t="n">
        <f aca="false">C44-152000</f>
        <v>229071</v>
      </c>
      <c r="F44" s="361" t="n">
        <f aca="false">D44/$D$2</f>
        <v>-248.550541971263</v>
      </c>
      <c r="G44" s="134" t="n">
        <v>680</v>
      </c>
      <c r="H44" s="97" t="n">
        <v>0.25</v>
      </c>
      <c r="I44" s="134" t="n">
        <f aca="false">G44+H44</f>
        <v>680.25</v>
      </c>
      <c r="J44" s="362" t="n">
        <f aca="false">IF(L44&gt;0,L44,0)</f>
        <v>0</v>
      </c>
      <c r="K44" s="134" t="n">
        <f aca="false">I44+J44</f>
        <v>680.25</v>
      </c>
      <c r="L44" s="134" t="n">
        <f aca="false">F44-(I44-AK44)</f>
        <v>-25.742940471263</v>
      </c>
      <c r="M44" s="137" t="n">
        <v>358</v>
      </c>
      <c r="N44" s="155" t="n">
        <f aca="false">(1.8299*1.03)/2</f>
        <v>0.9423985</v>
      </c>
      <c r="O44" s="148" t="n">
        <f aca="false">(48+44)*1.05</f>
        <v>96.6</v>
      </c>
      <c r="P44" s="83" t="n">
        <v>0</v>
      </c>
      <c r="Q44" s="328" t="n">
        <f aca="false">1848700/325851/1.9835*1.02</f>
        <v>2.91753013160938</v>
      </c>
      <c r="R44" s="328" t="n">
        <v>4.2</v>
      </c>
      <c r="S44" s="131" t="n">
        <f aca="false">((5337638/325851/1.9835-T44)*1.04)-4.2</f>
        <v>2.46850171043819</v>
      </c>
      <c r="T44" s="131" t="n">
        <f aca="false">1.7754*1.04</f>
        <v>1.846416</v>
      </c>
      <c r="U44" s="346" t="n">
        <v>0</v>
      </c>
      <c r="V44" s="134" t="n">
        <v>162</v>
      </c>
      <c r="W44" s="134" t="n">
        <v>76</v>
      </c>
      <c r="X44" s="135" t="n">
        <f aca="false">M44-N44-O44-P44-Q44-R44-S44-T44-U44+V44+W44-AT44+AR44</f>
        <v>522.258153657952</v>
      </c>
      <c r="Y44" s="135" t="n">
        <f aca="false">X44-AO44</f>
        <v>517.258153657952</v>
      </c>
      <c r="Z44" s="107" t="n">
        <f aca="false">Z43+AP44-AA44</f>
        <v>2369.77031143081</v>
      </c>
      <c r="AA44" s="135" t="n">
        <f aca="false">AJ44</f>
        <v>0</v>
      </c>
      <c r="AB44" s="107" t="n">
        <f aca="false">AB43+(Y44+AP44-AA44-AN44)*1.9835</f>
        <v>54898.8765038079</v>
      </c>
      <c r="AC44" s="107" t="n">
        <f aca="false">AC43-(AQ43/1.9835)</f>
        <v>1394.84077648105</v>
      </c>
      <c r="AD44" s="107"/>
      <c r="AE44" s="134" t="n">
        <v>235</v>
      </c>
      <c r="AF44" s="137" t="n">
        <v>1.7</v>
      </c>
      <c r="AG44" s="138" t="n">
        <v>1.3</v>
      </c>
      <c r="AH44" s="134" t="n">
        <v>73</v>
      </c>
      <c r="AI44" s="80" t="n">
        <f aca="false">AI43-AH44</f>
        <v>12689.2578774893</v>
      </c>
      <c r="AJ44" s="80"/>
      <c r="AK44" s="134" t="n">
        <f aca="false">N45+O44+P44+Q44+R44+S44+T44+U44+X44+AE44+AH44-AR44</f>
        <v>903.0576015</v>
      </c>
      <c r="AL44" s="134" t="n">
        <f aca="false">IF(L44&lt;0,L44*-1,0)</f>
        <v>25.742940471263</v>
      </c>
      <c r="AM44" s="134" t="n">
        <f aca="false">AK44+AL44</f>
        <v>928.800541971263</v>
      </c>
      <c r="AN44" s="449"/>
      <c r="AO44" s="147" t="n">
        <v>5</v>
      </c>
      <c r="AP44" s="147" t="n">
        <v>44.87</v>
      </c>
      <c r="AQ44" s="155" t="n">
        <f aca="false">63.14*(Z44*1.9835+AC44*1.9835)/E44</f>
        <v>2.05819627409848</v>
      </c>
      <c r="AR44" s="136" t="n">
        <v>35.233</v>
      </c>
      <c r="AS44" s="144"/>
      <c r="AT44" s="11" t="n">
        <v>0</v>
      </c>
      <c r="AV44" s="102" t="n">
        <v>0</v>
      </c>
      <c r="AW44" s="103" t="n">
        <v>95</v>
      </c>
      <c r="AX44" s="103" t="n">
        <v>55</v>
      </c>
      <c r="AY44" s="286"/>
      <c r="AZ44" s="242" t="n">
        <f aca="false">SUM(N44,P44:U44)</f>
        <v>12.3748463420476</v>
      </c>
    </row>
    <row r="45" customFormat="false" ht="3" hidden="false" customHeight="true" outlineLevel="0" collapsed="false">
      <c r="A45" s="109"/>
      <c r="B45" s="365"/>
      <c r="C45" s="119" t="s">
        <v>132</v>
      </c>
      <c r="D45" s="116"/>
      <c r="E45" s="119"/>
      <c r="F45" s="355"/>
      <c r="G45" s="116"/>
      <c r="H45" s="118"/>
      <c r="I45" s="116"/>
      <c r="J45" s="116"/>
      <c r="K45" s="116"/>
      <c r="L45" s="116"/>
      <c r="M45" s="120"/>
      <c r="N45" s="116"/>
      <c r="O45" s="116"/>
      <c r="P45" s="116"/>
      <c r="Q45" s="116"/>
      <c r="R45" s="116"/>
      <c r="S45" s="116"/>
      <c r="T45" s="116"/>
      <c r="U45" s="357"/>
      <c r="V45" s="116"/>
      <c r="W45" s="116"/>
      <c r="X45" s="116"/>
      <c r="Y45" s="116"/>
      <c r="Z45" s="119"/>
      <c r="AA45" s="116"/>
      <c r="AB45" s="225"/>
      <c r="AC45" s="119"/>
      <c r="AD45" s="119"/>
      <c r="AE45" s="116"/>
      <c r="AF45" s="120"/>
      <c r="AG45" s="121"/>
      <c r="AH45" s="116"/>
      <c r="AI45" s="116"/>
      <c r="AJ45" s="116"/>
      <c r="AK45" s="116"/>
      <c r="AL45" s="116"/>
      <c r="AM45" s="116"/>
      <c r="AN45" s="454"/>
      <c r="AO45" s="123"/>
      <c r="AP45" s="123"/>
      <c r="AQ45" s="230"/>
      <c r="AR45" s="232"/>
      <c r="AS45" s="230"/>
      <c r="AT45" s="235"/>
      <c r="AU45" s="232"/>
      <c r="AV45" s="125"/>
      <c r="AW45" s="123"/>
      <c r="AX45" s="123"/>
      <c r="AY45" s="358"/>
      <c r="AZ45" s="359"/>
    </row>
    <row r="46" customFormat="false" ht="12.95" hidden="false" customHeight="true" outlineLevel="0" collapsed="false">
      <c r="A46" s="11" t="s">
        <v>101</v>
      </c>
      <c r="B46" s="344"/>
      <c r="C46" s="94"/>
      <c r="D46" s="94"/>
      <c r="E46" s="94"/>
      <c r="F46" s="345" t="n">
        <f aca="false">SUM(F15:F44)</f>
        <v>7552.30652886312</v>
      </c>
      <c r="G46" s="80" t="n">
        <f aca="false">SUM(G15:G44)</f>
        <v>47299</v>
      </c>
      <c r="H46" s="147" t="n">
        <f aca="false">SUM(H15:H44)</f>
        <v>198.76</v>
      </c>
      <c r="I46" s="80" t="n">
        <f aca="false">SUM(I15:I44)</f>
        <v>47497.76</v>
      </c>
      <c r="J46" s="80" t="n">
        <f aca="false">SUM(J15:J44)</f>
        <v>5677.33177211999</v>
      </c>
      <c r="K46" s="80" t="n">
        <f aca="false">SUM(K15:K44)</f>
        <v>53175.09177212</v>
      </c>
      <c r="L46" s="80" t="n">
        <f aca="false">SUM(L15:L44)</f>
        <v>5628.10413036312</v>
      </c>
      <c r="M46" s="98" t="n">
        <f aca="false">SUM(M15:M44)</f>
        <v>9742</v>
      </c>
      <c r="N46" s="94" t="n">
        <f aca="false">SUM(N15:N44)</f>
        <v>28.271955</v>
      </c>
      <c r="O46" s="103" t="n">
        <f aca="false">SUM(O15:O44)</f>
        <v>2522.1</v>
      </c>
      <c r="P46" s="83" t="n">
        <f aca="false">SUM(P15:P44)</f>
        <v>0</v>
      </c>
      <c r="Q46" s="103" t="n">
        <f aca="false">SUM(Q15:Q44)</f>
        <v>90.515555639373</v>
      </c>
      <c r="R46" s="103" t="n">
        <f aca="false">SUM(R15:R44)</f>
        <v>126</v>
      </c>
      <c r="S46" s="103" t="n">
        <f aca="false">SUM(S15:S44)</f>
        <v>61.0028806828726</v>
      </c>
      <c r="T46" s="103" t="n">
        <f aca="false">SUM(T15:T44)</f>
        <v>53.049672</v>
      </c>
      <c r="U46" s="350" t="n">
        <f aca="false">SUM(U15:U44)</f>
        <v>0</v>
      </c>
      <c r="V46" s="80" t="n">
        <f aca="false">SUM(V15:V44)</f>
        <v>5098</v>
      </c>
      <c r="W46" s="80" t="n">
        <f aca="false">SUM(W15:W44)</f>
        <v>2296</v>
      </c>
      <c r="X46" s="80" t="n">
        <f aca="false">SUM(X15:X44)</f>
        <v>15051.7889366778</v>
      </c>
      <c r="Y46" s="80" t="n">
        <f aca="false">SUM(Y15:Y44)</f>
        <v>14901.7889366778</v>
      </c>
      <c r="Z46" s="80"/>
      <c r="AA46" s="80" t="n">
        <f aca="false">SUM(AA15:AA44)</f>
        <v>21330</v>
      </c>
      <c r="AB46" s="107"/>
      <c r="AC46" s="80"/>
      <c r="AD46" s="80"/>
      <c r="AE46" s="80" t="n">
        <f aca="false">SUM(AE15:AE44)</f>
        <v>6927</v>
      </c>
      <c r="AF46" s="98" t="n">
        <f aca="false">SUM(AF15:AF44)</f>
        <v>51</v>
      </c>
      <c r="AG46" s="99" t="n">
        <f aca="false">SUM(AG15:AG44)</f>
        <v>39</v>
      </c>
      <c r="AH46" s="80" t="n">
        <f aca="false">SUM(AH15:AH44)</f>
        <v>21771</v>
      </c>
      <c r="AI46" s="80"/>
      <c r="AJ46" s="80" t="n">
        <f aca="false">SUM(AJ15:AJ44)</f>
        <v>21330</v>
      </c>
      <c r="AK46" s="80" t="n">
        <f aca="false">SUM(AK15:AK44)</f>
        <v>45573.5576015</v>
      </c>
      <c r="AL46" s="80" t="n">
        <f aca="false">SUM(AL15:AL44)</f>
        <v>49.2276417568695</v>
      </c>
      <c r="AM46" s="80" t="n">
        <f aca="false">SUM(AM15:AM44)</f>
        <v>45622.7852432569</v>
      </c>
      <c r="AN46" s="80" t="n">
        <f aca="false">SUM(AN15:AN44)</f>
        <v>175.46</v>
      </c>
      <c r="AO46" s="80" t="n">
        <f aca="false">SUM(AO15:AO44)</f>
        <v>150</v>
      </c>
      <c r="AP46" s="134"/>
      <c r="AQ46" s="155"/>
      <c r="AR46" s="80" t="n">
        <f aca="false">SUM(AR15:AR44)</f>
        <v>1056.229</v>
      </c>
      <c r="AS46" s="144" t="n">
        <f aca="false">SUM(AS15:AS44)</f>
        <v>0</v>
      </c>
      <c r="AT46" s="147" t="n">
        <f aca="false">SUM(AT15:AT44)</f>
        <v>259.5</v>
      </c>
      <c r="AU46" s="97" t="n">
        <f aca="false">SUM(AU15:AU44)</f>
        <v>0</v>
      </c>
      <c r="AV46" s="102" t="n">
        <f aca="false">SUM(AV15:AV44)</f>
        <v>0</v>
      </c>
      <c r="AW46" s="103" t="n">
        <f aca="false">AVERAGE(AW15:AW44)</f>
        <v>84.8666666666667</v>
      </c>
      <c r="AX46" s="103" t="n">
        <f aca="false">AVERAGE(AX15:AX44)</f>
        <v>48.7666666666667</v>
      </c>
      <c r="AY46" s="456" t="s">
        <v>125</v>
      </c>
      <c r="AZ46" s="367" t="n">
        <f aca="false">SUM(AZ15:AZ44)</f>
        <v>358.840063322246</v>
      </c>
    </row>
    <row r="47" customFormat="false" ht="12.95" hidden="false" customHeight="true" outlineLevel="0" collapsed="false">
      <c r="A47" s="11" t="s">
        <v>103</v>
      </c>
      <c r="B47" s="344"/>
      <c r="C47" s="94"/>
      <c r="D47" s="94" t="n">
        <f aca="false">SUM(D15:D44)</f>
        <v>14980</v>
      </c>
      <c r="E47" s="94"/>
      <c r="F47" s="345" t="n">
        <f aca="false">F46*$D$2</f>
        <v>14980</v>
      </c>
      <c r="G47" s="80" t="n">
        <f aca="false">G46*$D$2</f>
        <v>93817.5665</v>
      </c>
      <c r="H47" s="147" t="n">
        <f aca="false">H46*$D$2</f>
        <v>394.24046</v>
      </c>
      <c r="I47" s="80" t="n">
        <f aca="false">I46*$D$2</f>
        <v>94211.80696</v>
      </c>
      <c r="J47" s="80" t="n">
        <f aca="false">J46*$D$2</f>
        <v>11260.98757</v>
      </c>
      <c r="K47" s="80" t="n">
        <f aca="false">K46*$D$2</f>
        <v>105472.79453</v>
      </c>
      <c r="L47" s="80" t="n">
        <f aca="false">L46*$D$2</f>
        <v>11163.3445425752</v>
      </c>
      <c r="M47" s="98" t="n">
        <f aca="false">M46*$D$2</f>
        <v>19323.257</v>
      </c>
      <c r="N47" s="94" t="n">
        <f aca="false">N46*$D$2</f>
        <v>56.0774227425</v>
      </c>
      <c r="O47" s="103" t="n">
        <f aca="false">O46*$D$2</f>
        <v>5002.58535</v>
      </c>
      <c r="P47" s="83" t="n">
        <f aca="false">P46*$D$2</f>
        <v>0</v>
      </c>
      <c r="Q47" s="103" t="n">
        <f aca="false">Q46*$D$2</f>
        <v>179.537604610696</v>
      </c>
      <c r="R47" s="103" t="n">
        <f aca="false">R46*$D$2</f>
        <v>249.921</v>
      </c>
      <c r="S47" s="103" t="n">
        <f aca="false">S46*$D$2</f>
        <v>120.999213834478</v>
      </c>
      <c r="T47" s="103" t="n">
        <f aca="false">T46*$D$2</f>
        <v>105.224024412</v>
      </c>
      <c r="U47" s="350" t="n">
        <f aca="false">U46*$D$2</f>
        <v>0</v>
      </c>
      <c r="V47" s="80" t="n">
        <f aca="false">V46*$D$2</f>
        <v>10111.883</v>
      </c>
      <c r="W47" s="80" t="n">
        <f aca="false">W46*$D$2</f>
        <v>4554.116</v>
      </c>
      <c r="X47" s="80" t="n">
        <f aca="false">X46*$D$2</f>
        <v>29855.2233559003</v>
      </c>
      <c r="Y47" s="80" t="n">
        <f aca="false">Y46*$D$2</f>
        <v>29557.6983559003</v>
      </c>
      <c r="Z47" s="80"/>
      <c r="AA47" s="80" t="n">
        <f aca="false">AA46*$D$2</f>
        <v>42308.055</v>
      </c>
      <c r="AB47" s="107"/>
      <c r="AC47" s="80"/>
      <c r="AD47" s="80"/>
      <c r="AE47" s="80" t="n">
        <f aca="false">AE46*$D$2</f>
        <v>13739.7045</v>
      </c>
      <c r="AF47" s="98" t="n">
        <f aca="false">AF46*$D$2</f>
        <v>101.1585</v>
      </c>
      <c r="AG47" s="99" t="n">
        <f aca="false">AG46*$D$2</f>
        <v>77.3565</v>
      </c>
      <c r="AH47" s="80" t="n">
        <f aca="false">AH46*$D$2</f>
        <v>43182.7785</v>
      </c>
      <c r="AI47" s="80"/>
      <c r="AJ47" s="80" t="n">
        <f aca="false">AJ46*$D$2</f>
        <v>42308.055</v>
      </c>
      <c r="AK47" s="80" t="n">
        <f aca="false">AK46*$D$2</f>
        <v>90395.1515025753</v>
      </c>
      <c r="AL47" s="80" t="n">
        <f aca="false">AL46*$D$2</f>
        <v>97.6430274247507</v>
      </c>
      <c r="AM47" s="80" t="n">
        <f aca="false">AM46*$D$2</f>
        <v>90492.79453</v>
      </c>
      <c r="AN47" s="80" t="n">
        <f aca="false">AN46*$D$2</f>
        <v>348.02491</v>
      </c>
      <c r="AO47" s="80" t="n">
        <f aca="false">AO46*$D$2</f>
        <v>297.525</v>
      </c>
      <c r="AP47" s="134"/>
      <c r="AQ47" s="155" t="n">
        <f aca="false">SUM(AQ15:AQ44)</f>
        <v>164.054598116764</v>
      </c>
      <c r="AR47" s="80" t="n">
        <f aca="false">AR46*$D$2</f>
        <v>2095.0302215</v>
      </c>
      <c r="AS47" s="155" t="n">
        <f aca="false">AS46*$D$2</f>
        <v>0</v>
      </c>
      <c r="AT47" s="207" t="n">
        <f aca="false">AT46*$D$2</f>
        <v>514.71825</v>
      </c>
      <c r="AU47" s="136" t="n">
        <f aca="false">AU46*$D$2</f>
        <v>0</v>
      </c>
      <c r="AV47" s="102"/>
      <c r="AW47" s="103" t="n">
        <f aca="false">MAX(AW15:AW44)</f>
        <v>95</v>
      </c>
      <c r="AX47" s="103" t="n">
        <f aca="false">MAX(AX15:AX44)</f>
        <v>60</v>
      </c>
      <c r="AY47" s="456" t="s">
        <v>104</v>
      </c>
      <c r="AZ47" s="367" t="n">
        <f aca="false">AZ46*$D$2</f>
        <v>711.759265599674</v>
      </c>
    </row>
    <row r="48" customFormat="false" ht="3" hidden="false" customHeight="true" outlineLevel="0" collapsed="false">
      <c r="A48" s="109"/>
      <c r="B48" s="365"/>
      <c r="C48" s="119"/>
      <c r="D48" s="119"/>
      <c r="E48" s="119"/>
      <c r="F48" s="358"/>
      <c r="G48" s="119"/>
      <c r="H48" s="123"/>
      <c r="I48" s="119"/>
      <c r="J48" s="119"/>
      <c r="K48" s="119"/>
      <c r="L48" s="119"/>
      <c r="M48" s="152"/>
      <c r="N48" s="119"/>
      <c r="O48" s="123"/>
      <c r="P48" s="356"/>
      <c r="Q48" s="118"/>
      <c r="R48" s="118"/>
      <c r="S48" s="119"/>
      <c r="T48" s="119"/>
      <c r="U48" s="153"/>
      <c r="V48" s="119"/>
      <c r="W48" s="119"/>
      <c r="X48" s="119"/>
      <c r="Y48" s="119"/>
      <c r="Z48" s="119"/>
      <c r="AA48" s="119"/>
      <c r="AB48" s="225"/>
      <c r="AC48" s="119"/>
      <c r="AD48" s="119"/>
      <c r="AE48" s="119"/>
      <c r="AF48" s="152"/>
      <c r="AG48" s="153"/>
      <c r="AH48" s="119"/>
      <c r="AI48" s="116"/>
      <c r="AJ48" s="119"/>
      <c r="AK48" s="119"/>
      <c r="AL48" s="119"/>
      <c r="AM48" s="119"/>
      <c r="AN48" s="119"/>
      <c r="AO48" s="119"/>
      <c r="AP48" s="119"/>
      <c r="AQ48" s="230"/>
      <c r="AR48" s="119"/>
      <c r="AS48" s="230"/>
      <c r="AT48" s="235"/>
      <c r="AU48" s="232"/>
      <c r="AV48" s="154"/>
      <c r="AW48" s="119"/>
      <c r="AX48" s="119"/>
      <c r="AY48" s="358"/>
      <c r="AZ48" s="359"/>
    </row>
    <row r="49" customFormat="false" ht="12.95" hidden="false" customHeight="true" outlineLevel="0" collapsed="false">
      <c r="A49" s="11" t="s">
        <v>105</v>
      </c>
      <c r="B49" s="344"/>
      <c r="C49" s="94"/>
      <c r="D49" s="94"/>
      <c r="E49" s="94"/>
      <c r="F49" s="345" t="n">
        <f aca="false">F12+F46</f>
        <v>50669.5235694479</v>
      </c>
      <c r="G49" s="80" t="n">
        <f aca="false">G12+G46</f>
        <v>99896</v>
      </c>
      <c r="H49" s="147" t="n">
        <f aca="false">H12+H46</f>
        <v>4572.56</v>
      </c>
      <c r="I49" s="80" t="n">
        <f aca="false">I12+I46</f>
        <v>104468.56</v>
      </c>
      <c r="J49" s="80" t="n">
        <f aca="false">J12+J46</f>
        <v>20300.4488127048</v>
      </c>
      <c r="K49" s="80" t="n">
        <f aca="false">K12+K46</f>
        <v>124769.008812705</v>
      </c>
      <c r="L49" s="80" t="n">
        <f aca="false">L12+L46</f>
        <v>20251.2211709479</v>
      </c>
      <c r="M49" s="98" t="n">
        <f aca="false">M12+M46</f>
        <v>19605.3</v>
      </c>
      <c r="N49" s="94" t="n">
        <f aca="false">N12+N46</f>
        <v>85.7582635</v>
      </c>
      <c r="O49" s="103" t="n">
        <f aca="false">O12+O46</f>
        <v>6244.5075</v>
      </c>
      <c r="P49" s="83" t="n">
        <f aca="false">P12+P46</f>
        <v>7.363</v>
      </c>
      <c r="Q49" s="148"/>
      <c r="R49" s="148"/>
      <c r="S49" s="94"/>
      <c r="T49" s="94"/>
      <c r="U49" s="99"/>
      <c r="V49" s="80" t="n">
        <f aca="false">V12+V46</f>
        <v>8876.6</v>
      </c>
      <c r="W49" s="80" t="n">
        <f aca="false">W12+W46</f>
        <v>4383.98</v>
      </c>
      <c r="X49" s="80" t="n">
        <f aca="false">X12+X46</f>
        <v>26593.6496249482</v>
      </c>
      <c r="Y49" s="80" t="n">
        <f aca="false">Y12+Y46</f>
        <v>25996.0696249482</v>
      </c>
      <c r="Z49" s="80" t="n">
        <f aca="false">Z44</f>
        <v>2369.77031143081</v>
      </c>
      <c r="AA49" s="80" t="n">
        <f aca="false">AA12+AA46</f>
        <v>28682</v>
      </c>
      <c r="AB49" s="107"/>
      <c r="AC49" s="457"/>
      <c r="AD49" s="457"/>
      <c r="AE49" s="80" t="n">
        <f aca="false">AE12+AE46</f>
        <v>9430.14</v>
      </c>
      <c r="AF49" s="98" t="n">
        <f aca="false">AF12+AF46</f>
        <v>154.7</v>
      </c>
      <c r="AG49" s="99" t="n">
        <f aca="false">AG12+AG46</f>
        <v>118.3</v>
      </c>
      <c r="AH49" s="80"/>
      <c r="AI49" s="457"/>
      <c r="AJ49" s="80" t="n">
        <f aca="false">AJ12+AJ46</f>
        <v>28682</v>
      </c>
      <c r="AK49" s="80" t="n">
        <f aca="false">AK12+AK46</f>
        <v>74050.2576015</v>
      </c>
      <c r="AL49" s="80" t="n">
        <f aca="false">AL12+AL46</f>
        <v>49.2276417568695</v>
      </c>
      <c r="AM49" s="80" t="n">
        <f aca="false">AM12+AM46</f>
        <v>74099.4852432569</v>
      </c>
      <c r="AN49" s="80"/>
      <c r="AO49" s="80"/>
      <c r="AP49" s="134"/>
      <c r="AQ49" s="155"/>
      <c r="AR49" s="80" t="n">
        <f aca="false">AR12+AR46</f>
        <v>1371.008</v>
      </c>
      <c r="AS49" s="155" t="n">
        <f aca="false">AS12+AS46</f>
        <v>0</v>
      </c>
      <c r="AT49" s="155" t="n">
        <f aca="false">AT12+AT46</f>
        <v>604.53</v>
      </c>
      <c r="AU49" s="136" t="n">
        <f aca="false">AU12+AU46</f>
        <v>0</v>
      </c>
      <c r="AV49" s="102"/>
      <c r="AW49" s="103" t="n">
        <f aca="false">MIN(AW15:AW44)</f>
        <v>71</v>
      </c>
      <c r="AX49" s="103" t="n">
        <f aca="false">MIN(AX15:AX44)</f>
        <v>39</v>
      </c>
      <c r="AY49" s="456" t="s">
        <v>106</v>
      </c>
      <c r="AZ49" s="367" t="n">
        <f aca="false">AZ12+AZ46</f>
        <v>358.840063322246</v>
      </c>
    </row>
    <row r="50" customFormat="false" ht="12.95" hidden="false" customHeight="true" outlineLevel="0" collapsed="false">
      <c r="A50" s="11" t="s">
        <v>107</v>
      </c>
      <c r="B50" s="344"/>
      <c r="C50" s="94"/>
      <c r="D50" s="94"/>
      <c r="E50" s="94"/>
      <c r="F50" s="345" t="n">
        <f aca="false">F49*$D$2</f>
        <v>100503</v>
      </c>
      <c r="G50" s="80" t="n">
        <f aca="false">G49*$D$2</f>
        <v>198143.716</v>
      </c>
      <c r="H50" s="147" t="n">
        <f aca="false">H49*$D$2</f>
        <v>9069.67276</v>
      </c>
      <c r="I50" s="80" t="n">
        <f aca="false">I49*$D$2</f>
        <v>207213.38876</v>
      </c>
      <c r="J50" s="80" t="n">
        <f aca="false">J49*$D$2</f>
        <v>40265.94022</v>
      </c>
      <c r="K50" s="80" t="n">
        <f aca="false">K49*$D$2</f>
        <v>247479.32898</v>
      </c>
      <c r="L50" s="80" t="n">
        <f aca="false">L49*$D$2</f>
        <v>40168.2971925752</v>
      </c>
      <c r="M50" s="98" t="n">
        <f aca="false">M49*$D$2</f>
        <v>38887.11255</v>
      </c>
      <c r="N50" s="94" t="n">
        <f aca="false">N49*$D$2</f>
        <v>170.10151565225</v>
      </c>
      <c r="O50" s="103" t="n">
        <f aca="false">O49*$D$2</f>
        <v>12385.98062625</v>
      </c>
      <c r="P50" s="83" t="n">
        <f aca="false">P49*$D$2</f>
        <v>14.6045105</v>
      </c>
      <c r="Q50" s="148"/>
      <c r="R50" s="148"/>
      <c r="S50" s="94"/>
      <c r="T50" s="94"/>
      <c r="U50" s="99"/>
      <c r="V50" s="80" t="n">
        <f aca="false">V49*$D$2</f>
        <v>17606.7361</v>
      </c>
      <c r="W50" s="80" t="n">
        <f aca="false">W49*$D$2</f>
        <v>8695.62433</v>
      </c>
      <c r="X50" s="80" t="n">
        <f aca="false">X49*$D$2</f>
        <v>52748.5040310848</v>
      </c>
      <c r="Y50" s="80" t="n">
        <f aca="false">Y49*$D$2</f>
        <v>51563.2041010849</v>
      </c>
      <c r="Z50" s="80" t="n">
        <f aca="false">Z49*$D$2</f>
        <v>4700.43941272301</v>
      </c>
      <c r="AA50" s="80" t="n">
        <f aca="false">AA49*$D$2</f>
        <v>56890.747</v>
      </c>
      <c r="AB50" s="107"/>
      <c r="AC50" s="80"/>
      <c r="AD50" s="80"/>
      <c r="AE50" s="80" t="n">
        <f aca="false">AE49*$D$2</f>
        <v>18704.68269</v>
      </c>
      <c r="AF50" s="98" t="n">
        <f aca="false">AF49*$D$2</f>
        <v>306.84745</v>
      </c>
      <c r="AG50" s="99" t="n">
        <f aca="false">AG49*$D$2</f>
        <v>234.64805</v>
      </c>
      <c r="AH50" s="80"/>
      <c r="AI50" s="80"/>
      <c r="AJ50" s="80" t="n">
        <f aca="false">AJ49*$D$2</f>
        <v>56890.747</v>
      </c>
      <c r="AK50" s="80" t="n">
        <f aca="false">AK49*$D$2</f>
        <v>146878.685952575</v>
      </c>
      <c r="AL50" s="80" t="n">
        <f aca="false">AL49*$D$2</f>
        <v>97.6430274247507</v>
      </c>
      <c r="AM50" s="80" t="n">
        <f aca="false">AM49*$D$2</f>
        <v>146976.32898</v>
      </c>
      <c r="AN50" s="80"/>
      <c r="AO50" s="80"/>
      <c r="AP50" s="134"/>
      <c r="AQ50" s="155" t="n">
        <f aca="false">AQ12+AQ47</f>
        <v>635.388206123944</v>
      </c>
      <c r="AR50" s="80" t="n">
        <f aca="false">AR49*$D$2</f>
        <v>2719.394368</v>
      </c>
      <c r="AS50" s="144" t="n">
        <f aca="false">AS49*$D$2</f>
        <v>0</v>
      </c>
      <c r="AT50" s="147" t="n">
        <f aca="false">AT49*$D$2</f>
        <v>1199.085255</v>
      </c>
      <c r="AU50" s="97" t="n">
        <f aca="false">AU49*$D$2</f>
        <v>0</v>
      </c>
      <c r="AV50" s="102"/>
      <c r="AW50" s="103"/>
      <c r="AX50" s="103"/>
      <c r="AY50" s="286"/>
      <c r="AZ50" s="367" t="n">
        <f aca="false">AZ49*$D$2</f>
        <v>711.759265599674</v>
      </c>
    </row>
    <row r="51" customFormat="false" ht="3" hidden="false" customHeight="true" outlineLevel="0" collapsed="false">
      <c r="A51" s="109"/>
      <c r="B51" s="365"/>
      <c r="C51" s="119"/>
      <c r="D51" s="119"/>
      <c r="E51" s="119"/>
      <c r="F51" s="358"/>
      <c r="G51" s="119"/>
      <c r="H51" s="123"/>
      <c r="I51" s="119"/>
      <c r="J51" s="119"/>
      <c r="K51" s="119"/>
      <c r="L51" s="119"/>
      <c r="M51" s="152"/>
      <c r="N51" s="119"/>
      <c r="O51" s="123"/>
      <c r="P51" s="356"/>
      <c r="Q51" s="118"/>
      <c r="R51" s="118"/>
      <c r="S51" s="119"/>
      <c r="T51" s="119"/>
      <c r="U51" s="153"/>
      <c r="V51" s="119"/>
      <c r="W51" s="119"/>
      <c r="X51" s="119"/>
      <c r="Y51" s="119"/>
      <c r="Z51" s="119"/>
      <c r="AA51" s="119"/>
      <c r="AB51" s="225"/>
      <c r="AC51" s="119"/>
      <c r="AD51" s="119"/>
      <c r="AE51" s="119"/>
      <c r="AF51" s="152"/>
      <c r="AG51" s="153"/>
      <c r="AH51" s="119"/>
      <c r="AI51" s="119"/>
      <c r="AJ51" s="119"/>
      <c r="AK51" s="119"/>
      <c r="AL51" s="119"/>
      <c r="AM51" s="119"/>
      <c r="AN51" s="119"/>
      <c r="AO51" s="368"/>
      <c r="AP51" s="368"/>
      <c r="AQ51" s="230"/>
      <c r="AR51" s="119"/>
      <c r="AS51" s="230"/>
      <c r="AT51" s="235"/>
      <c r="AU51" s="232"/>
      <c r="AV51" s="125"/>
      <c r="AW51" s="368"/>
      <c r="AX51" s="368"/>
      <c r="AY51" s="358"/>
      <c r="AZ51" s="359"/>
    </row>
    <row r="52" customFormat="false" ht="12.95" hidden="false" customHeight="true" outlineLevel="0" collapsed="false">
      <c r="A52" s="11" t="s">
        <v>108</v>
      </c>
      <c r="B52" s="344"/>
      <c r="C52" s="94"/>
      <c r="D52" s="94"/>
      <c r="E52" s="94"/>
      <c r="F52" s="345" t="n">
        <f aca="false">F13+F46</f>
        <v>52271.2377111167</v>
      </c>
      <c r="G52" s="80" t="n">
        <f aca="false">G13+G46</f>
        <v>111131</v>
      </c>
      <c r="H52" s="147" t="n">
        <f aca="false">H13+H46</f>
        <v>5133.14</v>
      </c>
      <c r="I52" s="80" t="n">
        <f aca="false">I13+I46</f>
        <v>116264.14</v>
      </c>
      <c r="J52" s="80" t="n">
        <f aca="false">J13+J46</f>
        <v>23398.9592614066</v>
      </c>
      <c r="K52" s="80" t="n">
        <f aca="false">K13+K46</f>
        <v>139663.099261407</v>
      </c>
      <c r="L52" s="80" t="n">
        <f aca="false">L13+L46</f>
        <v>22330.7453126167</v>
      </c>
      <c r="M52" s="98" t="n">
        <f aca="false">M13+M46</f>
        <v>20528.41</v>
      </c>
      <c r="N52" s="94" t="n">
        <f aca="false">N13+N46</f>
        <v>85.7582635</v>
      </c>
      <c r="O52" s="103" t="n">
        <f aca="false">O13+O46</f>
        <v>6244.5075</v>
      </c>
      <c r="P52" s="83"/>
      <c r="Q52" s="103" t="n">
        <f aca="false">Q13+Q46</f>
        <v>457.419487522786</v>
      </c>
      <c r="R52" s="103" t="n">
        <f aca="false">R13+R46</f>
        <v>573.783361972769</v>
      </c>
      <c r="S52" s="103" t="n">
        <f aca="false">S13+S46</f>
        <v>71.4374583822397</v>
      </c>
      <c r="T52" s="103" t="n">
        <f aca="false">T13+T46</f>
        <v>301.254876</v>
      </c>
      <c r="U52" s="350" t="n">
        <f aca="false">U13+U46</f>
        <v>-12.2414035208269</v>
      </c>
      <c r="V52" s="80" t="n">
        <f aca="false">V13+V46</f>
        <v>14970.6</v>
      </c>
      <c r="W52" s="80" t="n">
        <f aca="false">W13+W46</f>
        <v>4442.26</v>
      </c>
      <c r="X52" s="80" t="n">
        <f aca="false">X13+X46</f>
        <v>32978.465456143</v>
      </c>
      <c r="Y52" s="80" t="n">
        <f aca="false">Y13+Y46</f>
        <v>32179.0862263028</v>
      </c>
      <c r="Z52" s="80"/>
      <c r="AA52" s="80"/>
      <c r="AB52" s="107"/>
      <c r="AC52" s="80"/>
      <c r="AD52" s="80"/>
      <c r="AE52" s="80"/>
      <c r="AF52" s="80" t="n">
        <f aca="false">AF13+AF46</f>
        <v>51</v>
      </c>
      <c r="AG52" s="80" t="n">
        <f aca="false">AG13+AG46</f>
        <v>39</v>
      </c>
      <c r="AH52" s="80" t="n">
        <f aca="false">AH13+AH46</f>
        <v>37222</v>
      </c>
      <c r="AI52" s="80" t="n">
        <f aca="false">AI44</f>
        <v>12689.2578774893</v>
      </c>
      <c r="AJ52" s="80" t="n">
        <f aca="false">AJ13+AJ46</f>
        <v>28682</v>
      </c>
      <c r="AK52" s="80" t="n">
        <f aca="false">AK13+AK46</f>
        <v>86323.6476015</v>
      </c>
      <c r="AL52" s="80" t="n">
        <f aca="false">AL13+AL46</f>
        <v>1068.21394878989</v>
      </c>
      <c r="AM52" s="80" t="n">
        <f aca="false">AM13+AM46</f>
        <v>87391.8615502899</v>
      </c>
      <c r="AN52" s="80"/>
      <c r="AO52" s="80" t="n">
        <f aca="false">AO13+AO46</f>
        <v>799.379229840203</v>
      </c>
      <c r="AP52" s="134"/>
      <c r="AQ52" s="155"/>
      <c r="AR52" s="80" t="n">
        <f aca="false">AR13+AR46</f>
        <v>1371.008</v>
      </c>
      <c r="AS52" s="144" t="n">
        <f aca="false">AS13+AS46</f>
        <v>0</v>
      </c>
      <c r="AT52" s="147"/>
      <c r="AV52" s="102" t="n">
        <f aca="false">AV13+AV46</f>
        <v>6.883</v>
      </c>
      <c r="AW52" s="103"/>
      <c r="AX52" s="103"/>
      <c r="AY52" s="286"/>
      <c r="AZ52" s="367" t="n">
        <f aca="false">AZ13+AZ46</f>
        <v>1484.77504385697</v>
      </c>
    </row>
    <row r="53" customFormat="false" ht="12.95" hidden="false" customHeight="true" outlineLevel="0" collapsed="false">
      <c r="A53" s="11" t="s">
        <v>109</v>
      </c>
      <c r="B53" s="344"/>
      <c r="C53" s="94"/>
      <c r="D53" s="94" t="n">
        <f aca="false">D13+D47</f>
        <v>103680</v>
      </c>
      <c r="E53" s="94" t="n">
        <f aca="false">E44</f>
        <v>229071</v>
      </c>
      <c r="F53" s="345" t="n">
        <f aca="false">F52*$D$2</f>
        <v>103680</v>
      </c>
      <c r="G53" s="80" t="n">
        <f aca="false">G52*$D$2</f>
        <v>220428.3385</v>
      </c>
      <c r="H53" s="147" t="n">
        <f aca="false">H52*$D$2</f>
        <v>10181.58319</v>
      </c>
      <c r="I53" s="80" t="n">
        <f aca="false">I52*$D$2</f>
        <v>230609.92169</v>
      </c>
      <c r="J53" s="80" t="n">
        <f aca="false">J52*$D$2</f>
        <v>46411.835695</v>
      </c>
      <c r="K53" s="80" t="n">
        <f aca="false">K52*$D$2</f>
        <v>277021.757385</v>
      </c>
      <c r="L53" s="80" t="n">
        <f aca="false">L52*$D$2</f>
        <v>44293.0333275752</v>
      </c>
      <c r="M53" s="98" t="n">
        <f aca="false">M52*$D$2</f>
        <v>40718.101235</v>
      </c>
      <c r="N53" s="94" t="n">
        <f aca="false">N52*$D$2</f>
        <v>170.10151565225</v>
      </c>
      <c r="O53" s="103" t="n">
        <f aca="false">O52*$D$2</f>
        <v>12385.98062625</v>
      </c>
      <c r="P53" s="83"/>
      <c r="Q53" s="103" t="n">
        <f aca="false">Q52*$D$2</f>
        <v>907.291553501447</v>
      </c>
      <c r="R53" s="103" t="n">
        <f aca="false">R52*$D$2</f>
        <v>1138.09929847299</v>
      </c>
      <c r="S53" s="103" t="n">
        <f aca="false">S52*$D$2</f>
        <v>141.696198701172</v>
      </c>
      <c r="T53" s="103" t="n">
        <f aca="false">T52*$D$2</f>
        <v>597.539046546</v>
      </c>
      <c r="U53" s="350" t="n">
        <f aca="false">U52*$D$2</f>
        <v>-24.2808238835601</v>
      </c>
      <c r="V53" s="80" t="n">
        <f aca="false">V52*$D$2</f>
        <v>29694.1851</v>
      </c>
      <c r="W53" s="80" t="n">
        <f aca="false">W52*$D$2</f>
        <v>8811.22271</v>
      </c>
      <c r="X53" s="80" t="n">
        <f aca="false">X52*$D$2</f>
        <v>65412.7862322597</v>
      </c>
      <c r="Y53" s="80" t="n">
        <f aca="false">Y52*$D$2</f>
        <v>63827.2175298717</v>
      </c>
      <c r="Z53" s="80"/>
      <c r="AA53" s="80"/>
      <c r="AB53" s="107"/>
      <c r="AC53" s="80"/>
      <c r="AD53" s="80"/>
      <c r="AE53" s="80"/>
      <c r="AF53" s="80" t="n">
        <f aca="false">AF52*$D$2</f>
        <v>101.1585</v>
      </c>
      <c r="AG53" s="80" t="n">
        <f aca="false">AG52*$D$2</f>
        <v>77.3565</v>
      </c>
      <c r="AH53" s="80" t="n">
        <f aca="false">AH52*$D$2</f>
        <v>73829.837</v>
      </c>
      <c r="AI53" s="80" t="n">
        <f aca="false">AI52*$D$2</f>
        <v>25169.143</v>
      </c>
      <c r="AJ53" s="80" t="n">
        <f aca="false">AJ52*$D$2</f>
        <v>56890.747</v>
      </c>
      <c r="AK53" s="80" t="n">
        <f aca="false">AK52*$D$2</f>
        <v>171222.955017575</v>
      </c>
      <c r="AL53" s="80" t="n">
        <f aca="false">AL52*$D$2</f>
        <v>2118.80236742475</v>
      </c>
      <c r="AM53" s="80" t="n">
        <f aca="false">AM52*$D$2</f>
        <v>173341.757385</v>
      </c>
      <c r="AN53" s="94" t="n">
        <f aca="false">AN13+AN47</f>
        <v>13403.62026</v>
      </c>
      <c r="AO53" s="80" t="n">
        <f aca="false">AO52*$D$2</f>
        <v>1585.56870238804</v>
      </c>
      <c r="AP53" s="134"/>
      <c r="AQ53" s="155" t="n">
        <f aca="false">AQ13+AQ47</f>
        <v>635.388206123944</v>
      </c>
      <c r="AR53" s="80" t="n">
        <f aca="false">AR52*$D$2</f>
        <v>2719.394368</v>
      </c>
      <c r="AS53" s="144" t="n">
        <f aca="false">AS52*$D$2</f>
        <v>0</v>
      </c>
      <c r="AT53" s="147"/>
      <c r="AV53" s="102"/>
      <c r="AW53" s="103"/>
      <c r="AX53" s="103"/>
      <c r="AY53" s="286"/>
      <c r="AZ53" s="367" t="n">
        <f aca="false">AZ52*$D$2</f>
        <v>2945.0512994903</v>
      </c>
    </row>
    <row r="54" customFormat="false" ht="3" hidden="false" customHeight="true" outlineLevel="0" collapsed="false">
      <c r="A54" s="109"/>
      <c r="B54" s="365"/>
      <c r="C54" s="119"/>
      <c r="D54" s="116"/>
      <c r="E54" s="119"/>
      <c r="F54" s="355"/>
      <c r="G54" s="116"/>
      <c r="H54" s="118"/>
      <c r="I54" s="116"/>
      <c r="J54" s="116"/>
      <c r="K54" s="458"/>
      <c r="L54" s="116"/>
      <c r="M54" s="120"/>
      <c r="N54" s="116"/>
      <c r="O54" s="118"/>
      <c r="P54" s="356"/>
      <c r="Q54" s="118"/>
      <c r="R54" s="118"/>
      <c r="S54" s="116"/>
      <c r="T54" s="116"/>
      <c r="U54" s="357"/>
      <c r="V54" s="116"/>
      <c r="W54" s="116"/>
      <c r="X54" s="116"/>
      <c r="Y54" s="116"/>
      <c r="Z54" s="119"/>
      <c r="AA54" s="116"/>
      <c r="AB54" s="225"/>
      <c r="AC54" s="119"/>
      <c r="AD54" s="119"/>
      <c r="AE54" s="116"/>
      <c r="AF54" s="114"/>
      <c r="AG54" s="160"/>
      <c r="AH54" s="116"/>
      <c r="AI54" s="119"/>
      <c r="AJ54" s="459"/>
      <c r="AK54" s="116"/>
      <c r="AL54" s="116"/>
      <c r="AM54" s="116"/>
      <c r="AN54" s="365"/>
      <c r="AO54" s="116"/>
      <c r="AP54" s="116"/>
      <c r="AQ54" s="230"/>
      <c r="AR54" s="232"/>
      <c r="AS54" s="230"/>
      <c r="AT54" s="230"/>
      <c r="AU54" s="232"/>
      <c r="AV54" s="365"/>
      <c r="AW54" s="116"/>
      <c r="AX54" s="116"/>
      <c r="AY54" s="358"/>
      <c r="AZ54" s="359"/>
    </row>
    <row r="55" customFormat="false" ht="14.1" hidden="false" customHeight="true" outlineLevel="0" collapsed="false">
      <c r="A55" s="166"/>
      <c r="B55" s="169"/>
      <c r="D55" s="11"/>
      <c r="E55" s="460"/>
      <c r="I55" s="11"/>
      <c r="J55" s="11"/>
      <c r="K55" s="461"/>
      <c r="L55" s="173"/>
      <c r="M55" s="11"/>
      <c r="N55" s="11"/>
      <c r="Q55" s="462"/>
      <c r="S55" s="11"/>
      <c r="T55" s="11"/>
      <c r="V55" s="11"/>
      <c r="W55" s="11"/>
      <c r="X55" s="11"/>
      <c r="Y55" s="11"/>
      <c r="AA55" s="11"/>
      <c r="AB55" s="173"/>
      <c r="AE55" s="11"/>
      <c r="AF55" s="11"/>
      <c r="AG55" s="11"/>
      <c r="AH55" s="11"/>
      <c r="AI55" s="460"/>
      <c r="AJ55" s="463"/>
      <c r="AK55" s="11"/>
      <c r="AL55" s="11"/>
      <c r="AM55" s="11"/>
      <c r="AN55" s="10"/>
      <c r="AO55" s="10"/>
      <c r="AP55" s="14"/>
      <c r="AQ55" s="69"/>
      <c r="AR55" s="405"/>
      <c r="AX55" s="9"/>
    </row>
    <row r="56" customFormat="false" ht="11.1" hidden="false" customHeight="true" outlineLevel="0" collapsed="false">
      <c r="A56" s="11"/>
      <c r="B56" s="169"/>
      <c r="E56" s="379"/>
      <c r="F56" s="184"/>
      <c r="I56" s="12"/>
      <c r="J56" s="11"/>
      <c r="K56" s="170"/>
      <c r="L56" s="175"/>
      <c r="M56" s="11"/>
      <c r="N56" s="11"/>
      <c r="S56" s="130"/>
      <c r="T56" s="130"/>
      <c r="U56" s="93"/>
      <c r="V56" s="26"/>
      <c r="W56" s="130"/>
      <c r="X56" s="464"/>
      <c r="Y56" s="464"/>
      <c r="Z56" s="173"/>
      <c r="AA56" s="464"/>
      <c r="AB56" s="173"/>
      <c r="AC56" s="173"/>
      <c r="AD56" s="173"/>
      <c r="AE56" s="26"/>
      <c r="AF56" s="26"/>
      <c r="AG56" s="26"/>
      <c r="AH56" s="11"/>
      <c r="AI56" s="2"/>
      <c r="AJ56" s="105"/>
      <c r="AK56" s="11"/>
      <c r="AL56" s="11"/>
      <c r="AM56" s="11"/>
      <c r="AN56" s="10"/>
      <c r="AO56" s="10"/>
      <c r="AP56" s="14"/>
      <c r="AX56" s="9"/>
    </row>
    <row r="57" customFormat="false" ht="11.1" hidden="false" customHeight="true" outlineLevel="0" collapsed="false">
      <c r="B57" s="173"/>
      <c r="C57" s="173"/>
      <c r="D57" s="172"/>
      <c r="E57" s="379"/>
      <c r="F57" s="217"/>
      <c r="K57" s="380"/>
      <c r="L57" s="438"/>
      <c r="M57" s="465"/>
      <c r="N57" s="465"/>
      <c r="O57" s="466"/>
      <c r="P57" s="467"/>
      <c r="Q57" s="466"/>
      <c r="R57" s="466"/>
      <c r="S57" s="26"/>
      <c r="T57" s="26"/>
      <c r="U57" s="93"/>
      <c r="V57" s="26"/>
      <c r="W57" s="130"/>
      <c r="X57" s="90"/>
      <c r="Y57" s="90"/>
      <c r="Z57" s="173"/>
      <c r="AA57" s="90"/>
      <c r="AC57" s="173"/>
      <c r="AD57" s="173"/>
      <c r="AE57" s="173"/>
      <c r="AF57" s="173"/>
      <c r="AG57" s="173"/>
      <c r="AI57" s="26"/>
      <c r="AJ57" s="468"/>
      <c r="AN57" s="87"/>
      <c r="AO57" s="87"/>
      <c r="AP57" s="87"/>
    </row>
    <row r="58" customFormat="false" ht="11.1" hidden="false" customHeight="true" outlineLevel="0" collapsed="false">
      <c r="B58" s="172"/>
      <c r="C58" s="173"/>
      <c r="D58" s="173"/>
      <c r="E58" s="379"/>
      <c r="H58" s="175"/>
      <c r="K58" s="380"/>
      <c r="L58" s="175"/>
      <c r="O58" s="175"/>
      <c r="P58" s="8"/>
      <c r="Q58" s="175"/>
      <c r="R58" s="175"/>
      <c r="S58" s="26"/>
      <c r="T58" s="26"/>
      <c r="U58" s="93"/>
      <c r="V58" s="26"/>
      <c r="W58" s="26"/>
      <c r="X58" s="90"/>
      <c r="Y58" s="90"/>
      <c r="Z58" s="178"/>
      <c r="AA58" s="90"/>
      <c r="AC58" s="178"/>
      <c r="AD58" s="178"/>
      <c r="AE58" s="173"/>
      <c r="AF58" s="173"/>
      <c r="AG58" s="173"/>
      <c r="AI58" s="173"/>
      <c r="AJ58" s="217"/>
      <c r="AN58" s="87"/>
      <c r="AO58" s="87"/>
      <c r="AP58" s="87"/>
    </row>
    <row r="59" customFormat="false" ht="11.1" hidden="false" customHeight="true" outlineLevel="0" collapsed="false">
      <c r="B59" s="8"/>
      <c r="C59" s="173"/>
      <c r="D59" s="173"/>
      <c r="E59" s="379"/>
      <c r="F59" s="381"/>
      <c r="G59" s="172"/>
      <c r="K59" s="170"/>
      <c r="Z59" s="2"/>
      <c r="AC59" s="2"/>
      <c r="AD59" s="2"/>
      <c r="AN59" s="87"/>
      <c r="AO59" s="87"/>
      <c r="AP59" s="87"/>
    </row>
    <row r="61" customFormat="false" ht="11.1" hidden="false" customHeight="true" outlineLevel="0" collapsed="false">
      <c r="B61" s="167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89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Y27" activePane="bottomRight" state="frozen"/>
      <selection pane="topLeft" activeCell="A1" activeCellId="0" sqref="A1"/>
      <selection pane="topRight" activeCell="Y1" activeCellId="0" sqref="Y1"/>
      <selection pane="bottomLeft" activeCell="A27" activeCellId="0" sqref="A27"/>
      <selection pane="bottomRight" activeCell="AI2" activeCellId="0" sqref="AI2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175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18" min="17" style="175" width="4.32"/>
    <col collapsed="false" customWidth="true" hidden="false" outlineLevel="0" max="20" min="19" style="172" width="4.32"/>
    <col collapsed="false" customWidth="true" hidden="false" outlineLevel="0" max="21" min="21" style="8" width="5.16"/>
    <col collapsed="false" customWidth="true" hidden="false" outlineLevel="0" max="23" min="22" style="172" width="5.49"/>
    <col collapsed="false" customWidth="true" hidden="false" outlineLevel="0" max="25" min="24" style="173" width="6.32"/>
    <col collapsed="false" customWidth="true" hidden="false" outlineLevel="0" max="26" min="26" style="172" width="5.49"/>
    <col collapsed="false" customWidth="true" hidden="false" outlineLevel="0" max="27" min="27" style="173" width="6.32"/>
    <col collapsed="false" customWidth="true" hidden="false" outlineLevel="0" max="28" min="28" style="172" width="5.49"/>
    <col collapsed="false" customWidth="true" hidden="false" outlineLevel="0" max="29" min="29" style="172" width="5.82"/>
    <col collapsed="false" customWidth="true" hidden="false" outlineLevel="0" max="30" min="30" style="178" width="5.49"/>
    <col collapsed="false" customWidth="true" hidden="false" outlineLevel="0" max="33" min="31" style="172" width="5.49"/>
    <col collapsed="false" customWidth="true" hidden="false" outlineLevel="0" max="34" min="34" style="173" width="5.82"/>
    <col collapsed="false" customWidth="true" hidden="false" outlineLevel="0" max="35" min="35" style="172" width="5.49"/>
    <col collapsed="false" customWidth="true" hidden="false" outlineLevel="0" max="36" min="36" style="176" width="6.32"/>
    <col collapsed="false" customWidth="true" hidden="false" outlineLevel="0" max="37" min="37" style="172" width="6.32"/>
    <col collapsed="false" customWidth="true" hidden="false" outlineLevel="0" max="38" min="38" style="172" width="6.82"/>
    <col collapsed="false" customWidth="true" hidden="false" outlineLevel="0" max="39" min="39" style="8" width="6.82"/>
    <col collapsed="false" customWidth="true" hidden="false" outlineLevel="0" max="41" min="40" style="172" width="5.49"/>
    <col collapsed="false" customWidth="true" hidden="false" outlineLevel="0" max="42" min="42" style="175" width="6.32"/>
    <col collapsed="false" customWidth="true" hidden="false" outlineLevel="0" max="43" min="43" style="315" width="6.32"/>
    <col collapsed="false" customWidth="true" hidden="false" outlineLevel="0" max="44" min="44" style="315" width="5.49"/>
    <col collapsed="false" customWidth="true" hidden="false" outlineLevel="0" max="45" min="45" style="315" width="5.99"/>
    <col collapsed="false" customWidth="true" hidden="false" outlineLevel="0" max="46" min="46" style="381" width="5.82"/>
    <col collapsed="false" customWidth="true" hidden="false" outlineLevel="0" max="47" min="47" style="175" width="4.99"/>
    <col collapsed="false" customWidth="true" hidden="false" outlineLevel="0" max="48" min="48" style="178" width="5.32"/>
    <col collapsed="false" customWidth="true" hidden="false" outlineLevel="0" max="49" min="49" style="178" width="3.82"/>
    <col collapsed="false" customWidth="true" hidden="false" outlineLevel="0" max="50" min="50" style="179" width="3.82"/>
    <col collapsed="false" customWidth="true" hidden="false" outlineLevel="0" max="51" min="51" style="180" width="3.82"/>
    <col collapsed="false" customWidth="true" hidden="false" outlineLevel="0" max="52" min="52" style="180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1"/>
      <c r="B1" s="11"/>
      <c r="C1" s="2"/>
      <c r="D1" s="11"/>
      <c r="E1" s="2"/>
      <c r="F1" s="11"/>
      <c r="G1" s="11"/>
      <c r="H1" s="4"/>
      <c r="I1" s="11"/>
      <c r="J1" s="11"/>
      <c r="K1" s="13" t="s">
        <v>0</v>
      </c>
      <c r="L1" s="11"/>
      <c r="M1" s="11"/>
      <c r="N1" s="11"/>
      <c r="O1" s="11"/>
      <c r="P1" s="5"/>
      <c r="Q1" s="11"/>
      <c r="R1" s="11"/>
      <c r="S1" s="11"/>
      <c r="T1" s="11"/>
      <c r="U1" s="5"/>
      <c r="V1" s="11"/>
      <c r="W1" s="11"/>
      <c r="X1" s="2"/>
      <c r="Y1" s="2"/>
      <c r="Z1" s="11"/>
      <c r="AA1" s="2"/>
      <c r="AB1" s="11"/>
      <c r="AC1" s="11"/>
      <c r="AD1" s="9"/>
      <c r="AE1" s="11"/>
      <c r="AF1" s="11"/>
      <c r="AG1" s="11"/>
      <c r="AH1" s="2"/>
      <c r="AI1" s="11"/>
      <c r="AJ1" s="14"/>
      <c r="AK1" s="11"/>
      <c r="AL1" s="11"/>
      <c r="AM1" s="5"/>
      <c r="AN1" s="14"/>
      <c r="AO1" s="14"/>
      <c r="AP1" s="469"/>
      <c r="AS1" s="6"/>
      <c r="AT1" s="88"/>
      <c r="AU1" s="4"/>
      <c r="AV1" s="3"/>
      <c r="AW1" s="9"/>
      <c r="AX1" s="1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4.1" hidden="false" customHeight="true" outlineLevel="0" collapsed="false">
      <c r="A2" s="14" t="s">
        <v>1</v>
      </c>
      <c r="B2" s="11"/>
      <c r="C2" s="2"/>
      <c r="D2" s="15" t="n">
        <v>1.9835</v>
      </c>
      <c r="E2" s="2"/>
      <c r="F2" s="11"/>
      <c r="G2" s="11"/>
      <c r="H2" s="4"/>
      <c r="I2" s="11"/>
      <c r="J2" s="11"/>
      <c r="K2" s="338" t="s">
        <v>133</v>
      </c>
      <c r="L2" s="339"/>
      <c r="M2" s="340"/>
      <c r="N2" s="340"/>
      <c r="O2" s="340"/>
      <c r="P2" s="6"/>
      <c r="Q2" s="340"/>
      <c r="R2" s="340"/>
      <c r="S2" s="340"/>
      <c r="T2" s="340"/>
      <c r="U2" s="6"/>
      <c r="V2" s="340"/>
      <c r="W2" s="340"/>
      <c r="X2" s="341"/>
      <c r="Y2" s="341"/>
      <c r="Z2" s="340"/>
      <c r="AA2" s="341"/>
      <c r="AB2" s="340"/>
      <c r="AC2" s="340"/>
      <c r="AD2" s="10"/>
      <c r="AE2" s="340"/>
      <c r="AF2" s="340"/>
      <c r="AG2" s="340"/>
      <c r="AH2" s="341"/>
      <c r="AI2" s="11"/>
      <c r="AJ2" s="14"/>
      <c r="AK2" s="11"/>
      <c r="AL2" s="11"/>
      <c r="AM2" s="5"/>
      <c r="AN2" s="14"/>
      <c r="AO2" s="14"/>
      <c r="AP2" s="469"/>
      <c r="AS2" s="6"/>
      <c r="AT2" s="88"/>
      <c r="AU2" s="4"/>
      <c r="AV2" s="3"/>
      <c r="AW2" s="9"/>
      <c r="AX2" s="1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16"/>
      <c r="U3" s="20"/>
      <c r="V3" s="16"/>
      <c r="W3" s="16"/>
      <c r="X3" s="17"/>
      <c r="Y3" s="17"/>
      <c r="Z3" s="16"/>
      <c r="AA3" s="17"/>
      <c r="AB3" s="16"/>
      <c r="AC3" s="16"/>
      <c r="AD3" s="28"/>
      <c r="AE3" s="16"/>
      <c r="AF3" s="16"/>
      <c r="AG3" s="16"/>
      <c r="AH3" s="17"/>
      <c r="AI3" s="16"/>
      <c r="AJ3" s="342"/>
      <c r="AK3" s="16"/>
      <c r="AL3" s="16"/>
      <c r="AM3" s="20"/>
      <c r="AN3" s="342"/>
      <c r="AO3" s="342"/>
      <c r="AP3" s="470"/>
      <c r="AS3" s="6"/>
      <c r="AT3" s="88"/>
      <c r="AU3" s="4"/>
      <c r="AV3" s="27"/>
      <c r="AW3" s="28"/>
      <c r="AX3" s="29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" customFormat="true" ht="14.1" hidden="false" customHeight="true" outlineLevel="0" collapsed="false">
      <c r="A4" s="11"/>
      <c r="B4" s="32"/>
      <c r="C4" s="33"/>
      <c r="D4" s="34" t="s">
        <v>3</v>
      </c>
      <c r="E4" s="33"/>
      <c r="F4" s="31"/>
      <c r="G4" s="11"/>
      <c r="H4" s="4"/>
      <c r="I4" s="337" t="s">
        <v>134</v>
      </c>
      <c r="J4" s="11"/>
      <c r="K4" s="11"/>
      <c r="L4" s="37"/>
      <c r="M4" s="11"/>
      <c r="N4" s="11"/>
      <c r="O4" s="11"/>
      <c r="P4" s="5"/>
      <c r="Q4" s="11"/>
      <c r="R4" s="11"/>
      <c r="S4" s="11"/>
      <c r="T4" s="11"/>
      <c r="U4" s="5"/>
      <c r="V4" s="471"/>
      <c r="W4" s="11"/>
      <c r="X4" s="471" t="s">
        <v>5</v>
      </c>
      <c r="Y4" s="2"/>
      <c r="Z4" s="11"/>
      <c r="AA4" s="2"/>
      <c r="AB4" s="11"/>
      <c r="AC4" s="11"/>
      <c r="AD4" s="9"/>
      <c r="AE4" s="11"/>
      <c r="AF4" s="11"/>
      <c r="AG4" s="11"/>
      <c r="AH4" s="2"/>
      <c r="AI4" s="11"/>
      <c r="AJ4" s="14"/>
      <c r="AK4" s="11"/>
      <c r="AL4" s="11"/>
      <c r="AM4" s="5"/>
      <c r="AN4" s="444"/>
      <c r="AO4" s="53"/>
      <c r="AP4" s="472" t="s">
        <v>6</v>
      </c>
      <c r="AQ4" s="47"/>
      <c r="AR4" s="47"/>
      <c r="AS4" s="38"/>
      <c r="AT4" s="50"/>
      <c r="AU4" s="473"/>
      <c r="AV4" s="51"/>
      <c r="AW4" s="52" t="s">
        <v>7</v>
      </c>
      <c r="AX4" s="53"/>
      <c r="AY4" s="285"/>
      <c r="AZ4" s="320"/>
    </row>
    <row r="5" customFormat="false" ht="12.95" hidden="false" customHeight="true" outlineLevel="0" collapsed="false">
      <c r="A5" s="313" t="s">
        <v>8</v>
      </c>
      <c r="B5" s="403" t="s">
        <v>9</v>
      </c>
      <c r="C5" s="404" t="s">
        <v>9</v>
      </c>
      <c r="D5" s="313" t="s">
        <v>10</v>
      </c>
      <c r="E5" s="404" t="s">
        <v>11</v>
      </c>
      <c r="F5" s="313" t="s">
        <v>12</v>
      </c>
      <c r="G5" s="403" t="s">
        <v>13</v>
      </c>
      <c r="H5" s="405" t="s">
        <v>14</v>
      </c>
      <c r="I5" s="313" t="s">
        <v>15</v>
      </c>
      <c r="J5" s="313" t="s">
        <v>16</v>
      </c>
      <c r="K5" s="313" t="s">
        <v>17</v>
      </c>
      <c r="L5" s="313" t="s">
        <v>16</v>
      </c>
      <c r="M5" s="406" t="s">
        <v>18</v>
      </c>
      <c r="N5" s="406"/>
      <c r="O5" s="406"/>
      <c r="P5" s="406"/>
      <c r="Q5" s="406"/>
      <c r="R5" s="406"/>
      <c r="S5" s="406"/>
      <c r="T5" s="406"/>
      <c r="U5" s="406"/>
      <c r="V5" s="313" t="s">
        <v>19</v>
      </c>
      <c r="W5" s="31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4" t="s">
        <v>22</v>
      </c>
      <c r="AD5" s="409" t="s">
        <v>21</v>
      </c>
      <c r="AE5" s="313" t="s">
        <v>23</v>
      </c>
      <c r="AF5" s="407" t="s">
        <v>127</v>
      </c>
      <c r="AG5" s="408"/>
      <c r="AH5" s="409" t="s">
        <v>25</v>
      </c>
      <c r="AI5" s="404" t="s">
        <v>128</v>
      </c>
      <c r="AJ5" s="404" t="s">
        <v>27</v>
      </c>
      <c r="AK5" s="313" t="s">
        <v>15</v>
      </c>
      <c r="AL5" s="313" t="s">
        <v>16</v>
      </c>
      <c r="AM5" s="313" t="s">
        <v>17</v>
      </c>
      <c r="AN5" s="44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5" t="s">
        <v>32</v>
      </c>
      <c r="AU5" s="202" t="s">
        <v>33</v>
      </c>
      <c r="AV5" s="410" t="s">
        <v>34</v>
      </c>
      <c r="AW5" s="409" t="s">
        <v>35</v>
      </c>
      <c r="AX5" s="409" t="s">
        <v>36</v>
      </c>
      <c r="AY5" s="291"/>
      <c r="AZ5" s="287" t="s">
        <v>17</v>
      </c>
    </row>
    <row r="6" customFormat="false" ht="12.95" hidden="false" customHeight="true" outlineLevel="0" collapsed="false">
      <c r="A6" s="411" t="s">
        <v>135</v>
      </c>
      <c r="B6" s="403" t="s">
        <v>38</v>
      </c>
      <c r="C6" s="404"/>
      <c r="D6" s="313" t="s">
        <v>39</v>
      </c>
      <c r="E6" s="404" t="s">
        <v>40</v>
      </c>
      <c r="F6" s="313" t="s">
        <v>41</v>
      </c>
      <c r="G6" s="403" t="s">
        <v>42</v>
      </c>
      <c r="H6" s="405" t="s">
        <v>43</v>
      </c>
      <c r="I6" s="313" t="s">
        <v>44</v>
      </c>
      <c r="J6" s="313" t="s">
        <v>44</v>
      </c>
      <c r="K6" s="313" t="s">
        <v>44</v>
      </c>
      <c r="L6" s="313" t="s">
        <v>45</v>
      </c>
      <c r="M6" s="412" t="s">
        <v>46</v>
      </c>
      <c r="N6" s="69" t="s">
        <v>47</v>
      </c>
      <c r="O6" s="31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3" t="s">
        <v>52</v>
      </c>
      <c r="V6" s="313" t="s">
        <v>53</v>
      </c>
      <c r="W6" s="31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4" t="s">
        <v>57</v>
      </c>
      <c r="AD6" s="409" t="s">
        <v>58</v>
      </c>
      <c r="AE6" s="313" t="s">
        <v>59</v>
      </c>
      <c r="AF6" s="74" t="s">
        <v>60</v>
      </c>
      <c r="AG6" s="77" t="s">
        <v>61</v>
      </c>
      <c r="AH6" s="409" t="s">
        <v>62</v>
      </c>
      <c r="AI6" s="404" t="s">
        <v>63</v>
      </c>
      <c r="AJ6" s="404"/>
      <c r="AK6" s="313" t="s">
        <v>64</v>
      </c>
      <c r="AL6" s="313" t="s">
        <v>64</v>
      </c>
      <c r="AM6" s="313" t="s">
        <v>64</v>
      </c>
      <c r="AN6" s="44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5" t="s">
        <v>70</v>
      </c>
      <c r="AU6" s="202" t="s">
        <v>71</v>
      </c>
      <c r="AV6" s="414"/>
      <c r="AW6" s="409" t="s">
        <v>72</v>
      </c>
      <c r="AX6" s="409" t="s">
        <v>72</v>
      </c>
      <c r="AY6" s="291"/>
      <c r="AZ6" s="287" t="s">
        <v>73</v>
      </c>
    </row>
    <row r="7" customFormat="false" ht="12.95" hidden="false" customHeight="true" outlineLevel="0" collapsed="false">
      <c r="A7" s="313"/>
      <c r="B7" s="403"/>
      <c r="C7" s="404"/>
      <c r="D7" s="313"/>
      <c r="E7" s="404"/>
      <c r="F7" s="313"/>
      <c r="G7" s="403"/>
      <c r="H7" s="405"/>
      <c r="I7" s="313"/>
      <c r="J7" s="313"/>
      <c r="K7" s="313"/>
      <c r="L7" s="313"/>
      <c r="M7" s="412"/>
      <c r="N7" s="69" t="s">
        <v>74</v>
      </c>
      <c r="O7" s="31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3" t="s">
        <v>77</v>
      </c>
      <c r="V7" s="313"/>
      <c r="W7" s="31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4"/>
      <c r="AD7" s="409"/>
      <c r="AE7" s="313"/>
      <c r="AF7" s="474" t="n">
        <v>1.7</v>
      </c>
      <c r="AG7" s="475" t="n">
        <v>1.3</v>
      </c>
      <c r="AH7" s="409"/>
      <c r="AI7" s="404"/>
      <c r="AJ7" s="404"/>
      <c r="AK7" s="313"/>
      <c r="AL7" s="313"/>
      <c r="AM7" s="313"/>
      <c r="AN7" s="44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5" t="s">
        <v>87</v>
      </c>
      <c r="AU7" s="202" t="s">
        <v>88</v>
      </c>
      <c r="AV7" s="414"/>
      <c r="AW7" s="409"/>
      <c r="AX7" s="409"/>
      <c r="AY7" s="291"/>
      <c r="AZ7" s="287" t="s">
        <v>89</v>
      </c>
    </row>
    <row r="8" customFormat="false" ht="12.95" hidden="false" customHeight="true" outlineLevel="0" collapsed="false">
      <c r="A8" s="313"/>
      <c r="B8" s="403"/>
      <c r="C8" s="404"/>
      <c r="D8" s="313"/>
      <c r="E8" s="404"/>
      <c r="F8" s="313"/>
      <c r="G8" s="403"/>
      <c r="H8" s="405"/>
      <c r="I8" s="313"/>
      <c r="J8" s="313"/>
      <c r="K8" s="313"/>
      <c r="L8" s="313"/>
      <c r="M8" s="412"/>
      <c r="N8" s="69"/>
      <c r="O8" s="313"/>
      <c r="P8" s="69"/>
      <c r="Q8" s="58" t="s">
        <v>61</v>
      </c>
      <c r="R8" s="58" t="s">
        <v>61</v>
      </c>
      <c r="S8" s="58"/>
      <c r="T8" s="58"/>
      <c r="U8" s="413"/>
      <c r="V8" s="313"/>
      <c r="W8" s="31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4"/>
      <c r="AD8" s="409"/>
      <c r="AE8" s="313"/>
      <c r="AF8" s="416"/>
      <c r="AG8" s="417"/>
      <c r="AH8" s="409"/>
      <c r="AI8" s="404"/>
      <c r="AJ8" s="404"/>
      <c r="AK8" s="313"/>
      <c r="AL8" s="313"/>
      <c r="AM8" s="313"/>
      <c r="AN8" s="446"/>
      <c r="AO8" s="61"/>
      <c r="AP8" s="67"/>
      <c r="AQ8" s="67"/>
      <c r="AR8" s="62"/>
      <c r="AS8" s="68"/>
      <c r="AT8" s="405"/>
      <c r="AU8" s="202"/>
      <c r="AV8" s="414"/>
      <c r="AW8" s="409"/>
      <c r="AX8" s="409"/>
      <c r="AY8" s="291"/>
      <c r="AZ8" s="287"/>
    </row>
    <row r="9" customFormat="false" ht="12.95" hidden="false" customHeight="true" outlineLevel="0" collapsed="false">
      <c r="A9" s="313"/>
      <c r="B9" s="403"/>
      <c r="C9" s="404"/>
      <c r="D9" s="313"/>
      <c r="E9" s="404"/>
      <c r="F9" s="313"/>
      <c r="G9" s="403"/>
      <c r="H9" s="405"/>
      <c r="I9" s="313"/>
      <c r="J9" s="313"/>
      <c r="K9" s="313"/>
      <c r="L9" s="313"/>
      <c r="M9" s="412"/>
      <c r="N9" s="69"/>
      <c r="O9" s="313"/>
      <c r="P9" s="69"/>
      <c r="Q9" s="58"/>
      <c r="R9" s="81" t="n">
        <v>4.2</v>
      </c>
      <c r="S9" s="58"/>
      <c r="T9" s="58"/>
      <c r="U9" s="413"/>
      <c r="V9" s="313"/>
      <c r="W9" s="313"/>
      <c r="X9" s="65"/>
      <c r="Y9" s="57" t="s">
        <v>90</v>
      </c>
      <c r="Z9" s="61"/>
      <c r="AA9" s="57" t="s">
        <v>90</v>
      </c>
      <c r="AB9" s="61" t="s">
        <v>93</v>
      </c>
      <c r="AC9" s="404"/>
      <c r="AD9" s="409"/>
      <c r="AE9" s="313"/>
      <c r="AF9" s="416"/>
      <c r="AG9" s="417"/>
      <c r="AH9" s="409"/>
      <c r="AI9" s="404"/>
      <c r="AJ9" s="404"/>
      <c r="AK9" s="313"/>
      <c r="AL9" s="313"/>
      <c r="AM9" s="313"/>
      <c r="AN9" s="446"/>
      <c r="AO9" s="61"/>
      <c r="AP9" s="67"/>
      <c r="AQ9" s="67"/>
      <c r="AR9" s="62"/>
      <c r="AS9" s="68"/>
      <c r="AT9" s="405"/>
      <c r="AU9" s="202"/>
      <c r="AV9" s="414"/>
      <c r="AW9" s="409"/>
      <c r="AX9" s="409"/>
      <c r="AY9" s="291"/>
      <c r="AZ9" s="287"/>
    </row>
    <row r="10" customFormat="false" ht="12.95" hidden="false" customHeight="true" outlineLevel="0" collapsed="false">
      <c r="A10" s="313"/>
      <c r="B10" s="403"/>
      <c r="C10" s="404" t="s">
        <v>10</v>
      </c>
      <c r="D10" s="313"/>
      <c r="E10" s="404" t="s">
        <v>95</v>
      </c>
      <c r="F10" s="313"/>
      <c r="G10" s="403" t="s">
        <v>41</v>
      </c>
      <c r="H10" s="405" t="s">
        <v>41</v>
      </c>
      <c r="I10" s="405" t="s">
        <v>41</v>
      </c>
      <c r="J10" s="405" t="s">
        <v>41</v>
      </c>
      <c r="K10" s="405" t="s">
        <v>41</v>
      </c>
      <c r="L10" s="405" t="s">
        <v>41</v>
      </c>
      <c r="M10" s="419" t="s">
        <v>41</v>
      </c>
      <c r="N10" s="405" t="s">
        <v>41</v>
      </c>
      <c r="O10" s="405" t="s">
        <v>41</v>
      </c>
      <c r="P10" s="405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18" t="s">
        <v>41</v>
      </c>
      <c r="V10" s="405" t="s">
        <v>41</v>
      </c>
      <c r="W10" s="405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5" t="s">
        <v>41</v>
      </c>
      <c r="AD10" s="409" t="s">
        <v>41</v>
      </c>
      <c r="AE10" s="405" t="s">
        <v>41</v>
      </c>
      <c r="AF10" s="419" t="s">
        <v>41</v>
      </c>
      <c r="AG10" s="418" t="s">
        <v>41</v>
      </c>
      <c r="AH10" s="405" t="s">
        <v>41</v>
      </c>
      <c r="AI10" s="405" t="s">
        <v>41</v>
      </c>
      <c r="AJ10" s="405" t="s">
        <v>41</v>
      </c>
      <c r="AK10" s="405" t="s">
        <v>41</v>
      </c>
      <c r="AL10" s="405" t="s">
        <v>41</v>
      </c>
      <c r="AM10" s="405" t="s">
        <v>41</v>
      </c>
      <c r="AN10" s="446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1" t="s">
        <v>41</v>
      </c>
      <c r="AU10" s="61" t="s">
        <v>41</v>
      </c>
      <c r="AV10" s="414"/>
      <c r="AW10" s="409"/>
      <c r="AX10" s="409"/>
      <c r="AY10" s="291"/>
      <c r="AZ10" s="287" t="s">
        <v>97</v>
      </c>
    </row>
    <row r="11" customFormat="false" ht="12.95" hidden="false" customHeight="true" outlineLevel="0" collapsed="false">
      <c r="A11" s="448"/>
      <c r="B11" s="313"/>
      <c r="C11" s="404"/>
      <c r="D11" s="313"/>
      <c r="E11" s="404"/>
      <c r="F11" s="448"/>
      <c r="G11" s="313"/>
      <c r="H11" s="405"/>
      <c r="I11" s="313"/>
      <c r="J11" s="313"/>
      <c r="K11" s="313"/>
      <c r="L11" s="415"/>
      <c r="M11" s="313"/>
      <c r="N11" s="69" t="n">
        <v>1.03</v>
      </c>
      <c r="O11" s="420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3"/>
      <c r="V11" s="313"/>
      <c r="W11" s="31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4"/>
      <c r="AD11" s="179" t="n">
        <v>13840</v>
      </c>
      <c r="AE11" s="313"/>
      <c r="AF11" s="416"/>
      <c r="AG11" s="417"/>
      <c r="AH11" s="409"/>
      <c r="AI11" s="404"/>
      <c r="AJ11" s="404"/>
      <c r="AK11" s="313"/>
      <c r="AL11" s="313"/>
      <c r="AM11" s="313"/>
      <c r="AN11" s="446"/>
      <c r="AO11" s="61"/>
      <c r="AP11" s="67"/>
      <c r="AQ11" s="67"/>
      <c r="AR11" s="62"/>
      <c r="AS11" s="87"/>
      <c r="AT11" s="316"/>
      <c r="AU11" s="476"/>
      <c r="AV11" s="477"/>
      <c r="AW11" s="409"/>
      <c r="AX11" s="409"/>
      <c r="AY11" s="291"/>
      <c r="AZ11" s="287" t="s">
        <v>41</v>
      </c>
    </row>
    <row r="12" s="222" customFormat="true" ht="12.95" hidden="false" customHeight="true" outlineLevel="0" collapsed="false">
      <c r="A12" s="478" t="s">
        <v>99</v>
      </c>
      <c r="B12" s="135"/>
      <c r="C12" s="107"/>
      <c r="D12" s="107"/>
      <c r="E12" s="107"/>
      <c r="F12" s="206" t="n">
        <f aca="false">JUN!F49</f>
        <v>50669.5235694479</v>
      </c>
      <c r="G12" s="107" t="n">
        <f aca="false">JUN!G49</f>
        <v>99896</v>
      </c>
      <c r="H12" s="107" t="n">
        <f aca="false">JUN!H49</f>
        <v>4572.56</v>
      </c>
      <c r="I12" s="107" t="n">
        <f aca="false">JUN!I49</f>
        <v>104468.56</v>
      </c>
      <c r="J12" s="107" t="n">
        <f aca="false">JUN!J49</f>
        <v>20300.4488127048</v>
      </c>
      <c r="K12" s="107" t="n">
        <f aca="false">JUN!K49</f>
        <v>124769.008812705</v>
      </c>
      <c r="L12" s="210" t="n">
        <f aca="false">JUN!L49</f>
        <v>20251.2211709479</v>
      </c>
      <c r="M12" s="107" t="n">
        <f aca="false">JUN!M49</f>
        <v>19605.3</v>
      </c>
      <c r="N12" s="107" t="n">
        <f aca="false">JUN!N49</f>
        <v>85.7582635</v>
      </c>
      <c r="O12" s="107" t="n">
        <f aca="false">JUN!O49</f>
        <v>6244.5075</v>
      </c>
      <c r="P12" s="328" t="n">
        <f aca="false">JUN!P49</f>
        <v>7.363</v>
      </c>
      <c r="Q12" s="107"/>
      <c r="R12" s="107"/>
      <c r="S12" s="107"/>
      <c r="T12" s="107"/>
      <c r="U12" s="209"/>
      <c r="V12" s="107" t="n">
        <f aca="false">JUN!V49</f>
        <v>8876.6</v>
      </c>
      <c r="W12" s="107" t="n">
        <f aca="false">JUN!W49</f>
        <v>4383.98</v>
      </c>
      <c r="X12" s="107" t="n">
        <f aca="false">JUN!X49</f>
        <v>26593.6496249482</v>
      </c>
      <c r="Y12" s="107" t="n">
        <f aca="false">JUN!Y49</f>
        <v>25996.0696249482</v>
      </c>
      <c r="Z12" s="107" t="n">
        <f aca="false">JUN!Z44</f>
        <v>2369.77031143081</v>
      </c>
      <c r="AA12" s="107"/>
      <c r="AB12" s="107"/>
      <c r="AC12" s="107" t="n">
        <f aca="false">JUN!AC44</f>
        <v>1394.84077648105</v>
      </c>
      <c r="AD12" s="207" t="n">
        <f aca="false">AD11/1.9835</f>
        <v>6977.56491051172</v>
      </c>
      <c r="AE12" s="107" t="n">
        <f aca="false">JUN!AE49</f>
        <v>9430.14</v>
      </c>
      <c r="AF12" s="208" t="n">
        <f aca="false">JUN!AF49</f>
        <v>154.7</v>
      </c>
      <c r="AG12" s="210" t="n">
        <f aca="false">JUN!AG49</f>
        <v>118.3</v>
      </c>
      <c r="AH12" s="107"/>
      <c r="AI12" s="107"/>
      <c r="AJ12" s="107" t="n">
        <f aca="false">JUN!AJ49</f>
        <v>28682</v>
      </c>
      <c r="AK12" s="107" t="n">
        <f aca="false">JUN!AK49</f>
        <v>74050.2576015</v>
      </c>
      <c r="AL12" s="107" t="n">
        <f aca="false">JUN!AL49</f>
        <v>49.2276417568695</v>
      </c>
      <c r="AM12" s="206" t="n">
        <f aca="false">JUN!AM49</f>
        <v>74099.4852432569</v>
      </c>
      <c r="AN12" s="207"/>
      <c r="AO12" s="207"/>
      <c r="AP12" s="136"/>
      <c r="AQ12" s="107" t="n">
        <f aca="false">JUN!AQ50</f>
        <v>635.388206123944</v>
      </c>
      <c r="AR12" s="107" t="n">
        <f aca="false">JUN!AR49</f>
        <v>1371.008</v>
      </c>
      <c r="AS12" s="107" t="n">
        <f aca="false">JUN!AS49</f>
        <v>0</v>
      </c>
      <c r="AT12" s="107" t="n">
        <f aca="false">JUN!AT49</f>
        <v>604.53</v>
      </c>
      <c r="AU12" s="206" t="n">
        <f aca="false">JUN!AU49</f>
        <v>0</v>
      </c>
      <c r="AV12" s="155"/>
      <c r="AW12" s="207"/>
      <c r="AX12" s="207"/>
      <c r="AY12" s="291"/>
      <c r="AZ12" s="323"/>
    </row>
    <row r="13" customFormat="false" ht="12.95" hidden="false" customHeight="true" outlineLevel="0" collapsed="false">
      <c r="A13" s="479" t="s">
        <v>100</v>
      </c>
      <c r="B13" s="328" t="n">
        <f aca="false">JUN!B44</f>
        <v>6923.98</v>
      </c>
      <c r="C13" s="107" t="n">
        <f aca="false">JUN!C44</f>
        <v>381071</v>
      </c>
      <c r="D13" s="107" t="n">
        <f aca="false">JUN!D53</f>
        <v>103680</v>
      </c>
      <c r="E13" s="107" t="n">
        <f aca="false">JUN!E53</f>
        <v>229071</v>
      </c>
      <c r="F13" s="206" t="n">
        <f aca="false">JUN!F52</f>
        <v>52271.2377111167</v>
      </c>
      <c r="G13" s="107" t="n">
        <f aca="false">JUN!G52</f>
        <v>111131</v>
      </c>
      <c r="H13" s="107" t="n">
        <f aca="false">JUN!H52</f>
        <v>5133.14</v>
      </c>
      <c r="I13" s="107" t="n">
        <f aca="false">JUN!I52</f>
        <v>116264.14</v>
      </c>
      <c r="J13" s="107" t="n">
        <f aca="false">JUN!J52</f>
        <v>23398.9592614066</v>
      </c>
      <c r="K13" s="107" t="n">
        <f aca="false">JUN!K52</f>
        <v>139663.099261407</v>
      </c>
      <c r="L13" s="210" t="n">
        <f aca="false">JUN!L52</f>
        <v>22330.7453126167</v>
      </c>
      <c r="M13" s="107" t="n">
        <f aca="false">JUN!M52</f>
        <v>20528.41</v>
      </c>
      <c r="N13" s="107" t="n">
        <f aca="false">JUN!N52</f>
        <v>85.7582635</v>
      </c>
      <c r="O13" s="107" t="n">
        <f aca="false">JUN!O52</f>
        <v>6244.5075</v>
      </c>
      <c r="P13" s="107" t="n">
        <f aca="false">JUN!P52</f>
        <v>0</v>
      </c>
      <c r="Q13" s="107" t="n">
        <f aca="false">JUN!Q52</f>
        <v>457.419487522786</v>
      </c>
      <c r="R13" s="107" t="n">
        <f aca="false">JUN!R52</f>
        <v>573.783361972769</v>
      </c>
      <c r="S13" s="107" t="n">
        <f aca="false">JUN!S52</f>
        <v>71.4374583822397</v>
      </c>
      <c r="T13" s="107" t="n">
        <f aca="false">JUN!T52</f>
        <v>301.254876</v>
      </c>
      <c r="U13" s="308" t="n">
        <f aca="false">JUN!U52</f>
        <v>-12.2414035208269</v>
      </c>
      <c r="V13" s="107" t="n">
        <f aca="false">JUN!V52</f>
        <v>14970.6</v>
      </c>
      <c r="W13" s="107" t="n">
        <f aca="false">JUN!W52</f>
        <v>4442.26</v>
      </c>
      <c r="X13" s="107" t="n">
        <f aca="false">JUN!X52</f>
        <v>32978.465456143</v>
      </c>
      <c r="Y13" s="107" t="n">
        <f aca="false">JUN!Y52</f>
        <v>32179.0862263028</v>
      </c>
      <c r="Z13" s="107"/>
      <c r="AA13" s="107"/>
      <c r="AB13" s="107"/>
      <c r="AC13" s="107"/>
      <c r="AD13" s="207"/>
      <c r="AE13" s="107" t="n">
        <f aca="false">JUN!AE50</f>
        <v>18704.68269</v>
      </c>
      <c r="AF13" s="276"/>
      <c r="AG13" s="266"/>
      <c r="AH13" s="107" t="n">
        <f aca="false">JUN!AH52</f>
        <v>37222</v>
      </c>
      <c r="AI13" s="107" t="n">
        <f aca="false">JUN!AI52</f>
        <v>12689.2578774893</v>
      </c>
      <c r="AJ13" s="107" t="n">
        <f aca="false">JUN!AJ52</f>
        <v>28682</v>
      </c>
      <c r="AK13" s="107" t="n">
        <f aca="false">JUN!AK52</f>
        <v>86323.6476015</v>
      </c>
      <c r="AL13" s="107" t="n">
        <f aca="false">JUN!AL52</f>
        <v>1068.21394878989</v>
      </c>
      <c r="AM13" s="206" t="n">
        <f aca="false">JUN!AM52</f>
        <v>87391.8615502899</v>
      </c>
      <c r="AN13" s="107" t="n">
        <f aca="false">JUN!AN53</f>
        <v>13403.62026</v>
      </c>
      <c r="AO13" s="107" t="n">
        <f aca="false">JUN!AO52</f>
        <v>799.379229840203</v>
      </c>
      <c r="AP13" s="136"/>
      <c r="AQ13" s="107" t="n">
        <f aca="false">JUN!AQ53</f>
        <v>635.388206123944</v>
      </c>
      <c r="AR13" s="107" t="n">
        <f aca="false">JUN!AR52</f>
        <v>1371.008</v>
      </c>
      <c r="AS13" s="107" t="n">
        <f aca="false">JUN!AS52</f>
        <v>0</v>
      </c>
      <c r="AT13" s="155"/>
      <c r="AU13" s="480"/>
      <c r="AV13" s="328" t="n">
        <f aca="false">JUN!AV52</f>
        <v>6.883</v>
      </c>
      <c r="AW13" s="207"/>
      <c r="AX13" s="207"/>
      <c r="AY13" s="294"/>
      <c r="AZ13" s="107" t="n">
        <f aca="false">JUN!AZ52</f>
        <v>1484.77504385697</v>
      </c>
    </row>
    <row r="14" customFormat="false" ht="3" hidden="false" customHeight="true" outlineLevel="0" collapsed="false">
      <c r="A14" s="223"/>
      <c r="B14" s="224"/>
      <c r="C14" s="225"/>
      <c r="D14" s="226"/>
      <c r="E14" s="225"/>
      <c r="F14" s="227"/>
      <c r="G14" s="226"/>
      <c r="H14" s="232"/>
      <c r="I14" s="226"/>
      <c r="J14" s="226"/>
      <c r="K14" s="226"/>
      <c r="L14" s="233"/>
      <c r="M14" s="226"/>
      <c r="N14" s="226"/>
      <c r="O14" s="226"/>
      <c r="P14" s="230"/>
      <c r="Q14" s="226"/>
      <c r="R14" s="226"/>
      <c r="S14" s="226"/>
      <c r="T14" s="226"/>
      <c r="U14" s="231"/>
      <c r="V14" s="226"/>
      <c r="W14" s="226"/>
      <c r="X14" s="226"/>
      <c r="Y14" s="226"/>
      <c r="Z14" s="225"/>
      <c r="AA14" s="226"/>
      <c r="AB14" s="225"/>
      <c r="AC14" s="225"/>
      <c r="AD14" s="235"/>
      <c r="AE14" s="226"/>
      <c r="AF14" s="229"/>
      <c r="AG14" s="233"/>
      <c r="AH14" s="226"/>
      <c r="AI14" s="225"/>
      <c r="AJ14" s="225"/>
      <c r="AK14" s="226"/>
      <c r="AL14" s="226"/>
      <c r="AM14" s="227"/>
      <c r="AN14" s="235"/>
      <c r="AO14" s="235"/>
      <c r="AP14" s="232"/>
      <c r="AQ14" s="230"/>
      <c r="AR14" s="230"/>
      <c r="AS14" s="230"/>
      <c r="AT14" s="230"/>
      <c r="AU14" s="232"/>
      <c r="AV14" s="481"/>
      <c r="AW14" s="235"/>
      <c r="AX14" s="235"/>
      <c r="AY14" s="249"/>
      <c r="AZ14" s="309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79" t="n">
        <v>1</v>
      </c>
      <c r="B15" s="106" t="n">
        <v>6923.85</v>
      </c>
      <c r="C15" s="107" t="n">
        <v>380492</v>
      </c>
      <c r="D15" s="207" t="n">
        <f aca="false">C15-C13</f>
        <v>-579</v>
      </c>
      <c r="E15" s="107" t="n">
        <f aca="false">C15-152000</f>
        <v>228492</v>
      </c>
      <c r="F15" s="238" t="n">
        <f aca="false">D15/$D$2</f>
        <v>-291.908243004789</v>
      </c>
      <c r="G15" s="135" t="n">
        <v>625</v>
      </c>
      <c r="H15" s="136" t="n">
        <v>0.25</v>
      </c>
      <c r="I15" s="135" t="n">
        <f aca="false">G15+H15</f>
        <v>625.25</v>
      </c>
      <c r="J15" s="136" t="n">
        <f aca="false">IF(L15&gt;0,L15,0)</f>
        <v>14.8417569952105</v>
      </c>
      <c r="K15" s="135" t="n">
        <f aca="false">I15+J15</f>
        <v>640.091756995211</v>
      </c>
      <c r="L15" s="241" t="n">
        <f aca="false">F15-(I15-AK15)</f>
        <v>14.8417569952105</v>
      </c>
      <c r="M15" s="135" t="n">
        <v>352</v>
      </c>
      <c r="N15" s="155" t="n">
        <f aca="false">(1.8299*1.03)/2</f>
        <v>0.9423985</v>
      </c>
      <c r="O15" s="135" t="n">
        <f aca="false">(43+43)*1.05</f>
        <v>90.3</v>
      </c>
      <c r="P15" s="155" t="n">
        <v>0</v>
      </c>
      <c r="Q15" s="328" t="n">
        <f aca="false">2130600/325851/1.9835*1.02</f>
        <v>3.36241126110616</v>
      </c>
      <c r="R15" s="328" t="n">
        <v>4.2</v>
      </c>
      <c r="S15" s="131" t="n">
        <f aca="false">((5579025/325851/1.9835-T15)*1.04)-4.2</f>
        <v>2.68396883490921</v>
      </c>
      <c r="T15" s="131" t="n">
        <f aca="false">1.9353*1.04</f>
        <v>2.012712</v>
      </c>
      <c r="U15" s="346" t="n">
        <v>0</v>
      </c>
      <c r="V15" s="135" t="n">
        <v>187</v>
      </c>
      <c r="W15" s="135" t="n">
        <v>77</v>
      </c>
      <c r="X15" s="135" t="n">
        <f aca="false">M15-N15-O15-P15-Q15-R15-S15-T15-U15+V15+W15-AT15+AR15</f>
        <v>550.454009403985</v>
      </c>
      <c r="Y15" s="135" t="n">
        <f aca="false">X15-AO15</f>
        <v>545.454009403985</v>
      </c>
      <c r="Z15" s="107" t="n">
        <f aca="false">Z12</f>
        <v>2369.77031143081</v>
      </c>
      <c r="AA15" s="135" t="n">
        <v>0</v>
      </c>
      <c r="AB15" s="107"/>
      <c r="AC15" s="107" t="n">
        <f aca="false">AC12-(JUN!AQ44/1.9835)+AS15</f>
        <v>1393.80311765871</v>
      </c>
      <c r="AD15" s="207" t="n">
        <f aca="false">AD12</f>
        <v>6977.56491051172</v>
      </c>
      <c r="AE15" s="135" t="n">
        <v>236</v>
      </c>
      <c r="AF15" s="240" t="n">
        <v>1.7</v>
      </c>
      <c r="AG15" s="241" t="n">
        <v>1.3</v>
      </c>
      <c r="AH15" s="135" t="n">
        <v>80</v>
      </c>
      <c r="AI15" s="107" t="n">
        <f aca="false">AI13-75</f>
        <v>12614.2578774893</v>
      </c>
      <c r="AJ15" s="107"/>
      <c r="AK15" s="134" t="n">
        <f aca="false">N15+O15+P15+Q15+R16+S15+T15+U15+X15+AE15+AH15-AR15</f>
        <v>932</v>
      </c>
      <c r="AL15" s="135" t="n">
        <f aca="false">IF(L15&lt;0,L15*-1,0)</f>
        <v>0</v>
      </c>
      <c r="AM15" s="238" t="n">
        <f aca="false">AK15+AL15</f>
        <v>932</v>
      </c>
      <c r="AN15" s="207"/>
      <c r="AO15" s="207" t="n">
        <v>5</v>
      </c>
      <c r="AP15" s="97" t="n">
        <f aca="false">(I15-AO15)-Q15-R15-Y15-AF15</f>
        <v>65.5335793349092</v>
      </c>
      <c r="AQ15" s="155" t="n">
        <f aca="false">58.03*(Z15*1.9835+AC15*1.9835)/E15</f>
        <v>1.89589451464228</v>
      </c>
      <c r="AR15" s="155" t="n">
        <v>37.9555</v>
      </c>
      <c r="AS15" s="144"/>
      <c r="AT15" s="5" t="n">
        <v>0</v>
      </c>
      <c r="AU15" s="4"/>
      <c r="AV15" s="312" t="n">
        <v>0</v>
      </c>
      <c r="AW15" s="482" t="n">
        <v>95</v>
      </c>
      <c r="AX15" s="482" t="n">
        <v>48</v>
      </c>
      <c r="AY15" s="286"/>
      <c r="AZ15" s="242" t="n">
        <f aca="false">SUM(N15,P15:U15)</f>
        <v>13.2014905960154</v>
      </c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9" t="n">
        <f aca="false">A15+1</f>
        <v>2</v>
      </c>
      <c r="B16" s="106" t="n">
        <v>6923.66</v>
      </c>
      <c r="C16" s="107" t="n">
        <v>379646</v>
      </c>
      <c r="D16" s="207" t="n">
        <f aca="false">C16-C15</f>
        <v>-846</v>
      </c>
      <c r="E16" s="107" t="n">
        <f aca="false">C16-152000</f>
        <v>227646</v>
      </c>
      <c r="F16" s="238" t="n">
        <f aca="false">D16/$D$2</f>
        <v>-426.518779934459</v>
      </c>
      <c r="G16" s="135" t="n">
        <v>545</v>
      </c>
      <c r="H16" s="136" t="n">
        <v>0.22</v>
      </c>
      <c r="I16" s="135" t="n">
        <f aca="false">G16+H16</f>
        <v>545.22</v>
      </c>
      <c r="J16" s="136" t="n">
        <f aca="false">IF(L16&gt;0,L16,0)</f>
        <v>0</v>
      </c>
      <c r="K16" s="135" t="n">
        <f aca="false">I16+J16</f>
        <v>545.22</v>
      </c>
      <c r="L16" s="135" t="n">
        <f aca="false">F16-(I16-AK16)</f>
        <v>-46.7387799344593</v>
      </c>
      <c r="M16" s="240" t="n">
        <v>332</v>
      </c>
      <c r="N16" s="155" t="n">
        <f aca="false">(1.8299*1.03)/2</f>
        <v>0.9423985</v>
      </c>
      <c r="O16" s="135" t="n">
        <f aca="false">(40+39)*1.05</f>
        <v>82.95</v>
      </c>
      <c r="P16" s="155" t="n">
        <v>0</v>
      </c>
      <c r="Q16" s="328" t="n">
        <f aca="false">2163200/325851/1.9835*1.02</f>
        <v>3.41385902563824</v>
      </c>
      <c r="R16" s="328" t="n">
        <v>4.2</v>
      </c>
      <c r="S16" s="131" t="n">
        <f aca="false">(((5579025+48)/325851/1.9835-T16)*1.04)-4.2</f>
        <v>2.68404607153875</v>
      </c>
      <c r="T16" s="131" t="n">
        <f aca="false">1.9353*1.04</f>
        <v>2.012712</v>
      </c>
      <c r="U16" s="346" t="n">
        <v>0</v>
      </c>
      <c r="V16" s="135" t="n">
        <v>187</v>
      </c>
      <c r="W16" s="135" t="n">
        <v>77</v>
      </c>
      <c r="X16" s="135" t="n">
        <f aca="false">M16-N16-O16-P16-Q16-R16-S16-T16-U16+V16+W16-AT16+AR16</f>
        <v>537.752484402823</v>
      </c>
      <c r="Y16" s="135" t="n">
        <f aca="false">X16-AO16</f>
        <v>532.752484402823</v>
      </c>
      <c r="Z16" s="107" t="n">
        <f aca="false">Z15+AP16</f>
        <v>2367.92396800235</v>
      </c>
      <c r="AA16" s="135" t="n">
        <f aca="false">(-AP16)</f>
        <v>1.84634342846125</v>
      </c>
      <c r="AB16" s="107"/>
      <c r="AC16" s="107" t="n">
        <f aca="false">AC15-(AQ15/1.9835)+AS16</f>
        <v>1392.84728478014</v>
      </c>
      <c r="AD16" s="207" t="n">
        <f aca="false">AD15</f>
        <v>6977.56491051172</v>
      </c>
      <c r="AE16" s="135" t="n">
        <v>256</v>
      </c>
      <c r="AF16" s="240" t="n">
        <v>1.7</v>
      </c>
      <c r="AG16" s="241" t="n">
        <v>1.3</v>
      </c>
      <c r="AH16" s="135" t="n">
        <v>73</v>
      </c>
      <c r="AI16" s="107" t="n">
        <f aca="false">AI15-AH16</f>
        <v>12541.2578774893</v>
      </c>
      <c r="AJ16" s="107"/>
      <c r="AK16" s="134" t="n">
        <f aca="false">N16+O16+P16+Q16+R17+S16+T16+U16+X16+AE16+AH16-AR16</f>
        <v>925</v>
      </c>
      <c r="AL16" s="135" t="n">
        <f aca="false">IF(L16&lt;0,L16*-1,0)</f>
        <v>46.7387799344593</v>
      </c>
      <c r="AM16" s="135" t="n">
        <f aca="false">AK16+AL16</f>
        <v>971.738779934459</v>
      </c>
      <c r="AN16" s="212"/>
      <c r="AO16" s="207" t="n">
        <v>5</v>
      </c>
      <c r="AP16" s="97" t="n">
        <f aca="false">(I16-AO16)-Q16-R16-Y16-AF16</f>
        <v>-1.84634342846125</v>
      </c>
      <c r="AQ16" s="155" t="n">
        <f aca="false">58.03*(Z16*1.9835+AC16*1.9835)/E16</f>
        <v>1.90152338247653</v>
      </c>
      <c r="AR16" s="155" t="n">
        <v>37.9555</v>
      </c>
      <c r="AS16" s="144"/>
      <c r="AT16" s="5" t="n">
        <v>0</v>
      </c>
      <c r="AU16" s="4"/>
      <c r="AV16" s="312" t="n">
        <v>0</v>
      </c>
      <c r="AW16" s="207" t="n">
        <v>96</v>
      </c>
      <c r="AX16" s="207" t="n">
        <v>56</v>
      </c>
      <c r="AY16" s="286"/>
      <c r="AZ16" s="242" t="n">
        <f aca="false">SUM(N16,P16:U16)</f>
        <v>13.253015597177</v>
      </c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9" t="n">
        <f aca="false">A16+1</f>
        <v>3</v>
      </c>
      <c r="B17" s="106" t="n">
        <v>6923.5</v>
      </c>
      <c r="C17" s="107" t="n">
        <v>378934</v>
      </c>
      <c r="D17" s="207" t="n">
        <f aca="false">C17-C16</f>
        <v>-712</v>
      </c>
      <c r="E17" s="107" t="n">
        <f aca="false">C17-152000</f>
        <v>226934</v>
      </c>
      <c r="F17" s="238" t="n">
        <f aca="false">D17/$D$2</f>
        <v>-358.961431812453</v>
      </c>
      <c r="G17" s="135" t="n">
        <v>506</v>
      </c>
      <c r="H17" s="136" t="n">
        <v>0.19</v>
      </c>
      <c r="I17" s="135" t="n">
        <f aca="false">G17+H17</f>
        <v>506.19</v>
      </c>
      <c r="J17" s="136" t="n">
        <f aca="false">IF(L17&gt;0,L17,0)</f>
        <v>38.8485681875472</v>
      </c>
      <c r="K17" s="135" t="n">
        <f aca="false">I17+J17</f>
        <v>545.038568187547</v>
      </c>
      <c r="L17" s="135" t="n">
        <f aca="false">F17-(I17-AK17)</f>
        <v>38.8485681875472</v>
      </c>
      <c r="M17" s="240" t="n">
        <v>324</v>
      </c>
      <c r="N17" s="155" t="n">
        <f aca="false">(1.8299*1.03)/2</f>
        <v>0.9423985</v>
      </c>
      <c r="O17" s="135" t="n">
        <f aca="false">(31+30)*1.05</f>
        <v>64.05</v>
      </c>
      <c r="P17" s="155" t="n">
        <v>0</v>
      </c>
      <c r="Q17" s="328" t="n">
        <f aca="false">2204900/325851/1.9835*1.02</f>
        <v>3.4796679759753</v>
      </c>
      <c r="R17" s="328" t="n">
        <v>4.2</v>
      </c>
      <c r="S17" s="131" t="n">
        <f aca="false">((5579073/325851/1.9835-T17)*1.04)-4.2</f>
        <v>2.68404607153875</v>
      </c>
      <c r="T17" s="131" t="n">
        <f aca="false">1.9353*1.04</f>
        <v>2.012712</v>
      </c>
      <c r="U17" s="346" t="n">
        <v>0</v>
      </c>
      <c r="V17" s="135" t="n">
        <v>189</v>
      </c>
      <c r="W17" s="135" t="n">
        <v>77</v>
      </c>
      <c r="X17" s="135" t="n">
        <f aca="false">M17-N17-O17-P17-Q17-R17-S17-T17-U17+V17+W17-AT17+AR17</f>
        <v>550.586675452486</v>
      </c>
      <c r="Y17" s="135" t="n">
        <f aca="false">X17-AO17</f>
        <v>545.586675452486</v>
      </c>
      <c r="Z17" s="107" t="n">
        <f aca="false">Z16+AP17</f>
        <v>2314.14762457389</v>
      </c>
      <c r="AA17" s="135" t="n">
        <f aca="false">(-AP17)</f>
        <v>53.7763434284612</v>
      </c>
      <c r="AB17" s="107"/>
      <c r="AC17" s="107" t="n">
        <f aca="false">AC16-(AQ16/1.9835)+AS17</f>
        <v>1391.88861405543</v>
      </c>
      <c r="AD17" s="207" t="n">
        <f aca="false">AD16</f>
        <v>6977.56491051172</v>
      </c>
      <c r="AE17" s="135" t="n">
        <v>241</v>
      </c>
      <c r="AF17" s="240" t="n">
        <v>1.7</v>
      </c>
      <c r="AG17" s="241" t="n">
        <v>1.3</v>
      </c>
      <c r="AH17" s="135" t="n">
        <v>73</v>
      </c>
      <c r="AI17" s="107" t="n">
        <f aca="false">AI16-AH17</f>
        <v>12468.2578774893</v>
      </c>
      <c r="AJ17" s="107"/>
      <c r="AK17" s="134" t="n">
        <f aca="false">N17+O17+P17+Q17+R18+S17+T17+U17+X17+AE17+AH17-AR17</f>
        <v>904</v>
      </c>
      <c r="AL17" s="135" t="n">
        <f aca="false">IF(L17&lt;0,L17*-1,0)</f>
        <v>0</v>
      </c>
      <c r="AM17" s="135" t="n">
        <f aca="false">AK17+AL17</f>
        <v>904</v>
      </c>
      <c r="AN17" s="212"/>
      <c r="AO17" s="207" t="n">
        <v>5</v>
      </c>
      <c r="AP17" s="97" t="n">
        <f aca="false">(I17-AO17)-Q17-R17-Y17-AF17</f>
        <v>-53.7763434284612</v>
      </c>
      <c r="AQ17" s="155" t="n">
        <f aca="false">58.03*(Z17*1.9835+AC17*1.9835)/E17</f>
        <v>1.87972738631942</v>
      </c>
      <c r="AR17" s="155" t="n">
        <v>37.9555</v>
      </c>
      <c r="AS17" s="144"/>
      <c r="AT17" s="5" t="n">
        <v>0</v>
      </c>
      <c r="AU17" s="4"/>
      <c r="AV17" s="312" t="n">
        <v>0</v>
      </c>
      <c r="AW17" s="207" t="n">
        <v>95</v>
      </c>
      <c r="AX17" s="207" t="n">
        <v>60</v>
      </c>
      <c r="AY17" s="286"/>
      <c r="AZ17" s="242" t="n">
        <f aca="false">SUM(N17,P17:U17)</f>
        <v>13.3188245475141</v>
      </c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9" t="n">
        <f aca="false">A17+1</f>
        <v>4</v>
      </c>
      <c r="B18" s="106" t="n">
        <v>6923.28</v>
      </c>
      <c r="C18" s="107" t="n">
        <v>377955</v>
      </c>
      <c r="D18" s="207" t="n">
        <f aca="false">C18-C17</f>
        <v>-979</v>
      </c>
      <c r="E18" s="107" t="n">
        <f aca="false">C18-152000</f>
        <v>225955</v>
      </c>
      <c r="F18" s="238" t="n">
        <f aca="false">D18/$D$2</f>
        <v>-493.571968742123</v>
      </c>
      <c r="G18" s="135" t="n">
        <v>477</v>
      </c>
      <c r="H18" s="136" t="n">
        <v>0.19</v>
      </c>
      <c r="I18" s="135" t="n">
        <f aca="false">G18+H18</f>
        <v>477.19</v>
      </c>
      <c r="J18" s="136" t="n">
        <f aca="false">IF(L18&gt;0,L18,0)</f>
        <v>0</v>
      </c>
      <c r="K18" s="135" t="n">
        <f aca="false">I18+J18</f>
        <v>477.19</v>
      </c>
      <c r="L18" s="135" t="n">
        <f aca="false">F18-(I18-AK18)</f>
        <v>-33.7619687421225</v>
      </c>
      <c r="M18" s="240" t="n">
        <v>333</v>
      </c>
      <c r="N18" s="155" t="n">
        <f aca="false">(1.8299*1.03)/2</f>
        <v>0.9423985</v>
      </c>
      <c r="O18" s="135" t="n">
        <f aca="false">(36+36)*1.05</f>
        <v>75.6</v>
      </c>
      <c r="P18" s="155" t="n">
        <v>0</v>
      </c>
      <c r="Q18" s="328" t="n">
        <f aca="false">2277800/325851/1.9835*1.02</f>
        <v>3.59471527764367</v>
      </c>
      <c r="R18" s="328" t="n">
        <v>4.2</v>
      </c>
      <c r="S18" s="131" t="n">
        <f aca="false">(((5579073+631)/325851/1.9835-T18)*1.04)-4.2</f>
        <v>2.68506141139791</v>
      </c>
      <c r="T18" s="131" t="n">
        <f aca="false">1.9353*1.04</f>
        <v>2.012712</v>
      </c>
      <c r="U18" s="346" t="n">
        <v>0</v>
      </c>
      <c r="V18" s="135" t="n">
        <v>188</v>
      </c>
      <c r="W18" s="135" t="n">
        <v>76</v>
      </c>
      <c r="X18" s="135" t="n">
        <f aca="false">M18-N18-O18-P18-Q18-R18-S18-T18-U18+V18+W18-AT18+AR18</f>
        <v>545.920612810958</v>
      </c>
      <c r="Y18" s="135" t="n">
        <f aca="false">X18-AO18</f>
        <v>540.920612810958</v>
      </c>
      <c r="Z18" s="107" t="n">
        <f aca="false">Z17+AP18</f>
        <v>2235.92229648529</v>
      </c>
      <c r="AA18" s="135" t="n">
        <f aca="false">(-AP18)</f>
        <v>78.2253280886021</v>
      </c>
      <c r="AB18" s="107"/>
      <c r="AC18" s="107" t="n">
        <f aca="false">AC17-(AQ17/1.9835)+AS18</f>
        <v>1390.94093198519</v>
      </c>
      <c r="AD18" s="207" t="n">
        <f aca="false">AD17</f>
        <v>6977.56491051172</v>
      </c>
      <c r="AE18" s="135" t="n">
        <v>267</v>
      </c>
      <c r="AF18" s="240" t="n">
        <v>1.7</v>
      </c>
      <c r="AG18" s="241" t="n">
        <v>1.3</v>
      </c>
      <c r="AH18" s="135" t="n">
        <v>73</v>
      </c>
      <c r="AI18" s="107" t="n">
        <f aca="false">AI17-AH18</f>
        <v>12395.2578774893</v>
      </c>
      <c r="AJ18" s="107"/>
      <c r="AK18" s="134" t="n">
        <f aca="false">N18+O18+P18+Q18+R19+S18+T18+U18+X18+AE18+AH18-AR18</f>
        <v>937</v>
      </c>
      <c r="AL18" s="135" t="n">
        <f aca="false">IF(L18&lt;0,L18*-1,0)</f>
        <v>33.7619687421225</v>
      </c>
      <c r="AM18" s="135" t="n">
        <f aca="false">AK18+AL18</f>
        <v>970.761968742123</v>
      </c>
      <c r="AN18" s="212"/>
      <c r="AO18" s="207" t="n">
        <v>5</v>
      </c>
      <c r="AP18" s="97" t="n">
        <f aca="false">(I18-AO18)-Q18-R18-Y18-AF18</f>
        <v>-78.2253280886021</v>
      </c>
      <c r="AQ18" s="155" t="n">
        <f aca="false">58.03*(Z18*1.9835+AC18*1.9835)/E18</f>
        <v>1.84754062928167</v>
      </c>
      <c r="AR18" s="155" t="n">
        <v>37.9555</v>
      </c>
      <c r="AS18" s="144"/>
      <c r="AT18" s="5" t="n">
        <v>0</v>
      </c>
      <c r="AU18" s="4"/>
      <c r="AV18" s="312" t="n">
        <v>0</v>
      </c>
      <c r="AW18" s="207" t="n">
        <v>95</v>
      </c>
      <c r="AX18" s="207" t="n">
        <v>58</v>
      </c>
      <c r="AY18" s="286"/>
      <c r="AZ18" s="242" t="n">
        <f aca="false">SUM(N18,P18:U18)</f>
        <v>13.4348871890416</v>
      </c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9" t="n">
        <f aca="false">A18+1</f>
        <v>5</v>
      </c>
      <c r="B19" s="106" t="n">
        <v>6923.06</v>
      </c>
      <c r="C19" s="107" t="n">
        <v>376976</v>
      </c>
      <c r="D19" s="207" t="n">
        <f aca="false">C19-C18</f>
        <v>-979</v>
      </c>
      <c r="E19" s="107" t="n">
        <f aca="false">C19-152000</f>
        <v>224976</v>
      </c>
      <c r="F19" s="238" t="n">
        <f aca="false">D19/$D$2</f>
        <v>-493.571968742123</v>
      </c>
      <c r="G19" s="135" t="n">
        <v>448</v>
      </c>
      <c r="H19" s="136" t="n">
        <v>0.24</v>
      </c>
      <c r="I19" s="135" t="n">
        <f aca="false">G19+H19</f>
        <v>448.24</v>
      </c>
      <c r="J19" s="136" t="n">
        <f aca="false">IF(L19&gt;0,L19,0)</f>
        <v>9.18803125787747</v>
      </c>
      <c r="K19" s="135" t="n">
        <f aca="false">I19+J19</f>
        <v>457.428031257878</v>
      </c>
      <c r="L19" s="135" t="n">
        <f aca="false">F19-(I19-AK19)</f>
        <v>9.18803125787747</v>
      </c>
      <c r="M19" s="240" t="n">
        <v>345</v>
      </c>
      <c r="N19" s="155" t="n">
        <f aca="false">(1.8299*1.03)/2</f>
        <v>0.9423985</v>
      </c>
      <c r="O19" s="135" t="n">
        <f aca="false">(39+40)*1.05</f>
        <v>82.95</v>
      </c>
      <c r="P19" s="155" t="n">
        <v>0</v>
      </c>
      <c r="Q19" s="328" t="n">
        <f aca="false">2089330/325851/1.9835*1.02</f>
        <v>3.29728091625219</v>
      </c>
      <c r="R19" s="328" t="n">
        <v>4.2</v>
      </c>
      <c r="S19" s="131" t="n">
        <f aca="false">(((5579704+59)/325851/1.9835-T19)*1.04)-4.2</f>
        <v>2.68515634808838</v>
      </c>
      <c r="T19" s="131" t="n">
        <f aca="false">1.9353*1.04</f>
        <v>2.012712</v>
      </c>
      <c r="U19" s="346" t="n">
        <v>0</v>
      </c>
      <c r="V19" s="135" t="n">
        <v>187</v>
      </c>
      <c r="W19" s="135" t="n">
        <v>76</v>
      </c>
      <c r="X19" s="135" t="n">
        <f aca="false">M19-N19-O19-P19-Q19-R19-S19-T19-U19+V19+W19-AT19+AR19</f>
        <v>549.867952235659</v>
      </c>
      <c r="Y19" s="135" t="n">
        <f aca="false">X19-AO19</f>
        <v>544.86795223566</v>
      </c>
      <c r="Z19" s="107" t="n">
        <f aca="false">Z18+AP19</f>
        <v>2125.09706333337</v>
      </c>
      <c r="AA19" s="135" t="n">
        <f aca="false">(-AP19)</f>
        <v>110.825233151912</v>
      </c>
      <c r="AB19" s="107"/>
      <c r="AC19" s="107" t="n">
        <f aca="false">AC18-(AQ18/1.9835)+AS19</f>
        <v>1390.00947716831</v>
      </c>
      <c r="AD19" s="207" t="n">
        <f aca="false">AD18</f>
        <v>6977.56491051172</v>
      </c>
      <c r="AE19" s="135" t="n">
        <v>269</v>
      </c>
      <c r="AF19" s="240" t="n">
        <v>1.7</v>
      </c>
      <c r="AG19" s="241" t="n">
        <v>1.3</v>
      </c>
      <c r="AH19" s="135" t="n">
        <v>74</v>
      </c>
      <c r="AI19" s="107" t="n">
        <f aca="false">AI18-AH19</f>
        <v>12321.2578774893</v>
      </c>
      <c r="AJ19" s="107"/>
      <c r="AK19" s="134" t="n">
        <f aca="false">N19+O19+P19+Q19+R20+S19+T19+U19+X19+AE19+AH19-AR19</f>
        <v>951</v>
      </c>
      <c r="AL19" s="135" t="n">
        <f aca="false">IF(L19&lt;0,L19*-1,0)</f>
        <v>0</v>
      </c>
      <c r="AM19" s="135" t="n">
        <f aca="false">AK19+AL19</f>
        <v>951</v>
      </c>
      <c r="AN19" s="212"/>
      <c r="AO19" s="207" t="n">
        <v>5</v>
      </c>
      <c r="AP19" s="97" t="n">
        <f aca="false">(I19-AO19)-Q19-R19-Y19-AF19</f>
        <v>-110.825233151912</v>
      </c>
      <c r="AQ19" s="155" t="n">
        <f aca="false">58.03*(Z19*1.9835+AC19*1.9835)/E19</f>
        <v>1.79840324369545</v>
      </c>
      <c r="AR19" s="155" t="n">
        <v>37.9555</v>
      </c>
      <c r="AS19" s="144"/>
      <c r="AT19" s="5" t="n">
        <v>0</v>
      </c>
      <c r="AU19" s="4"/>
      <c r="AV19" s="312" t="n">
        <v>0.01</v>
      </c>
      <c r="AW19" s="207" t="n">
        <v>94</v>
      </c>
      <c r="AX19" s="207" t="n">
        <v>63</v>
      </c>
      <c r="AY19" s="286"/>
      <c r="AZ19" s="242" t="n">
        <f aca="false">SUM(N19,P19:U19)</f>
        <v>13.1375477643406</v>
      </c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9" t="n">
        <f aca="false">A19+1</f>
        <v>6</v>
      </c>
      <c r="B20" s="106" t="n">
        <v>6922.82</v>
      </c>
      <c r="C20" s="107" t="n">
        <v>375914</v>
      </c>
      <c r="D20" s="207" t="n">
        <f aca="false">C20-C19</f>
        <v>-1062</v>
      </c>
      <c r="E20" s="107" t="n">
        <f aca="false">C20-152000</f>
        <v>223914</v>
      </c>
      <c r="F20" s="238" t="n">
        <f aca="false">D20/$D$2</f>
        <v>-535.417191832619</v>
      </c>
      <c r="G20" s="135" t="n">
        <v>427</v>
      </c>
      <c r="H20" s="136" t="n">
        <v>0.25</v>
      </c>
      <c r="I20" s="135" t="n">
        <f aca="false">G20+H20</f>
        <v>427.25</v>
      </c>
      <c r="J20" s="136" t="n">
        <f aca="false">IF(L20&gt;0,L20,0)</f>
        <v>0</v>
      </c>
      <c r="K20" s="135" t="n">
        <f aca="false">I20+J20</f>
        <v>427.25</v>
      </c>
      <c r="L20" s="135" t="n">
        <f aca="false">F20-(I20-AK20)</f>
        <v>-20.6671918326192</v>
      </c>
      <c r="M20" s="240" t="n">
        <v>338</v>
      </c>
      <c r="N20" s="155" t="n">
        <f aca="false">(1.8299*1.03)/2</f>
        <v>0.9423985</v>
      </c>
      <c r="O20" s="135" t="n">
        <f aca="false">(35+35)*1.05</f>
        <v>73.5</v>
      </c>
      <c r="P20" s="155" t="n">
        <v>0</v>
      </c>
      <c r="Q20" s="328" t="n">
        <f aca="false">2000470/325851/1.9835*1.02</f>
        <v>3.15704630409511</v>
      </c>
      <c r="R20" s="328" t="n">
        <v>4.2</v>
      </c>
      <c r="S20" s="131" t="n">
        <f aca="false">((5579763/325851/1.9835-T20)*1.04)-4.2</f>
        <v>2.68515634808838</v>
      </c>
      <c r="T20" s="131" t="n">
        <f aca="false">1.9353*1.04</f>
        <v>2.012712</v>
      </c>
      <c r="U20" s="346" t="n">
        <v>0</v>
      </c>
      <c r="V20" s="135" t="n">
        <v>187</v>
      </c>
      <c r="W20" s="135" t="n">
        <v>76</v>
      </c>
      <c r="X20" s="135" t="n">
        <f aca="false">M20-N20-O20-P20-Q20-R20-S20-T20-U20+V20+W20-AT20+AR20</f>
        <v>552.458186847816</v>
      </c>
      <c r="Y20" s="135" t="n">
        <f aca="false">X20-AO20</f>
        <v>547.458186847816</v>
      </c>
      <c r="Z20" s="107" t="n">
        <f aca="false">Z19+AP20</f>
        <v>1990.83183018146</v>
      </c>
      <c r="AA20" s="135" t="n">
        <f aca="false">(-AP20)</f>
        <v>134.265233151912</v>
      </c>
      <c r="AB20" s="107"/>
      <c r="AC20" s="107" t="n">
        <f aca="false">AC19-(AQ19/1.9835)+AS20</f>
        <v>1389.10279542205</v>
      </c>
      <c r="AD20" s="207" t="n">
        <f aca="false">AD19</f>
        <v>6977.56491051172</v>
      </c>
      <c r="AE20" s="135" t="n">
        <v>267</v>
      </c>
      <c r="AF20" s="240" t="n">
        <v>1.7</v>
      </c>
      <c r="AG20" s="241" t="n">
        <v>1.3</v>
      </c>
      <c r="AH20" s="135" t="n">
        <v>74</v>
      </c>
      <c r="AI20" s="107" t="n">
        <f aca="false">AI19-AH20</f>
        <v>12247.2578774893</v>
      </c>
      <c r="AJ20" s="107"/>
      <c r="AK20" s="134" t="n">
        <f aca="false">N20+O20+P20+Q20+R21+S20+T20+U20+X20+AE20+AH20-AR20</f>
        <v>942</v>
      </c>
      <c r="AL20" s="135" t="n">
        <f aca="false">IF(L20&lt;0,L20*-1,0)</f>
        <v>20.6671918326192</v>
      </c>
      <c r="AM20" s="135" t="n">
        <f aca="false">AK20+AL20</f>
        <v>962.667191832619</v>
      </c>
      <c r="AN20" s="212"/>
      <c r="AO20" s="207" t="n">
        <v>5</v>
      </c>
      <c r="AP20" s="97" t="n">
        <f aca="false">(I20-AO20)-Q20-R20-Y20-AF20</f>
        <v>-134.265233151912</v>
      </c>
      <c r="AQ20" s="155" t="n">
        <f aca="false">58.03*(Z20*1.9835+AC20*1.9835)/E20</f>
        <v>1.73744804765759</v>
      </c>
      <c r="AR20" s="155" t="n">
        <v>37.9555</v>
      </c>
      <c r="AS20" s="144"/>
      <c r="AT20" s="5" t="n">
        <v>0</v>
      </c>
      <c r="AU20" s="4"/>
      <c r="AV20" s="312" t="n">
        <v>0</v>
      </c>
      <c r="AW20" s="207" t="n">
        <v>92</v>
      </c>
      <c r="AX20" s="207" t="n">
        <v>60</v>
      </c>
      <c r="AY20" s="286"/>
      <c r="AZ20" s="242" t="n">
        <f aca="false">SUM(N20,P20:U20)</f>
        <v>12.9973131521835</v>
      </c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9" t="n">
        <f aca="false">A20+1</f>
        <v>7</v>
      </c>
      <c r="B21" s="106" t="n">
        <v>6922.54</v>
      </c>
      <c r="C21" s="107" t="n">
        <v>374678</v>
      </c>
      <c r="D21" s="207" t="n">
        <f aca="false">C21-C20</f>
        <v>-1236</v>
      </c>
      <c r="E21" s="107" t="n">
        <f aca="false">C21-152000</f>
        <v>222678</v>
      </c>
      <c r="F21" s="238" t="n">
        <f aca="false">D21/$D$2</f>
        <v>-623.140912528359</v>
      </c>
      <c r="G21" s="135" t="n">
        <v>420</v>
      </c>
      <c r="H21" s="136" t="n">
        <v>0.27</v>
      </c>
      <c r="I21" s="135" t="n">
        <f aca="false">G21+H21</f>
        <v>420.27</v>
      </c>
      <c r="J21" s="136" t="n">
        <f aca="false">IF(L21&gt;0,L21,0)</f>
        <v>0</v>
      </c>
      <c r="K21" s="135" t="n">
        <f aca="false">I21+J21</f>
        <v>420.27</v>
      </c>
      <c r="L21" s="135" t="n">
        <f aca="false">F21-(I21-AK21)</f>
        <v>-79.4109125283589</v>
      </c>
      <c r="M21" s="240" t="n">
        <v>332</v>
      </c>
      <c r="N21" s="155" t="n">
        <f aca="false">(1.8299*1.03)/2</f>
        <v>0.9423985</v>
      </c>
      <c r="O21" s="135" t="n">
        <f aca="false">(33+29)*1.05</f>
        <v>65.1</v>
      </c>
      <c r="P21" s="155" t="n">
        <v>0</v>
      </c>
      <c r="Q21" s="328" t="n">
        <f aca="false">2074300/325851/1.9835*1.02</f>
        <v>3.2735612873897</v>
      </c>
      <c r="R21" s="328" t="n">
        <v>4.2</v>
      </c>
      <c r="S21" s="131" t="n">
        <f aca="false">((5579763/325851/1.9835-T21)*1.04)-4.2</f>
        <v>2.68515634808838</v>
      </c>
      <c r="T21" s="131" t="n">
        <f aca="false">1.9353*1.04</f>
        <v>2.012712</v>
      </c>
      <c r="U21" s="346" t="n">
        <v>0</v>
      </c>
      <c r="V21" s="135" t="n">
        <v>187</v>
      </c>
      <c r="W21" s="135" t="n">
        <v>76</v>
      </c>
      <c r="X21" s="135" t="n">
        <f aca="false">M21-N21-O21-P21-Q21-R21-S21-T21-U21+V21+W21-AT21+AR21</f>
        <v>554.741671864522</v>
      </c>
      <c r="Y21" s="135" t="n">
        <f aca="false">X21-AO21</f>
        <v>549.741671864522</v>
      </c>
      <c r="Z21" s="107" t="n">
        <f aca="false">Z20+AP21</f>
        <v>1847.18659702955</v>
      </c>
      <c r="AA21" s="135" t="n">
        <f aca="false">(-AP21)</f>
        <v>143.645233151912</v>
      </c>
      <c r="AB21" s="107"/>
      <c r="AC21" s="107" t="n">
        <f aca="false">AC20-(AQ20/1.9835)+AS21</f>
        <v>1388.22684480564</v>
      </c>
      <c r="AD21" s="207" t="n">
        <f aca="false">AD20</f>
        <v>6977.56491051172</v>
      </c>
      <c r="AE21" s="135" t="n">
        <v>295</v>
      </c>
      <c r="AF21" s="240" t="n">
        <v>1.7</v>
      </c>
      <c r="AG21" s="241" t="n">
        <v>1.3</v>
      </c>
      <c r="AH21" s="135" t="n">
        <v>74</v>
      </c>
      <c r="AI21" s="107" t="n">
        <f aca="false">AI20-AH21</f>
        <v>12173.2578774893</v>
      </c>
      <c r="AJ21" s="107"/>
      <c r="AK21" s="134" t="n">
        <f aca="false">N21+O21+P21+Q21+R22+S21+T21+U21+X21+AE21+AH21-AR21</f>
        <v>964</v>
      </c>
      <c r="AL21" s="135" t="n">
        <f aca="false">IF(L21&lt;0,L21*-1,0)</f>
        <v>79.4109125283589</v>
      </c>
      <c r="AM21" s="135" t="n">
        <f aca="false">AK21+AL21</f>
        <v>1043.41091252836</v>
      </c>
      <c r="AN21" s="212"/>
      <c r="AO21" s="207" t="n">
        <v>5</v>
      </c>
      <c r="AP21" s="97" t="n">
        <f aca="false">(I21-AO21)-Q21-R21-Y21-AF21</f>
        <v>-143.645233151912</v>
      </c>
      <c r="AQ21" s="155" t="n">
        <f aca="false">58.03*(Z21*1.9835+AC21*1.9835)/E21</f>
        <v>1.67238879398011</v>
      </c>
      <c r="AR21" s="155" t="n">
        <v>37.9555</v>
      </c>
      <c r="AS21" s="144"/>
      <c r="AT21" s="5" t="n">
        <v>0</v>
      </c>
      <c r="AU21" s="4"/>
      <c r="AV21" s="312" t="n">
        <v>0</v>
      </c>
      <c r="AW21" s="482" t="n">
        <v>91</v>
      </c>
      <c r="AX21" s="482" t="n">
        <v>62</v>
      </c>
      <c r="AY21" s="286"/>
      <c r="AZ21" s="242" t="n">
        <f aca="false">SUM(N21,P21:U21)</f>
        <v>13.1138281354781</v>
      </c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9" t="n">
        <f aca="false">A21+1</f>
        <v>8</v>
      </c>
      <c r="B22" s="106" t="n">
        <v>6922.28</v>
      </c>
      <c r="C22" s="107" t="n">
        <v>373530</v>
      </c>
      <c r="D22" s="207" t="n">
        <f aca="false">C22-C21</f>
        <v>-1148</v>
      </c>
      <c r="E22" s="107" t="n">
        <f aca="false">C22-152000</f>
        <v>221530</v>
      </c>
      <c r="F22" s="238" t="n">
        <f aca="false">D22/$D$2</f>
        <v>-578.774892866146</v>
      </c>
      <c r="G22" s="135" t="n">
        <v>420</v>
      </c>
      <c r="H22" s="136" t="n">
        <v>0.24</v>
      </c>
      <c r="I22" s="135" t="n">
        <f aca="false">G22+H22</f>
        <v>420.24</v>
      </c>
      <c r="J22" s="136" t="n">
        <f aca="false">IF(L22&gt;0,L22,0)</f>
        <v>0</v>
      </c>
      <c r="K22" s="135" t="n">
        <f aca="false">I22+J22</f>
        <v>420.24</v>
      </c>
      <c r="L22" s="135" t="n">
        <f aca="false">F22-(I22-AK22)</f>
        <v>-58.0148928661457</v>
      </c>
      <c r="M22" s="240" t="n">
        <v>338</v>
      </c>
      <c r="N22" s="155" t="n">
        <f aca="false">(1.8299*1.03)/2</f>
        <v>0.9423985</v>
      </c>
      <c r="O22" s="135" t="n">
        <f aca="false">(37+32)*1.05</f>
        <v>72.45</v>
      </c>
      <c r="P22" s="155" t="n">
        <v>0</v>
      </c>
      <c r="Q22" s="328" t="n">
        <f aca="false">2042500/325851/1.9835*1.02</f>
        <v>3.22337604468663</v>
      </c>
      <c r="R22" s="328" t="n">
        <v>4.2</v>
      </c>
      <c r="S22" s="131" t="n">
        <f aca="false">((5579763/325851/1.9835-T22)*1.04)-4.2</f>
        <v>2.98919410808838</v>
      </c>
      <c r="T22" s="131" t="n">
        <f aca="false">1.6542*1.04</f>
        <v>1.720368</v>
      </c>
      <c r="U22" s="346" t="n">
        <v>0</v>
      </c>
      <c r="V22" s="135" t="n">
        <v>187</v>
      </c>
      <c r="W22" s="135" t="n">
        <v>78</v>
      </c>
      <c r="X22" s="135" t="n">
        <f aca="false">M22-N22-O22-P22-Q22-R22-S22-T22-U22+V22+W22-AT22+AR22</f>
        <v>555.430163347225</v>
      </c>
      <c r="Y22" s="135" t="n">
        <f aca="false">X22-AO22</f>
        <v>550.430163347225</v>
      </c>
      <c r="Z22" s="107" t="n">
        <f aca="false">Z21+AP22</f>
        <v>1702.87305763764</v>
      </c>
      <c r="AA22" s="135" t="n">
        <f aca="false">(-AP22)</f>
        <v>144.313539391912</v>
      </c>
      <c r="AB22" s="107"/>
      <c r="AC22" s="107" t="n">
        <f aca="false">AC21-(AQ21/1.9835)+AS22</f>
        <v>1387.38369441795</v>
      </c>
      <c r="AD22" s="207" t="n">
        <f aca="false">AD21</f>
        <v>6977.56491051172</v>
      </c>
      <c r="AE22" s="135" t="n">
        <v>265</v>
      </c>
      <c r="AF22" s="240" t="n">
        <v>1.7</v>
      </c>
      <c r="AG22" s="241" t="n">
        <v>1.3</v>
      </c>
      <c r="AH22" s="135" t="n">
        <v>73</v>
      </c>
      <c r="AI22" s="107" t="n">
        <f aca="false">AI21-AH22</f>
        <v>12100.2578774893</v>
      </c>
      <c r="AJ22" s="107"/>
      <c r="AK22" s="134" t="n">
        <f aca="false">N22+O22+P22+Q22+R23+S22+T22+U22+X22+AE22+AH22-AR22</f>
        <v>941</v>
      </c>
      <c r="AL22" s="135" t="n">
        <f aca="false">IF(L22&lt;0,L22*-1,0)</f>
        <v>58.0148928661457</v>
      </c>
      <c r="AM22" s="135" t="n">
        <f aca="false">AK22+AL22</f>
        <v>999.014892866146</v>
      </c>
      <c r="AN22" s="212"/>
      <c r="AO22" s="207" t="n">
        <v>5</v>
      </c>
      <c r="AP22" s="97" t="n">
        <f aca="false">(I22-AO22)-Q22-R22-Y22-AF22</f>
        <v>-144.313539391912</v>
      </c>
      <c r="AQ22" s="155" t="n">
        <f aca="false">58.03*(Z22*1.9835+AC22*1.9835)/E22</f>
        <v>1.60563487227356</v>
      </c>
      <c r="AR22" s="155" t="n">
        <v>37.9555</v>
      </c>
      <c r="AS22" s="144"/>
      <c r="AT22" s="5" t="n">
        <v>0</v>
      </c>
      <c r="AU22" s="4"/>
      <c r="AV22" s="312" t="n">
        <v>0</v>
      </c>
      <c r="AW22" s="207" t="n">
        <v>92</v>
      </c>
      <c r="AX22" s="207" t="n">
        <v>59</v>
      </c>
      <c r="AY22" s="286"/>
      <c r="AZ22" s="242" t="n">
        <f aca="false">SUM(N22,P22:U22)</f>
        <v>13.075336652775</v>
      </c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9" t="n">
        <f aca="false">A22+1</f>
        <v>9</v>
      </c>
      <c r="B23" s="106" t="n">
        <v>6922.01</v>
      </c>
      <c r="C23" s="107" t="n">
        <v>372338</v>
      </c>
      <c r="D23" s="207" t="n">
        <f aca="false">C23-C22</f>
        <v>-1192</v>
      </c>
      <c r="E23" s="107" t="n">
        <f aca="false">C23-152000</f>
        <v>220338</v>
      </c>
      <c r="F23" s="238" t="n">
        <f aca="false">D23/$D$2</f>
        <v>-600.957902697252</v>
      </c>
      <c r="G23" s="135" t="n">
        <v>393</v>
      </c>
      <c r="H23" s="136" t="n">
        <v>0.21</v>
      </c>
      <c r="I23" s="135" t="n">
        <f aca="false">G23+H23</f>
        <v>393.21</v>
      </c>
      <c r="J23" s="136" t="n">
        <f aca="false">IF(L23&gt;0,L23,0)</f>
        <v>0</v>
      </c>
      <c r="K23" s="135" t="n">
        <f aca="false">I23+J23</f>
        <v>393.21</v>
      </c>
      <c r="L23" s="135" t="n">
        <f aca="false">F23-(I23-AK23)</f>
        <v>-4.16790269725232</v>
      </c>
      <c r="M23" s="240" t="n">
        <v>342</v>
      </c>
      <c r="N23" s="155" t="n">
        <f aca="false">(1.8299*1.03)/2</f>
        <v>0.9423985</v>
      </c>
      <c r="O23" s="135" t="n">
        <f aca="false">(33+34)*1.05</f>
        <v>70.35</v>
      </c>
      <c r="P23" s="155" t="n">
        <v>0</v>
      </c>
      <c r="Q23" s="328" t="n">
        <f aca="false">2295000/325851/1.9835*1.02</f>
        <v>3.62185949696735</v>
      </c>
      <c r="R23" s="328" t="n">
        <v>4.2</v>
      </c>
      <c r="S23" s="131" t="n">
        <f aca="false">((5579763/325851/1.9835-T23)*1.04)-4.2</f>
        <v>2.98919410808838</v>
      </c>
      <c r="T23" s="131" t="n">
        <f aca="false">1.6542*1.04</f>
        <v>1.720368</v>
      </c>
      <c r="U23" s="346" t="n">
        <v>0</v>
      </c>
      <c r="V23" s="135" t="n">
        <v>186</v>
      </c>
      <c r="W23" s="135" t="n">
        <v>81</v>
      </c>
      <c r="X23" s="135" t="n">
        <f aca="false">M23-N23-O23-P23-Q23-R23-S23-T23-U23+V23+W23-AT23+AR23</f>
        <v>563.131679894944</v>
      </c>
      <c r="Y23" s="135" t="n">
        <f aca="false">X23-AO23</f>
        <v>558.131679894944</v>
      </c>
      <c r="Z23" s="107" t="n">
        <f aca="false">Z22+AP23</f>
        <v>1523.42951824573</v>
      </c>
      <c r="AA23" s="135" t="n">
        <f aca="false">(-AP23)</f>
        <v>179.443539391912</v>
      </c>
      <c r="AB23" s="107"/>
      <c r="AC23" s="107" t="n">
        <f aca="false">AC22-(AQ22/1.9835)+AS23</f>
        <v>1386.57419864166</v>
      </c>
      <c r="AD23" s="207" t="n">
        <f aca="false">AD22</f>
        <v>6977.56491051172</v>
      </c>
      <c r="AE23" s="135" t="n">
        <v>308</v>
      </c>
      <c r="AF23" s="240" t="n">
        <v>1.7</v>
      </c>
      <c r="AG23" s="241" t="n">
        <v>1.3</v>
      </c>
      <c r="AH23" s="135" t="n">
        <v>73</v>
      </c>
      <c r="AI23" s="107" t="n">
        <f aca="false">AI22-AH23</f>
        <v>12027.2578774893</v>
      </c>
      <c r="AJ23" s="107"/>
      <c r="AK23" s="134" t="n">
        <f aca="false">N23+O23+P23+Q23+R24+S23+T23+U23+X23+AE23+AH23-AR23</f>
        <v>990</v>
      </c>
      <c r="AL23" s="135" t="n">
        <f aca="false">IF(L23&lt;0,L23*-1,0)</f>
        <v>4.16790269725232</v>
      </c>
      <c r="AM23" s="135" t="n">
        <f aca="false">AK23+AL23</f>
        <v>994.167902697252</v>
      </c>
      <c r="AN23" s="212"/>
      <c r="AO23" s="207" t="n">
        <v>5</v>
      </c>
      <c r="AP23" s="97" t="n">
        <f aca="false">(I23-AO23)-Q23-R23-Y23-AF23</f>
        <v>-179.443539391912</v>
      </c>
      <c r="AQ23" s="155" t="n">
        <f aca="false">58.03*(Z23*1.9835+AC23*1.9835)/E23</f>
        <v>1.52015865340091</v>
      </c>
      <c r="AR23" s="155" t="n">
        <v>37.9555</v>
      </c>
      <c r="AS23" s="144"/>
      <c r="AT23" s="5" t="n">
        <v>0</v>
      </c>
      <c r="AU23" s="4"/>
      <c r="AV23" s="312" t="n">
        <v>0.01</v>
      </c>
      <c r="AW23" s="213" t="n">
        <v>90</v>
      </c>
      <c r="AX23" s="207" t="n">
        <v>57</v>
      </c>
      <c r="AY23" s="286"/>
      <c r="AZ23" s="242" t="n">
        <f aca="false">SUM(N23,P23:U23)</f>
        <v>13.4738201050557</v>
      </c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9" t="n">
        <f aca="false">A23+1</f>
        <v>10</v>
      </c>
      <c r="B24" s="106" t="n">
        <v>6921.75</v>
      </c>
      <c r="C24" s="107" t="n">
        <v>371199</v>
      </c>
      <c r="D24" s="207" t="n">
        <f aca="false">C24-C23</f>
        <v>-1139</v>
      </c>
      <c r="E24" s="107" t="n">
        <f aca="false">C24-152000</f>
        <v>219199</v>
      </c>
      <c r="F24" s="238" t="n">
        <f aca="false">D24/$D$2</f>
        <v>-574.237459037056</v>
      </c>
      <c r="G24" s="135" t="n">
        <v>386</v>
      </c>
      <c r="H24" s="136" t="n">
        <v>0.19</v>
      </c>
      <c r="I24" s="135" t="n">
        <f aca="false">G24+H24</f>
        <v>386.19</v>
      </c>
      <c r="J24" s="136" t="n">
        <f aca="false">IF(L24&gt;0,L24,0)</f>
        <v>0</v>
      </c>
      <c r="K24" s="135" t="n">
        <f aca="false">I24+J24</f>
        <v>386.19</v>
      </c>
      <c r="L24" s="135" t="n">
        <f aca="false">F24-(I24-AK24)</f>
        <v>-32.4274590370558</v>
      </c>
      <c r="M24" s="240" t="n">
        <v>337</v>
      </c>
      <c r="N24" s="155" t="n">
        <f aca="false">(1.8299*1.03)/2</f>
        <v>0.9423985</v>
      </c>
      <c r="O24" s="135" t="n">
        <f aca="false">(36+37)*1.05</f>
        <v>76.65</v>
      </c>
      <c r="P24" s="155" t="n">
        <v>0</v>
      </c>
      <c r="Q24" s="328" t="n">
        <f aca="false">2062500/325851/1.9835*1.02</f>
        <v>3.25493909041183</v>
      </c>
      <c r="R24" s="328" t="n">
        <v>4.2</v>
      </c>
      <c r="S24" s="131" t="n">
        <f aca="false">((5579763/325851/1.9835-T24)*1.04)-4.2</f>
        <v>2.98919410808838</v>
      </c>
      <c r="T24" s="131" t="n">
        <f aca="false">1.6542*1.04</f>
        <v>1.720368</v>
      </c>
      <c r="U24" s="346" t="n">
        <v>0</v>
      </c>
      <c r="V24" s="135" t="n">
        <v>187</v>
      </c>
      <c r="W24" s="135" t="n">
        <v>83</v>
      </c>
      <c r="X24" s="135" t="n">
        <f aca="false">M24-N24-O24-P24-Q24-R24-S24-T24-U24+V24+W24-AT24+AR24</f>
        <v>555.1986003015</v>
      </c>
      <c r="Y24" s="135" t="n">
        <f aca="false">X24-AO24</f>
        <v>550.1986003015</v>
      </c>
      <c r="Z24" s="107" t="n">
        <f aca="false">Z23+AP24</f>
        <v>1345.26597885382</v>
      </c>
      <c r="AA24" s="135" t="n">
        <f aca="false">(-AP24)</f>
        <v>178.163539391912</v>
      </c>
      <c r="AB24" s="107"/>
      <c r="AC24" s="107" t="n">
        <f aca="false">AC23-(AQ23/1.9835)+AS24</f>
        <v>1385.80779649727</v>
      </c>
      <c r="AD24" s="207" t="n">
        <f aca="false">AD23</f>
        <v>6977.56491051172</v>
      </c>
      <c r="AE24" s="135" t="n">
        <v>248</v>
      </c>
      <c r="AF24" s="240" t="n">
        <v>1.7</v>
      </c>
      <c r="AG24" s="241" t="n">
        <v>1.3</v>
      </c>
      <c r="AH24" s="135" t="n">
        <v>73</v>
      </c>
      <c r="AI24" s="107" t="n">
        <f aca="false">AI23-AH24</f>
        <v>11954.2578774893</v>
      </c>
      <c r="AJ24" s="107"/>
      <c r="AK24" s="134" t="n">
        <f aca="false">N24+O24+P24+Q24+R25+S24+T24+U24+X24+AE24+AH24-AR24</f>
        <v>928</v>
      </c>
      <c r="AL24" s="135" t="n">
        <f aca="false">IF(L24&lt;0,L24*-1,0)</f>
        <v>32.4274590370558</v>
      </c>
      <c r="AM24" s="135" t="n">
        <f aca="false">AK24+AL24</f>
        <v>960.427459037056</v>
      </c>
      <c r="AN24" s="212"/>
      <c r="AO24" s="207" t="n">
        <v>5</v>
      </c>
      <c r="AP24" s="97" t="n">
        <f aca="false">(I24-AO24)-Q24-R24-Y24-AF24</f>
        <v>-178.163539391912</v>
      </c>
      <c r="AQ24" s="155" t="n">
        <f aca="false">58.03*(Z24*1.9835+AC24*1.9835)/E24</f>
        <v>1.43410067054465</v>
      </c>
      <c r="AR24" s="155" t="n">
        <v>37.9555</v>
      </c>
      <c r="AS24" s="144"/>
      <c r="AT24" s="5" t="n">
        <v>0</v>
      </c>
      <c r="AU24" s="4"/>
      <c r="AV24" s="312" t="n">
        <v>0</v>
      </c>
      <c r="AW24" s="207" t="n">
        <v>89</v>
      </c>
      <c r="AX24" s="207" t="n">
        <v>60</v>
      </c>
      <c r="AY24" s="286"/>
      <c r="AZ24" s="242" t="n">
        <f aca="false">SUM(N24,P24:U24)</f>
        <v>13.1068996985002</v>
      </c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9" t="n">
        <f aca="false">A24+1</f>
        <v>11</v>
      </c>
      <c r="B25" s="106" t="n">
        <v>6921.46</v>
      </c>
      <c r="C25" s="107" t="n">
        <v>369929</v>
      </c>
      <c r="D25" s="207" t="n">
        <f aca="false">C25-C24</f>
        <v>-1270</v>
      </c>
      <c r="E25" s="107" t="n">
        <f aca="false">C25-152000</f>
        <v>217929</v>
      </c>
      <c r="F25" s="238" t="n">
        <f aca="false">D25/$D$2</f>
        <v>-640.282329216032</v>
      </c>
      <c r="G25" s="135" t="n">
        <v>359</v>
      </c>
      <c r="H25" s="136" t="n">
        <v>0.18</v>
      </c>
      <c r="I25" s="135" t="n">
        <f aca="false">G25+H25</f>
        <v>359.18</v>
      </c>
      <c r="J25" s="136" t="n">
        <f aca="false">IF(L25&gt;0,L25,0)</f>
        <v>0</v>
      </c>
      <c r="K25" s="135" t="n">
        <f aca="false">I25+J25</f>
        <v>359.18</v>
      </c>
      <c r="L25" s="135" t="n">
        <f aca="false">F25-(I25-AK25)</f>
        <v>-24.4623292160323</v>
      </c>
      <c r="M25" s="240" t="n">
        <v>344</v>
      </c>
      <c r="N25" s="155" t="n">
        <f aca="false">(1.8299*1.03)/2</f>
        <v>0.9423985</v>
      </c>
      <c r="O25" s="135" t="n">
        <f aca="false">(36+36)*1.05</f>
        <v>75.6</v>
      </c>
      <c r="P25" s="155" t="n">
        <v>0</v>
      </c>
      <c r="Q25" s="328" t="n">
        <f aca="false">1973200/325851/1.9835*1.02</f>
        <v>3.11401009124879</v>
      </c>
      <c r="R25" s="328" t="n">
        <v>4.2</v>
      </c>
      <c r="S25" s="131" t="n">
        <f aca="false">((5579763/325851/1.9835-T25)*1.04)-4.2</f>
        <v>2.98919410808838</v>
      </c>
      <c r="T25" s="131" t="n">
        <f aca="false">1.6542*1.04</f>
        <v>1.720368</v>
      </c>
      <c r="U25" s="346" t="n">
        <v>0</v>
      </c>
      <c r="V25" s="135" t="n">
        <v>185</v>
      </c>
      <c r="W25" s="135" t="n">
        <v>82</v>
      </c>
      <c r="X25" s="135" t="n">
        <f aca="false">M25-N25-O25-P25-Q25-R25-S25-T25-U25+V25+W25-AT25+AR25</f>
        <v>560.389529300663</v>
      </c>
      <c r="Y25" s="135" t="n">
        <f aca="false">X25-AO25</f>
        <v>555.389529300663</v>
      </c>
      <c r="Z25" s="107" t="n">
        <f aca="false">Z24+AP25</f>
        <v>1135.0424394619</v>
      </c>
      <c r="AA25" s="135" t="n">
        <f aca="false">(-AP25)</f>
        <v>210.223539391912</v>
      </c>
      <c r="AB25" s="107"/>
      <c r="AC25" s="107" t="n">
        <f aca="false">AC24-(AQ24/1.9835)+AS25</f>
        <v>1385.08478128651</v>
      </c>
      <c r="AD25" s="207" t="n">
        <f aca="false">AD24</f>
        <v>6977.56491051172</v>
      </c>
      <c r="AE25" s="135" t="n">
        <v>291</v>
      </c>
      <c r="AF25" s="240" t="n">
        <v>1.7</v>
      </c>
      <c r="AG25" s="241" t="n">
        <v>1.3</v>
      </c>
      <c r="AH25" s="135" t="n">
        <v>73</v>
      </c>
      <c r="AI25" s="107" t="n">
        <f aca="false">AI24-AH25</f>
        <v>11881.2578774893</v>
      </c>
      <c r="AJ25" s="107"/>
      <c r="AK25" s="134" t="n">
        <f aca="false">N25+O25+P25+Q25+R26+S25+T25+U25+X25+AE25+AH25-AR25</f>
        <v>975</v>
      </c>
      <c r="AL25" s="135" t="n">
        <f aca="false">IF(L25&lt;0,L25*-1,0)</f>
        <v>24.4623292160323</v>
      </c>
      <c r="AM25" s="135" t="n">
        <f aca="false">AK25+AL25</f>
        <v>999.462329216032</v>
      </c>
      <c r="AN25" s="212"/>
      <c r="AO25" s="207" t="n">
        <v>5</v>
      </c>
      <c r="AP25" s="97" t="n">
        <f aca="false">(I25-AO25)-Q25-R25-Y25-AF25</f>
        <v>-210.223539391912</v>
      </c>
      <c r="AQ25" s="155" t="n">
        <f aca="false">58.03*(Z25*1.9835+AC25*1.9835)/E25</f>
        <v>1.33104339499025</v>
      </c>
      <c r="AR25" s="155" t="n">
        <v>37.9555</v>
      </c>
      <c r="AS25" s="144"/>
      <c r="AT25" s="5" t="n">
        <v>0</v>
      </c>
      <c r="AU25" s="4"/>
      <c r="AV25" s="312" t="n">
        <v>0.02</v>
      </c>
      <c r="AW25" s="207" t="n">
        <v>80</v>
      </c>
      <c r="AX25" s="207" t="n">
        <v>57</v>
      </c>
      <c r="AY25" s="286"/>
      <c r="AZ25" s="242" t="n">
        <f aca="false">SUM(N25,P25:U25)</f>
        <v>12.9659706993372</v>
      </c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9" t="n">
        <f aca="false">A25+1</f>
        <v>12</v>
      </c>
      <c r="B26" s="106" t="n">
        <v>6921.25</v>
      </c>
      <c r="C26" s="107" t="n">
        <v>369009</v>
      </c>
      <c r="D26" s="207" t="n">
        <f aca="false">C26-C25</f>
        <v>-920</v>
      </c>
      <c r="E26" s="107" t="n">
        <f aca="false">C26-152000</f>
        <v>217009</v>
      </c>
      <c r="F26" s="238" t="n">
        <f aca="false">D26/$D$2</f>
        <v>-463.826569195866</v>
      </c>
      <c r="G26" s="135" t="n">
        <v>461</v>
      </c>
      <c r="H26" s="136" t="n">
        <v>0.36</v>
      </c>
      <c r="I26" s="135" t="n">
        <f aca="false">G26+H26</f>
        <v>461.36</v>
      </c>
      <c r="J26" s="136" t="n">
        <f aca="false">IF(L26&gt;0,L26,0)</f>
        <v>9.8134308041341</v>
      </c>
      <c r="K26" s="135" t="n">
        <f aca="false">I26+J26</f>
        <v>471.173430804134</v>
      </c>
      <c r="L26" s="135" t="n">
        <f aca="false">F26-(I26-AK26)</f>
        <v>9.8134308041341</v>
      </c>
      <c r="M26" s="240" t="n">
        <v>323</v>
      </c>
      <c r="N26" s="155" t="n">
        <f aca="false">(1.8299*1.03)/2</f>
        <v>0.9423985</v>
      </c>
      <c r="O26" s="135" t="n">
        <f aca="false">(34+34)*1.05</f>
        <v>71.4</v>
      </c>
      <c r="P26" s="155" t="n">
        <v>0</v>
      </c>
      <c r="Q26" s="328" t="n">
        <f aca="false">1663400/325851/1.9835*1.02</f>
        <v>2.62509851296535</v>
      </c>
      <c r="R26" s="328" t="n">
        <v>4.2</v>
      </c>
      <c r="S26" s="131" t="n">
        <f aca="false">((5579763/325851/1.9835-T26)*1.04)-4.2</f>
        <v>2.98919410808838</v>
      </c>
      <c r="T26" s="131" t="n">
        <f aca="false">1.6542*1.04</f>
        <v>1.720368</v>
      </c>
      <c r="U26" s="346" t="n">
        <v>0</v>
      </c>
      <c r="V26" s="135" t="n">
        <v>185</v>
      </c>
      <c r="W26" s="135" t="n">
        <v>83</v>
      </c>
      <c r="X26" s="135" t="n">
        <f aca="false">M26-N26-O26-P26-Q26-R26-S26-T26-U26+V26+W26-AT26+AR26</f>
        <v>545.078440878946</v>
      </c>
      <c r="Y26" s="135" t="n">
        <f aca="false">X26-AO26</f>
        <v>540.078440878946</v>
      </c>
      <c r="Z26" s="107" t="n">
        <f aca="false">Z25+AP26</f>
        <v>1042.79890006999</v>
      </c>
      <c r="AA26" s="135" t="n">
        <f aca="false">(-AP26)</f>
        <v>92.2435393919116</v>
      </c>
      <c r="AB26" s="107"/>
      <c r="AC26" s="107" t="n">
        <f aca="false">AC25-(AQ25/1.9835)+AS26</f>
        <v>1384.41372336113</v>
      </c>
      <c r="AD26" s="207" t="n">
        <f aca="false">AD25</f>
        <v>6977.56491051172</v>
      </c>
      <c r="AE26" s="135" t="n">
        <v>271</v>
      </c>
      <c r="AF26" s="240" t="n">
        <v>1.7</v>
      </c>
      <c r="AG26" s="241" t="n">
        <v>1.3</v>
      </c>
      <c r="AH26" s="135" t="n">
        <v>73</v>
      </c>
      <c r="AI26" s="107" t="n">
        <f aca="false">AI25-AH26</f>
        <v>11808.2578774893</v>
      </c>
      <c r="AJ26" s="107"/>
      <c r="AK26" s="134" t="n">
        <f aca="false">N26+O26+P26+Q26+R27+S26+T26+U26+X26+AE26+AH26-AR26</f>
        <v>935</v>
      </c>
      <c r="AL26" s="135" t="n">
        <f aca="false">IF(L26&lt;0,L26*-1,0)</f>
        <v>0</v>
      </c>
      <c r="AM26" s="135" t="n">
        <f aca="false">AK26+AL26</f>
        <v>935</v>
      </c>
      <c r="AN26" s="212"/>
      <c r="AO26" s="207" t="n">
        <v>5</v>
      </c>
      <c r="AP26" s="97" t="n">
        <f aca="false">(I26-AO26)-Q26-R26-Y26-AF26</f>
        <v>-92.2435393919116</v>
      </c>
      <c r="AQ26" s="155" t="n">
        <f aca="false">58.03*(Z26*1.9835+AC26*1.9835)/E26</f>
        <v>1.28740399303505</v>
      </c>
      <c r="AR26" s="155" t="n">
        <v>37.9555</v>
      </c>
      <c r="AS26" s="144"/>
      <c r="AT26" s="5" t="n">
        <v>0</v>
      </c>
      <c r="AU26" s="4"/>
      <c r="AV26" s="312" t="n">
        <v>0.27</v>
      </c>
      <c r="AW26" s="207" t="n">
        <v>78</v>
      </c>
      <c r="AX26" s="207" t="n">
        <v>56</v>
      </c>
      <c r="AY26" s="286"/>
      <c r="AZ26" s="242" t="n">
        <f aca="false">SUM(N26,P26:U26)</f>
        <v>12.4770591210537</v>
      </c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9" t="n">
        <f aca="false">A26+1</f>
        <v>13</v>
      </c>
      <c r="B27" s="106" t="n">
        <v>6921.1</v>
      </c>
      <c r="C27" s="107" t="n">
        <v>368353</v>
      </c>
      <c r="D27" s="207" t="n">
        <f aca="false">C27-C26</f>
        <v>-656</v>
      </c>
      <c r="E27" s="107" t="n">
        <f aca="false">C27-152000</f>
        <v>216353</v>
      </c>
      <c r="F27" s="238" t="n">
        <f aca="false">D27/$D$2</f>
        <v>-330.728510209226</v>
      </c>
      <c r="G27" s="135" t="n">
        <v>445</v>
      </c>
      <c r="H27" s="136" t="n">
        <v>0.38</v>
      </c>
      <c r="I27" s="135" t="n">
        <f aca="false">G27+H27</f>
        <v>445.38</v>
      </c>
      <c r="J27" s="136" t="n">
        <f aca="false">IF(L27&gt;0,L27,0)</f>
        <v>176.891489790774</v>
      </c>
      <c r="K27" s="135" t="n">
        <f aca="false">I27+J27</f>
        <v>622.271489790774</v>
      </c>
      <c r="L27" s="135" t="n">
        <f aca="false">F27-(I27-AK27)</f>
        <v>176.891489790774</v>
      </c>
      <c r="M27" s="240" t="n">
        <v>333</v>
      </c>
      <c r="N27" s="155" t="n">
        <f aca="false">(1.8299*1.03)/2</f>
        <v>0.9423985</v>
      </c>
      <c r="O27" s="135" t="n">
        <f aca="false">(33+33)*1.05</f>
        <v>69.3</v>
      </c>
      <c r="P27" s="155" t="n">
        <v>0</v>
      </c>
      <c r="Q27" s="328" t="n">
        <f aca="false">1829800/325851/1.9835*1.02</f>
        <v>2.88770305339906</v>
      </c>
      <c r="R27" s="328" t="n">
        <v>4.2</v>
      </c>
      <c r="S27" s="131" t="n">
        <f aca="false">((5579763/325851/1.9835-T27)*1.04)-4.2</f>
        <v>3.13942834808838</v>
      </c>
      <c r="T27" s="131" t="n">
        <f aca="false">1.5153*1.04</f>
        <v>1.575912</v>
      </c>
      <c r="U27" s="346" t="n">
        <v>0</v>
      </c>
      <c r="V27" s="135" t="n">
        <v>185</v>
      </c>
      <c r="W27" s="135" t="n">
        <v>83</v>
      </c>
      <c r="X27" s="135" t="n">
        <f aca="false">M27-N27-O27-P27-Q27-R27-S27-T27-U27+V27+W27-AT27+AR27</f>
        <v>556.910058098513</v>
      </c>
      <c r="Y27" s="135" t="n">
        <f aca="false">X27-AO27</f>
        <v>551.910058098513</v>
      </c>
      <c r="Z27" s="107" t="n">
        <f aca="false">Z26+AP27</f>
        <v>922.481138918082</v>
      </c>
      <c r="AA27" s="135" t="n">
        <f aca="false">(-AP27)</f>
        <v>120.317761151912</v>
      </c>
      <c r="AB27" s="107"/>
      <c r="AC27" s="107" t="n">
        <f aca="false">AC26-(AQ26/1.9835)+AS27</f>
        <v>1383.76466664671</v>
      </c>
      <c r="AD27" s="207" t="n">
        <f aca="false">AD26</f>
        <v>6977.56491051172</v>
      </c>
      <c r="AE27" s="135" t="n">
        <v>279</v>
      </c>
      <c r="AF27" s="240" t="n">
        <v>1.7</v>
      </c>
      <c r="AG27" s="241" t="n">
        <v>1.3</v>
      </c>
      <c r="AH27" s="135" t="n">
        <v>73</v>
      </c>
      <c r="AI27" s="107" t="n">
        <f aca="false">AI26-AH27</f>
        <v>11735.2578774893</v>
      </c>
      <c r="AJ27" s="107"/>
      <c r="AK27" s="134" t="n">
        <f aca="false">N27+O27+P27+Q27+R28+S27+T27+U27+X27+AE27+AH27-AR27</f>
        <v>953</v>
      </c>
      <c r="AL27" s="135" t="n">
        <f aca="false">IF(L27&lt;0,L27*-1,0)</f>
        <v>0</v>
      </c>
      <c r="AM27" s="135" t="n">
        <f aca="false">AK27+AL27</f>
        <v>953</v>
      </c>
      <c r="AN27" s="212"/>
      <c r="AO27" s="207" t="n">
        <v>5</v>
      </c>
      <c r="AP27" s="97" t="n">
        <f aca="false">(I27-AO27)-Q27-R27-Y27-AF27</f>
        <v>-120.317761151912</v>
      </c>
      <c r="AQ27" s="155" t="n">
        <f aca="false">58.03*(Z27*1.9835+AC27*1.9835)/E27</f>
        <v>1.22695164553415</v>
      </c>
      <c r="AR27" s="155" t="n">
        <v>37.9555</v>
      </c>
      <c r="AS27" s="144"/>
      <c r="AT27" s="5" t="n">
        <v>0</v>
      </c>
      <c r="AU27" s="4"/>
      <c r="AV27" s="312" t="n">
        <v>0</v>
      </c>
      <c r="AW27" s="207" t="n">
        <v>87</v>
      </c>
      <c r="AX27" s="207" t="n">
        <v>52</v>
      </c>
      <c r="AY27" s="286"/>
      <c r="AZ27" s="242" t="n">
        <f aca="false">SUM(N27,P27:U27)</f>
        <v>12.7454419014874</v>
      </c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9" t="n">
        <f aca="false">A27+1</f>
        <v>14</v>
      </c>
      <c r="B28" s="106" t="n">
        <v>6920.78</v>
      </c>
      <c r="C28" s="107" t="n">
        <v>366960</v>
      </c>
      <c r="D28" s="207" t="n">
        <f aca="false">C28-C27</f>
        <v>-1393</v>
      </c>
      <c r="E28" s="107" t="n">
        <f aca="false">C28-152000</f>
        <v>214960</v>
      </c>
      <c r="F28" s="238" t="n">
        <f aca="false">D28/$D$2</f>
        <v>-702.293924880262</v>
      </c>
      <c r="G28" s="135" t="n">
        <v>342</v>
      </c>
      <c r="H28" s="136" t="n">
        <v>0.2</v>
      </c>
      <c r="I28" s="135" t="n">
        <f aca="false">G28+H28</f>
        <v>342.2</v>
      </c>
      <c r="J28" s="136" t="n">
        <f aca="false">IF(L28&gt;0,L28,0)</f>
        <v>0</v>
      </c>
      <c r="K28" s="135" t="n">
        <f aca="false">I28+J28</f>
        <v>342.2</v>
      </c>
      <c r="L28" s="135" t="n">
        <f aca="false">F28-(I28-AK28)</f>
        <v>-82.4939248802622</v>
      </c>
      <c r="M28" s="240" t="n">
        <v>335</v>
      </c>
      <c r="N28" s="155" t="n">
        <f aca="false">(1.8299*1.03)/2</f>
        <v>0.9423985</v>
      </c>
      <c r="O28" s="135" t="n">
        <f aca="false">(35+35)*1.05</f>
        <v>73.5</v>
      </c>
      <c r="P28" s="155" t="n">
        <v>0</v>
      </c>
      <c r="Q28" s="328" t="n">
        <f aca="false">1894200/325851/1.9835*1.02</f>
        <v>2.98933606063423</v>
      </c>
      <c r="R28" s="328" t="n">
        <v>4.2</v>
      </c>
      <c r="S28" s="131" t="n">
        <f aca="false">(((5579763+123)/325851/1.9835-T28)*1.04)-4.2</f>
        <v>3.63056450695158</v>
      </c>
      <c r="T28" s="131" t="n">
        <f aca="false">1.0614*1.04</f>
        <v>1.103856</v>
      </c>
      <c r="U28" s="346" t="n">
        <v>0</v>
      </c>
      <c r="V28" s="135" t="n">
        <v>184</v>
      </c>
      <c r="W28" s="135" t="n">
        <v>83</v>
      </c>
      <c r="X28" s="135" t="n">
        <f aca="false">M28-N28-O28-P28-Q28-R28-S28-T28-U28+V28+W28-AT28+AR28</f>
        <v>553.589344932414</v>
      </c>
      <c r="Y28" s="135" t="n">
        <f aca="false">X28-AO28</f>
        <v>548.589344932414</v>
      </c>
      <c r="Z28" s="107" t="n">
        <f aca="false">Z27+AP28</f>
        <v>702.202457925033</v>
      </c>
      <c r="AA28" s="135" t="n">
        <f aca="false">(-AP28)</f>
        <v>220.278680993048</v>
      </c>
      <c r="AB28" s="107"/>
      <c r="AC28" s="107" t="n">
        <f aca="false">AC27-(AQ27/1.9835)+AS28</f>
        <v>1383.14608754637</v>
      </c>
      <c r="AD28" s="207" t="n">
        <f aca="false">AD27</f>
        <v>6977.56491051172</v>
      </c>
      <c r="AE28" s="135" t="n">
        <v>287</v>
      </c>
      <c r="AF28" s="240" t="n">
        <v>1.7</v>
      </c>
      <c r="AG28" s="241" t="n">
        <v>1.3</v>
      </c>
      <c r="AH28" s="135" t="n">
        <v>73</v>
      </c>
      <c r="AI28" s="107" t="n">
        <f aca="false">AI27-AH28</f>
        <v>11662.2578774893</v>
      </c>
      <c r="AJ28" s="107"/>
      <c r="AK28" s="134" t="n">
        <f aca="false">N28+O28+P28+Q28+R29+S28+T28+U28+X28+AE28+AH28-AR28</f>
        <v>962</v>
      </c>
      <c r="AL28" s="135" t="n">
        <f aca="false">IF(L28&lt;0,L28*-1,0)</f>
        <v>82.4939248802622</v>
      </c>
      <c r="AM28" s="135" t="n">
        <f aca="false">AK28+AL28</f>
        <v>1044.49392488026</v>
      </c>
      <c r="AN28" s="212"/>
      <c r="AO28" s="207" t="n">
        <v>5</v>
      </c>
      <c r="AP28" s="97" t="n">
        <f aca="false">(I28-AO28)-Q28-R28-Y28-AF28</f>
        <v>-220.278680993048</v>
      </c>
      <c r="AQ28" s="155" t="n">
        <f aca="false">58.03*(Z28*1.9835+AC28*1.9835)/E28</f>
        <v>1.11662095916387</v>
      </c>
      <c r="AR28" s="155" t="n">
        <v>37.9555</v>
      </c>
      <c r="AS28" s="144"/>
      <c r="AT28" s="5" t="n">
        <v>0</v>
      </c>
      <c r="AU28" s="4"/>
      <c r="AV28" s="312" t="n">
        <v>0</v>
      </c>
      <c r="AW28" s="207" t="n">
        <v>87</v>
      </c>
      <c r="AX28" s="207" t="n">
        <v>54</v>
      </c>
      <c r="AY28" s="286"/>
      <c r="AZ28" s="242" t="n">
        <f aca="false">SUM(N28,P28:U28)</f>
        <v>12.8661550675858</v>
      </c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9" t="n">
        <f aca="false">A28+1</f>
        <v>15</v>
      </c>
      <c r="B29" s="106" t="n">
        <v>6920.49</v>
      </c>
      <c r="C29" s="107" t="n">
        <v>365701</v>
      </c>
      <c r="D29" s="207" t="n">
        <f aca="false">C29-C28</f>
        <v>-1259</v>
      </c>
      <c r="E29" s="107" t="n">
        <f aca="false">C29-152000</f>
        <v>213701</v>
      </c>
      <c r="F29" s="238" t="n">
        <f aca="false">D29/$D$2</f>
        <v>-634.736576758256</v>
      </c>
      <c r="G29" s="135" t="n">
        <v>304</v>
      </c>
      <c r="H29" s="136" t="n">
        <v>0.13</v>
      </c>
      <c r="I29" s="135" t="n">
        <f aca="false">G29+H29</f>
        <v>304.13</v>
      </c>
      <c r="J29" s="136" t="n">
        <f aca="false">IF(L29&gt;0,L29,0)</f>
        <v>0</v>
      </c>
      <c r="K29" s="135" t="n">
        <f aca="false">I29+J29</f>
        <v>304.13</v>
      </c>
      <c r="L29" s="135" t="n">
        <f aca="false">F29-(I29-AK29)</f>
        <v>-21.8665767582556</v>
      </c>
      <c r="M29" s="240" t="n">
        <v>303</v>
      </c>
      <c r="N29" s="155" t="n">
        <f aca="false">(1.8299*1.03)/2</f>
        <v>0.9423985</v>
      </c>
      <c r="O29" s="135" t="n">
        <f aca="false">(33+33)*1.05</f>
        <v>69.3</v>
      </c>
      <c r="P29" s="155" t="n">
        <v>0</v>
      </c>
      <c r="Q29" s="328" t="n">
        <f aca="false">2086100/325851/1.9835*1.02</f>
        <v>3.29218348436757</v>
      </c>
      <c r="R29" s="328" t="n">
        <v>4.2</v>
      </c>
      <c r="S29" s="131" t="n">
        <f aca="false">(((5579866+1907)/325851/1.9835-T29)*1.04)-4.2</f>
        <v>3.36828439195034</v>
      </c>
      <c r="T29" s="131" t="n">
        <f aca="false">1.3067*1.04</f>
        <v>1.358968</v>
      </c>
      <c r="U29" s="346" t="n">
        <v>0</v>
      </c>
      <c r="V29" s="135" t="n">
        <v>184</v>
      </c>
      <c r="W29" s="135" t="n">
        <v>83</v>
      </c>
      <c r="X29" s="135" t="n">
        <f aca="false">M29-N29-O29-P29-Q29-R29-S29-T29-U29+V29+W29-AT29+AR29</f>
        <v>525.493665623682</v>
      </c>
      <c r="Y29" s="135" t="n">
        <f aca="false">X29-AO29</f>
        <v>520.493665623682</v>
      </c>
      <c r="Z29" s="107" t="n">
        <f aca="false">Z28+AP29</f>
        <v>471.646608816984</v>
      </c>
      <c r="AA29" s="135" t="n">
        <f aca="false">(-AP29)</f>
        <v>230.55584910805</v>
      </c>
      <c r="AB29" s="107"/>
      <c r="AC29" s="107" t="n">
        <f aca="false">AC28-(AQ28/1.9835)+740.4</f>
        <v>2122.98313268922</v>
      </c>
      <c r="AD29" s="207" t="n">
        <f aca="false">AD28</f>
        <v>6977.56491051172</v>
      </c>
      <c r="AE29" s="135" t="n">
        <v>274</v>
      </c>
      <c r="AF29" s="240" t="n">
        <v>1.7</v>
      </c>
      <c r="AG29" s="241" t="n">
        <v>1.3</v>
      </c>
      <c r="AH29" s="135" t="n">
        <v>73</v>
      </c>
      <c r="AI29" s="107" t="n">
        <f aca="false">AI28-AH29</f>
        <v>11589.2578774893</v>
      </c>
      <c r="AJ29" s="107"/>
      <c r="AK29" s="134" t="n">
        <f aca="false">N29+O29+P29+Q29+R30+S29+T29+U29+X29+AE29+AH29-AR29</f>
        <v>917</v>
      </c>
      <c r="AL29" s="135" t="n">
        <f aca="false">IF(L29&lt;0,L29*-1,0)</f>
        <v>21.8665767582556</v>
      </c>
      <c r="AM29" s="135" t="n">
        <f aca="false">AK29+AL29</f>
        <v>938.866576758256</v>
      </c>
      <c r="AN29" s="212"/>
      <c r="AO29" s="207" t="n">
        <v>5</v>
      </c>
      <c r="AP29" s="97" t="n">
        <f aca="false">(I29-AO29)-Q29-R29-Y29-AF29</f>
        <v>-230.55584910805</v>
      </c>
      <c r="AQ29" s="155" t="n">
        <f aca="false">58.03*(Z29*1.9835+AC29*1.9835)/E29</f>
        <v>1.39750578048238</v>
      </c>
      <c r="AR29" s="155" t="n">
        <v>37.9555</v>
      </c>
      <c r="AS29" s="144" t="n">
        <v>9.5</v>
      </c>
      <c r="AT29" s="5" t="n">
        <v>0</v>
      </c>
      <c r="AU29" s="4"/>
      <c r="AV29" s="312" t="n">
        <v>0</v>
      </c>
      <c r="AW29" s="213" t="n">
        <v>89</v>
      </c>
      <c r="AX29" s="207" t="n">
        <v>51</v>
      </c>
      <c r="AY29" s="286"/>
      <c r="AZ29" s="242" t="n">
        <f aca="false">SUM(N29,P29:U29)</f>
        <v>13.1618343763179</v>
      </c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9" t="n">
        <f aca="false">A29+1</f>
        <v>16</v>
      </c>
      <c r="B30" s="106" t="n">
        <v>6920.21</v>
      </c>
      <c r="C30" s="107" t="n">
        <v>364485</v>
      </c>
      <c r="D30" s="207" t="n">
        <f aca="false">C30-C29</f>
        <v>-1216</v>
      </c>
      <c r="E30" s="107" t="n">
        <f aca="false">C30-152000</f>
        <v>212485</v>
      </c>
      <c r="F30" s="238" t="n">
        <f aca="false">D30/$D$2</f>
        <v>-613.057726241492</v>
      </c>
      <c r="G30" s="135" t="n">
        <v>333</v>
      </c>
      <c r="H30" s="136" t="n">
        <v>0.11</v>
      </c>
      <c r="I30" s="135" t="n">
        <f aca="false">G30+H30</f>
        <v>333.11</v>
      </c>
      <c r="J30" s="136" t="n">
        <f aca="false">IF(L30&gt;0,L30,0)</f>
        <v>0</v>
      </c>
      <c r="K30" s="135" t="n">
        <f aca="false">I30+J30</f>
        <v>333.11</v>
      </c>
      <c r="L30" s="135" t="n">
        <f aca="false">F30-(I30-AK30)</f>
        <v>-45.1677262414924</v>
      </c>
      <c r="M30" s="240" t="n">
        <v>303</v>
      </c>
      <c r="N30" s="155" t="n">
        <f aca="false">(1.8299*1.03)/2</f>
        <v>0.9423985</v>
      </c>
      <c r="O30" s="135" t="n">
        <f aca="false">(35+35)*1.05</f>
        <v>73.5</v>
      </c>
      <c r="P30" s="155" t="n">
        <v>0</v>
      </c>
      <c r="Q30" s="328" t="n">
        <f aca="false">1952800/325851/1.9835*1.02</f>
        <v>3.08181578460908</v>
      </c>
      <c r="R30" s="328" t="n">
        <v>4.2</v>
      </c>
      <c r="S30" s="131" t="n">
        <f aca="false">((5581793/325851/1.9835-T30)*1.04)-4.2</f>
        <v>3.36831657387932</v>
      </c>
      <c r="T30" s="131" t="n">
        <f aca="false">1.3067*1.04</f>
        <v>1.358968</v>
      </c>
      <c r="U30" s="346" t="n">
        <v>0</v>
      </c>
      <c r="V30" s="135" t="n">
        <v>184</v>
      </c>
      <c r="W30" s="135" t="n">
        <v>81</v>
      </c>
      <c r="X30" s="135" t="n">
        <f aca="false">M30-N30-O30-P30-Q30-R30-S30-T30-U30+V30+W30-AT30+AR30</f>
        <v>519.504001141512</v>
      </c>
      <c r="Y30" s="135" t="n">
        <f aca="false">X30-AO30</f>
        <v>514.504001141512</v>
      </c>
      <c r="Z30" s="107" t="n">
        <f aca="false">Z29+AP30</f>
        <v>276.270791890863</v>
      </c>
      <c r="AA30" s="135" t="n">
        <f aca="false">(-AP30)</f>
        <v>195.375816926121</v>
      </c>
      <c r="AB30" s="107"/>
      <c r="AC30" s="107" t="n">
        <f aca="false">AC29-(AQ29/1.9835)</f>
        <v>2122.27856713314</v>
      </c>
      <c r="AD30" s="207" t="n">
        <f aca="false">AD29</f>
        <v>6977.56491051172</v>
      </c>
      <c r="AE30" s="135" t="n">
        <v>259</v>
      </c>
      <c r="AF30" s="240" t="n">
        <v>1.7</v>
      </c>
      <c r="AG30" s="241" t="n">
        <v>1.3</v>
      </c>
      <c r="AH30" s="135" t="n">
        <v>74</v>
      </c>
      <c r="AI30" s="107" t="n">
        <f aca="false">AI29-AH30</f>
        <v>11515.2578774893</v>
      </c>
      <c r="AJ30" s="107"/>
      <c r="AK30" s="134" t="n">
        <f aca="false">N30+O30+P30+Q30+R31+S30+T30+U30+X30+AE30+AH30-AR30</f>
        <v>901</v>
      </c>
      <c r="AL30" s="135" t="n">
        <f aca="false">IF(L30&lt;0,L30*-1,0)</f>
        <v>45.1677262414924</v>
      </c>
      <c r="AM30" s="135" t="n">
        <f aca="false">AK30+AL30</f>
        <v>946.167726241492</v>
      </c>
      <c r="AN30" s="212"/>
      <c r="AO30" s="207" t="n">
        <v>5</v>
      </c>
      <c r="AP30" s="97" t="n">
        <f aca="false">(I30-AO30)-Q30-R30-Y30-AF30</f>
        <v>-195.375816926121</v>
      </c>
      <c r="AQ30" s="155" t="n">
        <f aca="false">58.03*(Z30*1.9835+AC30*1.9835)/E30</f>
        <v>1.29928719481284</v>
      </c>
      <c r="AR30" s="155" t="n">
        <v>37.9555</v>
      </c>
      <c r="AS30" s="144" t="n">
        <v>9.5</v>
      </c>
      <c r="AT30" s="5" t="n">
        <v>0</v>
      </c>
      <c r="AU30" s="4"/>
      <c r="AV30" s="312" t="n">
        <v>0</v>
      </c>
      <c r="AW30" s="213" t="n">
        <v>85</v>
      </c>
      <c r="AX30" s="207" t="n">
        <v>59</v>
      </c>
      <c r="AY30" s="286"/>
      <c r="AZ30" s="242" t="n">
        <f aca="false">SUM(N30,P30:U30)</f>
        <v>12.9514988584884</v>
      </c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9" t="n">
        <f aca="false">A30+1</f>
        <v>17</v>
      </c>
      <c r="B31" s="106" t="n">
        <v>6919.95</v>
      </c>
      <c r="C31" s="107" t="n">
        <v>363358</v>
      </c>
      <c r="D31" s="207" t="n">
        <f aca="false">C31-C30</f>
        <v>-1127</v>
      </c>
      <c r="E31" s="107" t="n">
        <f aca="false">C31-152000</f>
        <v>211358</v>
      </c>
      <c r="F31" s="238" t="n">
        <f aca="false">D31/$D$2</f>
        <v>-568.187547264936</v>
      </c>
      <c r="G31" s="135" t="n">
        <v>318</v>
      </c>
      <c r="H31" s="136" t="n">
        <v>0.08</v>
      </c>
      <c r="I31" s="135" t="n">
        <f aca="false">G31+H31</f>
        <v>318.08</v>
      </c>
      <c r="J31" s="136" t="n">
        <f aca="false">IF(L31&gt;0,L31,0)</f>
        <v>0</v>
      </c>
      <c r="K31" s="135" t="n">
        <f aca="false">I31+J31</f>
        <v>318.08</v>
      </c>
      <c r="L31" s="135" t="n">
        <f aca="false">F31-(I31-AK31)</f>
        <v>-27.2675472649356</v>
      </c>
      <c r="M31" s="240" t="n">
        <v>287</v>
      </c>
      <c r="N31" s="155" t="n">
        <f aca="false">(1.8299*1.03)/2</f>
        <v>0.9423985</v>
      </c>
      <c r="O31" s="135" t="n">
        <f aca="false">(35+33)*1.05</f>
        <v>71.4</v>
      </c>
      <c r="P31" s="155" t="n">
        <v>0</v>
      </c>
      <c r="Q31" s="328" t="n">
        <f aca="false">1968300/325851/1.9835*1.02</f>
        <v>3.10627714504611</v>
      </c>
      <c r="R31" s="328" t="n">
        <v>4.2</v>
      </c>
      <c r="S31" s="131" t="n">
        <f aca="false">((5581793/325851/1.9835-T31)*1.04)-4.2</f>
        <v>3.36831657387932</v>
      </c>
      <c r="T31" s="131" t="n">
        <f aca="false">1.3067*1.04</f>
        <v>1.358968</v>
      </c>
      <c r="U31" s="346" t="n">
        <v>0</v>
      </c>
      <c r="V31" s="135" t="n">
        <v>185</v>
      </c>
      <c r="W31" s="135" t="n">
        <v>82</v>
      </c>
      <c r="X31" s="135" t="n">
        <f aca="false">M31-N31-O31-P31-Q31-R31-S31-T31-U31+V31+W31-AT31+AR31</f>
        <v>507.579539781075</v>
      </c>
      <c r="Y31" s="135" t="n">
        <f aca="false">X31-AO31</f>
        <v>502.579539781075</v>
      </c>
      <c r="Z31" s="107" t="n">
        <f aca="false">Z30+AP31</f>
        <v>77.7649749647422</v>
      </c>
      <c r="AA31" s="135" t="n">
        <f aca="false">(-AP31)</f>
        <v>198.505816926121</v>
      </c>
      <c r="AB31" s="107"/>
      <c r="AC31" s="107" t="n">
        <f aca="false">AC30-(AQ30/1.9835)</f>
        <v>2121.62351939187</v>
      </c>
      <c r="AD31" s="207" t="n">
        <f aca="false">AD30</f>
        <v>6977.56491051172</v>
      </c>
      <c r="AE31" s="135" t="n">
        <v>231</v>
      </c>
      <c r="AF31" s="240" t="n">
        <v>1.7</v>
      </c>
      <c r="AG31" s="241" t="n">
        <v>1.3</v>
      </c>
      <c r="AH31" s="135" t="n">
        <v>74</v>
      </c>
      <c r="AI31" s="107" t="n">
        <f aca="false">AI30-AH31</f>
        <v>11441.2578774893</v>
      </c>
      <c r="AJ31" s="107"/>
      <c r="AK31" s="134" t="n">
        <f aca="false">N31+O31+P31+Q31+R32+S31+T31+U31+X31+AE31+AH31-AR31</f>
        <v>859</v>
      </c>
      <c r="AL31" s="135" t="n">
        <f aca="false">IF(L31&lt;0,L31*-1,0)</f>
        <v>27.2675472649356</v>
      </c>
      <c r="AM31" s="135" t="n">
        <f aca="false">AK31+AL31</f>
        <v>886.267547264936</v>
      </c>
      <c r="AN31" s="212"/>
      <c r="AO31" s="207" t="n">
        <v>5</v>
      </c>
      <c r="AP31" s="97" t="n">
        <f aca="false">(I31-AO31)-Q31-R31-Y31-AF31</f>
        <v>-198.505816926121</v>
      </c>
      <c r="AQ31" s="155" t="n">
        <f aca="false">58.03*(Z31*1.9835+AC31*1.9835)/E31</f>
        <v>1.19775511297715</v>
      </c>
      <c r="AR31" s="155" t="n">
        <v>37.9555</v>
      </c>
      <c r="AS31" s="144" t="n">
        <v>9.5</v>
      </c>
      <c r="AT31" s="5" t="n">
        <v>0</v>
      </c>
      <c r="AU31" s="4"/>
      <c r="AV31" s="312" t="n">
        <v>0.04</v>
      </c>
      <c r="AW31" s="213" t="n">
        <v>93</v>
      </c>
      <c r="AX31" s="207" t="n">
        <v>63</v>
      </c>
      <c r="AY31" s="286"/>
      <c r="AZ31" s="242" t="n">
        <f aca="false">SUM(N31,P31:U31)</f>
        <v>12.9759602189254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9" t="n">
        <f aca="false">A31+1</f>
        <v>18</v>
      </c>
      <c r="B32" s="106" t="n">
        <v>6919.7</v>
      </c>
      <c r="C32" s="107" t="n">
        <v>362281</v>
      </c>
      <c r="D32" s="207" t="n">
        <f aca="false">C32-C31</f>
        <v>-1077</v>
      </c>
      <c r="E32" s="107" t="n">
        <f aca="false">C32-152000</f>
        <v>210281</v>
      </c>
      <c r="F32" s="238" t="n">
        <f aca="false">D32/$D$2</f>
        <v>-542.979581547769</v>
      </c>
      <c r="G32" s="135" t="n">
        <v>325</v>
      </c>
      <c r="H32" s="136" t="n">
        <v>0.07</v>
      </c>
      <c r="I32" s="135" t="n">
        <f aca="false">G32+H32</f>
        <v>325.07</v>
      </c>
      <c r="J32" s="136" t="n">
        <f aca="false">IF(L32&gt;0,L32,0)</f>
        <v>22.950418452231</v>
      </c>
      <c r="K32" s="135" t="n">
        <f aca="false">I32+J32</f>
        <v>348.020418452231</v>
      </c>
      <c r="L32" s="135" t="n">
        <f aca="false">F32-(I32-AK32)</f>
        <v>22.950418452231</v>
      </c>
      <c r="M32" s="240" t="n">
        <v>303</v>
      </c>
      <c r="N32" s="155" t="n">
        <f aca="false">(1.8299*1.03)/2</f>
        <v>0.9423985</v>
      </c>
      <c r="O32" s="135" t="n">
        <f aca="false">(36+36)*1.05</f>
        <v>75.6</v>
      </c>
      <c r="P32" s="155" t="n">
        <v>0</v>
      </c>
      <c r="Q32" s="328" t="n">
        <f aca="false">1921300/325851/1.9835*1.02</f>
        <v>3.03210398759188</v>
      </c>
      <c r="R32" s="328" t="n">
        <v>4.2</v>
      </c>
      <c r="S32" s="131" t="n">
        <f aca="false">(((5581793+124)/325851/1.9835-T32)*1.04)-4.2</f>
        <v>3.36851610183896</v>
      </c>
      <c r="T32" s="131" t="n">
        <f aca="false">1.3067*1.04</f>
        <v>1.358968</v>
      </c>
      <c r="U32" s="346" t="n">
        <v>0</v>
      </c>
      <c r="V32" s="135" t="n">
        <v>165</v>
      </c>
      <c r="W32" s="135" t="n">
        <v>83</v>
      </c>
      <c r="X32" s="135" t="n">
        <f aca="false">M32-N32-O32-P32-Q32-R32-S32-T32-U32+V32+W32-AT32+AR32</f>
        <v>500.453513410569</v>
      </c>
      <c r="Y32" s="135" t="n">
        <f aca="false">X32-AO32</f>
        <v>495.453513410569</v>
      </c>
      <c r="Z32" s="107" t="n">
        <f aca="false">Z31+AP32+106.56</f>
        <v>0.00935756658117271</v>
      </c>
      <c r="AA32" s="135" t="n">
        <v>77.76</v>
      </c>
      <c r="AB32" s="107"/>
      <c r="AC32" s="107" t="n">
        <f aca="false">AC31-(AQ31/1.9835)-106.56</f>
        <v>2014.45965999536</v>
      </c>
      <c r="AD32" s="207" t="n">
        <f aca="false">AD31</f>
        <v>6977.56491051172</v>
      </c>
      <c r="AE32" s="135" t="n">
        <v>266</v>
      </c>
      <c r="AF32" s="240" t="n">
        <v>1.7</v>
      </c>
      <c r="AG32" s="241" t="n">
        <v>1.3</v>
      </c>
      <c r="AH32" s="135" t="n">
        <v>74</v>
      </c>
      <c r="AI32" s="107" t="n">
        <f aca="false">AI31-AH32</f>
        <v>11367.2578774893</v>
      </c>
      <c r="AJ32" s="107"/>
      <c r="AK32" s="134" t="n">
        <f aca="false">N32+O32+P32+Q32+R33+S32+T32+U32+X32+AE32+AH32-AR32</f>
        <v>891</v>
      </c>
      <c r="AL32" s="135" t="n">
        <f aca="false">IF(L32&lt;0,L32*-1,0)</f>
        <v>0</v>
      </c>
      <c r="AM32" s="135" t="n">
        <f aca="false">AK32+AL32</f>
        <v>891</v>
      </c>
      <c r="AN32" s="212"/>
      <c r="AO32" s="207" t="n">
        <v>5</v>
      </c>
      <c r="AP32" s="97" t="n">
        <f aca="false">(I32-AO32)-Q32-R32-Y32-AF32</f>
        <v>-184.315617398161</v>
      </c>
      <c r="AQ32" s="155" t="n">
        <f aca="false">58.03*(Z32*1.9835+AC32*1.9835)/E32</f>
        <v>1.10266942884173</v>
      </c>
      <c r="AR32" s="155" t="n">
        <v>37.9555</v>
      </c>
      <c r="AS32" s="144" t="n">
        <v>9.5</v>
      </c>
      <c r="AT32" s="5" t="n">
        <v>0</v>
      </c>
      <c r="AU32" s="4"/>
      <c r="AV32" s="312" t="n">
        <v>0.05</v>
      </c>
      <c r="AW32" s="213" t="n">
        <v>91</v>
      </c>
      <c r="AX32" s="207" t="n">
        <v>60</v>
      </c>
      <c r="AY32" s="286"/>
      <c r="AZ32" s="242" t="n">
        <f aca="false">SUM(N32,P32:U32)</f>
        <v>12.9019865894308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9" t="n">
        <f aca="false">A32+1</f>
        <v>19</v>
      </c>
      <c r="B33" s="106" t="n">
        <v>6919.47</v>
      </c>
      <c r="C33" s="107" t="n">
        <v>361291</v>
      </c>
      <c r="D33" s="207" t="n">
        <f aca="false">C33-C32</f>
        <v>-990</v>
      </c>
      <c r="E33" s="107" t="n">
        <f aca="false">C33-152000</f>
        <v>209291</v>
      </c>
      <c r="F33" s="238" t="n">
        <f aca="false">D33/$D$2</f>
        <v>-499.117721199899</v>
      </c>
      <c r="G33" s="135" t="n">
        <v>361</v>
      </c>
      <c r="H33" s="136" t="n">
        <v>0.06</v>
      </c>
      <c r="I33" s="135" t="n">
        <f aca="false">G33+H33</f>
        <v>361.06</v>
      </c>
      <c r="J33" s="136" t="n">
        <f aca="false">IF(L33&gt;0,L33,0)</f>
        <v>0</v>
      </c>
      <c r="K33" s="135" t="n">
        <f aca="false">I33+J33</f>
        <v>361.06</v>
      </c>
      <c r="L33" s="135" t="n">
        <f aca="false">F33-(I33-AK33)</f>
        <v>-13.1777211998992</v>
      </c>
      <c r="M33" s="240" t="n">
        <v>277</v>
      </c>
      <c r="N33" s="155" t="n">
        <f aca="false">(1.8299*1.03)/2</f>
        <v>0.9423985</v>
      </c>
      <c r="O33" s="135" t="n">
        <f aca="false">(35+35)*1.05</f>
        <v>73.5</v>
      </c>
      <c r="P33" s="155" t="n">
        <v>0</v>
      </c>
      <c r="Q33" s="328" t="n">
        <f aca="false">1503900/325851/1.9835*1.02</f>
        <v>2.37338322330684</v>
      </c>
      <c r="R33" s="328" t="n">
        <v>4.2</v>
      </c>
      <c r="S33" s="131" t="n">
        <f aca="false">((5581917/325851/1.9835-T33)*1.04)-4.2</f>
        <v>3.36851610183896</v>
      </c>
      <c r="T33" s="131" t="n">
        <f aca="false">1.3067*1.04</f>
        <v>1.358968</v>
      </c>
      <c r="U33" s="346" t="n">
        <v>0</v>
      </c>
      <c r="V33" s="135" t="n">
        <v>131</v>
      </c>
      <c r="W33" s="135" t="n">
        <v>81</v>
      </c>
      <c r="X33" s="135" t="n">
        <f aca="false">M33-N33-O33-P33-Q33-R33-S33-T33-U33+V33+W33-AT33+AR33</f>
        <v>441.212234174854</v>
      </c>
      <c r="Y33" s="135" t="n">
        <f aca="false">X33-AO33</f>
        <v>436.212234174854</v>
      </c>
      <c r="Z33" s="107"/>
      <c r="AA33" s="135"/>
      <c r="AB33" s="107"/>
      <c r="AC33" s="107" t="n">
        <f aca="false">AC32+AP33-(AQ32/1.9835)</f>
        <v>1925.478121534</v>
      </c>
      <c r="AD33" s="207" t="n">
        <f aca="false">AD32</f>
        <v>6977.56491051172</v>
      </c>
      <c r="AE33" s="135" t="n">
        <v>284</v>
      </c>
      <c r="AF33" s="240" t="n">
        <v>1.7</v>
      </c>
      <c r="AG33" s="241" t="n">
        <v>1.3</v>
      </c>
      <c r="AH33" s="135" t="n">
        <v>74</v>
      </c>
      <c r="AI33" s="107" t="n">
        <f aca="false">AI32-AH33</f>
        <v>11293.2578774893</v>
      </c>
      <c r="AJ33" s="107"/>
      <c r="AK33" s="134" t="n">
        <f aca="false">N33+O33+P33+Q33+R34+S33+T33+U33+X33+AE33+AH33-AR33</f>
        <v>847</v>
      </c>
      <c r="AL33" s="135" t="n">
        <f aca="false">IF(L33&lt;0,L33*-1,0)</f>
        <v>13.1777211998992</v>
      </c>
      <c r="AM33" s="135" t="n">
        <f aca="false">AK33+AL33</f>
        <v>860.177721199899</v>
      </c>
      <c r="AN33" s="212"/>
      <c r="AO33" s="207" t="n">
        <v>5</v>
      </c>
      <c r="AP33" s="97" t="n">
        <f aca="false">(I33-AO33)-Q33-R33-Y33-AF33</f>
        <v>-88.425617398161</v>
      </c>
      <c r="AQ33" s="155" t="n">
        <f aca="false">58.03*(Z33*1.9835+AC33*1.9835)/E33</f>
        <v>1.05894355281048</v>
      </c>
      <c r="AR33" s="155" t="n">
        <v>37.9555</v>
      </c>
      <c r="AS33" s="144" t="n">
        <v>9.5</v>
      </c>
      <c r="AT33" s="5" t="n">
        <v>0</v>
      </c>
      <c r="AU33" s="4"/>
      <c r="AV33" s="312" t="n">
        <v>0.02</v>
      </c>
      <c r="AW33" s="213" t="n">
        <v>86</v>
      </c>
      <c r="AX33" s="207" t="n">
        <v>59</v>
      </c>
      <c r="AY33" s="286"/>
      <c r="AZ33" s="242" t="n">
        <f aca="false">SUM(N33,P33:U33)</f>
        <v>12.2432658251458</v>
      </c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9" t="n">
        <f aca="false">A33+1</f>
        <v>20</v>
      </c>
      <c r="B34" s="106" t="n">
        <v>6919.21</v>
      </c>
      <c r="C34" s="107" t="n">
        <v>360171</v>
      </c>
      <c r="D34" s="207" t="n">
        <f aca="false">C34-C33</f>
        <v>-1120</v>
      </c>
      <c r="E34" s="107" t="n">
        <f aca="false">C34-152000</f>
        <v>208171</v>
      </c>
      <c r="F34" s="238" t="n">
        <f aca="false">D34/$D$2</f>
        <v>-564.658432064532</v>
      </c>
      <c r="G34" s="135" t="n">
        <v>344</v>
      </c>
      <c r="H34" s="136" t="n">
        <v>0.03</v>
      </c>
      <c r="I34" s="135" t="n">
        <f aca="false">G34+H34</f>
        <v>344.03</v>
      </c>
      <c r="J34" s="136" t="n">
        <f aca="false">IF(L34&gt;0,L34,0)</f>
        <v>0</v>
      </c>
      <c r="K34" s="135" t="n">
        <f aca="false">I34+J34</f>
        <v>344.03</v>
      </c>
      <c r="L34" s="135" t="n">
        <f aca="false">F34-(I34-AK34)</f>
        <v>-47.6884320645323</v>
      </c>
      <c r="M34" s="240" t="n">
        <v>284</v>
      </c>
      <c r="N34" s="155" t="n">
        <f aca="false">(1.8299*1.03)/2</f>
        <v>0.9423985</v>
      </c>
      <c r="O34" s="135" t="n">
        <f aca="false">(32+32)*1.05</f>
        <v>67.2</v>
      </c>
      <c r="P34" s="155" t="n">
        <v>0</v>
      </c>
      <c r="Q34" s="328" t="n">
        <f aca="false">1902100/325851/1.9835*1.02</f>
        <v>3.00180346369568</v>
      </c>
      <c r="R34" s="328" t="n">
        <v>4.2</v>
      </c>
      <c r="S34" s="131" t="n">
        <f aca="false">((5581917/325851/1.9835-T34)*1.04)-4.2</f>
        <v>3.36851610183896</v>
      </c>
      <c r="T34" s="131" t="n">
        <f aca="false">1.3067*1.04</f>
        <v>1.358968</v>
      </c>
      <c r="U34" s="346" t="n">
        <v>0</v>
      </c>
      <c r="V34" s="135" t="n">
        <v>131</v>
      </c>
      <c r="W34" s="135" t="n">
        <v>82</v>
      </c>
      <c r="X34" s="135" t="n">
        <f aca="false">M34-N34-O34-P34-Q34-R34-S34-T34-U34+V34+W34-AT34+AR34</f>
        <v>454.883813934465</v>
      </c>
      <c r="Y34" s="135" t="n">
        <f aca="false">X34-AO34</f>
        <v>449.883813934465</v>
      </c>
      <c r="Z34" s="107"/>
      <c r="AA34" s="135"/>
      <c r="AB34" s="107"/>
      <c r="AC34" s="107" t="n">
        <f aca="false">AC33+AP34-(AQ33/1.9835)</f>
        <v>1805.18862788033</v>
      </c>
      <c r="AD34" s="207" t="n">
        <f aca="false">AD33</f>
        <v>6977.56491051172</v>
      </c>
      <c r="AE34" s="135" t="n">
        <v>290</v>
      </c>
      <c r="AF34" s="240" t="n">
        <v>1.7</v>
      </c>
      <c r="AG34" s="241" t="n">
        <v>1.3</v>
      </c>
      <c r="AH34" s="135" t="n">
        <v>74</v>
      </c>
      <c r="AI34" s="107" t="n">
        <f aca="false">AI33-AH34</f>
        <v>11219.2578774893</v>
      </c>
      <c r="AJ34" s="107"/>
      <c r="AK34" s="134" t="n">
        <f aca="false">N34+O34+P34+Q34+R35+S34+T34+U34+X34+AE34+AH34-AR34</f>
        <v>861</v>
      </c>
      <c r="AL34" s="135" t="n">
        <f aca="false">IF(L34&lt;0,L34*-1,0)</f>
        <v>47.6884320645323</v>
      </c>
      <c r="AM34" s="135" t="n">
        <f aca="false">AK34+AL34</f>
        <v>908.688432064532</v>
      </c>
      <c r="AN34" s="212"/>
      <c r="AO34" s="207" t="n">
        <v>5</v>
      </c>
      <c r="AP34" s="97" t="n">
        <f aca="false">(I34-AO34)-Q34-R34-Y34-AF34</f>
        <v>-119.755617398161</v>
      </c>
      <c r="AQ34" s="155" t="n">
        <f aca="false">58.03*(Z34*1.9835+AC34*1.9835)/E34</f>
        <v>0.998130061663433</v>
      </c>
      <c r="AR34" s="155" t="n">
        <v>37.9555</v>
      </c>
      <c r="AS34" s="144" t="n">
        <v>9.5</v>
      </c>
      <c r="AT34" s="5" t="n">
        <v>0</v>
      </c>
      <c r="AU34" s="4"/>
      <c r="AV34" s="312" t="n">
        <v>0</v>
      </c>
      <c r="AW34" s="213" t="n">
        <v>93</v>
      </c>
      <c r="AX34" s="207" t="n">
        <v>59</v>
      </c>
      <c r="AY34" s="286"/>
      <c r="AZ34" s="242" t="n">
        <f aca="false">SUM(N34,P34:U34)</f>
        <v>12.8716860655346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9" t="n">
        <f aca="false">A34+1</f>
        <v>21</v>
      </c>
      <c r="B35" s="106" t="n">
        <v>6918.96</v>
      </c>
      <c r="C35" s="107" t="n">
        <v>359096</v>
      </c>
      <c r="D35" s="207" t="n">
        <f aca="false">C35-C34</f>
        <v>-1075</v>
      </c>
      <c r="E35" s="107" t="n">
        <f aca="false">C35-152000</f>
        <v>207096</v>
      </c>
      <c r="F35" s="238" t="n">
        <f aca="false">D35/$D$2</f>
        <v>-541.971262919082</v>
      </c>
      <c r="G35" s="135" t="n">
        <v>309</v>
      </c>
      <c r="H35" s="136" t="n">
        <v>0.02</v>
      </c>
      <c r="I35" s="135" t="n">
        <f aca="false">G35+H35</f>
        <v>309.02</v>
      </c>
      <c r="J35" s="136" t="n">
        <f aca="false">IF(L35&gt;0,L35,0)</f>
        <v>0</v>
      </c>
      <c r="K35" s="135" t="n">
        <f aca="false">I35+J35</f>
        <v>309.02</v>
      </c>
      <c r="L35" s="135" t="n">
        <f aca="false">F35-(I35-AK35)</f>
        <v>-24.9912629190824</v>
      </c>
      <c r="M35" s="240" t="n">
        <v>279</v>
      </c>
      <c r="N35" s="155" t="n">
        <f aca="false">(1.8299*1.03)/2</f>
        <v>0.9423985</v>
      </c>
      <c r="O35" s="135" t="n">
        <f aca="false">(31+31)*1.05</f>
        <v>65.1</v>
      </c>
      <c r="P35" s="155" t="n">
        <v>0</v>
      </c>
      <c r="Q35" s="328" t="n">
        <f aca="false">1928500/325851/1.9835*1.02</f>
        <v>3.04346668405295</v>
      </c>
      <c r="R35" s="328" t="n">
        <v>4.2</v>
      </c>
      <c r="S35" s="131" t="n">
        <f aca="false">((5581917/325851/1.9835-T35)*1.04)-4.2</f>
        <v>3.36851610183896</v>
      </c>
      <c r="T35" s="131" t="n">
        <f aca="false">1.3067*1.04</f>
        <v>1.358968</v>
      </c>
      <c r="U35" s="346" t="n">
        <v>0</v>
      </c>
      <c r="V35" s="135" t="n">
        <v>125</v>
      </c>
      <c r="W35" s="135" t="n">
        <v>83</v>
      </c>
      <c r="X35" s="135" t="n">
        <f aca="false">M35-N35-O35-P35-Q35-R35-S35-T35-U35+V35+W35-AT35+AR35</f>
        <v>446.942150714108</v>
      </c>
      <c r="Y35" s="135" t="n">
        <f aca="false">X35-AO35</f>
        <v>441.942150714108</v>
      </c>
      <c r="Z35" s="107"/>
      <c r="AA35" s="135"/>
      <c r="AB35" s="107"/>
      <c r="AC35" s="107" t="n">
        <f aca="false">AC34+AP35-(AQ34/1.9835)</f>
        <v>1657.81979391465</v>
      </c>
      <c r="AD35" s="207" t="n">
        <f aca="false">AD34</f>
        <v>6977.56491051172</v>
      </c>
      <c r="AE35" s="135" t="n">
        <v>265</v>
      </c>
      <c r="AF35" s="240" t="n">
        <v>1.7</v>
      </c>
      <c r="AG35" s="241" t="n">
        <v>1.3</v>
      </c>
      <c r="AH35" s="135" t="n">
        <v>74</v>
      </c>
      <c r="AI35" s="107" t="n">
        <f aca="false">AI34-AH35</f>
        <v>11145.2578774893</v>
      </c>
      <c r="AJ35" s="107"/>
      <c r="AK35" s="134" t="n">
        <f aca="false">N35+O35+P35+Q35+R36+S35+T35+U35+X35+AE35+AH35-AR35</f>
        <v>826</v>
      </c>
      <c r="AL35" s="135" t="n">
        <f aca="false">IF(L35&lt;0,L35*-1,0)</f>
        <v>24.9912629190824</v>
      </c>
      <c r="AM35" s="135" t="n">
        <f aca="false">AK35+AL35</f>
        <v>850.991262919082</v>
      </c>
      <c r="AN35" s="212"/>
      <c r="AO35" s="207" t="n">
        <v>5</v>
      </c>
      <c r="AP35" s="97" t="n">
        <f aca="false">(I35-AO35)-Q35-R35-Y35-AF35</f>
        <v>-146.865617398161</v>
      </c>
      <c r="AQ35" s="155" t="n">
        <f aca="false">58.03*(Z35*1.9835+AC35*1.9835)/E35</f>
        <v>0.921404619684399</v>
      </c>
      <c r="AR35" s="155" t="n">
        <v>37.9555</v>
      </c>
      <c r="AS35" s="144" t="n">
        <v>9.5</v>
      </c>
      <c r="AT35" s="5" t="n">
        <v>0</v>
      </c>
      <c r="AU35" s="4"/>
      <c r="AV35" s="312" t="n">
        <v>0</v>
      </c>
      <c r="AW35" s="207" t="n">
        <v>91</v>
      </c>
      <c r="AX35" s="207" t="n">
        <v>59</v>
      </c>
      <c r="AY35" s="286"/>
      <c r="AZ35" s="242" t="n">
        <f aca="false">SUM(N35,P35:U35)</f>
        <v>12.9133492858919</v>
      </c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9" t="n">
        <f aca="false">A35+1</f>
        <v>22</v>
      </c>
      <c r="B36" s="106" t="n">
        <v>6918.69</v>
      </c>
      <c r="C36" s="107" t="n">
        <v>357942</v>
      </c>
      <c r="D36" s="207" t="n">
        <f aca="false">C36-C35</f>
        <v>-1154</v>
      </c>
      <c r="E36" s="107" t="n">
        <f aca="false">C36-152000</f>
        <v>205942</v>
      </c>
      <c r="F36" s="238" t="n">
        <f aca="false">D36/$D$2</f>
        <v>-581.799848752206</v>
      </c>
      <c r="G36" s="135" t="n">
        <v>284</v>
      </c>
      <c r="H36" s="136" t="n">
        <v>0.01</v>
      </c>
      <c r="I36" s="135" t="n">
        <f aca="false">G36+H36</f>
        <v>284.01</v>
      </c>
      <c r="J36" s="136" t="n">
        <f aca="false">IF(L36&gt;0,L36,0)</f>
        <v>0</v>
      </c>
      <c r="K36" s="135" t="n">
        <f aca="false">I36+J36</f>
        <v>284.01</v>
      </c>
      <c r="L36" s="135" t="n">
        <f aca="false">F36-(I36-AK36)</f>
        <v>-42.8098487522057</v>
      </c>
      <c r="M36" s="240" t="n">
        <v>265</v>
      </c>
      <c r="N36" s="155" t="n">
        <f aca="false">(1.8299*1.03)/2</f>
        <v>0.9423985</v>
      </c>
      <c r="O36" s="135" t="n">
        <f aca="false">(34+31)*1.05</f>
        <v>68.25</v>
      </c>
      <c r="P36" s="155" t="n">
        <v>0</v>
      </c>
      <c r="Q36" s="328" t="n">
        <f aca="false">2105700/325851/1.9835*1.02</f>
        <v>3.32311526917828</v>
      </c>
      <c r="R36" s="328" t="n">
        <v>4.2</v>
      </c>
      <c r="S36" s="131" t="n">
        <f aca="false">((5581917/325851/1.9835-T36)*1.04)-4.2</f>
        <v>3.42205530183896</v>
      </c>
      <c r="T36" s="131" t="n">
        <f aca="false">1.2572*1.04</f>
        <v>1.307488</v>
      </c>
      <c r="U36" s="346" t="n">
        <v>0</v>
      </c>
      <c r="V36" s="135" t="n">
        <v>111</v>
      </c>
      <c r="W36" s="135" t="n">
        <v>82</v>
      </c>
      <c r="X36" s="135" t="n">
        <f aca="false">M36-N36-O36-P36-Q36-R36-S36-T36-U36+V36+W36-AT36+AR36</f>
        <v>414.510442928983</v>
      </c>
      <c r="Y36" s="135" t="n">
        <f aca="false">X36-AO36</f>
        <v>409.510442928983</v>
      </c>
      <c r="Z36" s="107"/>
      <c r="AA36" s="135"/>
      <c r="AB36" s="107"/>
      <c r="AC36" s="107" t="n">
        <f aca="false">AC35+AP36-(AQ35/1.9835)</f>
        <v>1517.6317009952</v>
      </c>
      <c r="AD36" s="207" t="n">
        <f aca="false">AD35</f>
        <v>6977.56491051172</v>
      </c>
      <c r="AE36" s="135" t="n">
        <v>291</v>
      </c>
      <c r="AF36" s="240" t="n">
        <v>1.7</v>
      </c>
      <c r="AG36" s="241" t="n">
        <v>1.3</v>
      </c>
      <c r="AH36" s="135" t="n">
        <v>74</v>
      </c>
      <c r="AI36" s="107" t="n">
        <f aca="false">AI35-AH36</f>
        <v>11071.2578774893</v>
      </c>
      <c r="AJ36" s="107"/>
      <c r="AK36" s="134" t="n">
        <f aca="false">N36+O36+P36+Q36+R37+S36+T36+U36+X36+AE36+AH36-AR36</f>
        <v>823</v>
      </c>
      <c r="AL36" s="135" t="n">
        <f aca="false">IF(L36&lt;0,L36*-1,0)</f>
        <v>42.8098487522057</v>
      </c>
      <c r="AM36" s="135" t="n">
        <f aca="false">AK36+AL36</f>
        <v>865.809848752206</v>
      </c>
      <c r="AN36" s="212"/>
      <c r="AO36" s="207" t="n">
        <v>5</v>
      </c>
      <c r="AP36" s="97" t="n">
        <f aca="false">(I36-AO36)-Q36-R36-Y36-AF36</f>
        <v>-139.723558198161</v>
      </c>
      <c r="AQ36" s="155" t="n">
        <f aca="false">58.03*(Z36*1.9835+AC36*1.9835)/E36</f>
        <v>0.848215567742172</v>
      </c>
      <c r="AR36" s="155" t="n">
        <v>37.9555</v>
      </c>
      <c r="AS36" s="144" t="n">
        <v>9.5</v>
      </c>
      <c r="AT36" s="5" t="n">
        <v>0</v>
      </c>
      <c r="AU36" s="4"/>
      <c r="AV36" s="312" t="n">
        <v>0</v>
      </c>
      <c r="AW36" s="207" t="n">
        <v>92</v>
      </c>
      <c r="AX36" s="207" t="n">
        <v>57</v>
      </c>
      <c r="AY36" s="286"/>
      <c r="AZ36" s="242" t="n">
        <f aca="false">SUM(N36,P36:U36)</f>
        <v>13.1950570710172</v>
      </c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9" t="n">
        <f aca="false">A36+1</f>
        <v>23</v>
      </c>
      <c r="B37" s="106" t="n">
        <v>6918.42</v>
      </c>
      <c r="C37" s="107" t="n">
        <v>356788</v>
      </c>
      <c r="D37" s="207" t="n">
        <f aca="false">C37-C36</f>
        <v>-1154</v>
      </c>
      <c r="E37" s="107" t="n">
        <f aca="false">C37-152000</f>
        <v>204788</v>
      </c>
      <c r="F37" s="238" t="n">
        <f aca="false">D37/$D$2</f>
        <v>-581.799848752206</v>
      </c>
      <c r="G37" s="135" t="n">
        <v>265</v>
      </c>
      <c r="H37" s="136" t="n">
        <v>0</v>
      </c>
      <c r="I37" s="135" t="n">
        <f aca="false">G37+H37</f>
        <v>265</v>
      </c>
      <c r="J37" s="136" t="n">
        <f aca="false">IF(L37&gt;0,L37,0)</f>
        <v>0</v>
      </c>
      <c r="K37" s="135" t="n">
        <f aca="false">I37+J37</f>
        <v>265</v>
      </c>
      <c r="L37" s="135" t="n">
        <f aca="false">F37-(I37-AK37)</f>
        <v>-51.7998487522058</v>
      </c>
      <c r="M37" s="240" t="n">
        <v>258</v>
      </c>
      <c r="N37" s="155" t="n">
        <f aca="false">(1.8299*1.03)/2</f>
        <v>0.9423985</v>
      </c>
      <c r="O37" s="135" t="n">
        <f aca="false">(36+35)*1.05</f>
        <v>74.55</v>
      </c>
      <c r="P37" s="155" t="n">
        <v>0</v>
      </c>
      <c r="Q37" s="328" t="n">
        <f aca="false">2080600/325851/1.9835*1.02</f>
        <v>3.28350364679314</v>
      </c>
      <c r="R37" s="328" t="n">
        <v>4.2</v>
      </c>
      <c r="S37" s="131" t="n">
        <f aca="false">((5581917/325851/1.9835-T37)*1.04)-4.2</f>
        <v>3.42205530183896</v>
      </c>
      <c r="T37" s="131" t="n">
        <f aca="false">1.2572*1.04</f>
        <v>1.307488</v>
      </c>
      <c r="U37" s="346" t="n">
        <v>0</v>
      </c>
      <c r="V37" s="135" t="n">
        <v>112</v>
      </c>
      <c r="W37" s="135" t="n">
        <v>82</v>
      </c>
      <c r="X37" s="135" t="n">
        <f aca="false">M37-N37-O37-P37-Q37-R37-S37-T37-U37+V37+W37-AT37+AR37</f>
        <v>402.250054551368</v>
      </c>
      <c r="Y37" s="135" t="n">
        <f aca="false">X37-AO37</f>
        <v>397.250054551368</v>
      </c>
      <c r="Z37" s="107"/>
      <c r="AA37" s="135"/>
      <c r="AB37" s="107"/>
      <c r="AC37" s="107" t="n">
        <f aca="false">AC36+AP37-(AQ36/1.9835)</f>
        <v>1370.77050701799</v>
      </c>
      <c r="AD37" s="207" t="n">
        <f aca="false">AD36</f>
        <v>6977.56491051172</v>
      </c>
      <c r="AE37" s="135" t="n">
        <v>269</v>
      </c>
      <c r="AF37" s="240" t="n">
        <v>1.7</v>
      </c>
      <c r="AG37" s="241" t="n">
        <v>1.3</v>
      </c>
      <c r="AH37" s="135" t="n">
        <v>74</v>
      </c>
      <c r="AI37" s="107" t="n">
        <f aca="false">AI36-AH37</f>
        <v>10997.2578774893</v>
      </c>
      <c r="AJ37" s="107"/>
      <c r="AK37" s="134" t="n">
        <f aca="false">N37+O37+P37+Q37+R38+S37+T37+U37+X37+AE37+AH37-AR37</f>
        <v>795</v>
      </c>
      <c r="AL37" s="135" t="n">
        <f aca="false">IF(L37&lt;0,L37*-1,0)</f>
        <v>51.7998487522058</v>
      </c>
      <c r="AM37" s="135" t="n">
        <f aca="false">AK37+AL37</f>
        <v>846.799848752206</v>
      </c>
      <c r="AN37" s="212"/>
      <c r="AO37" s="207" t="n">
        <v>5</v>
      </c>
      <c r="AP37" s="97" t="n">
        <f aca="false">(I37-AO37)-Q37-R37-Y37-AF37</f>
        <v>-146.433558198161</v>
      </c>
      <c r="AQ37" s="155" t="n">
        <f aca="false">58.03*(Z37*1.9835+AC37*1.9835)/E37</f>
        <v>0.770450998778692</v>
      </c>
      <c r="AR37" s="155" t="n">
        <v>37.9555</v>
      </c>
      <c r="AS37" s="144" t="n">
        <v>9.5</v>
      </c>
      <c r="AT37" s="5" t="n">
        <v>0</v>
      </c>
      <c r="AU37" s="4"/>
      <c r="AV37" s="312" t="n">
        <v>0</v>
      </c>
      <c r="AW37" s="207" t="n">
        <v>94</v>
      </c>
      <c r="AX37" s="213" t="n">
        <v>56</v>
      </c>
      <c r="AY37" s="286"/>
      <c r="AZ37" s="242" t="n">
        <f aca="false">SUM(N37,P37:U37)</f>
        <v>13.1554454486321</v>
      </c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9" t="n">
        <f aca="false">A37+1</f>
        <v>24</v>
      </c>
      <c r="B38" s="106" t="n">
        <v>6918.16</v>
      </c>
      <c r="C38" s="107" t="n">
        <v>355677</v>
      </c>
      <c r="D38" s="207" t="n">
        <f aca="false">C38-C37</f>
        <v>-1111</v>
      </c>
      <c r="E38" s="107" t="n">
        <f aca="false">C38-152000</f>
        <v>203677</v>
      </c>
      <c r="F38" s="238" t="n">
        <f aca="false">D38/$D$2</f>
        <v>-560.120998235442</v>
      </c>
      <c r="G38" s="135" t="n">
        <v>250</v>
      </c>
      <c r="H38" s="136" t="n">
        <v>0</v>
      </c>
      <c r="I38" s="135" t="n">
        <f aca="false">G38+H38</f>
        <v>250</v>
      </c>
      <c r="J38" s="136" t="n">
        <f aca="false">IF(L38&gt;0,L38,0)</f>
        <v>0</v>
      </c>
      <c r="K38" s="135" t="n">
        <f aca="false">I38+J38</f>
        <v>250</v>
      </c>
      <c r="L38" s="135" t="n">
        <f aca="false">F38-(I38-AK38)</f>
        <v>-19.1209982354424</v>
      </c>
      <c r="M38" s="240" t="n">
        <v>266</v>
      </c>
      <c r="N38" s="155" t="n">
        <f aca="false">(1.8299*1.03)/2</f>
        <v>0.9423985</v>
      </c>
      <c r="O38" s="135" t="n">
        <f aca="false">(32+33)*1.05</f>
        <v>68.25</v>
      </c>
      <c r="P38" s="155" t="n">
        <v>0</v>
      </c>
      <c r="Q38" s="328" t="n">
        <f aca="false">2187600/325851/1.9835*1.02</f>
        <v>3.45236594142299</v>
      </c>
      <c r="R38" s="328" t="n">
        <v>4.2</v>
      </c>
      <c r="S38" s="131" t="n">
        <f aca="false">((5581917/325851/1.9835-T38)*1.04)-4.2</f>
        <v>3.42205530183896</v>
      </c>
      <c r="T38" s="131" t="n">
        <f aca="false">1.2572*1.04</f>
        <v>1.307488</v>
      </c>
      <c r="U38" s="346" t="n">
        <v>0</v>
      </c>
      <c r="V38" s="135" t="n">
        <v>112</v>
      </c>
      <c r="W38" s="135" t="n">
        <v>82</v>
      </c>
      <c r="X38" s="135" t="n">
        <f aca="false">M38-N38-O38-P38-Q38-R38-S38-T38-U38+V38+W38-AT38+AR38</f>
        <v>416.381192256738</v>
      </c>
      <c r="Y38" s="135" t="n">
        <f aca="false">X38-AO38</f>
        <v>411.381192256738</v>
      </c>
      <c r="Z38" s="107"/>
      <c r="AA38" s="135"/>
      <c r="AB38" s="107"/>
      <c r="AC38" s="107" t="n">
        <f aca="false">AC37+AP38-(AQ37/1.9835)</f>
        <v>1194.64851877255</v>
      </c>
      <c r="AD38" s="207" t="n">
        <f aca="false">AD37</f>
        <v>6977.56491051172</v>
      </c>
      <c r="AE38" s="135" t="n">
        <v>257</v>
      </c>
      <c r="AF38" s="240" t="n">
        <v>1.7</v>
      </c>
      <c r="AG38" s="241" t="n">
        <v>1.3</v>
      </c>
      <c r="AH38" s="135" t="n">
        <v>74</v>
      </c>
      <c r="AI38" s="107" t="n">
        <f aca="false">AI37-AH38</f>
        <v>10923.2578774893</v>
      </c>
      <c r="AJ38" s="107"/>
      <c r="AK38" s="134" t="n">
        <f aca="false">N38+O38+P38+Q38+R39+S38+T38+U38+X38+AE38+AH38-AR38</f>
        <v>791</v>
      </c>
      <c r="AL38" s="135" t="n">
        <f aca="false">IF(L38&lt;0,L38*-1,0)</f>
        <v>19.1209982354424</v>
      </c>
      <c r="AM38" s="135" t="n">
        <f aca="false">AK38+AL38</f>
        <v>810.120998235442</v>
      </c>
      <c r="AN38" s="212"/>
      <c r="AO38" s="207" t="n">
        <v>5</v>
      </c>
      <c r="AP38" s="97" t="n">
        <f aca="false">(I38-AO38)-Q38-R38-Y38-AF38</f>
        <v>-175.733558198161</v>
      </c>
      <c r="AQ38" s="155" t="n">
        <f aca="false">58.03*(Z38*1.9835+AC38*1.9835)/E38</f>
        <v>0.675123048283606</v>
      </c>
      <c r="AR38" s="155" t="n">
        <v>37.9555</v>
      </c>
      <c r="AS38" s="144" t="n">
        <v>9.5</v>
      </c>
      <c r="AT38" s="5" t="n">
        <v>0</v>
      </c>
      <c r="AU38" s="4"/>
      <c r="AV38" s="312" t="n">
        <v>0.05</v>
      </c>
      <c r="AW38" s="207" t="n">
        <v>96</v>
      </c>
      <c r="AX38" s="213" t="n">
        <v>60</v>
      </c>
      <c r="AY38" s="286"/>
      <c r="AZ38" s="242" t="n">
        <f aca="false">SUM(N38,P38:U38)</f>
        <v>13.324307743262</v>
      </c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79" t="n">
        <f aca="false">A38+1</f>
        <v>25</v>
      </c>
      <c r="B39" s="106" t="n">
        <v>6917.96</v>
      </c>
      <c r="C39" s="107" t="n">
        <v>354824</v>
      </c>
      <c r="D39" s="207" t="n">
        <f aca="false">C39-C38</f>
        <v>-853</v>
      </c>
      <c r="E39" s="107" t="n">
        <f aca="false">C39-152000</f>
        <v>202824</v>
      </c>
      <c r="F39" s="238" t="n">
        <f aca="false">D39/$D$2</f>
        <v>-430.047895134863</v>
      </c>
      <c r="G39" s="135" t="n">
        <v>249</v>
      </c>
      <c r="H39" s="136" t="n">
        <v>0</v>
      </c>
      <c r="I39" s="135" t="n">
        <f aca="false">G39+H39</f>
        <v>249</v>
      </c>
      <c r="J39" s="136" t="n">
        <f aca="false">IF(L39&gt;0,L39,0)</f>
        <v>104.952104865137</v>
      </c>
      <c r="K39" s="135" t="n">
        <f aca="false">I39+J39</f>
        <v>353.952104865137</v>
      </c>
      <c r="L39" s="135" t="n">
        <f aca="false">F39-(I39-AK39)</f>
        <v>104.952104865137</v>
      </c>
      <c r="M39" s="240" t="n">
        <v>261</v>
      </c>
      <c r="N39" s="155" t="n">
        <f aca="false">(1.8299*1.03)/2</f>
        <v>0.9423985</v>
      </c>
      <c r="O39" s="135" t="n">
        <f aca="false">(35+34)*1.05</f>
        <v>72.45</v>
      </c>
      <c r="P39" s="155" t="n">
        <v>0</v>
      </c>
      <c r="Q39" s="328" t="n">
        <f aca="false">1786400/325851/1.9835*1.02</f>
        <v>2.81921124417537</v>
      </c>
      <c r="R39" s="328" t="n">
        <v>4.2</v>
      </c>
      <c r="S39" s="131" t="n">
        <f aca="false">((5581917/325851/1.9835-T39)*1.04)-4.2</f>
        <v>3.42205530183896</v>
      </c>
      <c r="T39" s="131" t="n">
        <f aca="false">1.2572*1.04</f>
        <v>1.307488</v>
      </c>
      <c r="U39" s="346" t="n">
        <v>0</v>
      </c>
      <c r="V39" s="135" t="n">
        <v>113</v>
      </c>
      <c r="W39" s="135" t="n">
        <v>82</v>
      </c>
      <c r="X39" s="135" t="n">
        <f aca="false">M39-N39-O39-P39-Q39-R39-S39-T39-U39+V39+W39-AT39+AR39</f>
        <v>408.814346953986</v>
      </c>
      <c r="Y39" s="135" t="n">
        <f aca="false">X39-AO39</f>
        <v>403.814346953986</v>
      </c>
      <c r="Z39" s="107"/>
      <c r="AA39" s="135"/>
      <c r="AB39" s="107"/>
      <c r="AC39" s="107" t="n">
        <f aca="false">AC38+AP39-(AQ38/1.9835)</f>
        <v>1025.77459100127</v>
      </c>
      <c r="AD39" s="207" t="n">
        <f aca="false">AD38</f>
        <v>6977.56491051172</v>
      </c>
      <c r="AE39" s="135" t="n">
        <v>254</v>
      </c>
      <c r="AF39" s="240" t="n">
        <v>1.7</v>
      </c>
      <c r="AG39" s="241" t="n">
        <v>1.3</v>
      </c>
      <c r="AH39" s="135" t="n">
        <v>74</v>
      </c>
      <c r="AI39" s="107" t="n">
        <f aca="false">AI38-AH39</f>
        <v>10849.2578774893</v>
      </c>
      <c r="AJ39" s="107"/>
      <c r="AK39" s="134" t="n">
        <f aca="false">N39+O39+P39+Q39+R40+S39+T39+U39+X39+AE39+AH39-AR39</f>
        <v>784</v>
      </c>
      <c r="AL39" s="135" t="n">
        <f aca="false">IF(L39&lt;0,L39*-1,0)</f>
        <v>0</v>
      </c>
      <c r="AM39" s="135" t="n">
        <f aca="false">AK39+AL39</f>
        <v>784</v>
      </c>
      <c r="AN39" s="212"/>
      <c r="AO39" s="207" t="n">
        <v>5</v>
      </c>
      <c r="AP39" s="97" t="n">
        <f aca="false">(I39-AO39)-Q39-R39-Y39-AF39</f>
        <v>-168.533558198161</v>
      </c>
      <c r="AQ39" s="155" t="n">
        <f aca="false">58.03*(Z39*1.9835+AC39*1.9835)/E39</f>
        <v>0.582126498785136</v>
      </c>
      <c r="AR39" s="155" t="n">
        <v>37.9555</v>
      </c>
      <c r="AS39" s="144" t="n">
        <v>9.5</v>
      </c>
      <c r="AT39" s="5" t="n">
        <v>0</v>
      </c>
      <c r="AU39" s="4"/>
      <c r="AV39" s="312" t="n">
        <v>0.36</v>
      </c>
      <c r="AW39" s="207" t="n">
        <v>92</v>
      </c>
      <c r="AX39" s="213" t="n">
        <v>58</v>
      </c>
      <c r="AY39" s="286"/>
      <c r="AZ39" s="242" t="n">
        <f aca="false">SUM(N39,P39:U39)</f>
        <v>12.6911530460143</v>
      </c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79" t="n">
        <f aca="false">A39+1</f>
        <v>26</v>
      </c>
      <c r="B40" s="106" t="n">
        <v>6917.79</v>
      </c>
      <c r="C40" s="107" t="n">
        <v>354103</v>
      </c>
      <c r="D40" s="207" t="n">
        <f aca="false">C40-C39</f>
        <v>-721</v>
      </c>
      <c r="E40" s="107" t="n">
        <f aca="false">C40-152000</f>
        <v>202103</v>
      </c>
      <c r="F40" s="238" t="n">
        <f aca="false">D40/$D$2</f>
        <v>-363.498865641543</v>
      </c>
      <c r="G40" s="135" t="n">
        <v>312</v>
      </c>
      <c r="H40" s="136" t="n">
        <v>0.13</v>
      </c>
      <c r="I40" s="135" t="n">
        <f aca="false">G40+H40</f>
        <v>312.13</v>
      </c>
      <c r="J40" s="136" t="n">
        <f aca="false">IF(L40&gt;0,L40,0)</f>
        <v>20.3711343584573</v>
      </c>
      <c r="K40" s="135" t="n">
        <f aca="false">I40+J40</f>
        <v>332.501134358457</v>
      </c>
      <c r="L40" s="135" t="n">
        <f aca="false">F40-(I40-AK40)</f>
        <v>20.3711343584573</v>
      </c>
      <c r="M40" s="240" t="n">
        <v>223</v>
      </c>
      <c r="N40" s="155" t="n">
        <f aca="false">(1.8299*1.03)/2</f>
        <v>0.9423985</v>
      </c>
      <c r="O40" s="135" t="n">
        <f aca="false">(37+37)*1.05</f>
        <v>77.7</v>
      </c>
      <c r="P40" s="155" t="n">
        <v>0</v>
      </c>
      <c r="Q40" s="328" t="n">
        <f aca="false">1210300/325851/1.9835*1.02</f>
        <v>1.91003771206082</v>
      </c>
      <c r="R40" s="328" t="n">
        <v>4.2</v>
      </c>
      <c r="S40" s="131" t="n">
        <f aca="false">((5581917/325851/1.9835-T40)*1.04)-4.2</f>
        <v>3.42205530183896</v>
      </c>
      <c r="T40" s="131" t="n">
        <f aca="false">1.2572*1.04</f>
        <v>1.307488</v>
      </c>
      <c r="U40" s="346" t="n">
        <v>0</v>
      </c>
      <c r="V40" s="135" t="n">
        <v>115</v>
      </c>
      <c r="W40" s="135" t="n">
        <v>85</v>
      </c>
      <c r="X40" s="135" t="n">
        <f aca="false">M40-N40-O40-P40-Q40-R40-S40-T40-U40+V40+W40-AT40+AR40</f>
        <v>371.4735204861</v>
      </c>
      <c r="Y40" s="135" t="n">
        <f aca="false">X40-AO40</f>
        <v>366.4735204861</v>
      </c>
      <c r="Z40" s="107"/>
      <c r="AA40" s="135"/>
      <c r="AB40" s="107"/>
      <c r="AC40" s="107" t="n">
        <f aca="false">AC39+AP40-(AQ39/1.9835)</f>
        <v>958.327548306619</v>
      </c>
      <c r="AD40" s="207" t="n">
        <f aca="false">AD39</f>
        <v>6977.56491051172</v>
      </c>
      <c r="AE40" s="135" t="n">
        <v>199</v>
      </c>
      <c r="AF40" s="240" t="n">
        <v>1.7</v>
      </c>
      <c r="AG40" s="241" t="n">
        <v>1.3</v>
      </c>
      <c r="AH40" s="135" t="n">
        <v>74</v>
      </c>
      <c r="AI40" s="107" t="n">
        <f aca="false">AI39-AH40</f>
        <v>10775.2578774893</v>
      </c>
      <c r="AJ40" s="107"/>
      <c r="AK40" s="134" t="n">
        <f aca="false">N40+O40+P40+Q40+R41+S40+T40+U40+X40+AE40+AH40-AR40</f>
        <v>696</v>
      </c>
      <c r="AL40" s="135" t="n">
        <f aca="false">IF(L40&lt;0,L40*-1,0)</f>
        <v>0</v>
      </c>
      <c r="AM40" s="135" t="n">
        <f aca="false">AK40+AL40</f>
        <v>696</v>
      </c>
      <c r="AN40" s="212"/>
      <c r="AO40" s="207" t="n">
        <v>5</v>
      </c>
      <c r="AP40" s="97" t="n">
        <f aca="false">(I40-AO40)-Q40-R40-Y40-AF40</f>
        <v>-67.1535581981611</v>
      </c>
      <c r="AQ40" s="155" t="n">
        <f aca="false">58.03*(Z40*1.9835+AC40*1.9835)/E40</f>
        <v>0.545790519787437</v>
      </c>
      <c r="AR40" s="155" t="n">
        <v>37.9555</v>
      </c>
      <c r="AS40" s="144" t="n">
        <v>9.5</v>
      </c>
      <c r="AT40" s="5" t="n">
        <v>0</v>
      </c>
      <c r="AU40" s="4"/>
      <c r="AV40" s="312" t="n">
        <v>0.01</v>
      </c>
      <c r="AW40" s="207" t="n">
        <v>83</v>
      </c>
      <c r="AX40" s="207" t="n">
        <v>57</v>
      </c>
      <c r="AY40" s="286"/>
      <c r="AZ40" s="242" t="n">
        <f aca="false">SUM(N40,P40:U40)</f>
        <v>11.7819795138998</v>
      </c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79" t="n">
        <f aca="false">A40+1</f>
        <v>27</v>
      </c>
      <c r="B41" s="106" t="n">
        <v>6917.61</v>
      </c>
      <c r="C41" s="107" t="n">
        <v>353340</v>
      </c>
      <c r="D41" s="207" t="n">
        <f aca="false">C41-C40</f>
        <v>-763</v>
      </c>
      <c r="E41" s="107" t="n">
        <f aca="false">C41-152000</f>
        <v>201340</v>
      </c>
      <c r="F41" s="238" t="n">
        <f aca="false">D41/$D$2</f>
        <v>-384.673556843963</v>
      </c>
      <c r="G41" s="135" t="n">
        <v>298</v>
      </c>
      <c r="H41" s="136" t="n">
        <v>0.16</v>
      </c>
      <c r="I41" s="135" t="n">
        <f aca="false">G41+H41</f>
        <v>298.16</v>
      </c>
      <c r="J41" s="136" t="n">
        <f aca="false">IF(L41&gt;0,L41,0)</f>
        <v>0</v>
      </c>
      <c r="K41" s="135" t="n">
        <f aca="false">I41+J41</f>
        <v>298.16</v>
      </c>
      <c r="L41" s="135" t="n">
        <f aca="false">F41-(I41-AK41)</f>
        <v>-13.8335568439627</v>
      </c>
      <c r="M41" s="240" t="n">
        <v>211</v>
      </c>
      <c r="N41" s="155" t="n">
        <f aca="false">(1.8299*1.03)/2</f>
        <v>0.9423985</v>
      </c>
      <c r="O41" s="135" t="n">
        <f aca="false">(32+31)*1.05</f>
        <v>66.15</v>
      </c>
      <c r="P41" s="155" t="n">
        <v>0</v>
      </c>
      <c r="Q41" s="328" t="n">
        <f aca="false">1425400/325851/1.9835*1.02</f>
        <v>2.24949826883541</v>
      </c>
      <c r="R41" s="328" t="n">
        <v>4.2</v>
      </c>
      <c r="S41" s="131" t="n">
        <f aca="false">((5581917/325851/1.9835-T41)*1.04)-4.2</f>
        <v>3.42205530183896</v>
      </c>
      <c r="T41" s="131" t="n">
        <f aca="false">1.2572*1.04</f>
        <v>1.307488</v>
      </c>
      <c r="U41" s="346" t="n">
        <v>0</v>
      </c>
      <c r="V41" s="135" t="n">
        <v>114</v>
      </c>
      <c r="W41" s="135" t="n">
        <v>86</v>
      </c>
      <c r="X41" s="135" t="n">
        <f aca="false">M41-N41-O41-P41-Q41-R41-S41-T41-U41+V41+W41-AT41+AR41</f>
        <v>370.684059929326</v>
      </c>
      <c r="Y41" s="135" t="n">
        <f aca="false">X41-AO41</f>
        <v>365.684059929326</v>
      </c>
      <c r="Z41" s="107"/>
      <c r="AA41" s="135"/>
      <c r="AB41" s="107"/>
      <c r="AC41" s="107" t="n">
        <f aca="false">AC40+AP41-(AQ40/1.9835)</f>
        <v>877.378824734227</v>
      </c>
      <c r="AD41" s="207" t="n">
        <f aca="false">AD40</f>
        <v>6977.56491051172</v>
      </c>
      <c r="AE41" s="135" t="n">
        <v>184</v>
      </c>
      <c r="AF41" s="240" t="n">
        <v>1.7</v>
      </c>
      <c r="AG41" s="241" t="n">
        <v>1.3</v>
      </c>
      <c r="AH41" s="135" t="n">
        <v>74</v>
      </c>
      <c r="AI41" s="107" t="n">
        <f aca="false">AI40-AH41</f>
        <v>10701.2578774893</v>
      </c>
      <c r="AJ41" s="107"/>
      <c r="AK41" s="134" t="n">
        <f aca="false">N41+O41+P41+Q41+R42+S41+T41+U41+X41+AE41+AH41-AR41</f>
        <v>669</v>
      </c>
      <c r="AL41" s="135" t="n">
        <f aca="false">IF(L41&lt;0,L41*-1,0)</f>
        <v>13.8335568439627</v>
      </c>
      <c r="AM41" s="135" t="n">
        <f aca="false">AK41+AL41</f>
        <v>682.833556843963</v>
      </c>
      <c r="AN41" s="212"/>
      <c r="AO41" s="207" t="n">
        <v>5</v>
      </c>
      <c r="AP41" s="97" t="n">
        <f aca="false">(I41-AO41)-Q41-R41-Y41-AF41</f>
        <v>-80.6735581981611</v>
      </c>
      <c r="AQ41" s="155" t="n">
        <f aca="false">58.03*(Z41*1.9835+AC41*1.9835)/E41</f>
        <v>0.501581904047211</v>
      </c>
      <c r="AR41" s="155" t="n">
        <v>37.9555</v>
      </c>
      <c r="AS41" s="144" t="n">
        <v>9.5</v>
      </c>
      <c r="AT41" s="5" t="n">
        <v>0</v>
      </c>
      <c r="AU41" s="4"/>
      <c r="AV41" s="312" t="n">
        <v>0</v>
      </c>
      <c r="AW41" s="207" t="n">
        <v>85</v>
      </c>
      <c r="AX41" s="207" t="n">
        <v>56</v>
      </c>
      <c r="AY41" s="286"/>
      <c r="AZ41" s="242" t="n">
        <f aca="false">SUM(N41,P41:U41)</f>
        <v>12.1214400706744</v>
      </c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179" t="n">
        <f aca="false">A41+1</f>
        <v>28</v>
      </c>
      <c r="B42" s="106" t="n">
        <v>6917.36</v>
      </c>
      <c r="C42" s="107" t="n">
        <v>352280</v>
      </c>
      <c r="D42" s="207" t="n">
        <f aca="false">C42-C41</f>
        <v>-1060</v>
      </c>
      <c r="E42" s="107" t="n">
        <f aca="false">C42-152000</f>
        <v>200280</v>
      </c>
      <c r="F42" s="238" t="n">
        <f aca="false">D42/$D$2</f>
        <v>-534.408873203932</v>
      </c>
      <c r="G42" s="135" t="n">
        <v>264</v>
      </c>
      <c r="H42" s="136" t="n">
        <v>0.11</v>
      </c>
      <c r="I42" s="135" t="n">
        <f aca="false">G42+H42</f>
        <v>264.11</v>
      </c>
      <c r="J42" s="136" t="n">
        <f aca="false">IF(L42&gt;0,L42,0)</f>
        <v>0</v>
      </c>
      <c r="K42" s="135" t="n">
        <f aca="false">I42+J42</f>
        <v>264.11</v>
      </c>
      <c r="L42" s="135" t="n">
        <f aca="false">F42-(I42-AK42)</f>
        <v>-54.5188732039325</v>
      </c>
      <c r="M42" s="240" t="n">
        <v>233</v>
      </c>
      <c r="N42" s="155" t="n">
        <f aca="false">(1.8299*1.03)/2</f>
        <v>0.9423985</v>
      </c>
      <c r="O42" s="135" t="n">
        <f aca="false">(35+34)*1.05</f>
        <v>72.45</v>
      </c>
      <c r="P42" s="155" t="n">
        <v>0</v>
      </c>
      <c r="Q42" s="328" t="n">
        <f aca="false">1808500/325851/1.9835*1.02</f>
        <v>2.85408840970172</v>
      </c>
      <c r="R42" s="328" t="n">
        <v>4.2</v>
      </c>
      <c r="S42" s="131" t="n">
        <f aca="false">((5581917/325851/1.9835-T42)*1.04)-4.2</f>
        <v>3.42205530183896</v>
      </c>
      <c r="T42" s="131" t="n">
        <f aca="false">1.2572*1.04</f>
        <v>1.307488</v>
      </c>
      <c r="U42" s="346" t="n">
        <v>0</v>
      </c>
      <c r="V42" s="135" t="n">
        <v>112</v>
      </c>
      <c r="W42" s="135" t="n">
        <v>85</v>
      </c>
      <c r="X42" s="135" t="n">
        <f aca="false">M42-N42-O42-P42-Q42-R42-S42-T42-U42+V42+W42-AT42+AR42</f>
        <v>382.779469788459</v>
      </c>
      <c r="Y42" s="135" t="n">
        <f aca="false">X42-AO42</f>
        <v>377.779469788459</v>
      </c>
      <c r="Z42" s="107"/>
      <c r="AA42" s="135"/>
      <c r="AB42" s="107"/>
      <c r="AC42" s="107" t="n">
        <f aca="false">AC41+AP42-(AQ41/1.9835)</f>
        <v>749.702389347234</v>
      </c>
      <c r="AD42" s="207" t="n">
        <f aca="false">AD41</f>
        <v>6977.56491051172</v>
      </c>
      <c r="AE42" s="135" t="n">
        <v>240</v>
      </c>
      <c r="AF42" s="240" t="n">
        <v>1.7</v>
      </c>
      <c r="AG42" s="241" t="n">
        <v>1.3</v>
      </c>
      <c r="AH42" s="135" t="n">
        <v>74</v>
      </c>
      <c r="AI42" s="107" t="n">
        <f aca="false">AI41-AH42</f>
        <v>10627.2578774893</v>
      </c>
      <c r="AJ42" s="107"/>
      <c r="AK42" s="134" t="n">
        <f aca="false">N42+O42+P42+Q42+R43+S42+T42+U42+X42+AE42+AH42-AR42</f>
        <v>744</v>
      </c>
      <c r="AL42" s="135" t="n">
        <f aca="false">IF(L42&lt;0,L42*-1,0)</f>
        <v>54.5188732039325</v>
      </c>
      <c r="AM42" s="135" t="n">
        <f aca="false">AK42+AL42</f>
        <v>798.518873203932</v>
      </c>
      <c r="AN42" s="212"/>
      <c r="AO42" s="207" t="n">
        <v>5</v>
      </c>
      <c r="AP42" s="97" t="n">
        <f aca="false">(I42-AO42)-Q42-R42-Y42-AF42</f>
        <v>-127.423558198161</v>
      </c>
      <c r="AQ42" s="155" t="n">
        <f aca="false">58.03*(Z42*1.9835+AC42*1.9835)/E42</f>
        <v>0.430859911216057</v>
      </c>
      <c r="AR42" s="155" t="n">
        <v>37.9555</v>
      </c>
      <c r="AS42" s="144" t="n">
        <v>9.5</v>
      </c>
      <c r="AT42" s="5" t="n">
        <v>0</v>
      </c>
      <c r="AU42" s="4"/>
      <c r="AV42" s="312" t="n">
        <v>0</v>
      </c>
      <c r="AW42" s="207" t="n">
        <v>89</v>
      </c>
      <c r="AX42" s="207" t="n">
        <v>57</v>
      </c>
      <c r="AY42" s="286"/>
      <c r="AZ42" s="242" t="n">
        <f aca="false">SUM(N42,P42:U42)</f>
        <v>12.7260302115407</v>
      </c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179" t="n">
        <f aca="false">A42+1</f>
        <v>29</v>
      </c>
      <c r="B43" s="106" t="n">
        <v>6917.09</v>
      </c>
      <c r="C43" s="107" t="n">
        <v>351135</v>
      </c>
      <c r="D43" s="207" t="n">
        <f aca="false">C43-C42</f>
        <v>-1145</v>
      </c>
      <c r="E43" s="107" t="n">
        <f aca="false">C43-152000</f>
        <v>199135</v>
      </c>
      <c r="F43" s="238" t="n">
        <f aca="false">D43/$D$2</f>
        <v>-577.262414923116</v>
      </c>
      <c r="G43" s="135" t="n">
        <v>240</v>
      </c>
      <c r="H43" s="136" t="n">
        <v>0.06</v>
      </c>
      <c r="I43" s="135" t="n">
        <f aca="false">G43+H43</f>
        <v>240.06</v>
      </c>
      <c r="J43" s="136" t="n">
        <f aca="false">IF(L43&gt;0,L43,0)</f>
        <v>0</v>
      </c>
      <c r="K43" s="135" t="n">
        <f aca="false">I43+J43</f>
        <v>240.06</v>
      </c>
      <c r="L43" s="135" t="n">
        <f aca="false">F43-(I43-AK43)</f>
        <v>-80.3224149231157</v>
      </c>
      <c r="M43" s="240" t="n">
        <v>244</v>
      </c>
      <c r="N43" s="155" t="n">
        <f aca="false">(1.8299*1.03)/2</f>
        <v>0.9423985</v>
      </c>
      <c r="O43" s="135" t="n">
        <f aca="false">(35+36)*1.05</f>
        <v>74.55</v>
      </c>
      <c r="P43" s="155" t="n">
        <v>0</v>
      </c>
      <c r="Q43" s="328" t="n">
        <f aca="false">1763100/325851/1.9835*1.02</f>
        <v>2.7824402959055</v>
      </c>
      <c r="R43" s="328" t="n">
        <v>4.2</v>
      </c>
      <c r="S43" s="131" t="n">
        <f aca="false">((5581917/325851/1.9835-T43)*1.04)-4.2</f>
        <v>3.47819034183896</v>
      </c>
      <c r="T43" s="131" t="n">
        <f aca="false">1.2053*1.04</f>
        <v>1.253512</v>
      </c>
      <c r="U43" s="346" t="n">
        <v>0</v>
      </c>
      <c r="V43" s="135" t="n">
        <v>112</v>
      </c>
      <c r="W43" s="135" t="n">
        <v>86</v>
      </c>
      <c r="X43" s="135" t="n">
        <f aca="false">M43-N43-O43-P43-Q43-R43-S43-T43-U43+V43+W43-AT43+AR43</f>
        <v>392.748958862256</v>
      </c>
      <c r="Y43" s="135" t="n">
        <f aca="false">X43-AO43</f>
        <v>387.748958862256</v>
      </c>
      <c r="Z43" s="107"/>
      <c r="AA43" s="135"/>
      <c r="AB43" s="107"/>
      <c r="AC43" s="107" t="n">
        <f aca="false">AC42+AP43-(AQ42/1.9835)</f>
        <v>588.113768151657</v>
      </c>
      <c r="AD43" s="207" t="n">
        <f aca="false">AD42</f>
        <v>6977.56491051172</v>
      </c>
      <c r="AE43" s="135" t="n">
        <v>221</v>
      </c>
      <c r="AF43" s="240" t="n">
        <v>1.7</v>
      </c>
      <c r="AG43" s="241" t="n">
        <v>1.3</v>
      </c>
      <c r="AH43" s="135" t="n">
        <v>74</v>
      </c>
      <c r="AI43" s="107" t="n">
        <f aca="false">AI42-AH43</f>
        <v>10553.2578774893</v>
      </c>
      <c r="AJ43" s="107"/>
      <c r="AK43" s="134" t="n">
        <f aca="false">N43+O43+P43+Q43+R44+S43+T43+U43+X43+AE43+AH43-AR43</f>
        <v>737</v>
      </c>
      <c r="AL43" s="135" t="n">
        <f aca="false">IF(L43&lt;0,L43*-1,0)</f>
        <v>80.3224149231157</v>
      </c>
      <c r="AM43" s="135" t="n">
        <f aca="false">AK43+AL43</f>
        <v>817.322414923116</v>
      </c>
      <c r="AN43" s="212"/>
      <c r="AO43" s="207" t="n">
        <v>5</v>
      </c>
      <c r="AP43" s="97" t="n">
        <f aca="false">(I43-AO43)-Q43-R43-Y43-AF43</f>
        <v>-161.371399158161</v>
      </c>
      <c r="AQ43" s="155" t="n">
        <f aca="false">58.03*(Z43*1.9835+AC43*1.9835)/E43</f>
        <v>0.339937067513219</v>
      </c>
      <c r="AR43" s="155" t="n">
        <v>37.9555</v>
      </c>
      <c r="AS43" s="144" t="n">
        <v>9.5</v>
      </c>
      <c r="AT43" s="5" t="n">
        <v>0</v>
      </c>
      <c r="AU43" s="4"/>
      <c r="AV43" s="312" t="n">
        <v>0</v>
      </c>
      <c r="AW43" s="213" t="n">
        <v>93</v>
      </c>
      <c r="AX43" s="207" t="n">
        <v>58</v>
      </c>
      <c r="AY43" s="286"/>
      <c r="AZ43" s="242" t="n">
        <f aca="false">SUM(N43,P43:U43)</f>
        <v>12.6565411377445</v>
      </c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179" t="n">
        <v>30</v>
      </c>
      <c r="B44" s="106" t="n">
        <v>6916.88</v>
      </c>
      <c r="C44" s="107" t="n">
        <v>350249</v>
      </c>
      <c r="D44" s="207" t="n">
        <f aca="false">C44-C43</f>
        <v>-886</v>
      </c>
      <c r="E44" s="107" t="n">
        <f aca="false">C44-152000</f>
        <v>198249</v>
      </c>
      <c r="F44" s="238" t="n">
        <f aca="false">D44/$D$2</f>
        <v>-446.685152508193</v>
      </c>
      <c r="G44" s="135" t="n">
        <v>241</v>
      </c>
      <c r="H44" s="136" t="n">
        <v>0.08</v>
      </c>
      <c r="I44" s="135" t="n">
        <f aca="false">G44+H44</f>
        <v>241.08</v>
      </c>
      <c r="J44" s="136" t="n">
        <f aca="false">IF(L44&gt;0,L44,0)</f>
        <v>28.2348474918074</v>
      </c>
      <c r="K44" s="135" t="n">
        <f aca="false">I44+J44</f>
        <v>269.314847491807</v>
      </c>
      <c r="L44" s="135" t="n">
        <f aca="false">F44-(I44-AK44)</f>
        <v>28.2348474918074</v>
      </c>
      <c r="M44" s="240" t="n">
        <v>239</v>
      </c>
      <c r="N44" s="155" t="n">
        <f aca="false">(1.8299*1.03)/2</f>
        <v>0.9423985</v>
      </c>
      <c r="O44" s="135" t="n">
        <f aca="false">(37+38)*1.05</f>
        <v>78.75</v>
      </c>
      <c r="P44" s="155" t="n">
        <v>0</v>
      </c>
      <c r="Q44" s="328" t="n">
        <f aca="false">1594600/325851/1.9835*1.02</f>
        <v>2.51652163567065</v>
      </c>
      <c r="R44" s="328" t="n">
        <v>4.2</v>
      </c>
      <c r="S44" s="131" t="n">
        <f aca="false">(((5581917+125)/325851/1.9835-T44)*1.04)-4.2</f>
        <v>3.47839147889505</v>
      </c>
      <c r="T44" s="131" t="n">
        <f aca="false">1.2053*1.04</f>
        <v>1.253512</v>
      </c>
      <c r="U44" s="346" t="n">
        <v>0</v>
      </c>
      <c r="V44" s="135" t="n">
        <v>113</v>
      </c>
      <c r="W44" s="135" t="n">
        <v>86</v>
      </c>
      <c r="X44" s="135" t="n">
        <f aca="false">M44-N44-O44-P44-Q44-R44-S44-T44-U44+V44+W44-AT44+AR44</f>
        <v>384.814676385434</v>
      </c>
      <c r="Y44" s="135" t="n">
        <f aca="false">X44-AO44</f>
        <v>379.814676385434</v>
      </c>
      <c r="Z44" s="107"/>
      <c r="AA44" s="135"/>
      <c r="AB44" s="107"/>
      <c r="AC44" s="107" t="n">
        <f aca="false">AC43+AP44-(AQ43/1.9835)</f>
        <v>435.791187691674</v>
      </c>
      <c r="AD44" s="207" t="n">
        <f aca="false">AD43</f>
        <v>6977.56491051172</v>
      </c>
      <c r="AE44" s="135" t="n">
        <v>204</v>
      </c>
      <c r="AF44" s="240" t="n">
        <v>1.7</v>
      </c>
      <c r="AG44" s="241" t="n">
        <v>1.3</v>
      </c>
      <c r="AH44" s="135" t="n">
        <v>74</v>
      </c>
      <c r="AI44" s="107" t="n">
        <f aca="false">AI43-AH44</f>
        <v>10479.2578774893</v>
      </c>
      <c r="AJ44" s="107"/>
      <c r="AK44" s="134" t="n">
        <f aca="false">N44+O44+P44+Q44+R45+S44+T44+U44+X44+AE44+AH44-AR44</f>
        <v>716</v>
      </c>
      <c r="AL44" s="135" t="n">
        <f aca="false">IF(L44&lt;0,L44*-1,0)</f>
        <v>0</v>
      </c>
      <c r="AM44" s="135" t="n">
        <f aca="false">AK44+AL44</f>
        <v>716</v>
      </c>
      <c r="AN44" s="212"/>
      <c r="AO44" s="207" t="n">
        <v>5</v>
      </c>
      <c r="AP44" s="97" t="n">
        <f aca="false">(I44-AO44)-Q44-R44-Y44-AF44</f>
        <v>-152.151198021105</v>
      </c>
      <c r="AQ44" s="155" t="n">
        <f aca="false">58.03*(Z44*1.9835+AC44*1.9835)/E44</f>
        <v>0.253018463448678</v>
      </c>
      <c r="AR44" s="155" t="n">
        <v>37.9555</v>
      </c>
      <c r="AS44" s="144" t="n">
        <v>9.5</v>
      </c>
      <c r="AT44" s="5" t="n">
        <v>0</v>
      </c>
      <c r="AU44" s="4"/>
      <c r="AV44" s="312" t="n">
        <v>0.2</v>
      </c>
      <c r="AW44" s="213" t="n">
        <v>88</v>
      </c>
      <c r="AX44" s="207" t="n">
        <v>58</v>
      </c>
      <c r="AY44" s="286"/>
      <c r="AZ44" s="242" t="n">
        <f aca="false">SUM(N44,P44:U44)</f>
        <v>12.3908236145657</v>
      </c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3.5" hidden="false" customHeight="true" outlineLevel="0" collapsed="false">
      <c r="A45" s="179" t="n">
        <v>31</v>
      </c>
      <c r="B45" s="106" t="n">
        <v>6916.8</v>
      </c>
      <c r="C45" s="107" t="n">
        <v>349912</v>
      </c>
      <c r="D45" s="207" t="n">
        <f aca="false">C45-C44</f>
        <v>-337</v>
      </c>
      <c r="E45" s="107" t="n">
        <f aca="false">C45-152000</f>
        <v>197912</v>
      </c>
      <c r="F45" s="238" t="n">
        <f aca="false">D45/$D$2</f>
        <v>-169.901688933703</v>
      </c>
      <c r="G45" s="135" t="n">
        <v>351</v>
      </c>
      <c r="H45" s="136" t="n">
        <v>0.13</v>
      </c>
      <c r="I45" s="135" t="n">
        <f aca="false">G45+H45</f>
        <v>351.13</v>
      </c>
      <c r="J45" s="136" t="n">
        <f aca="false">IF(L45&gt;0,L45,0)</f>
        <v>64.768311066297</v>
      </c>
      <c r="K45" s="135" t="n">
        <f aca="false">I45+J45</f>
        <v>415.898311066297</v>
      </c>
      <c r="L45" s="135" t="n">
        <f aca="false">F45-(I45-AK45)</f>
        <v>64.768311066297</v>
      </c>
      <c r="M45" s="240" t="n">
        <v>196</v>
      </c>
      <c r="N45" s="155" t="n">
        <f aca="false">(1.8299*1.03)/2</f>
        <v>0.9423985</v>
      </c>
      <c r="O45" s="135" t="n">
        <f aca="false">(32+30)*1.05</f>
        <v>65.1</v>
      </c>
      <c r="P45" s="155" t="n">
        <v>0</v>
      </c>
      <c r="Q45" s="328" t="n">
        <f aca="false">1616700/325851/1.9835*1.02</f>
        <v>2.551398801197</v>
      </c>
      <c r="R45" s="328" t="n">
        <v>4.2</v>
      </c>
      <c r="S45" s="131" t="n">
        <f aca="false">(((5582042+52)/325851/1.9835-T45)*1.04)-4.2</f>
        <v>3.47847515191039</v>
      </c>
      <c r="T45" s="131" t="n">
        <f aca="false">1.2053*1.04</f>
        <v>1.253512</v>
      </c>
      <c r="U45" s="346" t="n">
        <v>0</v>
      </c>
      <c r="V45" s="135" t="n">
        <v>107</v>
      </c>
      <c r="W45" s="135" t="n">
        <v>84</v>
      </c>
      <c r="X45" s="135" t="n">
        <f aca="false">M45-N45-O45-P45-Q45-R45-S45-T45-U45+V45+W45-AT45+AR45</f>
        <v>347.430715546893</v>
      </c>
      <c r="Y45" s="135" t="n">
        <f aca="false">X45-AO45</f>
        <v>342.430715546893</v>
      </c>
      <c r="Z45" s="107"/>
      <c r="AA45" s="135"/>
      <c r="AB45" s="107"/>
      <c r="AC45" s="107" t="n">
        <f aca="false">AC44+AP45-(AQ44/1.9835)</f>
        <v>430.911511728536</v>
      </c>
      <c r="AD45" s="207" t="n">
        <f aca="false">AD44</f>
        <v>6977.56491051172</v>
      </c>
      <c r="AE45" s="135" t="n">
        <v>129</v>
      </c>
      <c r="AF45" s="240" t="n">
        <v>1.7</v>
      </c>
      <c r="AG45" s="241" t="n">
        <v>1.3</v>
      </c>
      <c r="AH45" s="135" t="n">
        <v>74</v>
      </c>
      <c r="AI45" s="107" t="n">
        <f aca="false">AI44-AH45</f>
        <v>10405.2578774893</v>
      </c>
      <c r="AJ45" s="107"/>
      <c r="AK45" s="134" t="n">
        <f aca="false">N45+O45+P45+Q45+R46+S45+T45+U45+X45+AE45+AH45-AR45</f>
        <v>585.8</v>
      </c>
      <c r="AL45" s="135" t="n">
        <f aca="false">IF(L45&lt;0,L45*-1,0)</f>
        <v>0</v>
      </c>
      <c r="AM45" s="135" t="n">
        <f aca="false">AK45+AL45</f>
        <v>585.8</v>
      </c>
      <c r="AN45" s="212"/>
      <c r="AO45" s="207" t="n">
        <v>5</v>
      </c>
      <c r="AP45" s="97" t="n">
        <f aca="false">(I45-AO45)-Q45-R45-Y45-AF45</f>
        <v>-4.75211434808967</v>
      </c>
      <c r="AQ45" s="155" t="n">
        <f aca="false">58.03*(Z45*1.9835+AC45*1.9835)/E45</f>
        <v>0.250611354709625</v>
      </c>
      <c r="AR45" s="155" t="n">
        <v>37.9565</v>
      </c>
      <c r="AS45" s="144" t="n">
        <v>9.5</v>
      </c>
      <c r="AT45" s="5" t="n">
        <v>0</v>
      </c>
      <c r="AU45" s="4"/>
      <c r="AV45" s="312" t="n">
        <v>0.05</v>
      </c>
      <c r="AW45" s="213" t="n">
        <v>87</v>
      </c>
      <c r="AX45" s="207" t="n">
        <v>58</v>
      </c>
      <c r="AY45" s="286"/>
      <c r="AZ45" s="242" t="n">
        <f aca="false">SUM(N45,P45:U45)</f>
        <v>12.4257844531074</v>
      </c>
    </row>
    <row r="46" customFormat="false" ht="3" hidden="false" customHeight="true" outlineLevel="0" collapsed="false">
      <c r="A46" s="223"/>
      <c r="B46" s="244"/>
      <c r="C46" s="225"/>
      <c r="D46" s="226"/>
      <c r="E46" s="225"/>
      <c r="F46" s="227"/>
      <c r="G46" s="226"/>
      <c r="H46" s="232"/>
      <c r="I46" s="226"/>
      <c r="J46" s="226"/>
      <c r="K46" s="226"/>
      <c r="L46" s="226"/>
      <c r="M46" s="229"/>
      <c r="N46" s="226"/>
      <c r="O46" s="226"/>
      <c r="P46" s="230"/>
      <c r="Q46" s="226"/>
      <c r="R46" s="226"/>
      <c r="S46" s="226"/>
      <c r="T46" s="226"/>
      <c r="U46" s="231"/>
      <c r="V46" s="226"/>
      <c r="W46" s="226"/>
      <c r="X46" s="226"/>
      <c r="Y46" s="226"/>
      <c r="Z46" s="225"/>
      <c r="AA46" s="226"/>
      <c r="AB46" s="225"/>
      <c r="AC46" s="225"/>
      <c r="AD46" s="235"/>
      <c r="AE46" s="226"/>
      <c r="AF46" s="229"/>
      <c r="AG46" s="233"/>
      <c r="AH46" s="226"/>
      <c r="AI46" s="226"/>
      <c r="AJ46" s="226"/>
      <c r="AK46" s="226"/>
      <c r="AL46" s="226"/>
      <c r="AM46" s="226"/>
      <c r="AN46" s="234"/>
      <c r="AO46" s="235"/>
      <c r="AP46" s="232"/>
      <c r="AQ46" s="232"/>
      <c r="AR46" s="232"/>
      <c r="AS46" s="230"/>
      <c r="AT46" s="230"/>
      <c r="AU46" s="232"/>
      <c r="AV46" s="481"/>
      <c r="AW46" s="235"/>
      <c r="AX46" s="235"/>
      <c r="AY46" s="249"/>
      <c r="AZ46" s="309"/>
    </row>
    <row r="47" customFormat="false" ht="12.95" hidden="false" customHeight="true" outlineLevel="0" collapsed="false">
      <c r="A47" s="181" t="s">
        <v>101</v>
      </c>
      <c r="B47" s="205"/>
      <c r="C47" s="107"/>
      <c r="D47" s="107"/>
      <c r="E47" s="107"/>
      <c r="F47" s="206" t="n">
        <f aca="false">SUM(F15:F45)</f>
        <v>-15709.1000756239</v>
      </c>
      <c r="G47" s="107" t="n">
        <f aca="false">SUM(G15:G45)</f>
        <v>11302</v>
      </c>
      <c r="H47" s="207" t="n">
        <f aca="false">SUM(H15:H45)</f>
        <v>4.55</v>
      </c>
      <c r="I47" s="107" t="n">
        <f aca="false">SUM(I15:I45)</f>
        <v>11306.55</v>
      </c>
      <c r="J47" s="107" t="n">
        <f aca="false">SUM(J15:J45)</f>
        <v>490.860093269473</v>
      </c>
      <c r="K47" s="107" t="n">
        <f aca="false">SUM(K15:K45)</f>
        <v>11797.4100932695</v>
      </c>
      <c r="L47" s="107" t="n">
        <f aca="false">SUM(L15:L45)</f>
        <v>-333.850075623897</v>
      </c>
      <c r="M47" s="208" t="n">
        <f aca="false">SUM(M15:M45)</f>
        <v>9140</v>
      </c>
      <c r="N47" s="107" t="n">
        <f aca="false">SUM(N15:N45)</f>
        <v>29.2143535</v>
      </c>
      <c r="O47" s="107" t="n">
        <f aca="false">SUM(O15:O45)</f>
        <v>2257.5</v>
      </c>
      <c r="P47" s="155" t="n">
        <f aca="false">SUM(P15:P45)</f>
        <v>0</v>
      </c>
      <c r="Q47" s="107" t="n">
        <f aca="false">SUM(Q15:Q45)</f>
        <v>93.9680793960246</v>
      </c>
      <c r="R47" s="107" t="n">
        <f aca="false">SUM(R15:R45)</f>
        <v>130.2</v>
      </c>
      <c r="S47" s="107" t="n">
        <f aca="false">SUM(S15:S45)</f>
        <v>98.4769808617136</v>
      </c>
      <c r="T47" s="107" t="n">
        <f aca="false">SUM(T15:T45)</f>
        <v>47.79632</v>
      </c>
      <c r="U47" s="209" t="n">
        <f aca="false">SUM(U15:U45)</f>
        <v>0</v>
      </c>
      <c r="V47" s="107" t="n">
        <f aca="false">SUM(V15:V45)</f>
        <v>4837</v>
      </c>
      <c r="W47" s="107" t="n">
        <f aca="false">SUM(W15:W45)</f>
        <v>2523</v>
      </c>
      <c r="X47" s="107" t="n">
        <f aca="false">SUM(X15:X45)</f>
        <v>15019.4657662423</v>
      </c>
      <c r="Y47" s="107" t="n">
        <f aca="false">SUM(Y15:Y45)</f>
        <v>14864.4657662423</v>
      </c>
      <c r="Z47" s="107"/>
      <c r="AA47" s="107"/>
      <c r="AB47" s="107"/>
      <c r="AC47" s="107"/>
      <c r="AD47" s="107"/>
      <c r="AE47" s="107" t="n">
        <f aca="false">SUM(AE15:AE45)</f>
        <v>7897</v>
      </c>
      <c r="AF47" s="427" t="n">
        <f aca="false">SUM(AF15:AF45)</f>
        <v>52.7</v>
      </c>
      <c r="AG47" s="428" t="n">
        <f aca="false">SUM(AG15:AG45)</f>
        <v>40.3</v>
      </c>
      <c r="AH47" s="107" t="n">
        <f aca="false">SUM(AH15:AH45)</f>
        <v>2289</v>
      </c>
      <c r="AI47" s="107"/>
      <c r="AJ47" s="107" t="n">
        <f aca="false">SUM(AJ15:AJ45)</f>
        <v>0</v>
      </c>
      <c r="AK47" s="107" t="n">
        <f aca="false">SUM(AK15:AK45)</f>
        <v>26681.8</v>
      </c>
      <c r="AL47" s="107" t="n">
        <f aca="false">SUM(AL15:AL45)</f>
        <v>824.71016889337</v>
      </c>
      <c r="AM47" s="107" t="n">
        <f aca="false">SUM(AM15:AM45)</f>
        <v>27506.5101688934</v>
      </c>
      <c r="AN47" s="212"/>
      <c r="AO47" s="107" t="n">
        <f aca="false">SUM(AO15:AO45)</f>
        <v>155</v>
      </c>
      <c r="AP47" s="136"/>
      <c r="AQ47" s="483"/>
      <c r="AR47" s="136" t="n">
        <f aca="false">SUM(AR15:AR45)</f>
        <v>1176.6215</v>
      </c>
      <c r="AS47" s="136" t="n">
        <f aca="false">SUM(AS15:AS45)</f>
        <v>161.5</v>
      </c>
      <c r="AT47" s="155" t="n">
        <f aca="false">SUM(AT15:AT45)</f>
        <v>0</v>
      </c>
      <c r="AU47" s="136" t="n">
        <f aca="false">SUM(AU15:AU45)</f>
        <v>0</v>
      </c>
      <c r="AV47" s="312" t="n">
        <f aca="false">SUM(AV15:AV45)</f>
        <v>1.09</v>
      </c>
      <c r="AW47" s="207" t="n">
        <f aca="false">AVERAGE(AW15:AW45)</f>
        <v>89.9354838709678</v>
      </c>
      <c r="AX47" s="207" t="n">
        <f aca="false">AVERAGE(AX15:AX45)</f>
        <v>57.6451612903226</v>
      </c>
      <c r="AY47" s="215" t="s">
        <v>125</v>
      </c>
      <c r="AZ47" s="330" t="n">
        <f aca="false">SUM(AZ15:AZ45)</f>
        <v>399.655733757738</v>
      </c>
    </row>
    <row r="48" customFormat="false" ht="12.95" hidden="false" customHeight="true" outlineLevel="0" collapsed="false">
      <c r="A48" s="181" t="s">
        <v>103</v>
      </c>
      <c r="B48" s="205"/>
      <c r="C48" s="107"/>
      <c r="D48" s="107" t="n">
        <f aca="false">SUM(D15:D45)</f>
        <v>-31159</v>
      </c>
      <c r="E48" s="107"/>
      <c r="F48" s="206" t="n">
        <f aca="false">F47*$D$2</f>
        <v>-31159</v>
      </c>
      <c r="G48" s="107" t="n">
        <f aca="false">G47*$D$2</f>
        <v>22417.517</v>
      </c>
      <c r="H48" s="207" t="n">
        <f aca="false">H47*$D$2</f>
        <v>9.024925</v>
      </c>
      <c r="I48" s="107" t="n">
        <f aca="false">I47*$D$2</f>
        <v>22426.541925</v>
      </c>
      <c r="J48" s="107" t="n">
        <f aca="false">J47*$D$2</f>
        <v>973.620995</v>
      </c>
      <c r="K48" s="107" t="n">
        <f aca="false">K47*$D$2</f>
        <v>23400.16292</v>
      </c>
      <c r="L48" s="107" t="n">
        <f aca="false">L47*$D$2</f>
        <v>-662.191625</v>
      </c>
      <c r="M48" s="208" t="n">
        <f aca="false">M47*$D$2</f>
        <v>18129.19</v>
      </c>
      <c r="N48" s="107" t="n">
        <f aca="false">N47*$D$2</f>
        <v>57.94667016725</v>
      </c>
      <c r="O48" s="107" t="n">
        <f aca="false">O47*$D$2</f>
        <v>4477.75125</v>
      </c>
      <c r="P48" s="155" t="n">
        <f aca="false">P47*$D$2</f>
        <v>0</v>
      </c>
      <c r="Q48" s="107" t="n">
        <f aca="false">Q47*$D$2</f>
        <v>186.385685482015</v>
      </c>
      <c r="R48" s="107" t="n">
        <f aca="false">R47*$D$2</f>
        <v>258.2517</v>
      </c>
      <c r="S48" s="107" t="n">
        <f aca="false">S47*$D$2</f>
        <v>195.329091539209</v>
      </c>
      <c r="T48" s="107" t="n">
        <f aca="false">T47*$D$2</f>
        <v>94.80400072</v>
      </c>
      <c r="U48" s="209" t="n">
        <f aca="false">U47*$D$2</f>
        <v>0</v>
      </c>
      <c r="V48" s="107" t="n">
        <f aca="false">V47*$D$2</f>
        <v>9594.1895</v>
      </c>
      <c r="W48" s="107" t="n">
        <f aca="false">W47*$D$2</f>
        <v>5004.3705</v>
      </c>
      <c r="X48" s="107" t="n">
        <f aca="false">X47*$D$2</f>
        <v>29791.1103473415</v>
      </c>
      <c r="Y48" s="107" t="n">
        <f aca="false">Y47*$D$2</f>
        <v>29483.6678473415</v>
      </c>
      <c r="Z48" s="107"/>
      <c r="AA48" s="107"/>
      <c r="AB48" s="107"/>
      <c r="AC48" s="107"/>
      <c r="AD48" s="107"/>
      <c r="AE48" s="107" t="n">
        <f aca="false">AE47*$D$2</f>
        <v>15663.6995</v>
      </c>
      <c r="AF48" s="208" t="n">
        <f aca="false">AF47*$D$2</f>
        <v>104.53045</v>
      </c>
      <c r="AG48" s="210" t="n">
        <f aca="false">AG47*$D$2</f>
        <v>79.93505</v>
      </c>
      <c r="AH48" s="107" t="n">
        <f aca="false">AH47*$D$2</f>
        <v>4540.2315</v>
      </c>
      <c r="AI48" s="107"/>
      <c r="AJ48" s="107" t="n">
        <f aca="false">AJ47*$D$2</f>
        <v>0</v>
      </c>
      <c r="AK48" s="107" t="n">
        <f aca="false">AK47*$D$2</f>
        <v>52923.3503</v>
      </c>
      <c r="AL48" s="107" t="n">
        <f aca="false">AL47*$D$2</f>
        <v>1635.81262</v>
      </c>
      <c r="AM48" s="107" t="n">
        <f aca="false">AM47*$D$2</f>
        <v>54559.16292</v>
      </c>
      <c r="AN48" s="212"/>
      <c r="AO48" s="107" t="n">
        <f aca="false">AO47*$D$2</f>
        <v>307.4425</v>
      </c>
      <c r="AP48" s="136"/>
      <c r="AQ48" s="483" t="n">
        <f aca="false">SUM(AQ15:AQ45)</f>
        <v>35.4282512725797</v>
      </c>
      <c r="AR48" s="136" t="n">
        <f aca="false">AR47*$D$2</f>
        <v>2333.82874525</v>
      </c>
      <c r="AS48" s="136" t="n">
        <f aca="false">AS47*$D$2</f>
        <v>320.33525</v>
      </c>
      <c r="AT48" s="155" t="n">
        <f aca="false">AT47*$D$2</f>
        <v>0</v>
      </c>
      <c r="AU48" s="136" t="n">
        <f aca="false">AU47*$D$2</f>
        <v>0</v>
      </c>
      <c r="AV48" s="312"/>
      <c r="AW48" s="207" t="n">
        <f aca="false">MAX(AW15:AW45)</f>
        <v>96</v>
      </c>
      <c r="AX48" s="207" t="n">
        <f aca="false">MAX(AX15:AX45)</f>
        <v>63</v>
      </c>
      <c r="AY48" s="215" t="s">
        <v>104</v>
      </c>
      <c r="AZ48" s="330" t="n">
        <f aca="false">AZ47*$D$2</f>
        <v>792.717147908474</v>
      </c>
    </row>
    <row r="49" customFormat="false" ht="3" hidden="false" customHeight="true" outlineLevel="0" collapsed="false">
      <c r="A49" s="223"/>
      <c r="B49" s="244"/>
      <c r="C49" s="225"/>
      <c r="D49" s="225"/>
      <c r="E49" s="225"/>
      <c r="F49" s="249"/>
      <c r="G49" s="225"/>
      <c r="H49" s="235"/>
      <c r="I49" s="225"/>
      <c r="J49" s="225"/>
      <c r="K49" s="225"/>
      <c r="L49" s="225"/>
      <c r="M49" s="250"/>
      <c r="N49" s="225"/>
      <c r="O49" s="225"/>
      <c r="P49" s="230"/>
      <c r="Q49" s="225"/>
      <c r="R49" s="225"/>
      <c r="S49" s="225"/>
      <c r="T49" s="225"/>
      <c r="U49" s="231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50"/>
      <c r="AG49" s="274"/>
      <c r="AH49" s="225"/>
      <c r="AI49" s="226"/>
      <c r="AJ49" s="225"/>
      <c r="AK49" s="225"/>
      <c r="AL49" s="225"/>
      <c r="AM49" s="225"/>
      <c r="AN49" s="252"/>
      <c r="AO49" s="225"/>
      <c r="AP49" s="232"/>
      <c r="AQ49" s="230"/>
      <c r="AR49" s="230"/>
      <c r="AS49" s="230"/>
      <c r="AT49" s="230"/>
      <c r="AU49" s="232"/>
      <c r="AV49" s="252"/>
      <c r="AW49" s="225"/>
      <c r="AX49" s="225"/>
      <c r="AY49" s="249"/>
      <c r="AZ49" s="309"/>
    </row>
    <row r="50" customFormat="false" ht="12.95" hidden="false" customHeight="true" outlineLevel="0" collapsed="false">
      <c r="A50" s="181" t="s">
        <v>105</v>
      </c>
      <c r="B50" s="205"/>
      <c r="C50" s="107"/>
      <c r="D50" s="107"/>
      <c r="E50" s="107"/>
      <c r="F50" s="206" t="n">
        <f aca="false">F12+F47</f>
        <v>34960.423493824</v>
      </c>
      <c r="G50" s="107" t="n">
        <f aca="false">G12+G47</f>
        <v>111198</v>
      </c>
      <c r="H50" s="207" t="n">
        <f aca="false">H12+H47</f>
        <v>4577.11</v>
      </c>
      <c r="I50" s="107" t="n">
        <f aca="false">I12+I47</f>
        <v>115775.11</v>
      </c>
      <c r="J50" s="107" t="n">
        <f aca="false">J12+J47</f>
        <v>20791.3089059743</v>
      </c>
      <c r="K50" s="107" t="n">
        <f aca="false">K12+K47</f>
        <v>136566.418905974</v>
      </c>
      <c r="L50" s="107" t="n">
        <f aca="false">L12+L47</f>
        <v>19917.371095324</v>
      </c>
      <c r="M50" s="208" t="n">
        <f aca="false">M12+M47</f>
        <v>28745.3</v>
      </c>
      <c r="N50" s="107" t="n">
        <f aca="false">N12+N47</f>
        <v>114.972617</v>
      </c>
      <c r="O50" s="107" t="n">
        <f aca="false">O12+O47</f>
        <v>8502.0075</v>
      </c>
      <c r="P50" s="155" t="n">
        <f aca="false">P12+P47</f>
        <v>7.363</v>
      </c>
      <c r="Q50" s="107"/>
      <c r="R50" s="107"/>
      <c r="S50" s="107"/>
      <c r="T50" s="107"/>
      <c r="U50" s="209"/>
      <c r="V50" s="107" t="n">
        <f aca="false">V12+V47</f>
        <v>13713.6</v>
      </c>
      <c r="W50" s="107" t="n">
        <f aca="false">W12+W47</f>
        <v>6906.98</v>
      </c>
      <c r="X50" s="107" t="n">
        <f aca="false">X12+X47</f>
        <v>41613.1153911905</v>
      </c>
      <c r="Y50" s="107" t="n">
        <f aca="false">Y12+Y47</f>
        <v>40860.5353911905</v>
      </c>
      <c r="Z50" s="80"/>
      <c r="AA50" s="107"/>
      <c r="AB50" s="430"/>
      <c r="AC50" s="430"/>
      <c r="AD50" s="107"/>
      <c r="AE50" s="107" t="n">
        <f aca="false">AE12+AE47</f>
        <v>17327.14</v>
      </c>
      <c r="AF50" s="208" t="n">
        <f aca="false">AF12+AF47</f>
        <v>207.4</v>
      </c>
      <c r="AG50" s="210" t="n">
        <f aca="false">AG12+AG47</f>
        <v>158.6</v>
      </c>
      <c r="AH50" s="107"/>
      <c r="AI50" s="430"/>
      <c r="AJ50" s="107" t="n">
        <f aca="false">AJ12+AJ47</f>
        <v>28682</v>
      </c>
      <c r="AK50" s="107" t="n">
        <f aca="false">AK12+AK47</f>
        <v>100732.0576015</v>
      </c>
      <c r="AL50" s="107" t="n">
        <f aca="false">AL12+AL47</f>
        <v>873.93781065024</v>
      </c>
      <c r="AM50" s="107" t="n">
        <f aca="false">AM12+AM47</f>
        <v>101605.99541215</v>
      </c>
      <c r="AN50" s="212"/>
      <c r="AO50" s="207"/>
      <c r="AP50" s="136"/>
      <c r="AQ50" s="483"/>
      <c r="AR50" s="136" t="n">
        <f aca="false">AR12+AR47</f>
        <v>2547.6295</v>
      </c>
      <c r="AS50" s="136" t="n">
        <f aca="false">AS12+AS47</f>
        <v>161.5</v>
      </c>
      <c r="AT50" s="155" t="n">
        <f aca="false">AT12+AT47</f>
        <v>604.53</v>
      </c>
      <c r="AU50" s="136" t="n">
        <f aca="false">AU12+AU47</f>
        <v>0</v>
      </c>
      <c r="AV50" s="312"/>
      <c r="AW50" s="207" t="n">
        <f aca="false">MIN(AW15:AW45)</f>
        <v>78</v>
      </c>
      <c r="AX50" s="207" t="n">
        <f aca="false">MIN(AX15:AX45)</f>
        <v>48</v>
      </c>
      <c r="AY50" s="215" t="s">
        <v>106</v>
      </c>
      <c r="AZ50" s="330" t="n">
        <f aca="false">AZ12+AZ47</f>
        <v>399.655733757738</v>
      </c>
    </row>
    <row r="51" customFormat="false" ht="12.95" hidden="false" customHeight="true" outlineLevel="0" collapsed="false">
      <c r="A51" s="181" t="s">
        <v>107</v>
      </c>
      <c r="B51" s="205"/>
      <c r="C51" s="107"/>
      <c r="D51" s="107"/>
      <c r="E51" s="107"/>
      <c r="F51" s="206" t="n">
        <f aca="false">F50*$D$2</f>
        <v>69344</v>
      </c>
      <c r="G51" s="107" t="n">
        <f aca="false">G50*$D$2</f>
        <v>220561.233</v>
      </c>
      <c r="H51" s="207" t="n">
        <f aca="false">H50*$D$2</f>
        <v>9078.697685</v>
      </c>
      <c r="I51" s="107" t="n">
        <f aca="false">I50*$D$2</f>
        <v>229639.930685</v>
      </c>
      <c r="J51" s="107" t="n">
        <f aca="false">J50*$D$2</f>
        <v>41239.561215</v>
      </c>
      <c r="K51" s="107" t="n">
        <f aca="false">K50*$D$2</f>
        <v>270879.4919</v>
      </c>
      <c r="L51" s="107" t="n">
        <f aca="false">L50*$D$2</f>
        <v>39506.1055675752</v>
      </c>
      <c r="M51" s="208" t="n">
        <f aca="false">M50*$D$2</f>
        <v>57016.30255</v>
      </c>
      <c r="N51" s="107" t="n">
        <f aca="false">N50*$D$2</f>
        <v>228.0481858195</v>
      </c>
      <c r="O51" s="107" t="n">
        <f aca="false">O50*$D$2</f>
        <v>16863.73187625</v>
      </c>
      <c r="P51" s="155" t="n">
        <f aca="false">P50*$D$2</f>
        <v>14.6045105</v>
      </c>
      <c r="Q51" s="107"/>
      <c r="R51" s="107"/>
      <c r="S51" s="107"/>
      <c r="T51" s="107"/>
      <c r="U51" s="209"/>
      <c r="V51" s="107" t="n">
        <f aca="false">V50*$D$2</f>
        <v>27200.9256</v>
      </c>
      <c r="W51" s="107" t="n">
        <f aca="false">W50*$D$2</f>
        <v>13699.99483</v>
      </c>
      <c r="X51" s="107" t="n">
        <f aca="false">X50*$D$2</f>
        <v>82539.6143784264</v>
      </c>
      <c r="Y51" s="107" t="n">
        <f aca="false">Y50*$D$2</f>
        <v>81046.8719484264</v>
      </c>
      <c r="Z51" s="80"/>
      <c r="AA51" s="107"/>
      <c r="AB51" s="107"/>
      <c r="AC51" s="107"/>
      <c r="AD51" s="107"/>
      <c r="AE51" s="107" t="n">
        <f aca="false">AE50*$D$2</f>
        <v>34368.38219</v>
      </c>
      <c r="AF51" s="208" t="n">
        <f aca="false">AF50*$D$2</f>
        <v>411.3779</v>
      </c>
      <c r="AG51" s="210" t="n">
        <f aca="false">AG50*$D$2</f>
        <v>314.5831</v>
      </c>
      <c r="AH51" s="107"/>
      <c r="AI51" s="107"/>
      <c r="AJ51" s="107" t="n">
        <f aca="false">AJ50*$D$2</f>
        <v>56890.747</v>
      </c>
      <c r="AK51" s="107" t="n">
        <f aca="false">AK50*$D$2</f>
        <v>199802.036252575</v>
      </c>
      <c r="AL51" s="107" t="n">
        <f aca="false">AL50*$D$2</f>
        <v>1733.45564742475</v>
      </c>
      <c r="AM51" s="107" t="n">
        <f aca="false">AM50*$D$2</f>
        <v>201535.4919</v>
      </c>
      <c r="AN51" s="212"/>
      <c r="AO51" s="207"/>
      <c r="AP51" s="136"/>
      <c r="AQ51" s="483" t="n">
        <f aca="false">AQ12+AQ48</f>
        <v>670.816457396524</v>
      </c>
      <c r="AR51" s="136" t="n">
        <f aca="false">AR50*$D$2</f>
        <v>5053.22311325</v>
      </c>
      <c r="AS51" s="136" t="n">
        <f aca="false">AS50*$D$2</f>
        <v>320.33525</v>
      </c>
      <c r="AT51" s="136" t="n">
        <f aca="false">AT50*$D$2</f>
        <v>1199.085255</v>
      </c>
      <c r="AU51" s="136" t="n">
        <f aca="false">AU50*$D$2</f>
        <v>0</v>
      </c>
      <c r="AV51" s="312"/>
      <c r="AW51" s="207"/>
      <c r="AX51" s="207"/>
      <c r="AY51" s="291"/>
      <c r="AZ51" s="330" t="n">
        <f aca="false">AZ50*$D$2</f>
        <v>792.717147908474</v>
      </c>
    </row>
    <row r="52" customFormat="false" ht="3" hidden="false" customHeight="true" outlineLevel="0" collapsed="false">
      <c r="A52" s="223"/>
      <c r="B52" s="244"/>
      <c r="C52" s="225"/>
      <c r="D52" s="225"/>
      <c r="E52" s="225"/>
      <c r="F52" s="249"/>
      <c r="G52" s="225"/>
      <c r="H52" s="235"/>
      <c r="I52" s="225"/>
      <c r="J52" s="225"/>
      <c r="K52" s="225"/>
      <c r="L52" s="225"/>
      <c r="M52" s="250"/>
      <c r="N52" s="225"/>
      <c r="O52" s="225"/>
      <c r="P52" s="230"/>
      <c r="Q52" s="225"/>
      <c r="R52" s="225"/>
      <c r="S52" s="225"/>
      <c r="T52" s="225"/>
      <c r="U52" s="231"/>
      <c r="V52" s="225"/>
      <c r="W52" s="225"/>
      <c r="X52" s="225"/>
      <c r="Y52" s="225"/>
      <c r="Z52" s="225"/>
      <c r="AA52" s="225"/>
      <c r="AB52" s="225"/>
      <c r="AC52" s="225"/>
      <c r="AD52" s="235"/>
      <c r="AE52" s="225"/>
      <c r="AF52" s="250"/>
      <c r="AG52" s="274"/>
      <c r="AH52" s="225"/>
      <c r="AI52" s="225"/>
      <c r="AJ52" s="225"/>
      <c r="AK52" s="225"/>
      <c r="AL52" s="225"/>
      <c r="AM52" s="225"/>
      <c r="AN52" s="252"/>
      <c r="AO52" s="225"/>
      <c r="AP52" s="232"/>
      <c r="AQ52" s="230"/>
      <c r="AR52" s="230"/>
      <c r="AS52" s="230"/>
      <c r="AT52" s="230"/>
      <c r="AU52" s="232"/>
      <c r="AV52" s="481"/>
      <c r="AW52" s="225"/>
      <c r="AX52" s="225"/>
      <c r="AY52" s="249"/>
      <c r="AZ52" s="309"/>
    </row>
    <row r="53" customFormat="false" ht="12.95" hidden="false" customHeight="true" outlineLevel="0" collapsed="false">
      <c r="A53" s="181" t="s">
        <v>108</v>
      </c>
      <c r="B53" s="205"/>
      <c r="C53" s="107"/>
      <c r="D53" s="107"/>
      <c r="E53" s="107"/>
      <c r="F53" s="206" t="n">
        <f aca="false">F13+F47</f>
        <v>36562.1376354928</v>
      </c>
      <c r="G53" s="107" t="n">
        <f aca="false">G13+G47</f>
        <v>122433</v>
      </c>
      <c r="H53" s="207" t="n">
        <f aca="false">H13+H47</f>
        <v>5137.69</v>
      </c>
      <c r="I53" s="107" t="n">
        <f aca="false">I13+I47</f>
        <v>127570.69</v>
      </c>
      <c r="J53" s="107" t="n">
        <f aca="false">J13+J47</f>
        <v>23889.8193546761</v>
      </c>
      <c r="K53" s="107" t="n">
        <f aca="false">K13+K47</f>
        <v>151460.509354676</v>
      </c>
      <c r="L53" s="107" t="n">
        <f aca="false">L13+L47</f>
        <v>21996.8952369928</v>
      </c>
      <c r="M53" s="208" t="n">
        <f aca="false">M13+M47</f>
        <v>29668.41</v>
      </c>
      <c r="N53" s="107" t="n">
        <f aca="false">N13+N47</f>
        <v>114.972617</v>
      </c>
      <c r="O53" s="107" t="n">
        <f aca="false">O13+O47</f>
        <v>8502.0075</v>
      </c>
      <c r="P53" s="155"/>
      <c r="Q53" s="107" t="n">
        <f aca="false">Q13+Q47</f>
        <v>551.387566918811</v>
      </c>
      <c r="R53" s="107" t="n">
        <f aca="false">R13+R47</f>
        <v>703.983361972769</v>
      </c>
      <c r="S53" s="107" t="n">
        <f aca="false">S13+S47</f>
        <v>169.914439243953</v>
      </c>
      <c r="T53" s="107" t="n">
        <f aca="false">T13+T47</f>
        <v>349.051196</v>
      </c>
      <c r="U53" s="308" t="n">
        <f aca="false">U13+U47</f>
        <v>-12.2414035208269</v>
      </c>
      <c r="V53" s="107" t="n">
        <f aca="false">V13+V47</f>
        <v>19807.6</v>
      </c>
      <c r="W53" s="107" t="n">
        <f aca="false">W13+W47</f>
        <v>6965.26</v>
      </c>
      <c r="X53" s="107" t="n">
        <f aca="false">X13+X47</f>
        <v>47997.9312223853</v>
      </c>
      <c r="Y53" s="107" t="n">
        <f aca="false">Y13+Y47</f>
        <v>47043.5519925451</v>
      </c>
      <c r="Z53" s="107"/>
      <c r="AA53" s="107"/>
      <c r="AB53" s="107"/>
      <c r="AC53" s="107"/>
      <c r="AD53" s="207"/>
      <c r="AE53" s="107"/>
      <c r="AF53" s="107" t="n">
        <f aca="false">AF13+AF47</f>
        <v>52.7</v>
      </c>
      <c r="AG53" s="107" t="n">
        <f aca="false">AG13+AG47</f>
        <v>40.3</v>
      </c>
      <c r="AH53" s="107" t="n">
        <f aca="false">AH13+AH47</f>
        <v>39511</v>
      </c>
      <c r="AI53" s="107" t="n">
        <f aca="false">AI45</f>
        <v>10405.2578774893</v>
      </c>
      <c r="AJ53" s="107" t="n">
        <f aca="false">AJ13+AJ47</f>
        <v>28682</v>
      </c>
      <c r="AK53" s="107" t="n">
        <f aca="false">AK13+AK47</f>
        <v>113005.4476015</v>
      </c>
      <c r="AL53" s="107" t="n">
        <f aca="false">AL13+AL47</f>
        <v>1892.92411768326</v>
      </c>
      <c r="AM53" s="107" t="n">
        <f aca="false">AM13+AM47</f>
        <v>114898.371719183</v>
      </c>
      <c r="AN53" s="212"/>
      <c r="AO53" s="107" t="n">
        <f aca="false">AO13+AO47</f>
        <v>954.379229840203</v>
      </c>
      <c r="AP53" s="136"/>
      <c r="AQ53" s="483"/>
      <c r="AR53" s="483"/>
      <c r="AS53" s="483"/>
      <c r="AT53" s="483"/>
      <c r="AV53" s="312" t="n">
        <f aca="false">AV13+AV47</f>
        <v>7.973</v>
      </c>
      <c r="AW53" s="207"/>
      <c r="AX53" s="207"/>
      <c r="AY53" s="291"/>
      <c r="AZ53" s="330" t="n">
        <f aca="false">AZ13+AZ47</f>
        <v>1884.43077761471</v>
      </c>
    </row>
    <row r="54" customFormat="false" ht="12.95" hidden="false" customHeight="true" outlineLevel="0" collapsed="false">
      <c r="A54" s="181" t="s">
        <v>109</v>
      </c>
      <c r="B54" s="205"/>
      <c r="C54" s="107"/>
      <c r="D54" s="107" t="n">
        <f aca="false">D13+D48</f>
        <v>72521</v>
      </c>
      <c r="E54" s="107" t="n">
        <f aca="false">E45</f>
        <v>197912</v>
      </c>
      <c r="F54" s="206" t="n">
        <f aca="false">F53*$D$2</f>
        <v>72521</v>
      </c>
      <c r="G54" s="107" t="n">
        <f aca="false">G53*$D$2</f>
        <v>242845.8555</v>
      </c>
      <c r="H54" s="207" t="n">
        <f aca="false">H53*$D$2</f>
        <v>10190.608115</v>
      </c>
      <c r="I54" s="107" t="n">
        <f aca="false">I53*$D$2</f>
        <v>253036.463615</v>
      </c>
      <c r="J54" s="107" t="n">
        <f aca="false">J53*$D$2</f>
        <v>47385.45669</v>
      </c>
      <c r="K54" s="107" t="n">
        <f aca="false">K53*$D$2</f>
        <v>300421.920305</v>
      </c>
      <c r="L54" s="107" t="n">
        <f aca="false">L53*$D$2</f>
        <v>43630.8417025752</v>
      </c>
      <c r="M54" s="208" t="n">
        <f aca="false">M53*$D$2</f>
        <v>58847.291235</v>
      </c>
      <c r="N54" s="107" t="n">
        <f aca="false">N53*$D$2</f>
        <v>228.0481858195</v>
      </c>
      <c r="O54" s="107" t="n">
        <f aca="false">O53*$D$2</f>
        <v>16863.73187625</v>
      </c>
      <c r="P54" s="155"/>
      <c r="Q54" s="207" t="n">
        <f aca="false">Q53*$D$2</f>
        <v>1093.67723898346</v>
      </c>
      <c r="R54" s="207" t="n">
        <f aca="false">R53*$D$2</f>
        <v>1396.35099847299</v>
      </c>
      <c r="S54" s="218" t="n">
        <f aca="false">S53*$D$2</f>
        <v>337.025290240381</v>
      </c>
      <c r="T54" s="218" t="n">
        <f aca="false">T53*$D$2</f>
        <v>692.343047266</v>
      </c>
      <c r="U54" s="422" t="n">
        <f aca="false">U53*$D$2</f>
        <v>-24.2808238835601</v>
      </c>
      <c r="V54" s="107" t="n">
        <f aca="false">V53*$D$2</f>
        <v>39288.3746</v>
      </c>
      <c r="W54" s="107" t="n">
        <f aca="false">W53*$D$2</f>
        <v>13815.59321</v>
      </c>
      <c r="X54" s="107" t="n">
        <f aca="false">X53*$D$2</f>
        <v>95203.8965796012</v>
      </c>
      <c r="Y54" s="107" t="n">
        <f aca="false">Y53*$D$2</f>
        <v>93310.8853772132</v>
      </c>
      <c r="Z54" s="107"/>
      <c r="AA54" s="107"/>
      <c r="AB54" s="107"/>
      <c r="AC54" s="107"/>
      <c r="AD54" s="207"/>
      <c r="AE54" s="107"/>
      <c r="AF54" s="107" t="n">
        <f aca="false">AF53*$D$2</f>
        <v>104.53045</v>
      </c>
      <c r="AG54" s="107" t="n">
        <f aca="false">AG53*$D$2</f>
        <v>79.93505</v>
      </c>
      <c r="AH54" s="107" t="n">
        <f aca="false">AH53*$D$2</f>
        <v>78370.0685</v>
      </c>
      <c r="AI54" s="107" t="n">
        <f aca="false">AI53*$D$2</f>
        <v>20638.829</v>
      </c>
      <c r="AJ54" s="107" t="n">
        <f aca="false">AJ53*$D$2</f>
        <v>56890.747</v>
      </c>
      <c r="AK54" s="107" t="n">
        <f aca="false">AK53*$D$2</f>
        <v>224146.305317575</v>
      </c>
      <c r="AL54" s="107" t="n">
        <f aca="false">AL53*$D$2</f>
        <v>3754.61498742475</v>
      </c>
      <c r="AM54" s="107" t="n">
        <f aca="false">AM53*$D$2</f>
        <v>227900.920305</v>
      </c>
      <c r="AN54" s="94" t="n">
        <f aca="false">AN13+AN48</f>
        <v>13403.62026</v>
      </c>
      <c r="AO54" s="107" t="n">
        <f aca="false">AO53*$D$2</f>
        <v>1893.01120238804</v>
      </c>
      <c r="AP54" s="136"/>
      <c r="AQ54" s="483" t="n">
        <f aca="false">AQ13+AQ48</f>
        <v>670.816457396524</v>
      </c>
      <c r="AR54" s="155"/>
      <c r="AS54" s="155"/>
      <c r="AT54" s="155"/>
      <c r="AV54" s="312"/>
      <c r="AW54" s="207"/>
      <c r="AX54" s="207"/>
      <c r="AY54" s="291"/>
      <c r="AZ54" s="330" t="n">
        <f aca="false">AZ53*$D$2</f>
        <v>3737.76844739877</v>
      </c>
    </row>
    <row r="55" customFormat="false" ht="3" hidden="false" customHeight="true" outlineLevel="0" collapsed="false">
      <c r="A55" s="223"/>
      <c r="B55" s="484"/>
      <c r="C55" s="485"/>
      <c r="D55" s="223"/>
      <c r="E55" s="485"/>
      <c r="F55" s="486"/>
      <c r="G55" s="223"/>
      <c r="H55" s="487"/>
      <c r="I55" s="223"/>
      <c r="J55" s="223"/>
      <c r="K55" s="223"/>
      <c r="L55" s="223"/>
      <c r="M55" s="488"/>
      <c r="N55" s="223"/>
      <c r="O55" s="223"/>
      <c r="P55" s="489"/>
      <c r="Q55" s="223"/>
      <c r="R55" s="223"/>
      <c r="S55" s="223"/>
      <c r="T55" s="223"/>
      <c r="U55" s="490"/>
      <c r="V55" s="223"/>
      <c r="W55" s="223"/>
      <c r="X55" s="223"/>
      <c r="Y55" s="223"/>
      <c r="Z55" s="485"/>
      <c r="AA55" s="223"/>
      <c r="AB55" s="485"/>
      <c r="AC55" s="485"/>
      <c r="AD55" s="491"/>
      <c r="AE55" s="223"/>
      <c r="AF55" s="229"/>
      <c r="AG55" s="233"/>
      <c r="AH55" s="223"/>
      <c r="AI55" s="485"/>
      <c r="AJ55" s="485"/>
      <c r="AK55" s="223"/>
      <c r="AL55" s="223"/>
      <c r="AM55" s="223"/>
      <c r="AN55" s="244"/>
      <c r="AO55" s="226"/>
      <c r="AP55" s="232"/>
      <c r="AQ55" s="232"/>
      <c r="AR55" s="232"/>
      <c r="AS55" s="230"/>
      <c r="AT55" s="230"/>
      <c r="AU55" s="232"/>
      <c r="AV55" s="484"/>
      <c r="AW55" s="223"/>
      <c r="AX55" s="223"/>
      <c r="AY55" s="249"/>
      <c r="AZ55" s="309"/>
    </row>
    <row r="56" customFormat="false" ht="11.1" hidden="false" customHeight="true" outlineLevel="0" collapsed="false">
      <c r="A56" s="181"/>
      <c r="B56" s="169"/>
      <c r="C56" s="2"/>
      <c r="D56" s="11"/>
      <c r="E56" s="460"/>
      <c r="F56" s="1"/>
      <c r="G56" s="1"/>
      <c r="H56" s="4"/>
      <c r="I56" s="11"/>
      <c r="J56" s="11"/>
      <c r="K56" s="461"/>
      <c r="L56" s="173"/>
      <c r="M56" s="11"/>
      <c r="N56" s="11"/>
      <c r="O56" s="11"/>
      <c r="P56" s="5"/>
      <c r="Q56" s="11"/>
      <c r="R56" s="11"/>
      <c r="S56" s="11"/>
      <c r="T56" s="11"/>
      <c r="U56" s="5"/>
      <c r="V56" s="11"/>
      <c r="W56" s="11"/>
      <c r="X56" s="11"/>
      <c r="Y56" s="11"/>
      <c r="Z56" s="1"/>
      <c r="AA56" s="11"/>
      <c r="AB56" s="1"/>
      <c r="AC56" s="1"/>
      <c r="AD56" s="9"/>
      <c r="AE56" s="11"/>
      <c r="AF56" s="11"/>
      <c r="AG56" s="11"/>
      <c r="AH56" s="11"/>
      <c r="AI56" s="460"/>
      <c r="AJ56" s="463"/>
      <c r="AK56" s="460"/>
      <c r="AL56" s="181"/>
      <c r="AM56" s="181"/>
      <c r="AN56" s="179"/>
      <c r="AO56" s="179"/>
      <c r="AP56" s="316"/>
      <c r="AV56" s="8"/>
      <c r="AX56" s="178"/>
    </row>
    <row r="57" customFormat="false" ht="11.1" hidden="false" customHeight="true" outlineLevel="0" collapsed="false">
      <c r="A57" s="181"/>
      <c r="B57" s="169"/>
      <c r="C57" s="2"/>
      <c r="D57" s="1"/>
      <c r="E57" s="379"/>
      <c r="F57" s="184"/>
      <c r="G57" s="1"/>
      <c r="H57" s="4"/>
      <c r="I57" s="12"/>
      <c r="J57" s="11"/>
      <c r="K57" s="170"/>
      <c r="L57" s="175"/>
      <c r="M57" s="11"/>
      <c r="N57" s="11"/>
      <c r="O57" s="11"/>
      <c r="P57" s="5"/>
      <c r="Q57" s="11"/>
      <c r="R57" s="11"/>
      <c r="S57" s="130"/>
      <c r="T57" s="130"/>
      <c r="U57" s="93"/>
      <c r="V57" s="26"/>
      <c r="W57" s="130"/>
      <c r="X57" s="464"/>
      <c r="Y57" s="464"/>
      <c r="Z57" s="173"/>
      <c r="AA57" s="464"/>
      <c r="AB57" s="173"/>
      <c r="AC57" s="173"/>
      <c r="AE57" s="26"/>
      <c r="AF57" s="26"/>
      <c r="AG57" s="26"/>
      <c r="AH57" s="130"/>
      <c r="AI57" s="90"/>
      <c r="AJ57" s="380"/>
      <c r="AK57" s="2"/>
      <c r="AL57" s="181"/>
      <c r="AN57" s="184"/>
      <c r="AO57" s="184"/>
      <c r="AP57" s="316"/>
    </row>
    <row r="58" customFormat="false" ht="11.1" hidden="false" customHeight="true" outlineLevel="0" collapsed="false">
      <c r="B58" s="173"/>
      <c r="E58" s="379"/>
      <c r="F58" s="217"/>
      <c r="G58" s="1"/>
      <c r="H58" s="4"/>
      <c r="I58" s="1"/>
      <c r="J58" s="1"/>
      <c r="K58" s="380"/>
      <c r="L58" s="438"/>
      <c r="M58" s="465"/>
      <c r="N58" s="465"/>
      <c r="O58" s="379"/>
      <c r="P58" s="467"/>
      <c r="Q58" s="379"/>
      <c r="R58" s="379"/>
      <c r="S58" s="26"/>
      <c r="T58" s="26"/>
      <c r="U58" s="93"/>
      <c r="V58" s="26"/>
      <c r="W58" s="130"/>
      <c r="X58" s="90"/>
      <c r="Y58" s="90"/>
      <c r="Z58" s="173"/>
      <c r="AA58" s="90"/>
      <c r="AB58" s="173"/>
      <c r="AC58" s="173"/>
      <c r="AE58" s="173"/>
      <c r="AF58" s="173"/>
      <c r="AG58" s="173"/>
      <c r="AH58" s="90"/>
      <c r="AI58" s="26"/>
      <c r="AJ58" s="468"/>
      <c r="AK58" s="26"/>
      <c r="AN58" s="176"/>
      <c r="AO58" s="176"/>
      <c r="AP58" s="316"/>
    </row>
    <row r="59" customFormat="false" ht="11.1" hidden="false" customHeight="true" outlineLevel="0" collapsed="false">
      <c r="G59" s="262"/>
      <c r="AN59" s="176"/>
      <c r="AO59" s="176"/>
      <c r="AP59" s="316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S15" activePane="bottomRight" state="frozen"/>
      <selection pane="topLeft" activeCell="A1" activeCellId="0" sqref="A1"/>
      <selection pane="topRight" activeCell="S1" activeCellId="0" sqref="S1"/>
      <selection pane="bottomLeft" activeCell="A15" activeCellId="0" sqref="A15"/>
      <selection pane="bottomRight" activeCell="AE1" activeCellId="0" sqref="AE1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182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20" min="17" style="172" width="4.32"/>
    <col collapsed="false" customWidth="true" hidden="false" outlineLevel="0" max="21" min="21" style="8" width="5.16"/>
    <col collapsed="false" customWidth="true" hidden="false" outlineLevel="0" max="22" min="22" style="172" width="5.49"/>
    <col collapsed="false" customWidth="true" hidden="false" outlineLevel="0" max="23" min="23" style="173" width="5.49"/>
    <col collapsed="false" customWidth="true" hidden="false" outlineLevel="0" max="25" min="24" style="172" width="6.32"/>
    <col collapsed="false" customWidth="true" hidden="false" outlineLevel="0" max="26" min="26" style="172" width="5.49"/>
    <col collapsed="false" customWidth="true" hidden="false" outlineLevel="0" max="27" min="27" style="172" width="6.32"/>
    <col collapsed="false" customWidth="true" hidden="false" outlineLevel="0" max="28" min="28" style="172" width="5.49"/>
    <col collapsed="false" customWidth="true" hidden="false" outlineLevel="0" max="29" min="29" style="173" width="5.82"/>
    <col collapsed="false" customWidth="true" hidden="false" outlineLevel="0" max="30" min="30" style="173" width="5.49"/>
    <col collapsed="false" customWidth="true" hidden="false" outlineLevel="0" max="33" min="31" style="172" width="5.49"/>
    <col collapsed="false" customWidth="true" hidden="false" outlineLevel="0" max="34" min="34" style="172" width="6.32"/>
    <col collapsed="false" customWidth="true" hidden="false" outlineLevel="0" max="35" min="35" style="172" width="5.49"/>
    <col collapsed="false" customWidth="true" hidden="false" outlineLevel="0" max="36" min="36" style="176" width="6.32"/>
    <col collapsed="false" customWidth="true" hidden="false" outlineLevel="0" max="37" min="37" style="8" width="6.32"/>
    <col collapsed="false" customWidth="true" hidden="false" outlineLevel="0" max="38" min="38" style="174" width="6.82"/>
    <col collapsed="false" customWidth="true" hidden="false" outlineLevel="0" max="39" min="39" style="178" width="6.82"/>
    <col collapsed="false" customWidth="true" hidden="false" outlineLevel="0" max="41" min="40" style="381" width="5.49"/>
    <col collapsed="false" customWidth="true" hidden="false" outlineLevel="0" max="42" min="42" style="409" width="6.32"/>
    <col collapsed="false" customWidth="true" hidden="false" outlineLevel="0" max="43" min="43" style="176" width="6.32"/>
    <col collapsed="false" customWidth="true" hidden="false" outlineLevel="0" max="44" min="44" style="176" width="5.49"/>
    <col collapsed="false" customWidth="true" hidden="false" outlineLevel="0" max="45" min="45" style="176" width="5.32"/>
    <col collapsed="false" customWidth="true" hidden="false" outlineLevel="0" max="46" min="46" style="316" width="5.82"/>
    <col collapsed="false" customWidth="true" hidden="false" outlineLevel="0" max="47" min="47" style="316" width="4.99"/>
    <col collapsed="false" customWidth="true" hidden="false" outlineLevel="0" max="48" min="48" style="179" width="5.32"/>
    <col collapsed="false" customWidth="true" hidden="false" outlineLevel="0" max="50" min="49" style="172" width="3.82"/>
    <col collapsed="false" customWidth="true" hidden="false" outlineLevel="0" max="51" min="51" style="180" width="3.82"/>
    <col collapsed="false" customWidth="true" hidden="false" outlineLevel="0" max="52" min="52" style="180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81"/>
      <c r="B1" s="181"/>
      <c r="D1" s="181"/>
      <c r="F1" s="181"/>
      <c r="G1" s="181"/>
      <c r="I1" s="181"/>
      <c r="J1" s="181"/>
      <c r="K1" s="183" t="s">
        <v>0</v>
      </c>
      <c r="L1" s="181"/>
      <c r="M1" s="181"/>
      <c r="N1" s="181"/>
      <c r="O1" s="181"/>
      <c r="Q1" s="8"/>
      <c r="R1" s="8"/>
      <c r="S1" s="8"/>
      <c r="T1" s="8"/>
      <c r="V1" s="181"/>
      <c r="W1" s="181"/>
      <c r="X1" s="173"/>
      <c r="Y1" s="173"/>
      <c r="Z1" s="181"/>
      <c r="AA1" s="173"/>
      <c r="AB1" s="181"/>
      <c r="AC1" s="181"/>
      <c r="AE1" s="181"/>
      <c r="AF1" s="181"/>
      <c r="AG1" s="181"/>
      <c r="AH1" s="173"/>
      <c r="AI1" s="181"/>
      <c r="AJ1" s="184"/>
      <c r="AK1" s="181"/>
      <c r="AL1" s="181"/>
      <c r="AM1" s="8"/>
      <c r="AN1" s="184"/>
      <c r="AO1" s="184"/>
      <c r="AQ1" s="381"/>
      <c r="AR1" s="381"/>
      <c r="AS1" s="405"/>
      <c r="AV1" s="174"/>
      <c r="AW1" s="178"/>
      <c r="AX1" s="179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I2" s="181"/>
      <c r="J2" s="181"/>
      <c r="K2" s="186" t="s">
        <v>136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317" t="s">
        <v>114</v>
      </c>
      <c r="AA2" s="317"/>
      <c r="AB2" s="317"/>
      <c r="AC2" s="317"/>
      <c r="AD2" s="317"/>
      <c r="AE2" s="181"/>
      <c r="AF2" s="181"/>
      <c r="AG2" s="181"/>
      <c r="AH2" s="173"/>
      <c r="AI2" s="181"/>
      <c r="AJ2" s="184"/>
      <c r="AK2" s="181"/>
      <c r="AL2" s="181"/>
      <c r="AM2" s="8"/>
      <c r="AN2" s="184"/>
      <c r="AO2" s="184"/>
      <c r="AQ2" s="381"/>
      <c r="AR2" s="381"/>
      <c r="AS2" s="405"/>
      <c r="AV2" s="174"/>
      <c r="AW2" s="178"/>
      <c r="AX2" s="179"/>
    </row>
    <row r="3" customFormat="false" ht="14.1" hidden="false" customHeight="true" outlineLevel="0" collapsed="false">
      <c r="A3" s="187"/>
      <c r="B3" s="187"/>
      <c r="C3" s="188"/>
      <c r="D3" s="189"/>
      <c r="E3" s="188"/>
      <c r="F3" s="187"/>
      <c r="G3" s="187"/>
      <c r="H3" s="190"/>
      <c r="I3" s="187"/>
      <c r="J3" s="187"/>
      <c r="K3" s="187"/>
      <c r="L3" s="187"/>
      <c r="M3" s="187"/>
      <c r="N3" s="187"/>
      <c r="O3" s="188"/>
      <c r="P3" s="191"/>
      <c r="Q3" s="191"/>
      <c r="R3" s="191"/>
      <c r="S3" s="191"/>
      <c r="T3" s="191"/>
      <c r="U3" s="191"/>
      <c r="V3" s="187"/>
      <c r="W3" s="187"/>
      <c r="X3" s="188"/>
      <c r="Y3" s="188"/>
      <c r="Z3" s="187"/>
      <c r="AA3" s="188"/>
      <c r="AB3" s="187"/>
      <c r="AC3" s="187"/>
      <c r="AD3" s="188"/>
      <c r="AE3" s="187"/>
      <c r="AF3" s="187"/>
      <c r="AG3" s="187"/>
      <c r="AH3" s="188"/>
      <c r="AI3" s="187"/>
      <c r="AJ3" s="193"/>
      <c r="AK3" s="187"/>
      <c r="AL3" s="187"/>
      <c r="AM3" s="191"/>
      <c r="AN3" s="193"/>
      <c r="AO3" s="193"/>
      <c r="AP3" s="492"/>
      <c r="AQ3" s="493"/>
      <c r="AR3" s="381"/>
      <c r="AS3" s="405"/>
      <c r="AV3" s="196"/>
      <c r="AW3" s="197"/>
      <c r="AX3" s="198"/>
    </row>
    <row r="4" s="172" customFormat="true" ht="14.1" hidden="false" customHeight="true" outlineLevel="0" collapsed="false">
      <c r="A4" s="181"/>
      <c r="B4" s="386"/>
      <c r="C4" s="387"/>
      <c r="D4" s="388" t="s">
        <v>3</v>
      </c>
      <c r="E4" s="387"/>
      <c r="F4" s="494"/>
      <c r="G4" s="181"/>
      <c r="H4" s="182"/>
      <c r="I4" s="336" t="s">
        <v>111</v>
      </c>
      <c r="J4" s="181"/>
      <c r="K4" s="181"/>
      <c r="L4" s="391"/>
      <c r="M4" s="181"/>
      <c r="N4" s="181"/>
      <c r="O4" s="181"/>
      <c r="P4" s="8"/>
      <c r="Q4" s="8"/>
      <c r="R4" s="8"/>
      <c r="S4" s="8"/>
      <c r="T4" s="8"/>
      <c r="U4" s="8"/>
      <c r="V4" s="396"/>
      <c r="W4" s="181"/>
      <c r="X4" s="396" t="s">
        <v>5</v>
      </c>
      <c r="Y4" s="173"/>
      <c r="Z4" s="181"/>
      <c r="AA4" s="173"/>
      <c r="AB4" s="181"/>
      <c r="AC4" s="181"/>
      <c r="AD4" s="173"/>
      <c r="AE4" s="181"/>
      <c r="AF4" s="181"/>
      <c r="AG4" s="181"/>
      <c r="AH4" s="173"/>
      <c r="AI4" s="181"/>
      <c r="AJ4" s="184"/>
      <c r="AK4" s="181"/>
      <c r="AL4" s="181"/>
      <c r="AM4" s="8"/>
      <c r="AN4" s="495"/>
      <c r="AO4" s="184"/>
      <c r="AP4" s="496" t="s">
        <v>6</v>
      </c>
      <c r="AQ4" s="497"/>
      <c r="AR4" s="498"/>
      <c r="AS4" s="499"/>
      <c r="AT4" s="395"/>
      <c r="AU4" s="395"/>
      <c r="AV4" s="398"/>
      <c r="AW4" s="399" t="s">
        <v>7</v>
      </c>
      <c r="AX4" s="400"/>
      <c r="AY4" s="401"/>
      <c r="AZ4" s="402"/>
    </row>
    <row r="5" customFormat="false" ht="12.95" hidden="false" customHeight="true" outlineLevel="0" collapsed="false">
      <c r="A5" s="313" t="s">
        <v>8</v>
      </c>
      <c r="B5" s="403" t="s">
        <v>9</v>
      </c>
      <c r="C5" s="404" t="s">
        <v>9</v>
      </c>
      <c r="D5" s="313" t="s">
        <v>10</v>
      </c>
      <c r="E5" s="404" t="s">
        <v>11</v>
      </c>
      <c r="F5" s="313" t="s">
        <v>12</v>
      </c>
      <c r="G5" s="403" t="s">
        <v>13</v>
      </c>
      <c r="H5" s="405" t="s">
        <v>14</v>
      </c>
      <c r="I5" s="313" t="s">
        <v>15</v>
      </c>
      <c r="J5" s="313" t="s">
        <v>16</v>
      </c>
      <c r="K5" s="313" t="s">
        <v>17</v>
      </c>
      <c r="L5" s="415" t="s">
        <v>16</v>
      </c>
      <c r="M5" s="445" t="s">
        <v>18</v>
      </c>
      <c r="N5" s="445"/>
      <c r="O5" s="445"/>
      <c r="P5" s="445"/>
      <c r="Q5" s="445"/>
      <c r="R5" s="445"/>
      <c r="S5" s="445"/>
      <c r="T5" s="445"/>
      <c r="U5" s="445"/>
      <c r="V5" s="313" t="s">
        <v>19</v>
      </c>
      <c r="W5" s="31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4" t="s">
        <v>22</v>
      </c>
      <c r="AD5" s="404" t="s">
        <v>21</v>
      </c>
      <c r="AE5" s="313" t="s">
        <v>23</v>
      </c>
      <c r="AF5" s="407" t="s">
        <v>127</v>
      </c>
      <c r="AG5" s="408"/>
      <c r="AH5" s="409" t="s">
        <v>25</v>
      </c>
      <c r="AI5" s="404" t="s">
        <v>128</v>
      </c>
      <c r="AJ5" s="404" t="s">
        <v>27</v>
      </c>
      <c r="AK5" s="313" t="s">
        <v>15</v>
      </c>
      <c r="AL5" s="313" t="s">
        <v>16</v>
      </c>
      <c r="AM5" s="313" t="s">
        <v>17</v>
      </c>
      <c r="AN5" s="44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5" t="s">
        <v>32</v>
      </c>
      <c r="AU5" s="202" t="s">
        <v>33</v>
      </c>
      <c r="AV5" s="410" t="s">
        <v>34</v>
      </c>
      <c r="AW5" s="409" t="s">
        <v>35</v>
      </c>
      <c r="AX5" s="409" t="s">
        <v>36</v>
      </c>
      <c r="AY5" s="291"/>
      <c r="AZ5" s="287" t="s">
        <v>17</v>
      </c>
    </row>
    <row r="6" customFormat="false" ht="12.95" hidden="false" customHeight="true" outlineLevel="0" collapsed="false">
      <c r="A6" s="411" t="s">
        <v>137</v>
      </c>
      <c r="B6" s="403" t="s">
        <v>38</v>
      </c>
      <c r="C6" s="404"/>
      <c r="D6" s="313" t="s">
        <v>39</v>
      </c>
      <c r="E6" s="404" t="s">
        <v>40</v>
      </c>
      <c r="F6" s="313" t="s">
        <v>41</v>
      </c>
      <c r="G6" s="403" t="s">
        <v>42</v>
      </c>
      <c r="H6" s="405" t="s">
        <v>43</v>
      </c>
      <c r="I6" s="313" t="s">
        <v>44</v>
      </c>
      <c r="J6" s="313" t="s">
        <v>44</v>
      </c>
      <c r="K6" s="313" t="s">
        <v>44</v>
      </c>
      <c r="L6" s="415" t="s">
        <v>45</v>
      </c>
      <c r="M6" s="313" t="s">
        <v>46</v>
      </c>
      <c r="N6" s="69" t="s">
        <v>47</v>
      </c>
      <c r="O6" s="31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3" t="s">
        <v>52</v>
      </c>
      <c r="V6" s="313" t="s">
        <v>53</v>
      </c>
      <c r="W6" s="31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4" t="s">
        <v>57</v>
      </c>
      <c r="AD6" s="404" t="s">
        <v>58</v>
      </c>
      <c r="AE6" s="415" t="s">
        <v>59</v>
      </c>
      <c r="AF6" s="58" t="s">
        <v>60</v>
      </c>
      <c r="AG6" s="58" t="s">
        <v>61</v>
      </c>
      <c r="AH6" s="500" t="s">
        <v>62</v>
      </c>
      <c r="AI6" s="404" t="s">
        <v>63</v>
      </c>
      <c r="AJ6" s="404"/>
      <c r="AK6" s="313" t="s">
        <v>64</v>
      </c>
      <c r="AL6" s="313" t="s">
        <v>64</v>
      </c>
      <c r="AM6" s="313" t="s">
        <v>64</v>
      </c>
      <c r="AN6" s="44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5" t="s">
        <v>70</v>
      </c>
      <c r="AU6" s="202" t="s">
        <v>71</v>
      </c>
      <c r="AV6" s="414"/>
      <c r="AW6" s="409" t="s">
        <v>72</v>
      </c>
      <c r="AX6" s="409" t="s">
        <v>72</v>
      </c>
      <c r="AY6" s="291"/>
      <c r="AZ6" s="287" t="s">
        <v>73</v>
      </c>
    </row>
    <row r="7" customFormat="false" ht="12.95" hidden="false" customHeight="true" outlineLevel="0" collapsed="false">
      <c r="A7" s="313"/>
      <c r="B7" s="403"/>
      <c r="C7" s="404"/>
      <c r="D7" s="313"/>
      <c r="E7" s="404"/>
      <c r="F7" s="313"/>
      <c r="G7" s="403"/>
      <c r="H7" s="405"/>
      <c r="I7" s="313"/>
      <c r="J7" s="313"/>
      <c r="K7" s="313"/>
      <c r="L7" s="415"/>
      <c r="M7" s="313"/>
      <c r="N7" s="69" t="s">
        <v>74</v>
      </c>
      <c r="O7" s="31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3" t="s">
        <v>77</v>
      </c>
      <c r="V7" s="313"/>
      <c r="W7" s="31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4"/>
      <c r="AD7" s="404"/>
      <c r="AE7" s="415"/>
      <c r="AF7" s="79" t="n">
        <v>1.7</v>
      </c>
      <c r="AG7" s="79" t="n">
        <v>1.3</v>
      </c>
      <c r="AH7" s="500"/>
      <c r="AI7" s="404"/>
      <c r="AJ7" s="404"/>
      <c r="AK7" s="313"/>
      <c r="AL7" s="313"/>
      <c r="AM7" s="313"/>
      <c r="AN7" s="44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5" t="s">
        <v>87</v>
      </c>
      <c r="AU7" s="202" t="s">
        <v>88</v>
      </c>
      <c r="AV7" s="414"/>
      <c r="AW7" s="409"/>
      <c r="AX7" s="409"/>
      <c r="AY7" s="291"/>
      <c r="AZ7" s="287" t="s">
        <v>97</v>
      </c>
    </row>
    <row r="8" customFormat="false" ht="12.95" hidden="false" customHeight="true" outlineLevel="0" collapsed="false">
      <c r="A8" s="313"/>
      <c r="B8" s="403"/>
      <c r="C8" s="404"/>
      <c r="D8" s="313"/>
      <c r="E8" s="404"/>
      <c r="F8" s="313"/>
      <c r="G8" s="403"/>
      <c r="H8" s="405"/>
      <c r="I8" s="313"/>
      <c r="J8" s="313"/>
      <c r="K8" s="313"/>
      <c r="L8" s="415"/>
      <c r="M8" s="313"/>
      <c r="N8" s="69"/>
      <c r="O8" s="404" t="n">
        <v>24517</v>
      </c>
      <c r="P8" s="69"/>
      <c r="Q8" s="58" t="s">
        <v>61</v>
      </c>
      <c r="R8" s="58" t="s">
        <v>61</v>
      </c>
      <c r="S8" s="58"/>
      <c r="T8" s="58"/>
      <c r="U8" s="413"/>
      <c r="V8" s="313"/>
      <c r="W8" s="31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4"/>
      <c r="AD8" s="404"/>
      <c r="AE8" s="415"/>
      <c r="AF8" s="317"/>
      <c r="AG8" s="317"/>
      <c r="AH8" s="500"/>
      <c r="AI8" s="404"/>
      <c r="AJ8" s="404"/>
      <c r="AK8" s="313"/>
      <c r="AL8" s="313"/>
      <c r="AM8" s="313"/>
      <c r="AN8" s="446"/>
      <c r="AO8" s="61"/>
      <c r="AP8" s="67"/>
      <c r="AQ8" s="67"/>
      <c r="AR8" s="62"/>
      <c r="AS8" s="68"/>
      <c r="AT8" s="405"/>
      <c r="AU8" s="202"/>
      <c r="AV8" s="414"/>
      <c r="AW8" s="409"/>
      <c r="AX8" s="409"/>
      <c r="AY8" s="291"/>
      <c r="AZ8" s="287"/>
    </row>
    <row r="9" customFormat="false" ht="12.95" hidden="false" customHeight="true" outlineLevel="0" collapsed="false">
      <c r="A9" s="313"/>
      <c r="B9" s="403"/>
      <c r="C9" s="404"/>
      <c r="D9" s="313"/>
      <c r="E9" s="404"/>
      <c r="F9" s="313"/>
      <c r="G9" s="403"/>
      <c r="H9" s="405"/>
      <c r="I9" s="313"/>
      <c r="J9" s="313"/>
      <c r="K9" s="313"/>
      <c r="L9" s="415"/>
      <c r="M9" s="313"/>
      <c r="N9" s="69"/>
      <c r="O9" s="404"/>
      <c r="P9" s="69"/>
      <c r="Q9" s="58"/>
      <c r="R9" s="81" t="n">
        <v>4.2</v>
      </c>
      <c r="S9" s="58"/>
      <c r="T9" s="58"/>
      <c r="U9" s="413"/>
      <c r="V9" s="313"/>
      <c r="W9" s="313"/>
      <c r="X9" s="65"/>
      <c r="Y9" s="57" t="s">
        <v>90</v>
      </c>
      <c r="Z9" s="61"/>
      <c r="AA9" s="57" t="s">
        <v>90</v>
      </c>
      <c r="AB9" s="61" t="s">
        <v>93</v>
      </c>
      <c r="AC9" s="404"/>
      <c r="AD9" s="404"/>
      <c r="AE9" s="415"/>
      <c r="AF9" s="317"/>
      <c r="AG9" s="317"/>
      <c r="AH9" s="500"/>
      <c r="AI9" s="404"/>
      <c r="AJ9" s="404"/>
      <c r="AK9" s="313"/>
      <c r="AL9" s="313"/>
      <c r="AM9" s="313"/>
      <c r="AN9" s="446"/>
      <c r="AO9" s="61"/>
      <c r="AP9" s="67"/>
      <c r="AQ9" s="67"/>
      <c r="AR9" s="62"/>
      <c r="AS9" s="68"/>
      <c r="AT9" s="405"/>
      <c r="AU9" s="202"/>
      <c r="AV9" s="414"/>
      <c r="AW9" s="409"/>
      <c r="AX9" s="409"/>
      <c r="AY9" s="291"/>
      <c r="AZ9" s="287"/>
    </row>
    <row r="10" customFormat="false" ht="12.95" hidden="false" customHeight="true" outlineLevel="0" collapsed="false">
      <c r="A10" s="313"/>
      <c r="B10" s="403"/>
      <c r="C10" s="404" t="s">
        <v>10</v>
      </c>
      <c r="D10" s="313"/>
      <c r="E10" s="404" t="s">
        <v>95</v>
      </c>
      <c r="F10" s="313"/>
      <c r="G10" s="403" t="s">
        <v>41</v>
      </c>
      <c r="H10" s="405" t="s">
        <v>41</v>
      </c>
      <c r="I10" s="405" t="s">
        <v>41</v>
      </c>
      <c r="J10" s="405" t="s">
        <v>41</v>
      </c>
      <c r="K10" s="405" t="s">
        <v>41</v>
      </c>
      <c r="L10" s="418" t="s">
        <v>41</v>
      </c>
      <c r="M10" s="405" t="s">
        <v>41</v>
      </c>
      <c r="N10" s="405" t="s">
        <v>41</v>
      </c>
      <c r="O10" s="405" t="s">
        <v>41</v>
      </c>
      <c r="P10" s="405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18" t="s">
        <v>41</v>
      </c>
      <c r="V10" s="405" t="s">
        <v>41</v>
      </c>
      <c r="W10" s="405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5" t="s">
        <v>41</v>
      </c>
      <c r="AD10" s="404" t="s">
        <v>41</v>
      </c>
      <c r="AE10" s="405" t="s">
        <v>41</v>
      </c>
      <c r="AF10" s="419" t="s">
        <v>41</v>
      </c>
      <c r="AG10" s="418" t="s">
        <v>41</v>
      </c>
      <c r="AH10" s="405" t="s">
        <v>41</v>
      </c>
      <c r="AI10" s="405" t="s">
        <v>41</v>
      </c>
      <c r="AJ10" s="405" t="s">
        <v>41</v>
      </c>
      <c r="AK10" s="405" t="s">
        <v>41</v>
      </c>
      <c r="AL10" s="405" t="s">
        <v>41</v>
      </c>
      <c r="AM10" s="405" t="s">
        <v>41</v>
      </c>
      <c r="AN10" s="446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2" t="s">
        <v>41</v>
      </c>
      <c r="AU10" s="61" t="s">
        <v>41</v>
      </c>
      <c r="AV10" s="414"/>
      <c r="AW10" s="409"/>
      <c r="AX10" s="409"/>
      <c r="AY10" s="291"/>
      <c r="AZ10" s="287" t="s">
        <v>41</v>
      </c>
    </row>
    <row r="11" customFormat="false" ht="12.95" hidden="false" customHeight="true" outlineLevel="0" collapsed="false">
      <c r="A11" s="313"/>
      <c r="B11" s="403"/>
      <c r="C11" s="404"/>
      <c r="D11" s="313"/>
      <c r="E11" s="404"/>
      <c r="F11" s="313"/>
      <c r="G11" s="403"/>
      <c r="H11" s="405"/>
      <c r="I11" s="313"/>
      <c r="J11" s="313"/>
      <c r="K11" s="313"/>
      <c r="L11" s="415"/>
      <c r="M11" s="313"/>
      <c r="N11" s="69" t="n">
        <v>1.03</v>
      </c>
      <c r="O11" s="420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3"/>
      <c r="V11" s="313"/>
      <c r="W11" s="31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4"/>
      <c r="AD11" s="404"/>
      <c r="AE11" s="313"/>
      <c r="AF11" s="416"/>
      <c r="AG11" s="417"/>
      <c r="AH11" s="409"/>
      <c r="AI11" s="404"/>
      <c r="AJ11" s="404"/>
      <c r="AK11" s="313"/>
      <c r="AL11" s="313"/>
      <c r="AM11" s="313"/>
      <c r="AN11" s="446"/>
      <c r="AO11" s="61"/>
      <c r="AP11" s="67"/>
      <c r="AQ11" s="67"/>
      <c r="AR11" s="62"/>
      <c r="AS11" s="87"/>
      <c r="AU11" s="176"/>
      <c r="AV11" s="414"/>
      <c r="AW11" s="409"/>
      <c r="AX11" s="409"/>
      <c r="AY11" s="291"/>
      <c r="AZ11" s="323"/>
    </row>
    <row r="12" customFormat="false" ht="12.95" hidden="false" customHeight="true" outlineLevel="0" collapsed="false">
      <c r="A12" s="184" t="s">
        <v>99</v>
      </c>
      <c r="B12" s="501"/>
      <c r="D12" s="173"/>
      <c r="F12" s="268" t="n">
        <f aca="false">JUL!F50</f>
        <v>34960.423493824</v>
      </c>
      <c r="G12" s="173" t="n">
        <f aca="false">JUL!G50</f>
        <v>111198</v>
      </c>
      <c r="H12" s="173" t="n">
        <f aca="false">JUL!H50</f>
        <v>4577.11</v>
      </c>
      <c r="I12" s="173" t="n">
        <f aca="false">JUL!I50</f>
        <v>115775.11</v>
      </c>
      <c r="J12" s="173" t="n">
        <f aca="false">JUL!J50</f>
        <v>20791.3089059743</v>
      </c>
      <c r="K12" s="173" t="n">
        <f aca="false">JUL!K50</f>
        <v>136566.418905974</v>
      </c>
      <c r="L12" s="502" t="n">
        <f aca="false">JUL!L50</f>
        <v>19917.371095324</v>
      </c>
      <c r="M12" s="173" t="n">
        <f aca="false">JUL!M50</f>
        <v>28745.3</v>
      </c>
      <c r="N12" s="173" t="n">
        <f aca="false">JUL!N50</f>
        <v>114.972617</v>
      </c>
      <c r="O12" s="173" t="n">
        <f aca="false">JUL!O50</f>
        <v>8502.0075</v>
      </c>
      <c r="P12" s="261" t="n">
        <f aca="false">JUL!P50</f>
        <v>7.363</v>
      </c>
      <c r="Q12" s="8"/>
      <c r="R12" s="8"/>
      <c r="S12" s="8"/>
      <c r="T12" s="8"/>
      <c r="U12" s="503"/>
      <c r="V12" s="173" t="n">
        <f aca="false">JUL!V50</f>
        <v>13713.6</v>
      </c>
      <c r="W12" s="173" t="n">
        <f aca="false">JUL!W50</f>
        <v>6906.98</v>
      </c>
      <c r="X12" s="173" t="n">
        <f aca="false">JUL!X50</f>
        <v>41613.1153911905</v>
      </c>
      <c r="Y12" s="173" t="n">
        <f aca="false">JUL!Y50</f>
        <v>40860.5353911905</v>
      </c>
      <c r="Z12" s="173" t="n">
        <f aca="false">JUL!Z45</f>
        <v>0</v>
      </c>
      <c r="AA12" s="173"/>
      <c r="AB12" s="173"/>
      <c r="AC12" s="173" t="n">
        <f aca="false">JUL!AC45</f>
        <v>430.911511728536</v>
      </c>
      <c r="AD12" s="173" t="n">
        <f aca="false">JUL!AD45</f>
        <v>6977.56491051172</v>
      </c>
      <c r="AE12" s="173" t="n">
        <f aca="false">JUL!AE50</f>
        <v>17327.14</v>
      </c>
      <c r="AF12" s="504" t="n">
        <f aca="false">JUL!AF50</f>
        <v>207.4</v>
      </c>
      <c r="AG12" s="502" t="n">
        <f aca="false">JUL!AG50</f>
        <v>158.6</v>
      </c>
      <c r="AH12" s="173"/>
      <c r="AI12" s="173"/>
      <c r="AJ12" s="173"/>
      <c r="AK12" s="173" t="n">
        <f aca="false">JUL!AK50</f>
        <v>100732.0576015</v>
      </c>
      <c r="AL12" s="173" t="n">
        <f aca="false">JUL!AL50</f>
        <v>873.93781065024</v>
      </c>
      <c r="AM12" s="173" t="n">
        <f aca="false">JUL!AM50</f>
        <v>101605.99541215</v>
      </c>
      <c r="AN12" s="505"/>
      <c r="AO12" s="179"/>
      <c r="AP12" s="175" t="n">
        <f aca="false">JUL!AP46</f>
        <v>0</v>
      </c>
      <c r="AQ12" s="175" t="n">
        <f aca="false">JUL!AQ51</f>
        <v>670.816457396524</v>
      </c>
      <c r="AR12" s="175" t="n">
        <f aca="false">JUL!AR50</f>
        <v>2547.6295</v>
      </c>
      <c r="AS12" s="136" t="n">
        <f aca="false">JUL!AS50</f>
        <v>161.5</v>
      </c>
      <c r="AT12" s="136" t="n">
        <f aca="false">JUL!AT50</f>
        <v>604.53</v>
      </c>
      <c r="AU12" s="136" t="n">
        <f aca="false">JUL!AU50</f>
        <v>0</v>
      </c>
      <c r="AV12" s="506"/>
      <c r="AW12" s="178"/>
      <c r="AX12" s="178"/>
      <c r="AY12" s="291"/>
      <c r="AZ12" s="323"/>
    </row>
    <row r="13" s="222" customFormat="true" ht="12.95" hidden="false" customHeight="true" outlineLevel="0" collapsed="false">
      <c r="A13" s="217" t="s">
        <v>100</v>
      </c>
      <c r="B13" s="507" t="n">
        <f aca="false">JUL!B45</f>
        <v>6916.8</v>
      </c>
      <c r="C13" s="173" t="n">
        <f aca="false">JUL!C45</f>
        <v>349912</v>
      </c>
      <c r="D13" s="173" t="n">
        <f aca="false">JUL!D54</f>
        <v>72521</v>
      </c>
      <c r="E13" s="173" t="n">
        <f aca="false">JUL!E54</f>
        <v>197912</v>
      </c>
      <c r="F13" s="268" t="n">
        <f aca="false">JUL!F53</f>
        <v>36562.1376354928</v>
      </c>
      <c r="G13" s="173" t="n">
        <f aca="false">JUL!G53</f>
        <v>122433</v>
      </c>
      <c r="H13" s="173" t="n">
        <f aca="false">JUL!H53</f>
        <v>5137.69</v>
      </c>
      <c r="I13" s="173" t="n">
        <f aca="false">JUL!I53</f>
        <v>127570.69</v>
      </c>
      <c r="J13" s="173" t="n">
        <f aca="false">JUL!J53</f>
        <v>23889.8193546761</v>
      </c>
      <c r="K13" s="173" t="n">
        <f aca="false">JUL!K53</f>
        <v>151460.509354676</v>
      </c>
      <c r="L13" s="508" t="n">
        <f aca="false">JUL!L53</f>
        <v>21996.8952369928</v>
      </c>
      <c r="M13" s="173" t="n">
        <f aca="false">JUL!M53</f>
        <v>29668.41</v>
      </c>
      <c r="N13" s="173" t="n">
        <f aca="false">JUL!N53</f>
        <v>114.972617</v>
      </c>
      <c r="O13" s="173" t="n">
        <f aca="false">JUL!O53</f>
        <v>8502.0075</v>
      </c>
      <c r="P13" s="8"/>
      <c r="Q13" s="173" t="n">
        <f aca="false">JUL!Q53</f>
        <v>551.387566918811</v>
      </c>
      <c r="R13" s="173" t="n">
        <f aca="false">JUL!R53</f>
        <v>703.983361972769</v>
      </c>
      <c r="S13" s="173" t="n">
        <f aca="false">JUL!S53</f>
        <v>169.914439243953</v>
      </c>
      <c r="T13" s="173" t="n">
        <f aca="false">JUL!T53</f>
        <v>349.051196</v>
      </c>
      <c r="U13" s="509" t="n">
        <f aca="false">JUL!U53</f>
        <v>-12.2414035208269</v>
      </c>
      <c r="V13" s="173" t="n">
        <f aca="false">JUL!V53</f>
        <v>19807.6</v>
      </c>
      <c r="W13" s="173" t="n">
        <f aca="false">JUL!W53</f>
        <v>6965.26</v>
      </c>
      <c r="X13" s="173" t="n">
        <f aca="false">JUL!X53</f>
        <v>47997.9312223853</v>
      </c>
      <c r="Y13" s="173" t="n">
        <f aca="false">JUL!Y53</f>
        <v>47043.5519925451</v>
      </c>
      <c r="Z13" s="173"/>
      <c r="AA13" s="173"/>
      <c r="AB13" s="173"/>
      <c r="AC13" s="173"/>
      <c r="AD13" s="173"/>
      <c r="AE13" s="173" t="n">
        <f aca="false">JUL!AE51</f>
        <v>34368.38219</v>
      </c>
      <c r="AF13" s="208"/>
      <c r="AG13" s="210"/>
      <c r="AH13" s="173" t="n">
        <f aca="false">JUL!AH53</f>
        <v>39511</v>
      </c>
      <c r="AI13" s="173" t="n">
        <f aca="false">JUL!AI53</f>
        <v>10405.2578774893</v>
      </c>
      <c r="AJ13" s="173" t="n">
        <f aca="false">JUL!AJ53</f>
        <v>28682</v>
      </c>
      <c r="AK13" s="173" t="n">
        <f aca="false">JUL!AK53</f>
        <v>113005.4476015</v>
      </c>
      <c r="AL13" s="173" t="n">
        <f aca="false">JUL!AL53</f>
        <v>1892.92411768326</v>
      </c>
      <c r="AM13" s="173" t="n">
        <f aca="false">JUL!AM53</f>
        <v>114898.371719183</v>
      </c>
      <c r="AN13" s="510" t="n">
        <f aca="false">JUL!AN54</f>
        <v>13403.62026</v>
      </c>
      <c r="AO13" s="178" t="n">
        <f aca="false">JUL!AO53</f>
        <v>954.379229840203</v>
      </c>
      <c r="AP13" s="179"/>
      <c r="AQ13" s="175" t="n">
        <f aca="false">JUL!AQ54</f>
        <v>670.816457396524</v>
      </c>
      <c r="AR13" s="175"/>
      <c r="AS13" s="178"/>
      <c r="AT13" s="175" t="n">
        <f aca="false">JUL!AT52</f>
        <v>0</v>
      </c>
      <c r="AU13" s="175"/>
      <c r="AV13" s="214" t="n">
        <f aca="false">JUL!AV53</f>
        <v>7.973</v>
      </c>
      <c r="AW13" s="178"/>
      <c r="AX13" s="178"/>
      <c r="AY13" s="294"/>
      <c r="AZ13" s="511" t="n">
        <f aca="false">JUL!AZ53</f>
        <v>1884.43077761471</v>
      </c>
    </row>
    <row r="14" customFormat="false" ht="3" hidden="false" customHeight="true" outlineLevel="0" collapsed="false">
      <c r="A14" s="223"/>
      <c r="B14" s="512"/>
      <c r="C14" s="485"/>
      <c r="D14" s="223"/>
      <c r="E14" s="485"/>
      <c r="F14" s="486"/>
      <c r="G14" s="223"/>
      <c r="H14" s="513"/>
      <c r="I14" s="223"/>
      <c r="J14" s="223"/>
      <c r="K14" s="223"/>
      <c r="L14" s="223"/>
      <c r="M14" s="488"/>
      <c r="N14" s="223"/>
      <c r="O14" s="223"/>
      <c r="P14" s="489"/>
      <c r="Q14" s="489"/>
      <c r="R14" s="489"/>
      <c r="S14" s="489"/>
      <c r="T14" s="489"/>
      <c r="U14" s="490"/>
      <c r="V14" s="223"/>
      <c r="W14" s="223"/>
      <c r="X14" s="223"/>
      <c r="Y14" s="223"/>
      <c r="Z14" s="485"/>
      <c r="AA14" s="223"/>
      <c r="AB14" s="485"/>
      <c r="AC14" s="485"/>
      <c r="AD14" s="485"/>
      <c r="AE14" s="223"/>
      <c r="AF14" s="229"/>
      <c r="AG14" s="233"/>
      <c r="AH14" s="223"/>
      <c r="AI14" s="485"/>
      <c r="AJ14" s="485"/>
      <c r="AK14" s="223"/>
      <c r="AL14" s="223"/>
      <c r="AM14" s="223"/>
      <c r="AN14" s="514"/>
      <c r="AO14" s="326"/>
      <c r="AP14" s="326"/>
      <c r="AQ14" s="124"/>
      <c r="AR14" s="124"/>
      <c r="AS14" s="515"/>
      <c r="AT14" s="515"/>
      <c r="AU14" s="515"/>
      <c r="AV14" s="516"/>
      <c r="AW14" s="491"/>
      <c r="AX14" s="491"/>
      <c r="AY14" s="517"/>
      <c r="AZ14" s="518"/>
    </row>
    <row r="15" customFormat="false" ht="12.95" hidden="false" customHeight="true" outlineLevel="0" collapsed="false">
      <c r="A15" s="179" t="n">
        <v>1</v>
      </c>
      <c r="B15" s="507" t="n">
        <v>6916.65</v>
      </c>
      <c r="C15" s="173" t="n">
        <v>349281</v>
      </c>
      <c r="D15" s="178" t="n">
        <f aca="false">C15-C13</f>
        <v>-631</v>
      </c>
      <c r="E15" s="173" t="n">
        <f aca="false">C15-152000</f>
        <v>197281</v>
      </c>
      <c r="F15" s="519" t="n">
        <f aca="false">D15/$D$2</f>
        <v>-318.124527350643</v>
      </c>
      <c r="G15" s="181" t="n">
        <v>304</v>
      </c>
      <c r="H15" s="182" t="n">
        <v>0.18</v>
      </c>
      <c r="I15" s="181" t="n">
        <f aca="false">G15+H15</f>
        <v>304.18</v>
      </c>
      <c r="J15" s="175" t="n">
        <f aca="false">IF(L15&gt;0,L15,0)</f>
        <v>0.695472649357214</v>
      </c>
      <c r="K15" s="181" t="n">
        <f aca="false">I15+J15</f>
        <v>304.875472649357</v>
      </c>
      <c r="L15" s="181" t="n">
        <f aca="false">F15-(I15-AK15)</f>
        <v>0.695472649357214</v>
      </c>
      <c r="M15" s="520" t="n">
        <v>205</v>
      </c>
      <c r="N15" s="155" t="n">
        <f aca="false">(1.8299*1.03)/2</f>
        <v>0.9423985</v>
      </c>
      <c r="O15" s="181" t="n">
        <f aca="false">(31+31)*1.05</f>
        <v>65.1</v>
      </c>
      <c r="P15" s="155" t="n">
        <v>0</v>
      </c>
      <c r="Q15" s="328" t="n">
        <f aca="false">1436900/325851/1.9835*1.02</f>
        <v>2.2676470201274</v>
      </c>
      <c r="R15" s="328" t="n">
        <v>4.2</v>
      </c>
      <c r="S15" s="131" t="n">
        <f aca="false">(((3983723)/325851/1.9835-T15)*1.04)-4.2</f>
        <v>0.752197732047819</v>
      </c>
      <c r="T15" s="131" t="n">
        <f aca="false">1.348*1.04</f>
        <v>1.40192</v>
      </c>
      <c r="U15" s="346" t="n">
        <v>0</v>
      </c>
      <c r="V15" s="181" t="n">
        <v>93</v>
      </c>
      <c r="W15" s="181" t="n">
        <v>81</v>
      </c>
      <c r="X15" s="135" t="n">
        <f aca="false">M15-N15-O15-P15-Q15-R15-S15-T15-U15+V15+W15-AT15+AR15</f>
        <v>304.335836747825</v>
      </c>
      <c r="Y15" s="135" t="n">
        <f aca="false">X15-AO15</f>
        <v>299.335836747825</v>
      </c>
      <c r="Z15" s="107"/>
      <c r="AA15" s="135"/>
      <c r="AB15" s="107"/>
      <c r="AC15" s="107" t="n">
        <f aca="false">AC12+AP15-(JUL!AQ45/1.9835)</f>
        <v>422.461679911827</v>
      </c>
      <c r="AD15" s="173" t="n">
        <f aca="false">AUG!AD12</f>
        <v>6977.56491051172</v>
      </c>
      <c r="AE15" s="181" t="n">
        <v>170</v>
      </c>
      <c r="AF15" s="240" t="n">
        <v>1.7</v>
      </c>
      <c r="AG15" s="241" t="n">
        <v>1.3</v>
      </c>
      <c r="AH15" s="181" t="n">
        <v>74</v>
      </c>
      <c r="AI15" s="173" t="n">
        <f aca="false">AI13-AH15</f>
        <v>10331.2578774893</v>
      </c>
      <c r="AJ15" s="173"/>
      <c r="AK15" s="11" t="n">
        <f aca="false">N15+O15+P15+Q15+R15+S15+T15+U15+X15+AE15+AH15-AR15</f>
        <v>623</v>
      </c>
      <c r="AL15" s="181" t="n">
        <f aca="false">IF(L15&lt;0,L15*-1,0)</f>
        <v>0</v>
      </c>
      <c r="AM15" s="181" t="n">
        <f aca="false">AK15+AL15</f>
        <v>623</v>
      </c>
      <c r="AN15" s="212"/>
      <c r="AO15" s="179" t="n">
        <v>5</v>
      </c>
      <c r="AP15" s="97" t="n">
        <f aca="false">(I15-AO15)-Q15-R15-Y15-AF15</f>
        <v>-8.32348376795222</v>
      </c>
      <c r="AQ15" s="155" t="n">
        <f aca="false">47*(Z15*1.9835+AC15*1.9835)/E15</f>
        <v>0.199632903720785</v>
      </c>
      <c r="AR15" s="155"/>
      <c r="AS15" s="168" t="n">
        <v>9.5</v>
      </c>
      <c r="AT15" s="4"/>
      <c r="AU15" s="4"/>
      <c r="AV15" s="506" t="n">
        <v>0.09</v>
      </c>
      <c r="AW15" s="178" t="n">
        <v>84</v>
      </c>
      <c r="AX15" s="178" t="n">
        <v>58</v>
      </c>
      <c r="AY15" s="286"/>
      <c r="AZ15" s="242" t="n">
        <f aca="false">SUM(N15,P15:U15)</f>
        <v>9.56416325217522</v>
      </c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9" t="n">
        <f aca="false">A15+1</f>
        <v>2</v>
      </c>
      <c r="B16" s="507" t="n">
        <v>6916.52</v>
      </c>
      <c r="C16" s="173" t="n">
        <v>348734</v>
      </c>
      <c r="D16" s="178" t="n">
        <f aca="false">C16-C15</f>
        <v>-547</v>
      </c>
      <c r="E16" s="173" t="n">
        <f aca="false">C16-152000</f>
        <v>196734</v>
      </c>
      <c r="F16" s="519" t="n">
        <f aca="false">D16/$D$2</f>
        <v>-275.775144945803</v>
      </c>
      <c r="G16" s="181" t="n">
        <v>327</v>
      </c>
      <c r="H16" s="182" t="n">
        <v>0.25</v>
      </c>
      <c r="I16" s="181" t="n">
        <f aca="false">G16+H16</f>
        <v>327.25</v>
      </c>
      <c r="J16" s="175" t="n">
        <f aca="false">IF(L16&gt;0,L16,0)</f>
        <v>0</v>
      </c>
      <c r="K16" s="181" t="n">
        <f aca="false">I16+J16</f>
        <v>327.25</v>
      </c>
      <c r="L16" s="181" t="n">
        <f aca="false">F16-(I16-AK16)</f>
        <v>-21.0251449458029</v>
      </c>
      <c r="M16" s="520" t="n">
        <v>182</v>
      </c>
      <c r="N16" s="155" t="n">
        <f aca="false">(1.8299*1.03)/2</f>
        <v>0.9423985</v>
      </c>
      <c r="O16" s="181" t="n">
        <f aca="false">(36+36)*1.05</f>
        <v>75.6</v>
      </c>
      <c r="P16" s="155" t="n">
        <v>0</v>
      </c>
      <c r="Q16" s="328" t="n">
        <f aca="false">1455000/325851/1.9835*1.02</f>
        <v>2.29621157650871</v>
      </c>
      <c r="R16" s="328" t="n">
        <v>4.2</v>
      </c>
      <c r="S16" s="131" t="n">
        <f aca="false">((3971283/325851/1.9835-T16)*1.04)-4.2</f>
        <v>0.732180572225545</v>
      </c>
      <c r="T16" s="131" t="n">
        <f aca="false">1.348*1.04</f>
        <v>1.40192</v>
      </c>
      <c r="U16" s="346" t="n">
        <v>0</v>
      </c>
      <c r="V16" s="181" t="n">
        <v>81</v>
      </c>
      <c r="W16" s="181" t="n">
        <v>78</v>
      </c>
      <c r="X16" s="135" t="n">
        <f aca="false">M16-N16-O16-P16-Q16-R16-S16-T16-U16+V16+W16-AT16+AR16</f>
        <v>255.827289351266</v>
      </c>
      <c r="Y16" s="135" t="n">
        <f aca="false">X16-AO16</f>
        <v>250.827289351266</v>
      </c>
      <c r="Z16" s="107"/>
      <c r="AA16" s="135"/>
      <c r="AB16" s="107"/>
      <c r="AC16" s="107" t="n">
        <f aca="false">AC15</f>
        <v>422.461679911827</v>
      </c>
      <c r="AD16" s="173" t="n">
        <f aca="false">AUG!AD15</f>
        <v>6977.56491051172</v>
      </c>
      <c r="AE16" s="181" t="n">
        <v>167</v>
      </c>
      <c r="AF16" s="240" t="n">
        <v>1.7</v>
      </c>
      <c r="AG16" s="241" t="n">
        <v>1.3</v>
      </c>
      <c r="AH16" s="181" t="n">
        <v>74</v>
      </c>
      <c r="AI16" s="173" t="n">
        <f aca="false">AI15-AH16</f>
        <v>10257.2578774893</v>
      </c>
      <c r="AJ16" s="173"/>
      <c r="AK16" s="11" t="n">
        <f aca="false">N16+O16+P16+Q16+R16+S16+T16+U16+X16+AE16+AH16-AR16</f>
        <v>582</v>
      </c>
      <c r="AL16" s="181" t="n">
        <f aca="false">IF(L16&lt;0,L16*-1,0)</f>
        <v>21.0251449458029</v>
      </c>
      <c r="AM16" s="181" t="n">
        <f aca="false">AK16+AL16</f>
        <v>603.025144945803</v>
      </c>
      <c r="AN16" s="212"/>
      <c r="AO16" s="179" t="n">
        <v>5</v>
      </c>
      <c r="AP16" s="97" t="n">
        <f aca="false">(I16-AO16)-Q16-R16-Y16-AF16</f>
        <v>63.2264990722256</v>
      </c>
      <c r="AQ16" s="155" t="n">
        <f aca="false">47*(Z16*1.9835+AC16*1.9835)/E16</f>
        <v>0.200187963844278</v>
      </c>
      <c r="AR16" s="155"/>
      <c r="AS16" s="168" t="n">
        <v>9.5</v>
      </c>
      <c r="AT16" s="4"/>
      <c r="AU16" s="4"/>
      <c r="AV16" s="506" t="n">
        <v>0</v>
      </c>
      <c r="AW16" s="178" t="n">
        <v>88</v>
      </c>
      <c r="AX16" s="178" t="n">
        <v>58</v>
      </c>
      <c r="AY16" s="286"/>
      <c r="AZ16" s="242" t="n">
        <f aca="false">SUM(N16,P16:U16)</f>
        <v>9.57271064873425</v>
      </c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9" t="n">
        <f aca="false">A16+1</f>
        <v>3</v>
      </c>
      <c r="B17" s="507" t="n">
        <v>6916.37</v>
      </c>
      <c r="C17" s="173" t="n">
        <v>348103</v>
      </c>
      <c r="D17" s="178" t="n">
        <f aca="false">C17-C16</f>
        <v>-631</v>
      </c>
      <c r="E17" s="173" t="n">
        <f aca="false">C17-152000</f>
        <v>196103</v>
      </c>
      <c r="F17" s="519" t="n">
        <f aca="false">D17/$D$2</f>
        <v>-318.124527350643</v>
      </c>
      <c r="G17" s="181" t="n">
        <v>310</v>
      </c>
      <c r="H17" s="182" t="n">
        <v>0.24</v>
      </c>
      <c r="I17" s="181" t="n">
        <f aca="false">G17+H17</f>
        <v>310.24</v>
      </c>
      <c r="J17" s="175" t="n">
        <f aca="false">IF(L17&gt;0,L17,0)</f>
        <v>13.6354726493572</v>
      </c>
      <c r="K17" s="181" t="n">
        <f aca="false">I17+J17</f>
        <v>323.875472649357</v>
      </c>
      <c r="L17" s="181" t="n">
        <f aca="false">F17-(I17-AK17)</f>
        <v>13.6354726493572</v>
      </c>
      <c r="M17" s="520" t="n">
        <v>197</v>
      </c>
      <c r="N17" s="155" t="n">
        <f aca="false">(1.8299*1.03)/2</f>
        <v>0.9423985</v>
      </c>
      <c r="O17" s="181" t="n">
        <f aca="false">(32+32)*1.05</f>
        <v>67.2</v>
      </c>
      <c r="P17" s="155" t="n">
        <v>0</v>
      </c>
      <c r="Q17" s="328" t="n">
        <f aca="false">1549100/325851/1.9835*1.02</f>
        <v>2.4447157066458</v>
      </c>
      <c r="R17" s="328" t="n">
        <v>4.2</v>
      </c>
      <c r="S17" s="131" t="n">
        <f aca="false">(((3880242)/325851/1.9835-T17)*1.04)-4.2</f>
        <v>0.585686822436172</v>
      </c>
      <c r="T17" s="131" t="n">
        <f aca="false">1.348*1.04</f>
        <v>1.40192</v>
      </c>
      <c r="U17" s="346" t="n">
        <v>0</v>
      </c>
      <c r="V17" s="181" t="n">
        <v>111</v>
      </c>
      <c r="W17" s="181" t="n">
        <v>77</v>
      </c>
      <c r="X17" s="135" t="n">
        <f aca="false">M17-N17-O17-P17-Q17-R17-S17-T17-U17+V17+W17-AT17+AR17</f>
        <v>308.225278970918</v>
      </c>
      <c r="Y17" s="135" t="n">
        <f aca="false">X17-AO17</f>
        <v>303.225278970918</v>
      </c>
      <c r="Z17" s="107"/>
      <c r="AA17" s="135"/>
      <c r="AB17" s="107"/>
      <c r="AC17" s="107" t="n">
        <f aca="false">AC16+AP17-(AQ16/1.9835)</f>
        <v>416.030758607672</v>
      </c>
      <c r="AD17" s="173" t="n">
        <f aca="false">AUG!AD16</f>
        <v>6977.56491051172</v>
      </c>
      <c r="AE17" s="181" t="n">
        <v>185</v>
      </c>
      <c r="AF17" s="240" t="n">
        <v>1.7</v>
      </c>
      <c r="AG17" s="241" t="n">
        <v>1.3</v>
      </c>
      <c r="AH17" s="181" t="n">
        <v>72</v>
      </c>
      <c r="AI17" s="173" t="n">
        <f aca="false">AI16-AH17</f>
        <v>10185.2578774893</v>
      </c>
      <c r="AJ17" s="173"/>
      <c r="AK17" s="11" t="n">
        <f aca="false">N17+O17+P17+Q17+R17+S17+T17+U17+X17+AE17+AH17-AR17</f>
        <v>642</v>
      </c>
      <c r="AL17" s="181" t="n">
        <f aca="false">IF(L17&lt;0,L17*-1,0)</f>
        <v>0</v>
      </c>
      <c r="AM17" s="181" t="n">
        <f aca="false">AK17+AL17</f>
        <v>642</v>
      </c>
      <c r="AN17" s="212"/>
      <c r="AO17" s="179" t="n">
        <v>5</v>
      </c>
      <c r="AP17" s="97" t="n">
        <f aca="false">(I17-AO17)-Q17-R17-Y17-AF17</f>
        <v>-6.32999467756379</v>
      </c>
      <c r="AQ17" s="155" t="n">
        <f aca="false">47*(Z17*1.9835+AC17*1.9835)/E17</f>
        <v>0.197774942024451</v>
      </c>
      <c r="AR17" s="155"/>
      <c r="AS17" s="168" t="n">
        <v>9.5</v>
      </c>
      <c r="AT17" s="4"/>
      <c r="AU17" s="4"/>
      <c r="AV17" s="506" t="n">
        <v>0</v>
      </c>
      <c r="AW17" s="178" t="n">
        <v>90</v>
      </c>
      <c r="AX17" s="178" t="n">
        <v>57</v>
      </c>
      <c r="AY17" s="286"/>
      <c r="AZ17" s="242" t="n">
        <f aca="false">SUM(N17,P17:U17)</f>
        <v>9.57472102908198</v>
      </c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9" t="n">
        <f aca="false">A17+1</f>
        <v>4</v>
      </c>
      <c r="B18" s="507" t="n">
        <v>6916.19</v>
      </c>
      <c r="C18" s="173" t="n">
        <v>347346</v>
      </c>
      <c r="D18" s="178" t="n">
        <f aca="false">C18-C17</f>
        <v>-757</v>
      </c>
      <c r="E18" s="173" t="n">
        <f aca="false">C18-152000</f>
        <v>195346</v>
      </c>
      <c r="F18" s="519" t="n">
        <f aca="false">D18/$D$2</f>
        <v>-381.648600957903</v>
      </c>
      <c r="G18" s="181" t="n">
        <v>267</v>
      </c>
      <c r="H18" s="182" t="n">
        <v>0.21</v>
      </c>
      <c r="I18" s="181" t="n">
        <f aca="false">G18+H18</f>
        <v>267.21</v>
      </c>
      <c r="J18" s="175" t="n">
        <f aca="false">IF(L18&gt;0,L18,0)</f>
        <v>0</v>
      </c>
      <c r="K18" s="181" t="n">
        <f aca="false">I18+J18</f>
        <v>267.21</v>
      </c>
      <c r="L18" s="181" t="n">
        <f aca="false">F18-(I18-AK18)</f>
        <v>-37.8586009579027</v>
      </c>
      <c r="M18" s="520" t="n">
        <v>206</v>
      </c>
      <c r="N18" s="155" t="n">
        <f aca="false">(1.8299*1.03)/2</f>
        <v>0.9423985</v>
      </c>
      <c r="O18" s="181" t="n">
        <f aca="false">(34+33)*1.05</f>
        <v>70.35</v>
      </c>
      <c r="P18" s="155" t="n">
        <v>0</v>
      </c>
      <c r="Q18" s="328" t="n">
        <f aca="false">1600900/325851/1.9835*1.02</f>
        <v>2.52646399507409</v>
      </c>
      <c r="R18" s="328" t="n">
        <v>4.2</v>
      </c>
      <c r="S18" s="131" t="n">
        <f aca="false">(((3897939)/325851/1.9835-T18)*1.04)-4.2</f>
        <v>0.614163002289453</v>
      </c>
      <c r="T18" s="131" t="n">
        <f aca="false">1.348*1.04</f>
        <v>1.40192</v>
      </c>
      <c r="U18" s="346" t="n">
        <v>0</v>
      </c>
      <c r="V18" s="181" t="n">
        <v>109</v>
      </c>
      <c r="W18" s="181" t="n">
        <v>78</v>
      </c>
      <c r="X18" s="135" t="n">
        <f aca="false">M18-N18-O18-P18-Q18-R18-S18-T18-U18+V18+W18-AT18+AR18</f>
        <v>312.965054502636</v>
      </c>
      <c r="Y18" s="135" t="n">
        <f aca="false">X18-AO18</f>
        <v>307.965054502636</v>
      </c>
      <c r="Z18" s="107"/>
      <c r="AA18" s="135"/>
      <c r="AB18" s="107"/>
      <c r="AC18" s="107" t="n">
        <f aca="false">AC17+AP18-(AQ17/1.9835)</f>
        <v>361.749530030796</v>
      </c>
      <c r="AD18" s="173" t="n">
        <f aca="false">AUG!AD17</f>
        <v>6977.56491051172</v>
      </c>
      <c r="AE18" s="181" t="n">
        <v>143</v>
      </c>
      <c r="AF18" s="240" t="n">
        <v>1.7</v>
      </c>
      <c r="AG18" s="241" t="n">
        <v>1.3</v>
      </c>
      <c r="AH18" s="181" t="n">
        <v>75</v>
      </c>
      <c r="AI18" s="173" t="n">
        <f aca="false">AI17-AH18</f>
        <v>10110.2578774893</v>
      </c>
      <c r="AJ18" s="173"/>
      <c r="AK18" s="11" t="n">
        <f aca="false">N18+O18+P18+Q18+R18+S18+T18+U18+X18+AE18+AH18-AR18</f>
        <v>611</v>
      </c>
      <c r="AL18" s="181" t="n">
        <f aca="false">IF(L18&lt;0,L18*-1,0)</f>
        <v>37.8586009579027</v>
      </c>
      <c r="AM18" s="181" t="n">
        <f aca="false">AK18+AL18</f>
        <v>648.858600957903</v>
      </c>
      <c r="AN18" s="212"/>
      <c r="AO18" s="179" t="n">
        <v>5</v>
      </c>
      <c r="AP18" s="97" t="n">
        <f aca="false">(I18-AO18)-Q18-R18-Y18-AF18</f>
        <v>-54.1815184977106</v>
      </c>
      <c r="AQ18" s="155" t="n">
        <f aca="false">47*(Z18*1.9835+AC18*1.9835)/E18</f>
        <v>0.172636854925905</v>
      </c>
      <c r="AR18" s="155"/>
      <c r="AS18" s="168" t="n">
        <v>9.5</v>
      </c>
      <c r="AT18" s="4"/>
      <c r="AU18" s="4"/>
      <c r="AV18" s="506" t="n">
        <v>0</v>
      </c>
      <c r="AW18" s="178" t="n">
        <v>89</v>
      </c>
      <c r="AX18" s="178" t="n">
        <v>57</v>
      </c>
      <c r="AY18" s="286"/>
      <c r="AZ18" s="242" t="n">
        <f aca="false">SUM(N18,P18:U18)</f>
        <v>9.68494549736354</v>
      </c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9" t="n">
        <f aca="false">A18+1</f>
        <v>5</v>
      </c>
      <c r="B19" s="507" t="n">
        <v>6916</v>
      </c>
      <c r="C19" s="173" t="n">
        <v>346547</v>
      </c>
      <c r="D19" s="178" t="n">
        <f aca="false">C19-C18</f>
        <v>-799</v>
      </c>
      <c r="E19" s="173" t="n">
        <f aca="false">C19-152000</f>
        <v>194547</v>
      </c>
      <c r="F19" s="519" t="n">
        <f aca="false">D19/$D$2</f>
        <v>-402.823292160323</v>
      </c>
      <c r="G19" s="181" t="n">
        <v>249</v>
      </c>
      <c r="H19" s="182" t="n">
        <v>0.16</v>
      </c>
      <c r="I19" s="181" t="n">
        <f aca="false">G19+H19</f>
        <v>249.16</v>
      </c>
      <c r="J19" s="175" t="n">
        <f aca="false">IF(L19&gt;0,L19,0)</f>
        <v>0</v>
      </c>
      <c r="K19" s="181" t="n">
        <f aca="false">I19+J19</f>
        <v>249.16</v>
      </c>
      <c r="L19" s="181" t="n">
        <f aca="false">F19-(I19-AK19)</f>
        <v>-35.9832921603226</v>
      </c>
      <c r="M19" s="520" t="n">
        <v>217</v>
      </c>
      <c r="N19" s="155" t="n">
        <f aca="false">(1.8299*1.03)/2</f>
        <v>0.9423985</v>
      </c>
      <c r="O19" s="181" t="n">
        <f aca="false">(39+37)*1.05</f>
        <v>79.8</v>
      </c>
      <c r="P19" s="155" t="n">
        <v>0</v>
      </c>
      <c r="Q19" s="328" t="n">
        <f aca="false">1806400/325851/1.9835*1.02</f>
        <v>2.85077428990057</v>
      </c>
      <c r="R19" s="328" t="n">
        <v>4.2</v>
      </c>
      <c r="S19" s="131" t="n">
        <f aca="false">((5170256/325851/1.9835-T19)*1.04)-4.2</f>
        <v>2.84142200865586</v>
      </c>
      <c r="T19" s="131" t="n">
        <f aca="false">1.1816*1.04</f>
        <v>1.228864</v>
      </c>
      <c r="U19" s="346" t="n">
        <v>0</v>
      </c>
      <c r="V19" s="181" t="n">
        <v>87</v>
      </c>
      <c r="W19" s="181" t="n">
        <v>78</v>
      </c>
      <c r="X19" s="135" t="n">
        <f aca="false">M19-N19-O19-P19-Q19-R19-S19-T19-U19+V19+W19-AT19+AR19</f>
        <v>290.136541201444</v>
      </c>
      <c r="Y19" s="135" t="n">
        <f aca="false">X19-AO19</f>
        <v>285.136541201444</v>
      </c>
      <c r="Z19" s="107"/>
      <c r="AA19" s="135"/>
      <c r="AB19" s="107"/>
      <c r="AC19" s="107" t="n">
        <f aca="false">AC18+AP19-(AQ18/1.9835)</f>
        <v>311.935178061042</v>
      </c>
      <c r="AD19" s="173" t="n">
        <f aca="false">AUG!AD18</f>
        <v>6977.56491051172</v>
      </c>
      <c r="AE19" s="181" t="n">
        <v>159</v>
      </c>
      <c r="AF19" s="240" t="n">
        <v>1.7</v>
      </c>
      <c r="AG19" s="241" t="n">
        <v>1.3</v>
      </c>
      <c r="AH19" s="181" t="n">
        <v>75</v>
      </c>
      <c r="AI19" s="173" t="n">
        <f aca="false">AI18-AH19</f>
        <v>10035.2578774893</v>
      </c>
      <c r="AJ19" s="173"/>
      <c r="AK19" s="11" t="n">
        <f aca="false">N19+O19+P19+Q19+R19+S19+T19+U19+X19+AE19+AH19-AR19</f>
        <v>616</v>
      </c>
      <c r="AL19" s="181" t="n">
        <f aca="false">IF(L19&lt;0,L19*-1,0)</f>
        <v>35.9832921603226</v>
      </c>
      <c r="AM19" s="181" t="n">
        <f aca="false">AK19+AL19</f>
        <v>651.983292160323</v>
      </c>
      <c r="AN19" s="212"/>
      <c r="AO19" s="179" t="n">
        <v>5</v>
      </c>
      <c r="AP19" s="97" t="n">
        <f aca="false">(I19-AO19)-Q19-R19-Y19-AF19</f>
        <v>-49.7273154913442</v>
      </c>
      <c r="AQ19" s="155" t="n">
        <f aca="false">47*(Z19*1.9835+AC19*1.9835)/E19</f>
        <v>0.149475453269141</v>
      </c>
      <c r="AR19" s="155"/>
      <c r="AS19" s="168" t="n">
        <v>9.5</v>
      </c>
      <c r="AT19" s="4"/>
      <c r="AU19" s="4"/>
      <c r="AV19" s="506" t="n">
        <v>0</v>
      </c>
      <c r="AW19" s="178" t="n">
        <v>90</v>
      </c>
      <c r="AX19" s="178" t="n">
        <v>56</v>
      </c>
      <c r="AY19" s="286"/>
      <c r="AZ19" s="242" t="n">
        <f aca="false">SUM(N19,P19:U19)</f>
        <v>12.0634587985564</v>
      </c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9" t="n">
        <f aca="false">A19+1</f>
        <v>6</v>
      </c>
      <c r="B20" s="507" t="n">
        <v>6915.81</v>
      </c>
      <c r="C20" s="173" t="n">
        <v>345753</v>
      </c>
      <c r="D20" s="178" t="n">
        <f aca="false">C20-C19</f>
        <v>-794</v>
      </c>
      <c r="E20" s="173" t="n">
        <f aca="false">C20-152000</f>
        <v>193753</v>
      </c>
      <c r="F20" s="519" t="n">
        <f aca="false">D20/$D$2</f>
        <v>-400.302495588606</v>
      </c>
      <c r="G20" s="181" t="n">
        <v>229</v>
      </c>
      <c r="H20" s="182" t="n">
        <v>0.23</v>
      </c>
      <c r="I20" s="181" t="n">
        <f aca="false">G20+H20</f>
        <v>229.23</v>
      </c>
      <c r="J20" s="175" t="n">
        <f aca="false">IF(L20&gt;0,L20,0)</f>
        <v>0</v>
      </c>
      <c r="K20" s="181" t="n">
        <f aca="false">I20+J20</f>
        <v>229.23</v>
      </c>
      <c r="L20" s="181" t="n">
        <f aca="false">F20-(I20-AK20)</f>
        <v>-27.532495588606</v>
      </c>
      <c r="M20" s="520" t="n">
        <v>224</v>
      </c>
      <c r="N20" s="155" t="n">
        <f aca="false">(1.8299*1.03)/2</f>
        <v>0.9423985</v>
      </c>
      <c r="O20" s="181" t="n">
        <f aca="false">(42+38)*1.05</f>
        <v>84</v>
      </c>
      <c r="P20" s="155" t="n">
        <v>0</v>
      </c>
      <c r="Q20" s="328" t="n">
        <f aca="false">1933200/325851/1.9835*1.02</f>
        <v>3.05088399979838</v>
      </c>
      <c r="R20" s="328" t="n">
        <v>4.2</v>
      </c>
      <c r="S20" s="131" t="n">
        <f aca="false">((4934114/325851/1.9835-T20)*1.04)-4.2</f>
        <v>2.46144675505845</v>
      </c>
      <c r="T20" s="131" t="n">
        <f aca="false">1.1816*1.04</f>
        <v>1.228864</v>
      </c>
      <c r="U20" s="346" t="n">
        <v>0</v>
      </c>
      <c r="V20" s="181" t="n">
        <v>87</v>
      </c>
      <c r="W20" s="181" t="n">
        <v>78</v>
      </c>
      <c r="X20" s="135" t="n">
        <f aca="false">M20-N20-O20-P20-Q20-R20-S20-T20-U20+V20+W20-AT20+AR20</f>
        <v>293.116406745143</v>
      </c>
      <c r="Y20" s="135" t="n">
        <f aca="false">X20-AO20</f>
        <v>288.116406745143</v>
      </c>
      <c r="Z20" s="107"/>
      <c r="AA20" s="135"/>
      <c r="AB20" s="107"/>
      <c r="AC20" s="107" t="n">
        <f aca="false">AC19+AP20-(AQ19/1.9835)</f>
        <v>239.022527874069</v>
      </c>
      <c r="AD20" s="173" t="n">
        <f aca="false">AUG!AD19</f>
        <v>6977.56491051172</v>
      </c>
      <c r="AE20" s="181" t="n">
        <v>138</v>
      </c>
      <c r="AF20" s="240" t="n">
        <v>1.7</v>
      </c>
      <c r="AG20" s="241" t="n">
        <v>1.3</v>
      </c>
      <c r="AH20" s="181" t="n">
        <v>75</v>
      </c>
      <c r="AI20" s="173" t="n">
        <f aca="false">AI19-AH20</f>
        <v>9960.25787748929</v>
      </c>
      <c r="AJ20" s="173"/>
      <c r="AK20" s="11" t="n">
        <f aca="false">N20+O20+P20+Q20+R20+S20+T20+U20+X20+AE20+AH20-AR20</f>
        <v>602</v>
      </c>
      <c r="AL20" s="181" t="n">
        <f aca="false">IF(L20&lt;0,L20*-1,0)</f>
        <v>27.532495588606</v>
      </c>
      <c r="AM20" s="181" t="n">
        <f aca="false">AK20+AL20</f>
        <v>629.532495588606</v>
      </c>
      <c r="AN20" s="212"/>
      <c r="AO20" s="179" t="n">
        <v>5</v>
      </c>
      <c r="AP20" s="97" t="n">
        <f aca="false">(I20-AO20)-Q20-R20-Y20-AF20</f>
        <v>-72.8372907449416</v>
      </c>
      <c r="AQ20" s="155" t="n">
        <f aca="false">47*(Z20*1.9835+AC20*1.9835)/E20</f>
        <v>0.115005990357807</v>
      </c>
      <c r="AR20" s="155"/>
      <c r="AS20" s="168" t="n">
        <v>9.5</v>
      </c>
      <c r="AT20" s="4"/>
      <c r="AU20" s="4"/>
      <c r="AV20" s="506" t="n">
        <v>0</v>
      </c>
      <c r="AW20" s="178" t="n">
        <v>90</v>
      </c>
      <c r="AX20" s="178" t="n">
        <v>57</v>
      </c>
      <c r="AY20" s="286"/>
      <c r="AZ20" s="242" t="n">
        <f aca="false">SUM(N20,P20:U20)</f>
        <v>11.8835932548568</v>
      </c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9" t="n">
        <f aca="false">A20+1</f>
        <v>7</v>
      </c>
      <c r="B21" s="507" t="n">
        <v>6915.62</v>
      </c>
      <c r="C21" s="173" t="n">
        <v>344960</v>
      </c>
      <c r="D21" s="178" t="n">
        <f aca="false">C21-C20</f>
        <v>-793</v>
      </c>
      <c r="E21" s="173" t="n">
        <f aca="false">C21-152000</f>
        <v>192960</v>
      </c>
      <c r="F21" s="519" t="n">
        <f aca="false">D21/$D$2</f>
        <v>-399.798336274263</v>
      </c>
      <c r="G21" s="181" t="n">
        <v>212</v>
      </c>
      <c r="H21" s="182" t="n">
        <v>0.24</v>
      </c>
      <c r="I21" s="181" t="n">
        <f aca="false">G21+H21</f>
        <v>212.24</v>
      </c>
      <c r="J21" s="175" t="n">
        <f aca="false">IF(L21&gt;0,L21,0)</f>
        <v>0</v>
      </c>
      <c r="K21" s="181" t="n">
        <f aca="false">I21+J21</f>
        <v>212.24</v>
      </c>
      <c r="L21" s="181" t="n">
        <f aca="false">F21-(I21-AK21)</f>
        <v>-50.0383362742627</v>
      </c>
      <c r="M21" s="520" t="n">
        <v>206</v>
      </c>
      <c r="N21" s="155" t="n">
        <f aca="false">(1.8299*1.03)/2</f>
        <v>0.9423985</v>
      </c>
      <c r="O21" s="181" t="n">
        <f aca="false">(35+32)*1.05</f>
        <v>70.35</v>
      </c>
      <c r="P21" s="155" t="n">
        <v>0</v>
      </c>
      <c r="Q21" s="328" t="n">
        <f aca="false">1978300/325851/1.9835*1.02</f>
        <v>3.12205866790872</v>
      </c>
      <c r="R21" s="328" t="n">
        <v>4.2</v>
      </c>
      <c r="S21" s="131" t="n">
        <f aca="false">((4335495/325851/1.9835-T21)*1.04)-4.2</f>
        <v>1.49821104801257</v>
      </c>
      <c r="T21" s="131" t="n">
        <f aca="false">1.1816*1.04</f>
        <v>1.228864</v>
      </c>
      <c r="U21" s="346" t="n">
        <v>0</v>
      </c>
      <c r="V21" s="181" t="n">
        <v>88</v>
      </c>
      <c r="W21" s="181" t="n">
        <v>78</v>
      </c>
      <c r="X21" s="135" t="n">
        <f aca="false">M21-N21-O21-P21-Q21-R21-S21-T21-U21+V21+W21-AT21+AR21</f>
        <v>290.658467784079</v>
      </c>
      <c r="Y21" s="135" t="n">
        <f aca="false">X21-AO21</f>
        <v>285.658467784079</v>
      </c>
      <c r="Z21" s="107"/>
      <c r="AA21" s="135"/>
      <c r="AB21" s="107"/>
      <c r="AC21" s="107" t="n">
        <f aca="false">AC20+AP21-(AQ20/1.9835)</f>
        <v>151.524020080837</v>
      </c>
      <c r="AD21" s="173" t="n">
        <f aca="false">AUG!AD20</f>
        <v>6977.56491051172</v>
      </c>
      <c r="AE21" s="181" t="n">
        <v>115</v>
      </c>
      <c r="AF21" s="240" t="n">
        <v>1.7</v>
      </c>
      <c r="AG21" s="241" t="n">
        <v>1.3</v>
      </c>
      <c r="AH21" s="181" t="n">
        <v>75</v>
      </c>
      <c r="AI21" s="173" t="n">
        <f aca="false">AI20-AH21</f>
        <v>9885.25787748929</v>
      </c>
      <c r="AJ21" s="173"/>
      <c r="AK21" s="11" t="n">
        <f aca="false">N21+O21+P21+Q21+R21+S21+T21+U21+X21+AE21+AH21-AR21</f>
        <v>562</v>
      </c>
      <c r="AL21" s="181" t="n">
        <f aca="false">IF(L21&lt;0,L21*-1,0)</f>
        <v>50.0383362742627</v>
      </c>
      <c r="AM21" s="181" t="n">
        <f aca="false">AK21+AL21</f>
        <v>612.038336274263</v>
      </c>
      <c r="AN21" s="212"/>
      <c r="AO21" s="179" t="n">
        <v>5</v>
      </c>
      <c r="AP21" s="97" t="n">
        <f aca="false">(I21-AO21)-Q21-R21-Y21-AF21</f>
        <v>-87.4405264519874</v>
      </c>
      <c r="AQ21" s="155" t="n">
        <f aca="false">47*(Z21*1.9835+AC21*1.9835)/E21</f>
        <v>0.0732055918844632</v>
      </c>
      <c r="AR21" s="155"/>
      <c r="AS21" s="168" t="n">
        <v>9.5</v>
      </c>
      <c r="AT21" s="4"/>
      <c r="AU21" s="4"/>
      <c r="AV21" s="506" t="n">
        <v>0</v>
      </c>
      <c r="AW21" s="178" t="n">
        <v>90</v>
      </c>
      <c r="AX21" s="178" t="n">
        <v>53</v>
      </c>
      <c r="AY21" s="286"/>
      <c r="AZ21" s="242" t="n">
        <f aca="false">SUM(N21,P21:U21)</f>
        <v>10.9915322159213</v>
      </c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9" t="n">
        <f aca="false">A21+1</f>
        <v>8</v>
      </c>
      <c r="B22" s="507" t="n">
        <v>6915.41</v>
      </c>
      <c r="C22" s="173" t="n">
        <v>344084</v>
      </c>
      <c r="D22" s="178" t="n">
        <f aca="false">C22-C21</f>
        <v>-876</v>
      </c>
      <c r="E22" s="173" t="n">
        <f aca="false">C22-152000</f>
        <v>192084</v>
      </c>
      <c r="F22" s="519" t="n">
        <f aca="false">D22/$D$2</f>
        <v>-441.643559364759</v>
      </c>
      <c r="G22" s="181" t="n">
        <v>198</v>
      </c>
      <c r="H22" s="182" t="n">
        <v>0.1</v>
      </c>
      <c r="I22" s="181" t="n">
        <f aca="false">G22+H22</f>
        <v>198.1</v>
      </c>
      <c r="J22" s="175" t="n">
        <f aca="false">IF(L22&gt;0,L22,0)</f>
        <v>0</v>
      </c>
      <c r="K22" s="181" t="n">
        <f aca="false">I22+J22</f>
        <v>198.1</v>
      </c>
      <c r="L22" s="181" t="n">
        <f aca="false">F22-(I22-AK22)</f>
        <v>-17.7435593647593</v>
      </c>
      <c r="M22" s="520" t="n">
        <v>228</v>
      </c>
      <c r="N22" s="155" t="n">
        <f aca="false">(1.8299*1.03)/2</f>
        <v>0.9423985</v>
      </c>
      <c r="O22" s="181" t="n">
        <f aca="false">(34+33)*1.05</f>
        <v>70.35</v>
      </c>
      <c r="P22" s="155" t="n">
        <v>0</v>
      </c>
      <c r="Q22" s="328" t="n">
        <f aca="false">2051300/325851/1.9835*1.02</f>
        <v>3.23726378480572</v>
      </c>
      <c r="R22" s="328" t="n">
        <v>4.2</v>
      </c>
      <c r="S22" s="131" t="n">
        <f aca="false">((4960063/325851/1.9835-T22)*1.04)-4.2</f>
        <v>2.5032011988067</v>
      </c>
      <c r="T22" s="131" t="n">
        <f aca="false">1.1816*1.04</f>
        <v>1.228864</v>
      </c>
      <c r="U22" s="346" t="n">
        <v>0</v>
      </c>
      <c r="V22" s="181" t="n">
        <v>87</v>
      </c>
      <c r="W22" s="181" t="n">
        <v>78</v>
      </c>
      <c r="X22" s="135" t="n">
        <f aca="false">M22-N22-O22-P22-Q22-R22-S22-T22-U22+V22+W22-AT22+AR22</f>
        <v>310.538272516388</v>
      </c>
      <c r="Y22" s="135" t="n">
        <f aca="false">X22-AO22</f>
        <v>305.538272516388</v>
      </c>
      <c r="Z22" s="107"/>
      <c r="AA22" s="135"/>
      <c r="AB22" s="107"/>
      <c r="AC22" s="107" t="n">
        <f aca="false">AC21+AP22-(AQ21/1.9835)</f>
        <v>29.9115764986333</v>
      </c>
      <c r="AD22" s="173" t="n">
        <f aca="false">AUG!AD21</f>
        <v>6977.56491051172</v>
      </c>
      <c r="AE22" s="181" t="n">
        <v>154</v>
      </c>
      <c r="AF22" s="240" t="n">
        <v>1.7</v>
      </c>
      <c r="AG22" s="241" t="n">
        <v>1.3</v>
      </c>
      <c r="AH22" s="181" t="n">
        <v>75</v>
      </c>
      <c r="AI22" s="173" t="n">
        <f aca="false">AI21-AH22</f>
        <v>9810.25787748929</v>
      </c>
      <c r="AJ22" s="173"/>
      <c r="AK22" s="11" t="n">
        <f aca="false">N22+O22+P22+Q22+R22+S22+T22+U22+X22+AE22+AH22-AR22</f>
        <v>622</v>
      </c>
      <c r="AL22" s="181" t="n">
        <f aca="false">IF(L22&lt;0,L22*-1,0)</f>
        <v>17.7435593647593</v>
      </c>
      <c r="AM22" s="181" t="n">
        <f aca="false">AK22+AL22</f>
        <v>639.743559364759</v>
      </c>
      <c r="AN22" s="212"/>
      <c r="AO22" s="179" t="n">
        <v>5</v>
      </c>
      <c r="AP22" s="97" t="n">
        <f aca="false">(I22-AO22)-Q22-R22-Y22-AF22</f>
        <v>-121.575536301193</v>
      </c>
      <c r="AQ22" s="155" t="n">
        <f aca="false">47*(Z22*1.9835+AC22*1.9835)/E22</f>
        <v>0.0145170433940195</v>
      </c>
      <c r="AR22" s="155"/>
      <c r="AS22" s="168" t="n">
        <v>9.5</v>
      </c>
      <c r="AT22" s="4"/>
      <c r="AU22" s="4"/>
      <c r="AV22" s="506" t="n">
        <v>0</v>
      </c>
      <c r="AW22" s="178" t="n">
        <v>90</v>
      </c>
      <c r="AX22" s="178" t="n">
        <v>52</v>
      </c>
      <c r="AY22" s="286"/>
      <c r="AZ22" s="242" t="n">
        <f aca="false">SUM(N22,P22:U22)</f>
        <v>12.1117274836124</v>
      </c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9" t="n">
        <f aca="false">A22+1</f>
        <v>9</v>
      </c>
      <c r="B23" s="507" t="n">
        <v>6915.16</v>
      </c>
      <c r="C23" s="173" t="n">
        <v>343040</v>
      </c>
      <c r="D23" s="178" t="n">
        <f aca="false">C23-C22</f>
        <v>-1044</v>
      </c>
      <c r="E23" s="173" t="n">
        <f aca="false">C23-152000</f>
        <v>191040</v>
      </c>
      <c r="F23" s="519" t="n">
        <f aca="false">D23/$D$2</f>
        <v>-526.342324174439</v>
      </c>
      <c r="G23" s="181" t="n">
        <v>188</v>
      </c>
      <c r="H23" s="182" t="n">
        <v>0.04</v>
      </c>
      <c r="I23" s="181" t="n">
        <f aca="false">G23+H23</f>
        <v>188.04</v>
      </c>
      <c r="J23" s="175" t="n">
        <f aca="false">IF(L23&gt;0,L23,0)</f>
        <v>0</v>
      </c>
      <c r="K23" s="181" t="n">
        <f aca="false">I23+J23</f>
        <v>188.04</v>
      </c>
      <c r="L23" s="181" t="n">
        <f aca="false">F23-(I23-AK23)</f>
        <v>-49.3823241744391</v>
      </c>
      <c r="M23" s="520" t="n">
        <v>264</v>
      </c>
      <c r="N23" s="155" t="n">
        <f aca="false">(1.8299*1.03)/2</f>
        <v>0.9423985</v>
      </c>
      <c r="O23" s="181" t="n">
        <f aca="false">(41+42)*1.05</f>
        <v>87.15</v>
      </c>
      <c r="P23" s="155" t="n">
        <v>0</v>
      </c>
      <c r="Q23" s="328" t="n">
        <f aca="false">1836700/325851/1.9835*1.02</f>
        <v>2.89859230417426</v>
      </c>
      <c r="R23" s="328" t="n">
        <v>4.2</v>
      </c>
      <c r="S23" s="131" t="n">
        <f aca="false">((4995956/325851/1.9835-T23)*1.04)-4.2</f>
        <v>2.56095649764118</v>
      </c>
      <c r="T23" s="131" t="n">
        <f aca="false">1.1816*1.04</f>
        <v>1.228864</v>
      </c>
      <c r="U23" s="346" t="n">
        <v>0</v>
      </c>
      <c r="V23" s="181" t="n">
        <v>89</v>
      </c>
      <c r="W23" s="181" t="n">
        <v>79</v>
      </c>
      <c r="X23" s="135" t="n">
        <f aca="false">M23-N23-O23-P23-Q23-R23-S23-T23-U23+V23+W23-AT23+AR23</f>
        <v>333.019188698185</v>
      </c>
      <c r="Y23" s="135" t="n">
        <f aca="false">X23-AO23</f>
        <v>328.019188698185</v>
      </c>
      <c r="Z23" s="107"/>
      <c r="AA23" s="135"/>
      <c r="AB23" s="107"/>
      <c r="AC23" s="107" t="n">
        <f aca="false">AC22+AP23-(AQ22/1.9835)+123.87</f>
        <v>-0.00352340636932524</v>
      </c>
      <c r="AD23" s="173" t="n">
        <f aca="false">AUG!AD22-123.87</f>
        <v>6853.69491051172</v>
      </c>
      <c r="AE23" s="181" t="n">
        <v>158</v>
      </c>
      <c r="AF23" s="240" t="n">
        <v>1.7</v>
      </c>
      <c r="AG23" s="241" t="n">
        <v>1.3</v>
      </c>
      <c r="AH23" s="181" t="n">
        <v>75</v>
      </c>
      <c r="AI23" s="173" t="n">
        <f aca="false">AI22-AH23</f>
        <v>9735.25787748929</v>
      </c>
      <c r="AJ23" s="173"/>
      <c r="AK23" s="11" t="n">
        <f aca="false">N23+O23+P23+Q23+R23+S23+T23+U23+X23+AE23+AH23-AR23</f>
        <v>665</v>
      </c>
      <c r="AL23" s="181" t="n">
        <f aca="false">IF(L23&lt;0,L23*-1,0)</f>
        <v>49.3823241744391</v>
      </c>
      <c r="AM23" s="181" t="n">
        <f aca="false">AK23+AL23</f>
        <v>714.382324174439</v>
      </c>
      <c r="AN23" s="212"/>
      <c r="AO23" s="179" t="n">
        <v>5</v>
      </c>
      <c r="AP23" s="97" t="n">
        <f aca="false">(I23-AO23)-Q23-R23-Y23-AF23</f>
        <v>-153.777781002359</v>
      </c>
      <c r="AQ23" s="155" t="n">
        <f aca="false">47*(Z23*1.9835+AC23*1.9835)/E23</f>
        <v>-1.719366609491E-006</v>
      </c>
      <c r="AR23" s="155"/>
      <c r="AS23" s="168" t="n">
        <v>9.5</v>
      </c>
      <c r="AT23" s="4"/>
      <c r="AU23" s="4"/>
      <c r="AV23" s="506" t="n">
        <v>0</v>
      </c>
      <c r="AW23" s="172" t="n">
        <v>91</v>
      </c>
      <c r="AX23" s="178" t="n">
        <v>52</v>
      </c>
      <c r="AY23" s="286"/>
      <c r="AZ23" s="242" t="n">
        <f aca="false">SUM(N23,P23:U23)</f>
        <v>11.8308113018154</v>
      </c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9" t="n">
        <f aca="false">A23+1</f>
        <v>10</v>
      </c>
      <c r="B24" s="507" t="n">
        <v>6914.92</v>
      </c>
      <c r="C24" s="173" t="n">
        <v>342041</v>
      </c>
      <c r="D24" s="178" t="n">
        <f aca="false">C24-C23</f>
        <v>-999</v>
      </c>
      <c r="E24" s="173" t="n">
        <f aca="false">C24-152000</f>
        <v>190041</v>
      </c>
      <c r="F24" s="519" t="n">
        <f aca="false">D24/$D$2</f>
        <v>-503.655155028989</v>
      </c>
      <c r="G24" s="181" t="n">
        <v>182</v>
      </c>
      <c r="H24" s="182" t="n">
        <v>0.01</v>
      </c>
      <c r="I24" s="181" t="n">
        <f aca="false">G24+H24</f>
        <v>182.01</v>
      </c>
      <c r="J24" s="175" t="n">
        <f aca="false">IF(L24&gt;0,L24,0)</f>
        <v>0</v>
      </c>
      <c r="K24" s="181" t="n">
        <f aca="false">I24+J24</f>
        <v>182.01</v>
      </c>
      <c r="L24" s="181" t="n">
        <f aca="false">F24-(I24-AK24)</f>
        <v>-24.6651550289891</v>
      </c>
      <c r="M24" s="520" t="n">
        <v>256</v>
      </c>
      <c r="N24" s="155" t="n">
        <f aca="false">(1.8299*1.03)/2</f>
        <v>0.9423985</v>
      </c>
      <c r="O24" s="181" t="n">
        <f aca="false">(38+38)*1.05</f>
        <v>79.8</v>
      </c>
      <c r="P24" s="155" t="n">
        <v>0</v>
      </c>
      <c r="Q24" s="328" t="n">
        <f aca="false">1822300/325851/1.9835*1.02</f>
        <v>2.87586691125211</v>
      </c>
      <c r="R24" s="328" t="n">
        <v>4.2</v>
      </c>
      <c r="S24" s="131" t="n">
        <f aca="false">((4968531/325851/1.9835-T24)*1.04)-4.2</f>
        <v>2.5168270275346</v>
      </c>
      <c r="T24" s="131" t="n">
        <f aca="false">1.1816*1.04</f>
        <v>1.228864</v>
      </c>
      <c r="U24" s="346" t="n">
        <v>0</v>
      </c>
      <c r="V24" s="181" t="n">
        <v>99</v>
      </c>
      <c r="W24" s="181" t="n">
        <v>79</v>
      </c>
      <c r="X24" s="135" t="n">
        <f aca="false">M24-N24-O24-P24-Q24-R24-S24-T24-U24+V24+W24-AT24+AR24</f>
        <v>342.436043561213</v>
      </c>
      <c r="Y24" s="135" t="n">
        <f aca="false">X24-AO24</f>
        <v>337.436043561213</v>
      </c>
      <c r="Z24" s="107"/>
      <c r="AA24" s="135"/>
      <c r="AB24" s="107"/>
      <c r="AC24" s="107"/>
      <c r="AD24" s="107" t="n">
        <f aca="false">AD23+AP24</f>
        <v>6684.49300003926</v>
      </c>
      <c r="AE24" s="181" t="n">
        <v>152</v>
      </c>
      <c r="AF24" s="240" t="n">
        <v>1.7</v>
      </c>
      <c r="AG24" s="241" t="n">
        <v>1.3</v>
      </c>
      <c r="AH24" s="181" t="n">
        <v>75</v>
      </c>
      <c r="AI24" s="173" t="n">
        <f aca="false">AI23-AH24</f>
        <v>9660.25787748929</v>
      </c>
      <c r="AJ24" s="173"/>
      <c r="AK24" s="11" t="n">
        <f aca="false">N24+O24+P24+Q24+R24+S24+T24+U24+X24+AE24+AH24-AR24</f>
        <v>661</v>
      </c>
      <c r="AL24" s="181" t="n">
        <f aca="false">IF(L24&lt;0,L24*-1,0)</f>
        <v>24.6651550289891</v>
      </c>
      <c r="AM24" s="181" t="n">
        <f aca="false">AK24+AL24</f>
        <v>685.665155028989</v>
      </c>
      <c r="AN24" s="212"/>
      <c r="AO24" s="179" t="n">
        <v>5</v>
      </c>
      <c r="AP24" s="97" t="n">
        <f aca="false">(I24-AO24)-Q24-R24-Y24-AF24</f>
        <v>-169.201910472465</v>
      </c>
      <c r="AQ24" s="155" t="n">
        <f aca="false">47*(Z24*1.9835+AC24*1.9835)/E24</f>
        <v>0</v>
      </c>
      <c r="AR24" s="155"/>
      <c r="AS24" s="168" t="n">
        <v>9.5</v>
      </c>
      <c r="AT24" s="4"/>
      <c r="AU24" s="4"/>
      <c r="AV24" s="506" t="n">
        <v>0</v>
      </c>
      <c r="AW24" s="178" t="n">
        <v>90</v>
      </c>
      <c r="AX24" s="178" t="n">
        <v>54</v>
      </c>
      <c r="AY24" s="286"/>
      <c r="AZ24" s="242" t="n">
        <f aca="false">SUM(N24,P24:U24)</f>
        <v>11.7639564387867</v>
      </c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9" t="n">
        <v>11</v>
      </c>
      <c r="B25" s="507" t="n">
        <v>6914.68</v>
      </c>
      <c r="C25" s="173" t="n">
        <v>341047</v>
      </c>
      <c r="D25" s="178" t="n">
        <f aca="false">C25-C24</f>
        <v>-994</v>
      </c>
      <c r="E25" s="173" t="n">
        <f aca="false">C25-152000</f>
        <v>189047</v>
      </c>
      <c r="F25" s="519" t="n">
        <f aca="false">D25/$D$2</f>
        <v>-501.134358457272</v>
      </c>
      <c r="G25" s="181" t="n">
        <v>178</v>
      </c>
      <c r="H25" s="182" t="n">
        <v>0</v>
      </c>
      <c r="I25" s="181" t="n">
        <f aca="false">G25+H25</f>
        <v>178</v>
      </c>
      <c r="J25" s="175" t="n">
        <f aca="false">IF(L25&gt;0,L25,0)</f>
        <v>0</v>
      </c>
      <c r="K25" s="181" t="n">
        <f aca="false">I25+J25</f>
        <v>178</v>
      </c>
      <c r="L25" s="181" t="n">
        <f aca="false">F25-(I25-AK25)</f>
        <v>-19.1343584572725</v>
      </c>
      <c r="M25" s="520" t="n">
        <v>241</v>
      </c>
      <c r="N25" s="155" t="n">
        <f aca="false">(1.8299*1.03)/2</f>
        <v>0.9423985</v>
      </c>
      <c r="O25" s="181" t="n">
        <f aca="false">(34+35)*1.05</f>
        <v>72.45</v>
      </c>
      <c r="P25" s="155" t="n">
        <v>0</v>
      </c>
      <c r="Q25" s="328" t="n">
        <f aca="false">1938800/325851/1.9835*1.02</f>
        <v>3.05972165260143</v>
      </c>
      <c r="R25" s="328" t="n">
        <v>4.2</v>
      </c>
      <c r="S25" s="131" t="n">
        <f aca="false">((4794807/325851/1.9835-T25)*1.04)-4.2</f>
        <v>2.23728835607439</v>
      </c>
      <c r="T25" s="131" t="n">
        <f aca="false">1.1816*1.04</f>
        <v>1.228864</v>
      </c>
      <c r="U25" s="346" t="n">
        <v>0</v>
      </c>
      <c r="V25" s="181" t="n">
        <v>103</v>
      </c>
      <c r="W25" s="181" t="n">
        <v>79</v>
      </c>
      <c r="X25" s="135" t="n">
        <f aca="false">M25-N25-O25-P25-Q25-R25-S25-T25-U25+V25+W25-AT25+AR25</f>
        <v>338.881727491324</v>
      </c>
      <c r="Y25" s="135" t="n">
        <f aca="false">X25-AO25</f>
        <v>333.881727491324</v>
      </c>
      <c r="Z25" s="107"/>
      <c r="AA25" s="135"/>
      <c r="AB25" s="107"/>
      <c r="AC25" s="107"/>
      <c r="AD25" s="107" t="n">
        <f aca="false">AD24+AP25</f>
        <v>6514.65155089533</v>
      </c>
      <c r="AE25" s="181" t="n">
        <v>162</v>
      </c>
      <c r="AF25" s="240" t="n">
        <v>1.7</v>
      </c>
      <c r="AG25" s="241" t="n">
        <v>1.3</v>
      </c>
      <c r="AH25" s="181" t="n">
        <v>75</v>
      </c>
      <c r="AI25" s="173" t="n">
        <f aca="false">AI24-AH25</f>
        <v>9585.25787748929</v>
      </c>
      <c r="AJ25" s="173"/>
      <c r="AK25" s="11" t="n">
        <f aca="false">N25+O25+P25+Q25+R25+S25+T25+U25+X25+AE25+AH25-AR25</f>
        <v>660</v>
      </c>
      <c r="AL25" s="181" t="n">
        <f aca="false">IF(L25&lt;0,L25*-1,0)</f>
        <v>19.1343584572725</v>
      </c>
      <c r="AM25" s="181" t="n">
        <f aca="false">AK25+AL25</f>
        <v>679.134358457273</v>
      </c>
      <c r="AN25" s="212"/>
      <c r="AO25" s="179" t="n">
        <v>5</v>
      </c>
      <c r="AP25" s="97" t="n">
        <f aca="false">(I25-AO25)-Q25-R25-Y25-AF25</f>
        <v>-169.841449143926</v>
      </c>
      <c r="AQ25" s="155" t="n">
        <f aca="false">47*(Z25*1.9835+AC25*1.9835)/E25</f>
        <v>0</v>
      </c>
      <c r="AR25" s="155"/>
      <c r="AS25" s="168" t="n">
        <v>9.5</v>
      </c>
      <c r="AT25" s="4"/>
      <c r="AU25" s="4"/>
      <c r="AV25" s="506" t="n">
        <v>0</v>
      </c>
      <c r="AW25" s="178" t="n">
        <v>89</v>
      </c>
      <c r="AX25" s="178" t="n">
        <v>58</v>
      </c>
      <c r="AY25" s="286"/>
      <c r="AZ25" s="242" t="n">
        <f aca="false">SUM(N25,P25:U25)</f>
        <v>11.6682725086758</v>
      </c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9" t="n">
        <v>12</v>
      </c>
      <c r="B26" s="507" t="n">
        <v>6914.43</v>
      </c>
      <c r="C26" s="173" t="n">
        <v>340012</v>
      </c>
      <c r="D26" s="178" t="n">
        <f aca="false">C26-C25</f>
        <v>-1035</v>
      </c>
      <c r="E26" s="173" t="n">
        <f aca="false">C26-152000</f>
        <v>188012</v>
      </c>
      <c r="F26" s="519" t="n">
        <f aca="false">D26/$D$2</f>
        <v>-521.804890345349</v>
      </c>
      <c r="G26" s="181" t="n">
        <v>182</v>
      </c>
      <c r="H26" s="182" t="n">
        <v>0</v>
      </c>
      <c r="I26" s="181" t="n">
        <f aca="false">G26+H26</f>
        <v>182</v>
      </c>
      <c r="J26" s="175" t="n">
        <f aca="false">IF(L26&gt;0,L26,0)</f>
        <v>0</v>
      </c>
      <c r="K26" s="181" t="n">
        <f aca="false">I26+J26</f>
        <v>182</v>
      </c>
      <c r="L26" s="181" t="n">
        <f aca="false">F26-(I26-AK26)</f>
        <v>-6.80489034534912</v>
      </c>
      <c r="M26" s="520" t="n">
        <v>272</v>
      </c>
      <c r="N26" s="155" t="n">
        <f aca="false">(1.8299*1.03)/2</f>
        <v>0.9423985</v>
      </c>
      <c r="O26" s="181" t="n">
        <f aca="false">(39+40)*1.05</f>
        <v>82.95</v>
      </c>
      <c r="P26" s="155" t="n">
        <v>0</v>
      </c>
      <c r="Q26" s="328" t="n">
        <f aca="false">1914600/325851/1.9835*1.02</f>
        <v>3.02153036727394</v>
      </c>
      <c r="R26" s="328" t="n">
        <v>4.2</v>
      </c>
      <c r="S26" s="131" t="n">
        <f aca="false">((4493511/325851/1.9835-T26)*1.04)-4.2</f>
        <v>1.43134699245603</v>
      </c>
      <c r="T26" s="131" t="n">
        <f aca="false">1.4785*1.04</f>
        <v>1.53764</v>
      </c>
      <c r="U26" s="346" t="n">
        <v>0</v>
      </c>
      <c r="V26" s="181" t="n">
        <v>97</v>
      </c>
      <c r="W26" s="181" t="n">
        <v>79</v>
      </c>
      <c r="X26" s="135" t="n">
        <f aca="false">M26-N26-O26-P26-Q26-R26-S26-T26-U26+V26+W26-AT26+AR26</f>
        <v>353.91708414027</v>
      </c>
      <c r="Y26" s="135" t="n">
        <f aca="false">X26-AO26</f>
        <v>348.91708414027</v>
      </c>
      <c r="Z26" s="107"/>
      <c r="AA26" s="135"/>
      <c r="AB26" s="107"/>
      <c r="AC26" s="107"/>
      <c r="AD26" s="107" t="n">
        <f aca="false">AD25+AP26</f>
        <v>6333.81293638779</v>
      </c>
      <c r="AE26" s="181" t="n">
        <v>174</v>
      </c>
      <c r="AF26" s="240" t="n">
        <v>1.7</v>
      </c>
      <c r="AG26" s="241" t="n">
        <v>1.3</v>
      </c>
      <c r="AH26" s="181" t="n">
        <v>75</v>
      </c>
      <c r="AI26" s="173" t="n">
        <f aca="false">AI25-AH26</f>
        <v>9510.25787748929</v>
      </c>
      <c r="AJ26" s="173"/>
      <c r="AK26" s="11" t="n">
        <f aca="false">N26+O26+P26+Q26+R26+S26+T26+U26+X26+AE26+AH26-AR26</f>
        <v>697</v>
      </c>
      <c r="AL26" s="181" t="n">
        <f aca="false">IF(L26&lt;0,L26*-1,0)</f>
        <v>6.80489034534912</v>
      </c>
      <c r="AM26" s="181" t="n">
        <f aca="false">AK26+AL26</f>
        <v>703.804890345349</v>
      </c>
      <c r="AN26" s="212"/>
      <c r="AO26" s="179" t="n">
        <v>5</v>
      </c>
      <c r="AP26" s="97" t="n">
        <f aca="false">(I26-AO26)-Q26-R26-Y26-AF26</f>
        <v>-180.838614507544</v>
      </c>
      <c r="AQ26" s="155" t="n">
        <f aca="false">47*(Z26*1.9835+AC26*1.9835)/E26</f>
        <v>0</v>
      </c>
      <c r="AR26" s="155"/>
      <c r="AS26" s="168" t="n">
        <v>9.5</v>
      </c>
      <c r="AT26" s="4"/>
      <c r="AU26" s="4"/>
      <c r="AV26" s="506" t="n">
        <v>0</v>
      </c>
      <c r="AW26" s="178" t="n">
        <v>93</v>
      </c>
      <c r="AX26" s="178" t="n">
        <v>58</v>
      </c>
      <c r="AY26" s="286"/>
      <c r="AZ26" s="242" t="n">
        <f aca="false">SUM(N26,P26:U26)</f>
        <v>11.13291585973</v>
      </c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9" t="n">
        <v>13</v>
      </c>
      <c r="B27" s="507" t="n">
        <v>6914.18</v>
      </c>
      <c r="C27" s="173" t="n">
        <v>338976</v>
      </c>
      <c r="D27" s="178" t="n">
        <f aca="false">C27-C26</f>
        <v>-1036</v>
      </c>
      <c r="E27" s="173" t="n">
        <f aca="false">C27-152000</f>
        <v>186976</v>
      </c>
      <c r="F27" s="519" t="n">
        <f aca="false">D27/$D$2</f>
        <v>-522.309049659693</v>
      </c>
      <c r="G27" s="181" t="n">
        <v>176</v>
      </c>
      <c r="H27" s="182" t="n">
        <v>0</v>
      </c>
      <c r="I27" s="181" t="n">
        <f aca="false">G27+H27</f>
        <v>176</v>
      </c>
      <c r="J27" s="175" t="n">
        <f aca="false">IF(L27&gt;0,L27,0)</f>
        <v>0</v>
      </c>
      <c r="K27" s="181" t="n">
        <f aca="false">I27+J27</f>
        <v>176</v>
      </c>
      <c r="L27" s="181" t="n">
        <f aca="false">F27-(I27-AK27)</f>
        <v>-17.3090496596925</v>
      </c>
      <c r="M27" s="520" t="n">
        <v>258</v>
      </c>
      <c r="N27" s="155" t="n">
        <f aca="false">(1.8299*1.03)/2</f>
        <v>0.9423985</v>
      </c>
      <c r="O27" s="181" t="n">
        <f aca="false">(39+38)*1.05</f>
        <v>80.85</v>
      </c>
      <c r="P27" s="155" t="n">
        <v>0</v>
      </c>
      <c r="Q27" s="328" t="n">
        <f aca="false">1843600/325851/1.9835*1.02</f>
        <v>2.90948155494946</v>
      </c>
      <c r="R27" s="328" t="n">
        <v>4.2</v>
      </c>
      <c r="S27" s="131" t="n">
        <f aca="false">(((5118863)/325851/1.9835-T27)*1.04)-4.2</f>
        <v>2.43759867486597</v>
      </c>
      <c r="T27" s="131" t="n">
        <f aca="false">1.4785*1.04</f>
        <v>1.53764</v>
      </c>
      <c r="U27" s="346" t="n">
        <v>0</v>
      </c>
      <c r="V27" s="181" t="n">
        <v>94</v>
      </c>
      <c r="W27" s="181" t="n">
        <v>79</v>
      </c>
      <c r="X27" s="135" t="n">
        <f aca="false">M27-N27-O27-P27-Q27-R27-S27-T27-U27+V27+W27-AT27+AR27</f>
        <v>338.122881270184</v>
      </c>
      <c r="Y27" s="135" t="n">
        <f aca="false">X27-AO27</f>
        <v>333.122881270185</v>
      </c>
      <c r="Z27" s="107"/>
      <c r="AA27" s="135"/>
      <c r="AB27" s="107"/>
      <c r="AC27" s="107"/>
      <c r="AD27" s="107" t="n">
        <f aca="false">AD26+AP27</f>
        <v>6162.88057356265</v>
      </c>
      <c r="AE27" s="181" t="n">
        <v>175</v>
      </c>
      <c r="AF27" s="240" t="n">
        <v>1.7</v>
      </c>
      <c r="AG27" s="241" t="n">
        <v>1.3</v>
      </c>
      <c r="AH27" s="181" t="n">
        <v>75</v>
      </c>
      <c r="AI27" s="173" t="n">
        <f aca="false">AI26-AH27</f>
        <v>9435.25787748929</v>
      </c>
      <c r="AJ27" s="173"/>
      <c r="AK27" s="11" t="n">
        <f aca="false">N27+O27+P27+Q27+R27+S27+T27+U27+X27+AE27+AH27-AR27</f>
        <v>681</v>
      </c>
      <c r="AL27" s="181" t="n">
        <f aca="false">IF(L27&lt;0,L27*-1,0)</f>
        <v>17.3090496596925</v>
      </c>
      <c r="AM27" s="181" t="n">
        <f aca="false">AK27+AL27</f>
        <v>698.309049659693</v>
      </c>
      <c r="AN27" s="212"/>
      <c r="AO27" s="179" t="n">
        <v>5</v>
      </c>
      <c r="AP27" s="97" t="n">
        <f aca="false">(I27-AO27)-Q27-R27-Y27-AF27</f>
        <v>-170.932362825134</v>
      </c>
      <c r="AQ27" s="155" t="n">
        <f aca="false">47*(Z27*1.9835+AC27*1.9835)/E27</f>
        <v>0</v>
      </c>
      <c r="AR27" s="155"/>
      <c r="AS27" s="168" t="n">
        <v>9.5</v>
      </c>
      <c r="AT27" s="4"/>
      <c r="AU27" s="4"/>
      <c r="AV27" s="506" t="n">
        <v>0</v>
      </c>
      <c r="AW27" s="178" t="n">
        <v>96</v>
      </c>
      <c r="AX27" s="178" t="n">
        <v>59</v>
      </c>
      <c r="AY27" s="286"/>
      <c r="AZ27" s="242" t="n">
        <f aca="false">SUM(N27,P27:U27)</f>
        <v>12.0271187298154</v>
      </c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9" t="n">
        <v>14</v>
      </c>
      <c r="B28" s="507" t="n">
        <v>6913.92</v>
      </c>
      <c r="C28" s="173" t="n">
        <v>337902</v>
      </c>
      <c r="D28" s="178" t="n">
        <f aca="false">C28-C27</f>
        <v>-1074</v>
      </c>
      <c r="E28" s="173" t="n">
        <f aca="false">C28-152000</f>
        <v>185902</v>
      </c>
      <c r="F28" s="519" t="n">
        <f aca="false">D28/$D$2</f>
        <v>-541.467103604739</v>
      </c>
      <c r="G28" s="181" t="n">
        <v>176</v>
      </c>
      <c r="H28" s="182" t="n">
        <v>0</v>
      </c>
      <c r="I28" s="181" t="n">
        <f aca="false">G28+H28</f>
        <v>176</v>
      </c>
      <c r="J28" s="175" t="n">
        <f aca="false">IF(L28&gt;0,L28,0)</f>
        <v>0</v>
      </c>
      <c r="K28" s="181" t="n">
        <f aca="false">I28+J28</f>
        <v>176</v>
      </c>
      <c r="L28" s="181" t="n">
        <f aca="false">F28-(I28-AK28)</f>
        <v>-31.4671036047391</v>
      </c>
      <c r="M28" s="520" t="n">
        <v>261</v>
      </c>
      <c r="N28" s="155" t="n">
        <f aca="false">(1.8299*1.03)/2</f>
        <v>0.9423985</v>
      </c>
      <c r="O28" s="181" t="n">
        <f aca="false">(38+38)*1.05</f>
        <v>79.8</v>
      </c>
      <c r="P28" s="155" t="n">
        <v>0</v>
      </c>
      <c r="Q28" s="328" t="n">
        <f aca="false">1720300/325851/1.9835*1.02</f>
        <v>2.71489537805356</v>
      </c>
      <c r="R28" s="328" t="n">
        <v>4.2</v>
      </c>
      <c r="S28" s="131" t="n">
        <f aca="false">(((4066273)/325851/1.9835-T28)*1.04)-4.2</f>
        <v>0.743879843890975</v>
      </c>
      <c r="T28" s="131" t="n">
        <f aca="false">1.4785*1.04</f>
        <v>1.53764</v>
      </c>
      <c r="U28" s="346" t="n">
        <v>0</v>
      </c>
      <c r="V28" s="181" t="n">
        <v>100</v>
      </c>
      <c r="W28" s="181" t="n">
        <v>80</v>
      </c>
      <c r="X28" s="135" t="n">
        <f aca="false">M28-N28-O28-P28-Q28-R28-S28-T28-U28+V28+W28-AT28+AR28</f>
        <v>351.061186278055</v>
      </c>
      <c r="Y28" s="135" t="n">
        <f aca="false">X28-AO28</f>
        <v>346.061186278055</v>
      </c>
      <c r="Z28" s="107"/>
      <c r="AA28" s="135"/>
      <c r="AB28" s="107"/>
      <c r="AC28" s="107"/>
      <c r="AD28" s="107" t="n">
        <f aca="false">AD27+AP28</f>
        <v>5979.20449190654</v>
      </c>
      <c r="AE28" s="181" t="n">
        <v>170</v>
      </c>
      <c r="AF28" s="240" t="n">
        <v>1.7</v>
      </c>
      <c r="AG28" s="241" t="n">
        <v>1.3</v>
      </c>
      <c r="AH28" s="181" t="n">
        <v>75</v>
      </c>
      <c r="AI28" s="173" t="n">
        <f aca="false">AI27-AH28</f>
        <v>9360.25787748929</v>
      </c>
      <c r="AJ28" s="173"/>
      <c r="AK28" s="11" t="n">
        <f aca="false">N28+O28+P28+Q28+R28+S28+T28+U28+X28+AE28+AH28-AR28</f>
        <v>686</v>
      </c>
      <c r="AL28" s="181" t="n">
        <f aca="false">IF(L28&lt;0,L28*-1,0)</f>
        <v>31.4671036047391</v>
      </c>
      <c r="AM28" s="181" t="n">
        <f aca="false">AK28+AL28</f>
        <v>717.467103604739</v>
      </c>
      <c r="AN28" s="212"/>
      <c r="AO28" s="179" t="n">
        <v>5</v>
      </c>
      <c r="AP28" s="97" t="n">
        <f aca="false">(I28-AO28)-Q28-R28-Y28-AF28</f>
        <v>-183.676081656109</v>
      </c>
      <c r="AQ28" s="155" t="n">
        <f aca="false">47*(Z28*1.9835+AC28*1.9835)/E28</f>
        <v>0</v>
      </c>
      <c r="AR28" s="155"/>
      <c r="AS28" s="168" t="n">
        <v>9.5</v>
      </c>
      <c r="AT28" s="4"/>
      <c r="AU28" s="4"/>
      <c r="AV28" s="506" t="n">
        <v>0</v>
      </c>
      <c r="AW28" s="178" t="n">
        <v>86</v>
      </c>
      <c r="AX28" s="178" t="n">
        <v>61</v>
      </c>
      <c r="AY28" s="286"/>
      <c r="AZ28" s="242" t="n">
        <f aca="false">SUM(N28,P28:U28)</f>
        <v>10.1388137219445</v>
      </c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9" t="n">
        <v>15</v>
      </c>
      <c r="B29" s="507" t="n">
        <v>6913.66</v>
      </c>
      <c r="C29" s="173" t="n">
        <v>336833</v>
      </c>
      <c r="D29" s="178" t="n">
        <f aca="false">C29-C28</f>
        <v>-1069</v>
      </c>
      <c r="E29" s="173" t="n">
        <f aca="false">C29-152000</f>
        <v>184833</v>
      </c>
      <c r="F29" s="519" t="n">
        <f aca="false">D29/$D$2</f>
        <v>-538.946307033022</v>
      </c>
      <c r="G29" s="181" t="n">
        <v>182</v>
      </c>
      <c r="H29" s="182" t="n">
        <v>0</v>
      </c>
      <c r="I29" s="181" t="n">
        <f aca="false">G29+H29</f>
        <v>182</v>
      </c>
      <c r="J29" s="175" t="n">
        <f aca="false">IF(L29&gt;0,L29,0)</f>
        <v>0.173692966977455</v>
      </c>
      <c r="K29" s="181" t="n">
        <f aca="false">I29+J29</f>
        <v>182.173692966977</v>
      </c>
      <c r="L29" s="181" t="n">
        <f aca="false">F29-(I29-AK29)</f>
        <v>0.173692966977455</v>
      </c>
      <c r="M29" s="520" t="n">
        <v>261</v>
      </c>
      <c r="N29" s="155" t="n">
        <f aca="false">(1.8299*1.03)/2</f>
        <v>0.9423985</v>
      </c>
      <c r="O29" s="181" t="n">
        <f aca="false">(40+40)*1.05</f>
        <v>84</v>
      </c>
      <c r="P29" s="155" t="n">
        <v>0</v>
      </c>
      <c r="Q29" s="328" t="n">
        <f aca="false">1882500/325851/1.9835*1.02</f>
        <v>2.97087167888498</v>
      </c>
      <c r="R29" s="328" t="n">
        <v>4.2</v>
      </c>
      <c r="S29" s="131" t="n">
        <f aca="false">((4977823/325851/1.9835-T29)*1.04)-4.2</f>
        <v>2.21065171173625</v>
      </c>
      <c r="T29" s="131" t="n">
        <f aca="false">1.4785*1.04</f>
        <v>1.53764</v>
      </c>
      <c r="U29" s="346" t="n">
        <v>0</v>
      </c>
      <c r="V29" s="181" t="n">
        <v>99</v>
      </c>
      <c r="W29" s="181" t="n">
        <v>80</v>
      </c>
      <c r="X29" s="135" t="n">
        <f aca="false">M29-N29-O29-P29-Q29-R29-S29-T29-U29+V29+W29-AT29+AR29</f>
        <v>343.258438109379</v>
      </c>
      <c r="Y29" s="135" t="n">
        <f aca="false">X29-AO29</f>
        <v>338.258438109379</v>
      </c>
      <c r="Z29" s="107"/>
      <c r="AA29" s="135"/>
      <c r="AB29" s="107"/>
      <c r="AC29" s="107"/>
      <c r="AD29" s="107" t="n">
        <f aca="false">AD28+AP29</f>
        <v>5809.07518211828</v>
      </c>
      <c r="AE29" s="181" t="n">
        <v>207</v>
      </c>
      <c r="AF29" s="240" t="n">
        <v>1.7</v>
      </c>
      <c r="AG29" s="241" t="n">
        <v>1.3</v>
      </c>
      <c r="AH29" s="181" t="n">
        <v>75</v>
      </c>
      <c r="AI29" s="173" t="n">
        <f aca="false">AI28-AH29</f>
        <v>9285.25787748929</v>
      </c>
      <c r="AJ29" s="173"/>
      <c r="AK29" s="11" t="n">
        <f aca="false">N29+O29+P29+Q29+R29+S29+T29+U29+X29+AE29+AH29-AR29</f>
        <v>721.12</v>
      </c>
      <c r="AL29" s="181" t="n">
        <f aca="false">IF(L29&lt;0,L29*-1,0)</f>
        <v>0</v>
      </c>
      <c r="AM29" s="181" t="n">
        <f aca="false">AK29+AL29</f>
        <v>721.12</v>
      </c>
      <c r="AN29" s="212"/>
      <c r="AO29" s="179" t="n">
        <v>5</v>
      </c>
      <c r="AP29" s="97" t="n">
        <f aca="false">(I29-AO29)-Q29-R29-Y29-AF29</f>
        <v>-170.129309788264</v>
      </c>
      <c r="AQ29" s="155" t="n">
        <f aca="false">47*(Z29*1.9835+AC29*1.9835)/E29</f>
        <v>0</v>
      </c>
      <c r="AR29" s="155"/>
      <c r="AS29" s="168" t="n">
        <v>9.5</v>
      </c>
      <c r="AT29" s="4" t="n">
        <v>0.88</v>
      </c>
      <c r="AU29" s="4"/>
      <c r="AV29" s="506" t="n">
        <v>0</v>
      </c>
      <c r="AW29" s="178" t="n">
        <v>88</v>
      </c>
      <c r="AX29" s="178" t="n">
        <v>58</v>
      </c>
      <c r="AY29" s="286"/>
      <c r="AZ29" s="242" t="n">
        <f aca="false">SUM(N29,P29:U29)</f>
        <v>11.8615618906212</v>
      </c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9" t="n">
        <v>16</v>
      </c>
      <c r="B30" s="507" t="n">
        <v>6913.41</v>
      </c>
      <c r="C30" s="173" t="n">
        <v>335806</v>
      </c>
      <c r="D30" s="178" t="n">
        <f aca="false">C30-C29</f>
        <v>-1027</v>
      </c>
      <c r="E30" s="173" t="n">
        <f aca="false">C30-152000</f>
        <v>183806</v>
      </c>
      <c r="F30" s="519" t="n">
        <f aca="false">D30/$D$2</f>
        <v>-517.771615830603</v>
      </c>
      <c r="G30" s="181" t="n">
        <v>212</v>
      </c>
      <c r="H30" s="182" t="n">
        <v>0</v>
      </c>
      <c r="I30" s="181" t="n">
        <f aca="false">G30+H30</f>
        <v>212</v>
      </c>
      <c r="J30" s="175" t="n">
        <f aca="false">IF(L30&gt;0,L30,0)</f>
        <v>14.8283841693975</v>
      </c>
      <c r="K30" s="181" t="n">
        <f aca="false">I30+J30</f>
        <v>226.828384169398</v>
      </c>
      <c r="L30" s="181" t="n">
        <f aca="false">F30-(I30-AK30)</f>
        <v>14.8283841693975</v>
      </c>
      <c r="M30" s="520" t="n">
        <v>269</v>
      </c>
      <c r="N30" s="155" t="n">
        <f aca="false">(1.8299*1.03)/2</f>
        <v>0.9423985</v>
      </c>
      <c r="O30" s="181" t="n">
        <f aca="false">(36+35)*1.05</f>
        <v>74.55</v>
      </c>
      <c r="P30" s="155" t="n">
        <v>0</v>
      </c>
      <c r="Q30" s="328" t="n">
        <f aca="false">1898900/325851/1.9835*1.02</f>
        <v>2.99675337637965</v>
      </c>
      <c r="R30" s="328" t="n">
        <v>4.2</v>
      </c>
      <c r="S30" s="131" t="n">
        <f aca="false">((4364239/325851/1.9835-T30)*1.04)-4.2</f>
        <v>1.22333587633504</v>
      </c>
      <c r="T30" s="131" t="n">
        <f aca="false">1.4785*1.04</f>
        <v>1.53764</v>
      </c>
      <c r="U30" s="346" t="n">
        <v>0</v>
      </c>
      <c r="V30" s="181" t="n">
        <v>99</v>
      </c>
      <c r="W30" s="181" t="n">
        <v>81</v>
      </c>
      <c r="X30" s="135" t="n">
        <f aca="false">M30-N30-O30-P30-Q30-R30-S30-T30-U30+V30+W30-AT30+AR30</f>
        <v>361.149872247285</v>
      </c>
      <c r="Y30" s="135" t="n">
        <f aca="false">X30-AO30</f>
        <v>356.149872247285</v>
      </c>
      <c r="Z30" s="107"/>
      <c r="AA30" s="135"/>
      <c r="AB30" s="107"/>
      <c r="AC30" s="107"/>
      <c r="AD30" s="107" t="n">
        <f aca="false">AD29+AP30</f>
        <v>5651.02855649462</v>
      </c>
      <c r="AE30" s="181" t="n">
        <v>235</v>
      </c>
      <c r="AF30" s="240" t="n">
        <v>1.7</v>
      </c>
      <c r="AG30" s="241" t="n">
        <v>1.3</v>
      </c>
      <c r="AH30" s="181" t="n">
        <v>63</v>
      </c>
      <c r="AI30" s="173" t="n">
        <f aca="false">AI29-AH30</f>
        <v>9222.25787748929</v>
      </c>
      <c r="AJ30" s="173"/>
      <c r="AK30" s="11" t="n">
        <f aca="false">N30+O30+P30+Q30+R30+S30+T30+U30+X30+AE30+AH30-AR30</f>
        <v>744.6</v>
      </c>
      <c r="AL30" s="181" t="n">
        <f aca="false">IF(L30&lt;0,L30*-1,0)</f>
        <v>0</v>
      </c>
      <c r="AM30" s="181" t="n">
        <f aca="false">AK30+AL30</f>
        <v>744.6</v>
      </c>
      <c r="AN30" s="212"/>
      <c r="AO30" s="179" t="n">
        <v>5</v>
      </c>
      <c r="AP30" s="97" t="n">
        <f aca="false">(I30-AO30)-Q30-R30-Y30-AF30</f>
        <v>-158.046625623665</v>
      </c>
      <c r="AQ30" s="155" t="n">
        <f aca="false">47*(Z30*1.9835+AC30*1.9835)/E30</f>
        <v>0</v>
      </c>
      <c r="AR30" s="155"/>
      <c r="AS30" s="168" t="n">
        <v>9.5</v>
      </c>
      <c r="AT30" s="4" t="n">
        <v>2.4</v>
      </c>
      <c r="AU30" s="4"/>
      <c r="AV30" s="506" t="n">
        <v>0</v>
      </c>
      <c r="AW30" s="178" t="n">
        <v>93</v>
      </c>
      <c r="AX30" s="178" t="n">
        <v>56</v>
      </c>
      <c r="AY30" s="286"/>
      <c r="AZ30" s="242" t="n">
        <f aca="false">SUM(N30,P30:U30)</f>
        <v>10.9001277527147</v>
      </c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9" t="n">
        <v>17</v>
      </c>
      <c r="B31" s="507" t="n">
        <v>6913.15</v>
      </c>
      <c r="C31" s="173" t="n">
        <v>334738</v>
      </c>
      <c r="D31" s="178" t="n">
        <f aca="false">C31-C30</f>
        <v>-1068</v>
      </c>
      <c r="E31" s="173" t="n">
        <f aca="false">C31-152000</f>
        <v>182738</v>
      </c>
      <c r="F31" s="519" t="n">
        <f aca="false">D31/$D$2</f>
        <v>-538.442147718679</v>
      </c>
      <c r="G31" s="181" t="n">
        <v>212</v>
      </c>
      <c r="H31" s="182" t="n">
        <v>0</v>
      </c>
      <c r="I31" s="181" t="n">
        <f aca="false">G31+H31</f>
        <v>212</v>
      </c>
      <c r="J31" s="175" t="n">
        <f aca="false">IF(L31&gt;0,L31,0)</f>
        <v>10.237852281321</v>
      </c>
      <c r="K31" s="181" t="n">
        <f aca="false">I31+J31</f>
        <v>222.237852281321</v>
      </c>
      <c r="L31" s="181" t="n">
        <f aca="false">F31-(I31-AK31)</f>
        <v>10.237852281321</v>
      </c>
      <c r="M31" s="520" t="n">
        <v>282</v>
      </c>
      <c r="N31" s="155" t="n">
        <f aca="false">(1.8299*1.03)/2</f>
        <v>0.9423985</v>
      </c>
      <c r="O31" s="181" t="n">
        <f aca="false">(41+42)*1.05</f>
        <v>87.15</v>
      </c>
      <c r="P31" s="155" t="n">
        <v>0</v>
      </c>
      <c r="Q31" s="328" t="n">
        <f aca="false">1827300/325851/1.9835*1.02</f>
        <v>2.88375767268341</v>
      </c>
      <c r="R31" s="328" t="n">
        <v>4.2</v>
      </c>
      <c r="S31" s="131" t="n">
        <f aca="false">(((5035164)/325851/1.9835-T31)*1.04)-4.2</f>
        <v>2.30291891120322</v>
      </c>
      <c r="T31" s="131" t="n">
        <f aca="false">1.4785*1.04</f>
        <v>1.53764</v>
      </c>
      <c r="U31" s="346" t="n">
        <v>0</v>
      </c>
      <c r="V31" s="181" t="n">
        <v>103</v>
      </c>
      <c r="W31" s="181" t="n">
        <v>81</v>
      </c>
      <c r="X31" s="135" t="n">
        <f aca="false">M31-N31-O31-P31-Q31-R31-S31-T31-U31+V31+W31-AT31+AR31</f>
        <v>365.663284916113</v>
      </c>
      <c r="Y31" s="135" t="n">
        <f aca="false">X31-AO31</f>
        <v>360.663284916113</v>
      </c>
      <c r="Z31" s="107"/>
      <c r="AA31" s="135"/>
      <c r="AB31" s="107"/>
      <c r="AC31" s="107"/>
      <c r="AD31" s="107" t="n">
        <f aca="false">AD30+AP31</f>
        <v>5488.58151390582</v>
      </c>
      <c r="AE31" s="181" t="n">
        <v>241</v>
      </c>
      <c r="AF31" s="240" t="n">
        <v>1.7</v>
      </c>
      <c r="AG31" s="241" t="n">
        <v>1.3</v>
      </c>
      <c r="AH31" s="181" t="n">
        <v>55</v>
      </c>
      <c r="AI31" s="173" t="n">
        <f aca="false">AI30-AH31</f>
        <v>9167.25787748929</v>
      </c>
      <c r="AJ31" s="173"/>
      <c r="AK31" s="11" t="n">
        <f aca="false">N31+O31+P31+Q31+R31+S31+T31+U31+X31+AE31+AH31-AR31</f>
        <v>760.68</v>
      </c>
      <c r="AL31" s="181" t="n">
        <f aca="false">IF(L31&lt;0,L31*-1,0)</f>
        <v>0</v>
      </c>
      <c r="AM31" s="181" t="n">
        <f aca="false">AK31+AL31</f>
        <v>760.68</v>
      </c>
      <c r="AN31" s="212"/>
      <c r="AO31" s="179" t="n">
        <v>5</v>
      </c>
      <c r="AP31" s="97" t="n">
        <f aca="false">(I31-AO31)-Q31-R31-Y31-AF31</f>
        <v>-162.447042588797</v>
      </c>
      <c r="AQ31" s="155" t="n">
        <f aca="false">47*(Z31*1.9835+AC31*1.9835)/E31</f>
        <v>0</v>
      </c>
      <c r="AR31" s="155"/>
      <c r="AS31" s="168" t="n">
        <v>9.5</v>
      </c>
      <c r="AT31" s="4" t="n">
        <v>1.32</v>
      </c>
      <c r="AU31" s="4"/>
      <c r="AV31" s="506" t="n">
        <v>0</v>
      </c>
      <c r="AW31" s="178" t="n">
        <v>95</v>
      </c>
      <c r="AX31" s="178" t="n">
        <v>57</v>
      </c>
      <c r="AY31" s="286"/>
      <c r="AZ31" s="242" t="n">
        <f aca="false">SUM(N31,P31:U31)</f>
        <v>11.8667150838866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9" t="n">
        <v>18</v>
      </c>
      <c r="B32" s="507" t="n">
        <v>6912.9</v>
      </c>
      <c r="C32" s="173" t="n">
        <v>333714</v>
      </c>
      <c r="D32" s="178" t="n">
        <f aca="false">C32-C31</f>
        <v>-1024</v>
      </c>
      <c r="E32" s="173" t="n">
        <f aca="false">C32-152000</f>
        <v>181714</v>
      </c>
      <c r="F32" s="519" t="n">
        <f aca="false">D32/$D$2</f>
        <v>-516.259137887572</v>
      </c>
      <c r="G32" s="181" t="n">
        <v>209</v>
      </c>
      <c r="H32" s="182" t="n">
        <v>0</v>
      </c>
      <c r="I32" s="181" t="n">
        <f aca="false">G32+H32</f>
        <v>209</v>
      </c>
      <c r="J32" s="175" t="n">
        <f aca="false">IF(L32&gt;0,L32,0)</f>
        <v>8.42086211242747</v>
      </c>
      <c r="K32" s="181" t="n">
        <f aca="false">I32+J32</f>
        <v>217.420862112427</v>
      </c>
      <c r="L32" s="181" t="n">
        <f aca="false">F32-(I32-AK32)</f>
        <v>8.42086211242747</v>
      </c>
      <c r="M32" s="520" t="n">
        <v>262</v>
      </c>
      <c r="N32" s="155" t="n">
        <f aca="false">(1.8299*1.03)/2</f>
        <v>0.9423985</v>
      </c>
      <c r="O32" s="181" t="n">
        <f aca="false">(38+37)*1.05</f>
        <v>78.75</v>
      </c>
      <c r="P32" s="155" t="n">
        <v>0</v>
      </c>
      <c r="Q32" s="328" t="n">
        <f aca="false">1740500/325851/1.9835*1.02</f>
        <v>2.74677405423602</v>
      </c>
      <c r="R32" s="328" t="n">
        <v>4.2</v>
      </c>
      <c r="S32" s="131" t="n">
        <f aca="false">((5130964/325851/1.9835-T32)*1.04)-4.2</f>
        <v>2.45707035099213</v>
      </c>
      <c r="T32" s="131" t="n">
        <f aca="false">1.4785*1.04</f>
        <v>1.53764</v>
      </c>
      <c r="U32" s="346" t="n">
        <v>0</v>
      </c>
      <c r="V32" s="181" t="n">
        <v>107</v>
      </c>
      <c r="W32" s="181" t="n">
        <v>82</v>
      </c>
      <c r="X32" s="135" t="n">
        <f aca="false">M32-N32-O32-P32-Q32-R32-S32-T32-U32+V32+W32-AT32+AR32</f>
        <v>359.046117094772</v>
      </c>
      <c r="Y32" s="135" t="n">
        <f aca="false">X32-AO32</f>
        <v>354.046117094772</v>
      </c>
      <c r="Z32" s="107"/>
      <c r="AA32" s="135"/>
      <c r="AB32" s="107"/>
      <c r="AC32" s="107"/>
      <c r="AD32" s="107" t="n">
        <f aca="false">AD31+AP32</f>
        <v>5329.88862275681</v>
      </c>
      <c r="AE32" s="181" t="n">
        <v>228</v>
      </c>
      <c r="AF32" s="240" t="n">
        <v>1.7</v>
      </c>
      <c r="AG32" s="241" t="n">
        <v>1.3</v>
      </c>
      <c r="AH32" s="181" t="n">
        <v>56</v>
      </c>
      <c r="AI32" s="173" t="n">
        <f aca="false">AI31-AH32</f>
        <v>9111.25787748929</v>
      </c>
      <c r="AJ32" s="173"/>
      <c r="AK32" s="11" t="n">
        <f aca="false">N32+O32+P32+Q32+R32+S32+T32+U32+X32+AE32+AH32-AR32</f>
        <v>733.68</v>
      </c>
      <c r="AL32" s="181" t="n">
        <f aca="false">IF(L32&lt;0,L32*-1,0)</f>
        <v>0</v>
      </c>
      <c r="AM32" s="181" t="n">
        <f aca="false">AK32+AL32</f>
        <v>733.68</v>
      </c>
      <c r="AN32" s="212"/>
      <c r="AO32" s="179" t="n">
        <v>5</v>
      </c>
      <c r="AP32" s="97" t="n">
        <f aca="false">(I32-AO32)-Q32-R32-Y32-AF32</f>
        <v>-158.692891149008</v>
      </c>
      <c r="AQ32" s="155" t="n">
        <f aca="false">47*(Z32*1.9835+AC32*1.9835)/E32</f>
        <v>0</v>
      </c>
      <c r="AR32" s="155"/>
      <c r="AS32" s="168" t="n">
        <v>9.5</v>
      </c>
      <c r="AT32" s="4" t="n">
        <v>1.32</v>
      </c>
      <c r="AU32" s="4"/>
      <c r="AV32" s="506" t="n">
        <v>0.01</v>
      </c>
      <c r="AW32" s="178" t="n">
        <v>94</v>
      </c>
      <c r="AX32" s="178" t="n">
        <v>58</v>
      </c>
      <c r="AY32" s="286"/>
      <c r="AZ32" s="242" t="n">
        <f aca="false">SUM(N32,P32:U32)</f>
        <v>11.8838829052282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9" t="n">
        <v>19</v>
      </c>
      <c r="B33" s="507" t="n">
        <v>6912.62</v>
      </c>
      <c r="C33" s="173" t="n">
        <v>332572</v>
      </c>
      <c r="D33" s="178" t="n">
        <f aca="false">C33-C32</f>
        <v>-1142</v>
      </c>
      <c r="E33" s="173" t="n">
        <f aca="false">C33-152000</f>
        <v>180572</v>
      </c>
      <c r="F33" s="519" t="n">
        <f aca="false">D33/$D$2</f>
        <v>-575.749936980086</v>
      </c>
      <c r="G33" s="181" t="n">
        <v>212</v>
      </c>
      <c r="H33" s="182" t="n">
        <v>0</v>
      </c>
      <c r="I33" s="181" t="n">
        <f aca="false">G33+H33</f>
        <v>212</v>
      </c>
      <c r="J33" s="175" t="n">
        <f aca="false">IF(L33&gt;0,L33,0)</f>
        <v>0</v>
      </c>
      <c r="K33" s="181" t="n">
        <f aca="false">I33+J33</f>
        <v>212</v>
      </c>
      <c r="L33" s="181" t="n">
        <f aca="false">F33-(I33-AK33)</f>
        <v>-37.0699369800857</v>
      </c>
      <c r="M33" s="520" t="n">
        <v>260</v>
      </c>
      <c r="N33" s="155" t="n">
        <f aca="false">(1.8299*1.03)/2</f>
        <v>0.9423985</v>
      </c>
      <c r="O33" s="181" t="n">
        <f aca="false">(37+36)*1.05</f>
        <v>76.65</v>
      </c>
      <c r="P33" s="155" t="n">
        <v>0</v>
      </c>
      <c r="Q33" s="328" t="n">
        <f aca="false">1699400/325851/1.9835*1.02</f>
        <v>2.68191199527072</v>
      </c>
      <c r="R33" s="328" t="n">
        <v>4.2</v>
      </c>
      <c r="S33" s="131" t="n">
        <f aca="false">(((4900000+24)/325851/1.9835-T33)*1.04)-4.2</f>
        <v>2.22434305712104</v>
      </c>
      <c r="T33" s="131" t="n">
        <f aca="false">1.3501*1.04</f>
        <v>1.404104</v>
      </c>
      <c r="U33" s="346" t="n">
        <v>0</v>
      </c>
      <c r="V33" s="181" t="n">
        <v>101</v>
      </c>
      <c r="W33" s="521" t="n">
        <v>81</v>
      </c>
      <c r="X33" s="135" t="n">
        <f aca="false">M33-N33-O33-P33-Q33-R33-S33-T33-U33+V33+W33-AT33+AR33</f>
        <v>352.577242447608</v>
      </c>
      <c r="Y33" s="135" t="n">
        <f aca="false">X33-AO33</f>
        <v>347.577242447608</v>
      </c>
      <c r="Z33" s="107"/>
      <c r="AA33" s="135"/>
      <c r="AB33" s="107"/>
      <c r="AC33" s="107"/>
      <c r="AD33" s="107" t="n">
        <f aca="false">AD32+AP33</f>
        <v>5180.72946831393</v>
      </c>
      <c r="AE33" s="181" t="n">
        <v>254</v>
      </c>
      <c r="AF33" s="240" t="n">
        <v>1.7</v>
      </c>
      <c r="AG33" s="241" t="n">
        <v>1.3</v>
      </c>
      <c r="AH33" s="181" t="n">
        <v>56</v>
      </c>
      <c r="AI33" s="173" t="n">
        <f aca="false">AI32-AH33</f>
        <v>9055.25787748929</v>
      </c>
      <c r="AJ33" s="173"/>
      <c r="AK33" s="11" t="n">
        <f aca="false">N33+O33+P33+Q33+R33+S33+T33+U33+X33+AE33+AH33-AR33</f>
        <v>750.68</v>
      </c>
      <c r="AL33" s="181" t="n">
        <f aca="false">IF(L33&lt;0,L33*-1,0)</f>
        <v>37.0699369800857</v>
      </c>
      <c r="AM33" s="181" t="n">
        <f aca="false">AK33+AL33</f>
        <v>787.749936980086</v>
      </c>
      <c r="AN33" s="212"/>
      <c r="AO33" s="179" t="n">
        <v>5</v>
      </c>
      <c r="AP33" s="97" t="n">
        <f aca="false">(I33-AO33)-Q33-R33-Y33-AF33</f>
        <v>-149.159154442879</v>
      </c>
      <c r="AQ33" s="155" t="n">
        <f aca="false">47*(Z33*1.9835+AC33*1.9835)/E33</f>
        <v>0</v>
      </c>
      <c r="AR33" s="155"/>
      <c r="AS33" s="168" t="n">
        <v>9.5</v>
      </c>
      <c r="AT33" s="4" t="n">
        <v>1.32</v>
      </c>
      <c r="AU33" s="4"/>
      <c r="AV33" s="506" t="n">
        <v>0</v>
      </c>
      <c r="AW33" s="178" t="n">
        <v>89</v>
      </c>
      <c r="AX33" s="178" t="n">
        <v>59</v>
      </c>
      <c r="AY33" s="286"/>
      <c r="AZ33" s="242" t="n">
        <f aca="false">SUM(N33,P33:U33)</f>
        <v>11.4527575523918</v>
      </c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9" t="n">
        <v>20</v>
      </c>
      <c r="B34" s="507" t="n">
        <v>6912.35</v>
      </c>
      <c r="C34" s="173" t="n">
        <v>331471</v>
      </c>
      <c r="D34" s="178" t="n">
        <f aca="false">C34-C33</f>
        <v>-1101</v>
      </c>
      <c r="E34" s="173" t="n">
        <f aca="false">C34-152000</f>
        <v>179471</v>
      </c>
      <c r="F34" s="519" t="n">
        <f aca="false">D34/$D$2</f>
        <v>-555.079405092009</v>
      </c>
      <c r="G34" s="181" t="n">
        <v>216</v>
      </c>
      <c r="H34" s="182" t="n">
        <v>0</v>
      </c>
      <c r="I34" s="181" t="n">
        <f aca="false">G34+H34</f>
        <v>216</v>
      </c>
      <c r="J34" s="175" t="n">
        <f aca="false">IF(L34&gt;0,L34,0)</f>
        <v>0</v>
      </c>
      <c r="K34" s="181" t="n">
        <f aca="false">I34+J34</f>
        <v>216</v>
      </c>
      <c r="L34" s="181" t="n">
        <f aca="false">F34-(I34-AK34)</f>
        <v>-39.3394050920091</v>
      </c>
      <c r="M34" s="520" t="n">
        <v>267</v>
      </c>
      <c r="N34" s="155" t="n">
        <f aca="false">(1.8299*1.03)/2</f>
        <v>0.9423985</v>
      </c>
      <c r="O34" s="181" t="n">
        <f aca="false">(41+39)*1.05</f>
        <v>84</v>
      </c>
      <c r="P34" s="155" t="n">
        <v>0</v>
      </c>
      <c r="Q34" s="328" t="n">
        <f aca="false">1663000/325851/1.9835*1.02</f>
        <v>2.62446725205085</v>
      </c>
      <c r="R34" s="328" t="n">
        <v>4.2</v>
      </c>
      <c r="S34" s="131" t="n">
        <f aca="false">((4631340/325851/1.9835-T34)*1.04)-4.2</f>
        <v>1.79200458688886</v>
      </c>
      <c r="T34" s="131" t="n">
        <f aca="false">1.3501*1.04</f>
        <v>1.404104</v>
      </c>
      <c r="U34" s="346" t="n">
        <v>0</v>
      </c>
      <c r="V34" s="181" t="n">
        <v>99</v>
      </c>
      <c r="W34" s="521" t="n">
        <v>81</v>
      </c>
      <c r="X34" s="135" t="n">
        <f aca="false">M34-N34-O34-P34-Q34-R34-S34-T34-U34+V34+W34-AT34+AR34</f>
        <v>350.77702566106</v>
      </c>
      <c r="Y34" s="135" t="n">
        <f aca="false">X34-AO34</f>
        <v>345.77702566106</v>
      </c>
      <c r="Z34" s="107"/>
      <c r="AA34" s="135"/>
      <c r="AB34" s="107"/>
      <c r="AC34" s="107"/>
      <c r="AD34" s="107" t="n">
        <f aca="false">AD33+AP34</f>
        <v>5037.42797540082</v>
      </c>
      <c r="AE34" s="181" t="n">
        <v>230</v>
      </c>
      <c r="AF34" s="240" t="n">
        <v>1.7</v>
      </c>
      <c r="AG34" s="241" t="n">
        <v>1.3</v>
      </c>
      <c r="AH34" s="181" t="n">
        <v>56</v>
      </c>
      <c r="AI34" s="173" t="n">
        <f aca="false">AI33-AH34</f>
        <v>8999.25787748929</v>
      </c>
      <c r="AJ34" s="173"/>
      <c r="AK34" s="11" t="n">
        <f aca="false">N34+O34+P34+Q34+R34+S34+T34+U34+X34+AE34+AH34-AR34</f>
        <v>731.74</v>
      </c>
      <c r="AL34" s="181" t="n">
        <f aca="false">IF(L34&lt;0,L34*-1,0)</f>
        <v>39.3394050920091</v>
      </c>
      <c r="AM34" s="181" t="n">
        <f aca="false">AK34+AL34</f>
        <v>771.079405092009</v>
      </c>
      <c r="AN34" s="212"/>
      <c r="AO34" s="179" t="n">
        <v>5</v>
      </c>
      <c r="AP34" s="97" t="n">
        <f aca="false">(I34-AO34)-Q34-R34-Y34-AF34</f>
        <v>-143.301492913111</v>
      </c>
      <c r="AQ34" s="155" t="n">
        <f aca="false">47*(Z34*1.9835+AC34*1.9835)/E34</f>
        <v>0</v>
      </c>
      <c r="AR34" s="155"/>
      <c r="AS34" s="168" t="n">
        <v>9.5</v>
      </c>
      <c r="AT34" s="4" t="n">
        <v>1.26</v>
      </c>
      <c r="AU34" s="4"/>
      <c r="AV34" s="506" t="n">
        <v>0</v>
      </c>
      <c r="AW34" s="178" t="n">
        <v>90</v>
      </c>
      <c r="AX34" s="178" t="n">
        <v>57</v>
      </c>
      <c r="AY34" s="286"/>
      <c r="AZ34" s="242" t="n">
        <f aca="false">SUM(N34,P34:U34)</f>
        <v>10.9629743389397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9" t="n">
        <v>21</v>
      </c>
      <c r="B35" s="507" t="n">
        <v>6912.15</v>
      </c>
      <c r="C35" s="173" t="n">
        <v>330656</v>
      </c>
      <c r="D35" s="178" t="n">
        <f aca="false">C35-C34</f>
        <v>-815</v>
      </c>
      <c r="E35" s="173" t="n">
        <f aca="false">C35-152000</f>
        <v>178656</v>
      </c>
      <c r="F35" s="519" t="n">
        <f aca="false">D35/$D$2</f>
        <v>-410.889841189816</v>
      </c>
      <c r="G35" s="181" t="n">
        <v>230</v>
      </c>
      <c r="H35" s="182" t="n">
        <v>0</v>
      </c>
      <c r="I35" s="181" t="n">
        <f aca="false">G35+H35</f>
        <v>230</v>
      </c>
      <c r="J35" s="175" t="n">
        <f aca="false">IF(L35&gt;0,L35,0)</f>
        <v>62.850158810184</v>
      </c>
      <c r="K35" s="181" t="n">
        <f aca="false">I35+J35</f>
        <v>292.850158810184</v>
      </c>
      <c r="L35" s="181" t="n">
        <f aca="false">F35-(I35-AK35)</f>
        <v>62.850158810184</v>
      </c>
      <c r="M35" s="520" t="n">
        <v>248</v>
      </c>
      <c r="N35" s="155" t="n">
        <f aca="false">(1.8299*1.03)/2</f>
        <v>0.9423985</v>
      </c>
      <c r="O35" s="181" t="n">
        <f aca="false">(37+37)*1.05</f>
        <v>77.7</v>
      </c>
      <c r="P35" s="155" t="n">
        <v>0</v>
      </c>
      <c r="Q35" s="328" t="n">
        <f aca="false">1697500/325851/1.9835*1.02</f>
        <v>2.67891350592683</v>
      </c>
      <c r="R35" s="328" t="n">
        <v>4.2</v>
      </c>
      <c r="S35" s="131" t="n">
        <f aca="false">(((4230182+13)/325851/1.9835-T35)*1.04)-4.2</f>
        <v>1.14652359196067</v>
      </c>
      <c r="T35" s="131" t="n">
        <f aca="false">1.3501*1.04</f>
        <v>1.404104</v>
      </c>
      <c r="U35" s="346" t="n">
        <v>0</v>
      </c>
      <c r="V35" s="181" t="n">
        <v>101</v>
      </c>
      <c r="W35" s="521" t="n">
        <v>81</v>
      </c>
      <c r="X35" s="135" t="n">
        <f aca="false">M35-N35-O35-P35-Q35-R35-S35-T35-U35+V35+W35-AT35+AR35</f>
        <v>340.668060402113</v>
      </c>
      <c r="Y35" s="135" t="n">
        <f aca="false">X35-AO35</f>
        <v>335.668060402113</v>
      </c>
      <c r="Z35" s="107"/>
      <c r="AA35" s="135"/>
      <c r="AB35" s="107"/>
      <c r="AC35" s="107"/>
      <c r="AD35" s="107" t="n">
        <f aca="false">AD34+AP35</f>
        <v>4918.18100149278</v>
      </c>
      <c r="AE35" s="181" t="n">
        <v>219</v>
      </c>
      <c r="AF35" s="240" t="n">
        <v>1.7</v>
      </c>
      <c r="AG35" s="241" t="n">
        <v>1.3</v>
      </c>
      <c r="AH35" s="181" t="n">
        <v>56</v>
      </c>
      <c r="AI35" s="173" t="n">
        <f aca="false">AI34-AH35</f>
        <v>8943.25787748929</v>
      </c>
      <c r="AJ35" s="173"/>
      <c r="AK35" s="11" t="n">
        <f aca="false">N35+O35+P35+Q35+R35+S35+T35+U35+X35+AE35+AH35-AR35</f>
        <v>703.74</v>
      </c>
      <c r="AL35" s="181" t="n">
        <f aca="false">IF(L35&lt;0,L35*-1,0)</f>
        <v>0</v>
      </c>
      <c r="AM35" s="181" t="n">
        <f aca="false">AK35+AL35</f>
        <v>703.74</v>
      </c>
      <c r="AN35" s="212"/>
      <c r="AO35" s="179" t="n">
        <v>5</v>
      </c>
      <c r="AP35" s="97" t="n">
        <f aca="false">(I35-AO35)-Q35-R35-Y35-AF35</f>
        <v>-119.246973908039</v>
      </c>
      <c r="AQ35" s="155" t="n">
        <f aca="false">47*(Z35*1.9835+AC35*1.9835)/E35</f>
        <v>0</v>
      </c>
      <c r="AR35" s="155"/>
      <c r="AS35" s="168" t="n">
        <v>9.5</v>
      </c>
      <c r="AT35" s="4" t="n">
        <v>1.26</v>
      </c>
      <c r="AU35" s="4"/>
      <c r="AV35" s="506" t="n">
        <v>0.19</v>
      </c>
      <c r="AW35" s="178" t="n">
        <v>89</v>
      </c>
      <c r="AX35" s="178" t="n">
        <v>53</v>
      </c>
      <c r="AY35" s="286"/>
      <c r="AZ35" s="242" t="n">
        <f aca="false">SUM(N35,P35:U35)</f>
        <v>10.3719395978875</v>
      </c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9" t="n">
        <v>22</v>
      </c>
      <c r="B36" s="507" t="n">
        <v>6911.92</v>
      </c>
      <c r="C36" s="173" t="n">
        <v>329721</v>
      </c>
      <c r="D36" s="178" t="n">
        <f aca="false">C36-C35</f>
        <v>-935</v>
      </c>
      <c r="E36" s="173" t="n">
        <f aca="false">C36-152000</f>
        <v>177721</v>
      </c>
      <c r="F36" s="519" t="n">
        <f aca="false">D36/$D$2</f>
        <v>-471.388958911016</v>
      </c>
      <c r="G36" s="181" t="n">
        <v>225</v>
      </c>
      <c r="H36" s="182" t="n">
        <v>0</v>
      </c>
      <c r="I36" s="181" t="n">
        <f aca="false">G36+H36</f>
        <v>225</v>
      </c>
      <c r="J36" s="175" t="n">
        <f aca="false">IF(L36&gt;0,L36,0)</f>
        <v>25.3010410889842</v>
      </c>
      <c r="K36" s="181" t="n">
        <f aca="false">I36+J36</f>
        <v>250.301041088984</v>
      </c>
      <c r="L36" s="181" t="n">
        <f aca="false">F36-(I36-AK36)</f>
        <v>25.3010410889842</v>
      </c>
      <c r="M36" s="520" t="n">
        <v>245</v>
      </c>
      <c r="N36" s="155" t="n">
        <f aca="false">(1.8299*1.03)/2</f>
        <v>0.9423985</v>
      </c>
      <c r="O36" s="181" t="n">
        <f aca="false">(37+42)*1.05</f>
        <v>82.95</v>
      </c>
      <c r="P36" s="155" t="n">
        <v>0</v>
      </c>
      <c r="Q36" s="328" t="n">
        <f aca="false">1593400/325851/1.9835*1.02</f>
        <v>2.51462785292713</v>
      </c>
      <c r="R36" s="328" t="n">
        <v>4.2</v>
      </c>
      <c r="S36" s="131" t="n">
        <f aca="false">((4153842/325851/1.9835-T36)*1.04)-4.2</f>
        <v>1.02366425081033</v>
      </c>
      <c r="T36" s="131" t="n">
        <f aca="false">1.3501*1.04</f>
        <v>1.404104</v>
      </c>
      <c r="U36" s="346" t="n">
        <v>0</v>
      </c>
      <c r="V36" s="181" t="n">
        <v>100</v>
      </c>
      <c r="W36" s="181" t="n">
        <v>82</v>
      </c>
      <c r="X36" s="135" t="n">
        <f aca="false">M36-N36-O36-P36-Q36-R36-S36-T36-U36+V36+W36-AT36+AR36</f>
        <v>332.655205396263</v>
      </c>
      <c r="Y36" s="135" t="n">
        <f aca="false">X36-AO36</f>
        <v>327.655205396263</v>
      </c>
      <c r="Z36" s="107"/>
      <c r="AA36" s="135"/>
      <c r="AB36" s="107"/>
      <c r="AC36" s="107"/>
      <c r="AD36" s="107" t="n">
        <f aca="false">AD35+AP36</f>
        <v>4802.11116824359</v>
      </c>
      <c r="AE36" s="181" t="n">
        <v>237</v>
      </c>
      <c r="AF36" s="240" t="n">
        <v>1.7</v>
      </c>
      <c r="AG36" s="241" t="n">
        <v>1.3</v>
      </c>
      <c r="AH36" s="181" t="n">
        <v>59</v>
      </c>
      <c r="AI36" s="173" t="n">
        <f aca="false">AI35-AH36</f>
        <v>8884.25787748929</v>
      </c>
      <c r="AJ36" s="173"/>
      <c r="AK36" s="11" t="n">
        <f aca="false">N36+O36+P36+Q36+R36+S36+T36+U36+X36+AE36+AH36-AR36</f>
        <v>721.69</v>
      </c>
      <c r="AL36" s="181" t="n">
        <f aca="false">IF(L36&lt;0,L36*-1,0)</f>
        <v>0</v>
      </c>
      <c r="AM36" s="181" t="n">
        <f aca="false">AK36+AL36</f>
        <v>721.69</v>
      </c>
      <c r="AN36" s="212"/>
      <c r="AO36" s="179" t="n">
        <v>5</v>
      </c>
      <c r="AP36" s="97" t="n">
        <f aca="false">(I36-AO36)-Q36-R36-Y36-AF36</f>
        <v>-116.06983324919</v>
      </c>
      <c r="AQ36" s="155" t="n">
        <f aca="false">47*(Z36*1.9835+AC36*1.9835)/E36</f>
        <v>0</v>
      </c>
      <c r="AR36" s="155"/>
      <c r="AS36" s="168" t="n">
        <v>9.5</v>
      </c>
      <c r="AT36" s="4" t="n">
        <v>1.31</v>
      </c>
      <c r="AU36" s="4"/>
      <c r="AV36" s="506" t="n">
        <v>0</v>
      </c>
      <c r="AW36" s="178" t="n">
        <v>90</v>
      </c>
      <c r="AX36" s="178" t="n">
        <v>55</v>
      </c>
      <c r="AY36" s="286"/>
      <c r="AZ36" s="242" t="n">
        <f aca="false">SUM(N36,P36:U36)</f>
        <v>10.0847946037375</v>
      </c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9" t="n">
        <v>23</v>
      </c>
      <c r="B37" s="507" t="n">
        <v>6911.69</v>
      </c>
      <c r="C37" s="173" t="n">
        <v>328790</v>
      </c>
      <c r="D37" s="178" t="n">
        <f aca="false">C37-C36</f>
        <v>-931</v>
      </c>
      <c r="E37" s="173" t="n">
        <f aca="false">C37-152000</f>
        <v>176790</v>
      </c>
      <c r="F37" s="519" t="n">
        <f aca="false">D37/$D$2</f>
        <v>-469.372321653643</v>
      </c>
      <c r="G37" s="181" t="n">
        <v>273</v>
      </c>
      <c r="H37" s="182" t="n">
        <v>0</v>
      </c>
      <c r="I37" s="181" t="n">
        <f aca="false">G37+H37</f>
        <v>273</v>
      </c>
      <c r="J37" s="175" t="n">
        <f aca="false">IF(L37&gt;0,L37,0)</f>
        <v>0</v>
      </c>
      <c r="K37" s="181" t="n">
        <f aca="false">I37+J37</f>
        <v>273</v>
      </c>
      <c r="L37" s="181" t="n">
        <f aca="false">F37-(I37-AK37)</f>
        <v>-8.61232165364254</v>
      </c>
      <c r="M37" s="520" t="n">
        <v>248</v>
      </c>
      <c r="N37" s="155" t="n">
        <f aca="false">(1.8299*1.03)/2</f>
        <v>0.9423985</v>
      </c>
      <c r="O37" s="181" t="n">
        <f aca="false">(39+39)*1.05</f>
        <v>81.9</v>
      </c>
      <c r="P37" s="155" t="n">
        <v>0</v>
      </c>
      <c r="Q37" s="328" t="n">
        <f aca="false">1751900/325851/1.9835*1.02</f>
        <v>2.76476499029939</v>
      </c>
      <c r="R37" s="328" t="n">
        <v>4.2</v>
      </c>
      <c r="S37" s="131" t="n">
        <f aca="false">(((4184786+1912)/325851/1.9835-T37)*1.04)-4.2</f>
        <v>1.07653272373</v>
      </c>
      <c r="T37" s="131" t="n">
        <f aca="false">1.3501*1.04</f>
        <v>1.404104</v>
      </c>
      <c r="U37" s="346" t="n">
        <v>0</v>
      </c>
      <c r="V37" s="181" t="n">
        <v>96</v>
      </c>
      <c r="W37" s="181" t="n">
        <v>82</v>
      </c>
      <c r="X37" s="135" t="n">
        <f aca="false">M37-N37-O37-P37-Q37-R37-S37-T37-U37+V37+W37-AT37+AR37</f>
        <v>332.472199785971</v>
      </c>
      <c r="Y37" s="135" t="n">
        <f aca="false">X37-AO37</f>
        <v>327.472199785971</v>
      </c>
      <c r="Z37" s="107"/>
      <c r="AA37" s="135"/>
      <c r="AB37" s="107"/>
      <c r="AC37" s="107"/>
      <c r="AD37" s="107" t="n">
        <f aca="false">AD36+AP37</f>
        <v>4733.97420346732</v>
      </c>
      <c r="AE37" s="181" t="n">
        <v>249</v>
      </c>
      <c r="AF37" s="240" t="n">
        <v>1.7</v>
      </c>
      <c r="AG37" s="241" t="n">
        <v>1.3</v>
      </c>
      <c r="AH37" s="181" t="n">
        <v>60</v>
      </c>
      <c r="AI37" s="173" t="n">
        <f aca="false">AI36-AH37</f>
        <v>8824.25787748929</v>
      </c>
      <c r="AJ37" s="173"/>
      <c r="AK37" s="11" t="n">
        <f aca="false">N37+O37+P37+Q37+R37+S37+T37+U37+X37+AE37+AH37-AR37</f>
        <v>733.76</v>
      </c>
      <c r="AL37" s="181" t="n">
        <f aca="false">IF(L37&lt;0,L37*-1,0)</f>
        <v>8.61232165364254</v>
      </c>
      <c r="AM37" s="181" t="n">
        <f aca="false">AK37+AL37</f>
        <v>742.372321653643</v>
      </c>
      <c r="AN37" s="212"/>
      <c r="AO37" s="179" t="n">
        <v>5</v>
      </c>
      <c r="AP37" s="97" t="n">
        <f aca="false">(I37-AO37)-Q37-R37-Y37-AF37</f>
        <v>-68.13696477627</v>
      </c>
      <c r="AQ37" s="155" t="n">
        <f aca="false">47*(Z37*1.9835+AC37*1.9835)/E37</f>
        <v>0</v>
      </c>
      <c r="AR37" s="155"/>
      <c r="AS37" s="168" t="n">
        <v>9.5</v>
      </c>
      <c r="AT37" s="4" t="n">
        <v>1.24</v>
      </c>
      <c r="AU37" s="4"/>
      <c r="AV37" s="506" t="n">
        <v>0</v>
      </c>
      <c r="AW37" s="178" t="n">
        <v>95</v>
      </c>
      <c r="AX37" s="178" t="n">
        <v>58</v>
      </c>
      <c r="AY37" s="286"/>
      <c r="AZ37" s="242" t="n">
        <f aca="false">SUM(N37,P37:U37)</f>
        <v>10.3878002140294</v>
      </c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9" t="n">
        <v>24</v>
      </c>
      <c r="B38" s="507" t="n">
        <v>6911.45</v>
      </c>
      <c r="C38" s="173" t="n">
        <v>327820</v>
      </c>
      <c r="D38" s="178" t="n">
        <f aca="false">C38-C37</f>
        <v>-970</v>
      </c>
      <c r="E38" s="173" t="n">
        <f aca="false">C38-152000</f>
        <v>175820</v>
      </c>
      <c r="F38" s="519" t="n">
        <f aca="false">D38/$D$2</f>
        <v>-489.034534913033</v>
      </c>
      <c r="G38" s="181" t="n">
        <v>287</v>
      </c>
      <c r="H38" s="182" t="n">
        <v>0</v>
      </c>
      <c r="I38" s="181" t="n">
        <f aca="false">G38+H38</f>
        <v>287</v>
      </c>
      <c r="J38" s="175" t="n">
        <f aca="false">IF(L38&gt;0,L38,0)</f>
        <v>0</v>
      </c>
      <c r="K38" s="181" t="n">
        <f aca="false">I38+J38</f>
        <v>287</v>
      </c>
      <c r="L38" s="181" t="n">
        <f aca="false">F38-(I38-AK38)</f>
        <v>-10.1545349130327</v>
      </c>
      <c r="M38" s="520" t="n">
        <v>268</v>
      </c>
      <c r="N38" s="155" t="n">
        <f aca="false">(1.8299*1.03)/2</f>
        <v>0.9423985</v>
      </c>
      <c r="O38" s="181" t="n">
        <f aca="false">(44+44)*1.05</f>
        <v>92.4</v>
      </c>
      <c r="P38" s="155" t="n">
        <v>0</v>
      </c>
      <c r="Q38" s="328" t="n">
        <f aca="false">1597100/325851/1.9835*1.02</f>
        <v>2.5204670163863</v>
      </c>
      <c r="R38" s="328" t="n">
        <v>4.2</v>
      </c>
      <c r="S38" s="131" t="n">
        <f aca="false">((4735598/325851/1.9835-T38)*1.04)-4.2</f>
        <v>1.95976576444118</v>
      </c>
      <c r="T38" s="131" t="n">
        <f aca="false">1.3501*1.04</f>
        <v>1.404104</v>
      </c>
      <c r="U38" s="346" t="n">
        <v>0</v>
      </c>
      <c r="V38" s="181" t="n">
        <v>113</v>
      </c>
      <c r="W38" s="181" t="n">
        <v>82</v>
      </c>
      <c r="X38" s="135" t="n">
        <f aca="false">M38-N38-O38-P38-Q38-R38-S38-T38-U38+V38+W38-AT38+AR38</f>
        <v>358.453264719172</v>
      </c>
      <c r="Y38" s="135" t="n">
        <f aca="false">X38-AO38</f>
        <v>353.453264719172</v>
      </c>
      <c r="Z38" s="107"/>
      <c r="AA38" s="135"/>
      <c r="AB38" s="107"/>
      <c r="AC38" s="107"/>
      <c r="AD38" s="107" t="n">
        <f aca="false">AD37+AP38</f>
        <v>4654.10047173176</v>
      </c>
      <c r="AE38" s="181" t="n">
        <v>244</v>
      </c>
      <c r="AF38" s="240" t="n">
        <v>1.7</v>
      </c>
      <c r="AG38" s="241" t="n">
        <v>1.3</v>
      </c>
      <c r="AH38" s="181" t="n">
        <v>60</v>
      </c>
      <c r="AI38" s="173" t="n">
        <f aca="false">AI37-AH38</f>
        <v>8764.25787748929</v>
      </c>
      <c r="AJ38" s="173"/>
      <c r="AK38" s="11" t="n">
        <f aca="false">N38+O38+P38+Q38+R38+S38+T38+U38+X38+AE38+AH38-AR38</f>
        <v>765.88</v>
      </c>
      <c r="AL38" s="181" t="n">
        <f aca="false">IF(L38&lt;0,L38*-1,0)</f>
        <v>10.1545349130327</v>
      </c>
      <c r="AM38" s="181" t="n">
        <f aca="false">AK38+AL38</f>
        <v>776.034534913033</v>
      </c>
      <c r="AN38" s="212"/>
      <c r="AO38" s="179" t="n">
        <v>5</v>
      </c>
      <c r="AP38" s="97" t="n">
        <f aca="false">(I38-AO38)-Q38-R38-Y38-AF38</f>
        <v>-79.8737317355588</v>
      </c>
      <c r="AQ38" s="155" t="n">
        <f aca="false">47*(Z38*1.9835+AC38*1.9835)/E38</f>
        <v>0</v>
      </c>
      <c r="AR38" s="155"/>
      <c r="AS38" s="168" t="n">
        <v>9.5</v>
      </c>
      <c r="AT38" s="4" t="n">
        <v>1.12</v>
      </c>
      <c r="AU38" s="4"/>
      <c r="AV38" s="506" t="n">
        <v>0</v>
      </c>
      <c r="AW38" s="178" t="n">
        <v>95</v>
      </c>
      <c r="AX38" s="178" t="n">
        <v>60</v>
      </c>
      <c r="AY38" s="286"/>
      <c r="AZ38" s="242" t="n">
        <f aca="false">SUM(N38,P38:U38)</f>
        <v>11.0267352808275</v>
      </c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79" t="n">
        <v>25</v>
      </c>
      <c r="B39" s="507" t="n">
        <v>6911.2</v>
      </c>
      <c r="C39" s="173" t="n">
        <v>326808</v>
      </c>
      <c r="D39" s="178" t="n">
        <f aca="false">C39-C38</f>
        <v>-1012</v>
      </c>
      <c r="E39" s="173" t="n">
        <f aca="false">C39-152000</f>
        <v>174808</v>
      </c>
      <c r="F39" s="519" t="n">
        <f aca="false">D39/$D$2</f>
        <v>-510.209226115452</v>
      </c>
      <c r="G39" s="181" t="n">
        <v>294</v>
      </c>
      <c r="H39" s="182" t="n">
        <v>0</v>
      </c>
      <c r="I39" s="181" t="n">
        <f aca="false">G39+H39</f>
        <v>294</v>
      </c>
      <c r="J39" s="175" t="n">
        <f aca="false">IF(L39&gt;0,L39,0)</f>
        <v>0</v>
      </c>
      <c r="K39" s="181" t="n">
        <f aca="false">I39+J39</f>
        <v>294</v>
      </c>
      <c r="L39" s="181" t="n">
        <f aca="false">F39-(I39-AK39)</f>
        <v>-5.23922611545243</v>
      </c>
      <c r="M39" s="520" t="n">
        <v>251</v>
      </c>
      <c r="N39" s="155" t="n">
        <f aca="false">(1.8299*1.03)/2</f>
        <v>0.9423985</v>
      </c>
      <c r="O39" s="181" t="n">
        <f aca="false">(43+42)*1.05</f>
        <v>89.25</v>
      </c>
      <c r="P39" s="155" t="n">
        <v>0</v>
      </c>
      <c r="Q39" s="328" t="n">
        <f aca="false">1525500/325851/1.9835*1.02</f>
        <v>2.40747131269006</v>
      </c>
      <c r="R39" s="328" t="n">
        <v>4.2</v>
      </c>
      <c r="S39" s="131" t="n">
        <f aca="false">((4306739/325851/1.9835-T39)*1.04)-4.2</f>
        <v>1.26969027053272</v>
      </c>
      <c r="T39" s="131" t="n">
        <f aca="false">1.3501*1.04</f>
        <v>1.404104</v>
      </c>
      <c r="U39" s="346" t="n">
        <v>0</v>
      </c>
      <c r="V39" s="181" t="n">
        <v>141</v>
      </c>
      <c r="W39" s="181" t="n">
        <v>82</v>
      </c>
      <c r="X39" s="135" t="n">
        <f aca="false">M39-N39-O39-P39-Q39-R39-S39-T39-U39+V39+W39-AT39+AR39</f>
        <v>373.496335916777</v>
      </c>
      <c r="Y39" s="135" t="n">
        <f aca="false">X39-AO39</f>
        <v>368.496335916777</v>
      </c>
      <c r="Z39" s="107"/>
      <c r="AA39" s="135"/>
      <c r="AB39" s="107"/>
      <c r="AC39" s="107"/>
      <c r="AD39" s="107" t="n">
        <f aca="false">AD38+AP39</f>
        <v>4566.29666450229</v>
      </c>
      <c r="AE39" s="181" t="n">
        <v>266</v>
      </c>
      <c r="AF39" s="240" t="n">
        <v>1.7</v>
      </c>
      <c r="AG39" s="241" t="n">
        <v>1.3</v>
      </c>
      <c r="AH39" s="181" t="n">
        <v>60</v>
      </c>
      <c r="AI39" s="173" t="n">
        <f aca="false">AI38-AH39</f>
        <v>8704.25787748929</v>
      </c>
      <c r="AJ39" s="173"/>
      <c r="AK39" s="11" t="n">
        <f aca="false">N39+O39+P39+Q39+R39+S39+T39+U39+X39+AE39+AH39-AR39</f>
        <v>798.97</v>
      </c>
      <c r="AL39" s="181" t="n">
        <f aca="false">IF(L39&lt;0,L39*-1,0)</f>
        <v>5.23922611545243</v>
      </c>
      <c r="AM39" s="181" t="n">
        <f aca="false">AK39+AL39</f>
        <v>804.209226115452</v>
      </c>
      <c r="AN39" s="212"/>
      <c r="AO39" s="179" t="n">
        <v>5</v>
      </c>
      <c r="AP39" s="97" t="n">
        <f aca="false">(I39-AO39)-Q39-R39-Y39-AF39</f>
        <v>-87.8038072294673</v>
      </c>
      <c r="AQ39" s="155" t="n">
        <f aca="false">47*(Z39*1.9835+AC39*1.9835)/E39</f>
        <v>0</v>
      </c>
      <c r="AR39" s="155"/>
      <c r="AS39" s="168" t="n">
        <v>9.5</v>
      </c>
      <c r="AT39" s="4" t="n">
        <v>1.03</v>
      </c>
      <c r="AU39" s="4"/>
      <c r="AV39" s="506" t="n">
        <v>0</v>
      </c>
      <c r="AW39" s="178" t="n">
        <v>90</v>
      </c>
      <c r="AX39" s="178" t="n">
        <v>57</v>
      </c>
      <c r="AY39" s="286"/>
      <c r="AZ39" s="242" t="n">
        <f aca="false">SUM(N39,P39:U39)</f>
        <v>10.2236640832228</v>
      </c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79" t="n">
        <v>26</v>
      </c>
      <c r="B40" s="507" t="n">
        <v>6910.96</v>
      </c>
      <c r="C40" s="173" t="n">
        <v>325839</v>
      </c>
      <c r="D40" s="178" t="n">
        <f aca="false">C40-C39</f>
        <v>-969</v>
      </c>
      <c r="E40" s="173" t="n">
        <f aca="false">C40-152000</f>
        <v>173839</v>
      </c>
      <c r="F40" s="519" t="n">
        <f aca="false">D40/$D$2</f>
        <v>-488.530375598689</v>
      </c>
      <c r="G40" s="181" t="n">
        <v>300</v>
      </c>
      <c r="H40" s="182" t="n">
        <v>0</v>
      </c>
      <c r="I40" s="181" t="n">
        <f aca="false">G40+H40</f>
        <v>300</v>
      </c>
      <c r="J40" s="175" t="n">
        <f aca="false">IF(L40&gt;0,L40,0)</f>
        <v>0</v>
      </c>
      <c r="K40" s="181" t="n">
        <f aca="false">I40+J40</f>
        <v>300</v>
      </c>
      <c r="L40" s="181" t="n">
        <f aca="false">F40-(I40-AK40)</f>
        <v>-10.6103755986891</v>
      </c>
      <c r="M40" s="520" t="n">
        <v>227</v>
      </c>
      <c r="N40" s="155" t="n">
        <f aca="false">(1.8299*1.03)/2</f>
        <v>0.9423985</v>
      </c>
      <c r="O40" s="181" t="n">
        <f aca="false">(46+39)*1.05</f>
        <v>89.25</v>
      </c>
      <c r="P40" s="155" t="n">
        <v>0</v>
      </c>
      <c r="Q40" s="328" t="n">
        <f aca="false">1596600/325851/1.9835*1.02</f>
        <v>2.51967794024317</v>
      </c>
      <c r="R40" s="328" t="n">
        <v>4.2</v>
      </c>
      <c r="S40" s="131" t="n">
        <f aca="false">((4487426/325851/1.9835-T40)*1.04)-4.2</f>
        <v>1.69725548056548</v>
      </c>
      <c r="T40" s="131" t="n">
        <f aca="false">1.2236*1.04</f>
        <v>1.272544</v>
      </c>
      <c r="U40" s="346" t="n">
        <v>0</v>
      </c>
      <c r="V40" s="181" t="n">
        <v>163</v>
      </c>
      <c r="W40" s="181" t="n">
        <v>85</v>
      </c>
      <c r="X40" s="135" t="n">
        <f aca="false">M40-N40-O40-P40-Q40-R40-S40-T40-U40+V40+W40-AT40+AR40</f>
        <v>374.038124079191</v>
      </c>
      <c r="Y40" s="135" t="n">
        <f aca="false">X40-AO40</f>
        <v>369.038124079191</v>
      </c>
      <c r="Z40" s="107"/>
      <c r="AA40" s="135"/>
      <c r="AB40" s="107"/>
      <c r="AC40" s="107"/>
      <c r="AD40" s="107" t="n">
        <f aca="false">AD39+AP40</f>
        <v>4483.83886248286</v>
      </c>
      <c r="AE40" s="181" t="n">
        <v>244</v>
      </c>
      <c r="AF40" s="240" t="n">
        <v>1.7</v>
      </c>
      <c r="AG40" s="241" t="n">
        <v>1.3</v>
      </c>
      <c r="AH40" s="181" t="n">
        <v>60</v>
      </c>
      <c r="AI40" s="173" t="n">
        <f aca="false">AI39-AH40</f>
        <v>8644.25787748929</v>
      </c>
      <c r="AJ40" s="173"/>
      <c r="AK40" s="11" t="n">
        <f aca="false">N40+O40+P40+Q40+R40+S40+T40+U40+X40+AE40+AH40-AR40</f>
        <v>777.92</v>
      </c>
      <c r="AL40" s="181" t="n">
        <f aca="false">IF(L40&lt;0,L40*-1,0)</f>
        <v>10.6103755986891</v>
      </c>
      <c r="AM40" s="181" t="n">
        <f aca="false">AK40+AL40</f>
        <v>788.530375598689</v>
      </c>
      <c r="AN40" s="212"/>
      <c r="AO40" s="179" t="n">
        <v>5</v>
      </c>
      <c r="AP40" s="97" t="n">
        <f aca="false">(I40-AO40)-Q40-R40-Y40-AF40</f>
        <v>-82.4578020194346</v>
      </c>
      <c r="AQ40" s="155" t="n">
        <f aca="false">47*(Z40*1.9835+AC40*1.9835)/E40</f>
        <v>0</v>
      </c>
      <c r="AR40" s="155"/>
      <c r="AS40" s="168" t="n">
        <v>9.5</v>
      </c>
      <c r="AT40" s="4" t="n">
        <v>1.08</v>
      </c>
      <c r="AU40" s="4"/>
      <c r="AV40" s="506" t="n">
        <v>0.01</v>
      </c>
      <c r="AW40" s="178" t="n">
        <v>91</v>
      </c>
      <c r="AX40" s="178" t="n">
        <v>61</v>
      </c>
      <c r="AY40" s="286"/>
      <c r="AZ40" s="242" t="n">
        <f aca="false">SUM(N40,P40:U40)</f>
        <v>10.6318759208086</v>
      </c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79" t="n">
        <v>27</v>
      </c>
      <c r="B41" s="507" t="n">
        <v>6910.74</v>
      </c>
      <c r="C41" s="173" t="n">
        <v>324956</v>
      </c>
      <c r="D41" s="178" t="n">
        <f aca="false">C41-C40</f>
        <v>-883</v>
      </c>
      <c r="E41" s="173" t="n">
        <f aca="false">C41-152000</f>
        <v>172956</v>
      </c>
      <c r="F41" s="519" t="n">
        <f aca="false">D41/$D$2</f>
        <v>-445.172674565163</v>
      </c>
      <c r="G41" s="181" t="n">
        <v>301</v>
      </c>
      <c r="H41" s="182" t="n">
        <v>0</v>
      </c>
      <c r="I41" s="181" t="n">
        <f aca="false">G41+H41</f>
        <v>301</v>
      </c>
      <c r="J41" s="175" t="n">
        <f aca="false">IF(L41&gt;0,L41,0)</f>
        <v>41.8373254348374</v>
      </c>
      <c r="K41" s="181" t="n">
        <f aca="false">I41+J41</f>
        <v>342.837325434837</v>
      </c>
      <c r="L41" s="181" t="n">
        <f aca="false">F41-(I41-AK41)</f>
        <v>41.8373254348374</v>
      </c>
      <c r="M41" s="520" t="n">
        <v>240</v>
      </c>
      <c r="N41" s="155" t="n">
        <f aca="false">(1.8299*1.03)/2</f>
        <v>0.9423985</v>
      </c>
      <c r="O41" s="181" t="n">
        <f aca="false">(39+39)*1.05</f>
        <v>81.9</v>
      </c>
      <c r="P41" s="155" t="n">
        <v>0</v>
      </c>
      <c r="Q41" s="328" t="n">
        <f aca="false">1776700/325851/1.9835*1.02</f>
        <v>2.80390316699864</v>
      </c>
      <c r="R41" s="328" t="n">
        <v>4.2</v>
      </c>
      <c r="S41" s="131" t="n">
        <f aca="false">((4532251/325851/1.9835-T41)*1.04)-4.2</f>
        <v>1.76938322888007</v>
      </c>
      <c r="T41" s="131" t="n">
        <f aca="false">1.2236*1.04</f>
        <v>1.272544</v>
      </c>
      <c r="U41" s="346" t="n">
        <v>0</v>
      </c>
      <c r="V41" s="181" t="n">
        <v>163</v>
      </c>
      <c r="W41" s="181" t="n">
        <v>85</v>
      </c>
      <c r="X41" s="135" t="n">
        <f aca="false">M41-N41-O41-P41-Q41-R41-S41-T41-U41+V41+W41-AT41+AR41</f>
        <v>394.121771104121</v>
      </c>
      <c r="Y41" s="135" t="n">
        <f aca="false">X41-AO41</f>
        <v>389.121771104121</v>
      </c>
      <c r="Z41" s="107"/>
      <c r="AA41" s="135"/>
      <c r="AB41" s="107"/>
      <c r="AC41" s="107"/>
      <c r="AD41" s="107" t="n">
        <f aca="false">AD40+AP41</f>
        <v>4382.01318821174</v>
      </c>
      <c r="AE41" s="181" t="n">
        <v>241</v>
      </c>
      <c r="AF41" s="240" t="n">
        <v>1.7</v>
      </c>
      <c r="AG41" s="241" t="n">
        <v>1.3</v>
      </c>
      <c r="AH41" s="181" t="n">
        <v>60</v>
      </c>
      <c r="AI41" s="173" t="n">
        <f aca="false">AI40-AH41</f>
        <v>8584.25787748929</v>
      </c>
      <c r="AJ41" s="173"/>
      <c r="AK41" s="11" t="n">
        <f aca="false">N41+O41+P41+Q41+R41+S41+T41+U41+X41+AE41+AH41-AR41</f>
        <v>788.01</v>
      </c>
      <c r="AL41" s="181" t="n">
        <f aca="false">IF(L41&lt;0,L41*-1,0)</f>
        <v>0</v>
      </c>
      <c r="AM41" s="181" t="n">
        <f aca="false">AK41+AL41</f>
        <v>788.01</v>
      </c>
      <c r="AN41" s="212"/>
      <c r="AO41" s="179" t="n">
        <v>5</v>
      </c>
      <c r="AP41" s="97" t="n">
        <f aca="false">(I41-AO41)-Q41-R41-Y41-AF41</f>
        <v>-101.82567427112</v>
      </c>
      <c r="AQ41" s="155" t="n">
        <f aca="false">47*(Z41*1.9835+AC41*1.9835)/E41</f>
        <v>0</v>
      </c>
      <c r="AR41" s="155"/>
      <c r="AS41" s="168" t="n">
        <v>9.5</v>
      </c>
      <c r="AT41" s="4" t="n">
        <v>0.99</v>
      </c>
      <c r="AU41" s="4"/>
      <c r="AV41" s="506" t="n">
        <v>0.05</v>
      </c>
      <c r="AW41" s="178" t="n">
        <v>92</v>
      </c>
      <c r="AX41" s="178" t="n">
        <v>60</v>
      </c>
      <c r="AY41" s="286"/>
      <c r="AZ41" s="242" t="n">
        <f aca="false">SUM(N41,P41:U41)</f>
        <v>10.9882288958787</v>
      </c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522" t="n">
        <v>28</v>
      </c>
      <c r="B42" s="523" t="n">
        <v>6910.54</v>
      </c>
      <c r="C42" s="438" t="n">
        <v>324153</v>
      </c>
      <c r="D42" s="524" t="n">
        <f aca="false">C42-C41</f>
        <v>-803</v>
      </c>
      <c r="E42" s="438" t="n">
        <f aca="false">C42-152000</f>
        <v>172153</v>
      </c>
      <c r="F42" s="525" t="n">
        <f aca="false">D42/$D$2</f>
        <v>-404.839929417696</v>
      </c>
      <c r="G42" s="521" t="n">
        <v>297</v>
      </c>
      <c r="H42" s="182" t="n">
        <v>0</v>
      </c>
      <c r="I42" s="521" t="n">
        <f aca="false">G42+H42</f>
        <v>297</v>
      </c>
      <c r="J42" s="526" t="n">
        <f aca="false">IF(L42&gt;0,L42,0)</f>
        <v>32.170070582304</v>
      </c>
      <c r="K42" s="521" t="n">
        <f aca="false">I42+J42</f>
        <v>329.170070582304</v>
      </c>
      <c r="L42" s="521" t="n">
        <f aca="false">F42-(I42-AK42)</f>
        <v>32.170070582304</v>
      </c>
      <c r="M42" s="527" t="n">
        <v>240</v>
      </c>
      <c r="N42" s="155" t="n">
        <f aca="false">(1.8299*1.03)/2</f>
        <v>0.9423985</v>
      </c>
      <c r="O42" s="521" t="n">
        <f aca="false">(43+42)*1.05</f>
        <v>89.25</v>
      </c>
      <c r="P42" s="155" t="n">
        <v>0</v>
      </c>
      <c r="Q42" s="328" t="n">
        <f aca="false">1773000/325851/1.9835*1.02</f>
        <v>2.79806400353948</v>
      </c>
      <c r="R42" s="328" t="n">
        <v>4.2</v>
      </c>
      <c r="S42" s="131" t="n">
        <f aca="false">((4104922/325851/1.9835-T42)*1.04)-4.2</f>
        <v>1.08176965253817</v>
      </c>
      <c r="T42" s="131" t="n">
        <f aca="false">1.2236*1.04</f>
        <v>1.272544</v>
      </c>
      <c r="U42" s="346" t="n">
        <v>0</v>
      </c>
      <c r="V42" s="521" t="n">
        <v>163</v>
      </c>
      <c r="W42" s="521" t="n">
        <v>84</v>
      </c>
      <c r="X42" s="135" t="n">
        <f aca="false">M42-N42-O42-P42-Q42-R42-S42-T42-U42+V42+W42-AT42+AR42</f>
        <v>386.465223843922</v>
      </c>
      <c r="Y42" s="135" t="n">
        <f aca="false">X42-AO42</f>
        <v>381.465223843922</v>
      </c>
      <c r="Z42" s="107"/>
      <c r="AA42" s="135"/>
      <c r="AB42" s="107"/>
      <c r="AC42" s="107"/>
      <c r="AD42" s="107" t="n">
        <f aca="false">AD41+AP42</f>
        <v>4283.84990036428</v>
      </c>
      <c r="AE42" s="521" t="n">
        <v>188</v>
      </c>
      <c r="AF42" s="240" t="n">
        <v>1.7</v>
      </c>
      <c r="AG42" s="241" t="n">
        <v>1.3</v>
      </c>
      <c r="AH42" s="181" t="n">
        <v>60</v>
      </c>
      <c r="AI42" s="173" t="n">
        <f aca="false">AI41-AH42</f>
        <v>8524.25787748929</v>
      </c>
      <c r="AJ42" s="173"/>
      <c r="AK42" s="11" t="n">
        <f aca="false">N42+O42+P42+Q42+R42+S42+T42+U42+X42+AE42+AH42-AR42</f>
        <v>734.01</v>
      </c>
      <c r="AL42" s="521" t="n">
        <f aca="false">IF(L42&lt;0,L42*-1,0)</f>
        <v>0</v>
      </c>
      <c r="AM42" s="521" t="n">
        <f aca="false">AK42+AL42</f>
        <v>734.01</v>
      </c>
      <c r="AN42" s="212"/>
      <c r="AO42" s="179" t="n">
        <v>5</v>
      </c>
      <c r="AP42" s="97" t="n">
        <f aca="false">(I42-AO42)-Q42-R42-Y42-AF42</f>
        <v>-98.1632878474618</v>
      </c>
      <c r="AQ42" s="155" t="n">
        <f aca="false">47*(Z42*1.9835+AC42*1.9835)/E42</f>
        <v>0</v>
      </c>
      <c r="AR42" s="155"/>
      <c r="AS42" s="168" t="n">
        <v>9.5</v>
      </c>
      <c r="AT42" s="4" t="n">
        <v>0.99</v>
      </c>
      <c r="AU42" s="4"/>
      <c r="AV42" s="528" t="n">
        <v>0.01</v>
      </c>
      <c r="AW42" s="524" t="n">
        <v>94</v>
      </c>
      <c r="AX42" s="524" t="n">
        <v>59</v>
      </c>
      <c r="AY42" s="286"/>
      <c r="AZ42" s="242" t="n">
        <f aca="false">SUM(N42,P42:U42)</f>
        <v>10.2947761560777</v>
      </c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522" t="n">
        <v>29</v>
      </c>
      <c r="B43" s="523" t="n">
        <v>6910.3</v>
      </c>
      <c r="C43" s="438" t="n">
        <v>323190</v>
      </c>
      <c r="D43" s="524" t="n">
        <f aca="false">C43-C42</f>
        <v>-963</v>
      </c>
      <c r="E43" s="438" t="n">
        <f aca="false">C43-152000</f>
        <v>171190</v>
      </c>
      <c r="F43" s="525" t="n">
        <f aca="false">D43/$D$2</f>
        <v>-485.505419712629</v>
      </c>
      <c r="G43" s="521" t="n">
        <v>289</v>
      </c>
      <c r="H43" s="529" t="n">
        <v>0</v>
      </c>
      <c r="I43" s="521" t="n">
        <f aca="false">G43+H43</f>
        <v>289</v>
      </c>
      <c r="J43" s="526" t="n">
        <f aca="false">IF(L43&gt;0,L43,0)</f>
        <v>0</v>
      </c>
      <c r="K43" s="521" t="n">
        <f aca="false">I43+J43</f>
        <v>289</v>
      </c>
      <c r="L43" s="521" t="n">
        <f aca="false">F43-(I43-AK43)</f>
        <v>-33.7654197126292</v>
      </c>
      <c r="M43" s="527" t="n">
        <v>208</v>
      </c>
      <c r="N43" s="155" t="n">
        <f aca="false">(1.8299*1.03)/2</f>
        <v>0.9423985</v>
      </c>
      <c r="O43" s="521" t="n">
        <f aca="false">(34+33)*1.05</f>
        <v>70.35</v>
      </c>
      <c r="P43" s="155" t="n">
        <v>0</v>
      </c>
      <c r="Q43" s="328" t="n">
        <f aca="false">1459800/325851/1.9835*1.02</f>
        <v>2.30378670748276</v>
      </c>
      <c r="R43" s="328" t="n">
        <v>4.2</v>
      </c>
      <c r="S43" s="131" t="n">
        <f aca="false">(((4406858)/325851/1.9835-T43)*1.04)-4.2</f>
        <v>1.56761379788372</v>
      </c>
      <c r="T43" s="131" t="n">
        <f aca="false">1.2236*1.04</f>
        <v>1.272544</v>
      </c>
      <c r="U43" s="346" t="n">
        <v>0</v>
      </c>
      <c r="V43" s="521" t="n">
        <v>162</v>
      </c>
      <c r="W43" s="521" t="n">
        <v>84</v>
      </c>
      <c r="X43" s="135" t="n">
        <f aca="false">M43-N43-O43-P43-Q43-R43-S43-T43-U43+V43+W43-AT43+AR43</f>
        <v>372.103656994634</v>
      </c>
      <c r="Y43" s="135" t="n">
        <f aca="false">X43-AO43</f>
        <v>367.103656994634</v>
      </c>
      <c r="Z43" s="107"/>
      <c r="AA43" s="135"/>
      <c r="AB43" s="107"/>
      <c r="AC43" s="107"/>
      <c r="AD43" s="107" t="n">
        <f aca="false">AD42+AP43</f>
        <v>4192.54245666216</v>
      </c>
      <c r="AE43" s="521" t="n">
        <v>228</v>
      </c>
      <c r="AF43" s="240" t="n">
        <v>1.7</v>
      </c>
      <c r="AG43" s="241" t="n">
        <v>1.3</v>
      </c>
      <c r="AH43" s="181" t="n">
        <v>60</v>
      </c>
      <c r="AI43" s="173" t="n">
        <f aca="false">AI42-AH43</f>
        <v>8464.25787748929</v>
      </c>
      <c r="AJ43" s="173"/>
      <c r="AK43" s="11" t="n">
        <f aca="false">N43+O43+P43+Q43+R43+S43+T43+U43+X43+AE43+AH43-AR43</f>
        <v>740.74</v>
      </c>
      <c r="AL43" s="521" t="n">
        <f aca="false">IF(L43&lt;0,L43*-1,0)</f>
        <v>33.7654197126292</v>
      </c>
      <c r="AM43" s="521" t="n">
        <f aca="false">AK43+AL43</f>
        <v>774.505419712629</v>
      </c>
      <c r="AN43" s="212"/>
      <c r="AO43" s="179" t="n">
        <v>5</v>
      </c>
      <c r="AP43" s="97" t="n">
        <f aca="false">(I43-AO43)-Q43-R43-Y43-AF43</f>
        <v>-91.3074437021163</v>
      </c>
      <c r="AQ43" s="155" t="n">
        <f aca="false">47*(Z43*1.9835+AC43*1.9835)/E43</f>
        <v>0</v>
      </c>
      <c r="AR43" s="155"/>
      <c r="AS43" s="168" t="n">
        <v>9.5</v>
      </c>
      <c r="AT43" s="4" t="n">
        <v>1.26</v>
      </c>
      <c r="AU43" s="4"/>
      <c r="AV43" s="528" t="n">
        <v>0</v>
      </c>
      <c r="AW43" s="524" t="n">
        <v>89</v>
      </c>
      <c r="AX43" s="524" t="n">
        <v>57</v>
      </c>
      <c r="AY43" s="286"/>
      <c r="AZ43" s="242" t="n">
        <f aca="false">SUM(N43,P43:U43)</f>
        <v>10.2863430053665</v>
      </c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522" t="n">
        <v>30</v>
      </c>
      <c r="B44" s="523" t="n">
        <v>6910.05</v>
      </c>
      <c r="C44" s="438" t="n">
        <v>322187</v>
      </c>
      <c r="D44" s="524" t="n">
        <f aca="false">C44-C43</f>
        <v>-1003</v>
      </c>
      <c r="E44" s="438" t="n">
        <f aca="false">C44-152000</f>
        <v>170187</v>
      </c>
      <c r="F44" s="525" t="n">
        <f aca="false">D44/$D$2</f>
        <v>-505.671792286362</v>
      </c>
      <c r="G44" s="521" t="n">
        <v>287</v>
      </c>
      <c r="H44" s="529" t="n">
        <v>0</v>
      </c>
      <c r="I44" s="521" t="n">
        <f aca="false">G44+H44</f>
        <v>287</v>
      </c>
      <c r="J44" s="526" t="n">
        <f aca="false">IF(L44&gt;0,L44,0)</f>
        <v>0</v>
      </c>
      <c r="K44" s="521" t="n">
        <f aca="false">I44+J44</f>
        <v>287</v>
      </c>
      <c r="L44" s="521" t="n">
        <f aca="false">F44-(I44-AK44)</f>
        <v>-28.1017922863625</v>
      </c>
      <c r="M44" s="527" t="n">
        <v>228</v>
      </c>
      <c r="N44" s="155" t="n">
        <f aca="false">(1.8299*1.03)/2</f>
        <v>0.9423985</v>
      </c>
      <c r="O44" s="521" t="n">
        <f aca="false">(32+32)*1.05</f>
        <v>67.2</v>
      </c>
      <c r="P44" s="155" t="n">
        <v>0</v>
      </c>
      <c r="Q44" s="328" t="n">
        <f aca="false">1606100/325851/1.9835*1.02</f>
        <v>2.53467038696264</v>
      </c>
      <c r="R44" s="328" t="n">
        <v>4.2</v>
      </c>
      <c r="S44" s="131" t="n">
        <f aca="false">(((4359546)/325851/1.9835-T44)*1.04)-4.2</f>
        <v>1.49148422670112</v>
      </c>
      <c r="T44" s="131" t="n">
        <f aca="false">1.2236*1.04</f>
        <v>1.272544</v>
      </c>
      <c r="U44" s="346" t="n">
        <v>0</v>
      </c>
      <c r="V44" s="521" t="n">
        <v>152</v>
      </c>
      <c r="W44" s="521" t="n">
        <v>86</v>
      </c>
      <c r="X44" s="135" t="n">
        <f aca="false">M44-N44-O44-P44-Q44-R44-S44-T44-U44+V44+W44-AT44+AR44</f>
        <v>386.928902886336</v>
      </c>
      <c r="Y44" s="135" t="n">
        <f aca="false">X44-AO44</f>
        <v>381.928902886336</v>
      </c>
      <c r="Z44" s="107"/>
      <c r="AA44" s="135"/>
      <c r="AB44" s="107"/>
      <c r="AC44" s="107"/>
      <c r="AD44" s="107" t="n">
        <f aca="false">AD43+AP44</f>
        <v>4084.17888338886</v>
      </c>
      <c r="AE44" s="521" t="n">
        <v>240</v>
      </c>
      <c r="AF44" s="240" t="n">
        <v>1.7</v>
      </c>
      <c r="AG44" s="241" t="n">
        <v>1.3</v>
      </c>
      <c r="AH44" s="181" t="n">
        <v>60</v>
      </c>
      <c r="AI44" s="173" t="n">
        <f aca="false">AI43-AH44</f>
        <v>8404.25787748929</v>
      </c>
      <c r="AJ44" s="173"/>
      <c r="AK44" s="11" t="n">
        <f aca="false">N44+O44+P44+Q44+R44+S44+T44+U44+X44+AE44+AH44-AR44</f>
        <v>764.57</v>
      </c>
      <c r="AL44" s="521" t="n">
        <f aca="false">IF(L44&lt;0,L44*-1,0)</f>
        <v>28.1017922863625</v>
      </c>
      <c r="AM44" s="521" t="n">
        <f aca="false">AK44+AL44</f>
        <v>792.671792286362</v>
      </c>
      <c r="AN44" s="212"/>
      <c r="AO44" s="179" t="n">
        <v>5</v>
      </c>
      <c r="AP44" s="97" t="n">
        <f aca="false">(I44-AO44)-Q44-R44-Y44-AF44</f>
        <v>-108.363573273299</v>
      </c>
      <c r="AQ44" s="155" t="n">
        <f aca="false">47*(Z44*1.9835+AC44*1.9835)/E44</f>
        <v>0</v>
      </c>
      <c r="AR44" s="155"/>
      <c r="AS44" s="168" t="n">
        <v>9.5</v>
      </c>
      <c r="AT44" s="4" t="n">
        <v>1.43</v>
      </c>
      <c r="AU44" s="4"/>
      <c r="AV44" s="528" t="n">
        <v>0</v>
      </c>
      <c r="AW44" s="524" t="n">
        <v>90</v>
      </c>
      <c r="AX44" s="524" t="n">
        <v>55</v>
      </c>
      <c r="AY44" s="286"/>
      <c r="AZ44" s="242" t="n">
        <f aca="false">SUM(N44,P44:U44)</f>
        <v>10.4410971136638</v>
      </c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2.95" hidden="false" customHeight="true" outlineLevel="0" collapsed="false">
      <c r="A45" s="522" t="n">
        <v>31</v>
      </c>
      <c r="B45" s="523" t="n">
        <v>6909.83</v>
      </c>
      <c r="C45" s="438" t="n">
        <v>321310</v>
      </c>
      <c r="D45" s="524" t="n">
        <f aca="false">C45-C44</f>
        <v>-877</v>
      </c>
      <c r="E45" s="438" t="n">
        <f aca="false">C45-152000</f>
        <v>169310</v>
      </c>
      <c r="F45" s="525" t="n">
        <f aca="false">D45/$D$2</f>
        <v>-442.147718679103</v>
      </c>
      <c r="G45" s="521" t="n">
        <v>287</v>
      </c>
      <c r="H45" s="529" t="n">
        <v>0</v>
      </c>
      <c r="I45" s="521" t="n">
        <f aca="false">G45+H45</f>
        <v>287</v>
      </c>
      <c r="J45" s="526" t="n">
        <f aca="false">IF(L45&gt;0,L45,0)</f>
        <v>0</v>
      </c>
      <c r="K45" s="521" t="n">
        <f aca="false">I45+J45</f>
        <v>287</v>
      </c>
      <c r="L45" s="521" t="n">
        <f aca="false">F45-(I45-AK45)</f>
        <v>-29.5877186791025</v>
      </c>
      <c r="M45" s="527" t="n">
        <v>169</v>
      </c>
      <c r="N45" s="155" t="n">
        <f aca="false">(1.8299*1.03)/2</f>
        <v>0.9423985</v>
      </c>
      <c r="O45" s="521" t="n">
        <f aca="false">(18+18)*1.05</f>
        <v>37.8</v>
      </c>
      <c r="P45" s="155" t="n">
        <v>0</v>
      </c>
      <c r="Q45" s="328" t="n">
        <f aca="false">1441100/325851/1.9835*1.02</f>
        <v>2.27427525972969</v>
      </c>
      <c r="R45" s="155" t="n">
        <v>4.2</v>
      </c>
      <c r="S45" s="131" t="n">
        <f aca="false">(((4419287+1297)/325851/1.9835-T45)*1.04)-4.2</f>
        <v>1.58970025573907</v>
      </c>
      <c r="T45" s="131" t="n">
        <f aca="false">1.2236*1.04</f>
        <v>1.272544</v>
      </c>
      <c r="U45" s="346" t="n">
        <v>0</v>
      </c>
      <c r="V45" s="521" t="n">
        <v>147</v>
      </c>
      <c r="W45" s="521" t="n">
        <v>87</v>
      </c>
      <c r="X45" s="135" t="n">
        <f aca="false">M45-N45-O45-P45-Q45-R45-S45-T45-U45+V45+W45-AT45+AR45</f>
        <v>353.481081984531</v>
      </c>
      <c r="Y45" s="135" t="n">
        <f aca="false">X45-AO45</f>
        <v>348.481081984531</v>
      </c>
      <c r="Z45" s="107"/>
      <c r="AA45" s="135"/>
      <c r="AB45" s="107"/>
      <c r="AC45" s="107"/>
      <c r="AD45" s="107" t="n">
        <f aca="false">AD44+AP45</f>
        <v>4009.5235261446</v>
      </c>
      <c r="AE45" s="521" t="n">
        <v>237</v>
      </c>
      <c r="AF45" s="240" t="n">
        <v>1.7</v>
      </c>
      <c r="AG45" s="241" t="n">
        <v>1.3</v>
      </c>
      <c r="AH45" s="181" t="n">
        <v>61</v>
      </c>
      <c r="AI45" s="173" t="n">
        <f aca="false">AI44-AH45</f>
        <v>8343.25787748929</v>
      </c>
      <c r="AJ45" s="173"/>
      <c r="AK45" s="11" t="n">
        <f aca="false">N45+O45+P45+Q45+R45+S45+T45+U45+X45+AE45+AH45-AR45</f>
        <v>699.56</v>
      </c>
      <c r="AL45" s="521" t="n">
        <f aca="false">IF(L45&lt;0,L45*-1,0)</f>
        <v>29.5877186791025</v>
      </c>
      <c r="AM45" s="521" t="n">
        <f aca="false">AK45+AL45</f>
        <v>729.147718679103</v>
      </c>
      <c r="AN45" s="212"/>
      <c r="AO45" s="179" t="n">
        <v>5</v>
      </c>
      <c r="AP45" s="97" t="n">
        <f aca="false">(I45-AO45)-Q45-R45-Y45-AF45</f>
        <v>-74.6553572442609</v>
      </c>
      <c r="AQ45" s="155" t="n">
        <f aca="false">47*(Z45*1.9835+AC45*1.9835)/E45</f>
        <v>0</v>
      </c>
      <c r="AR45" s="155"/>
      <c r="AS45" s="168" t="n">
        <v>9.5</v>
      </c>
      <c r="AT45" s="4" t="n">
        <v>1.44</v>
      </c>
      <c r="AU45" s="4"/>
      <c r="AV45" s="528" t="n">
        <v>0.03</v>
      </c>
      <c r="AW45" s="524" t="n">
        <v>82</v>
      </c>
      <c r="AX45" s="524" t="n">
        <v>58</v>
      </c>
      <c r="AY45" s="286"/>
      <c r="AZ45" s="242" t="n">
        <f aca="false">SUM(N45,P45:U45)</f>
        <v>10.2789180154688</v>
      </c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</row>
    <row r="46" customFormat="false" ht="3" hidden="false" customHeight="true" outlineLevel="0" collapsed="false">
      <c r="A46" s="223"/>
      <c r="B46" s="484"/>
      <c r="C46" s="485"/>
      <c r="D46" s="223"/>
      <c r="E46" s="485"/>
      <c r="F46" s="486"/>
      <c r="G46" s="223"/>
      <c r="H46" s="513"/>
      <c r="I46" s="223"/>
      <c r="J46" s="223"/>
      <c r="K46" s="223"/>
      <c r="L46" s="223"/>
      <c r="M46" s="488"/>
      <c r="N46" s="223"/>
      <c r="O46" s="223"/>
      <c r="P46" s="489"/>
      <c r="Q46" s="489"/>
      <c r="R46" s="489"/>
      <c r="S46" s="489"/>
      <c r="T46" s="489"/>
      <c r="U46" s="490"/>
      <c r="V46" s="223"/>
      <c r="W46" s="223"/>
      <c r="X46" s="223"/>
      <c r="Y46" s="223"/>
      <c r="Z46" s="485"/>
      <c r="AA46" s="223"/>
      <c r="AB46" s="485"/>
      <c r="AC46" s="485"/>
      <c r="AD46" s="485"/>
      <c r="AE46" s="223" t="n">
        <v>178</v>
      </c>
      <c r="AF46" s="229"/>
      <c r="AG46" s="233"/>
      <c r="AH46" s="223"/>
      <c r="AI46" s="223"/>
      <c r="AJ46" s="223"/>
      <c r="AK46" s="223"/>
      <c r="AL46" s="223"/>
      <c r="AM46" s="223"/>
      <c r="AN46" s="514"/>
      <c r="AO46" s="326"/>
      <c r="AP46" s="326"/>
      <c r="AQ46" s="124"/>
      <c r="AR46" s="124"/>
      <c r="AS46" s="515"/>
      <c r="AT46" s="515"/>
      <c r="AU46" s="515"/>
      <c r="AV46" s="516"/>
      <c r="AW46" s="491"/>
      <c r="AX46" s="491"/>
      <c r="AY46" s="517"/>
      <c r="AZ46" s="518"/>
    </row>
    <row r="47" customFormat="false" ht="12.95" hidden="false" customHeight="true" outlineLevel="0" collapsed="false">
      <c r="A47" s="181" t="s">
        <v>101</v>
      </c>
      <c r="B47" s="501"/>
      <c r="D47" s="173"/>
      <c r="F47" s="268" t="n">
        <f aca="false">SUM(F15:F45)</f>
        <v>-14419.964708848</v>
      </c>
      <c r="G47" s="173" t="n">
        <f aca="false">SUM(G15:G45)</f>
        <v>7491</v>
      </c>
      <c r="H47" s="173" t="n">
        <f aca="false">SUM(H15:H45)</f>
        <v>1.66</v>
      </c>
      <c r="I47" s="173" t="n">
        <f aca="false">SUM(I15:I45)</f>
        <v>7492.66</v>
      </c>
      <c r="J47" s="173" t="n">
        <f aca="false">SUM(J15:J45)</f>
        <v>210.150332745147</v>
      </c>
      <c r="K47" s="173" t="n">
        <f aca="false">SUM(K15:K45)</f>
        <v>7702.81033274515</v>
      </c>
      <c r="L47" s="173" t="n">
        <f aca="false">SUM(L15:L45)</f>
        <v>-331.274708847996</v>
      </c>
      <c r="M47" s="504" t="n">
        <f aca="false">SUM(M15:M45)</f>
        <v>7390</v>
      </c>
      <c r="N47" s="173" t="n">
        <f aca="false">SUM(N15:N45)</f>
        <v>29.2143535</v>
      </c>
      <c r="O47" s="173" t="n">
        <f aca="false">SUM(O15:O45)</f>
        <v>2410.8</v>
      </c>
      <c r="P47" s="8" t="n">
        <f aca="false">SUM(P15:P45)</f>
        <v>0</v>
      </c>
      <c r="Q47" s="178" t="n">
        <f aca="false">SUM(Q15:Q45)</f>
        <v>84.3012653817659</v>
      </c>
      <c r="R47" s="178" t="n">
        <f aca="false">SUM(R15:R45)</f>
        <v>130.2</v>
      </c>
      <c r="S47" s="178" t="n">
        <f aca="false">SUM(S15:S45)</f>
        <v>51.8001142700548</v>
      </c>
      <c r="T47" s="178" t="n">
        <f aca="false">SUM(T15:T45)</f>
        <v>42.4372</v>
      </c>
      <c r="U47" s="503" t="n">
        <f aca="false">SUM(U15:U45)</f>
        <v>0</v>
      </c>
      <c r="V47" s="173" t="n">
        <f aca="false">SUM(V15:V45)</f>
        <v>3434</v>
      </c>
      <c r="W47" s="173" t="n">
        <f aca="false">SUM(W15:W45)</f>
        <v>2507</v>
      </c>
      <c r="X47" s="173" t="n">
        <f aca="false">SUM(X15:X45)</f>
        <v>10560.5970668482</v>
      </c>
      <c r="Y47" s="107" t="n">
        <f aca="false">SUM(Y15:Y45)</f>
        <v>10405.5970668482</v>
      </c>
      <c r="Z47" s="173"/>
      <c r="AA47" s="107"/>
      <c r="AB47" s="173"/>
      <c r="AE47" s="173" t="n">
        <f aca="false">SUM(AE15:AE45)</f>
        <v>6210</v>
      </c>
      <c r="AF47" s="504" t="n">
        <f aca="false">SUM(AF15:AF45)</f>
        <v>52.7</v>
      </c>
      <c r="AG47" s="502" t="n">
        <f aca="false">SUM(AG15:AG45)</f>
        <v>40.3</v>
      </c>
      <c r="AH47" s="173" t="n">
        <f aca="false">SUM(AH15:AH45)</f>
        <v>2062</v>
      </c>
      <c r="AI47" s="173"/>
      <c r="AJ47" s="173" t="n">
        <f aca="false">SUM(AJ15:AJ45)</f>
        <v>0</v>
      </c>
      <c r="AK47" s="173" t="n">
        <f aca="false">SUM(AK15:AK45)</f>
        <v>21581.35</v>
      </c>
      <c r="AL47" s="173" t="n">
        <f aca="false">SUM(AL15:AL45)</f>
        <v>541.425041593143</v>
      </c>
      <c r="AM47" s="173" t="n">
        <f aca="false">SUM(AM15:AM45)</f>
        <v>22122.7750415931</v>
      </c>
      <c r="AN47" s="505"/>
      <c r="AO47" s="173" t="n">
        <f aca="false">SUM(AO15:AO45)</f>
        <v>155</v>
      </c>
      <c r="AP47" s="179"/>
      <c r="AQ47" s="8"/>
      <c r="AR47" s="155" t="n">
        <f aca="false">SUM(AR15:AR45)</f>
        <v>0</v>
      </c>
      <c r="AS47" s="207" t="n">
        <f aca="false">SUM(AS15:AS45)</f>
        <v>294.5</v>
      </c>
      <c r="AT47" s="136" t="n">
        <f aca="false">SUM(AT15:AT45)</f>
        <v>21.65</v>
      </c>
      <c r="AU47" s="136" t="n">
        <f aca="false">SUM(AU15:AU45)</f>
        <v>0</v>
      </c>
      <c r="AV47" s="506" t="n">
        <f aca="false">SUM(AV15:AV45)</f>
        <v>0.39</v>
      </c>
      <c r="AW47" s="178" t="n">
        <f aca="false">AVERAGE(AW15:AW45)</f>
        <v>90.3870967741936</v>
      </c>
      <c r="AX47" s="178" t="n">
        <f aca="false">AVERAGE(AX15:AX45)</f>
        <v>57.0322580645161</v>
      </c>
      <c r="AY47" s="530" t="s">
        <v>125</v>
      </c>
      <c r="AZ47" s="511" t="n">
        <f aca="false">SUM(AZ15:AZ45)</f>
        <v>337.952933151821</v>
      </c>
    </row>
    <row r="48" customFormat="false" ht="12.95" hidden="false" customHeight="true" outlineLevel="0" collapsed="false">
      <c r="A48" s="181" t="s">
        <v>103</v>
      </c>
      <c r="B48" s="501"/>
      <c r="D48" s="173" t="n">
        <f aca="false">SUM(D15:D45)</f>
        <v>-28602</v>
      </c>
      <c r="F48" s="268" t="n">
        <f aca="false">F47*$D$2</f>
        <v>-28602</v>
      </c>
      <c r="G48" s="173" t="n">
        <f aca="false">G47*$D$2</f>
        <v>14858.3985</v>
      </c>
      <c r="H48" s="173" t="n">
        <f aca="false">H47*$D$2</f>
        <v>3.29261</v>
      </c>
      <c r="I48" s="173" t="n">
        <f aca="false">I47*$D$2</f>
        <v>14861.69111</v>
      </c>
      <c r="J48" s="173" t="n">
        <f aca="false">J47*$D$2</f>
        <v>416.833185</v>
      </c>
      <c r="K48" s="173" t="n">
        <f aca="false">K47*$D$2</f>
        <v>15278.524295</v>
      </c>
      <c r="L48" s="173" t="n">
        <f aca="false">L47*$D$2</f>
        <v>-657.083385</v>
      </c>
      <c r="M48" s="504" t="n">
        <f aca="false">M47*$D$2</f>
        <v>14658.065</v>
      </c>
      <c r="N48" s="173" t="n">
        <f aca="false">N47*$D$2</f>
        <v>57.94667016725</v>
      </c>
      <c r="O48" s="173" t="n">
        <f aca="false">O47*$D$2</f>
        <v>4781.8218</v>
      </c>
      <c r="P48" s="8" t="n">
        <f aca="false">P47*$D$2</f>
        <v>0</v>
      </c>
      <c r="Q48" s="178" t="n">
        <f aca="false">Q47*$D$2</f>
        <v>167.211559884733</v>
      </c>
      <c r="R48" s="178" t="n">
        <f aca="false">R47*$D$2</f>
        <v>258.2517</v>
      </c>
      <c r="S48" s="178" t="n">
        <f aca="false">S47*$D$2</f>
        <v>102.745526654654</v>
      </c>
      <c r="T48" s="178" t="n">
        <f aca="false">T47*$D$2</f>
        <v>84.1741862</v>
      </c>
      <c r="U48" s="503" t="n">
        <f aca="false">U47*$D$2</f>
        <v>0</v>
      </c>
      <c r="V48" s="173" t="n">
        <f aca="false">V47*$D$2</f>
        <v>6811.339</v>
      </c>
      <c r="W48" s="173" t="n">
        <f aca="false">W47*$D$2</f>
        <v>4972.6345</v>
      </c>
      <c r="X48" s="173" t="n">
        <f aca="false">X47*$D$2</f>
        <v>20946.9442820934</v>
      </c>
      <c r="Y48" s="107" t="n">
        <f aca="false">Y47*$D$2</f>
        <v>20639.5017820934</v>
      </c>
      <c r="Z48" s="173"/>
      <c r="AA48" s="107"/>
      <c r="AB48" s="173"/>
      <c r="AE48" s="173" t="n">
        <f aca="false">AE47*$D$2</f>
        <v>12317.535</v>
      </c>
      <c r="AF48" s="504" t="n">
        <f aca="false">AF47*$D$2</f>
        <v>104.53045</v>
      </c>
      <c r="AG48" s="502" t="n">
        <f aca="false">AG47*$D$2</f>
        <v>79.93505</v>
      </c>
      <c r="AH48" s="173" t="n">
        <f aca="false">AH47*$D$2</f>
        <v>4089.977</v>
      </c>
      <c r="AI48" s="173"/>
      <c r="AJ48" s="173" t="n">
        <f aca="false">AJ47*$D$2</f>
        <v>0</v>
      </c>
      <c r="AK48" s="173" t="n">
        <f aca="false">AK47*$D$2</f>
        <v>42806.607725</v>
      </c>
      <c r="AL48" s="173" t="n">
        <f aca="false">AL47*$D$2</f>
        <v>1073.91657</v>
      </c>
      <c r="AM48" s="173" t="n">
        <f aca="false">AM47*$D$2</f>
        <v>43880.524295</v>
      </c>
      <c r="AN48" s="505"/>
      <c r="AO48" s="173" t="n">
        <f aca="false">AO47*$D$2</f>
        <v>307.4425</v>
      </c>
      <c r="AP48" s="179"/>
      <c r="AQ48" s="8" t="n">
        <f aca="false">SUM(AQ15:AQ45)</f>
        <v>1.12243502405424</v>
      </c>
      <c r="AR48" s="136" t="n">
        <f aca="false">AR47*$D$2</f>
        <v>0</v>
      </c>
      <c r="AS48" s="207" t="n">
        <f aca="false">AS47*$D$2</f>
        <v>584.14075</v>
      </c>
      <c r="AT48" s="136" t="n">
        <f aca="false">AT47*$D$2</f>
        <v>42.942775</v>
      </c>
      <c r="AU48" s="136" t="n">
        <f aca="false">AU47*$D$2</f>
        <v>0</v>
      </c>
      <c r="AV48" s="506"/>
      <c r="AW48" s="178" t="n">
        <f aca="false">MAX(AW15:AW45)</f>
        <v>96</v>
      </c>
      <c r="AX48" s="178" t="n">
        <f aca="false">MAX(AX15:AX45)</f>
        <v>61</v>
      </c>
      <c r="AY48" s="530" t="s">
        <v>104</v>
      </c>
      <c r="AZ48" s="511" t="n">
        <f aca="false">AZ47*$D$2</f>
        <v>670.329642906636</v>
      </c>
    </row>
    <row r="49" customFormat="false" ht="3" hidden="false" customHeight="true" outlineLevel="0" collapsed="false">
      <c r="A49" s="223"/>
      <c r="B49" s="484"/>
      <c r="C49" s="485"/>
      <c r="D49" s="485"/>
      <c r="E49" s="485"/>
      <c r="F49" s="517"/>
      <c r="G49" s="485"/>
      <c r="H49" s="485"/>
      <c r="I49" s="485"/>
      <c r="J49" s="485"/>
      <c r="K49" s="485"/>
      <c r="L49" s="485"/>
      <c r="M49" s="531"/>
      <c r="N49" s="485"/>
      <c r="O49" s="485"/>
      <c r="P49" s="489"/>
      <c r="Q49" s="491"/>
      <c r="R49" s="491"/>
      <c r="S49" s="491"/>
      <c r="T49" s="491"/>
      <c r="U49" s="490"/>
      <c r="V49" s="485"/>
      <c r="W49" s="485"/>
      <c r="X49" s="485"/>
      <c r="Y49" s="225"/>
      <c r="Z49" s="485"/>
      <c r="AA49" s="225"/>
      <c r="AB49" s="485"/>
      <c r="AC49" s="485"/>
      <c r="AD49" s="485"/>
      <c r="AE49" s="485"/>
      <c r="AF49" s="531"/>
      <c r="AG49" s="532"/>
      <c r="AH49" s="485"/>
      <c r="AI49" s="223"/>
      <c r="AJ49" s="485"/>
      <c r="AK49" s="485"/>
      <c r="AL49" s="485"/>
      <c r="AM49" s="485"/>
      <c r="AN49" s="533"/>
      <c r="AO49" s="485"/>
      <c r="AP49" s="326"/>
      <c r="AQ49" s="489"/>
      <c r="AR49" s="230"/>
      <c r="AS49" s="235"/>
      <c r="AT49" s="232"/>
      <c r="AU49" s="515"/>
      <c r="AV49" s="533"/>
      <c r="AW49" s="485"/>
      <c r="AX49" s="485"/>
      <c r="AY49" s="517"/>
      <c r="AZ49" s="518"/>
    </row>
    <row r="50" customFormat="false" ht="12.95" hidden="false" customHeight="true" outlineLevel="0" collapsed="false">
      <c r="A50" s="181" t="s">
        <v>105</v>
      </c>
      <c r="B50" s="501"/>
      <c r="D50" s="173"/>
      <c r="F50" s="268" t="n">
        <f aca="false">F12+F47</f>
        <v>20540.458784976</v>
      </c>
      <c r="G50" s="173" t="n">
        <f aca="false">G12+G47</f>
        <v>118689</v>
      </c>
      <c r="H50" s="173" t="n">
        <f aca="false">H12+H47</f>
        <v>4578.77</v>
      </c>
      <c r="I50" s="173" t="n">
        <f aca="false">I12+I47</f>
        <v>123267.77</v>
      </c>
      <c r="J50" s="173" t="n">
        <f aca="false">J12+J47</f>
        <v>21001.4592387194</v>
      </c>
      <c r="K50" s="173" t="n">
        <f aca="false">K12+K47</f>
        <v>144269.229238719</v>
      </c>
      <c r="L50" s="173" t="n">
        <f aca="false">L12+L47</f>
        <v>19586.0963864761</v>
      </c>
      <c r="M50" s="504" t="n">
        <f aca="false">M12+M47</f>
        <v>36135.3</v>
      </c>
      <c r="N50" s="173" t="n">
        <f aca="false">N12+N47</f>
        <v>144.1869705</v>
      </c>
      <c r="O50" s="173" t="n">
        <f aca="false">O12+O47</f>
        <v>10912.8075</v>
      </c>
      <c r="P50" s="8" t="n">
        <f aca="false">P12+P47</f>
        <v>7.363</v>
      </c>
      <c r="Q50" s="178"/>
      <c r="R50" s="178"/>
      <c r="S50" s="178"/>
      <c r="T50" s="178"/>
      <c r="U50" s="503"/>
      <c r="V50" s="173" t="n">
        <f aca="false">V12+V47</f>
        <v>17147.6</v>
      </c>
      <c r="W50" s="173" t="n">
        <f aca="false">W12+W47</f>
        <v>9413.98</v>
      </c>
      <c r="X50" s="173" t="n">
        <f aca="false">X12+X47</f>
        <v>52173.7124580387</v>
      </c>
      <c r="Y50" s="107" t="n">
        <f aca="false">Y12+Y47</f>
        <v>51266.1324580387</v>
      </c>
      <c r="Z50" s="80" t="n">
        <f aca="false">Z45</f>
        <v>0</v>
      </c>
      <c r="AA50" s="107"/>
      <c r="AB50" s="438"/>
      <c r="AE50" s="173" t="n">
        <f aca="false">AE12+AE47</f>
        <v>23537.14</v>
      </c>
      <c r="AF50" s="504" t="n">
        <f aca="false">AF12+AF47</f>
        <v>260.1</v>
      </c>
      <c r="AG50" s="502" t="n">
        <f aca="false">AG12+AG47</f>
        <v>198.9</v>
      </c>
      <c r="AH50" s="173"/>
      <c r="AI50" s="438"/>
      <c r="AJ50" s="173" t="n">
        <f aca="false">AJ12+AJ47</f>
        <v>0</v>
      </c>
      <c r="AK50" s="173" t="n">
        <f aca="false">AK12+AK47</f>
        <v>122313.4076015</v>
      </c>
      <c r="AL50" s="173" t="n">
        <f aca="false">AL12+AL47</f>
        <v>1415.36285224338</v>
      </c>
      <c r="AM50" s="173" t="n">
        <f aca="false">AM12+AM47</f>
        <v>123728.770453743</v>
      </c>
      <c r="AN50" s="505"/>
      <c r="AO50" s="179"/>
      <c r="AP50" s="179"/>
      <c r="AQ50" s="8"/>
      <c r="AR50" s="136" t="n">
        <f aca="false">AR12+AR47</f>
        <v>2547.6295</v>
      </c>
      <c r="AS50" s="207" t="n">
        <f aca="false">AS12+AS47</f>
        <v>456</v>
      </c>
      <c r="AT50" s="136" t="n">
        <f aca="false">AT12+AT47</f>
        <v>626.18</v>
      </c>
      <c r="AU50" s="136" t="n">
        <f aca="false">AU12+AU47</f>
        <v>0</v>
      </c>
      <c r="AV50" s="506"/>
      <c r="AW50" s="178" t="n">
        <f aca="false">MIN(AW15:AW45)</f>
        <v>82</v>
      </c>
      <c r="AX50" s="178" t="n">
        <f aca="false">MIN(AX15:AX45)</f>
        <v>52</v>
      </c>
      <c r="AY50" s="530" t="s">
        <v>106</v>
      </c>
      <c r="AZ50" s="511" t="n">
        <f aca="false">AZ12+AZ47</f>
        <v>337.952933151821</v>
      </c>
    </row>
    <row r="51" customFormat="false" ht="12.95" hidden="false" customHeight="true" outlineLevel="0" collapsed="false">
      <c r="A51" s="181" t="s">
        <v>107</v>
      </c>
      <c r="B51" s="501"/>
      <c r="D51" s="173"/>
      <c r="F51" s="268" t="n">
        <f aca="false">F50*$D$2</f>
        <v>40742</v>
      </c>
      <c r="G51" s="173" t="n">
        <f aca="false">G50*$D$2</f>
        <v>235419.6315</v>
      </c>
      <c r="H51" s="173" t="n">
        <f aca="false">H50*$D$2</f>
        <v>9081.990295</v>
      </c>
      <c r="I51" s="173" t="n">
        <f aca="false">I50*$D$2</f>
        <v>244501.621795</v>
      </c>
      <c r="J51" s="173" t="n">
        <f aca="false">J50*$D$2</f>
        <v>41656.3944</v>
      </c>
      <c r="K51" s="173" t="n">
        <f aca="false">K50*$D$2</f>
        <v>286158.016195</v>
      </c>
      <c r="L51" s="173" t="n">
        <f aca="false">L50*$D$2</f>
        <v>38849.0221825752</v>
      </c>
      <c r="M51" s="504" t="n">
        <f aca="false">M50*$D$2</f>
        <v>71674.36755</v>
      </c>
      <c r="N51" s="173" t="n">
        <f aca="false">N50*$D$2</f>
        <v>285.99485598675</v>
      </c>
      <c r="O51" s="173" t="n">
        <f aca="false">O50*$D$2</f>
        <v>21645.55367625</v>
      </c>
      <c r="P51" s="8" t="n">
        <f aca="false">P50*$D$2</f>
        <v>14.6045105</v>
      </c>
      <c r="Q51" s="178"/>
      <c r="R51" s="178"/>
      <c r="S51" s="178"/>
      <c r="T51" s="178"/>
      <c r="U51" s="503"/>
      <c r="V51" s="173" t="n">
        <f aca="false">V50*$D$2</f>
        <v>34012.2646</v>
      </c>
      <c r="W51" s="173" t="n">
        <f aca="false">W50*$D$2</f>
        <v>18672.62933</v>
      </c>
      <c r="X51" s="173" t="n">
        <f aca="false">X50*$D$2</f>
        <v>103486.55866052</v>
      </c>
      <c r="Y51" s="107" t="n">
        <f aca="false">Y50*$D$2</f>
        <v>101686.37373052</v>
      </c>
      <c r="Z51" s="80" t="n">
        <f aca="false">Z50*$D$2</f>
        <v>0</v>
      </c>
      <c r="AA51" s="107"/>
      <c r="AB51" s="173"/>
      <c r="AE51" s="502" t="n">
        <f aca="false">AE50*$D$2</f>
        <v>46685.91719</v>
      </c>
      <c r="AF51" s="173" t="n">
        <f aca="false">AF50*$D$2</f>
        <v>515.90835</v>
      </c>
      <c r="AG51" s="173" t="n">
        <f aca="false">AG50*$D$2</f>
        <v>394.51815</v>
      </c>
      <c r="AH51" s="504"/>
      <c r="AI51" s="173"/>
      <c r="AJ51" s="173" t="n">
        <f aca="false">AJ50*$D$2</f>
        <v>0</v>
      </c>
      <c r="AK51" s="173" t="n">
        <f aca="false">AK50*$D$2</f>
        <v>242608.643977575</v>
      </c>
      <c r="AL51" s="173" t="n">
        <f aca="false">AL50*$D$2</f>
        <v>2807.37221742475</v>
      </c>
      <c r="AM51" s="173" t="n">
        <f aca="false">AM50*$D$2</f>
        <v>245416.016195</v>
      </c>
      <c r="AN51" s="505"/>
      <c r="AO51" s="179"/>
      <c r="AP51" s="179"/>
      <c r="AQ51" s="175" t="n">
        <f aca="false">AQ12+AQ48</f>
        <v>671.938892420578</v>
      </c>
      <c r="AR51" s="136" t="n">
        <f aca="false">AR50*$D$2</f>
        <v>5053.22311325</v>
      </c>
      <c r="AS51" s="207" t="n">
        <f aca="false">AS50*$D$2</f>
        <v>904.476</v>
      </c>
      <c r="AT51" s="136" t="n">
        <f aca="false">AT50*$D$2</f>
        <v>1242.02803</v>
      </c>
      <c r="AU51" s="136" t="n">
        <f aca="false">AU50*$D$2</f>
        <v>0</v>
      </c>
      <c r="AV51" s="506"/>
      <c r="AW51" s="178"/>
      <c r="AX51" s="178"/>
      <c r="AY51" s="291"/>
      <c r="AZ51" s="511" t="n">
        <f aca="false">AZ50*$D$2</f>
        <v>670.329642906636</v>
      </c>
    </row>
    <row r="52" customFormat="false" ht="3" hidden="false" customHeight="true" outlineLevel="0" collapsed="false">
      <c r="A52" s="223"/>
      <c r="B52" s="484"/>
      <c r="C52" s="485"/>
      <c r="D52" s="485"/>
      <c r="E52" s="485"/>
      <c r="F52" s="517"/>
      <c r="G52" s="485"/>
      <c r="H52" s="491"/>
      <c r="I52" s="485"/>
      <c r="J52" s="485"/>
      <c r="K52" s="485"/>
      <c r="L52" s="485"/>
      <c r="M52" s="531"/>
      <c r="N52" s="485"/>
      <c r="O52" s="485"/>
      <c r="P52" s="489"/>
      <c r="Q52" s="491"/>
      <c r="R52" s="491"/>
      <c r="S52" s="491"/>
      <c r="T52" s="491"/>
      <c r="U52" s="490"/>
      <c r="V52" s="485"/>
      <c r="W52" s="485"/>
      <c r="X52" s="485"/>
      <c r="Y52" s="225"/>
      <c r="Z52" s="485"/>
      <c r="AA52" s="225"/>
      <c r="AB52" s="485"/>
      <c r="AC52" s="485"/>
      <c r="AD52" s="485"/>
      <c r="AE52" s="532"/>
      <c r="AF52" s="225"/>
      <c r="AG52" s="225"/>
      <c r="AH52" s="531"/>
      <c r="AI52" s="485"/>
      <c r="AJ52" s="485"/>
      <c r="AK52" s="485"/>
      <c r="AL52" s="485"/>
      <c r="AM52" s="485"/>
      <c r="AN52" s="516"/>
      <c r="AO52" s="534"/>
      <c r="AP52" s="326"/>
      <c r="AQ52" s="489"/>
      <c r="AR52" s="489"/>
      <c r="AS52" s="326"/>
      <c r="AT52" s="515"/>
      <c r="AU52" s="515"/>
      <c r="AV52" s="516"/>
      <c r="AW52" s="534"/>
      <c r="AX52" s="534"/>
      <c r="AY52" s="517"/>
      <c r="AZ52" s="518"/>
    </row>
    <row r="53" customFormat="false" ht="12.95" hidden="false" customHeight="true" outlineLevel="0" collapsed="false">
      <c r="A53" s="181" t="s">
        <v>108</v>
      </c>
      <c r="B53" s="501"/>
      <c r="D53" s="173"/>
      <c r="F53" s="268" t="n">
        <f aca="false">F13+F47</f>
        <v>22142.1729266448</v>
      </c>
      <c r="G53" s="173" t="n">
        <f aca="false">G13+G47</f>
        <v>129924</v>
      </c>
      <c r="H53" s="178" t="n">
        <f aca="false">H13+H47</f>
        <v>5139.35</v>
      </c>
      <c r="I53" s="173" t="n">
        <f aca="false">I13+I47</f>
        <v>135063.35</v>
      </c>
      <c r="J53" s="173" t="n">
        <f aca="false">J13+J47</f>
        <v>24099.9696874212</v>
      </c>
      <c r="K53" s="173" t="n">
        <f aca="false">K13+K47</f>
        <v>159163.319687421</v>
      </c>
      <c r="L53" s="173" t="n">
        <f aca="false">L13+L47</f>
        <v>21665.6205281448</v>
      </c>
      <c r="M53" s="504" t="n">
        <f aca="false">M13+M47</f>
        <v>37058.41</v>
      </c>
      <c r="N53" s="173" t="n">
        <f aca="false">N13+N47</f>
        <v>144.1869705</v>
      </c>
      <c r="O53" s="173" t="n">
        <f aca="false">O13+O47</f>
        <v>10912.8075</v>
      </c>
      <c r="Q53" s="178" t="n">
        <f aca="false">Q13+Q47</f>
        <v>635.688832300577</v>
      </c>
      <c r="R53" s="178" t="n">
        <f aca="false">R13+R47</f>
        <v>834.183361972769</v>
      </c>
      <c r="S53" s="178" t="n">
        <f aca="false">S13+S47</f>
        <v>221.714553514008</v>
      </c>
      <c r="T53" s="178" t="n">
        <f aca="false">T13+T47</f>
        <v>391.488396</v>
      </c>
      <c r="U53" s="535" t="n">
        <f aca="false">U13+U47</f>
        <v>-12.2414035208269</v>
      </c>
      <c r="V53" s="173" t="n">
        <f aca="false">V13+V47</f>
        <v>23241.6</v>
      </c>
      <c r="W53" s="173" t="n">
        <f aca="false">W13+W47</f>
        <v>9472.26</v>
      </c>
      <c r="X53" s="173" t="n">
        <f aca="false">X13+X47</f>
        <v>58558.5282892335</v>
      </c>
      <c r="Y53" s="107" t="n">
        <f aca="false">Y13+Y47</f>
        <v>57449.1490593933</v>
      </c>
      <c r="Z53" s="173"/>
      <c r="AA53" s="107"/>
      <c r="AB53" s="173"/>
      <c r="AE53" s="502"/>
      <c r="AF53" s="107" t="n">
        <f aca="false">AF13+AF47</f>
        <v>52.7</v>
      </c>
      <c r="AG53" s="107" t="n">
        <f aca="false">AG13+AG47</f>
        <v>40.3</v>
      </c>
      <c r="AH53" s="504" t="n">
        <f aca="false">AH13+AH47</f>
        <v>41573</v>
      </c>
      <c r="AI53" s="173" t="n">
        <f aca="false">AI45</f>
        <v>8343.25787748929</v>
      </c>
      <c r="AJ53" s="173" t="n">
        <f aca="false">AJ13+AJ47</f>
        <v>28682</v>
      </c>
      <c r="AK53" s="173" t="n">
        <f aca="false">AK13+AK47</f>
        <v>134586.7976015</v>
      </c>
      <c r="AL53" s="173" t="n">
        <f aca="false">AL13+AL47</f>
        <v>2434.34915927641</v>
      </c>
      <c r="AM53" s="173" t="n">
        <f aca="false">AM13+AM47</f>
        <v>137021.146760776</v>
      </c>
      <c r="AN53" s="505"/>
      <c r="AO53" s="173" t="n">
        <f aca="false">AO13+AO47</f>
        <v>1109.3792298402</v>
      </c>
      <c r="AP53" s="179"/>
      <c r="AQ53" s="8"/>
      <c r="AR53" s="8"/>
      <c r="AS53" s="178"/>
      <c r="AT53" s="175" t="n">
        <f aca="false">AT12+AT47</f>
        <v>626.18</v>
      </c>
      <c r="AU53" s="175"/>
      <c r="AV53" s="506" t="n">
        <f aca="false">AV13+AV47</f>
        <v>8.363</v>
      </c>
      <c r="AW53" s="178"/>
      <c r="AX53" s="178"/>
      <c r="AY53" s="291"/>
      <c r="AZ53" s="511" t="n">
        <f aca="false">AZ13+AZ47</f>
        <v>2222.38371076653</v>
      </c>
    </row>
    <row r="54" customFormat="false" ht="12.95" hidden="false" customHeight="true" outlineLevel="0" collapsed="false">
      <c r="A54" s="181" t="s">
        <v>109</v>
      </c>
      <c r="B54" s="501"/>
      <c r="D54" s="173" t="n">
        <f aca="false">D13+D48</f>
        <v>43919</v>
      </c>
      <c r="E54" s="173" t="n">
        <f aca="false">E45</f>
        <v>169310</v>
      </c>
      <c r="F54" s="268" t="n">
        <f aca="false">F53*$D$2</f>
        <v>43919</v>
      </c>
      <c r="G54" s="173" t="n">
        <f aca="false">G53*$D$2</f>
        <v>257704.254</v>
      </c>
      <c r="H54" s="178" t="n">
        <f aca="false">H53*$D$2</f>
        <v>10193.900725</v>
      </c>
      <c r="I54" s="173" t="n">
        <f aca="false">I53*$D$2</f>
        <v>267898.154725</v>
      </c>
      <c r="J54" s="173" t="n">
        <f aca="false">J53*$D$2</f>
        <v>47802.289875</v>
      </c>
      <c r="K54" s="173" t="n">
        <f aca="false">K53*$D$2</f>
        <v>315700.4446</v>
      </c>
      <c r="L54" s="173" t="n">
        <f aca="false">L53*$D$2</f>
        <v>42973.7583175752</v>
      </c>
      <c r="M54" s="504" t="n">
        <f aca="false">M53*$D$2</f>
        <v>73505.356235</v>
      </c>
      <c r="N54" s="173" t="n">
        <f aca="false">N53*$D$2</f>
        <v>285.99485598675</v>
      </c>
      <c r="O54" s="173" t="n">
        <f aca="false">O53*$D$2</f>
        <v>21645.55367625</v>
      </c>
      <c r="Q54" s="178" t="n">
        <f aca="false">Q53*$D$2</f>
        <v>1260.88879886819</v>
      </c>
      <c r="R54" s="178" t="n">
        <f aca="false">R53*$D$2</f>
        <v>1654.60269847299</v>
      </c>
      <c r="S54" s="536" t="n">
        <f aca="false">S53*$D$2</f>
        <v>439.770816895035</v>
      </c>
      <c r="T54" s="536" t="n">
        <f aca="false">T53*$D$2</f>
        <v>776.517233466</v>
      </c>
      <c r="U54" s="509" t="n">
        <f aca="false">U53*$D$2</f>
        <v>-24.2808238835601</v>
      </c>
      <c r="V54" s="173" t="n">
        <f aca="false">V53*$D$2</f>
        <v>46099.7136</v>
      </c>
      <c r="W54" s="173" t="n">
        <f aca="false">W53*$D$2</f>
        <v>18788.22771</v>
      </c>
      <c r="X54" s="173" t="n">
        <f aca="false">X53*$D$2</f>
        <v>116150.840861695</v>
      </c>
      <c r="Y54" s="107" t="n">
        <f aca="false">Y53*$D$2</f>
        <v>113950.387159307</v>
      </c>
      <c r="Z54" s="173"/>
      <c r="AA54" s="107"/>
      <c r="AB54" s="173"/>
      <c r="AE54" s="502"/>
      <c r="AF54" s="107" t="n">
        <f aca="false">AF53*$D$2</f>
        <v>104.53045</v>
      </c>
      <c r="AG54" s="107" t="n">
        <f aca="false">AG53*$D$2</f>
        <v>79.93505</v>
      </c>
      <c r="AH54" s="504" t="n">
        <f aca="false">AH53*$D$2</f>
        <v>82460.0455</v>
      </c>
      <c r="AI54" s="173" t="n">
        <f aca="false">AI53*$D$2</f>
        <v>16548.852</v>
      </c>
      <c r="AJ54" s="173" t="n">
        <f aca="false">AJ53*$D$2</f>
        <v>56890.747</v>
      </c>
      <c r="AK54" s="173" t="n">
        <f aca="false">AK53*$D$2</f>
        <v>266952.913042575</v>
      </c>
      <c r="AL54" s="173" t="n">
        <f aca="false">AL53*$D$2</f>
        <v>4828.53155742475</v>
      </c>
      <c r="AM54" s="173" t="n">
        <f aca="false">AM53*$D$2</f>
        <v>271781.4446</v>
      </c>
      <c r="AN54" s="505" t="n">
        <f aca="false">AN13+AN48</f>
        <v>13403.62026</v>
      </c>
      <c r="AO54" s="173" t="n">
        <f aca="false">AO53*$D$2</f>
        <v>2200.45370238804</v>
      </c>
      <c r="AP54" s="179"/>
      <c r="AQ54" s="175" t="n">
        <f aca="false">AQ13+AQ48</f>
        <v>671.938892420578</v>
      </c>
      <c r="AR54" s="8"/>
      <c r="AS54" s="178"/>
      <c r="AT54" s="175" t="n">
        <f aca="false">AT53*$D$2</f>
        <v>1242.02803</v>
      </c>
      <c r="AU54" s="175"/>
      <c r="AV54" s="506"/>
      <c r="AW54" s="178"/>
      <c r="AX54" s="178"/>
      <c r="AY54" s="291"/>
      <c r="AZ54" s="511" t="n">
        <f aca="false">AZ53*$D$2</f>
        <v>4408.09809030541</v>
      </c>
    </row>
    <row r="55" customFormat="false" ht="3" hidden="false" customHeight="true" outlineLevel="0" collapsed="false">
      <c r="A55" s="223"/>
      <c r="B55" s="484"/>
      <c r="C55" s="485"/>
      <c r="D55" s="223"/>
      <c r="E55" s="485"/>
      <c r="F55" s="486"/>
      <c r="G55" s="223"/>
      <c r="H55" s="513"/>
      <c r="I55" s="223"/>
      <c r="J55" s="223"/>
      <c r="K55" s="537"/>
      <c r="L55" s="223"/>
      <c r="M55" s="488"/>
      <c r="N55" s="223"/>
      <c r="O55" s="223"/>
      <c r="P55" s="489"/>
      <c r="Q55" s="489"/>
      <c r="R55" s="490"/>
      <c r="S55" s="489"/>
      <c r="T55" s="489"/>
      <c r="U55" s="490"/>
      <c r="V55" s="223"/>
      <c r="W55" s="223"/>
      <c r="X55" s="223"/>
      <c r="Y55" s="223"/>
      <c r="Z55" s="485"/>
      <c r="AA55" s="223"/>
      <c r="AB55" s="485"/>
      <c r="AC55" s="485"/>
      <c r="AD55" s="485"/>
      <c r="AE55" s="538"/>
      <c r="AF55" s="226"/>
      <c r="AG55" s="226"/>
      <c r="AH55" s="488"/>
      <c r="AI55" s="485"/>
      <c r="AJ55" s="485"/>
      <c r="AK55" s="223"/>
      <c r="AL55" s="223"/>
      <c r="AM55" s="223"/>
      <c r="AN55" s="484"/>
      <c r="AO55" s="223"/>
      <c r="AP55" s="326"/>
      <c r="AQ55" s="489"/>
      <c r="AR55" s="489"/>
      <c r="AS55" s="515"/>
      <c r="AT55" s="515"/>
      <c r="AU55" s="515"/>
      <c r="AV55" s="484"/>
      <c r="AW55" s="223"/>
      <c r="AX55" s="223"/>
      <c r="AY55" s="517"/>
      <c r="AZ55" s="518"/>
    </row>
    <row r="56" customFormat="false" ht="11.1" hidden="false" customHeight="true" outlineLevel="0" collapsed="false">
      <c r="A56" s="336"/>
      <c r="B56" s="169"/>
      <c r="C56" s="2"/>
      <c r="D56" s="11"/>
      <c r="E56" s="460"/>
      <c r="F56" s="1"/>
      <c r="G56" s="1"/>
      <c r="H56" s="3"/>
      <c r="I56" s="11"/>
      <c r="J56" s="11"/>
      <c r="K56" s="461"/>
      <c r="L56" s="173"/>
      <c r="M56" s="11"/>
      <c r="N56" s="11"/>
      <c r="O56" s="11"/>
      <c r="P56" s="5"/>
      <c r="Q56" s="5"/>
      <c r="R56" s="5"/>
      <c r="S56" s="5"/>
      <c r="T56" s="5"/>
      <c r="U56" s="5"/>
      <c r="V56" s="11"/>
      <c r="W56" s="11"/>
      <c r="X56" s="11"/>
      <c r="Y56" s="11"/>
      <c r="Z56" s="1"/>
      <c r="AA56" s="11"/>
      <c r="AB56" s="1"/>
      <c r="AC56" s="1"/>
      <c r="AD56" s="2"/>
      <c r="AE56" s="11"/>
      <c r="AF56" s="11"/>
      <c r="AG56" s="11"/>
      <c r="AH56" s="11"/>
      <c r="AI56" s="460"/>
      <c r="AJ56" s="463"/>
      <c r="AK56" s="460"/>
      <c r="AL56" s="181"/>
      <c r="AM56" s="181"/>
      <c r="AN56" s="409"/>
      <c r="AO56" s="409"/>
      <c r="AQ56" s="381"/>
      <c r="AR56" s="381"/>
      <c r="AS56" s="405"/>
      <c r="AV56" s="8"/>
      <c r="AW56" s="178"/>
      <c r="AX56" s="178"/>
    </row>
    <row r="57" customFormat="false" ht="11.1" hidden="false" customHeight="true" outlineLevel="0" collapsed="false">
      <c r="A57" s="181"/>
      <c r="B57" s="263"/>
      <c r="C57" s="2"/>
      <c r="D57" s="1"/>
      <c r="E57" s="379"/>
      <c r="F57" s="184"/>
      <c r="G57" s="1"/>
      <c r="H57" s="3"/>
      <c r="I57" s="12"/>
      <c r="J57" s="11"/>
      <c r="K57" s="170"/>
      <c r="L57" s="175"/>
      <c r="M57" s="11"/>
      <c r="N57" s="11"/>
      <c r="O57" s="2"/>
      <c r="P57" s="5"/>
      <c r="Q57" s="5"/>
      <c r="R57" s="93"/>
      <c r="S57" s="93"/>
      <c r="T57" s="93"/>
      <c r="U57" s="93"/>
      <c r="V57" s="26"/>
      <c r="W57" s="130"/>
      <c r="X57" s="464"/>
      <c r="Y57" s="464"/>
      <c r="Z57" s="173"/>
      <c r="AA57" s="464"/>
      <c r="AB57" s="173"/>
      <c r="AC57" s="84"/>
      <c r="AD57" s="84"/>
      <c r="AE57" s="2"/>
      <c r="AF57" s="2"/>
      <c r="AG57" s="2"/>
      <c r="AH57" s="11"/>
      <c r="AI57" s="2"/>
      <c r="AJ57" s="105"/>
      <c r="AK57" s="2"/>
      <c r="AL57" s="181"/>
      <c r="AM57" s="8"/>
      <c r="AN57" s="539"/>
      <c r="AO57" s="539"/>
      <c r="AQ57" s="381"/>
      <c r="AR57" s="381"/>
      <c r="AS57" s="405"/>
      <c r="AV57" s="178"/>
      <c r="AW57" s="178"/>
      <c r="AX57" s="178"/>
    </row>
    <row r="58" customFormat="false" ht="11.1" hidden="false" customHeight="true" outlineLevel="0" collapsed="false">
      <c r="B58" s="173"/>
      <c r="E58" s="379"/>
      <c r="F58" s="217"/>
      <c r="G58" s="1"/>
      <c r="H58" s="3"/>
      <c r="I58" s="1"/>
      <c r="J58" s="1"/>
      <c r="K58" s="380"/>
      <c r="L58" s="438"/>
      <c r="M58" s="4"/>
      <c r="N58" s="4"/>
      <c r="O58" s="379"/>
      <c r="P58" s="467"/>
      <c r="Q58" s="467"/>
      <c r="R58" s="93"/>
      <c r="S58" s="93"/>
      <c r="T58" s="93"/>
      <c r="U58" s="93"/>
      <c r="V58" s="26"/>
      <c r="W58" s="130"/>
      <c r="X58" s="90"/>
      <c r="Y58" s="90"/>
      <c r="Z58" s="173"/>
      <c r="AA58" s="90"/>
      <c r="AB58" s="173"/>
      <c r="AE58" s="173"/>
      <c r="AF58" s="173"/>
      <c r="AG58" s="173"/>
      <c r="AH58" s="2"/>
      <c r="AI58" s="26"/>
      <c r="AJ58" s="468"/>
      <c r="AK58" s="26"/>
      <c r="AL58" s="172"/>
      <c r="AM58" s="8"/>
      <c r="AN58" s="176"/>
      <c r="AO58" s="176"/>
      <c r="AQ58" s="381"/>
      <c r="AR58" s="381"/>
      <c r="AS58" s="405"/>
      <c r="AV58" s="178"/>
      <c r="AW58" s="178"/>
      <c r="AX58" s="179"/>
    </row>
    <row r="59" customFormat="false" ht="11.1" hidden="false" customHeight="true" outlineLevel="0" collapsed="false">
      <c r="D59" s="173"/>
      <c r="E59" s="379"/>
      <c r="F59" s="1"/>
      <c r="G59" s="1"/>
      <c r="H59" s="173"/>
      <c r="I59" s="1"/>
      <c r="J59" s="1"/>
      <c r="K59" s="380"/>
      <c r="L59" s="178"/>
      <c r="M59" s="4"/>
      <c r="N59" s="4"/>
      <c r="O59" s="178"/>
      <c r="Q59" s="8"/>
      <c r="R59" s="93"/>
      <c r="S59" s="93"/>
      <c r="T59" s="93"/>
      <c r="U59" s="93"/>
      <c r="V59" s="26"/>
      <c r="W59" s="26"/>
      <c r="X59" s="90"/>
      <c r="Y59" s="90"/>
      <c r="Z59" s="178"/>
      <c r="AA59" s="90"/>
      <c r="AB59" s="178"/>
      <c r="AC59" s="178"/>
      <c r="AE59" s="173"/>
      <c r="AF59" s="173"/>
      <c r="AG59" s="173"/>
      <c r="AH59" s="2"/>
      <c r="AI59" s="173"/>
      <c r="AJ59" s="217"/>
      <c r="AK59" s="173"/>
      <c r="AL59" s="172"/>
      <c r="AM59" s="379"/>
      <c r="AN59" s="176"/>
      <c r="AO59" s="176"/>
      <c r="AQ59" s="381"/>
      <c r="AR59" s="381"/>
      <c r="AS59" s="405"/>
      <c r="AV59" s="178"/>
      <c r="AW59" s="178"/>
      <c r="AX59" s="179"/>
    </row>
    <row r="60" customFormat="false" ht="11.1" hidden="false" customHeight="true" outlineLevel="0" collapsed="false">
      <c r="G60" s="262"/>
      <c r="Q60" s="8"/>
      <c r="R60" s="8"/>
      <c r="S60" s="8"/>
      <c r="T60" s="8"/>
      <c r="W60" s="172"/>
      <c r="X60" s="1"/>
      <c r="Y60" s="1"/>
      <c r="Z60" s="173"/>
      <c r="AA60" s="1"/>
      <c r="AB60" s="173"/>
      <c r="AH60" s="173"/>
      <c r="AK60" s="172"/>
      <c r="AL60" s="172"/>
      <c r="AM60" s="8"/>
      <c r="AN60" s="176"/>
      <c r="AO60" s="176"/>
      <c r="AQ60" s="381"/>
      <c r="AR60" s="381"/>
      <c r="AS60" s="405"/>
      <c r="AV60" s="174"/>
      <c r="AW60" s="178"/>
      <c r="AX60" s="179"/>
    </row>
    <row r="61" customFormat="false" ht="11.1" hidden="false" customHeight="true" outlineLevel="0" collapsed="false">
      <c r="Q61" s="8"/>
      <c r="R61" s="8"/>
      <c r="S61" s="8"/>
      <c r="T61" s="8"/>
      <c r="W61" s="172"/>
      <c r="X61" s="173"/>
      <c r="Y61" s="173"/>
      <c r="Z61" s="173"/>
      <c r="AA61" s="173"/>
      <c r="AB61" s="173"/>
      <c r="AH61" s="173"/>
      <c r="AK61" s="172"/>
      <c r="AL61" s="172"/>
      <c r="AM61" s="8"/>
      <c r="AN61" s="176"/>
      <c r="AO61" s="176"/>
      <c r="AQ61" s="381"/>
      <c r="AR61" s="381"/>
      <c r="AS61" s="405"/>
      <c r="AV61" s="174"/>
      <c r="AW61" s="178"/>
      <c r="AX61" s="179"/>
    </row>
    <row r="62" customFormat="false" ht="11.1" hidden="false" customHeight="true" outlineLevel="0" collapsed="false">
      <c r="Q62" s="8"/>
      <c r="R62" s="8"/>
      <c r="S62" s="8"/>
      <c r="T62" s="8"/>
      <c r="W62" s="172"/>
      <c r="X62" s="173"/>
      <c r="Y62" s="173"/>
      <c r="Z62" s="173"/>
      <c r="AA62" s="173"/>
      <c r="AB62" s="173"/>
      <c r="AH62" s="173"/>
      <c r="AK62" s="172"/>
      <c r="AL62" s="172"/>
      <c r="AM62" s="8"/>
      <c r="AN62" s="176"/>
      <c r="AO62" s="176"/>
      <c r="AQ62" s="381"/>
      <c r="AR62" s="381"/>
      <c r="AS62" s="405"/>
      <c r="AV62" s="174"/>
      <c r="AW62" s="178"/>
      <c r="AX62" s="179"/>
    </row>
    <row r="63" customFormat="false" ht="11.1" hidden="false" customHeight="true" outlineLevel="0" collapsed="false">
      <c r="X63" s="173"/>
      <c r="Y63" s="173"/>
      <c r="AA63" s="173"/>
    </row>
  </sheetData>
  <mergeCells count="3">
    <mergeCell ref="K2:Y2"/>
    <mergeCell ref="Z2:AD2"/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H26" activePane="bottomRight" state="frozen"/>
      <selection pane="topLeft" activeCell="A1" activeCellId="0" sqref="A1"/>
      <selection pane="topRight" activeCell="H1" activeCellId="0" sqref="H1"/>
      <selection pane="bottomLeft" activeCell="A26" activeCellId="0" sqref="A26"/>
      <selection pane="bottomRight" activeCell="Y1" activeCellId="0" sqref="Y1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3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182" width="5.66"/>
    <col collapsed="false" customWidth="true" hidden="false" outlineLevel="0" max="11" min="9" style="172" width="6.32"/>
    <col collapsed="false" customWidth="true" hidden="false" outlineLevel="0" max="12" min="12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20" min="17" style="8" width="4.32"/>
    <col collapsed="false" customWidth="true" hidden="false" outlineLevel="0" max="21" min="21" style="8" width="5.16"/>
    <col collapsed="false" customWidth="true" hidden="false" outlineLevel="0" max="22" min="22" style="172" width="5.49"/>
    <col collapsed="false" customWidth="true" hidden="false" outlineLevel="0" max="23" min="23" style="173" width="5.49"/>
    <col collapsed="false" customWidth="true" hidden="false" outlineLevel="0" max="25" min="24" style="172" width="6.32"/>
    <col collapsed="false" customWidth="true" hidden="false" outlineLevel="0" max="26" min="26" style="172" width="5.49"/>
    <col collapsed="false" customWidth="true" hidden="false" outlineLevel="0" max="27" min="27" style="172" width="6.32"/>
    <col collapsed="false" customWidth="true" hidden="false" outlineLevel="0" max="28" min="28" style="172" width="5.49"/>
    <col collapsed="false" customWidth="true" hidden="false" outlineLevel="0" max="29" min="29" style="173" width="5.82"/>
    <col collapsed="false" customWidth="true" hidden="false" outlineLevel="0" max="30" min="30" style="173" width="5.49"/>
    <col collapsed="false" customWidth="true" hidden="false" outlineLevel="0" max="33" min="31" style="172" width="5.49"/>
    <col collapsed="false" customWidth="true" hidden="false" outlineLevel="0" max="34" min="34" style="172" width="6.32"/>
    <col collapsed="false" customWidth="true" hidden="false" outlineLevel="0" max="35" min="35" style="172" width="5.49"/>
    <col collapsed="false" customWidth="true" hidden="false" outlineLevel="0" max="36" min="36" style="176" width="6.32"/>
    <col collapsed="false" customWidth="true" hidden="false" outlineLevel="0" max="37" min="37" style="8" width="6.32"/>
    <col collapsed="false" customWidth="true" hidden="false" outlineLevel="0" max="38" min="38" style="174" width="6.82"/>
    <col collapsed="false" customWidth="true" hidden="false" outlineLevel="0" max="39" min="39" style="178" width="6.82"/>
    <col collapsed="false" customWidth="true" hidden="false" outlineLevel="0" max="41" min="40" style="172" width="5.49"/>
    <col collapsed="false" customWidth="true" hidden="false" outlineLevel="0" max="42" min="42" style="175" width="6.32"/>
    <col collapsed="false" customWidth="true" hidden="false" outlineLevel="0" max="43" min="43" style="8" width="6.32"/>
    <col collapsed="false" customWidth="true" hidden="false" outlineLevel="0" max="44" min="44" style="8" width="5.49"/>
    <col collapsed="false" customWidth="true" hidden="false" outlineLevel="0" max="45" min="45" style="172" width="5.32"/>
    <col collapsed="false" customWidth="true" hidden="false" outlineLevel="0" max="46" min="46" style="172" width="5.82"/>
    <col collapsed="false" customWidth="true" hidden="false" outlineLevel="0" max="47" min="47" style="175" width="4.99"/>
    <col collapsed="false" customWidth="true" hidden="false" outlineLevel="0" max="48" min="48" style="179" width="5.32"/>
    <col collapsed="false" customWidth="true" hidden="false" outlineLevel="0" max="49" min="49" style="172" width="3.82"/>
    <col collapsed="false" customWidth="true" hidden="false" outlineLevel="0" max="50" min="50" style="8" width="3.82"/>
    <col collapsed="false" customWidth="true" hidden="false" outlineLevel="0" max="51" min="51" style="180" width="3.82"/>
    <col collapsed="false" customWidth="true" hidden="false" outlineLevel="0" max="52" min="52" style="180" width="5.49"/>
    <col collapsed="false" customWidth="false" hidden="false" outlineLevel="0" max="257" min="53" style="180" width="9.32"/>
  </cols>
  <sheetData>
    <row r="1" customFormat="false" ht="14.1" hidden="false" customHeight="true" outlineLevel="0" collapsed="false">
      <c r="A1" s="181"/>
      <c r="B1" s="181"/>
      <c r="D1" s="181"/>
      <c r="F1" s="181"/>
      <c r="G1" s="181"/>
      <c r="I1" s="181"/>
      <c r="J1" s="181"/>
      <c r="K1" s="183" t="s">
        <v>0</v>
      </c>
      <c r="L1" s="181"/>
      <c r="M1" s="181"/>
      <c r="N1" s="181"/>
      <c r="O1" s="181"/>
      <c r="V1" s="181"/>
      <c r="W1" s="181"/>
      <c r="X1" s="173"/>
      <c r="Y1" s="173"/>
      <c r="Z1" s="181"/>
      <c r="AA1" s="173"/>
      <c r="AB1" s="181"/>
      <c r="AC1" s="181"/>
      <c r="AD1" s="181"/>
      <c r="AE1" s="181"/>
      <c r="AF1" s="181"/>
      <c r="AG1" s="181"/>
      <c r="AH1" s="173"/>
      <c r="AI1" s="181"/>
      <c r="AJ1" s="184"/>
      <c r="AK1" s="181"/>
      <c r="AL1" s="181"/>
      <c r="AM1" s="8"/>
      <c r="AN1" s="184"/>
      <c r="AO1" s="184"/>
      <c r="AP1" s="316"/>
      <c r="AQ1" s="315"/>
      <c r="AR1" s="315"/>
      <c r="AV1" s="174"/>
      <c r="AW1" s="178"/>
      <c r="AX1" s="179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I2" s="181"/>
      <c r="J2" s="181"/>
      <c r="K2" s="382" t="s">
        <v>138</v>
      </c>
      <c r="L2" s="186"/>
      <c r="M2" s="317"/>
      <c r="N2" s="317"/>
      <c r="O2" s="317"/>
      <c r="P2" s="315"/>
      <c r="Q2" s="315"/>
      <c r="R2" s="315"/>
      <c r="S2" s="315"/>
      <c r="T2" s="315"/>
      <c r="U2" s="315"/>
      <c r="V2" s="317"/>
      <c r="W2" s="317"/>
      <c r="X2" s="84"/>
      <c r="Y2" s="84"/>
      <c r="Z2" s="317"/>
      <c r="AA2" s="84"/>
      <c r="AB2" s="317"/>
      <c r="AC2" s="317"/>
      <c r="AD2" s="317"/>
      <c r="AE2" s="181"/>
      <c r="AF2" s="181"/>
      <c r="AG2" s="181"/>
      <c r="AH2" s="173"/>
      <c r="AI2" s="181"/>
      <c r="AJ2" s="184"/>
      <c r="AK2" s="181"/>
      <c r="AL2" s="181"/>
      <c r="AM2" s="8"/>
      <c r="AN2" s="184"/>
      <c r="AO2" s="184"/>
      <c r="AP2" s="316"/>
      <c r="AQ2" s="315"/>
      <c r="AR2" s="315"/>
      <c r="AV2" s="174"/>
      <c r="AW2" s="178"/>
      <c r="AX2" s="179"/>
    </row>
    <row r="3" customFormat="false" ht="14.1" hidden="false" customHeight="true" outlineLevel="0" collapsed="false">
      <c r="A3" s="187"/>
      <c r="B3" s="187"/>
      <c r="C3" s="188"/>
      <c r="D3" s="189"/>
      <c r="E3" s="188"/>
      <c r="F3" s="187"/>
      <c r="G3" s="187"/>
      <c r="H3" s="190"/>
      <c r="I3" s="187"/>
      <c r="J3" s="187"/>
      <c r="K3" s="187"/>
      <c r="L3" s="187"/>
      <c r="M3" s="187"/>
      <c r="N3" s="187"/>
      <c r="O3" s="187"/>
      <c r="P3" s="191"/>
      <c r="Q3" s="191"/>
      <c r="R3" s="191"/>
      <c r="S3" s="191"/>
      <c r="T3" s="191"/>
      <c r="U3" s="191"/>
      <c r="V3" s="187"/>
      <c r="W3" s="187"/>
      <c r="X3" s="188"/>
      <c r="Y3" s="188"/>
      <c r="Z3" s="187"/>
      <c r="AA3" s="188"/>
      <c r="AB3" s="187"/>
      <c r="AC3" s="187"/>
      <c r="AD3" s="187"/>
      <c r="AE3" s="187"/>
      <c r="AF3" s="187"/>
      <c r="AG3" s="187"/>
      <c r="AH3" s="188"/>
      <c r="AI3" s="187"/>
      <c r="AJ3" s="193"/>
      <c r="AK3" s="187"/>
      <c r="AL3" s="187"/>
      <c r="AM3" s="191"/>
      <c r="AN3" s="193"/>
      <c r="AO3" s="193"/>
      <c r="AP3" s="319"/>
      <c r="AQ3" s="318"/>
      <c r="AR3" s="315"/>
      <c r="AS3" s="278"/>
      <c r="AV3" s="196"/>
      <c r="AW3" s="197"/>
      <c r="AX3" s="198"/>
    </row>
    <row r="4" s="172" customFormat="true" ht="14.1" hidden="false" customHeight="true" outlineLevel="0" collapsed="false">
      <c r="A4" s="181"/>
      <c r="B4" s="386"/>
      <c r="C4" s="387"/>
      <c r="D4" s="388" t="s">
        <v>3</v>
      </c>
      <c r="E4" s="387"/>
      <c r="F4" s="494"/>
      <c r="G4" s="181"/>
      <c r="H4" s="182"/>
      <c r="I4" s="336" t="s">
        <v>4</v>
      </c>
      <c r="J4" s="336"/>
      <c r="K4" s="181"/>
      <c r="L4" s="391"/>
      <c r="M4" s="181"/>
      <c r="N4" s="181"/>
      <c r="O4" s="181"/>
      <c r="P4" s="8"/>
      <c r="Q4" s="8"/>
      <c r="R4" s="8"/>
      <c r="S4" s="8"/>
      <c r="T4" s="8"/>
      <c r="U4" s="8"/>
      <c r="V4" s="396"/>
      <c r="W4" s="181"/>
      <c r="X4" s="396" t="s">
        <v>5</v>
      </c>
      <c r="Y4" s="173"/>
      <c r="Z4" s="181"/>
      <c r="AA4" s="173"/>
      <c r="AB4" s="181"/>
      <c r="AC4" s="181"/>
      <c r="AD4" s="181"/>
      <c r="AE4" s="181"/>
      <c r="AF4" s="181"/>
      <c r="AG4" s="181"/>
      <c r="AH4" s="173"/>
      <c r="AI4" s="181"/>
      <c r="AJ4" s="184"/>
      <c r="AK4" s="181"/>
      <c r="AL4" s="181"/>
      <c r="AM4" s="8"/>
      <c r="AN4" s="386"/>
      <c r="AO4" s="181"/>
      <c r="AP4" s="540" t="s">
        <v>6</v>
      </c>
      <c r="AQ4" s="540"/>
      <c r="AR4" s="541"/>
      <c r="AS4" s="542"/>
      <c r="AT4" s="543"/>
      <c r="AU4" s="389"/>
      <c r="AV4" s="398"/>
      <c r="AW4" s="399" t="s">
        <v>7</v>
      </c>
      <c r="AX4" s="400"/>
      <c r="AY4" s="401"/>
      <c r="AZ4" s="402"/>
    </row>
    <row r="5" customFormat="false" ht="12.95" hidden="false" customHeight="true" outlineLevel="0" collapsed="false">
      <c r="A5" s="313" t="s">
        <v>8</v>
      </c>
      <c r="B5" s="403" t="s">
        <v>9</v>
      </c>
      <c r="C5" s="404" t="s">
        <v>9</v>
      </c>
      <c r="D5" s="313" t="s">
        <v>10</v>
      </c>
      <c r="E5" s="404" t="s">
        <v>11</v>
      </c>
      <c r="F5" s="313" t="s">
        <v>12</v>
      </c>
      <c r="G5" s="403" t="s">
        <v>13</v>
      </c>
      <c r="H5" s="405" t="s">
        <v>14</v>
      </c>
      <c r="I5" s="313" t="s">
        <v>15</v>
      </c>
      <c r="J5" s="313" t="s">
        <v>16</v>
      </c>
      <c r="K5" s="313" t="s">
        <v>17</v>
      </c>
      <c r="L5" s="313" t="s">
        <v>16</v>
      </c>
      <c r="M5" s="406" t="s">
        <v>18</v>
      </c>
      <c r="N5" s="406"/>
      <c r="O5" s="406"/>
      <c r="P5" s="406"/>
      <c r="Q5" s="406"/>
      <c r="R5" s="406"/>
      <c r="S5" s="406"/>
      <c r="T5" s="406"/>
      <c r="U5" s="406"/>
      <c r="V5" s="313" t="s">
        <v>19</v>
      </c>
      <c r="W5" s="31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4" t="s">
        <v>22</v>
      </c>
      <c r="AD5" s="404" t="s">
        <v>21</v>
      </c>
      <c r="AE5" s="313" t="s">
        <v>23</v>
      </c>
      <c r="AF5" s="407" t="s">
        <v>127</v>
      </c>
      <c r="AG5" s="408"/>
      <c r="AH5" s="409" t="s">
        <v>25</v>
      </c>
      <c r="AI5" s="404" t="s">
        <v>128</v>
      </c>
      <c r="AJ5" s="404" t="s">
        <v>27</v>
      </c>
      <c r="AK5" s="313" t="s">
        <v>15</v>
      </c>
      <c r="AL5" s="313" t="s">
        <v>16</v>
      </c>
      <c r="AM5" s="313" t="s">
        <v>17</v>
      </c>
      <c r="AN5" s="44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5" t="s">
        <v>32</v>
      </c>
      <c r="AU5" s="202" t="s">
        <v>33</v>
      </c>
      <c r="AV5" s="410" t="s">
        <v>34</v>
      </c>
      <c r="AW5" s="409" t="s">
        <v>35</v>
      </c>
      <c r="AX5" s="409" t="s">
        <v>36</v>
      </c>
      <c r="AY5" s="291"/>
      <c r="AZ5" s="287" t="s">
        <v>17</v>
      </c>
    </row>
    <row r="6" customFormat="false" ht="12.95" hidden="false" customHeight="true" outlineLevel="0" collapsed="false">
      <c r="A6" s="411" t="s">
        <v>139</v>
      </c>
      <c r="B6" s="403" t="s">
        <v>38</v>
      </c>
      <c r="C6" s="404"/>
      <c r="D6" s="313" t="s">
        <v>39</v>
      </c>
      <c r="E6" s="404" t="s">
        <v>40</v>
      </c>
      <c r="F6" s="313" t="s">
        <v>41</v>
      </c>
      <c r="G6" s="403" t="s">
        <v>42</v>
      </c>
      <c r="H6" s="405" t="s">
        <v>43</v>
      </c>
      <c r="I6" s="313" t="s">
        <v>44</v>
      </c>
      <c r="J6" s="313" t="s">
        <v>44</v>
      </c>
      <c r="K6" s="313" t="s">
        <v>44</v>
      </c>
      <c r="L6" s="313" t="s">
        <v>45</v>
      </c>
      <c r="M6" s="412" t="s">
        <v>46</v>
      </c>
      <c r="N6" s="69" t="s">
        <v>47</v>
      </c>
      <c r="O6" s="31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3" t="s">
        <v>52</v>
      </c>
      <c r="V6" s="313" t="s">
        <v>53</v>
      </c>
      <c r="W6" s="31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4" t="s">
        <v>57</v>
      </c>
      <c r="AD6" s="404" t="s">
        <v>58</v>
      </c>
      <c r="AE6" s="415" t="s">
        <v>59</v>
      </c>
      <c r="AF6" s="58" t="s">
        <v>60</v>
      </c>
      <c r="AG6" s="58" t="s">
        <v>61</v>
      </c>
      <c r="AH6" s="500" t="s">
        <v>62</v>
      </c>
      <c r="AI6" s="404" t="s">
        <v>63</v>
      </c>
      <c r="AJ6" s="404"/>
      <c r="AK6" s="313" t="s">
        <v>64</v>
      </c>
      <c r="AL6" s="313" t="s">
        <v>64</v>
      </c>
      <c r="AM6" s="313" t="s">
        <v>64</v>
      </c>
      <c r="AN6" s="44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5" t="s">
        <v>70</v>
      </c>
      <c r="AU6" s="202" t="s">
        <v>71</v>
      </c>
      <c r="AV6" s="414"/>
      <c r="AW6" s="409" t="s">
        <v>72</v>
      </c>
      <c r="AX6" s="409" t="s">
        <v>72</v>
      </c>
      <c r="AY6" s="291"/>
      <c r="AZ6" s="287" t="s">
        <v>73</v>
      </c>
    </row>
    <row r="7" customFormat="false" ht="12.95" hidden="false" customHeight="true" outlineLevel="0" collapsed="false">
      <c r="A7" s="313"/>
      <c r="B7" s="403"/>
      <c r="C7" s="404"/>
      <c r="D7" s="313"/>
      <c r="E7" s="404"/>
      <c r="F7" s="313"/>
      <c r="G7" s="403"/>
      <c r="H7" s="405"/>
      <c r="I7" s="313"/>
      <c r="J7" s="313"/>
      <c r="K7" s="313"/>
      <c r="L7" s="313"/>
      <c r="M7" s="412"/>
      <c r="N7" s="69" t="s">
        <v>74</v>
      </c>
      <c r="O7" s="31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3" t="s">
        <v>77</v>
      </c>
      <c r="V7" s="313"/>
      <c r="W7" s="31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4"/>
      <c r="AD7" s="404"/>
      <c r="AE7" s="415"/>
      <c r="AF7" s="79" t="n">
        <v>1.7</v>
      </c>
      <c r="AG7" s="79" t="n">
        <v>1.3</v>
      </c>
      <c r="AH7" s="500"/>
      <c r="AI7" s="404"/>
      <c r="AJ7" s="404"/>
      <c r="AK7" s="313"/>
      <c r="AL7" s="313"/>
      <c r="AM7" s="313"/>
      <c r="AN7" s="44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5" t="s">
        <v>87</v>
      </c>
      <c r="AU7" s="202" t="s">
        <v>88</v>
      </c>
      <c r="AV7" s="414"/>
      <c r="AW7" s="409"/>
      <c r="AX7" s="409"/>
      <c r="AY7" s="291"/>
      <c r="AZ7" s="287" t="s">
        <v>89</v>
      </c>
    </row>
    <row r="8" customFormat="false" ht="12.95" hidden="false" customHeight="true" outlineLevel="0" collapsed="false">
      <c r="A8" s="313"/>
      <c r="B8" s="403"/>
      <c r="C8" s="404"/>
      <c r="D8" s="313"/>
      <c r="E8" s="404"/>
      <c r="F8" s="313"/>
      <c r="G8" s="403"/>
      <c r="H8" s="405"/>
      <c r="I8" s="313"/>
      <c r="J8" s="313"/>
      <c r="K8" s="313"/>
      <c r="L8" s="313"/>
      <c r="M8" s="412"/>
      <c r="N8" s="69"/>
      <c r="O8" s="404" t="n">
        <f aca="false">24517</f>
        <v>24517</v>
      </c>
      <c r="P8" s="69"/>
      <c r="Q8" s="58" t="s">
        <v>61</v>
      </c>
      <c r="R8" s="58" t="s">
        <v>61</v>
      </c>
      <c r="S8" s="58"/>
      <c r="T8" s="58"/>
      <c r="U8" s="413"/>
      <c r="V8" s="313"/>
      <c r="W8" s="31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4"/>
      <c r="AD8" s="404"/>
      <c r="AE8" s="415"/>
      <c r="AF8" s="317"/>
      <c r="AG8" s="317"/>
      <c r="AH8" s="500"/>
      <c r="AI8" s="404"/>
      <c r="AJ8" s="404"/>
      <c r="AK8" s="313"/>
      <c r="AL8" s="313"/>
      <c r="AM8" s="313"/>
      <c r="AN8" s="446"/>
      <c r="AO8" s="61"/>
      <c r="AP8" s="67"/>
      <c r="AQ8" s="67"/>
      <c r="AR8" s="62"/>
      <c r="AS8" s="68"/>
      <c r="AT8" s="405"/>
      <c r="AU8" s="202"/>
      <c r="AV8" s="414"/>
      <c r="AW8" s="409"/>
      <c r="AX8" s="409"/>
      <c r="AY8" s="291"/>
      <c r="AZ8" s="287"/>
    </row>
    <row r="9" customFormat="false" ht="12.95" hidden="false" customHeight="true" outlineLevel="0" collapsed="false">
      <c r="A9" s="313"/>
      <c r="B9" s="403"/>
      <c r="C9" s="404"/>
      <c r="D9" s="313"/>
      <c r="E9" s="404"/>
      <c r="F9" s="313"/>
      <c r="G9" s="403"/>
      <c r="H9" s="405"/>
      <c r="I9" s="313"/>
      <c r="J9" s="313"/>
      <c r="K9" s="313"/>
      <c r="L9" s="313"/>
      <c r="M9" s="412"/>
      <c r="N9" s="69"/>
      <c r="O9" s="404"/>
      <c r="P9" s="69"/>
      <c r="Q9" s="58"/>
      <c r="R9" s="81" t="n">
        <v>4.2</v>
      </c>
      <c r="S9" s="58"/>
      <c r="T9" s="58"/>
      <c r="U9" s="413"/>
      <c r="V9" s="313"/>
      <c r="W9" s="313"/>
      <c r="X9" s="65"/>
      <c r="Y9" s="57" t="s">
        <v>90</v>
      </c>
      <c r="Z9" s="61"/>
      <c r="AA9" s="57" t="s">
        <v>90</v>
      </c>
      <c r="AB9" s="61" t="s">
        <v>93</v>
      </c>
      <c r="AC9" s="404"/>
      <c r="AD9" s="404"/>
      <c r="AE9" s="313"/>
      <c r="AF9" s="416"/>
      <c r="AG9" s="417"/>
      <c r="AH9" s="409"/>
      <c r="AI9" s="404"/>
      <c r="AJ9" s="404"/>
      <c r="AK9" s="313"/>
      <c r="AL9" s="313"/>
      <c r="AM9" s="313"/>
      <c r="AN9" s="446"/>
      <c r="AO9" s="61"/>
      <c r="AP9" s="67"/>
      <c r="AQ9" s="67"/>
      <c r="AR9" s="62"/>
      <c r="AS9" s="68"/>
      <c r="AT9" s="405"/>
      <c r="AU9" s="202"/>
      <c r="AV9" s="414"/>
      <c r="AW9" s="409"/>
      <c r="AX9" s="409"/>
      <c r="AY9" s="291"/>
      <c r="AZ9" s="287"/>
    </row>
    <row r="10" customFormat="false" ht="12.95" hidden="false" customHeight="true" outlineLevel="0" collapsed="false">
      <c r="A10" s="313"/>
      <c r="B10" s="403"/>
      <c r="C10" s="404" t="s">
        <v>10</v>
      </c>
      <c r="D10" s="313"/>
      <c r="E10" s="404" t="s">
        <v>95</v>
      </c>
      <c r="F10" s="313"/>
      <c r="G10" s="403" t="s">
        <v>41</v>
      </c>
      <c r="H10" s="405" t="s">
        <v>41</v>
      </c>
      <c r="I10" s="405" t="s">
        <v>41</v>
      </c>
      <c r="J10" s="405" t="s">
        <v>41</v>
      </c>
      <c r="K10" s="405" t="s">
        <v>41</v>
      </c>
      <c r="L10" s="405" t="s">
        <v>41</v>
      </c>
      <c r="M10" s="419" t="s">
        <v>41</v>
      </c>
      <c r="N10" s="405" t="s">
        <v>41</v>
      </c>
      <c r="O10" s="405" t="s">
        <v>41</v>
      </c>
      <c r="P10" s="405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18" t="s">
        <v>41</v>
      </c>
      <c r="V10" s="405" t="s">
        <v>41</v>
      </c>
      <c r="W10" s="405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5" t="s">
        <v>41</v>
      </c>
      <c r="AD10" s="405" t="s">
        <v>41</v>
      </c>
      <c r="AE10" s="405" t="s">
        <v>41</v>
      </c>
      <c r="AF10" s="419" t="s">
        <v>41</v>
      </c>
      <c r="AG10" s="418" t="s">
        <v>41</v>
      </c>
      <c r="AH10" s="405" t="s">
        <v>41</v>
      </c>
      <c r="AI10" s="405" t="s">
        <v>41</v>
      </c>
      <c r="AJ10" s="405" t="s">
        <v>41</v>
      </c>
      <c r="AK10" s="405" t="s">
        <v>41</v>
      </c>
      <c r="AL10" s="405" t="s">
        <v>41</v>
      </c>
      <c r="AM10" s="405" t="s">
        <v>41</v>
      </c>
      <c r="AN10" s="446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1" t="s">
        <v>41</v>
      </c>
      <c r="AU10" s="61" t="s">
        <v>41</v>
      </c>
      <c r="AV10" s="414"/>
      <c r="AW10" s="409"/>
      <c r="AX10" s="409"/>
      <c r="AY10" s="291"/>
      <c r="AZ10" s="287" t="s">
        <v>97</v>
      </c>
    </row>
    <row r="11" customFormat="false" ht="12.95" hidden="false" customHeight="true" outlineLevel="0" collapsed="false">
      <c r="A11" s="313"/>
      <c r="B11" s="403"/>
      <c r="C11" s="404"/>
      <c r="D11" s="313"/>
      <c r="E11" s="404"/>
      <c r="F11" s="313"/>
      <c r="G11" s="403"/>
      <c r="H11" s="405"/>
      <c r="I11" s="313"/>
      <c r="J11" s="313"/>
      <c r="K11" s="313"/>
      <c r="L11" s="313"/>
      <c r="M11" s="412"/>
      <c r="N11" s="69" t="n">
        <v>1.03</v>
      </c>
      <c r="O11" s="420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3"/>
      <c r="V11" s="313"/>
      <c r="W11" s="31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4"/>
      <c r="AD11" s="404"/>
      <c r="AE11" s="313"/>
      <c r="AF11" s="416"/>
      <c r="AG11" s="417"/>
      <c r="AH11" s="409"/>
      <c r="AI11" s="404"/>
      <c r="AJ11" s="404"/>
      <c r="AK11" s="313"/>
      <c r="AL11" s="313"/>
      <c r="AM11" s="313"/>
      <c r="AN11" s="446"/>
      <c r="AO11" s="61"/>
      <c r="AP11" s="67"/>
      <c r="AQ11" s="67"/>
      <c r="AR11" s="62"/>
      <c r="AS11" s="87"/>
      <c r="AT11" s="316"/>
      <c r="AU11" s="176"/>
      <c r="AV11" s="414"/>
      <c r="AW11" s="409"/>
      <c r="AX11" s="409"/>
      <c r="AY11" s="291"/>
      <c r="AZ11" s="287" t="s">
        <v>41</v>
      </c>
    </row>
    <row r="12" customFormat="false" ht="12.95" hidden="false" customHeight="true" outlineLevel="0" collapsed="false">
      <c r="A12" s="184" t="s">
        <v>99</v>
      </c>
      <c r="B12" s="205"/>
      <c r="C12" s="544"/>
      <c r="D12" s="107"/>
      <c r="E12" s="107"/>
      <c r="F12" s="206" t="n">
        <f aca="false">AUG!F50</f>
        <v>20540.458784976</v>
      </c>
      <c r="G12" s="107" t="n">
        <f aca="false">AUG!G50</f>
        <v>118689</v>
      </c>
      <c r="H12" s="107" t="n">
        <f aca="false">AUG!H50</f>
        <v>4578.77</v>
      </c>
      <c r="I12" s="107" t="n">
        <f aca="false">AUG!I50</f>
        <v>123267.77</v>
      </c>
      <c r="J12" s="107" t="n">
        <f aca="false">AUG!J50</f>
        <v>21001.4592387194</v>
      </c>
      <c r="K12" s="107" t="n">
        <f aca="false">AUG!K50</f>
        <v>144269.229238719</v>
      </c>
      <c r="L12" s="107" t="n">
        <f aca="false">AUG!L50</f>
        <v>19586.0963864761</v>
      </c>
      <c r="M12" s="208" t="n">
        <f aca="false">AUG!M50</f>
        <v>36135.3</v>
      </c>
      <c r="N12" s="107" t="n">
        <f aca="false">AUG!N50</f>
        <v>144.1869705</v>
      </c>
      <c r="O12" s="107" t="n">
        <f aca="false">AUG!O50</f>
        <v>10912.8075</v>
      </c>
      <c r="P12" s="155" t="n">
        <f aca="false">AUG!P50</f>
        <v>7.363</v>
      </c>
      <c r="Q12" s="155"/>
      <c r="R12" s="155"/>
      <c r="S12" s="155"/>
      <c r="T12" s="155"/>
      <c r="U12" s="209"/>
      <c r="V12" s="107" t="n">
        <f aca="false">AUG!V50</f>
        <v>17147.6</v>
      </c>
      <c r="W12" s="107" t="n">
        <f aca="false">AUG!W50</f>
        <v>9413.98</v>
      </c>
      <c r="X12" s="107" t="n">
        <f aca="false">AUG!X50</f>
        <v>52173.7124580387</v>
      </c>
      <c r="Y12" s="173" t="n">
        <f aca="false">AUG!Y50</f>
        <v>51266.1324580387</v>
      </c>
      <c r="Z12" s="107" t="n">
        <f aca="false">AUG!Z45</f>
        <v>0</v>
      </c>
      <c r="AA12" s="173"/>
      <c r="AB12" s="173"/>
      <c r="AC12" s="107" t="n">
        <f aca="false">AUG!AC45</f>
        <v>0</v>
      </c>
      <c r="AD12" s="107" t="n">
        <f aca="false">AUG!AD45</f>
        <v>4009.5235261446</v>
      </c>
      <c r="AE12" s="107" t="n">
        <f aca="false">AUG!AE50</f>
        <v>23537.14</v>
      </c>
      <c r="AF12" s="208" t="n">
        <f aca="false">AUG!AF50</f>
        <v>260.1</v>
      </c>
      <c r="AG12" s="210" t="n">
        <f aca="false">AUG!AG50</f>
        <v>198.9</v>
      </c>
      <c r="AH12" s="107"/>
      <c r="AI12" s="107"/>
      <c r="AJ12" s="107"/>
      <c r="AK12" s="107" t="n">
        <f aca="false">AUG!AK50</f>
        <v>122313.4076015</v>
      </c>
      <c r="AL12" s="107" t="n">
        <f aca="false">AUG!AL50</f>
        <v>1415.36285224338</v>
      </c>
      <c r="AM12" s="107" t="n">
        <f aca="false">AUG!AM50</f>
        <v>123728.770453743</v>
      </c>
      <c r="AN12" s="212"/>
      <c r="AO12" s="207"/>
      <c r="AP12" s="136"/>
      <c r="AQ12" s="136" t="n">
        <f aca="false">AUG!AQ51</f>
        <v>671.938892420578</v>
      </c>
      <c r="AR12" s="136" t="n">
        <f aca="false">AUG!AR50</f>
        <v>2547.6295</v>
      </c>
      <c r="AS12" s="207" t="n">
        <f aca="false">AUG!AS50</f>
        <v>456</v>
      </c>
      <c r="AT12" s="207" t="n">
        <f aca="false">AUG!AT50</f>
        <v>626.18</v>
      </c>
      <c r="AU12" s="136" t="n">
        <f aca="false">AUG!AU50</f>
        <v>0</v>
      </c>
      <c r="AV12" s="214"/>
      <c r="AW12" s="207"/>
      <c r="AX12" s="207"/>
      <c r="AY12" s="291"/>
      <c r="AZ12" s="323"/>
    </row>
    <row r="13" s="222" customFormat="true" ht="12.95" hidden="false" customHeight="true" outlineLevel="0" collapsed="false">
      <c r="A13" s="217" t="s">
        <v>100</v>
      </c>
      <c r="B13" s="106" t="n">
        <f aca="false">AUG!B45</f>
        <v>6909.83</v>
      </c>
      <c r="C13" s="107" t="n">
        <f aca="false">AUG!C45</f>
        <v>321310</v>
      </c>
      <c r="D13" s="107" t="n">
        <f aca="false">AUG!D54</f>
        <v>43919</v>
      </c>
      <c r="E13" s="107" t="n">
        <f aca="false">AUG!E54</f>
        <v>169310</v>
      </c>
      <c r="F13" s="206" t="n">
        <f aca="false">AUG!F53</f>
        <v>22142.1729266448</v>
      </c>
      <c r="G13" s="107" t="n">
        <f aca="false">AUG!G53</f>
        <v>129924</v>
      </c>
      <c r="H13" s="107" t="n">
        <f aca="false">AUG!H53</f>
        <v>5139.35</v>
      </c>
      <c r="I13" s="107" t="n">
        <f aca="false">AUG!I53</f>
        <v>135063.35</v>
      </c>
      <c r="J13" s="107" t="n">
        <f aca="false">AUG!J53</f>
        <v>24099.9696874212</v>
      </c>
      <c r="K13" s="107" t="n">
        <f aca="false">AUG!K53</f>
        <v>159163.319687421</v>
      </c>
      <c r="L13" s="107" t="n">
        <f aca="false">AUG!L53</f>
        <v>21665.6205281448</v>
      </c>
      <c r="M13" s="208" t="n">
        <f aca="false">AUG!M53</f>
        <v>37058.41</v>
      </c>
      <c r="N13" s="107" t="n">
        <f aca="false">AUG!N53</f>
        <v>144.1869705</v>
      </c>
      <c r="O13" s="107" t="n">
        <f aca="false">AUG!O53</f>
        <v>10912.8075</v>
      </c>
      <c r="P13" s="155"/>
      <c r="Q13" s="207" t="n">
        <f aca="false">AUG!Q53</f>
        <v>635.688832300577</v>
      </c>
      <c r="R13" s="207" t="n">
        <f aca="false">AUG!R53</f>
        <v>834.183361972769</v>
      </c>
      <c r="S13" s="207" t="n">
        <f aca="false">AUG!S53</f>
        <v>221.714553514008</v>
      </c>
      <c r="T13" s="207" t="n">
        <f aca="false">AUG!T53</f>
        <v>391.488396</v>
      </c>
      <c r="U13" s="308" t="n">
        <f aca="false">AUG!U53</f>
        <v>-12.2414035208269</v>
      </c>
      <c r="V13" s="107" t="n">
        <f aca="false">AUG!V53</f>
        <v>23241.6</v>
      </c>
      <c r="W13" s="107" t="n">
        <f aca="false">AUG!W53</f>
        <v>9472.26</v>
      </c>
      <c r="X13" s="107" t="n">
        <f aca="false">AUG!X53</f>
        <v>58558.5282892335</v>
      </c>
      <c r="Y13" s="173" t="n">
        <f aca="false">AUG!Y53</f>
        <v>57449.1490593933</v>
      </c>
      <c r="Z13" s="107"/>
      <c r="AA13" s="173"/>
      <c r="AB13" s="107"/>
      <c r="AC13" s="107"/>
      <c r="AD13" s="107"/>
      <c r="AE13" s="107" t="n">
        <f aca="false">AUG!AE53</f>
        <v>0</v>
      </c>
      <c r="AF13" s="98"/>
      <c r="AG13" s="99"/>
      <c r="AH13" s="107" t="n">
        <f aca="false">AUG!AH53</f>
        <v>41573</v>
      </c>
      <c r="AI13" s="107" t="n">
        <f aca="false">AUG!AI53</f>
        <v>8343.25787748929</v>
      </c>
      <c r="AJ13" s="107" t="n">
        <f aca="false">AUG!AJ53</f>
        <v>28682</v>
      </c>
      <c r="AK13" s="107" t="n">
        <f aca="false">AUG!AK53</f>
        <v>134586.7976015</v>
      </c>
      <c r="AL13" s="107" t="n">
        <f aca="false">AUG!AL53</f>
        <v>2434.34915927641</v>
      </c>
      <c r="AM13" s="107" t="n">
        <f aca="false">AUG!AM53</f>
        <v>137021.146760776</v>
      </c>
      <c r="AN13" s="212" t="n">
        <f aca="false">AUG!AN54</f>
        <v>13403.62026</v>
      </c>
      <c r="AO13" s="207" t="n">
        <f aca="false">AUG!AO53</f>
        <v>1109.3792298402</v>
      </c>
      <c r="AP13" s="136"/>
      <c r="AQ13" s="136" t="n">
        <f aca="false">AUG!AQ54</f>
        <v>671.938892420578</v>
      </c>
      <c r="AR13" s="155"/>
      <c r="AS13" s="207" t="n">
        <f aca="false">AUG!AS53</f>
        <v>0</v>
      </c>
      <c r="AT13" s="207" t="n">
        <f aca="false">AUG!AT53</f>
        <v>626.18</v>
      </c>
      <c r="AU13" s="136"/>
      <c r="AV13" s="214" t="n">
        <f aca="false">AUG!AV53</f>
        <v>8.363</v>
      </c>
      <c r="AW13" s="207"/>
      <c r="AX13" s="207"/>
      <c r="AY13" s="294"/>
      <c r="AZ13" s="330" t="n">
        <f aca="false">AUG!AZ53</f>
        <v>2222.38371076653</v>
      </c>
    </row>
    <row r="14" customFormat="false" ht="3" hidden="false" customHeight="true" outlineLevel="0" collapsed="false">
      <c r="A14" s="223"/>
      <c r="B14" s="224"/>
      <c r="C14" s="225"/>
      <c r="D14" s="226"/>
      <c r="E14" s="225"/>
      <c r="F14" s="227"/>
      <c r="G14" s="226"/>
      <c r="H14" s="228"/>
      <c r="I14" s="226"/>
      <c r="J14" s="226"/>
      <c r="K14" s="226"/>
      <c r="L14" s="226"/>
      <c r="M14" s="229"/>
      <c r="N14" s="226"/>
      <c r="O14" s="226"/>
      <c r="P14" s="230"/>
      <c r="Q14" s="230"/>
      <c r="R14" s="230"/>
      <c r="S14" s="230"/>
      <c r="T14" s="230"/>
      <c r="U14" s="231"/>
      <c r="V14" s="226"/>
      <c r="W14" s="226"/>
      <c r="X14" s="226"/>
      <c r="Y14" s="226"/>
      <c r="Z14" s="225"/>
      <c r="AA14" s="226"/>
      <c r="AB14" s="225"/>
      <c r="AC14" s="225"/>
      <c r="AD14" s="225"/>
      <c r="AE14" s="226"/>
      <c r="AF14" s="120"/>
      <c r="AG14" s="121"/>
      <c r="AH14" s="226"/>
      <c r="AI14" s="225"/>
      <c r="AJ14" s="225"/>
      <c r="AK14" s="226"/>
      <c r="AL14" s="226"/>
      <c r="AM14" s="226"/>
      <c r="AN14" s="234"/>
      <c r="AO14" s="235"/>
      <c r="AP14" s="232"/>
      <c r="AQ14" s="230" t="s">
        <v>140</v>
      </c>
      <c r="AR14" s="230"/>
      <c r="AS14" s="230" t="s">
        <v>140</v>
      </c>
      <c r="AT14" s="230" t="s">
        <v>140</v>
      </c>
      <c r="AU14" s="232" t="s">
        <v>140</v>
      </c>
      <c r="AV14" s="237"/>
      <c r="AW14" s="235" t="n">
        <v>0</v>
      </c>
      <c r="AX14" s="235"/>
      <c r="AY14" s="249"/>
      <c r="AZ14" s="309"/>
    </row>
    <row r="15" customFormat="false" ht="12.95" hidden="false" customHeight="true" outlineLevel="0" collapsed="false">
      <c r="A15" s="179" t="n">
        <v>1</v>
      </c>
      <c r="B15" s="106" t="n">
        <v>6909.6</v>
      </c>
      <c r="C15" s="107" t="n">
        <v>320394</v>
      </c>
      <c r="D15" s="207" t="n">
        <f aca="false">C15-C13</f>
        <v>-916</v>
      </c>
      <c r="E15" s="107" t="n">
        <f aca="false">C15-151978</f>
        <v>168416</v>
      </c>
      <c r="F15" s="238" t="n">
        <f aca="false">D15/$D$2</f>
        <v>-461.809931938493</v>
      </c>
      <c r="G15" s="135" t="n">
        <v>285</v>
      </c>
      <c r="H15" s="239" t="n">
        <v>0</v>
      </c>
      <c r="I15" s="135" t="n">
        <f aca="false">G15+H15</f>
        <v>285</v>
      </c>
      <c r="J15" s="136" t="n">
        <f aca="false">IF(L15&gt;0,L15,0)</f>
        <v>0</v>
      </c>
      <c r="K15" s="135" t="n">
        <f aca="false">I15+J15</f>
        <v>285</v>
      </c>
      <c r="L15" s="135" t="n">
        <f aca="false">F15-(I15-AK15)</f>
        <v>-35.1699319384926</v>
      </c>
      <c r="M15" s="240" t="n">
        <v>181</v>
      </c>
      <c r="N15" s="155" t="n">
        <f aca="false">(1.8299*1.03)/2</f>
        <v>0.9423985</v>
      </c>
      <c r="O15" s="135" t="n">
        <f aca="false">(24+24)*1.05</f>
        <v>50.4</v>
      </c>
      <c r="P15" s="155" t="n">
        <v>0</v>
      </c>
      <c r="Q15" s="328" t="n">
        <f aca="false">1544200/325851/1.9835*1.02</f>
        <v>2.43698276044313</v>
      </c>
      <c r="R15" s="328" t="n">
        <v>4.2</v>
      </c>
      <c r="S15" s="131" t="n">
        <f aca="false">(((3455368)/325851/1.9835-T15)*1.04)-4.2</f>
        <v>0.0330053378759239</v>
      </c>
      <c r="T15" s="131" t="n">
        <f aca="false">1.2269*1.04</f>
        <v>1.275976</v>
      </c>
      <c r="U15" s="346" t="n">
        <v>0</v>
      </c>
      <c r="V15" s="135" t="n">
        <v>147</v>
      </c>
      <c r="W15" s="135" t="n">
        <v>87</v>
      </c>
      <c r="X15" s="135" t="n">
        <f aca="false">M15-N15-O15-P15-Q15-R15-S15-T15-U15+V15+W15-AT15+AR15</f>
        <v>354.351637401681</v>
      </c>
      <c r="Y15" s="135" t="n">
        <f aca="false">X15-AO15</f>
        <v>349.351637401681</v>
      </c>
      <c r="Z15" s="107"/>
      <c r="AA15" s="135"/>
      <c r="AB15" s="107"/>
      <c r="AC15" s="107"/>
      <c r="AD15" s="207" t="n">
        <f aca="false">AD12+AP15</f>
        <v>3931.83490598248</v>
      </c>
      <c r="AE15" s="135" t="n">
        <v>237</v>
      </c>
      <c r="AF15" s="137" t="n">
        <v>1.7</v>
      </c>
      <c r="AG15" s="138" t="n">
        <v>1.3</v>
      </c>
      <c r="AH15" s="135" t="n">
        <v>61</v>
      </c>
      <c r="AI15" s="107" t="n">
        <f aca="false">AI13-AH15</f>
        <v>8282.25787748929</v>
      </c>
      <c r="AJ15" s="107"/>
      <c r="AK15" s="134" t="n">
        <f aca="false">N15+O15+P15+Q15+R15+S15+T15+U15+X15+AE15+AH15-AR15</f>
        <v>711.64</v>
      </c>
      <c r="AL15" s="135" t="n">
        <f aca="false">IF(L15&lt;0,L15*-1,0)</f>
        <v>35.1699319384926</v>
      </c>
      <c r="AM15" s="135" t="n">
        <f aca="false">AK15+AL15</f>
        <v>746.809931938493</v>
      </c>
      <c r="AN15" s="212"/>
      <c r="AO15" s="207" t="n">
        <v>5</v>
      </c>
      <c r="AP15" s="97" t="n">
        <f aca="false">(I15-AO15)-Q15-R15-Y15-AF15</f>
        <v>-77.6886201621241</v>
      </c>
      <c r="AQ15" s="155" t="n">
        <f aca="false">37.06*(Z15*1.9835+AC15*1.9835)/E15</f>
        <v>0</v>
      </c>
      <c r="AR15" s="155"/>
      <c r="AS15" s="135" t="n">
        <v>9.5</v>
      </c>
      <c r="AT15" s="172" t="n">
        <v>1.36</v>
      </c>
      <c r="AV15" s="214" t="n">
        <v>0.02</v>
      </c>
      <c r="AW15" s="207" t="n">
        <v>89</v>
      </c>
      <c r="AX15" s="207" t="n">
        <v>59</v>
      </c>
      <c r="AY15" s="291"/>
      <c r="AZ15" s="242" t="n">
        <f aca="false">SUM(N15,P15:U15)</f>
        <v>8.88836259831905</v>
      </c>
    </row>
    <row r="16" customFormat="false" ht="12.95" hidden="false" customHeight="true" outlineLevel="0" collapsed="false">
      <c r="A16" s="179" t="n">
        <v>2</v>
      </c>
      <c r="B16" s="106" t="n">
        <v>6909.36</v>
      </c>
      <c r="C16" s="107" t="n">
        <v>319439</v>
      </c>
      <c r="D16" s="207" t="n">
        <f aca="false">C16-C15</f>
        <v>-955</v>
      </c>
      <c r="E16" s="107" t="n">
        <f aca="false">C16-151978</f>
        <v>167461</v>
      </c>
      <c r="F16" s="238" t="n">
        <f aca="false">D16/$D$2</f>
        <v>-481.472145197883</v>
      </c>
      <c r="G16" s="135" t="n">
        <v>238</v>
      </c>
      <c r="H16" s="239" t="n">
        <v>0</v>
      </c>
      <c r="I16" s="135" t="n">
        <f aca="false">G16+H16</f>
        <v>238</v>
      </c>
      <c r="J16" s="136" t="n">
        <f aca="false">IF(L16&gt;0,L16,0)</f>
        <v>0</v>
      </c>
      <c r="K16" s="135" t="n">
        <f aca="false">I16+J16</f>
        <v>238</v>
      </c>
      <c r="L16" s="135" t="n">
        <f aca="false">F16-(I16-AK16)</f>
        <v>-18.7921451978825</v>
      </c>
      <c r="M16" s="240" t="n">
        <v>185</v>
      </c>
      <c r="N16" s="155" t="n">
        <f aca="false">(1.8299*1.03)/2</f>
        <v>0.9423985</v>
      </c>
      <c r="O16" s="135" t="n">
        <f aca="false">(30+29)*1.05</f>
        <v>61.95</v>
      </c>
      <c r="P16" s="155" t="n">
        <v>0</v>
      </c>
      <c r="Q16" s="328" t="n">
        <f aca="false">1494200/325851/1.9835*1.02</f>
        <v>2.35807514613011</v>
      </c>
      <c r="R16" s="328" t="n">
        <v>4.2</v>
      </c>
      <c r="S16" s="131" t="n">
        <f aca="false">((3857682/325851/1.9835-T16)*1.04)-4.2</f>
        <v>0.762136326552688</v>
      </c>
      <c r="T16" s="131" t="n">
        <f aca="false">1.1513*1.04</f>
        <v>1.197352</v>
      </c>
      <c r="U16" s="346" t="n">
        <v>0</v>
      </c>
      <c r="V16" s="135" t="n">
        <v>139</v>
      </c>
      <c r="W16" s="135" t="n">
        <v>85</v>
      </c>
      <c r="X16" s="135" t="n">
        <f aca="false">M16-N16-O16-P16-Q16-R16-S16-T16-U16+V16+W16-AT16+AR16</f>
        <v>336.270038027317</v>
      </c>
      <c r="Y16" s="135" t="n">
        <f aca="false">X16-AO16</f>
        <v>331.270038027317</v>
      </c>
      <c r="Z16" s="107"/>
      <c r="AA16" s="135"/>
      <c r="AB16" s="107"/>
      <c r="AC16" s="107"/>
      <c r="AD16" s="207" t="n">
        <f aca="false">AD15+AP16</f>
        <v>3825.30679280903</v>
      </c>
      <c r="AE16" s="135" t="n">
        <v>232</v>
      </c>
      <c r="AF16" s="137" t="n">
        <v>1.7</v>
      </c>
      <c r="AG16" s="138" t="n">
        <v>1.3</v>
      </c>
      <c r="AH16" s="135" t="n">
        <v>61</v>
      </c>
      <c r="AI16" s="107" t="n">
        <f aca="false">AI15-AH16</f>
        <v>8221.25787748929</v>
      </c>
      <c r="AJ16" s="107"/>
      <c r="AK16" s="134" t="n">
        <f aca="false">N16+O16+P16+Q16+R16+S16+T16+U16+X16+AE16+AH16-AR16</f>
        <v>700.68</v>
      </c>
      <c r="AL16" s="135" t="n">
        <f aca="false">IF(L16&lt;0,L16*-1,0)</f>
        <v>18.7921451978825</v>
      </c>
      <c r="AM16" s="135" t="n">
        <f aca="false">AK16+AL16</f>
        <v>719.472145197883</v>
      </c>
      <c r="AN16" s="212"/>
      <c r="AO16" s="207" t="n">
        <v>5</v>
      </c>
      <c r="AP16" s="97" t="n">
        <f aca="false">(I16-AO16)-Q16-R16-Y16-AF16</f>
        <v>-106.528113173447</v>
      </c>
      <c r="AQ16" s="155" t="n">
        <f aca="false">37.06*(Z16*1.9835+AC16*1.9835)/E16</f>
        <v>0</v>
      </c>
      <c r="AR16" s="155"/>
      <c r="AS16" s="135" t="n">
        <v>9.5</v>
      </c>
      <c r="AT16" s="172" t="n">
        <v>1.32</v>
      </c>
      <c r="AV16" s="214" t="n">
        <v>0</v>
      </c>
      <c r="AW16" s="207" t="n">
        <v>88</v>
      </c>
      <c r="AX16" s="207" t="n">
        <v>54</v>
      </c>
      <c r="AY16" s="291"/>
      <c r="AZ16" s="242" t="n">
        <f aca="false">SUM(N16,P16:U16)</f>
        <v>9.4599619726828</v>
      </c>
    </row>
    <row r="17" customFormat="false" ht="12.95" hidden="false" customHeight="true" outlineLevel="0" collapsed="false">
      <c r="A17" s="179" t="n">
        <v>3</v>
      </c>
      <c r="B17" s="106" t="n">
        <v>6909.11</v>
      </c>
      <c r="C17" s="107" t="n">
        <v>318443</v>
      </c>
      <c r="D17" s="207" t="n">
        <f aca="false">C17-C16</f>
        <v>-996</v>
      </c>
      <c r="E17" s="107" t="n">
        <f aca="false">C17-151978</f>
        <v>166465</v>
      </c>
      <c r="F17" s="238" t="n">
        <f aca="false">D17/$D$2</f>
        <v>-502.142677085959</v>
      </c>
      <c r="G17" s="135" t="n">
        <v>220</v>
      </c>
      <c r="H17" s="239" t="n">
        <v>0</v>
      </c>
      <c r="I17" s="135" t="n">
        <f aca="false">G17+H17</f>
        <v>220</v>
      </c>
      <c r="J17" s="136" t="n">
        <f aca="false">IF(L17&gt;0,L17,0)</f>
        <v>0</v>
      </c>
      <c r="K17" s="135" t="n">
        <f aca="false">I17+J17</f>
        <v>220</v>
      </c>
      <c r="L17" s="135" t="n">
        <f aca="false">F17-(I17-AK17)</f>
        <v>-12.5126770859592</v>
      </c>
      <c r="M17" s="240" t="n">
        <v>195</v>
      </c>
      <c r="N17" s="155" t="n">
        <f aca="false">(1.8299*1.03)/2</f>
        <v>0.9423985</v>
      </c>
      <c r="O17" s="135" t="n">
        <f aca="false">(30+29)*1.05</f>
        <v>61.95</v>
      </c>
      <c r="P17" s="155" t="n">
        <v>0</v>
      </c>
      <c r="Q17" s="328" t="n">
        <f aca="false">1732800/325851/1.9835*1.02</f>
        <v>2.73462228163182</v>
      </c>
      <c r="R17" s="328" t="n">
        <v>4.2</v>
      </c>
      <c r="S17" s="131" t="n">
        <f aca="false">(((4483444)/325851/1.9835-T17)*1.04)-4.2</f>
        <v>1.76904773850661</v>
      </c>
      <c r="T17" s="131" t="n">
        <f aca="false">1.1513*1.04</f>
        <v>1.197352</v>
      </c>
      <c r="U17" s="346" t="n">
        <v>0</v>
      </c>
      <c r="V17" s="135" t="n">
        <v>144</v>
      </c>
      <c r="W17" s="135" t="n">
        <v>84</v>
      </c>
      <c r="X17" s="135" t="n">
        <f aca="false">M17-N17-O17-P17-Q17-R17-S17-T17-U17+V17+W17-AT17+AR17</f>
        <v>348.836579479862</v>
      </c>
      <c r="Y17" s="135" t="n">
        <f aca="false">X17-AO17</f>
        <v>343.836579479862</v>
      </c>
      <c r="Z17" s="107"/>
      <c r="AA17" s="135"/>
      <c r="AB17" s="107"/>
      <c r="AC17" s="107"/>
      <c r="AD17" s="207" t="n">
        <f aca="false">AD16+AP17</f>
        <v>3687.83559104754</v>
      </c>
      <c r="AE17" s="135" t="n">
        <v>227</v>
      </c>
      <c r="AF17" s="137" t="n">
        <v>1.7</v>
      </c>
      <c r="AG17" s="138" t="n">
        <v>1.3</v>
      </c>
      <c r="AH17" s="135" t="n">
        <v>61</v>
      </c>
      <c r="AI17" s="107" t="n">
        <f aca="false">AI16-AH17</f>
        <v>8160.25787748929</v>
      </c>
      <c r="AJ17" s="107"/>
      <c r="AK17" s="134" t="n">
        <f aca="false">N17+O17+P17+Q17+R17+S17+T17+U17+X17+AE17+AH17-AR17</f>
        <v>709.63</v>
      </c>
      <c r="AL17" s="135" t="n">
        <f aca="false">IF(L17&lt;0,L17*-1,0)</f>
        <v>12.5126770859592</v>
      </c>
      <c r="AM17" s="135" t="n">
        <f aca="false">AK17+AL17</f>
        <v>722.142677085959</v>
      </c>
      <c r="AN17" s="212"/>
      <c r="AO17" s="207" t="n">
        <v>5</v>
      </c>
      <c r="AP17" s="97" t="n">
        <f aca="false">(I17-AO17)-Q17-R17-Y17-AF17</f>
        <v>-137.471201761493</v>
      </c>
      <c r="AQ17" s="155" t="n">
        <f aca="false">37.06*(Z17*1.9835+AC17*1.9835)/E17</f>
        <v>0</v>
      </c>
      <c r="AR17" s="155"/>
      <c r="AS17" s="135" t="n">
        <v>9.5</v>
      </c>
      <c r="AT17" s="172" t="n">
        <v>1.37</v>
      </c>
      <c r="AV17" s="214" t="n">
        <v>0</v>
      </c>
      <c r="AW17" s="207" t="n">
        <v>90</v>
      </c>
      <c r="AX17" s="207" t="n">
        <v>55</v>
      </c>
      <c r="AY17" s="291"/>
      <c r="AZ17" s="242" t="n">
        <f aca="false">SUM(N17,P17:U17)</f>
        <v>10.8434205201384</v>
      </c>
    </row>
    <row r="18" customFormat="false" ht="12.95" hidden="false" customHeight="true" outlineLevel="0" collapsed="false">
      <c r="A18" s="179" t="n">
        <v>4</v>
      </c>
      <c r="B18" s="106" t="n">
        <v>6908.87</v>
      </c>
      <c r="C18" s="107" t="n">
        <v>317492</v>
      </c>
      <c r="D18" s="207" t="n">
        <f aca="false">C18-C17</f>
        <v>-951</v>
      </c>
      <c r="E18" s="107" t="n">
        <f aca="false">C18-151978</f>
        <v>165514</v>
      </c>
      <c r="F18" s="238" t="n">
        <f aca="false">D18/$D$2</f>
        <v>-479.455507940509</v>
      </c>
      <c r="G18" s="135" t="n">
        <v>215</v>
      </c>
      <c r="H18" s="239" t="n">
        <v>0</v>
      </c>
      <c r="I18" s="135" t="n">
        <f aca="false">G18+H18</f>
        <v>215</v>
      </c>
      <c r="J18" s="136" t="n">
        <f aca="false">IF(L18&gt;0,L18,0)</f>
        <v>0</v>
      </c>
      <c r="K18" s="135" t="n">
        <f aca="false">I18+J18</f>
        <v>215</v>
      </c>
      <c r="L18" s="135" t="n">
        <f aca="false">F18-(I18-AK18)</f>
        <v>-28.8055079405092</v>
      </c>
      <c r="M18" s="240" t="n">
        <v>174</v>
      </c>
      <c r="N18" s="155" t="n">
        <f aca="false">(1.8299*1.03)/2</f>
        <v>0.9423985</v>
      </c>
      <c r="O18" s="135" t="n">
        <f aca="false">(27+26)*1.05</f>
        <v>55.65</v>
      </c>
      <c r="P18" s="155" t="n">
        <v>0</v>
      </c>
      <c r="Q18" s="328" t="n">
        <f aca="false">1660300/325851/1.9835*1.02</f>
        <v>2.62020624087795</v>
      </c>
      <c r="R18" s="328" t="n">
        <v>4.2</v>
      </c>
      <c r="S18" s="131" t="n">
        <f aca="false">(((4854538)/325851/1.9835-T18)*1.04)-4.2</f>
        <v>2.36617377605384</v>
      </c>
      <c r="T18" s="131" t="n">
        <f aca="false">1.1513*1.04</f>
        <v>1.197352</v>
      </c>
      <c r="U18" s="346" t="n">
        <v>0</v>
      </c>
      <c r="V18" s="135" t="n">
        <v>136</v>
      </c>
      <c r="W18" s="135" t="n">
        <v>84</v>
      </c>
      <c r="X18" s="135" t="n">
        <f aca="false">M18-N18-O18-P18-Q18-R18-S18-T18-U18+V18+W18-AT18+AR18</f>
        <v>325.673869483068</v>
      </c>
      <c r="Y18" s="135" t="n">
        <f aca="false">X18-AO18</f>
        <v>320.673869483068</v>
      </c>
      <c r="Z18" s="107"/>
      <c r="AA18" s="135"/>
      <c r="AB18" s="107"/>
      <c r="AC18" s="107"/>
      <c r="AD18" s="207" t="n">
        <f aca="false">AD17+AP18</f>
        <v>3568.64151532359</v>
      </c>
      <c r="AE18" s="135" t="n">
        <v>212</v>
      </c>
      <c r="AF18" s="137" t="n">
        <v>1.7</v>
      </c>
      <c r="AG18" s="138" t="n">
        <v>1.3</v>
      </c>
      <c r="AH18" s="135" t="n">
        <v>61</v>
      </c>
      <c r="AI18" s="107" t="n">
        <f aca="false">AI17-AH18</f>
        <v>8099.25787748929</v>
      </c>
      <c r="AJ18" s="107"/>
      <c r="AK18" s="134" t="n">
        <f aca="false">N18+O18+P18+Q18+R18+S18+T18+U18+X18+AE18+AH18-AR18</f>
        <v>665.65</v>
      </c>
      <c r="AL18" s="135" t="n">
        <f aca="false">IF(L18&lt;0,L18*-1,0)</f>
        <v>28.8055079405092</v>
      </c>
      <c r="AM18" s="135" t="n">
        <f aca="false">AK18+AL18</f>
        <v>694.455507940509</v>
      </c>
      <c r="AN18" s="212"/>
      <c r="AO18" s="207" t="n">
        <v>5</v>
      </c>
      <c r="AP18" s="97" t="n">
        <f aca="false">(I18-AO18)-Q18-R18-Y18-AF18</f>
        <v>-119.194075723946</v>
      </c>
      <c r="AQ18" s="155" t="n">
        <f aca="false">37.06*(Z18*1.9835+AC18*1.9835)/E18</f>
        <v>0</v>
      </c>
      <c r="AR18" s="155"/>
      <c r="AS18" s="135" t="n">
        <v>9.5</v>
      </c>
      <c r="AT18" s="172" t="n">
        <v>1.35</v>
      </c>
      <c r="AV18" s="214" t="n">
        <v>0</v>
      </c>
      <c r="AW18" s="207" t="n">
        <v>87</v>
      </c>
      <c r="AX18" s="207" t="n">
        <v>58</v>
      </c>
      <c r="AY18" s="291"/>
      <c r="AZ18" s="242" t="n">
        <f aca="false">SUM(N18,P18:U18)</f>
        <v>11.3261305169318</v>
      </c>
    </row>
    <row r="19" customFormat="false" ht="12.95" hidden="false" customHeight="true" outlineLevel="0" collapsed="false">
      <c r="A19" s="179" t="n">
        <v>5</v>
      </c>
      <c r="B19" s="106" t="n">
        <v>6908.6</v>
      </c>
      <c r="C19" s="107" t="n">
        <v>316426</v>
      </c>
      <c r="D19" s="207" t="n">
        <f aca="false">C19-C18</f>
        <v>-1066</v>
      </c>
      <c r="E19" s="107" t="n">
        <f aca="false">C19-151978</f>
        <v>164448</v>
      </c>
      <c r="F19" s="238" t="n">
        <f aca="false">D19/$D$2</f>
        <v>-537.433829089992</v>
      </c>
      <c r="G19" s="135" t="n">
        <v>210</v>
      </c>
      <c r="H19" s="239" t="n">
        <v>0</v>
      </c>
      <c r="I19" s="135" t="n">
        <f aca="false">G19+H19</f>
        <v>210</v>
      </c>
      <c r="J19" s="136" t="n">
        <f aca="false">IF(L19&gt;0,L19,0)</f>
        <v>0</v>
      </c>
      <c r="K19" s="135" t="n">
        <f aca="false">I19+J19</f>
        <v>210</v>
      </c>
      <c r="L19" s="135" t="n">
        <f aca="false">F19-(I19-AK19)</f>
        <v>-30.7338290899924</v>
      </c>
      <c r="M19" s="240" t="n">
        <v>193</v>
      </c>
      <c r="N19" s="155" t="n">
        <f aca="false">(1.8299*1.03)/2</f>
        <v>0.9423985</v>
      </c>
      <c r="O19" s="135" t="n">
        <f aca="false">(21+21)*1.05</f>
        <v>44.1</v>
      </c>
      <c r="P19" s="155" t="n">
        <v>0</v>
      </c>
      <c r="Q19" s="328" t="n">
        <f aca="false">1853600/325851/1.9835*1.02</f>
        <v>2.92526307781206</v>
      </c>
      <c r="R19" s="328" t="n">
        <v>4.2</v>
      </c>
      <c r="S19" s="131" t="n">
        <f aca="false">((4051002/325851/1.9835-T19)*1.04)-4.2</f>
        <v>1.07320685202233</v>
      </c>
      <c r="T19" s="131" t="n">
        <f aca="false">1.1513*1.04</f>
        <v>1.197352</v>
      </c>
      <c r="U19" s="346" t="n">
        <v>0</v>
      </c>
      <c r="V19" s="135" t="n">
        <v>130</v>
      </c>
      <c r="W19" s="135" t="n">
        <v>84</v>
      </c>
      <c r="X19" s="135" t="n">
        <f aca="false">M19-N19-O19-P19-Q19-R19-S19-T19-U19+V19+W19-AT19+AR19</f>
        <v>351.261779570166</v>
      </c>
      <c r="Y19" s="135" t="n">
        <f aca="false">X19-AO19</f>
        <v>346.261779570166</v>
      </c>
      <c r="Z19" s="107"/>
      <c r="AA19" s="135"/>
      <c r="AB19" s="107"/>
      <c r="AC19" s="107"/>
      <c r="AD19" s="207" t="n">
        <f aca="false">AD18+AP19</f>
        <v>3418.55447267561</v>
      </c>
      <c r="AE19" s="135" t="n">
        <v>250</v>
      </c>
      <c r="AF19" s="137" t="n">
        <v>1.7</v>
      </c>
      <c r="AG19" s="138" t="n">
        <v>1.3</v>
      </c>
      <c r="AH19" s="135" t="n">
        <v>61</v>
      </c>
      <c r="AI19" s="107" t="n">
        <f aca="false">AI18-AH19</f>
        <v>8038.25787748929</v>
      </c>
      <c r="AJ19" s="107"/>
      <c r="AK19" s="134" t="n">
        <f aca="false">N19+O19+P19+Q19+R19+S19+T19+U19+X19+AE19+AH19-AR19</f>
        <v>716.7</v>
      </c>
      <c r="AL19" s="135" t="n">
        <f aca="false">IF(L19&lt;0,L19*-1,0)</f>
        <v>30.7338290899924</v>
      </c>
      <c r="AM19" s="135" t="n">
        <f aca="false">AK19+AL19</f>
        <v>747.433829089992</v>
      </c>
      <c r="AN19" s="212"/>
      <c r="AO19" s="207" t="n">
        <v>5</v>
      </c>
      <c r="AP19" s="97" t="n">
        <f aca="false">(I19-AO19)-Q19-R19-Y19-AF19</f>
        <v>-150.087042647978</v>
      </c>
      <c r="AQ19" s="155" t="n">
        <f aca="false">37.06*(Z19*1.9835+AC19*1.9835)/E19</f>
        <v>0</v>
      </c>
      <c r="AR19" s="155"/>
      <c r="AS19" s="135" t="n">
        <v>9.5</v>
      </c>
      <c r="AT19" s="172" t="n">
        <v>1.3</v>
      </c>
      <c r="AV19" s="214" t="n">
        <v>0</v>
      </c>
      <c r="AW19" s="207" t="n">
        <v>87</v>
      </c>
      <c r="AX19" s="207" t="n">
        <v>54</v>
      </c>
      <c r="AY19" s="291"/>
      <c r="AZ19" s="242" t="n">
        <f aca="false">SUM(N19,P19:U19)</f>
        <v>10.3382204298344</v>
      </c>
    </row>
    <row r="20" customFormat="false" ht="12.95" hidden="false" customHeight="true" outlineLevel="0" collapsed="false">
      <c r="A20" s="179" t="n">
        <v>6</v>
      </c>
      <c r="B20" s="106" t="n">
        <v>6908.31</v>
      </c>
      <c r="C20" s="107" t="n">
        <v>315280</v>
      </c>
      <c r="D20" s="207" t="n">
        <f aca="false">C20-C19</f>
        <v>-1146</v>
      </c>
      <c r="E20" s="107" t="n">
        <f aca="false">C20-151978</f>
        <v>163302</v>
      </c>
      <c r="F20" s="238" t="n">
        <f aca="false">D20/$D$2</f>
        <v>-577.766574237459</v>
      </c>
      <c r="G20" s="135" t="n">
        <v>211</v>
      </c>
      <c r="H20" s="239" t="n">
        <v>0</v>
      </c>
      <c r="I20" s="135" t="n">
        <f aca="false">G20+H20</f>
        <v>211</v>
      </c>
      <c r="J20" s="136" t="n">
        <f aca="false">IF(L20&gt;0,L20,0)</f>
        <v>0</v>
      </c>
      <c r="K20" s="135" t="n">
        <f aca="false">I20+J20</f>
        <v>211</v>
      </c>
      <c r="L20" s="135" t="n">
        <f aca="false">F20-(I20-AK20)</f>
        <v>-37.076574237459</v>
      </c>
      <c r="M20" s="240" t="n">
        <v>238</v>
      </c>
      <c r="N20" s="155" t="n">
        <f aca="false">(1.8299*1.03)/2</f>
        <v>0.9423985</v>
      </c>
      <c r="O20" s="135" t="n">
        <f aca="false">(40+39)*1.05</f>
        <v>82.95</v>
      </c>
      <c r="P20" s="155" t="n">
        <v>0</v>
      </c>
      <c r="Q20" s="328" t="n">
        <f aca="false">1431300/325851/1.9835*1.02</f>
        <v>2.25880936732434</v>
      </c>
      <c r="R20" s="328" t="n">
        <v>4.2</v>
      </c>
      <c r="S20" s="131" t="n">
        <f aca="false">((4011360/325851/1.9835-T20)*1.04)-4.2</f>
        <v>1.00941905060154</v>
      </c>
      <c r="T20" s="131" t="n">
        <f aca="false">1.1513*1.04</f>
        <v>1.197352</v>
      </c>
      <c r="U20" s="346" t="n">
        <v>0</v>
      </c>
      <c r="V20" s="135" t="n">
        <v>127</v>
      </c>
      <c r="W20" s="135" t="n">
        <v>85</v>
      </c>
      <c r="X20" s="135" t="n">
        <f aca="false">M20-N20-O20-P20-Q20-R20-S20-T20-U20+V20+W20-AT20+AR20</f>
        <v>356.132021082074</v>
      </c>
      <c r="Y20" s="135" t="n">
        <f aca="false">X20-AO20</f>
        <v>351.132021082074</v>
      </c>
      <c r="Z20" s="107"/>
      <c r="AA20" s="135"/>
      <c r="AB20" s="107"/>
      <c r="AC20" s="107"/>
      <c r="AD20" s="207" t="n">
        <f aca="false">AD19+AP20</f>
        <v>3265.26364222621</v>
      </c>
      <c r="AE20" s="135" t="n">
        <v>242</v>
      </c>
      <c r="AF20" s="137" t="n">
        <v>1.7</v>
      </c>
      <c r="AG20" s="138" t="n">
        <v>1.3</v>
      </c>
      <c r="AH20" s="135" t="n">
        <v>61</v>
      </c>
      <c r="AI20" s="107" t="n">
        <f aca="false">AI19-AH20</f>
        <v>7977.25787748929</v>
      </c>
      <c r="AJ20" s="107"/>
      <c r="AK20" s="134" t="n">
        <f aca="false">N20+O20+P20+Q20+R20+S20+T20+U20+X20+AE20+AH20-AR20</f>
        <v>751.69</v>
      </c>
      <c r="AL20" s="135" t="n">
        <f aca="false">IF(L20&lt;0,L20*-1,0)</f>
        <v>37.076574237459</v>
      </c>
      <c r="AM20" s="135" t="n">
        <f aca="false">AK20+AL20</f>
        <v>788.766574237459</v>
      </c>
      <c r="AN20" s="212"/>
      <c r="AO20" s="207" t="n">
        <v>5</v>
      </c>
      <c r="AP20" s="97" t="n">
        <f aca="false">(I20-AO20)-Q20-R20-Y20-AF20</f>
        <v>-153.290830449398</v>
      </c>
      <c r="AQ20" s="155" t="n">
        <f aca="false">37.06*(Z20*1.9835+AC20*1.9835)/E20</f>
        <v>0</v>
      </c>
      <c r="AR20" s="155"/>
      <c r="AS20" s="135" t="n">
        <v>9.5</v>
      </c>
      <c r="AT20" s="172" t="n">
        <v>1.31</v>
      </c>
      <c r="AV20" s="214" t="n">
        <v>0</v>
      </c>
      <c r="AW20" s="207" t="n">
        <v>76</v>
      </c>
      <c r="AX20" s="207" t="n">
        <v>58</v>
      </c>
      <c r="AY20" s="291"/>
      <c r="AZ20" s="242" t="n">
        <f aca="false">SUM(N20,P20:U20)</f>
        <v>9.60797891792588</v>
      </c>
    </row>
    <row r="21" customFormat="false" ht="12.95" hidden="false" customHeight="true" outlineLevel="0" collapsed="false">
      <c r="A21" s="179" t="n">
        <v>7</v>
      </c>
      <c r="B21" s="106" t="n">
        <v>6908.06</v>
      </c>
      <c r="C21" s="107" t="n">
        <v>314293</v>
      </c>
      <c r="D21" s="207" t="n">
        <f aca="false">C21-C20</f>
        <v>-987</v>
      </c>
      <c r="E21" s="107" t="n">
        <f aca="false">C21-151978</f>
        <v>162315</v>
      </c>
      <c r="F21" s="238" t="n">
        <f aca="false">D21/$D$2</f>
        <v>-497.605243256869</v>
      </c>
      <c r="G21" s="135" t="n">
        <v>217</v>
      </c>
      <c r="H21" s="239" t="n">
        <v>0</v>
      </c>
      <c r="I21" s="135" t="n">
        <f aca="false">G21+H21</f>
        <v>217</v>
      </c>
      <c r="J21" s="136" t="n">
        <f aca="false">IF(L21&gt;0,L21,0)</f>
        <v>0</v>
      </c>
      <c r="K21" s="135" t="n">
        <f aca="false">I21+J21</f>
        <v>217</v>
      </c>
      <c r="L21" s="135" t="n">
        <f aca="false">F21-(I21-AK21)</f>
        <v>-6.91524325686913</v>
      </c>
      <c r="M21" s="240" t="n">
        <v>199</v>
      </c>
      <c r="N21" s="155" t="n">
        <f aca="false">(1.8299*1.03)/2</f>
        <v>0.9423985</v>
      </c>
      <c r="O21" s="135" t="n">
        <f aca="false">(34+33)*1.05</f>
        <v>70.35</v>
      </c>
      <c r="P21" s="155" t="n">
        <v>0</v>
      </c>
      <c r="Q21" s="328" t="n">
        <f aca="false">1502600/325851/1.9835*1.02</f>
        <v>2.3713316253347</v>
      </c>
      <c r="R21" s="328" t="n">
        <v>4.2</v>
      </c>
      <c r="S21" s="131" t="n">
        <f aca="false">((3656824/325851/1.9835-T21)*1.04)-4.2</f>
        <v>0.438936432052479</v>
      </c>
      <c r="T21" s="131" t="n">
        <f aca="false">1.1513*1.04</f>
        <v>1.197352</v>
      </c>
      <c r="U21" s="346" t="n">
        <v>0</v>
      </c>
      <c r="V21" s="135" t="n">
        <v>124</v>
      </c>
      <c r="W21" s="135" t="n">
        <v>84</v>
      </c>
      <c r="X21" s="135" t="n">
        <f aca="false">M21-N21-O21-P21-Q21-R21-S21-T21-U21+V21+W21-AT21+AR21</f>
        <v>326.189981442613</v>
      </c>
      <c r="Y21" s="135" t="n">
        <f aca="false">X21-AO21</f>
        <v>321.189981442613</v>
      </c>
      <c r="Z21" s="107"/>
      <c r="AA21" s="135"/>
      <c r="AB21" s="107"/>
      <c r="AC21" s="107"/>
      <c r="AD21" s="207" t="n">
        <f aca="false">AD20+AP21</f>
        <v>3147.80232915827</v>
      </c>
      <c r="AE21" s="135" t="n">
        <v>242</v>
      </c>
      <c r="AF21" s="137" t="n">
        <v>1.7</v>
      </c>
      <c r="AG21" s="138" t="n">
        <v>1.3</v>
      </c>
      <c r="AH21" s="135" t="n">
        <v>60</v>
      </c>
      <c r="AI21" s="107" t="n">
        <f aca="false">AI20-AH21</f>
        <v>7917.25787748929</v>
      </c>
      <c r="AJ21" s="107"/>
      <c r="AK21" s="134" t="n">
        <f aca="false">N21+O21+P21+Q21+R21+S21+T21+U21+X21+AE21+AH21-AR21</f>
        <v>707.69</v>
      </c>
      <c r="AL21" s="135" t="n">
        <f aca="false">IF(L21&lt;0,L21*-1,0)</f>
        <v>6.91524325686913</v>
      </c>
      <c r="AM21" s="135" t="n">
        <f aca="false">AK21+AL21</f>
        <v>714.605243256869</v>
      </c>
      <c r="AN21" s="212"/>
      <c r="AO21" s="207" t="n">
        <v>5</v>
      </c>
      <c r="AP21" s="97" t="n">
        <f aca="false">(I21-AO21)-Q21-R21-Y21-AF21</f>
        <v>-117.461313067948</v>
      </c>
      <c r="AQ21" s="155" t="n">
        <f aca="false">37.06*(Z21*1.9835+AC21*1.9835)/E21</f>
        <v>0</v>
      </c>
      <c r="AR21" s="155"/>
      <c r="AS21" s="135" t="n">
        <v>9.5</v>
      </c>
      <c r="AT21" s="172" t="n">
        <v>1.31</v>
      </c>
      <c r="AV21" s="214" t="n">
        <v>0</v>
      </c>
      <c r="AW21" s="207" t="n">
        <v>82</v>
      </c>
      <c r="AX21" s="207" t="n">
        <v>51</v>
      </c>
      <c r="AY21" s="291"/>
      <c r="AZ21" s="242" t="n">
        <f aca="false">SUM(N21,P21:U21)</f>
        <v>9.15001855738718</v>
      </c>
    </row>
    <row r="22" customFormat="false" ht="12.95" hidden="false" customHeight="true" outlineLevel="0" collapsed="false">
      <c r="A22" s="179" t="n">
        <v>8</v>
      </c>
      <c r="B22" s="106" t="n">
        <v>6907.79</v>
      </c>
      <c r="C22" s="107" t="n">
        <v>313233</v>
      </c>
      <c r="D22" s="207" t="n">
        <f aca="false">C22-C21</f>
        <v>-1060</v>
      </c>
      <c r="E22" s="107" t="n">
        <f aca="false">C22-151978</f>
        <v>161255</v>
      </c>
      <c r="F22" s="238" t="n">
        <f aca="false">D22/$D$2</f>
        <v>-534.408873203932</v>
      </c>
      <c r="G22" s="135" t="n">
        <v>211</v>
      </c>
      <c r="H22" s="239" t="n">
        <v>0</v>
      </c>
      <c r="I22" s="135" t="n">
        <f aca="false">G22+H22</f>
        <v>211</v>
      </c>
      <c r="J22" s="136" t="n">
        <f aca="false">IF(L22&gt;0,L22,0)</f>
        <v>0</v>
      </c>
      <c r="K22" s="135" t="n">
        <f aca="false">I22+J22</f>
        <v>211</v>
      </c>
      <c r="L22" s="135" t="n">
        <f aca="false">F22-(I22-AK22)</f>
        <v>-36.6688732039324</v>
      </c>
      <c r="M22" s="240" t="n">
        <v>212</v>
      </c>
      <c r="N22" s="155" t="n">
        <f aca="false">(1.8299*1.03)/2</f>
        <v>0.9423985</v>
      </c>
      <c r="O22" s="135" t="n">
        <f aca="false">(31+31)*1.05</f>
        <v>65.1</v>
      </c>
      <c r="P22" s="155" t="n">
        <v>0</v>
      </c>
      <c r="Q22" s="328" t="n">
        <f aca="false">1528900/325851/1.9835*1.02</f>
        <v>2.41283703046334</v>
      </c>
      <c r="R22" s="328" t="n">
        <v>4.2</v>
      </c>
      <c r="S22" s="131" t="n">
        <f aca="false">((4043360/325851/1.9835-T22)*1.04)-4.2</f>
        <v>1.06091013696109</v>
      </c>
      <c r="T22" s="131" t="n">
        <f aca="false">1.1513*1.04</f>
        <v>1.197352</v>
      </c>
      <c r="U22" s="346" t="n">
        <v>0</v>
      </c>
      <c r="V22" s="135" t="n">
        <v>122</v>
      </c>
      <c r="W22" s="135" t="n">
        <v>83</v>
      </c>
      <c r="X22" s="135" t="n">
        <f aca="false">M22-N22-O22-P22-Q22-R22-S22-T22-U22+V22+W22-AT22+AR22</f>
        <v>340.826502332576</v>
      </c>
      <c r="Y22" s="135" t="n">
        <f aca="false">X22-AO22</f>
        <v>335.826502332576</v>
      </c>
      <c r="Z22" s="107"/>
      <c r="AA22" s="135"/>
      <c r="AB22" s="107"/>
      <c r="AC22" s="107"/>
      <c r="AD22" s="207" t="n">
        <f aca="false">AD21+AP22</f>
        <v>3009.66298979523</v>
      </c>
      <c r="AE22" s="135" t="n">
        <v>233</v>
      </c>
      <c r="AF22" s="137" t="n">
        <v>1.7</v>
      </c>
      <c r="AG22" s="138" t="n">
        <v>1.3</v>
      </c>
      <c r="AH22" s="135" t="n">
        <v>60</v>
      </c>
      <c r="AI22" s="107" t="n">
        <f aca="false">AI21-AH22</f>
        <v>7857.25787748929</v>
      </c>
      <c r="AJ22" s="107"/>
      <c r="AK22" s="134" t="n">
        <f aca="false">N22+O22+P22+Q22+R22+S22+T22+U22+X22+AE22+AH22-AR22</f>
        <v>708.74</v>
      </c>
      <c r="AL22" s="135" t="n">
        <f aca="false">IF(L22&lt;0,L22*-1,0)</f>
        <v>36.6688732039324</v>
      </c>
      <c r="AM22" s="135" t="n">
        <f aca="false">AK22+AL22</f>
        <v>745.408873203933</v>
      </c>
      <c r="AN22" s="212"/>
      <c r="AO22" s="207" t="n">
        <v>5</v>
      </c>
      <c r="AP22" s="97" t="n">
        <f aca="false">(I22-AO22)-Q22-R22-Y22-AF22</f>
        <v>-138.139339363039</v>
      </c>
      <c r="AQ22" s="155" t="n">
        <f aca="false">37.06*(Z22*1.9835+AC22*1.9835)/E22</f>
        <v>0</v>
      </c>
      <c r="AR22" s="155"/>
      <c r="AS22" s="135" t="n">
        <v>18.17</v>
      </c>
      <c r="AT22" s="172" t="n">
        <v>1.26</v>
      </c>
      <c r="AV22" s="214" t="n">
        <v>0</v>
      </c>
      <c r="AW22" s="207" t="n">
        <v>81</v>
      </c>
      <c r="AX22" s="207" t="n">
        <v>48</v>
      </c>
      <c r="AY22" s="291"/>
      <c r="AZ22" s="242" t="n">
        <f aca="false">SUM(N22,P22:U22)</f>
        <v>9.81349766742443</v>
      </c>
    </row>
    <row r="23" customFormat="false" ht="12.95" hidden="false" customHeight="true" outlineLevel="0" collapsed="false">
      <c r="A23" s="179" t="n">
        <v>9</v>
      </c>
      <c r="B23" s="106" t="n">
        <v>6907.57</v>
      </c>
      <c r="C23" s="107" t="n">
        <v>312371</v>
      </c>
      <c r="D23" s="207" t="n">
        <f aca="false">C23-C22</f>
        <v>-862</v>
      </c>
      <c r="E23" s="107" t="n">
        <f aca="false">C23-151978</f>
        <v>160393</v>
      </c>
      <c r="F23" s="238" t="n">
        <f aca="false">D23/$D$2</f>
        <v>-434.585328963953</v>
      </c>
      <c r="G23" s="135" t="n">
        <v>208</v>
      </c>
      <c r="H23" s="239" t="n">
        <v>0</v>
      </c>
      <c r="I23" s="135" t="n">
        <f aca="false">G23+H23</f>
        <v>208</v>
      </c>
      <c r="J23" s="136" t="n">
        <f aca="false">IF(L23&gt;0,L23,0)</f>
        <v>35.0246710360474</v>
      </c>
      <c r="K23" s="135" t="n">
        <f aca="false">I23+J23</f>
        <v>243.024671036047</v>
      </c>
      <c r="L23" s="135" t="n">
        <f aca="false">F23-(I23-AK23)</f>
        <v>35.0246710360474</v>
      </c>
      <c r="M23" s="240" t="n">
        <v>189</v>
      </c>
      <c r="N23" s="155" t="n">
        <f aca="false">(1.8299*1.03)/2</f>
        <v>0.9423985</v>
      </c>
      <c r="O23" s="135" t="n">
        <f aca="false">(36+34)*1.05</f>
        <v>73.5</v>
      </c>
      <c r="P23" s="155" t="n">
        <v>0</v>
      </c>
      <c r="Q23" s="328" t="n">
        <f aca="false">1167600/325851/1.9835*1.02</f>
        <v>1.84265060943751</v>
      </c>
      <c r="R23" s="328" t="n">
        <v>4.2</v>
      </c>
      <c r="S23" s="131" t="n">
        <f aca="false">((3795860/325851/1.9835-T23)*1.04)-4.2</f>
        <v>0.807052365898933</v>
      </c>
      <c r="T23" s="131" t="n">
        <f aca="false">1.0178*1.04</f>
        <v>1.058512</v>
      </c>
      <c r="U23" s="346" t="n">
        <v>0</v>
      </c>
      <c r="V23" s="135" t="n">
        <v>122</v>
      </c>
      <c r="W23" s="135" t="n">
        <v>83</v>
      </c>
      <c r="X23" s="135" t="n">
        <f aca="false">M23-N23-O23-P23-Q23-R23-S23-T23-U23+V23+W23-AT23+AR23</f>
        <v>310.259386524664</v>
      </c>
      <c r="Y23" s="135" t="n">
        <f aca="false">X23-AO23</f>
        <v>305.259386524664</v>
      </c>
      <c r="Z23" s="107"/>
      <c r="AA23" s="135"/>
      <c r="AB23" s="107"/>
      <c r="AC23" s="107"/>
      <c r="AD23" s="207" t="n">
        <f aca="false">AD22+AP23</f>
        <v>2899.66095266113</v>
      </c>
      <c r="AE23" s="135" t="n">
        <v>225</v>
      </c>
      <c r="AF23" s="137" t="n">
        <v>1.7</v>
      </c>
      <c r="AG23" s="138" t="n">
        <v>1.3</v>
      </c>
      <c r="AH23" s="135" t="n">
        <v>60</v>
      </c>
      <c r="AI23" s="107" t="n">
        <f aca="false">AI22-AH23</f>
        <v>7797.25787748929</v>
      </c>
      <c r="AJ23" s="107"/>
      <c r="AK23" s="134" t="n">
        <f aca="false">N23+O23+P23+Q23+R23+S23+T23+U23+X23+AE23+AH23-AR23</f>
        <v>677.61</v>
      </c>
      <c r="AL23" s="135" t="n">
        <f aca="false">IF(L23&lt;0,L23*-1,0)</f>
        <v>0</v>
      </c>
      <c r="AM23" s="135" t="n">
        <f aca="false">AK23+AL23</f>
        <v>677.61</v>
      </c>
      <c r="AN23" s="212"/>
      <c r="AO23" s="207" t="n">
        <v>5</v>
      </c>
      <c r="AP23" s="97" t="n">
        <f aca="false">(I23-AO23)-Q23-R23-Y23-AF23</f>
        <v>-110.002037134101</v>
      </c>
      <c r="AQ23" s="155" t="n">
        <f aca="false">37.06*(Z23*1.9835+AC23*1.9835)/E23</f>
        <v>0</v>
      </c>
      <c r="AR23" s="155"/>
      <c r="AS23" s="135" t="n">
        <v>18.17</v>
      </c>
      <c r="AT23" s="172" t="n">
        <v>1.39</v>
      </c>
      <c r="AV23" s="214" t="n">
        <v>0</v>
      </c>
      <c r="AW23" s="207" t="n">
        <v>67</v>
      </c>
      <c r="AX23" s="207" t="n">
        <v>51</v>
      </c>
      <c r="AY23" s="291"/>
      <c r="AZ23" s="242" t="n">
        <f aca="false">SUM(N23,P23:U23)</f>
        <v>8.85061347533644</v>
      </c>
    </row>
    <row r="24" customFormat="false" ht="12.95" hidden="false" customHeight="true" outlineLevel="0" collapsed="false">
      <c r="A24" s="179" t="n">
        <v>10</v>
      </c>
      <c r="B24" s="106" t="n">
        <v>6907.38</v>
      </c>
      <c r="C24" s="107" t="n">
        <v>311627</v>
      </c>
      <c r="D24" s="207" t="n">
        <f aca="false">C24-C23</f>
        <v>-744</v>
      </c>
      <c r="E24" s="107" t="n">
        <f aca="false">C24-151978</f>
        <v>159649</v>
      </c>
      <c r="F24" s="238" t="n">
        <f aca="false">D24/$D$2</f>
        <v>-375.094529871439</v>
      </c>
      <c r="G24" s="135" t="n">
        <v>213</v>
      </c>
      <c r="H24" s="239" t="n">
        <v>0</v>
      </c>
      <c r="I24" s="135" t="n">
        <f aca="false">G24+H24</f>
        <v>213</v>
      </c>
      <c r="J24" s="136" t="n">
        <f aca="false">IF(L24&gt;0,L24,0)</f>
        <v>36.5654701285607</v>
      </c>
      <c r="K24" s="135" t="n">
        <f aca="false">I24+J24</f>
        <v>249.565470128561</v>
      </c>
      <c r="L24" s="135" t="n">
        <f aca="false">F24-(I24-AK24)</f>
        <v>36.5654701285607</v>
      </c>
      <c r="M24" s="240" t="n">
        <v>163</v>
      </c>
      <c r="N24" s="155" t="n">
        <f aca="false">(1.8299*1.03)/2</f>
        <v>0.9423985</v>
      </c>
      <c r="O24" s="135" t="n">
        <f aca="false">(26+21)*1.05</f>
        <v>49.35</v>
      </c>
      <c r="P24" s="155" t="n">
        <v>0</v>
      </c>
      <c r="Q24" s="328" t="n">
        <f aca="false">1377900/325851/1.9835*1.02</f>
        <v>2.17453603523804</v>
      </c>
      <c r="R24" s="328" t="n">
        <v>4.2</v>
      </c>
      <c r="S24" s="131" t="n">
        <f aca="false">((3737737/325851/1.9835-T24)*1.04)-4.2</f>
        <v>0.713526853009052</v>
      </c>
      <c r="T24" s="131" t="n">
        <f aca="false">1.0178*1.04</f>
        <v>1.058512</v>
      </c>
      <c r="U24" s="346" t="n">
        <v>0</v>
      </c>
      <c r="V24" s="135" t="n">
        <v>121</v>
      </c>
      <c r="W24" s="135" t="n">
        <v>78</v>
      </c>
      <c r="X24" s="135" t="n">
        <f aca="false">M24-N24-O24-P24-Q24-R24-S24-T24-U24+V24+W24-AT24+AR24</f>
        <v>302.221026611753</v>
      </c>
      <c r="Y24" s="135" t="n">
        <f aca="false">X24-AO24</f>
        <v>297.221026611753</v>
      </c>
      <c r="Z24" s="107"/>
      <c r="AA24" s="135"/>
      <c r="AB24" s="107"/>
      <c r="AC24" s="107"/>
      <c r="AD24" s="207" t="n">
        <f aca="false">AD23+AP24</f>
        <v>2802.36539001414</v>
      </c>
      <c r="AE24" s="135" t="n">
        <v>204</v>
      </c>
      <c r="AF24" s="137" t="n">
        <v>1.7</v>
      </c>
      <c r="AG24" s="138" t="n">
        <v>1.3</v>
      </c>
      <c r="AH24" s="135" t="n">
        <v>60</v>
      </c>
      <c r="AI24" s="107" t="n">
        <f aca="false">AI23-AH24</f>
        <v>7737.25787748929</v>
      </c>
      <c r="AJ24" s="107"/>
      <c r="AK24" s="134" t="n">
        <f aca="false">N24+O24+P24+Q24+R24+S24+T24+U24+X24+AE24+AH24-AR24</f>
        <v>624.66</v>
      </c>
      <c r="AL24" s="135" t="n">
        <f aca="false">IF(L24&lt;0,L24*-1,0)</f>
        <v>0</v>
      </c>
      <c r="AM24" s="135" t="n">
        <f aca="false">AK24+AL24</f>
        <v>624.66</v>
      </c>
      <c r="AN24" s="212"/>
      <c r="AO24" s="207" t="n">
        <v>5</v>
      </c>
      <c r="AP24" s="97" t="n">
        <f aca="false">(I24-AO24)-Q24-R24-Y24-AF24</f>
        <v>-97.295562646991</v>
      </c>
      <c r="AQ24" s="155" t="n">
        <f aca="false">37.06*(Z24*1.9835+AC24*1.9835)/E24</f>
        <v>0</v>
      </c>
      <c r="AR24" s="155"/>
      <c r="AS24" s="135" t="n">
        <v>18.17</v>
      </c>
      <c r="AT24" s="172" t="n">
        <v>1.34</v>
      </c>
      <c r="AV24" s="214" t="n">
        <v>0.01</v>
      </c>
      <c r="AW24" s="207" t="n">
        <v>74</v>
      </c>
      <c r="AX24" s="207" t="n">
        <v>46</v>
      </c>
      <c r="AY24" s="291"/>
      <c r="AZ24" s="242" t="n">
        <f aca="false">SUM(N24,P24:U24)</f>
        <v>9.08897338824709</v>
      </c>
    </row>
    <row r="25" customFormat="false" ht="12.95" hidden="false" customHeight="true" outlineLevel="0" collapsed="false">
      <c r="A25" s="179" t="n">
        <v>11</v>
      </c>
      <c r="B25" s="106" t="n">
        <v>6907.23</v>
      </c>
      <c r="C25" s="107" t="n">
        <v>311039</v>
      </c>
      <c r="D25" s="207" t="n">
        <f aca="false">C25-C24</f>
        <v>-588</v>
      </c>
      <c r="E25" s="107" t="n">
        <f aca="false">C25-151978</f>
        <v>159061</v>
      </c>
      <c r="F25" s="238" t="n">
        <f aca="false">D25/$D$2</f>
        <v>-296.445676833879</v>
      </c>
      <c r="G25" s="135" t="n">
        <v>215</v>
      </c>
      <c r="H25" s="239" t="n">
        <v>0</v>
      </c>
      <c r="I25" s="135" t="n">
        <f aca="false">G25+H25</f>
        <v>215</v>
      </c>
      <c r="J25" s="136" t="n">
        <f aca="false">IF(L25&gt;0,L25,0)</f>
        <v>43.2943231661205</v>
      </c>
      <c r="K25" s="135" t="n">
        <f aca="false">I25+J25</f>
        <v>258.294323166121</v>
      </c>
      <c r="L25" s="135" t="n">
        <f aca="false">F25-(I25-AK25)</f>
        <v>43.2943231661205</v>
      </c>
      <c r="M25" s="240" t="n">
        <v>167</v>
      </c>
      <c r="N25" s="155" t="n">
        <f aca="false">(1.8299*1.03)/2</f>
        <v>0.9423985</v>
      </c>
      <c r="O25" s="135" t="n">
        <f aca="false">(27+26)*1.05</f>
        <v>55.65</v>
      </c>
      <c r="P25" s="155" t="n">
        <v>0</v>
      </c>
      <c r="Q25" s="328" t="n">
        <f aca="false">1483900/325851/1.9835*1.02</f>
        <v>2.34182017758163</v>
      </c>
      <c r="R25" s="328" t="n">
        <v>4.2</v>
      </c>
      <c r="S25" s="131" t="n">
        <f aca="false">((3484389/325851/1.9835-T25)*1.04)-4.2</f>
        <v>0.305865485914691</v>
      </c>
      <c r="T25" s="131" t="n">
        <f aca="false">1.0178*1.04</f>
        <v>1.058512</v>
      </c>
      <c r="U25" s="346" t="n">
        <v>0</v>
      </c>
      <c r="V25" s="135" t="n">
        <v>121</v>
      </c>
      <c r="W25" s="135" t="n">
        <v>78</v>
      </c>
      <c r="X25" s="135" t="n">
        <f aca="false">M25-N25-O25-P25-Q25-R25-S25-T25-U25+V25+W25-AT25+AR25</f>
        <v>300.241403836504</v>
      </c>
      <c r="Y25" s="135" t="n">
        <f aca="false">X25-AO25</f>
        <v>295.241403836504</v>
      </c>
      <c r="Z25" s="107"/>
      <c r="AA25" s="135"/>
      <c r="AB25" s="107"/>
      <c r="AC25" s="107"/>
      <c r="AD25" s="207" t="n">
        <f aca="false">AD24+AP25</f>
        <v>2708.88216600005</v>
      </c>
      <c r="AE25" s="135" t="n">
        <v>142</v>
      </c>
      <c r="AF25" s="137" t="n">
        <v>1.7</v>
      </c>
      <c r="AG25" s="138" t="n">
        <v>1.3</v>
      </c>
      <c r="AH25" s="135" t="n">
        <v>48</v>
      </c>
      <c r="AI25" s="107" t="n">
        <f aca="false">AI24-AH25</f>
        <v>7689.25787748929</v>
      </c>
      <c r="AJ25" s="107"/>
      <c r="AK25" s="134" t="n">
        <f aca="false">N25+O25+P25+Q25+R25+S25+T25+U25+X25+AE25+AH25-AR25</f>
        <v>554.74</v>
      </c>
      <c r="AL25" s="135" t="n">
        <f aca="false">IF(L25&lt;0,L25*-1,0)</f>
        <v>0</v>
      </c>
      <c r="AM25" s="135" t="n">
        <f aca="false">AK25+AL25</f>
        <v>554.74</v>
      </c>
      <c r="AN25" s="212"/>
      <c r="AO25" s="207" t="n">
        <v>5</v>
      </c>
      <c r="AP25" s="97" t="n">
        <f aca="false">(I25-AO25)-Q25-R25-Y25-AF25</f>
        <v>-93.4832240140853</v>
      </c>
      <c r="AQ25" s="155" t="n">
        <f aca="false">37.06*(Z25*1.9835+AC25*1.9835)/E25</f>
        <v>0</v>
      </c>
      <c r="AR25" s="155"/>
      <c r="AS25" s="135" t="n">
        <v>18.17</v>
      </c>
      <c r="AT25" s="172" t="n">
        <v>1.26</v>
      </c>
      <c r="AV25" s="214" t="n">
        <v>0.07</v>
      </c>
      <c r="AW25" s="207" t="n">
        <v>77</v>
      </c>
      <c r="AX25" s="207" t="n">
        <v>50</v>
      </c>
      <c r="AY25" s="291"/>
      <c r="AZ25" s="242" t="n">
        <f aca="false">SUM(N25,P25:U25)</f>
        <v>8.84859616349632</v>
      </c>
    </row>
    <row r="26" customFormat="false" ht="12.95" hidden="false" customHeight="true" outlineLevel="0" collapsed="false">
      <c r="A26" s="179" t="n">
        <v>12</v>
      </c>
      <c r="B26" s="106" t="n">
        <v>6907.02</v>
      </c>
      <c r="C26" s="107" t="n">
        <v>310216</v>
      </c>
      <c r="D26" s="207" t="n">
        <f aca="false">C26-C25</f>
        <v>-823</v>
      </c>
      <c r="E26" s="107" t="n">
        <f aca="false">C26-151978</f>
        <v>158238</v>
      </c>
      <c r="F26" s="238" t="n">
        <f aca="false">D26/$D$2</f>
        <v>-414.923115704563</v>
      </c>
      <c r="G26" s="135" t="n">
        <v>223</v>
      </c>
      <c r="H26" s="239" t="n">
        <v>0</v>
      </c>
      <c r="I26" s="135" t="n">
        <f aca="false">G26+H26</f>
        <v>223</v>
      </c>
      <c r="J26" s="136" t="n">
        <f aca="false">IF(L26&gt;0,L26,0)</f>
        <v>0</v>
      </c>
      <c r="K26" s="135" t="n">
        <f aca="false">I26+J26</f>
        <v>223</v>
      </c>
      <c r="L26" s="135" t="n">
        <f aca="false">F26-(I26-AK26)</f>
        <v>-5.12311570456268</v>
      </c>
      <c r="M26" s="240" t="n">
        <v>194</v>
      </c>
      <c r="N26" s="155" t="n">
        <f aca="false">(1.8299*1.03)/2</f>
        <v>0.9423985</v>
      </c>
      <c r="O26" s="135" t="n">
        <f aca="false">(33+33)*1.05</f>
        <v>69.3</v>
      </c>
      <c r="P26" s="155" t="n">
        <v>0</v>
      </c>
      <c r="Q26" s="328" t="n">
        <f aca="false">1321500/325851/1.9835*1.02</f>
        <v>2.08552824629296</v>
      </c>
      <c r="R26" s="328" t="n">
        <v>4.2</v>
      </c>
      <c r="S26" s="131" t="n">
        <f aca="false">((3703706/325851/1.9835-T26)*1.04)-4.2</f>
        <v>0.658767691762118</v>
      </c>
      <c r="T26" s="131" t="n">
        <f aca="false">1.0178*1.04</f>
        <v>1.058512</v>
      </c>
      <c r="U26" s="346" t="n">
        <v>0</v>
      </c>
      <c r="V26" s="135" t="n">
        <v>120</v>
      </c>
      <c r="W26" s="135" t="n">
        <v>81</v>
      </c>
      <c r="X26" s="135" t="n">
        <f aca="false">M26-N26-O26-P26-Q26-R26-S26-T26-U26+V26+W26-AT26+AR26</f>
        <v>315.554793561945</v>
      </c>
      <c r="Y26" s="135" t="n">
        <f aca="false">X26-AO26</f>
        <v>310.554793561945</v>
      </c>
      <c r="Z26" s="107"/>
      <c r="AA26" s="135"/>
      <c r="AB26" s="107"/>
      <c r="AC26" s="107"/>
      <c r="AD26" s="207" t="n">
        <f aca="false">AD25+AP26</f>
        <v>2608.34184419181</v>
      </c>
      <c r="AE26" s="135" t="n">
        <v>195</v>
      </c>
      <c r="AF26" s="137" t="n">
        <v>1.7</v>
      </c>
      <c r="AG26" s="138" t="n">
        <v>1.3</v>
      </c>
      <c r="AH26" s="135" t="n">
        <v>44</v>
      </c>
      <c r="AI26" s="107" t="n">
        <f aca="false">AI25-AH26</f>
        <v>7645.25787748929</v>
      </c>
      <c r="AJ26" s="107"/>
      <c r="AK26" s="134" t="n">
        <f aca="false">N26+O26+P26+Q26+R26+S26+T26+U26+X26+AE26+AH26-AR26</f>
        <v>632.8</v>
      </c>
      <c r="AL26" s="135" t="n">
        <f aca="false">IF(L26&lt;0,L26*-1,0)</f>
        <v>5.12311570456268</v>
      </c>
      <c r="AM26" s="135" t="n">
        <f aca="false">AK26+AL26</f>
        <v>637.923115704563</v>
      </c>
      <c r="AN26" s="212"/>
      <c r="AO26" s="207" t="n">
        <v>5</v>
      </c>
      <c r="AP26" s="97" t="n">
        <f aca="false">(I26-AO26)-Q26-R26-Y26-AF26</f>
        <v>-100.540321808238</v>
      </c>
      <c r="AQ26" s="155" t="n">
        <f aca="false">37.06*(Z26*1.9835+AC26*1.9835)/E26</f>
        <v>0</v>
      </c>
      <c r="AR26" s="155"/>
      <c r="AS26" s="135" t="n">
        <v>18.17</v>
      </c>
      <c r="AT26" s="172" t="n">
        <v>1.2</v>
      </c>
      <c r="AV26" s="214" t="n">
        <v>0.04</v>
      </c>
      <c r="AW26" s="207" t="n">
        <v>76</v>
      </c>
      <c r="AX26" s="207" t="n">
        <v>48</v>
      </c>
      <c r="AY26" s="291"/>
      <c r="AZ26" s="242" t="n">
        <f aca="false">SUM(N26,P26:U26)</f>
        <v>8.94520643805508</v>
      </c>
    </row>
    <row r="27" customFormat="false" ht="12.95" hidden="false" customHeight="true" outlineLevel="0" collapsed="false">
      <c r="A27" s="179" t="n">
        <v>13</v>
      </c>
      <c r="B27" s="106" t="n">
        <v>6906.81</v>
      </c>
      <c r="C27" s="107" t="n">
        <v>309399</v>
      </c>
      <c r="D27" s="207" t="n">
        <f aca="false">C27-C26</f>
        <v>-817</v>
      </c>
      <c r="E27" s="107" t="n">
        <f aca="false">C27-151978</f>
        <v>157421</v>
      </c>
      <c r="F27" s="238" t="n">
        <f aca="false">D27/$D$2</f>
        <v>-411.898159818503</v>
      </c>
      <c r="G27" s="135" t="n">
        <v>219</v>
      </c>
      <c r="H27" s="239" t="n">
        <v>0</v>
      </c>
      <c r="I27" s="135" t="n">
        <f aca="false">G27+H27</f>
        <v>219</v>
      </c>
      <c r="J27" s="136" t="n">
        <f aca="false">IF(L27&gt;0,L27,0)</f>
        <v>0</v>
      </c>
      <c r="K27" s="135" t="n">
        <f aca="false">I27+J27</f>
        <v>219</v>
      </c>
      <c r="L27" s="135" t="n">
        <f aca="false">F27-(I27-AK27)</f>
        <v>-17.0981598185027</v>
      </c>
      <c r="M27" s="240" t="n">
        <v>188</v>
      </c>
      <c r="N27" s="155" t="n">
        <f aca="false">(1.8299*1.03)/2</f>
        <v>0.9423985</v>
      </c>
      <c r="O27" s="135" t="n">
        <f aca="false">(39+39)*1.05</f>
        <v>81.9</v>
      </c>
      <c r="P27" s="155" t="n">
        <v>0</v>
      </c>
      <c r="Q27" s="328" t="n">
        <f aca="false">1461200/325851/1.9835*1.02</f>
        <v>2.30599612068352</v>
      </c>
      <c r="R27" s="328" t="n">
        <v>4.2</v>
      </c>
      <c r="S27" s="131" t="n">
        <f aca="false">(((3709363)/325851/1.9835-T27)*1.04)-4.2</f>
        <v>0.667870350372618</v>
      </c>
      <c r="T27" s="131" t="n">
        <f aca="false">1.0178*1.04</f>
        <v>1.058512</v>
      </c>
      <c r="U27" s="346" t="n">
        <v>0</v>
      </c>
      <c r="V27" s="135" t="n">
        <v>118</v>
      </c>
      <c r="W27" s="135" t="n">
        <v>81</v>
      </c>
      <c r="X27" s="135" t="n">
        <f aca="false">M27-N27-O27-P27-Q27-R27-S27-T27-U27+V27+W27-AT27+AR27</f>
        <v>294.725223028944</v>
      </c>
      <c r="Y27" s="135" t="n">
        <f aca="false">X27-AO27</f>
        <v>289.725223028944</v>
      </c>
      <c r="Z27" s="107"/>
      <c r="AA27" s="135"/>
      <c r="AB27" s="107"/>
      <c r="AC27" s="107"/>
      <c r="AD27" s="207" t="n">
        <f aca="false">AD26+AP27</f>
        <v>2524.41062504219</v>
      </c>
      <c r="AE27" s="135" t="n">
        <v>188</v>
      </c>
      <c r="AF27" s="137" t="n">
        <v>1.7</v>
      </c>
      <c r="AG27" s="138" t="n">
        <v>1.3</v>
      </c>
      <c r="AH27" s="135" t="n">
        <v>40</v>
      </c>
      <c r="AI27" s="107" t="n">
        <f aca="false">AI26-AH27</f>
        <v>7605.25787748929</v>
      </c>
      <c r="AJ27" s="107"/>
      <c r="AK27" s="134" t="n">
        <f aca="false">N27+O27+P27+Q27+R27+S27+T27+U27+X27+AE27+AH27-AR27</f>
        <v>613.8</v>
      </c>
      <c r="AL27" s="135" t="n">
        <f aca="false">IF(L27&lt;0,L27*-1,0)</f>
        <v>17.0981598185027</v>
      </c>
      <c r="AM27" s="135" t="n">
        <f aca="false">AK27+AL27</f>
        <v>630.898159818503</v>
      </c>
      <c r="AN27" s="212"/>
      <c r="AO27" s="207" t="n">
        <v>5</v>
      </c>
      <c r="AP27" s="97" t="n">
        <f aca="false">(I27-AO27)-Q27-R27-Y27-AF27</f>
        <v>-83.9312191496274</v>
      </c>
      <c r="AQ27" s="155" t="n">
        <f aca="false">37.06*(Z27*1.9835+AC27*1.9835)/E27</f>
        <v>0</v>
      </c>
      <c r="AR27" s="155"/>
      <c r="AS27" s="135" t="n">
        <v>18.17</v>
      </c>
      <c r="AT27" s="172" t="n">
        <v>1.2</v>
      </c>
      <c r="AV27" s="214" t="n">
        <v>0</v>
      </c>
      <c r="AW27" s="207" t="n">
        <v>78</v>
      </c>
      <c r="AX27" s="207" t="n">
        <v>50</v>
      </c>
      <c r="AY27" s="291"/>
      <c r="AZ27" s="242" t="n">
        <f aca="false">SUM(N27,P27:U27)</f>
        <v>9.17477697105614</v>
      </c>
    </row>
    <row r="28" customFormat="false" ht="12.95" hidden="false" customHeight="true" outlineLevel="0" collapsed="false">
      <c r="A28" s="179" t="n">
        <v>14</v>
      </c>
      <c r="B28" s="106" t="n">
        <v>6906.66</v>
      </c>
      <c r="C28" s="107" t="n">
        <v>308816</v>
      </c>
      <c r="D28" s="207" t="n">
        <f aca="false">C28-C27</f>
        <v>-583</v>
      </c>
      <c r="E28" s="107" t="n">
        <f aca="false">C28-151978</f>
        <v>156838</v>
      </c>
      <c r="F28" s="238" t="n">
        <f aca="false">D28/$D$2</f>
        <v>-293.924880262163</v>
      </c>
      <c r="G28" s="135" t="n">
        <v>168</v>
      </c>
      <c r="H28" s="239" t="n">
        <v>0</v>
      </c>
      <c r="I28" s="135" t="n">
        <f aca="false">G28+H28</f>
        <v>168</v>
      </c>
      <c r="J28" s="136" t="n">
        <f aca="false">IF(L28&gt;0,L28,0)</f>
        <v>97.8751197378371</v>
      </c>
      <c r="K28" s="135" t="n">
        <f aca="false">I28+J28</f>
        <v>265.875119737837</v>
      </c>
      <c r="L28" s="135" t="n">
        <f aca="false">F28-(I28-AK28)</f>
        <v>97.8751197378371</v>
      </c>
      <c r="M28" s="240" t="n">
        <v>170</v>
      </c>
      <c r="N28" s="155" t="n">
        <f aca="false">(1.8299*1.03)/2</f>
        <v>0.9423985</v>
      </c>
      <c r="O28" s="135" t="n">
        <f aca="false">(36+34)*1.05</f>
        <v>73.5</v>
      </c>
      <c r="P28" s="155" t="n">
        <v>0</v>
      </c>
      <c r="Q28" s="328" t="n">
        <f aca="false">1147900/325851/1.9835*1.02</f>
        <v>1.81156100939818</v>
      </c>
      <c r="R28" s="328" t="n">
        <f aca="false">((2945133+44)/325851/1.9835-T28)*1.04</f>
        <v>3.63822137159887</v>
      </c>
      <c r="S28" s="131" t="n">
        <v>0</v>
      </c>
      <c r="T28" s="131" t="n">
        <f aca="false">1.0178*1.04</f>
        <v>1.058512</v>
      </c>
      <c r="U28" s="346" t="n">
        <v>0</v>
      </c>
      <c r="V28" s="135" t="n">
        <v>117</v>
      </c>
      <c r="W28" s="135" t="n">
        <v>76</v>
      </c>
      <c r="X28" s="135" t="n">
        <f aca="false">M28-N28-O28-P28-Q28-R28-S28-T28-U28+V28+W28-AT28+AR28</f>
        <v>280.849307119003</v>
      </c>
      <c r="Y28" s="135" t="n">
        <f aca="false">X28-AO28</f>
        <v>275.849307119003</v>
      </c>
      <c r="Z28" s="107"/>
      <c r="AA28" s="135"/>
      <c r="AB28" s="107"/>
      <c r="AC28" s="107"/>
      <c r="AD28" s="207" t="n">
        <f aca="false">AD27+AP28</f>
        <v>2404.41153554218</v>
      </c>
      <c r="AE28" s="135" t="n">
        <v>158</v>
      </c>
      <c r="AF28" s="137" t="n">
        <v>1.7</v>
      </c>
      <c r="AG28" s="138" t="n">
        <v>1.3</v>
      </c>
      <c r="AH28" s="135" t="n">
        <v>40</v>
      </c>
      <c r="AI28" s="107" t="n">
        <f aca="false">AI27-AH28</f>
        <v>7565.25787748929</v>
      </c>
      <c r="AJ28" s="107"/>
      <c r="AK28" s="134" t="n">
        <f aca="false">N28+O28+P28+Q28+R28+S28+T28+U28+X28+AE28+AH28-AR28</f>
        <v>559.8</v>
      </c>
      <c r="AL28" s="135" t="n">
        <f aca="false">IF(L28&lt;0,L28*-1,0)</f>
        <v>0</v>
      </c>
      <c r="AM28" s="135" t="n">
        <f aca="false">AK28+AL28</f>
        <v>559.8</v>
      </c>
      <c r="AN28" s="212"/>
      <c r="AO28" s="207" t="n">
        <v>5</v>
      </c>
      <c r="AP28" s="97" t="n">
        <f aca="false">(I28-AO28)-Q28-R28-Y28-AF28</f>
        <v>-119.9990895</v>
      </c>
      <c r="AQ28" s="155" t="n">
        <f aca="false">37.06*(Z28*1.9835+AC28*1.9835)/E28</f>
        <v>0</v>
      </c>
      <c r="AR28" s="155"/>
      <c r="AS28" s="135" t="n">
        <v>18.17</v>
      </c>
      <c r="AT28" s="172" t="n">
        <v>1.2</v>
      </c>
      <c r="AV28" s="214" t="n">
        <v>0.4</v>
      </c>
      <c r="AW28" s="207" t="n">
        <v>66</v>
      </c>
      <c r="AX28" s="207" t="n">
        <v>46</v>
      </c>
      <c r="AY28" s="291"/>
      <c r="AZ28" s="242" t="n">
        <f aca="false">SUM(N28,P28:U28)</f>
        <v>7.45069288099705</v>
      </c>
    </row>
    <row r="29" customFormat="false" ht="12.95" hidden="false" customHeight="true" outlineLevel="0" collapsed="false">
      <c r="A29" s="179" t="n">
        <v>15</v>
      </c>
      <c r="B29" s="106" t="n">
        <v>6906.53</v>
      </c>
      <c r="C29" s="107" t="n">
        <v>308311</v>
      </c>
      <c r="D29" s="207" t="n">
        <f aca="false">C29-C28</f>
        <v>-505</v>
      </c>
      <c r="E29" s="107" t="n">
        <f aca="false">C29-151978</f>
        <v>156333</v>
      </c>
      <c r="F29" s="238" t="n">
        <f aca="false">D29/$D$2</f>
        <v>-254.600453743383</v>
      </c>
      <c r="G29" s="135" t="n">
        <v>201</v>
      </c>
      <c r="H29" s="239" t="n">
        <v>0</v>
      </c>
      <c r="I29" s="135" t="n">
        <f aca="false">G29+H29</f>
        <v>201</v>
      </c>
      <c r="J29" s="136" t="n">
        <f aca="false">IF(L29&gt;0,L29,0)</f>
        <v>67.1595462566171</v>
      </c>
      <c r="K29" s="135" t="n">
        <f aca="false">I29+J29</f>
        <v>268.159546256617</v>
      </c>
      <c r="L29" s="135" t="n">
        <f aca="false">F29-(I29-AK29)</f>
        <v>67.1595462566171</v>
      </c>
      <c r="M29" s="240" t="n">
        <v>171</v>
      </c>
      <c r="N29" s="155" t="n">
        <f aca="false">(1.8299*1.03)/2</f>
        <v>0.9423985</v>
      </c>
      <c r="O29" s="135" t="n">
        <f aca="false">(40+40)*1.05</f>
        <v>84</v>
      </c>
      <c r="P29" s="155" t="n">
        <v>0</v>
      </c>
      <c r="Q29" s="328" t="n">
        <f aca="false">1225700/325851/1.9835*1.02</f>
        <v>1.93434125726923</v>
      </c>
      <c r="R29" s="328" t="n">
        <f aca="false">((2858208)/325851/1.9835-T29)*1.04</f>
        <v>3.49827986254875</v>
      </c>
      <c r="S29" s="131" t="n">
        <v>0</v>
      </c>
      <c r="T29" s="131" t="n">
        <f aca="false">1.0178*1.04</f>
        <v>1.058512</v>
      </c>
      <c r="U29" s="346" t="n">
        <v>0</v>
      </c>
      <c r="V29" s="135" t="n">
        <v>115</v>
      </c>
      <c r="W29" s="135" t="n">
        <v>71</v>
      </c>
      <c r="X29" s="135" t="n">
        <f aca="false">M29-N29-O29-P29-Q29-R29-S29-T29-U29+V29+W29-AT29+AR29</f>
        <v>264.326468380182</v>
      </c>
      <c r="Y29" s="135" t="n">
        <f aca="false">X29-AO29</f>
        <v>259.326468380182</v>
      </c>
      <c r="Z29" s="107"/>
      <c r="AA29" s="135"/>
      <c r="AB29" s="107"/>
      <c r="AC29" s="107"/>
      <c r="AD29" s="207" t="n">
        <f aca="false">AD28+AP29</f>
        <v>2333.95244604218</v>
      </c>
      <c r="AE29" s="135" t="n">
        <v>127</v>
      </c>
      <c r="AF29" s="137" t="n">
        <v>1.7</v>
      </c>
      <c r="AG29" s="138" t="n">
        <v>1.3</v>
      </c>
      <c r="AH29" s="135" t="n">
        <v>40</v>
      </c>
      <c r="AI29" s="107" t="n">
        <f aca="false">AI28-AH29</f>
        <v>7525.25787748929</v>
      </c>
      <c r="AJ29" s="107"/>
      <c r="AK29" s="134" t="n">
        <f aca="false">N29+O29+P29+Q29+R29+S29+T29+U29+X29+AE29+AH29-AR29</f>
        <v>522.76</v>
      </c>
      <c r="AL29" s="135" t="n">
        <f aca="false">IF(L29&lt;0,L29*-1,0)</f>
        <v>0</v>
      </c>
      <c r="AM29" s="135" t="n">
        <f aca="false">AK29+AL29</f>
        <v>522.76</v>
      </c>
      <c r="AN29" s="212"/>
      <c r="AO29" s="207" t="n">
        <v>5</v>
      </c>
      <c r="AP29" s="97" t="n">
        <f aca="false">(I29-AO29)-Q29-R29-Y29-AF29</f>
        <v>-70.4590895</v>
      </c>
      <c r="AQ29" s="155" t="n">
        <f aca="false">37.06*(Z29*1.9835+AC29*1.9835)/E29</f>
        <v>0</v>
      </c>
      <c r="AR29" s="155"/>
      <c r="AS29" s="135" t="n">
        <v>18.17</v>
      </c>
      <c r="AT29" s="172" t="n">
        <v>1.24</v>
      </c>
      <c r="AV29" s="214" t="n">
        <v>0.03</v>
      </c>
      <c r="AW29" s="207" t="n">
        <v>71</v>
      </c>
      <c r="AX29" s="207" t="n">
        <v>47</v>
      </c>
      <c r="AY29" s="291"/>
      <c r="AZ29" s="242" t="n">
        <f aca="false">SUM(N29,P29:U29)</f>
        <v>7.43353161981798</v>
      </c>
    </row>
    <row r="30" customFormat="false" ht="12.95" hidden="false" customHeight="true" outlineLevel="0" collapsed="false">
      <c r="A30" s="179" t="n">
        <v>16</v>
      </c>
      <c r="B30" s="106" t="n">
        <v>6906.42</v>
      </c>
      <c r="C30" s="107" t="n">
        <v>307884</v>
      </c>
      <c r="D30" s="207" t="n">
        <f aca="false">C30-C29</f>
        <v>-427</v>
      </c>
      <c r="E30" s="107" t="n">
        <f aca="false">C30-151978</f>
        <v>155906</v>
      </c>
      <c r="F30" s="238" t="n">
        <f aca="false">D30/$D$2</f>
        <v>-215.276027224603</v>
      </c>
      <c r="G30" s="135" t="n">
        <v>158</v>
      </c>
      <c r="H30" s="239" t="n">
        <v>0</v>
      </c>
      <c r="I30" s="135" t="n">
        <f aca="false">G30+H30</f>
        <v>158</v>
      </c>
      <c r="J30" s="136" t="n">
        <f aca="false">IF(L30&gt;0,L30,0)</f>
        <v>101.233972775397</v>
      </c>
      <c r="K30" s="135" t="n">
        <f aca="false">I30+J30</f>
        <v>259.233972775397</v>
      </c>
      <c r="L30" s="135" t="n">
        <f aca="false">F30-(I30-AK30)</f>
        <v>101.233972775397</v>
      </c>
      <c r="M30" s="240" t="n">
        <v>126</v>
      </c>
      <c r="N30" s="155" t="n">
        <f aca="false">(1.8299*1.03)/2</f>
        <v>0.9423985</v>
      </c>
      <c r="O30" s="135" t="n">
        <f aca="false">(38+32)*1.05</f>
        <v>73.5</v>
      </c>
      <c r="P30" s="155" t="n">
        <v>0</v>
      </c>
      <c r="Q30" s="328" t="n">
        <f aca="false">1021400/325851/1.9835*1.02</f>
        <v>1.61192474518625</v>
      </c>
      <c r="R30" s="328" t="n">
        <f aca="false">((2511797)/325851/1.9835-T30)*1.04</f>
        <v>3.07012235264567</v>
      </c>
      <c r="S30" s="131" t="n">
        <v>0</v>
      </c>
      <c r="T30" s="131" t="n">
        <f aca="false">0.8983*1.04</f>
        <v>0.934232</v>
      </c>
      <c r="U30" s="346" t="n">
        <v>0</v>
      </c>
      <c r="V30" s="135" t="n">
        <v>109</v>
      </c>
      <c r="W30" s="135" t="n">
        <v>68</v>
      </c>
      <c r="X30" s="135" t="n">
        <f aca="false">M30-N30-O30-P30-Q30-R30-S30-T30-U30+V30+W30-AT30+AR30</f>
        <v>221.451322402168</v>
      </c>
      <c r="Y30" s="135" t="n">
        <f aca="false">X30-AO30</f>
        <v>216.451322402168</v>
      </c>
      <c r="Z30" s="107"/>
      <c r="AA30" s="135"/>
      <c r="AB30" s="107"/>
      <c r="AC30" s="107"/>
      <c r="AD30" s="207" t="n">
        <f aca="false">AD29+AP30</f>
        <v>2264.11907654218</v>
      </c>
      <c r="AE30" s="135" t="n">
        <v>133</v>
      </c>
      <c r="AF30" s="137" t="n">
        <v>1.7</v>
      </c>
      <c r="AG30" s="138" t="n">
        <v>1.3</v>
      </c>
      <c r="AH30" s="135" t="n">
        <v>40</v>
      </c>
      <c r="AI30" s="107" t="n">
        <f aca="false">AI29-AH30</f>
        <v>7485.25787748929</v>
      </c>
      <c r="AJ30" s="107"/>
      <c r="AK30" s="134" t="n">
        <f aca="false">N30+O30+P30+Q30+R30+S30+T30+U30+X30+AE30+AH30-AR30</f>
        <v>474.51</v>
      </c>
      <c r="AL30" s="135" t="n">
        <f aca="false">IF(L30&lt;0,L30*-1,0)</f>
        <v>0</v>
      </c>
      <c r="AM30" s="135" t="n">
        <f aca="false">AK30+AL30</f>
        <v>474.51</v>
      </c>
      <c r="AN30" s="212"/>
      <c r="AO30" s="207" t="n">
        <v>5</v>
      </c>
      <c r="AP30" s="97" t="n">
        <f aca="false">(I30-AO30)-Q30-R30-Y30-AF30</f>
        <v>-69.8333695</v>
      </c>
      <c r="AQ30" s="155" t="n">
        <f aca="false">37.06*(Z30*1.9835+AC30*1.9835)/E30</f>
        <v>0</v>
      </c>
      <c r="AR30" s="155"/>
      <c r="AS30" s="135" t="n">
        <v>18.17</v>
      </c>
      <c r="AT30" s="172" t="n">
        <v>1.49</v>
      </c>
      <c r="AV30" s="214" t="n">
        <v>0.35</v>
      </c>
      <c r="AW30" s="207" t="n">
        <v>73</v>
      </c>
      <c r="AX30" s="207" t="n">
        <v>42</v>
      </c>
      <c r="AY30" s="291"/>
      <c r="AZ30" s="242" t="n">
        <f aca="false">SUM(N30,P30:U30)</f>
        <v>6.55867759783193</v>
      </c>
    </row>
    <row r="31" customFormat="false" ht="12.95" hidden="false" customHeight="true" outlineLevel="0" collapsed="false">
      <c r="A31" s="179" t="n">
        <v>17</v>
      </c>
      <c r="B31" s="106" t="n">
        <v>6906.35</v>
      </c>
      <c r="C31" s="107" t="n">
        <v>307611</v>
      </c>
      <c r="D31" s="207" t="n">
        <f aca="false">C31-C30</f>
        <v>-273</v>
      </c>
      <c r="E31" s="107" t="n">
        <f aca="false">C31-151978</f>
        <v>155633</v>
      </c>
      <c r="F31" s="238" t="n">
        <f aca="false">D31/$D$2</f>
        <v>-137.63549281573</v>
      </c>
      <c r="G31" s="135" t="n">
        <v>204</v>
      </c>
      <c r="H31" s="239" t="n">
        <v>0</v>
      </c>
      <c r="I31" s="135" t="n">
        <f aca="false">G31+H31</f>
        <v>204</v>
      </c>
      <c r="J31" s="136" t="n">
        <f aca="false">IF(L31&gt;0,L31,0)</f>
        <v>66.1245071842702</v>
      </c>
      <c r="K31" s="135" t="n">
        <f aca="false">I31+J31</f>
        <v>270.12450718427</v>
      </c>
      <c r="L31" s="135" t="n">
        <f aca="false">F31-(I31-AK31)</f>
        <v>66.1245071842702</v>
      </c>
      <c r="M31" s="240" t="n">
        <v>131</v>
      </c>
      <c r="N31" s="155" t="n">
        <f aca="false">(1.8299*1.03)/2</f>
        <v>0.9423985</v>
      </c>
      <c r="O31" s="135" t="n">
        <f aca="false">(26+23)*1.05</f>
        <v>51.45</v>
      </c>
      <c r="P31" s="155" t="n">
        <v>0</v>
      </c>
      <c r="Q31" s="328" t="n">
        <f aca="false">1093300/325851/1.9835*1.02</f>
        <v>1.72539389456837</v>
      </c>
      <c r="R31" s="328" t="n">
        <f aca="false">((2661388)/325851/1.9835-T31)*1.04</f>
        <v>3.31082869950854</v>
      </c>
      <c r="S31" s="131" t="n">
        <v>0</v>
      </c>
      <c r="T31" s="131" t="n">
        <f aca="false">0.8983*1.04</f>
        <v>0.934232</v>
      </c>
      <c r="U31" s="346" t="n">
        <v>0</v>
      </c>
      <c r="V31" s="135" t="n">
        <v>102</v>
      </c>
      <c r="W31" s="135" t="n">
        <v>62</v>
      </c>
      <c r="X31" s="135" t="n">
        <f aca="false">M31-N31-O31-P31-Q31-R31-S31-T31-U31+V31+W31-AT31+AR31</f>
        <v>235.397146905923</v>
      </c>
      <c r="Y31" s="135" t="n">
        <f aca="false">X31-AO31</f>
        <v>230.397146905923</v>
      </c>
      <c r="Z31" s="107"/>
      <c r="AA31" s="135"/>
      <c r="AB31" s="107"/>
      <c r="AC31" s="107"/>
      <c r="AD31" s="207" t="n">
        <f aca="false">AD30+AP31</f>
        <v>2225.98570704218</v>
      </c>
      <c r="AE31" s="135" t="n">
        <v>74</v>
      </c>
      <c r="AF31" s="137" t="n">
        <v>1.7</v>
      </c>
      <c r="AG31" s="138" t="n">
        <v>1.3</v>
      </c>
      <c r="AH31" s="135" t="n">
        <v>40</v>
      </c>
      <c r="AI31" s="107" t="n">
        <f aca="false">AI30-AH31</f>
        <v>7445.25787748929</v>
      </c>
      <c r="AJ31" s="107"/>
      <c r="AK31" s="134" t="n">
        <f aca="false">N31+O31+P31+Q31+R31+S31+T31+U31+X31+AE31+AH31-AR31</f>
        <v>407.76</v>
      </c>
      <c r="AL31" s="135" t="n">
        <f aca="false">IF(L31&lt;0,L31*-1,0)</f>
        <v>0</v>
      </c>
      <c r="AM31" s="135" t="n">
        <f aca="false">AK31+AL31</f>
        <v>407.76</v>
      </c>
      <c r="AN31" s="212"/>
      <c r="AO31" s="207" t="n">
        <v>5</v>
      </c>
      <c r="AP31" s="97" t="n">
        <f aca="false">(I31-AO31)-Q31-R31-Y31-AF31</f>
        <v>-38.1333695</v>
      </c>
      <c r="AQ31" s="155" t="n">
        <f aca="false">37.06*(Z31*1.9835+AC31*1.9835)/E31</f>
        <v>0</v>
      </c>
      <c r="AR31" s="155"/>
      <c r="AS31" s="135" t="n">
        <v>18.17</v>
      </c>
      <c r="AT31" s="172" t="n">
        <v>1.24</v>
      </c>
      <c r="AV31" s="214" t="n">
        <v>0.22</v>
      </c>
      <c r="AW31" s="207" t="n">
        <v>68</v>
      </c>
      <c r="AX31" s="207" t="n">
        <v>46</v>
      </c>
      <c r="AY31" s="291"/>
      <c r="AZ31" s="242" t="n">
        <f aca="false">SUM(N31,P31:U31)</f>
        <v>6.9128530940769</v>
      </c>
    </row>
    <row r="32" customFormat="false" ht="12.95" hidden="false" customHeight="true" outlineLevel="0" collapsed="false">
      <c r="A32" s="179" t="n">
        <v>18</v>
      </c>
      <c r="B32" s="106" t="n">
        <v>6906.31</v>
      </c>
      <c r="C32" s="107" t="n">
        <v>307456</v>
      </c>
      <c r="D32" s="207" t="n">
        <f aca="false">C32-C31</f>
        <v>-155</v>
      </c>
      <c r="E32" s="107" t="n">
        <f aca="false">C32-151978</f>
        <v>155478</v>
      </c>
      <c r="F32" s="238" t="n">
        <f aca="false">D32/$D$2</f>
        <v>-78.1446937232165</v>
      </c>
      <c r="G32" s="135" t="n">
        <v>263</v>
      </c>
      <c r="H32" s="239" t="n">
        <v>0</v>
      </c>
      <c r="I32" s="135" t="n">
        <f aca="false">G32+H32</f>
        <v>263</v>
      </c>
      <c r="J32" s="136" t="n">
        <f aca="false">IF(L32&gt;0,L32,0)</f>
        <v>0</v>
      </c>
      <c r="K32" s="135" t="n">
        <f aca="false">I32+J32</f>
        <v>263</v>
      </c>
      <c r="L32" s="135" t="n">
        <f aca="false">F32-(I32-AK32)</f>
        <v>-15.3046937232165</v>
      </c>
      <c r="M32" s="240" t="n">
        <v>107</v>
      </c>
      <c r="N32" s="155" t="n">
        <f aca="false">(1.8299*1.03)/2</f>
        <v>0.9423985</v>
      </c>
      <c r="O32" s="135" t="n">
        <f aca="false">(27+25)*1.05</f>
        <v>54.6</v>
      </c>
      <c r="P32" s="155" t="n">
        <v>0</v>
      </c>
      <c r="Q32" s="328" t="n">
        <f aca="false">1204000/325851/1.9835*1.02</f>
        <v>1.90009535265738</v>
      </c>
      <c r="R32" s="328" t="n">
        <f aca="false">((2290102)/325851/1.9835-T32)*1.04</f>
        <v>2.71339371544315</v>
      </c>
      <c r="S32" s="131" t="n">
        <v>0</v>
      </c>
      <c r="T32" s="131" t="n">
        <f aca="false">0.8983*1.04</f>
        <v>0.934232</v>
      </c>
      <c r="U32" s="346" t="n">
        <v>0</v>
      </c>
      <c r="V32" s="135" t="n">
        <v>85</v>
      </c>
      <c r="W32" s="135" t="n">
        <v>62</v>
      </c>
      <c r="X32" s="135" t="n">
        <f aca="false">M32-N32-O32-P32-Q32-R32-S32-T32-U32+V32+W32-AT32+AR32</f>
        <v>191.749880431899</v>
      </c>
      <c r="Y32" s="135" t="n">
        <f aca="false">X32-AO32</f>
        <v>186.749880431899</v>
      </c>
      <c r="Z32" s="107"/>
      <c r="AA32" s="135"/>
      <c r="AB32" s="107"/>
      <c r="AC32" s="107"/>
      <c r="AD32" s="207" t="n">
        <f aca="false">AD31</f>
        <v>2225.98570704218</v>
      </c>
      <c r="AE32" s="135" t="n">
        <v>33</v>
      </c>
      <c r="AF32" s="137" t="n">
        <v>1.7</v>
      </c>
      <c r="AG32" s="138" t="n">
        <v>1.3</v>
      </c>
      <c r="AH32" s="135" t="n">
        <v>40</v>
      </c>
      <c r="AI32" s="107" t="n">
        <f aca="false">AI31-AH32</f>
        <v>7405.25787748929</v>
      </c>
      <c r="AJ32" s="107"/>
      <c r="AK32" s="134" t="n">
        <f aca="false">N32+O32+P32+Q32+R32+S32+T32+U32+X32+AE32+AH32-AR32</f>
        <v>325.84</v>
      </c>
      <c r="AL32" s="135" t="n">
        <f aca="false">IF(L32&lt;0,L32*-1,0)</f>
        <v>15.3046937232165</v>
      </c>
      <c r="AM32" s="135" t="n">
        <f aca="false">AK32+AL32</f>
        <v>341.144693723216</v>
      </c>
      <c r="AN32" s="212"/>
      <c r="AO32" s="207" t="n">
        <v>5</v>
      </c>
      <c r="AP32" s="97" t="n">
        <f aca="false">(I32-AO32)-Q32-R32-Y32-AF32</f>
        <v>64.9366305</v>
      </c>
      <c r="AQ32" s="155" t="n">
        <f aca="false">37.06*(Z32*1.9835+AC32*1.9835)/E32</f>
        <v>0</v>
      </c>
      <c r="AR32" s="155"/>
      <c r="AS32" s="135" t="n">
        <v>18.17</v>
      </c>
      <c r="AT32" s="172" t="n">
        <v>1.16</v>
      </c>
      <c r="AV32" s="214" t="n">
        <v>0</v>
      </c>
      <c r="AW32" s="207" t="n">
        <v>74</v>
      </c>
      <c r="AX32" s="207" t="n">
        <v>44</v>
      </c>
      <c r="AY32" s="291"/>
      <c r="AZ32" s="242" t="n">
        <f aca="false">SUM(N32,P32:U32)</f>
        <v>6.49011956810053</v>
      </c>
    </row>
    <row r="33" customFormat="false" ht="12.95" hidden="false" customHeight="true" outlineLevel="0" collapsed="false">
      <c r="A33" s="179" t="n">
        <v>19</v>
      </c>
      <c r="B33" s="106" t="n">
        <v>6906.2</v>
      </c>
      <c r="C33" s="107" t="n">
        <v>307028</v>
      </c>
      <c r="D33" s="207" t="n">
        <f aca="false">C33-C32</f>
        <v>-428</v>
      </c>
      <c r="E33" s="107" t="n">
        <f aca="false">C33-151978</f>
        <v>155050</v>
      </c>
      <c r="F33" s="238" t="n">
        <f aca="false">D33/$D$2</f>
        <v>-215.780186538946</v>
      </c>
      <c r="G33" s="135" t="n">
        <v>191</v>
      </c>
      <c r="H33" s="239" t="n">
        <v>0</v>
      </c>
      <c r="I33" s="135" t="n">
        <f aca="false">G33+H33</f>
        <v>191</v>
      </c>
      <c r="J33" s="136" t="n">
        <f aca="false">IF(L33&gt;0,L33,0)</f>
        <v>0</v>
      </c>
      <c r="K33" s="135" t="n">
        <f aca="false">I33+J33</f>
        <v>191</v>
      </c>
      <c r="L33" s="135" t="n">
        <f aca="false">F33-(I33-AK33)</f>
        <v>-26.8701865389463</v>
      </c>
      <c r="M33" s="240" t="n">
        <v>117</v>
      </c>
      <c r="N33" s="155" t="n">
        <f aca="false">(1.8299*1.03)/2</f>
        <v>0.9423985</v>
      </c>
      <c r="O33" s="135" t="n">
        <f aca="false">(26+24)*1.05</f>
        <v>52.5</v>
      </c>
      <c r="P33" s="155" t="n">
        <v>0</v>
      </c>
      <c r="Q33" s="328" t="n">
        <f aca="false">1102500/325851/1.9835*1.02</f>
        <v>1.73991289560196</v>
      </c>
      <c r="R33" s="328" t="n">
        <f aca="false">((2419874)/325851/1.9835-T33)*1.04</f>
        <v>2.92220937978852</v>
      </c>
      <c r="S33" s="131" t="n">
        <v>0</v>
      </c>
      <c r="T33" s="131" t="n">
        <f aca="false">0.8983*1.04</f>
        <v>0.934232</v>
      </c>
      <c r="U33" s="346" t="n">
        <v>0</v>
      </c>
      <c r="V33" s="135" t="n">
        <v>91</v>
      </c>
      <c r="W33" s="135" t="n">
        <v>62</v>
      </c>
      <c r="X33" s="135" t="n">
        <f aca="false">M33-N33-O33-P33-Q33-R33-S33-T33-U33+V33+W33-AT33+AR33</f>
        <v>209.87124722461</v>
      </c>
      <c r="Y33" s="135" t="n">
        <f aca="false">X33-AO33</f>
        <v>204.87124722461</v>
      </c>
      <c r="Z33" s="107"/>
      <c r="AA33" s="135"/>
      <c r="AB33" s="107"/>
      <c r="AC33" s="107"/>
      <c r="AD33" s="207" t="n">
        <f aca="false">AD32+AP33</f>
        <v>2200.75233754218</v>
      </c>
      <c r="AE33" s="135" t="n">
        <v>71</v>
      </c>
      <c r="AF33" s="137" t="n">
        <v>1.7</v>
      </c>
      <c r="AG33" s="138" t="n">
        <v>1.3</v>
      </c>
      <c r="AH33" s="135" t="n">
        <v>40</v>
      </c>
      <c r="AI33" s="107" t="n">
        <f aca="false">AI32-AH33</f>
        <v>7365.25787748929</v>
      </c>
      <c r="AJ33" s="107"/>
      <c r="AK33" s="134" t="n">
        <f aca="false">N33+O33+P33+Q33+R33+S33+T33+U33+X33+AE33+AH33-AR33</f>
        <v>379.91</v>
      </c>
      <c r="AL33" s="135" t="n">
        <f aca="false">IF(L33&lt;0,L33*-1,0)</f>
        <v>26.8701865389463</v>
      </c>
      <c r="AM33" s="135" t="n">
        <f aca="false">AK33+AL33</f>
        <v>406.780186538946</v>
      </c>
      <c r="AN33" s="212"/>
      <c r="AO33" s="207" t="n">
        <v>5</v>
      </c>
      <c r="AP33" s="97" t="n">
        <f aca="false">(I33-AO33)-Q33-R33-Y33-AF33</f>
        <v>-25.2333695</v>
      </c>
      <c r="AQ33" s="155" t="n">
        <f aca="false">37.06*(Z33*1.9835+AC33*1.9835)/E33</f>
        <v>0</v>
      </c>
      <c r="AR33" s="155"/>
      <c r="AS33" s="135" t="n">
        <v>18.05</v>
      </c>
      <c r="AT33" s="172" t="n">
        <v>1.09</v>
      </c>
      <c r="AV33" s="214" t="n">
        <v>0</v>
      </c>
      <c r="AW33" s="207" t="n">
        <v>78</v>
      </c>
      <c r="AX33" s="207" t="n">
        <v>43</v>
      </c>
      <c r="AY33" s="291"/>
      <c r="AZ33" s="242" t="n">
        <f aca="false">SUM(N33,P33:U33)</f>
        <v>6.53875277539048</v>
      </c>
    </row>
    <row r="34" customFormat="false" ht="12.95" hidden="false" customHeight="true" outlineLevel="0" collapsed="false">
      <c r="A34" s="179" t="n">
        <v>20</v>
      </c>
      <c r="B34" s="106" t="n">
        <v>6906.07</v>
      </c>
      <c r="C34" s="107" t="n">
        <v>306523</v>
      </c>
      <c r="D34" s="207" t="n">
        <f aca="false">C34-C33</f>
        <v>-505</v>
      </c>
      <c r="E34" s="107" t="n">
        <f aca="false">C34-151978</f>
        <v>154545</v>
      </c>
      <c r="F34" s="238" t="n">
        <f aca="false">D34/$D$2</f>
        <v>-254.600453743383</v>
      </c>
      <c r="G34" s="135" t="n">
        <v>148</v>
      </c>
      <c r="H34" s="239" t="n">
        <v>0</v>
      </c>
      <c r="I34" s="135" t="n">
        <f aca="false">G34+H34</f>
        <v>148</v>
      </c>
      <c r="J34" s="136" t="n">
        <f aca="false">IF(L34&gt;0,L34,0)</f>
        <v>0</v>
      </c>
      <c r="K34" s="135" t="n">
        <f aca="false">I34+J34</f>
        <v>148</v>
      </c>
      <c r="L34" s="135" t="n">
        <f aca="false">F34-(I34-AK34)</f>
        <v>-16.7504537433829</v>
      </c>
      <c r="M34" s="240" t="n">
        <v>116</v>
      </c>
      <c r="N34" s="155" t="n">
        <f aca="false">(1.8299*1.03)/2</f>
        <v>0.9423985</v>
      </c>
      <c r="O34" s="135" t="n">
        <f aca="false">(32+30)*1.05</f>
        <v>65.1</v>
      </c>
      <c r="P34" s="155" t="n">
        <v>0</v>
      </c>
      <c r="Q34" s="328" t="n">
        <f aca="false">1384900/325851/1.9835*1.02</f>
        <v>2.18558310124186</v>
      </c>
      <c r="R34" s="328" t="n">
        <f aca="false">((2427768)/325851/1.9835-T34)*1.04</f>
        <v>2.93491158715484</v>
      </c>
      <c r="S34" s="131" t="n">
        <v>0</v>
      </c>
      <c r="T34" s="131" t="n">
        <f aca="false">0.8983*1.04</f>
        <v>0.934232</v>
      </c>
      <c r="U34" s="346" t="n">
        <v>0</v>
      </c>
      <c r="V34" s="135" t="n">
        <v>92</v>
      </c>
      <c r="W34" s="135" t="n">
        <v>62</v>
      </c>
      <c r="X34" s="135" t="n">
        <f aca="false">M34-N34-O34-P34-Q34-R34-S34-T34-U34+V34+W34-AT34+AR34</f>
        <v>196.752874811603</v>
      </c>
      <c r="Y34" s="135" t="n">
        <f aca="false">X34-AO34</f>
        <v>191.752874811603</v>
      </c>
      <c r="Z34" s="107"/>
      <c r="AA34" s="135"/>
      <c r="AB34" s="107"/>
      <c r="AC34" s="107"/>
      <c r="AD34" s="207" t="n">
        <f aca="false">AD33+AP34</f>
        <v>2145.17896804218</v>
      </c>
      <c r="AE34" s="135" t="n">
        <v>77</v>
      </c>
      <c r="AF34" s="137" t="n">
        <v>1.7</v>
      </c>
      <c r="AG34" s="138" t="n">
        <v>1.3</v>
      </c>
      <c r="AH34" s="135" t="n">
        <v>40</v>
      </c>
      <c r="AI34" s="107" t="n">
        <f aca="false">AI33-AH34</f>
        <v>7325.25787748929</v>
      </c>
      <c r="AJ34" s="107"/>
      <c r="AK34" s="134" t="n">
        <f aca="false">N34+O34+P34+Q34+R34+S34+T34+U34+X34+AE34+AH34-AR34</f>
        <v>385.85</v>
      </c>
      <c r="AL34" s="135" t="n">
        <f aca="false">IF(L34&lt;0,L34*-1,0)</f>
        <v>16.7504537433829</v>
      </c>
      <c r="AM34" s="135" t="n">
        <f aca="false">AK34+AL34</f>
        <v>402.600453743383</v>
      </c>
      <c r="AN34" s="212"/>
      <c r="AO34" s="207" t="n">
        <v>5</v>
      </c>
      <c r="AP34" s="97" t="n">
        <f aca="false">(I34-AO34)-Q34-R34-Y34-AF34</f>
        <v>-55.5733695</v>
      </c>
      <c r="AQ34" s="155" t="n">
        <f aca="false">37.06*(Z34*1.9835+AC34*1.9835)/E34</f>
        <v>0</v>
      </c>
      <c r="AR34" s="155"/>
      <c r="AS34" s="135"/>
      <c r="AT34" s="172" t="n">
        <v>1.15</v>
      </c>
      <c r="AV34" s="214" t="n">
        <v>0</v>
      </c>
      <c r="AW34" s="207" t="n">
        <v>81</v>
      </c>
      <c r="AX34" s="207" t="n">
        <v>48</v>
      </c>
      <c r="AY34" s="291"/>
      <c r="AZ34" s="242" t="n">
        <f aca="false">SUM(N34,P34:U34)</f>
        <v>6.9971251883967</v>
      </c>
    </row>
    <row r="35" customFormat="false" ht="12.95" hidden="false" customHeight="true" outlineLevel="0" collapsed="false">
      <c r="A35" s="179" t="n">
        <v>21</v>
      </c>
      <c r="B35" s="106" t="n">
        <v>6905.93</v>
      </c>
      <c r="C35" s="107" t="n">
        <v>305981</v>
      </c>
      <c r="D35" s="207" t="n">
        <f aca="false">C35-C34</f>
        <v>-542</v>
      </c>
      <c r="E35" s="107" t="n">
        <f aca="false">C35-151978</f>
        <v>154003</v>
      </c>
      <c r="F35" s="238" t="n">
        <f aca="false">D35/$D$2</f>
        <v>-273.254348374086</v>
      </c>
      <c r="G35" s="135" t="n">
        <v>119</v>
      </c>
      <c r="H35" s="239" t="n">
        <v>0</v>
      </c>
      <c r="I35" s="135" t="n">
        <f aca="false">G35+H35</f>
        <v>119</v>
      </c>
      <c r="J35" s="136" t="n">
        <f aca="false">IF(L35&gt;0,L35,0)</f>
        <v>0</v>
      </c>
      <c r="K35" s="135" t="n">
        <f aca="false">I35+J35</f>
        <v>119</v>
      </c>
      <c r="L35" s="135" t="n">
        <f aca="false">F35-(I35-AK35)</f>
        <v>-14.3943483740862</v>
      </c>
      <c r="M35" s="240" t="n">
        <v>106</v>
      </c>
      <c r="N35" s="155" t="n">
        <f aca="false">(1.8299*1.03)/2</f>
        <v>0.9423985</v>
      </c>
      <c r="O35" s="135" t="n">
        <f aca="false">(27+25)*1.05</f>
        <v>54.6</v>
      </c>
      <c r="P35" s="155" t="n">
        <v>0</v>
      </c>
      <c r="Q35" s="328" t="n">
        <f aca="false">1068300/325851/1.9835*1.02</f>
        <v>1.68594008741186</v>
      </c>
      <c r="R35" s="328" t="n">
        <f aca="false">((2713929)/325851/1.9835-T35)*1.04</f>
        <v>3.39537223602157</v>
      </c>
      <c r="S35" s="131" t="n">
        <v>0</v>
      </c>
      <c r="T35" s="131" t="n">
        <f aca="false">0.8983*1.04</f>
        <v>0.934232</v>
      </c>
      <c r="U35" s="346" t="n">
        <v>0</v>
      </c>
      <c r="V35" s="135" t="n">
        <v>83</v>
      </c>
      <c r="W35" s="135" t="n">
        <v>63</v>
      </c>
      <c r="X35" s="135" t="n">
        <f aca="false">M35-N35-O35-P35-Q35-R35-S35-T35-U35+V35+W35-AT35+AR35</f>
        <v>189.302057176567</v>
      </c>
      <c r="Y35" s="135" t="n">
        <f aca="false">X35-AO35</f>
        <v>184.302057176567</v>
      </c>
      <c r="Z35" s="107"/>
      <c r="AA35" s="135"/>
      <c r="AB35" s="107"/>
      <c r="AC35" s="107"/>
      <c r="AD35" s="207" t="n">
        <f aca="false">AD34+AP35</f>
        <v>2068.09559854218</v>
      </c>
      <c r="AE35" s="135" t="n">
        <v>87</v>
      </c>
      <c r="AF35" s="137" t="n">
        <v>1.7</v>
      </c>
      <c r="AG35" s="138" t="n">
        <v>1.3</v>
      </c>
      <c r="AH35" s="135" t="n">
        <v>40</v>
      </c>
      <c r="AI35" s="107" t="n">
        <f aca="false">AI34-AH35</f>
        <v>7285.25787748929</v>
      </c>
      <c r="AJ35" s="107"/>
      <c r="AK35" s="134" t="n">
        <f aca="false">N35+O35+P35+Q35+R35+S35+T35+U35+X35+AE35+AH35-AR35</f>
        <v>377.86</v>
      </c>
      <c r="AL35" s="135" t="n">
        <f aca="false">IF(L35&lt;0,L35*-1,0)</f>
        <v>14.3943483740862</v>
      </c>
      <c r="AM35" s="135" t="n">
        <f aca="false">AK35+AL35</f>
        <v>392.254348374086</v>
      </c>
      <c r="AN35" s="212"/>
      <c r="AO35" s="207" t="n">
        <v>5</v>
      </c>
      <c r="AP35" s="97" t="n">
        <f aca="false">(I35-AO35)-Q35-R35-Y35-AF35</f>
        <v>-77.0833695</v>
      </c>
      <c r="AQ35" s="155" t="n">
        <f aca="false">37.06*(Z35*1.9835+AC35*1.9835)/E35</f>
        <v>0</v>
      </c>
      <c r="AR35" s="155"/>
      <c r="AS35" s="135"/>
      <c r="AT35" s="172" t="n">
        <v>1.14</v>
      </c>
      <c r="AV35" s="214" t="n">
        <v>0</v>
      </c>
      <c r="AW35" s="207" t="n">
        <v>79</v>
      </c>
      <c r="AX35" s="207" t="n">
        <v>47</v>
      </c>
      <c r="AY35" s="291"/>
      <c r="AZ35" s="242" t="n">
        <f aca="false">SUM(N35,P35:U35)</f>
        <v>6.95794282343343</v>
      </c>
    </row>
    <row r="36" customFormat="false" ht="12.95" hidden="false" customHeight="true" outlineLevel="0" collapsed="false">
      <c r="A36" s="179" t="n">
        <v>22</v>
      </c>
      <c r="B36" s="106" t="n">
        <v>6905.8</v>
      </c>
      <c r="C36" s="107" t="n">
        <v>305480</v>
      </c>
      <c r="D36" s="207" t="n">
        <f aca="false">C36-C35</f>
        <v>-501</v>
      </c>
      <c r="E36" s="107" t="n">
        <f aca="false">C36-151978</f>
        <v>153502</v>
      </c>
      <c r="F36" s="238" t="n">
        <f aca="false">D36/$D$2</f>
        <v>-252.58381648601</v>
      </c>
      <c r="G36" s="135" t="n">
        <v>103</v>
      </c>
      <c r="H36" s="239" t="n">
        <v>0</v>
      </c>
      <c r="I36" s="135" t="n">
        <f aca="false">G36+H36</f>
        <v>103</v>
      </c>
      <c r="J36" s="136" t="n">
        <f aca="false">IF(L36&gt;0,L36,0)</f>
        <v>13.2661835139905</v>
      </c>
      <c r="K36" s="135" t="n">
        <f aca="false">I36+J36</f>
        <v>116.26618351399</v>
      </c>
      <c r="L36" s="135" t="n">
        <f aca="false">F36-(I36-AK36)</f>
        <v>13.2661835139905</v>
      </c>
      <c r="M36" s="240" t="n">
        <v>97</v>
      </c>
      <c r="N36" s="155" t="n">
        <f aca="false">(1.8299*1.03)/2</f>
        <v>0.9423985</v>
      </c>
      <c r="O36" s="135" t="n">
        <f aca="false">(26+24)*1.05</f>
        <v>52.5</v>
      </c>
      <c r="P36" s="155" t="n">
        <v>0</v>
      </c>
      <c r="Q36" s="328" t="n">
        <f aca="false">1165800/325851/1.9835*1.02</f>
        <v>1.83980993532224</v>
      </c>
      <c r="R36" s="328" t="n">
        <f aca="false">((2970000)/325851/1.9835-T36)*1.04</f>
        <v>3.80741517274584</v>
      </c>
      <c r="S36" s="131" t="n">
        <v>0</v>
      </c>
      <c r="T36" s="131" t="n">
        <f aca="false">0.8983*1.04</f>
        <v>0.934232</v>
      </c>
      <c r="U36" s="346" t="n">
        <v>0</v>
      </c>
      <c r="V36" s="135" t="n">
        <v>88</v>
      </c>
      <c r="W36" s="135" t="n">
        <v>63</v>
      </c>
      <c r="X36" s="135" t="n">
        <f aca="false">M36-N36-O36-P36-Q36-R36-S36-T36-U36+V36+W36-AT36+AR36</f>
        <v>186.826144391932</v>
      </c>
      <c r="Y36" s="135" t="n">
        <f aca="false">X36-AO36</f>
        <v>181.826144391932</v>
      </c>
      <c r="Z36" s="107"/>
      <c r="AA36" s="135"/>
      <c r="AB36" s="107"/>
      <c r="AC36" s="107"/>
      <c r="AD36" s="207" t="n">
        <f aca="false">AD35+AP36</f>
        <v>1976.92222904218</v>
      </c>
      <c r="AE36" s="135" t="n">
        <v>82</v>
      </c>
      <c r="AF36" s="137" t="n">
        <v>1.7</v>
      </c>
      <c r="AG36" s="138" t="n">
        <v>1.3</v>
      </c>
      <c r="AH36" s="135" t="n">
        <v>40</v>
      </c>
      <c r="AI36" s="107" t="n">
        <f aca="false">AI35-AH36</f>
        <v>7245.25787748929</v>
      </c>
      <c r="AJ36" s="107"/>
      <c r="AK36" s="134" t="n">
        <f aca="false">N36+O36+P36+Q36+R36+S36+T36+U36+X36+AE36+AH36-AR36</f>
        <v>368.85</v>
      </c>
      <c r="AL36" s="135" t="n">
        <f aca="false">IF(L36&lt;0,L36*-1,0)</f>
        <v>0</v>
      </c>
      <c r="AM36" s="135" t="n">
        <f aca="false">AK36+AL36</f>
        <v>368.85</v>
      </c>
      <c r="AN36" s="212"/>
      <c r="AO36" s="207" t="n">
        <v>5</v>
      </c>
      <c r="AP36" s="97" t="n">
        <f aca="false">(I36-AO36)-Q36-R36-Y36-AF36</f>
        <v>-91.1733695</v>
      </c>
      <c r="AQ36" s="155" t="n">
        <f aca="false">37.06*(Z36*1.9835+AC36*1.9835)/E36</f>
        <v>0</v>
      </c>
      <c r="AR36" s="155"/>
      <c r="AS36" s="135"/>
      <c r="AT36" s="172" t="n">
        <v>1.15</v>
      </c>
      <c r="AV36" s="214" t="n">
        <v>0</v>
      </c>
      <c r="AW36" s="207" t="n">
        <v>80</v>
      </c>
      <c r="AX36" s="207" t="n">
        <v>48</v>
      </c>
      <c r="AY36" s="291"/>
      <c r="AZ36" s="242" t="n">
        <f aca="false">SUM(N36,P36:U36)</f>
        <v>7.52385560806808</v>
      </c>
    </row>
    <row r="37" customFormat="false" ht="12.95" hidden="false" customHeight="true" outlineLevel="0" collapsed="false">
      <c r="A37" s="179" t="n">
        <v>23</v>
      </c>
      <c r="B37" s="106" t="n">
        <v>6905.64</v>
      </c>
      <c r="C37" s="107" t="n">
        <v>304863</v>
      </c>
      <c r="D37" s="207" t="n">
        <f aca="false">C37-C36</f>
        <v>-617</v>
      </c>
      <c r="E37" s="107" t="n">
        <f aca="false">C37-151978</f>
        <v>152885</v>
      </c>
      <c r="F37" s="238" t="n">
        <f aca="false">D37/$D$2</f>
        <v>-311.066296949836</v>
      </c>
      <c r="G37" s="135" t="n">
        <v>94</v>
      </c>
      <c r="H37" s="239" t="n">
        <v>0</v>
      </c>
      <c r="I37" s="135" t="n">
        <f aca="false">G37+H37</f>
        <v>94</v>
      </c>
      <c r="J37" s="136" t="n">
        <f aca="false">IF(L37&gt;0,L37,0)</f>
        <v>31.8137030501638</v>
      </c>
      <c r="K37" s="135" t="n">
        <f aca="false">I37+J37</f>
        <v>125.813703050164</v>
      </c>
      <c r="L37" s="135" t="n">
        <f aca="false">F37-(I37-AK37)</f>
        <v>31.8137030501638</v>
      </c>
      <c r="M37" s="240" t="n">
        <v>145</v>
      </c>
      <c r="N37" s="155" t="n">
        <f aca="false">(1.8299*1.03)/2</f>
        <v>0.9423985</v>
      </c>
      <c r="O37" s="135" t="n">
        <f aca="false">(28+25)*1.05</f>
        <v>55.65</v>
      </c>
      <c r="P37" s="155" t="n">
        <v>0</v>
      </c>
      <c r="Q37" s="328" t="n">
        <f aca="false">1211300/325851/1.9835*1.02</f>
        <v>1.91161586434708</v>
      </c>
      <c r="R37" s="328" t="n">
        <f aca="false">((3166642)/325851/1.9835-T37)*1.04</f>
        <v>4.05547399661818</v>
      </c>
      <c r="S37" s="131" t="n">
        <v>0</v>
      </c>
      <c r="T37" s="131" t="n">
        <f aca="false">0.9615*1.04</f>
        <v>0.99996</v>
      </c>
      <c r="U37" s="346" t="n">
        <v>0</v>
      </c>
      <c r="V37" s="135" t="n">
        <v>96</v>
      </c>
      <c r="W37" s="135" t="n">
        <v>63</v>
      </c>
      <c r="X37" s="135" t="n">
        <f aca="false">M37-N37-O37-P37-Q37-R37-S37-T37-U37+V37+W37-AT37+AR37</f>
        <v>239.320551639035</v>
      </c>
      <c r="Y37" s="135" t="n">
        <f aca="false">X37-AO37</f>
        <v>234.320551639035</v>
      </c>
      <c r="Z37" s="107"/>
      <c r="AA37" s="135"/>
      <c r="AB37" s="107"/>
      <c r="AC37" s="107"/>
      <c r="AD37" s="207" t="n">
        <f aca="false">AD36+AP37</f>
        <v>1823.93458754218</v>
      </c>
      <c r="AE37" s="135" t="n">
        <v>94</v>
      </c>
      <c r="AF37" s="137" t="n">
        <v>1.7</v>
      </c>
      <c r="AG37" s="138" t="n">
        <v>1.3</v>
      </c>
      <c r="AH37" s="135" t="n">
        <v>40</v>
      </c>
      <c r="AI37" s="107" t="n">
        <f aca="false">AI36-AH37</f>
        <v>7205.25787748929</v>
      </c>
      <c r="AJ37" s="107"/>
      <c r="AK37" s="134" t="n">
        <f aca="false">N37+O37+P37+Q37+R37+S37+T37+U37+X37+AE37+AH37-AR37</f>
        <v>436.88</v>
      </c>
      <c r="AL37" s="135" t="n">
        <f aca="false">IF(L37&lt;0,L37*-1,0)</f>
        <v>0</v>
      </c>
      <c r="AM37" s="135" t="n">
        <f aca="false">AK37+AL37</f>
        <v>436.88</v>
      </c>
      <c r="AN37" s="212"/>
      <c r="AO37" s="207" t="n">
        <v>5</v>
      </c>
      <c r="AP37" s="97" t="n">
        <f aca="false">(I37-AO37)-Q37-R37-Y37-AF37</f>
        <v>-152.9876415</v>
      </c>
      <c r="AQ37" s="155" t="n">
        <f aca="false">37.06*(Z37*1.9835+AC37*1.9835)/E37</f>
        <v>0</v>
      </c>
      <c r="AR37" s="155"/>
      <c r="AS37" s="135"/>
      <c r="AT37" s="172" t="n">
        <v>1.12</v>
      </c>
      <c r="AV37" s="214" t="n">
        <v>0</v>
      </c>
      <c r="AW37" s="207" t="n">
        <v>83</v>
      </c>
      <c r="AX37" s="207" t="n">
        <v>46</v>
      </c>
      <c r="AY37" s="291"/>
      <c r="AZ37" s="242" t="n">
        <f aca="false">SUM(N37,P37:U37)</f>
        <v>7.90944836096526</v>
      </c>
    </row>
    <row r="38" customFormat="false" ht="12.95" hidden="false" customHeight="true" outlineLevel="0" collapsed="false">
      <c r="A38" s="179" t="n">
        <v>24</v>
      </c>
      <c r="B38" s="106" t="n">
        <v>6905.48</v>
      </c>
      <c r="C38" s="107" t="n">
        <v>304246</v>
      </c>
      <c r="D38" s="207" t="n">
        <f aca="false">C38-C37</f>
        <v>-617</v>
      </c>
      <c r="E38" s="107" t="n">
        <f aca="false">C38-151978</f>
        <v>152268</v>
      </c>
      <c r="F38" s="238" t="n">
        <f aca="false">D38/$D$2</f>
        <v>-311.066296949836</v>
      </c>
      <c r="G38" s="135" t="n">
        <v>86</v>
      </c>
      <c r="H38" s="239" t="n">
        <v>0</v>
      </c>
      <c r="I38" s="135" t="n">
        <f aca="false">G38+H38</f>
        <v>86</v>
      </c>
      <c r="J38" s="136" t="n">
        <f aca="false">IF(L38&gt;0,L38,0)</f>
        <v>0</v>
      </c>
      <c r="K38" s="135" t="n">
        <f aca="false">I38+J38</f>
        <v>86</v>
      </c>
      <c r="L38" s="135" t="n">
        <f aca="false">F38-(I38-AK38)</f>
        <v>-13.2362969498361</v>
      </c>
      <c r="M38" s="240" t="n">
        <v>90</v>
      </c>
      <c r="N38" s="155" t="n">
        <f aca="false">(1.8299*1.03)/2</f>
        <v>0.9423985</v>
      </c>
      <c r="O38" s="135" t="n">
        <f aca="false">(18+15)*1.05</f>
        <v>34.65</v>
      </c>
      <c r="P38" s="155" t="n">
        <v>0</v>
      </c>
      <c r="Q38" s="328" t="n">
        <f aca="false">1392300/325851/1.9835*1.02</f>
        <v>2.19726142816019</v>
      </c>
      <c r="R38" s="328" t="n">
        <f aca="false">((2733598)/325851/1.9835-T38)*1.04</f>
        <v>3.35866443407176</v>
      </c>
      <c r="S38" s="131" t="n">
        <v>0</v>
      </c>
      <c r="T38" s="131" t="n">
        <f aca="false">0.9615*1.04</f>
        <v>0.99996</v>
      </c>
      <c r="U38" s="346" t="n">
        <v>0</v>
      </c>
      <c r="V38" s="135" t="n">
        <v>99</v>
      </c>
      <c r="W38" s="135" t="n">
        <v>63</v>
      </c>
      <c r="X38" s="135" t="n">
        <f aca="false">M38-N38-O38-P38-Q38-R38-S38-T38-U38+V38+W38-AT38+AR38</f>
        <v>208.681715637768</v>
      </c>
      <c r="Y38" s="135" t="n">
        <f aca="false">X38-AO38</f>
        <v>203.681715637768</v>
      </c>
      <c r="Z38" s="107"/>
      <c r="AA38" s="135"/>
      <c r="AB38" s="107"/>
      <c r="AC38" s="107"/>
      <c r="AD38" s="207" t="n">
        <f aca="false">AD37+AP38</f>
        <v>1693.99694604218</v>
      </c>
      <c r="AE38" s="135" t="n">
        <v>93</v>
      </c>
      <c r="AF38" s="137" t="n">
        <v>1.7</v>
      </c>
      <c r="AG38" s="138" t="n">
        <v>1.3</v>
      </c>
      <c r="AH38" s="135" t="n">
        <v>40</v>
      </c>
      <c r="AI38" s="107" t="n">
        <f aca="false">AI37-AH38</f>
        <v>7165.25787748929</v>
      </c>
      <c r="AJ38" s="107"/>
      <c r="AK38" s="134" t="n">
        <f aca="false">N38+O38+P38+Q38+R38+S38+T38+U38+X38+AE38+AH38-AR38</f>
        <v>383.83</v>
      </c>
      <c r="AL38" s="135" t="n">
        <f aca="false">IF(L38&lt;0,L38*-1,0)</f>
        <v>13.2362969498361</v>
      </c>
      <c r="AM38" s="135" t="n">
        <f aca="false">AK38+AL38</f>
        <v>397.066296949836</v>
      </c>
      <c r="AN38" s="212"/>
      <c r="AO38" s="207" t="n">
        <v>5</v>
      </c>
      <c r="AP38" s="97" t="n">
        <f aca="false">(I38-AO38)-Q38-R38-Y38-AF38</f>
        <v>-129.9376415</v>
      </c>
      <c r="AQ38" s="155" t="n">
        <f aca="false">37.06*(Z38*1.9835+AC38*1.9835)/E38</f>
        <v>0</v>
      </c>
      <c r="AR38" s="155"/>
      <c r="AS38" s="135"/>
      <c r="AT38" s="172" t="n">
        <v>1.17</v>
      </c>
      <c r="AU38" s="175" t="n">
        <v>33.8</v>
      </c>
      <c r="AV38" s="214" t="n">
        <v>0</v>
      </c>
      <c r="AW38" s="207" t="n">
        <v>81</v>
      </c>
      <c r="AX38" s="207" t="n">
        <v>47</v>
      </c>
      <c r="AY38" s="291"/>
      <c r="AZ38" s="242" t="n">
        <f aca="false">SUM(N38,P38:U38)</f>
        <v>7.49828436223195</v>
      </c>
    </row>
    <row r="39" customFormat="false" ht="12.95" hidden="false" customHeight="true" outlineLevel="0" collapsed="false">
      <c r="A39" s="179" t="n">
        <v>25</v>
      </c>
      <c r="B39" s="106" t="n">
        <v>6905.32</v>
      </c>
      <c r="C39" s="107" t="n">
        <v>303629</v>
      </c>
      <c r="D39" s="207" t="n">
        <f aca="false">C39-C38</f>
        <v>-617</v>
      </c>
      <c r="E39" s="107" t="n">
        <f aca="false">C39-151978</f>
        <v>151651</v>
      </c>
      <c r="F39" s="238" t="n">
        <f aca="false">D39/$D$2</f>
        <v>-311.066296949836</v>
      </c>
      <c r="G39" s="135" t="n">
        <v>81</v>
      </c>
      <c r="H39" s="239" t="n">
        <v>0</v>
      </c>
      <c r="I39" s="135" t="n">
        <f aca="false">G39+H39</f>
        <v>81</v>
      </c>
      <c r="J39" s="136" t="n">
        <f aca="false">IF(L39&gt;0,L39,0)</f>
        <v>0</v>
      </c>
      <c r="K39" s="135" t="n">
        <f aca="false">I39+J39</f>
        <v>81</v>
      </c>
      <c r="L39" s="135" t="n">
        <f aca="false">F39-(I39-AK39)</f>
        <v>-27.1562969498361</v>
      </c>
      <c r="M39" s="240" t="n">
        <v>96</v>
      </c>
      <c r="N39" s="155" t="n">
        <f aca="false">(1.8299*1.03)/2</f>
        <v>0.9423985</v>
      </c>
      <c r="O39" s="135" t="n">
        <f aca="false">(6.2+5.6)*1.05</f>
        <v>12.39</v>
      </c>
      <c r="P39" s="155" t="n">
        <v>0</v>
      </c>
      <c r="Q39" s="328" t="n">
        <f aca="false">1481000/325851/1.9835*1.02</f>
        <v>2.33724353595148</v>
      </c>
      <c r="R39" s="328" t="n">
        <f aca="false">((3180945)/325851/1.9835-T39)*1.04</f>
        <v>4.07848890312445</v>
      </c>
      <c r="S39" s="131" t="n">
        <v>0</v>
      </c>
      <c r="T39" s="131" t="n">
        <f aca="false">0.9615*1.04</f>
        <v>0.99996</v>
      </c>
      <c r="U39" s="346" t="n">
        <v>0</v>
      </c>
      <c r="V39" s="135" t="n">
        <v>99</v>
      </c>
      <c r="W39" s="135" t="n">
        <v>63</v>
      </c>
      <c r="X39" s="135" t="n">
        <f aca="false">M39-N39-O39-P39-Q39-R39-S39-T39-U39+V39+W39-AT39+AR39</f>
        <v>236.161909060924</v>
      </c>
      <c r="Y39" s="135" t="n">
        <f aca="false">X39-AO39</f>
        <v>231.161909060924</v>
      </c>
      <c r="Z39" s="107"/>
      <c r="AA39" s="135"/>
      <c r="AB39" s="107"/>
      <c r="AC39" s="107"/>
      <c r="AD39" s="207" t="n">
        <f aca="false">AD38+AP39</f>
        <v>1530.71930454218</v>
      </c>
      <c r="AE39" s="135" t="n">
        <v>68</v>
      </c>
      <c r="AF39" s="137" t="n">
        <v>1.7</v>
      </c>
      <c r="AG39" s="138" t="n">
        <v>1.3</v>
      </c>
      <c r="AH39" s="135" t="n">
        <v>40</v>
      </c>
      <c r="AI39" s="107" t="n">
        <f aca="false">AI38-AH39</f>
        <v>7125.25787748929</v>
      </c>
      <c r="AJ39" s="107"/>
      <c r="AK39" s="134" t="n">
        <f aca="false">N39+O39+P39+Q39+R39+S39+T39+U39+X39+AE39+AH39-AR39</f>
        <v>364.91</v>
      </c>
      <c r="AL39" s="135" t="n">
        <f aca="false">IF(L39&lt;0,L39*-1,0)</f>
        <v>27.1562969498361</v>
      </c>
      <c r="AM39" s="135" t="n">
        <f aca="false">AK39+AL39</f>
        <v>392.066296949836</v>
      </c>
      <c r="AN39" s="212"/>
      <c r="AO39" s="207" t="n">
        <v>5</v>
      </c>
      <c r="AP39" s="97" t="n">
        <f aca="false">(I39-AO39)-Q39-R39-Y39-AF39</f>
        <v>-163.2776415</v>
      </c>
      <c r="AQ39" s="155" t="n">
        <f aca="false">37.06*(Z39*1.9835+AC39*1.9835)/E39</f>
        <v>0</v>
      </c>
      <c r="AR39" s="155"/>
      <c r="AS39" s="135"/>
      <c r="AT39" s="172" t="n">
        <v>1.09</v>
      </c>
      <c r="AU39" s="175" t="n">
        <f aca="false">O39</f>
        <v>12.39</v>
      </c>
      <c r="AV39" s="214" t="n">
        <v>0</v>
      </c>
      <c r="AW39" s="207" t="n">
        <v>83</v>
      </c>
      <c r="AX39" s="207" t="n">
        <v>48</v>
      </c>
      <c r="AY39" s="291"/>
      <c r="AZ39" s="242" t="n">
        <f aca="false">SUM(N39,P39:U39)</f>
        <v>8.35809093907593</v>
      </c>
    </row>
    <row r="40" customFormat="false" ht="12.95" hidden="false" customHeight="true" outlineLevel="0" collapsed="false">
      <c r="A40" s="179" t="n">
        <v>26</v>
      </c>
      <c r="B40" s="106" t="n">
        <v>6905.14</v>
      </c>
      <c r="C40" s="107" t="n">
        <v>302935</v>
      </c>
      <c r="D40" s="207" t="n">
        <f aca="false">C40-C39</f>
        <v>-694</v>
      </c>
      <c r="E40" s="107" t="n">
        <f aca="false">C40-151978</f>
        <v>150957</v>
      </c>
      <c r="F40" s="238" t="n">
        <f aca="false">D40/$D$2</f>
        <v>-349.886564154273</v>
      </c>
      <c r="G40" s="135" t="n">
        <v>75</v>
      </c>
      <c r="H40" s="239" t="n">
        <v>0</v>
      </c>
      <c r="I40" s="135" t="n">
        <f aca="false">G40+H40</f>
        <v>75</v>
      </c>
      <c r="J40" s="136" t="n">
        <f aca="false">IF(L40&gt;0,L40,0)</f>
        <v>0</v>
      </c>
      <c r="K40" s="135" t="n">
        <f aca="false">I40+J40</f>
        <v>75</v>
      </c>
      <c r="L40" s="135" t="n">
        <f aca="false">F40-(I40-AK40)</f>
        <v>-1.97656415427269</v>
      </c>
      <c r="M40" s="240" t="n">
        <v>151</v>
      </c>
      <c r="N40" s="155" t="n">
        <f aca="false">(1.8299*1.03)/2</f>
        <v>0.9423985</v>
      </c>
      <c r="O40" s="135" t="n">
        <f aca="false">(16+17)*1.05</f>
        <v>34.65</v>
      </c>
      <c r="P40" s="155" t="n">
        <v>0</v>
      </c>
      <c r="Q40" s="328" t="n">
        <f aca="false">1373400/325851/1.9835*1.02</f>
        <v>2.16743434994987</v>
      </c>
      <c r="R40" s="328" t="n">
        <v>4.2</v>
      </c>
      <c r="S40" s="131" t="n">
        <f aca="false">((3526390/325851/1.9835-T40)*1.04)-4.2</f>
        <v>0.434343225858051</v>
      </c>
      <c r="T40" s="131" t="n">
        <f aca="false">0.9615*1.04</f>
        <v>0.99996</v>
      </c>
      <c r="U40" s="346" t="n">
        <v>0</v>
      </c>
      <c r="V40" s="135" t="n">
        <v>97</v>
      </c>
      <c r="W40" s="135" t="n">
        <v>63</v>
      </c>
      <c r="X40" s="135" t="n">
        <f aca="false">M40-N40-O40-P40-Q40-R40-S40-T40-U40+V40+W40-AT40+AR40</f>
        <v>266.515863924192</v>
      </c>
      <c r="Y40" s="135" t="n">
        <f aca="false">X40-AO40</f>
        <v>261.515863924192</v>
      </c>
      <c r="Z40" s="107"/>
      <c r="AA40" s="135"/>
      <c r="AB40" s="107"/>
      <c r="AC40" s="107"/>
      <c r="AD40" s="207" t="n">
        <f aca="false">AD39+AP40</f>
        <v>1331.13600626804</v>
      </c>
      <c r="AE40" s="135" t="n">
        <v>73</v>
      </c>
      <c r="AF40" s="137" t="n">
        <v>1.7</v>
      </c>
      <c r="AG40" s="138" t="n">
        <v>1.3</v>
      </c>
      <c r="AH40" s="135" t="n">
        <v>40</v>
      </c>
      <c r="AI40" s="107" t="n">
        <f aca="false">AI39-AH40</f>
        <v>7085.25787748929</v>
      </c>
      <c r="AJ40" s="107"/>
      <c r="AK40" s="134" t="n">
        <f aca="false">N40+O40+P40+Q40+R40+S40+T40+U40+X40+AE40+AH40-AR40</f>
        <v>422.91</v>
      </c>
      <c r="AL40" s="135" t="n">
        <f aca="false">IF(L40&lt;0,L40*-1,0)</f>
        <v>1.97656415427269</v>
      </c>
      <c r="AM40" s="135" t="n">
        <f aca="false">AK40+AL40</f>
        <v>424.886564154273</v>
      </c>
      <c r="AN40" s="212"/>
      <c r="AO40" s="207" t="n">
        <v>5</v>
      </c>
      <c r="AP40" s="97" t="n">
        <f aca="false">(I40-AO40)-Q40-R40-Y40-AF40</f>
        <v>-199.583298274142</v>
      </c>
      <c r="AQ40" s="155" t="n">
        <f aca="false">37.06*(Z40*1.9835+AC40*1.9835)/E40</f>
        <v>0</v>
      </c>
      <c r="AR40" s="155"/>
      <c r="AS40" s="135"/>
      <c r="AT40" s="172" t="n">
        <v>1.09</v>
      </c>
      <c r="AU40" s="175" t="n">
        <f aca="false">O40</f>
        <v>34.65</v>
      </c>
      <c r="AV40" s="214" t="n">
        <v>0</v>
      </c>
      <c r="AW40" s="207" t="n">
        <v>81</v>
      </c>
      <c r="AX40" s="207" t="n">
        <v>47</v>
      </c>
      <c r="AY40" s="291"/>
      <c r="AZ40" s="242" t="n">
        <f aca="false">SUM(N40,P40:U40)</f>
        <v>8.74413607580792</v>
      </c>
    </row>
    <row r="41" customFormat="false" ht="12.95" hidden="false" customHeight="true" outlineLevel="0" collapsed="false">
      <c r="A41" s="179" t="n">
        <v>27</v>
      </c>
      <c r="B41" s="106" t="n">
        <v>6904.95</v>
      </c>
      <c r="C41" s="107" t="n">
        <v>302204</v>
      </c>
      <c r="D41" s="207" t="n">
        <f aca="false">C41-C40</f>
        <v>-731</v>
      </c>
      <c r="E41" s="107" t="n">
        <f aca="false">C41-151978</f>
        <v>150226</v>
      </c>
      <c r="F41" s="238" t="n">
        <f aca="false">D41/$D$2</f>
        <v>-368.540458784976</v>
      </c>
      <c r="G41" s="135" t="n">
        <v>69</v>
      </c>
      <c r="H41" s="239" t="n">
        <v>0</v>
      </c>
      <c r="I41" s="135" t="n">
        <f aca="false">G41+H41</f>
        <v>69</v>
      </c>
      <c r="J41" s="136" t="n">
        <f aca="false">IF(L41&gt;0,L41,0)</f>
        <v>0</v>
      </c>
      <c r="K41" s="135" t="n">
        <f aca="false">I41+J41</f>
        <v>69</v>
      </c>
      <c r="L41" s="135" t="n">
        <f aca="false">F41-(I41-AK41)</f>
        <v>-3.5704587849761</v>
      </c>
      <c r="M41" s="240" t="n">
        <v>155</v>
      </c>
      <c r="N41" s="155" t="n">
        <f aca="false">(1.8299*1.03)/2</f>
        <v>0.9423985</v>
      </c>
      <c r="O41" s="135" t="n">
        <f aca="false">(39+38)*1.05</f>
        <v>80.85</v>
      </c>
      <c r="P41" s="155" t="n">
        <v>0</v>
      </c>
      <c r="Q41" s="328" t="n">
        <f aca="false">1281800/325851/1.9835*1.02</f>
        <v>2.02287560052843</v>
      </c>
      <c r="R41" s="328" t="n">
        <f aca="false">((3074551)/325851/1.9835-T41)*1.04</f>
        <v>3.90729069555764</v>
      </c>
      <c r="S41" s="131" t="n">
        <v>0</v>
      </c>
      <c r="T41" s="131" t="n">
        <f aca="false">0.9615*1.04</f>
        <v>0.99996</v>
      </c>
      <c r="U41" s="346" t="n">
        <v>0</v>
      </c>
      <c r="V41" s="135" t="n">
        <v>89</v>
      </c>
      <c r="W41" s="135" t="n">
        <v>64</v>
      </c>
      <c r="X41" s="135" t="n">
        <f aca="false">M41-N41-O41-P41-Q41-R41-S41-T41-U41+V41+W41-AT41+AR41</f>
        <v>218.247475203914</v>
      </c>
      <c r="Y41" s="135" t="n">
        <f aca="false">X41-AO41</f>
        <v>213.247475203914</v>
      </c>
      <c r="Z41" s="107"/>
      <c r="AA41" s="135"/>
      <c r="AB41" s="107"/>
      <c r="AC41" s="107"/>
      <c r="AD41" s="207" t="n">
        <f aca="false">AD40+AP41</f>
        <v>1174.25836476804</v>
      </c>
      <c r="AE41" s="135" t="n">
        <v>87</v>
      </c>
      <c r="AF41" s="137" t="n">
        <v>1.7</v>
      </c>
      <c r="AG41" s="138" t="n">
        <v>1.3</v>
      </c>
      <c r="AH41" s="135" t="n">
        <v>40</v>
      </c>
      <c r="AI41" s="107" t="n">
        <f aca="false">AI40-AH41</f>
        <v>7045.25787748929</v>
      </c>
      <c r="AJ41" s="107"/>
      <c r="AK41" s="134" t="n">
        <f aca="false">N41+O41+P41+Q41+R41+S41+T41+U41+X41+AE41+AH41-AR41</f>
        <v>433.97</v>
      </c>
      <c r="AL41" s="135" t="n">
        <f aca="false">IF(L41&lt;0,L41*-1,0)</f>
        <v>3.5704587849761</v>
      </c>
      <c r="AM41" s="135" t="n">
        <f aca="false">AK41+AL41</f>
        <v>437.540458784976</v>
      </c>
      <c r="AN41" s="212"/>
      <c r="AO41" s="207" t="n">
        <v>5</v>
      </c>
      <c r="AP41" s="97" t="n">
        <f aca="false">(I41-AO41)-Q41-R41-Y41-AF41</f>
        <v>-156.8776415</v>
      </c>
      <c r="AQ41" s="155" t="n">
        <f aca="false">37.06*(Z41*1.9835+AC41*1.9835)/E41</f>
        <v>0</v>
      </c>
      <c r="AR41" s="155"/>
      <c r="AS41" s="135"/>
      <c r="AT41" s="172" t="n">
        <v>1.03</v>
      </c>
      <c r="AU41" s="175" t="n">
        <f aca="false">O41</f>
        <v>80.85</v>
      </c>
      <c r="AV41" s="214" t="n">
        <v>0</v>
      </c>
      <c r="AW41" s="207" t="n">
        <v>84</v>
      </c>
      <c r="AX41" s="207" t="n">
        <v>49</v>
      </c>
      <c r="AY41" s="291"/>
      <c r="AZ41" s="242" t="n">
        <f aca="false">SUM(N41,P41:U41)</f>
        <v>7.87252479608607</v>
      </c>
    </row>
    <row r="42" customFormat="false" ht="12.95" hidden="false" customHeight="true" outlineLevel="0" collapsed="false">
      <c r="A42" s="179" t="n">
        <v>28</v>
      </c>
      <c r="B42" s="106" t="n">
        <v>6904.75</v>
      </c>
      <c r="C42" s="107" t="n">
        <v>301439</v>
      </c>
      <c r="D42" s="207" t="n">
        <f aca="false">C42-C41</f>
        <v>-765</v>
      </c>
      <c r="E42" s="107" t="n">
        <f aca="false">C42-151978</f>
        <v>149461</v>
      </c>
      <c r="F42" s="238" t="n">
        <f aca="false">D42/$D$2</f>
        <v>-385.681875472649</v>
      </c>
      <c r="G42" s="135" t="n">
        <v>67</v>
      </c>
      <c r="H42" s="239" t="n">
        <v>0</v>
      </c>
      <c r="I42" s="135" t="n">
        <f aca="false">G42+H42</f>
        <v>67</v>
      </c>
      <c r="J42" s="136" t="n">
        <f aca="false">IF(L42&gt;0,L42,0)</f>
        <v>0</v>
      </c>
      <c r="K42" s="135" t="n">
        <f aca="false">I42+J42</f>
        <v>67</v>
      </c>
      <c r="L42" s="135" t="n">
        <f aca="false">F42-(I42-AK42)</f>
        <v>-11.7518754726493</v>
      </c>
      <c r="M42" s="240" t="n">
        <v>133</v>
      </c>
      <c r="N42" s="155" t="n">
        <f aca="false">(1.8299*1.03)/2</f>
        <v>0.9423985</v>
      </c>
      <c r="O42" s="135" t="n">
        <f aca="false">(32+31)*1.05</f>
        <v>66.15</v>
      </c>
      <c r="P42" s="155" t="n">
        <v>0</v>
      </c>
      <c r="Q42" s="328" t="n">
        <f aca="false">1373800/325851/1.9835*1.02</f>
        <v>2.16806561086438</v>
      </c>
      <c r="R42" s="328" t="n">
        <v>4.2</v>
      </c>
      <c r="S42" s="131" t="n">
        <f aca="false">((3364593/325851/1.9835-T42)*1.04)-4.2</f>
        <v>0.173996247741917</v>
      </c>
      <c r="T42" s="131" t="n">
        <f aca="false">0.9615*1.04</f>
        <v>0.99996</v>
      </c>
      <c r="U42" s="346" t="n">
        <v>0</v>
      </c>
      <c r="V42" s="135" t="n">
        <v>101</v>
      </c>
      <c r="W42" s="135" t="n">
        <v>63</v>
      </c>
      <c r="X42" s="135" t="n">
        <f aca="false">M42-N42-O42-P42-Q42-R42-S42-T42-U42+V42+W42-AT42+AR42</f>
        <v>221.295579641394</v>
      </c>
      <c r="Y42" s="135" t="n">
        <f aca="false">X42-AO42</f>
        <v>216.295579641394</v>
      </c>
      <c r="Z42" s="107"/>
      <c r="AA42" s="135"/>
      <c r="AB42" s="107"/>
      <c r="AC42" s="107"/>
      <c r="AD42" s="207" t="n">
        <f aca="false">AD41+AP42</f>
        <v>1011.89471951578</v>
      </c>
      <c r="AE42" s="135" t="n">
        <v>105</v>
      </c>
      <c r="AF42" s="137" t="n">
        <v>1.7</v>
      </c>
      <c r="AG42" s="138" t="n">
        <v>1.3</v>
      </c>
      <c r="AH42" s="135" t="n">
        <v>40</v>
      </c>
      <c r="AI42" s="107" t="n">
        <f aca="false">AI41-AH42</f>
        <v>7005.25787748929</v>
      </c>
      <c r="AJ42" s="107"/>
      <c r="AK42" s="134" t="n">
        <f aca="false">N42+O42+P42+Q42+R42+S42+T42+U42+X42+AE42+AH42-AR42</f>
        <v>440.93</v>
      </c>
      <c r="AL42" s="135" t="n">
        <f aca="false">IF(L42&lt;0,L42*-1,0)</f>
        <v>11.7518754726493</v>
      </c>
      <c r="AM42" s="135" t="n">
        <f aca="false">AK42+AL42</f>
        <v>452.681875472649</v>
      </c>
      <c r="AN42" s="212"/>
      <c r="AO42" s="207" t="n">
        <v>5</v>
      </c>
      <c r="AP42" s="97" t="n">
        <f aca="false">(I42-AO42)-Q42-R42-Y42-AF42</f>
        <v>-162.363645252258</v>
      </c>
      <c r="AQ42" s="155" t="n">
        <f aca="false">37.06*(Z42*1.9835+AC42*1.9835)/E42</f>
        <v>0</v>
      </c>
      <c r="AR42" s="155"/>
      <c r="AS42" s="135"/>
      <c r="AT42" s="172" t="n">
        <v>1.07</v>
      </c>
      <c r="AU42" s="175" t="n">
        <f aca="false">O42</f>
        <v>66.15</v>
      </c>
      <c r="AV42" s="214" t="n">
        <v>0</v>
      </c>
      <c r="AW42" s="207" t="n">
        <v>84</v>
      </c>
      <c r="AX42" s="207" t="n">
        <v>50</v>
      </c>
      <c r="AY42" s="291"/>
      <c r="AZ42" s="242" t="n">
        <f aca="false">SUM(N42,P42:U42)</f>
        <v>8.48442035860629</v>
      </c>
    </row>
    <row r="43" customFormat="false" ht="12.95" hidden="false" customHeight="true" outlineLevel="0" collapsed="false">
      <c r="A43" s="179" t="n">
        <v>29</v>
      </c>
      <c r="B43" s="106" t="n">
        <v>6904.57</v>
      </c>
      <c r="C43" s="107" t="n">
        <v>300751</v>
      </c>
      <c r="D43" s="207" t="n">
        <f aca="false">C43-C42</f>
        <v>-688</v>
      </c>
      <c r="E43" s="107" t="n">
        <f aca="false">C43-151978</f>
        <v>148773</v>
      </c>
      <c r="F43" s="238" t="n">
        <f aca="false">D43/$D$2</f>
        <v>-346.861608268213</v>
      </c>
      <c r="G43" s="135" t="n">
        <v>64</v>
      </c>
      <c r="H43" s="239" t="n">
        <v>0</v>
      </c>
      <c r="I43" s="135" t="n">
        <f aca="false">G43+H43</f>
        <v>64</v>
      </c>
      <c r="J43" s="136" t="n">
        <f aca="false">IF(L43&gt;0,L43,0)</f>
        <v>0</v>
      </c>
      <c r="K43" s="135" t="n">
        <f aca="false">I43+J43</f>
        <v>64</v>
      </c>
      <c r="L43" s="135" t="n">
        <f aca="false">F43-(I43-AK43)</f>
        <v>-6.93160826821276</v>
      </c>
      <c r="M43" s="240" t="n">
        <v>133</v>
      </c>
      <c r="N43" s="155" t="n">
        <f aca="false">(1.8299*1.03)/2</f>
        <v>0.9423985</v>
      </c>
      <c r="O43" s="135" t="n">
        <f aca="false">(33+31)*1.05</f>
        <v>67.2</v>
      </c>
      <c r="P43" s="155" t="n">
        <v>0</v>
      </c>
      <c r="Q43" s="328" t="n">
        <f aca="false">1307100/325851/1.9835*1.02</f>
        <v>2.06280285337081</v>
      </c>
      <c r="R43" s="328" t="n">
        <v>4.2</v>
      </c>
      <c r="S43" s="131" t="n">
        <f aca="false">((3668153/325851/1.9835-T43)*1.04)-4.2</f>
        <v>0.662453565720208</v>
      </c>
      <c r="T43" s="131" t="n">
        <f aca="false">0.9615*1.04</f>
        <v>0.99996</v>
      </c>
      <c r="U43" s="346" t="n">
        <v>0</v>
      </c>
      <c r="V43" s="135" t="n">
        <v>101</v>
      </c>
      <c r="W43" s="135" t="n">
        <v>57</v>
      </c>
      <c r="X43" s="135" t="n">
        <f aca="false">M43-N43-O43-P43-Q43-R43-S43-T43-U43+V43+W43-AT43+AR43</f>
        <v>213.862385080909</v>
      </c>
      <c r="Y43" s="135" t="n">
        <f aca="false">X43-AO43</f>
        <v>208.862385080909</v>
      </c>
      <c r="Z43" s="107"/>
      <c r="AA43" s="135"/>
      <c r="AB43" s="107"/>
      <c r="AC43" s="107"/>
      <c r="AD43" s="207" t="n">
        <f aca="false">AD42+AP43</f>
        <v>854.069531581505</v>
      </c>
      <c r="AE43" s="135" t="n">
        <v>74</v>
      </c>
      <c r="AF43" s="137" t="n">
        <v>1.7</v>
      </c>
      <c r="AG43" s="138" t="n">
        <v>1.3</v>
      </c>
      <c r="AH43" s="135" t="n">
        <v>40</v>
      </c>
      <c r="AI43" s="107" t="n">
        <f aca="false">AI42-AH43</f>
        <v>6965.25787748929</v>
      </c>
      <c r="AJ43" s="107"/>
      <c r="AK43" s="134" t="n">
        <f aca="false">N43+O43+P43+Q43+R43+S43+T43+U43+X43+AE43+AH43-AR43</f>
        <v>403.93</v>
      </c>
      <c r="AL43" s="135" t="n">
        <f aca="false">IF(L43&lt;0,L43*-1,0)</f>
        <v>6.93160826821276</v>
      </c>
      <c r="AM43" s="135" t="n">
        <f aca="false">AK43+AL43</f>
        <v>410.861608268213</v>
      </c>
      <c r="AN43" s="212"/>
      <c r="AO43" s="207" t="n">
        <v>5</v>
      </c>
      <c r="AP43" s="97" t="n">
        <f aca="false">(I43-AO43)-Q43-R43-Y43-AF43</f>
        <v>-157.82518793428</v>
      </c>
      <c r="AQ43" s="155" t="n">
        <f aca="false">37.06*(Z43*1.9835+AC43*1.9835)/E43</f>
        <v>0</v>
      </c>
      <c r="AR43" s="155"/>
      <c r="AS43" s="135"/>
      <c r="AT43" s="172" t="n">
        <v>1.07</v>
      </c>
      <c r="AU43" s="175" t="n">
        <f aca="false">O43</f>
        <v>67.2</v>
      </c>
      <c r="AV43" s="214" t="n">
        <v>0</v>
      </c>
      <c r="AW43" s="207" t="n">
        <v>86</v>
      </c>
      <c r="AX43" s="207" t="n">
        <v>53</v>
      </c>
      <c r="AY43" s="291"/>
      <c r="AZ43" s="242" t="n">
        <f aca="false">SUM(N43,P43:U43)</f>
        <v>8.86761491909102</v>
      </c>
    </row>
    <row r="44" customFormat="false" ht="12.95" hidden="false" customHeight="true" outlineLevel="0" collapsed="false">
      <c r="A44" s="179" t="n">
        <v>30</v>
      </c>
      <c r="B44" s="106" t="n">
        <v>6904.39</v>
      </c>
      <c r="C44" s="107" t="n">
        <v>300063</v>
      </c>
      <c r="D44" s="207" t="n">
        <f aca="false">C44-C43</f>
        <v>-688</v>
      </c>
      <c r="E44" s="107" t="n">
        <f aca="false">C44-151978</f>
        <v>148085</v>
      </c>
      <c r="F44" s="238" t="n">
        <f aca="false">D44/$D$2</f>
        <v>-346.861608268213</v>
      </c>
      <c r="G44" s="135" t="n">
        <v>138</v>
      </c>
      <c r="H44" s="239" t="n">
        <v>0</v>
      </c>
      <c r="I44" s="135" t="n">
        <f aca="false">G44+H44</f>
        <v>138</v>
      </c>
      <c r="J44" s="136" t="n">
        <f aca="false">IF(L44&gt;0,L44,0)</f>
        <v>6.79839173178721</v>
      </c>
      <c r="K44" s="135" t="n">
        <f aca="false">I44+J44</f>
        <v>144.798391731787</v>
      </c>
      <c r="L44" s="135" t="n">
        <f aca="false">F44-(I44-AK44)</f>
        <v>6.79839173178721</v>
      </c>
      <c r="M44" s="240" t="n">
        <v>116</v>
      </c>
      <c r="N44" s="155" t="n">
        <f aca="false">(1.8299*1.03)/2</f>
        <v>0.9423985</v>
      </c>
      <c r="O44" s="135" t="n">
        <f aca="false">(29+28)*1.05</f>
        <v>59.85</v>
      </c>
      <c r="P44" s="155" t="n">
        <v>0</v>
      </c>
      <c r="Q44" s="328" t="n">
        <f aca="false">1064900/325851/1.9835*1.02</f>
        <v>1.68057436963857</v>
      </c>
      <c r="R44" s="328" t="n">
        <v>4.2</v>
      </c>
      <c r="S44" s="131" t="n">
        <f aca="false">(((3827152)/325851/1.9835-T44)*1.04)-4.2</f>
        <v>0.774337331972779</v>
      </c>
      <c r="T44" s="131" t="n">
        <f aca="false">1.0946*1.04</f>
        <v>1.138384</v>
      </c>
      <c r="U44" s="346" t="n">
        <v>0</v>
      </c>
      <c r="V44" s="135" t="n">
        <v>104</v>
      </c>
      <c r="W44" s="135" t="n">
        <v>64</v>
      </c>
      <c r="X44" s="135" t="n">
        <f aca="false">M44-N44-O44-P44-Q44-R44-S44-T44-U44+V44+W44-AT44+AR44</f>
        <v>214.074305798389</v>
      </c>
      <c r="Y44" s="135" t="n">
        <f aca="false">X44-AO44</f>
        <v>209.074305798389</v>
      </c>
      <c r="Z44" s="107"/>
      <c r="AA44" s="135"/>
      <c r="AB44" s="107"/>
      <c r="AC44" s="107"/>
      <c r="AD44" s="207" t="n">
        <f aca="false">AD43+AP44</f>
        <v>770.414651413478</v>
      </c>
      <c r="AE44" s="135" t="n">
        <v>37</v>
      </c>
      <c r="AF44" s="137" t="n">
        <v>1.7</v>
      </c>
      <c r="AG44" s="138" t="n">
        <v>1.3</v>
      </c>
      <c r="AH44" s="135" t="n">
        <v>172</v>
      </c>
      <c r="AI44" s="107" t="n">
        <f aca="false">AI43-AH44</f>
        <v>6793.25787748929</v>
      </c>
      <c r="AJ44" s="107"/>
      <c r="AK44" s="134" t="n">
        <f aca="false">N44+O44+P44+Q44+R44+S44+T44+U44+X44+AE44+AH44-AR44</f>
        <v>491.66</v>
      </c>
      <c r="AL44" s="135" t="n">
        <f aca="false">IF(L44&lt;0,L44*-1,0)</f>
        <v>0</v>
      </c>
      <c r="AM44" s="135" t="n">
        <f aca="false">AK44+AL44</f>
        <v>491.66</v>
      </c>
      <c r="AN44" s="212"/>
      <c r="AO44" s="207" t="n">
        <v>5</v>
      </c>
      <c r="AP44" s="97" t="n">
        <f aca="false">(I44-AO44)-Q44-R44-Y44-AF44</f>
        <v>-83.6548801680272</v>
      </c>
      <c r="AQ44" s="155" t="n">
        <f aca="false">37.06*(Z44*1.9835+AC44*1.9835)/E44</f>
        <v>0</v>
      </c>
      <c r="AR44" s="155"/>
      <c r="AS44" s="135"/>
      <c r="AT44" s="172" t="n">
        <v>1.34</v>
      </c>
      <c r="AU44" s="175" t="n">
        <f aca="false">O44</f>
        <v>59.85</v>
      </c>
      <c r="AV44" s="214" t="n">
        <v>0</v>
      </c>
      <c r="AW44" s="482" t="n">
        <v>80</v>
      </c>
      <c r="AX44" s="207" t="n">
        <v>53</v>
      </c>
      <c r="AY44" s="291"/>
      <c r="AZ44" s="242" t="n">
        <f aca="false">SUM(N44,P44:U44)</f>
        <v>8.73569420161135</v>
      </c>
    </row>
    <row r="45" customFormat="false" ht="3" hidden="false" customHeight="true" outlineLevel="0" collapsed="false">
      <c r="A45" s="223"/>
      <c r="B45" s="244"/>
      <c r="C45" s="225"/>
      <c r="D45" s="226"/>
      <c r="E45" s="225"/>
      <c r="F45" s="227"/>
      <c r="G45" s="226"/>
      <c r="H45" s="228"/>
      <c r="I45" s="226"/>
      <c r="J45" s="226"/>
      <c r="K45" s="226"/>
      <c r="L45" s="226"/>
      <c r="M45" s="229"/>
      <c r="N45" s="226"/>
      <c r="O45" s="226"/>
      <c r="P45" s="230"/>
      <c r="Q45" s="230"/>
      <c r="R45" s="230"/>
      <c r="S45" s="230"/>
      <c r="T45" s="230"/>
      <c r="U45" s="231"/>
      <c r="V45" s="226"/>
      <c r="W45" s="226"/>
      <c r="X45" s="226"/>
      <c r="Y45" s="226"/>
      <c r="Z45" s="225"/>
      <c r="AA45" s="226"/>
      <c r="AB45" s="225"/>
      <c r="AC45" s="225"/>
      <c r="AD45" s="225"/>
      <c r="AE45" s="226"/>
      <c r="AF45" s="120"/>
      <c r="AG45" s="121"/>
      <c r="AH45" s="226"/>
      <c r="AI45" s="226"/>
      <c r="AJ45" s="226"/>
      <c r="AK45" s="226"/>
      <c r="AL45" s="226"/>
      <c r="AM45" s="226"/>
      <c r="AN45" s="234"/>
      <c r="AO45" s="235"/>
      <c r="AP45" s="232"/>
      <c r="AQ45" s="230"/>
      <c r="AR45" s="230"/>
      <c r="AS45" s="230"/>
      <c r="AT45" s="230"/>
      <c r="AU45" s="232"/>
      <c r="AV45" s="237"/>
      <c r="AW45" s="235"/>
      <c r="AX45" s="235"/>
      <c r="AY45" s="249"/>
      <c r="AZ45" s="309"/>
    </row>
    <row r="46" customFormat="false" ht="12.95" hidden="false" customHeight="true" outlineLevel="0" collapsed="false">
      <c r="A46" s="181" t="s">
        <v>101</v>
      </c>
      <c r="B46" s="205"/>
      <c r="C46" s="107"/>
      <c r="D46" s="107"/>
      <c r="E46" s="107"/>
      <c r="F46" s="206" t="n">
        <f aca="false">SUM(F15:F44)</f>
        <v>-10711.8729518528</v>
      </c>
      <c r="G46" s="107" t="n">
        <f aca="false">SUM(G15:G44)</f>
        <v>5114</v>
      </c>
      <c r="H46" s="107" t="n">
        <f aca="false">SUM(H15:H44)</f>
        <v>0</v>
      </c>
      <c r="I46" s="107" t="n">
        <f aca="false">SUM(I15:I44)</f>
        <v>5114</v>
      </c>
      <c r="J46" s="107" t="n">
        <f aca="false">SUM(J15:J44)</f>
        <v>499.155888580792</v>
      </c>
      <c r="K46" s="107" t="n">
        <f aca="false">SUM(K15:K44)</f>
        <v>5613.15588858079</v>
      </c>
      <c r="L46" s="107" t="n">
        <f aca="false">SUM(L15:L44)</f>
        <v>132.317048147215</v>
      </c>
      <c r="M46" s="208" t="n">
        <f aca="false">SUM(M15:M44)</f>
        <v>4638</v>
      </c>
      <c r="N46" s="107" t="n">
        <f aca="false">SUM(N15:N44)</f>
        <v>28.271955</v>
      </c>
      <c r="O46" s="107" t="n">
        <f aca="false">SUM(O15:O44)</f>
        <v>1795.29</v>
      </c>
      <c r="P46" s="155" t="n">
        <f aca="false">SUM(P15:P44)</f>
        <v>0</v>
      </c>
      <c r="Q46" s="207" t="n">
        <f aca="false">SUM(Q15:Q44)</f>
        <v>63.8510946107193</v>
      </c>
      <c r="R46" s="207" t="n">
        <f aca="false">SUM(R15:R44)</f>
        <v>116.090672406828</v>
      </c>
      <c r="S46" s="207" t="n">
        <f aca="false">SUM(S15:S44)</f>
        <v>13.7110487688769</v>
      </c>
      <c r="T46" s="207" t="n">
        <f aca="false">SUM(T15:T44)</f>
        <v>31.744752</v>
      </c>
      <c r="U46" s="209" t="n">
        <f aca="false">SUM(U15:U44)</f>
        <v>0</v>
      </c>
      <c r="V46" s="107" t="n">
        <f aca="false">SUM(V15:V44)</f>
        <v>3339</v>
      </c>
      <c r="W46" s="107" t="n">
        <f aca="false">SUM(W15:W44)</f>
        <v>2166</v>
      </c>
      <c r="X46" s="107" t="n">
        <f aca="false">SUM(X15:X44)</f>
        <v>8057.23047721358</v>
      </c>
      <c r="Y46" s="107" t="n">
        <f aca="false">SUM(Y15:Y44)</f>
        <v>7907.23047721358</v>
      </c>
      <c r="Z46" s="107"/>
      <c r="AA46" s="107"/>
      <c r="AB46" s="107"/>
      <c r="AC46" s="107"/>
      <c r="AE46" s="107" t="n">
        <f aca="false">SUM(AE15:AE44)</f>
        <v>4302</v>
      </c>
      <c r="AF46" s="208" t="n">
        <f aca="false">SUM(AF15:AF44)</f>
        <v>51</v>
      </c>
      <c r="AG46" s="210" t="n">
        <f aca="false">SUM(AG15:AG44)</f>
        <v>39</v>
      </c>
      <c r="AH46" s="107" t="n">
        <f aca="false">SUM(AH15:AH44)</f>
        <v>1550</v>
      </c>
      <c r="AI46" s="107"/>
      <c r="AJ46" s="107" t="n">
        <f aca="false">SUM(AJ15:AJ44)</f>
        <v>0</v>
      </c>
      <c r="AK46" s="107" t="n">
        <f aca="false">SUM(AK15:AK44)</f>
        <v>15958.19</v>
      </c>
      <c r="AL46" s="107" t="n">
        <f aca="false">SUM(AL15:AL44)</f>
        <v>366.838840433577</v>
      </c>
      <c r="AM46" s="107" t="n">
        <f aca="false">SUM(AM15:AM44)</f>
        <v>16325.0288404336</v>
      </c>
      <c r="AN46" s="212"/>
      <c r="AO46" s="107" t="n">
        <f aca="false">SUM(AO15:AO44)</f>
        <v>150</v>
      </c>
      <c r="AP46" s="136"/>
      <c r="AQ46" s="155"/>
      <c r="AR46" s="155" t="n">
        <f aca="false">SUM(AR15:AR44)</f>
        <v>0</v>
      </c>
      <c r="AS46" s="207" t="n">
        <f aca="false">SUM(AS15:AS44)</f>
        <v>284.42</v>
      </c>
      <c r="AT46" s="207" t="n">
        <f aca="false">SUM(AT15:AT44)</f>
        <v>36.81</v>
      </c>
      <c r="AU46" s="207" t="n">
        <f aca="false">SUM(AU15:AU44)</f>
        <v>354.89</v>
      </c>
      <c r="AV46" s="214" t="n">
        <f aca="false">SUM(AV15:AV44)</f>
        <v>1.14</v>
      </c>
      <c r="AW46" s="207" t="n">
        <f aca="false">AVERAGE(AW15:AW44)</f>
        <v>79.4666666666667</v>
      </c>
      <c r="AX46" s="207" t="n">
        <f aca="false">AVERAGE(AX15:AX44)</f>
        <v>49.5333333333333</v>
      </c>
      <c r="AY46" s="215" t="s">
        <v>125</v>
      </c>
      <c r="AZ46" s="330" t="n">
        <f aca="false">SUM(AZ15:AZ44)</f>
        <v>253.669522786424</v>
      </c>
    </row>
    <row r="47" customFormat="false" ht="12.95" hidden="false" customHeight="true" outlineLevel="0" collapsed="false">
      <c r="A47" s="181" t="s">
        <v>103</v>
      </c>
      <c r="B47" s="205"/>
      <c r="C47" s="107"/>
      <c r="D47" s="107" t="n">
        <f aca="false">SUM(D15:D44)</f>
        <v>-21247</v>
      </c>
      <c r="E47" s="107"/>
      <c r="F47" s="206" t="n">
        <f aca="false">F46*$D$2</f>
        <v>-21247</v>
      </c>
      <c r="G47" s="107" t="n">
        <f aca="false">G46*$D$2</f>
        <v>10143.619</v>
      </c>
      <c r="H47" s="107" t="n">
        <f aca="false">H46*$D$2</f>
        <v>0</v>
      </c>
      <c r="I47" s="107" t="n">
        <f aca="false">I46*$D$2</f>
        <v>10143.619</v>
      </c>
      <c r="J47" s="107" t="n">
        <f aca="false">J46*$D$2</f>
        <v>990.075705</v>
      </c>
      <c r="K47" s="107" t="n">
        <f aca="false">K46*$D$2</f>
        <v>11133.694705</v>
      </c>
      <c r="L47" s="107" t="n">
        <f aca="false">L46*$D$2</f>
        <v>262.450865000001</v>
      </c>
      <c r="M47" s="208" t="n">
        <f aca="false">M46*$D$2</f>
        <v>9199.473</v>
      </c>
      <c r="N47" s="107" t="n">
        <f aca="false">N46*$D$2</f>
        <v>56.0774227425</v>
      </c>
      <c r="O47" s="107" t="n">
        <f aca="false">O46*$D$2</f>
        <v>3560.957715</v>
      </c>
      <c r="P47" s="155" t="n">
        <f aca="false">P46*$D$2</f>
        <v>0</v>
      </c>
      <c r="Q47" s="207" t="n">
        <f aca="false">Q46*$D$2</f>
        <v>126.648646160362</v>
      </c>
      <c r="R47" s="207" t="n">
        <f aca="false">R46*$D$2</f>
        <v>230.265848718943</v>
      </c>
      <c r="S47" s="207" t="n">
        <f aca="false">S46*$D$2</f>
        <v>27.1958652330672</v>
      </c>
      <c r="T47" s="207" t="n">
        <f aca="false">T46*$D$2</f>
        <v>62.965715592</v>
      </c>
      <c r="U47" s="209" t="n">
        <f aca="false">U46*$D$2</f>
        <v>0</v>
      </c>
      <c r="V47" s="107" t="n">
        <f aca="false">V46*$D$2</f>
        <v>6622.9065</v>
      </c>
      <c r="W47" s="107" t="n">
        <f aca="false">W46*$D$2</f>
        <v>4296.261</v>
      </c>
      <c r="X47" s="107" t="n">
        <f aca="false">X46*$D$2</f>
        <v>15981.5166515531</v>
      </c>
      <c r="Y47" s="107" t="n">
        <f aca="false">Y46*$D$2</f>
        <v>15683.9916515531</v>
      </c>
      <c r="Z47" s="107"/>
      <c r="AA47" s="107"/>
      <c r="AB47" s="107"/>
      <c r="AC47" s="107"/>
      <c r="AE47" s="107" t="n">
        <f aca="false">AE46*$D$2</f>
        <v>8533.017</v>
      </c>
      <c r="AF47" s="208" t="n">
        <f aca="false">AF46*$D$2</f>
        <v>101.1585</v>
      </c>
      <c r="AG47" s="210" t="n">
        <f aca="false">AG46*$D$2</f>
        <v>77.3565</v>
      </c>
      <c r="AH47" s="107" t="n">
        <f aca="false">AH46*$D$2</f>
        <v>3074.425</v>
      </c>
      <c r="AI47" s="107"/>
      <c r="AJ47" s="107" t="n">
        <f aca="false">AJ46*$D$2</f>
        <v>0</v>
      </c>
      <c r="AK47" s="107" t="n">
        <f aca="false">AK46*$D$2</f>
        <v>31653.069865</v>
      </c>
      <c r="AL47" s="107" t="n">
        <f aca="false">AL46*$D$2</f>
        <v>727.624839999999</v>
      </c>
      <c r="AM47" s="107" t="n">
        <f aca="false">AM46*$D$2</f>
        <v>32380.694705</v>
      </c>
      <c r="AN47" s="212"/>
      <c r="AO47" s="107" t="n">
        <f aca="false">AO46*$D$2</f>
        <v>297.525</v>
      </c>
      <c r="AP47" s="136"/>
      <c r="AQ47" s="155" t="n">
        <f aca="false">SUM(AQ15:AQ44)</f>
        <v>0</v>
      </c>
      <c r="AR47" s="136" t="n">
        <f aca="false">AR46*$D$2</f>
        <v>0</v>
      </c>
      <c r="AS47" s="207" t="n">
        <f aca="false">AS46*$D$2</f>
        <v>564.14707</v>
      </c>
      <c r="AT47" s="207" t="n">
        <f aca="false">AT46*$D$2</f>
        <v>73.012635</v>
      </c>
      <c r="AU47" s="207" t="n">
        <f aca="false">AU46*$D$2</f>
        <v>703.924315</v>
      </c>
      <c r="AV47" s="214"/>
      <c r="AW47" s="207" t="n">
        <f aca="false">MAX(AW15:AW44)</f>
        <v>90</v>
      </c>
      <c r="AX47" s="207" t="n">
        <f aca="false">MAX(AX15:AX44)</f>
        <v>59</v>
      </c>
      <c r="AY47" s="215" t="s">
        <v>104</v>
      </c>
      <c r="AZ47" s="330" t="n">
        <f aca="false">AZ46*$D$2</f>
        <v>503.153498446872</v>
      </c>
    </row>
    <row r="48" customFormat="false" ht="3" hidden="false" customHeight="true" outlineLevel="0" collapsed="false">
      <c r="A48" s="223"/>
      <c r="B48" s="244"/>
      <c r="C48" s="225"/>
      <c r="D48" s="225"/>
      <c r="E48" s="225"/>
      <c r="F48" s="249"/>
      <c r="G48" s="225"/>
      <c r="H48" s="225"/>
      <c r="I48" s="225"/>
      <c r="J48" s="225"/>
      <c r="K48" s="225"/>
      <c r="L48" s="225"/>
      <c r="M48" s="250"/>
      <c r="N48" s="225"/>
      <c r="O48" s="225"/>
      <c r="P48" s="230"/>
      <c r="Q48" s="235"/>
      <c r="R48" s="235"/>
      <c r="S48" s="235"/>
      <c r="T48" s="235"/>
      <c r="U48" s="231"/>
      <c r="V48" s="225"/>
      <c r="W48" s="225"/>
      <c r="X48" s="225"/>
      <c r="Y48" s="225"/>
      <c r="Z48" s="225"/>
      <c r="AA48" s="225"/>
      <c r="AB48" s="225"/>
      <c r="AC48" s="225"/>
      <c r="AD48" s="485"/>
      <c r="AE48" s="225"/>
      <c r="AF48" s="250"/>
      <c r="AG48" s="274"/>
      <c r="AH48" s="225"/>
      <c r="AI48" s="226"/>
      <c r="AJ48" s="225"/>
      <c r="AK48" s="225"/>
      <c r="AL48" s="225"/>
      <c r="AM48" s="225"/>
      <c r="AN48" s="252"/>
      <c r="AO48" s="225"/>
      <c r="AP48" s="232"/>
      <c r="AQ48" s="230"/>
      <c r="AR48" s="230"/>
      <c r="AS48" s="235"/>
      <c r="AT48" s="235"/>
      <c r="AU48" s="232"/>
      <c r="AV48" s="252"/>
      <c r="AW48" s="225"/>
      <c r="AX48" s="225"/>
      <c r="AY48" s="249"/>
      <c r="AZ48" s="309"/>
    </row>
    <row r="49" customFormat="false" ht="12.95" hidden="false" customHeight="true" outlineLevel="0" collapsed="false">
      <c r="A49" s="181" t="s">
        <v>105</v>
      </c>
      <c r="B49" s="205"/>
      <c r="C49" s="107"/>
      <c r="D49" s="107"/>
      <c r="E49" s="107"/>
      <c r="F49" s="206" t="n">
        <f aca="false">F12+F46</f>
        <v>9828.58583312326</v>
      </c>
      <c r="G49" s="107" t="n">
        <f aca="false">G12+G46</f>
        <v>123803</v>
      </c>
      <c r="H49" s="107" t="n">
        <f aca="false">H12+H46</f>
        <v>4578.77</v>
      </c>
      <c r="I49" s="107" t="n">
        <f aca="false">I12+I46</f>
        <v>128381.77</v>
      </c>
      <c r="J49" s="107" t="n">
        <f aca="false">J12+J46</f>
        <v>21500.6151273002</v>
      </c>
      <c r="K49" s="107" t="n">
        <f aca="false">K12+K46</f>
        <v>149882.3851273</v>
      </c>
      <c r="L49" s="107" t="n">
        <f aca="false">L12+L46</f>
        <v>19718.4134346233</v>
      </c>
      <c r="M49" s="208" t="n">
        <f aca="false">M12+M46</f>
        <v>40773.3</v>
      </c>
      <c r="N49" s="107" t="n">
        <f aca="false">N12+N46</f>
        <v>172.4589255</v>
      </c>
      <c r="O49" s="107" t="n">
        <f aca="false">O12+O46</f>
        <v>12708.0975</v>
      </c>
      <c r="P49" s="155" t="n">
        <f aca="false">P12+P46</f>
        <v>7.363</v>
      </c>
      <c r="Q49" s="207"/>
      <c r="R49" s="207"/>
      <c r="S49" s="207"/>
      <c r="T49" s="207"/>
      <c r="U49" s="209"/>
      <c r="V49" s="107" t="n">
        <f aca="false">V12+V46</f>
        <v>20486.6</v>
      </c>
      <c r="W49" s="107" t="n">
        <f aca="false">W12+W46</f>
        <v>11579.98</v>
      </c>
      <c r="X49" s="107" t="n">
        <f aca="false">X12+X46</f>
        <v>60230.9429352523</v>
      </c>
      <c r="Y49" s="107" t="n">
        <f aca="false">Y12+Y46</f>
        <v>59173.3629352523</v>
      </c>
      <c r="Z49" s="80"/>
      <c r="AA49" s="107"/>
      <c r="AB49" s="107"/>
      <c r="AC49" s="107"/>
      <c r="AE49" s="107" t="n">
        <f aca="false">AE12+AE46</f>
        <v>27839.14</v>
      </c>
      <c r="AF49" s="208" t="n">
        <f aca="false">AF12+AF46</f>
        <v>311.1</v>
      </c>
      <c r="AG49" s="210" t="n">
        <f aca="false">AG12+AG46</f>
        <v>237.9</v>
      </c>
      <c r="AH49" s="107"/>
      <c r="AI49" s="107"/>
      <c r="AJ49" s="107" t="n">
        <f aca="false">AJ12+AJ46</f>
        <v>0</v>
      </c>
      <c r="AK49" s="107" t="n">
        <f aca="false">AK12+AK46</f>
        <v>138271.5976015</v>
      </c>
      <c r="AL49" s="107" t="n">
        <f aca="false">AL12+AL46</f>
        <v>1782.20169267696</v>
      </c>
      <c r="AM49" s="107" t="n">
        <f aca="false">AM12+AM46</f>
        <v>140053.799294177</v>
      </c>
      <c r="AN49" s="212"/>
      <c r="AO49" s="207"/>
      <c r="AP49" s="136"/>
      <c r="AQ49" s="155"/>
      <c r="AR49" s="136" t="n">
        <f aca="false">AR12+AR46</f>
        <v>2547.6295</v>
      </c>
      <c r="AS49" s="207" t="n">
        <f aca="false">AS12+AS46</f>
        <v>740.42</v>
      </c>
      <c r="AT49" s="207" t="n">
        <f aca="false">AT12+AT46</f>
        <v>662.99</v>
      </c>
      <c r="AU49" s="207" t="n">
        <f aca="false">AU12+AU46</f>
        <v>354.89</v>
      </c>
      <c r="AV49" s="214"/>
      <c r="AW49" s="207" t="n">
        <f aca="false">MIN(AW15:AW44)</f>
        <v>66</v>
      </c>
      <c r="AX49" s="207" t="n">
        <f aca="false">MIN(AX15:AX44)</f>
        <v>42</v>
      </c>
      <c r="AY49" s="215" t="s">
        <v>106</v>
      </c>
      <c r="AZ49" s="330" t="n">
        <f aca="false">AZ12+AZ46</f>
        <v>253.669522786424</v>
      </c>
    </row>
    <row r="50" customFormat="false" ht="12.95" hidden="false" customHeight="true" outlineLevel="0" collapsed="false">
      <c r="A50" s="181" t="s">
        <v>107</v>
      </c>
      <c r="B50" s="205"/>
      <c r="C50" s="107"/>
      <c r="D50" s="107"/>
      <c r="E50" s="107"/>
      <c r="F50" s="206" t="n">
        <f aca="false">F49*$D$2</f>
        <v>19495</v>
      </c>
      <c r="G50" s="107" t="n">
        <f aca="false">G49*$D$2</f>
        <v>245563.2505</v>
      </c>
      <c r="H50" s="107" t="n">
        <f aca="false">H49*$D$2</f>
        <v>9081.990295</v>
      </c>
      <c r="I50" s="107" t="n">
        <f aca="false">I49*$D$2</f>
        <v>254645.240795</v>
      </c>
      <c r="J50" s="107" t="n">
        <f aca="false">J49*$D$2</f>
        <v>42646.470105</v>
      </c>
      <c r="K50" s="107" t="n">
        <f aca="false">K49*$D$2</f>
        <v>297291.7109</v>
      </c>
      <c r="L50" s="107" t="n">
        <f aca="false">L49*$D$2</f>
        <v>39111.4730475752</v>
      </c>
      <c r="M50" s="208" t="n">
        <f aca="false">M49*$D$2</f>
        <v>80873.84055</v>
      </c>
      <c r="N50" s="107" t="n">
        <f aca="false">N49*$D$2</f>
        <v>342.07227872925</v>
      </c>
      <c r="O50" s="107" t="n">
        <f aca="false">O49*$D$2</f>
        <v>25206.51139125</v>
      </c>
      <c r="P50" s="155" t="n">
        <f aca="false">P49*$D$2</f>
        <v>14.6045105</v>
      </c>
      <c r="Q50" s="207"/>
      <c r="R50" s="207"/>
      <c r="S50" s="207"/>
      <c r="T50" s="207"/>
      <c r="U50" s="209"/>
      <c r="V50" s="107" t="n">
        <f aca="false">V49*$D$2</f>
        <v>40635.1711</v>
      </c>
      <c r="W50" s="107" t="n">
        <f aca="false">W49*$D$2</f>
        <v>22968.89033</v>
      </c>
      <c r="X50" s="107" t="n">
        <f aca="false">X49*$D$2</f>
        <v>119468.075312073</v>
      </c>
      <c r="Y50" s="107" t="n">
        <f aca="false">Y49*$D$2</f>
        <v>117370.365382073</v>
      </c>
      <c r="Z50" s="80"/>
      <c r="AA50" s="107"/>
      <c r="AB50" s="107"/>
      <c r="AC50" s="107"/>
      <c r="AE50" s="210" t="n">
        <f aca="false">AE49*$D$2</f>
        <v>55218.93419</v>
      </c>
      <c r="AF50" s="107" t="n">
        <f aca="false">AF49*$D$2</f>
        <v>617.06685</v>
      </c>
      <c r="AG50" s="210" t="n">
        <f aca="false">AG49*$D$2</f>
        <v>471.87465</v>
      </c>
      <c r="AH50" s="107"/>
      <c r="AI50" s="107"/>
      <c r="AJ50" s="107" t="n">
        <f aca="false">AJ49*$D$2</f>
        <v>0</v>
      </c>
      <c r="AK50" s="107" t="n">
        <f aca="false">AK49*$D$2</f>
        <v>274261.713842575</v>
      </c>
      <c r="AL50" s="107" t="n">
        <f aca="false">AL49*$D$2</f>
        <v>3534.99705742475</v>
      </c>
      <c r="AM50" s="107" t="n">
        <f aca="false">AM49*$D$2</f>
        <v>277796.7109</v>
      </c>
      <c r="AN50" s="212"/>
      <c r="AO50" s="207"/>
      <c r="AP50" s="136"/>
      <c r="AQ50" s="155" t="n">
        <f aca="false">AQ12+AQ47</f>
        <v>671.938892420578</v>
      </c>
      <c r="AR50" s="136" t="n">
        <f aca="false">AR49*$D$2</f>
        <v>5053.22311325</v>
      </c>
      <c r="AS50" s="207" t="n">
        <f aca="false">AS49*$D$2</f>
        <v>1468.62307</v>
      </c>
      <c r="AT50" s="207" t="n">
        <f aca="false">AT49*$D$2</f>
        <v>1315.040665</v>
      </c>
      <c r="AU50" s="207" t="n">
        <f aca="false">AU49*$D$2</f>
        <v>703.924315</v>
      </c>
      <c r="AV50" s="214"/>
      <c r="AW50" s="207"/>
      <c r="AX50" s="207"/>
      <c r="AY50" s="291"/>
      <c r="AZ50" s="330" t="n">
        <f aca="false">AZ49*$D$2</f>
        <v>503.153498446872</v>
      </c>
    </row>
    <row r="51" customFormat="false" ht="3" hidden="false" customHeight="true" outlineLevel="0" collapsed="false">
      <c r="A51" s="223"/>
      <c r="B51" s="244"/>
      <c r="C51" s="225"/>
      <c r="D51" s="225"/>
      <c r="E51" s="225"/>
      <c r="F51" s="249"/>
      <c r="G51" s="225"/>
      <c r="H51" s="235"/>
      <c r="I51" s="225"/>
      <c r="J51" s="225"/>
      <c r="K51" s="225"/>
      <c r="L51" s="225"/>
      <c r="M51" s="250"/>
      <c r="N51" s="225"/>
      <c r="O51" s="225"/>
      <c r="P51" s="230"/>
      <c r="Q51" s="235"/>
      <c r="R51" s="235"/>
      <c r="S51" s="235"/>
      <c r="T51" s="235"/>
      <c r="U51" s="231"/>
      <c r="V51" s="225"/>
      <c r="W51" s="225"/>
      <c r="X51" s="225"/>
      <c r="Y51" s="225"/>
      <c r="Z51" s="225"/>
      <c r="AA51" s="225"/>
      <c r="AB51" s="225"/>
      <c r="AC51" s="225"/>
      <c r="AD51" s="225"/>
      <c r="AE51" s="274"/>
      <c r="AF51" s="119"/>
      <c r="AG51" s="153"/>
      <c r="AH51" s="225"/>
      <c r="AI51" s="225"/>
      <c r="AJ51" s="225"/>
      <c r="AK51" s="225"/>
      <c r="AL51" s="225"/>
      <c r="AM51" s="225"/>
      <c r="AN51" s="237"/>
      <c r="AO51" s="254"/>
      <c r="AP51" s="232"/>
      <c r="AQ51" s="230"/>
      <c r="AR51" s="230"/>
      <c r="AS51" s="235"/>
      <c r="AT51" s="235"/>
      <c r="AU51" s="232"/>
      <c r="AV51" s="237"/>
      <c r="AW51" s="254"/>
      <c r="AX51" s="254"/>
      <c r="AY51" s="249"/>
      <c r="AZ51" s="309"/>
    </row>
    <row r="52" customFormat="false" ht="12.95" hidden="false" customHeight="true" outlineLevel="0" collapsed="false">
      <c r="A52" s="181" t="s">
        <v>108</v>
      </c>
      <c r="B52" s="205"/>
      <c r="C52" s="107"/>
      <c r="D52" s="107"/>
      <c r="E52" s="107"/>
      <c r="F52" s="206" t="n">
        <f aca="false">F13+F46</f>
        <v>11430.299974792</v>
      </c>
      <c r="G52" s="107" t="n">
        <f aca="false">G13+G46</f>
        <v>135038</v>
      </c>
      <c r="H52" s="207" t="n">
        <f aca="false">H13+H46</f>
        <v>5139.35</v>
      </c>
      <c r="I52" s="107" t="n">
        <f aca="false">I13+I46</f>
        <v>140177.35</v>
      </c>
      <c r="J52" s="107" t="n">
        <f aca="false">J13+J46</f>
        <v>24599.125576002</v>
      </c>
      <c r="K52" s="107" t="n">
        <f aca="false">K13+K46</f>
        <v>164776.475576002</v>
      </c>
      <c r="L52" s="107" t="n">
        <f aca="false">L13+L46</f>
        <v>21797.937576292</v>
      </c>
      <c r="M52" s="208" t="n">
        <f aca="false">M13+M46</f>
        <v>41696.41</v>
      </c>
      <c r="N52" s="107" t="n">
        <f aca="false">N13+N46</f>
        <v>172.4589255</v>
      </c>
      <c r="O52" s="107" t="n">
        <f aca="false">O13+O46</f>
        <v>12708.0975</v>
      </c>
      <c r="P52" s="155"/>
      <c r="Q52" s="207" t="n">
        <f aca="false">Q13+Q46</f>
        <v>699.539926911296</v>
      </c>
      <c r="R52" s="207" t="n">
        <f aca="false">R13+R46</f>
        <v>950.274034379597</v>
      </c>
      <c r="S52" s="207" t="n">
        <f aca="false">S13+S46</f>
        <v>235.425602282885</v>
      </c>
      <c r="T52" s="207" t="n">
        <f aca="false">T13+T46</f>
        <v>423.233148</v>
      </c>
      <c r="U52" s="308" t="n">
        <f aca="false">U13+U46</f>
        <v>-12.2414035208269</v>
      </c>
      <c r="V52" s="107" t="n">
        <f aca="false">V13+V46</f>
        <v>26580.6</v>
      </c>
      <c r="W52" s="107" t="n">
        <f aca="false">W13+W46</f>
        <v>11638.26</v>
      </c>
      <c r="X52" s="107" t="n">
        <f aca="false">X13+X46</f>
        <v>66615.758766447</v>
      </c>
      <c r="Y52" s="107" t="n">
        <f aca="false">Y13+Y46</f>
        <v>65356.3795366068</v>
      </c>
      <c r="Z52" s="107"/>
      <c r="AA52" s="107"/>
      <c r="AB52" s="107"/>
      <c r="AC52" s="107"/>
      <c r="AD52" s="107"/>
      <c r="AE52" s="210"/>
      <c r="AF52" s="107" t="n">
        <f aca="false">AF13+AF46</f>
        <v>51</v>
      </c>
      <c r="AG52" s="210" t="n">
        <f aca="false">AG13+AG46</f>
        <v>39</v>
      </c>
      <c r="AH52" s="107" t="n">
        <f aca="false">AH13+AH46</f>
        <v>43123</v>
      </c>
      <c r="AI52" s="107" t="n">
        <f aca="false">AI44</f>
        <v>6793.25787748929</v>
      </c>
      <c r="AJ52" s="107" t="n">
        <f aca="false">AJ13+AJ46</f>
        <v>28682</v>
      </c>
      <c r="AK52" s="107" t="n">
        <f aca="false">AK13+AK46</f>
        <v>150544.9876015</v>
      </c>
      <c r="AL52" s="107" t="n">
        <f aca="false">AL13+AL46</f>
        <v>2801.18799970998</v>
      </c>
      <c r="AM52" s="107" t="n">
        <f aca="false">AM13+AM46</f>
        <v>153346.17560121</v>
      </c>
      <c r="AN52" s="212"/>
      <c r="AO52" s="107" t="n">
        <f aca="false">AO13+AO46</f>
        <v>1259.3792298402</v>
      </c>
      <c r="AP52" s="136"/>
      <c r="AQ52" s="155"/>
      <c r="AR52" s="155"/>
      <c r="AS52" s="207"/>
      <c r="AT52" s="207"/>
      <c r="AV52" s="214" t="n">
        <f aca="false">AV13+AV46</f>
        <v>9.503</v>
      </c>
      <c r="AW52" s="207"/>
      <c r="AX52" s="207"/>
      <c r="AY52" s="291"/>
      <c r="AZ52" s="330" t="n">
        <f aca="false">AZ13+AZ46</f>
        <v>2476.05323355295</v>
      </c>
    </row>
    <row r="53" customFormat="false" ht="12.95" hidden="false" customHeight="true" outlineLevel="0" collapsed="false">
      <c r="A53" s="181" t="s">
        <v>109</v>
      </c>
      <c r="B53" s="205"/>
      <c r="C53" s="107"/>
      <c r="D53" s="107" t="n">
        <f aca="false">D13+D47</f>
        <v>22672</v>
      </c>
      <c r="E53" s="107" t="n">
        <f aca="false">E44</f>
        <v>148085</v>
      </c>
      <c r="F53" s="206" t="n">
        <f aca="false">F52*$D$2</f>
        <v>22672</v>
      </c>
      <c r="G53" s="107" t="n">
        <f aca="false">G52*$D$2</f>
        <v>267847.873</v>
      </c>
      <c r="H53" s="207" t="n">
        <f aca="false">H52*$D$2</f>
        <v>10193.900725</v>
      </c>
      <c r="I53" s="107" t="n">
        <f aca="false">I52*$D$2</f>
        <v>278041.773725</v>
      </c>
      <c r="J53" s="107" t="n">
        <f aca="false">J52*$D$2</f>
        <v>48792.36558</v>
      </c>
      <c r="K53" s="107" t="n">
        <f aca="false">K52*$D$2</f>
        <v>326834.139305</v>
      </c>
      <c r="L53" s="107" t="n">
        <f aca="false">L52*$D$2</f>
        <v>43236.2091825752</v>
      </c>
      <c r="M53" s="208" t="n">
        <f aca="false">M52*$D$2</f>
        <v>82704.829235</v>
      </c>
      <c r="N53" s="107" t="n">
        <f aca="false">N52*$D$2</f>
        <v>342.07227872925</v>
      </c>
      <c r="O53" s="107" t="n">
        <f aca="false">O52*$D$2</f>
        <v>25206.51139125</v>
      </c>
      <c r="P53" s="155"/>
      <c r="Q53" s="207" t="n">
        <f aca="false">Q52*$D$2</f>
        <v>1387.53744502856</v>
      </c>
      <c r="R53" s="207" t="n">
        <f aca="false">R52*$D$2</f>
        <v>1884.86854719193</v>
      </c>
      <c r="S53" s="207" t="n">
        <f aca="false">S52*$D$2</f>
        <v>466.966682128102</v>
      </c>
      <c r="T53" s="207" t="n">
        <f aca="false">T52*$D$2</f>
        <v>839.482949058</v>
      </c>
      <c r="U53" s="308" t="n">
        <f aca="false">U52*$D$2</f>
        <v>-24.2808238835601</v>
      </c>
      <c r="V53" s="107" t="n">
        <f aca="false">V52*$D$2</f>
        <v>52722.6201</v>
      </c>
      <c r="W53" s="107" t="n">
        <f aca="false">W52*$D$2</f>
        <v>23084.48871</v>
      </c>
      <c r="X53" s="107" t="n">
        <f aca="false">X52*$D$2</f>
        <v>132132.357513248</v>
      </c>
      <c r="Y53" s="107" t="n">
        <f aca="false">Y52*$D$2</f>
        <v>129634.37881086</v>
      </c>
      <c r="Z53" s="107"/>
      <c r="AA53" s="107"/>
      <c r="AB53" s="107"/>
      <c r="AC53" s="107"/>
      <c r="AD53" s="107"/>
      <c r="AE53" s="266"/>
      <c r="AF53" s="107" t="n">
        <f aca="false">AF52*$D$2</f>
        <v>101.1585</v>
      </c>
      <c r="AG53" s="266" t="n">
        <f aca="false">AG52*$D$2</f>
        <v>77.3565</v>
      </c>
      <c r="AH53" s="107" t="n">
        <f aca="false">AH52*$D$2</f>
        <v>85534.4705</v>
      </c>
      <c r="AI53" s="107" t="n">
        <f aca="false">AI52*$D$2</f>
        <v>13474.427</v>
      </c>
      <c r="AJ53" s="107" t="n">
        <f aca="false">AJ52*$D$2</f>
        <v>56890.747</v>
      </c>
      <c r="AK53" s="107" t="n">
        <f aca="false">AK52*$D$2</f>
        <v>298605.982907575</v>
      </c>
      <c r="AL53" s="107" t="n">
        <f aca="false">AL52*$D$2</f>
        <v>5556.15639742475</v>
      </c>
      <c r="AM53" s="107" t="n">
        <f aca="false">AM52*$D$2</f>
        <v>304162.139305</v>
      </c>
      <c r="AN53" s="212" t="n">
        <f aca="false">AN13+AN47</f>
        <v>13403.62026</v>
      </c>
      <c r="AO53" s="107" t="n">
        <f aca="false">AO52*$D$2</f>
        <v>2497.97870238804</v>
      </c>
      <c r="AP53" s="136"/>
      <c r="AQ53" s="155" t="n">
        <f aca="false">AQ13+AQ47</f>
        <v>671.938892420578</v>
      </c>
      <c r="AR53" s="155"/>
      <c r="AS53" s="207"/>
      <c r="AT53" s="207"/>
      <c r="AV53" s="214"/>
      <c r="AW53" s="207"/>
      <c r="AX53" s="207"/>
      <c r="AY53" s="291"/>
      <c r="AZ53" s="330" t="n">
        <f aca="false">AZ52*$D$2</f>
        <v>4911.25158875228</v>
      </c>
    </row>
    <row r="54" customFormat="false" ht="3" hidden="false" customHeight="true" outlineLevel="0" collapsed="false">
      <c r="A54" s="223"/>
      <c r="B54" s="244"/>
      <c r="C54" s="225"/>
      <c r="D54" s="226"/>
      <c r="E54" s="225"/>
      <c r="F54" s="227"/>
      <c r="G54" s="226"/>
      <c r="H54" s="228"/>
      <c r="I54" s="226"/>
      <c r="J54" s="226"/>
      <c r="K54" s="226"/>
      <c r="L54" s="226"/>
      <c r="M54" s="229"/>
      <c r="N54" s="226"/>
      <c r="O54" s="226"/>
      <c r="P54" s="230"/>
      <c r="Q54" s="230"/>
      <c r="R54" s="230"/>
      <c r="S54" s="230"/>
      <c r="T54" s="230"/>
      <c r="U54" s="231"/>
      <c r="V54" s="226"/>
      <c r="W54" s="226"/>
      <c r="X54" s="226"/>
      <c r="Y54" s="226"/>
      <c r="Z54" s="225"/>
      <c r="AA54" s="226"/>
      <c r="AB54" s="225"/>
      <c r="AC54" s="225"/>
      <c r="AD54" s="225"/>
      <c r="AE54" s="226"/>
      <c r="AF54" s="114"/>
      <c r="AG54" s="160"/>
      <c r="AH54" s="226"/>
      <c r="AI54" s="225"/>
      <c r="AJ54" s="296"/>
      <c r="AK54" s="226"/>
      <c r="AL54" s="226"/>
      <c r="AM54" s="226"/>
      <c r="AN54" s="244"/>
      <c r="AO54" s="226"/>
      <c r="AP54" s="232"/>
      <c r="AQ54" s="230"/>
      <c r="AR54" s="230"/>
      <c r="AS54" s="230"/>
      <c r="AT54" s="230"/>
      <c r="AU54" s="232"/>
      <c r="AV54" s="244"/>
      <c r="AW54" s="226"/>
      <c r="AX54" s="226"/>
      <c r="AY54" s="249"/>
      <c r="AZ54" s="309"/>
    </row>
    <row r="55" customFormat="false" ht="11.1" hidden="false" customHeight="true" outlineLevel="0" collapsed="false">
      <c r="G55" s="182"/>
      <c r="I55" s="170"/>
      <c r="N55" s="2"/>
      <c r="W55" s="172"/>
      <c r="X55" s="1"/>
      <c r="Y55" s="1"/>
      <c r="Z55" s="173"/>
      <c r="AA55" s="1"/>
      <c r="AB55" s="173"/>
      <c r="AE55" s="175"/>
      <c r="AF55" s="175"/>
      <c r="AG55" s="175"/>
      <c r="AH55" s="173"/>
      <c r="AK55" s="172"/>
      <c r="AL55" s="172"/>
      <c r="AM55" s="8"/>
      <c r="AN55" s="176"/>
      <c r="AO55" s="176"/>
      <c r="AP55" s="316"/>
      <c r="AQ55" s="315"/>
      <c r="AR55" s="315"/>
      <c r="AV55" s="174"/>
      <c r="AW55" s="178"/>
      <c r="AX55" s="179"/>
    </row>
    <row r="56" customFormat="false" ht="11.1" hidden="false" customHeight="true" outlineLevel="0" collapsed="false">
      <c r="A56" s="181"/>
      <c r="B56" s="263"/>
      <c r="C56" s="2"/>
      <c r="D56" s="1"/>
      <c r="E56" s="379"/>
      <c r="F56" s="184"/>
      <c r="G56" s="1"/>
      <c r="H56" s="3"/>
      <c r="I56" s="12"/>
      <c r="J56" s="11"/>
      <c r="K56" s="170"/>
      <c r="L56" s="175"/>
      <c r="M56" s="11"/>
      <c r="N56" s="0"/>
      <c r="O56" s="2"/>
      <c r="P56" s="467"/>
      <c r="Q56" s="467"/>
      <c r="R56" s="93"/>
      <c r="S56" s="93"/>
      <c r="T56" s="93"/>
      <c r="U56" s="93"/>
      <c r="V56" s="26"/>
      <c r="W56" s="130"/>
      <c r="X56" s="90"/>
      <c r="Y56" s="90"/>
      <c r="Z56" s="173"/>
      <c r="AA56" s="90"/>
      <c r="AB56" s="173"/>
      <c r="AC56" s="84"/>
      <c r="AD56" s="84"/>
      <c r="AE56" s="2"/>
      <c r="AF56" s="2"/>
      <c r="AG56" s="2"/>
      <c r="AH56" s="11"/>
      <c r="AI56" s="2"/>
      <c r="AJ56" s="105"/>
      <c r="AK56" s="2"/>
      <c r="AL56" s="181"/>
      <c r="AM56" s="8"/>
      <c r="AN56" s="545"/>
      <c r="AO56" s="545"/>
      <c r="AP56" s="316"/>
      <c r="AQ56" s="381"/>
      <c r="AR56" s="381"/>
      <c r="AS56" s="260"/>
      <c r="AV56" s="178"/>
      <c r="AW56" s="178"/>
      <c r="AX56" s="178"/>
    </row>
    <row r="57" customFormat="false" ht="11.1" hidden="false" customHeight="true" outlineLevel="0" collapsed="false">
      <c r="B57" s="173"/>
      <c r="E57" s="379"/>
      <c r="F57" s="217"/>
      <c r="G57" s="1"/>
      <c r="H57" s="3"/>
      <c r="I57" s="1"/>
      <c r="J57" s="1"/>
      <c r="K57" s="380"/>
      <c r="L57" s="438"/>
      <c r="M57" s="4"/>
      <c r="N57" s="4"/>
      <c r="O57" s="90"/>
      <c r="R57" s="93"/>
      <c r="S57" s="93"/>
      <c r="T57" s="93"/>
      <c r="U57" s="93"/>
      <c r="V57" s="26"/>
      <c r="W57" s="26"/>
      <c r="X57" s="90"/>
      <c r="Y57" s="90"/>
      <c r="Z57" s="173"/>
      <c r="AA57" s="90"/>
      <c r="AB57" s="173"/>
      <c r="AE57" s="173"/>
      <c r="AF57" s="173"/>
      <c r="AG57" s="173"/>
      <c r="AH57" s="2"/>
      <c r="AI57" s="26"/>
      <c r="AJ57" s="468"/>
      <c r="AK57" s="26"/>
      <c r="AL57" s="172"/>
      <c r="AM57" s="8"/>
      <c r="AN57" s="176"/>
      <c r="AO57" s="176"/>
      <c r="AP57" s="316"/>
      <c r="AS57" s="260"/>
      <c r="AV57" s="178"/>
      <c r="AW57" s="178"/>
      <c r="AX57" s="179"/>
    </row>
    <row r="58" customFormat="false" ht="11.1" hidden="false" customHeight="true" outlineLevel="0" collapsed="false">
      <c r="D58" s="173"/>
      <c r="E58" s="379"/>
      <c r="F58" s="1"/>
      <c r="G58" s="1"/>
      <c r="H58" s="173"/>
      <c r="I58" s="1"/>
      <c r="J58" s="1"/>
      <c r="K58" s="380"/>
      <c r="L58" s="178"/>
      <c r="M58" s="4"/>
      <c r="N58" s="4"/>
      <c r="O58" s="178"/>
      <c r="W58" s="172"/>
      <c r="X58" s="1"/>
      <c r="Y58" s="1"/>
      <c r="Z58" s="178"/>
      <c r="AA58" s="1"/>
      <c r="AB58" s="178"/>
      <c r="AC58" s="178"/>
      <c r="AD58" s="178"/>
      <c r="AE58" s="173"/>
      <c r="AF58" s="173"/>
      <c r="AG58" s="173"/>
      <c r="AH58" s="2"/>
      <c r="AI58" s="173"/>
      <c r="AJ58" s="217"/>
      <c r="AK58" s="173"/>
      <c r="AL58" s="172"/>
      <c r="AM58" s="379"/>
      <c r="AN58" s="176"/>
      <c r="AO58" s="176"/>
      <c r="AP58" s="316"/>
      <c r="AS58" s="260"/>
      <c r="AV58" s="178"/>
      <c r="AW58" s="178"/>
      <c r="AX58" s="179"/>
    </row>
    <row r="59" customFormat="false" ht="11.1" hidden="false" customHeight="true" outlineLevel="0" collapsed="false">
      <c r="G59" s="262"/>
      <c r="O59" s="178"/>
      <c r="W59" s="172"/>
      <c r="X59" s="1"/>
      <c r="Y59" s="1"/>
      <c r="Z59" s="173"/>
      <c r="AA59" s="1"/>
      <c r="AB59" s="173"/>
      <c r="AH59" s="173"/>
      <c r="AK59" s="172"/>
      <c r="AL59" s="172"/>
      <c r="AM59" s="8"/>
      <c r="AN59" s="176"/>
      <c r="AO59" s="176"/>
      <c r="AP59" s="316"/>
      <c r="AS59" s="260"/>
      <c r="AV59" s="174"/>
      <c r="AW59" s="178"/>
      <c r="AX59" s="179"/>
    </row>
    <row r="60" customFormat="false" ht="11.1" hidden="false" customHeight="true" outlineLevel="0" collapsed="false">
      <c r="W60" s="172"/>
      <c r="X60" s="173"/>
      <c r="Y60" s="173"/>
      <c r="Z60" s="173"/>
      <c r="AA60" s="173"/>
      <c r="AB60" s="173"/>
      <c r="AH60" s="173"/>
      <c r="AK60" s="172"/>
      <c r="AL60" s="172"/>
      <c r="AM60" s="8"/>
      <c r="AN60" s="176"/>
      <c r="AO60" s="176"/>
      <c r="AS60" s="260"/>
      <c r="AV60" s="174"/>
      <c r="AW60" s="178"/>
      <c r="AX60" s="179"/>
    </row>
    <row r="61" customFormat="false" ht="11.1" hidden="false" customHeight="true" outlineLevel="0" collapsed="false">
      <c r="W61" s="172"/>
      <c r="X61" s="173"/>
      <c r="Y61" s="173"/>
      <c r="AA61" s="173"/>
      <c r="AC61" s="172"/>
      <c r="AD61" s="172"/>
      <c r="AH61" s="173"/>
      <c r="AK61" s="172"/>
      <c r="AL61" s="172"/>
      <c r="AM61" s="8"/>
      <c r="AQ61" s="315"/>
      <c r="AR61" s="315"/>
      <c r="AV61" s="174"/>
      <c r="AW61" s="178"/>
      <c r="AX61" s="179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&amp;C2011 APPROVED</oddHeader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43" activePane="bottomRight" state="frozen"/>
      <selection pane="topLeft" activeCell="A1" activeCellId="0" sqref="A1"/>
      <selection pane="topRight" activeCell="B1" activeCellId="0" sqref="B1"/>
      <selection pane="bottomLeft" activeCell="A43" activeCellId="0" sqref="A43"/>
      <selection pane="bottomRight" activeCell="U43" activeCellId="0" sqref="U43"/>
    </sheetView>
  </sheetViews>
  <sheetFormatPr defaultColWidth="9.328125" defaultRowHeight="11.1" zeroHeight="false" outlineLevelRow="0" outlineLevelCol="0"/>
  <cols>
    <col collapsed="false" customWidth="true" hidden="false" outlineLevel="0" max="1" min="1" style="172" width="4.66"/>
    <col collapsed="false" customWidth="true" hidden="false" outlineLevel="0" max="2" min="2" style="172" width="6.99"/>
    <col collapsed="false" customWidth="true" hidden="false" outlineLevel="0" max="3" min="3" style="173" width="6.82"/>
    <col collapsed="false" customWidth="true" hidden="false" outlineLevel="0" max="4" min="4" style="172" width="6.32"/>
    <col collapsed="false" customWidth="true" hidden="false" outlineLevel="0" max="5" min="5" style="173" width="6.99"/>
    <col collapsed="false" customWidth="true" hidden="false" outlineLevel="0" max="6" min="6" style="172" width="7.32"/>
    <col collapsed="false" customWidth="true" hidden="false" outlineLevel="0" max="7" min="7" style="172" width="6.82"/>
    <col collapsed="false" customWidth="true" hidden="false" outlineLevel="0" max="8" min="8" style="546" width="5.66"/>
    <col collapsed="false" customWidth="true" hidden="false" outlineLevel="0" max="9" min="9" style="172" width="6.82"/>
    <col collapsed="false" customWidth="true" hidden="false" outlineLevel="0" max="10" min="10" style="172" width="6.32"/>
    <col collapsed="false" customWidth="true" hidden="false" outlineLevel="0" max="12" min="11" style="172" width="6.82"/>
    <col collapsed="false" customWidth="true" hidden="false" outlineLevel="0" max="13" min="13" style="175" width="5.49"/>
    <col collapsed="false" customWidth="true" hidden="false" outlineLevel="0" max="14" min="14" style="175" width="4.49"/>
    <col collapsed="false" customWidth="true" hidden="false" outlineLevel="0" max="15" min="15" style="175" width="5.49"/>
    <col collapsed="false" customWidth="true" hidden="false" outlineLevel="0" max="16" min="16" style="8" width="4.82"/>
    <col collapsed="false" customWidth="true" hidden="false" outlineLevel="0" max="20" min="17" style="172" width="4.32"/>
    <col collapsed="false" customWidth="true" hidden="false" outlineLevel="0" max="21" min="21" style="8" width="5.16"/>
    <col collapsed="false" customWidth="true" hidden="false" outlineLevel="0" max="22" min="22" style="172" width="5.49"/>
    <col collapsed="false" customWidth="true" hidden="false" outlineLevel="0" max="23" min="23" style="173" width="5.49"/>
    <col collapsed="false" customWidth="true" hidden="false" outlineLevel="0" max="25" min="24" style="172" width="6.82"/>
    <col collapsed="false" customWidth="true" hidden="false" outlineLevel="0" max="26" min="26" style="172" width="5.49"/>
    <col collapsed="false" customWidth="true" hidden="false" outlineLevel="0" max="27" min="27" style="172" width="6.32"/>
    <col collapsed="false" customWidth="true" hidden="false" outlineLevel="0" max="28" min="28" style="172" width="5.49"/>
    <col collapsed="false" customWidth="true" hidden="false" outlineLevel="0" max="29" min="29" style="173" width="5.82"/>
    <col collapsed="false" customWidth="true" hidden="false" outlineLevel="0" max="30" min="30" style="173" width="5.49"/>
    <col collapsed="false" customWidth="true" hidden="false" outlineLevel="0" max="33" min="31" style="172" width="5.49"/>
    <col collapsed="false" customWidth="true" hidden="false" outlineLevel="0" max="34" min="34" style="172" width="6.32"/>
    <col collapsed="false" customWidth="true" hidden="false" outlineLevel="0" max="35" min="35" style="172" width="5.49"/>
    <col collapsed="false" customWidth="true" hidden="false" outlineLevel="0" max="36" min="36" style="176" width="6.32"/>
    <col collapsed="false" customWidth="true" hidden="false" outlineLevel="0" max="37" min="37" style="381" width="6.82"/>
    <col collapsed="false" customWidth="true" hidden="false" outlineLevel="0" max="39" min="38" style="280" width="6.82"/>
    <col collapsed="false" customWidth="true" hidden="false" outlineLevel="0" max="40" min="40" style="176" width="5.49"/>
    <col collapsed="false" customWidth="true" hidden="false" outlineLevel="0" max="41" min="41" style="316" width="5.49"/>
    <col collapsed="false" customWidth="true" hidden="false" outlineLevel="0" max="42" min="42" style="316" width="6.32"/>
    <col collapsed="false" customWidth="true" hidden="false" outlineLevel="0" max="43" min="43" style="381" width="6.32"/>
    <col collapsed="false" customWidth="true" hidden="false" outlineLevel="0" max="44" min="44" style="381" width="5.49"/>
    <col collapsed="false" customWidth="true" hidden="false" outlineLevel="0" max="45" min="45" style="381" width="4.32"/>
    <col collapsed="false" customWidth="true" hidden="false" outlineLevel="0" max="46" min="46" style="176" width="5.32"/>
    <col collapsed="false" customWidth="true" hidden="false" outlineLevel="0" max="47" min="47" style="176" width="5.82"/>
    <col collapsed="false" customWidth="true" hidden="false" outlineLevel="0" max="48" min="48" style="280" width="4.99"/>
    <col collapsed="false" customWidth="true" hidden="false" outlineLevel="0" max="49" min="49" style="409" width="5.32"/>
    <col collapsed="false" customWidth="true" hidden="false" outlineLevel="0" max="50" min="50" style="176" width="3.82"/>
    <col collapsed="false" customWidth="true" hidden="false" outlineLevel="0" max="51" min="51" style="381" width="3.82"/>
    <col collapsed="false" customWidth="true" hidden="false" outlineLevel="0" max="52" min="52" style="180" width="3.82"/>
    <col collapsed="false" customWidth="true" hidden="false" outlineLevel="0" max="53" min="53" style="180" width="5.49"/>
    <col collapsed="false" customWidth="false" hidden="false" outlineLevel="0" max="257" min="54" style="180" width="9.32"/>
  </cols>
  <sheetData>
    <row r="1" customFormat="false" ht="14.1" hidden="false" customHeight="true" outlineLevel="0" collapsed="false">
      <c r="A1" s="181"/>
      <c r="B1" s="181"/>
      <c r="D1" s="181"/>
      <c r="F1" s="181"/>
      <c r="G1" s="181"/>
      <c r="I1" s="181"/>
      <c r="J1" s="181"/>
      <c r="K1" s="183" t="s">
        <v>0</v>
      </c>
      <c r="L1" s="181"/>
      <c r="M1" s="181"/>
      <c r="N1" s="181"/>
      <c r="O1" s="181"/>
      <c r="Q1" s="181"/>
      <c r="R1" s="181"/>
      <c r="S1" s="181"/>
      <c r="T1" s="181"/>
      <c r="V1" s="181"/>
      <c r="W1" s="181"/>
      <c r="X1" s="173"/>
      <c r="Y1" s="173"/>
      <c r="Z1" s="181"/>
      <c r="AA1" s="173"/>
      <c r="AB1" s="181"/>
      <c r="AC1" s="181"/>
      <c r="AD1" s="181"/>
      <c r="AE1" s="181"/>
      <c r="AF1" s="181"/>
      <c r="AG1" s="181"/>
      <c r="AH1" s="173"/>
      <c r="AI1" s="181"/>
      <c r="AJ1" s="184"/>
      <c r="AK1" s="184"/>
      <c r="AL1" s="184"/>
      <c r="AM1" s="381"/>
      <c r="AN1" s="184"/>
      <c r="AW1" s="280"/>
      <c r="AX1" s="280"/>
      <c r="AY1" s="409"/>
    </row>
    <row r="2" customFormat="false" ht="14.1" hidden="false" customHeight="true" outlineLevel="0" collapsed="false">
      <c r="A2" s="184" t="s">
        <v>1</v>
      </c>
      <c r="B2" s="181"/>
      <c r="D2" s="185" t="n">
        <v>1.9835</v>
      </c>
      <c r="F2" s="181"/>
      <c r="G2" s="181"/>
      <c r="I2" s="181"/>
      <c r="J2" s="181"/>
      <c r="K2" s="186" t="s">
        <v>141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1"/>
      <c r="AF2" s="181"/>
      <c r="AG2" s="181"/>
      <c r="AH2" s="173"/>
      <c r="AI2" s="181"/>
      <c r="AJ2" s="184"/>
      <c r="AK2" s="184"/>
      <c r="AL2" s="184"/>
      <c r="AM2" s="381"/>
      <c r="AN2" s="184"/>
      <c r="AW2" s="280"/>
      <c r="AX2" s="280"/>
      <c r="AY2" s="409"/>
    </row>
    <row r="3" customFormat="false" ht="14.1" hidden="false" customHeight="true" outlineLevel="0" collapsed="false">
      <c r="A3" s="187"/>
      <c r="B3" s="187"/>
      <c r="C3" s="188"/>
      <c r="D3" s="189"/>
      <c r="E3" s="188"/>
      <c r="F3" s="187"/>
      <c r="G3" s="187"/>
      <c r="H3" s="547"/>
      <c r="I3" s="187"/>
      <c r="J3" s="187"/>
      <c r="K3" s="187"/>
      <c r="L3" s="187"/>
      <c r="M3" s="187"/>
      <c r="N3" s="187"/>
      <c r="O3" s="187"/>
      <c r="P3" s="191"/>
      <c r="Q3" s="187"/>
      <c r="R3" s="187"/>
      <c r="S3" s="187"/>
      <c r="T3" s="187"/>
      <c r="U3" s="191"/>
      <c r="V3" s="187"/>
      <c r="W3" s="187"/>
      <c r="X3" s="188"/>
      <c r="Y3" s="188"/>
      <c r="Z3" s="187"/>
      <c r="AA3" s="188"/>
      <c r="AB3" s="187"/>
      <c r="AC3" s="187"/>
      <c r="AD3" s="187"/>
      <c r="AE3" s="187"/>
      <c r="AF3" s="187"/>
      <c r="AG3" s="187"/>
      <c r="AH3" s="188"/>
      <c r="AI3" s="187"/>
      <c r="AJ3" s="193"/>
      <c r="AK3" s="193"/>
      <c r="AL3" s="193"/>
      <c r="AM3" s="493"/>
      <c r="AN3" s="193"/>
      <c r="AO3" s="319"/>
      <c r="AP3" s="319"/>
      <c r="AQ3" s="493"/>
      <c r="AW3" s="283"/>
      <c r="AX3" s="283"/>
      <c r="AY3" s="492"/>
    </row>
    <row r="4" s="172" customFormat="true" ht="14.1" hidden="false" customHeight="true" outlineLevel="0" collapsed="false">
      <c r="A4" s="181"/>
      <c r="B4" s="386"/>
      <c r="C4" s="387"/>
      <c r="D4" s="388" t="s">
        <v>3</v>
      </c>
      <c r="E4" s="387"/>
      <c r="F4" s="494"/>
      <c r="G4" s="181"/>
      <c r="H4" s="182"/>
      <c r="I4" s="336" t="s">
        <v>4</v>
      </c>
      <c r="J4" s="181"/>
      <c r="K4" s="181"/>
      <c r="L4" s="391"/>
      <c r="M4" s="181"/>
      <c r="N4" s="181"/>
      <c r="O4" s="181"/>
      <c r="P4" s="8"/>
      <c r="Q4" s="8"/>
      <c r="R4" s="8"/>
      <c r="S4" s="8"/>
      <c r="T4" s="8"/>
      <c r="U4" s="8"/>
      <c r="V4" s="396"/>
      <c r="W4" s="181"/>
      <c r="X4" s="396" t="s">
        <v>5</v>
      </c>
      <c r="Y4" s="173"/>
      <c r="Z4" s="181"/>
      <c r="AA4" s="173"/>
      <c r="AB4" s="181"/>
      <c r="AC4" s="181"/>
      <c r="AD4" s="181"/>
      <c r="AE4" s="181"/>
      <c r="AF4" s="181"/>
      <c r="AG4" s="181"/>
      <c r="AH4" s="173"/>
      <c r="AI4" s="181"/>
      <c r="AJ4" s="184"/>
      <c r="AK4" s="184"/>
      <c r="AL4" s="184"/>
      <c r="AM4" s="381"/>
      <c r="AN4" s="495"/>
      <c r="AO4" s="316"/>
      <c r="AP4" s="497" t="s">
        <v>6</v>
      </c>
      <c r="AQ4" s="497"/>
      <c r="AR4" s="498"/>
      <c r="AS4" s="498"/>
      <c r="AT4" s="499"/>
      <c r="AU4" s="548"/>
      <c r="AV4" s="549"/>
      <c r="AW4" s="550"/>
      <c r="AX4" s="551" t="s">
        <v>7</v>
      </c>
      <c r="AY4" s="552"/>
      <c r="AZ4" s="401"/>
      <c r="BA4" s="402"/>
    </row>
    <row r="5" customFormat="false" ht="12.95" hidden="false" customHeight="true" outlineLevel="0" collapsed="false">
      <c r="A5" s="313" t="s">
        <v>8</v>
      </c>
      <c r="B5" s="403" t="s">
        <v>9</v>
      </c>
      <c r="C5" s="404" t="s">
        <v>9</v>
      </c>
      <c r="D5" s="313" t="s">
        <v>10</v>
      </c>
      <c r="E5" s="404" t="s">
        <v>11</v>
      </c>
      <c r="F5" s="313" t="s">
        <v>12</v>
      </c>
      <c r="G5" s="403" t="s">
        <v>13</v>
      </c>
      <c r="H5" s="405" t="s">
        <v>14</v>
      </c>
      <c r="I5" s="313" t="s">
        <v>15</v>
      </c>
      <c r="J5" s="313" t="s">
        <v>16</v>
      </c>
      <c r="K5" s="313" t="s">
        <v>17</v>
      </c>
      <c r="L5" s="313" t="s">
        <v>16</v>
      </c>
      <c r="M5" s="406" t="s">
        <v>18</v>
      </c>
      <c r="N5" s="406"/>
      <c r="O5" s="406"/>
      <c r="P5" s="406"/>
      <c r="Q5" s="406"/>
      <c r="R5" s="406"/>
      <c r="S5" s="406"/>
      <c r="T5" s="406"/>
      <c r="U5" s="406"/>
      <c r="V5" s="313" t="s">
        <v>19</v>
      </c>
      <c r="W5" s="31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4" t="s">
        <v>22</v>
      </c>
      <c r="AD5" s="404" t="s">
        <v>21</v>
      </c>
      <c r="AE5" s="313" t="s">
        <v>23</v>
      </c>
      <c r="AF5" s="407" t="s">
        <v>127</v>
      </c>
      <c r="AG5" s="408"/>
      <c r="AH5" s="409" t="s">
        <v>25</v>
      </c>
      <c r="AI5" s="404" t="s">
        <v>128</v>
      </c>
      <c r="AJ5" s="404" t="s">
        <v>27</v>
      </c>
      <c r="AK5" s="313" t="s">
        <v>15</v>
      </c>
      <c r="AL5" s="313" t="s">
        <v>16</v>
      </c>
      <c r="AM5" s="313" t="s">
        <v>17</v>
      </c>
      <c r="AN5" s="44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2" t="s">
        <v>21</v>
      </c>
      <c r="AT5" s="68" t="s">
        <v>31</v>
      </c>
      <c r="AU5" s="405" t="s">
        <v>32</v>
      </c>
      <c r="AV5" s="202" t="s">
        <v>33</v>
      </c>
      <c r="AW5" s="410" t="s">
        <v>34</v>
      </c>
      <c r="AX5" s="409" t="s">
        <v>35</v>
      </c>
      <c r="AY5" s="409" t="s">
        <v>36</v>
      </c>
      <c r="AZ5" s="291"/>
      <c r="BA5" s="287" t="s">
        <v>17</v>
      </c>
    </row>
    <row r="6" customFormat="false" ht="12.95" hidden="false" customHeight="true" outlineLevel="0" collapsed="false">
      <c r="A6" s="411" t="s">
        <v>142</v>
      </c>
      <c r="B6" s="403" t="s">
        <v>38</v>
      </c>
      <c r="C6" s="404"/>
      <c r="D6" s="313" t="s">
        <v>39</v>
      </c>
      <c r="E6" s="404" t="s">
        <v>40</v>
      </c>
      <c r="F6" s="313" t="s">
        <v>41</v>
      </c>
      <c r="G6" s="403" t="s">
        <v>42</v>
      </c>
      <c r="H6" s="405" t="s">
        <v>43</v>
      </c>
      <c r="I6" s="313" t="s">
        <v>44</v>
      </c>
      <c r="J6" s="313" t="s">
        <v>44</v>
      </c>
      <c r="K6" s="313" t="s">
        <v>44</v>
      </c>
      <c r="L6" s="313" t="s">
        <v>45</v>
      </c>
      <c r="M6" s="412" t="s">
        <v>46</v>
      </c>
      <c r="N6" s="69" t="s">
        <v>47</v>
      </c>
      <c r="O6" s="31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3" t="s">
        <v>52</v>
      </c>
      <c r="V6" s="313" t="s">
        <v>53</v>
      </c>
      <c r="W6" s="31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4" t="s">
        <v>57</v>
      </c>
      <c r="AD6" s="404" t="s">
        <v>58</v>
      </c>
      <c r="AE6" s="415" t="s">
        <v>59</v>
      </c>
      <c r="AF6" s="58" t="s">
        <v>60</v>
      </c>
      <c r="AG6" s="58" t="s">
        <v>61</v>
      </c>
      <c r="AH6" s="500" t="s">
        <v>62</v>
      </c>
      <c r="AI6" s="404" t="s">
        <v>63</v>
      </c>
      <c r="AJ6" s="404"/>
      <c r="AK6" s="313" t="s">
        <v>64</v>
      </c>
      <c r="AL6" s="313" t="s">
        <v>64</v>
      </c>
      <c r="AM6" s="313" t="s">
        <v>64</v>
      </c>
      <c r="AN6" s="44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553" t="n">
        <v>0.3</v>
      </c>
      <c r="AT6" s="68" t="s">
        <v>69</v>
      </c>
      <c r="AU6" s="405" t="s">
        <v>70</v>
      </c>
      <c r="AV6" s="202" t="s">
        <v>71</v>
      </c>
      <c r="AW6" s="414"/>
      <c r="AX6" s="409" t="s">
        <v>72</v>
      </c>
      <c r="AY6" s="409" t="s">
        <v>72</v>
      </c>
      <c r="AZ6" s="291"/>
      <c r="BA6" s="287" t="s">
        <v>73</v>
      </c>
    </row>
    <row r="7" customFormat="false" ht="12.95" hidden="false" customHeight="true" outlineLevel="0" collapsed="false">
      <c r="A7" s="313"/>
      <c r="B7" s="403"/>
      <c r="C7" s="404"/>
      <c r="D7" s="313"/>
      <c r="E7" s="404"/>
      <c r="F7" s="313"/>
      <c r="G7" s="403"/>
      <c r="H7" s="405"/>
      <c r="I7" s="313"/>
      <c r="J7" s="313"/>
      <c r="K7" s="313"/>
      <c r="L7" s="313"/>
      <c r="M7" s="412"/>
      <c r="N7" s="69" t="s">
        <v>74</v>
      </c>
      <c r="O7" s="31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3" t="s">
        <v>77</v>
      </c>
      <c r="V7" s="313"/>
      <c r="W7" s="31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4"/>
      <c r="AD7" s="404"/>
      <c r="AE7" s="415"/>
      <c r="AF7" s="79" t="n">
        <v>1.7</v>
      </c>
      <c r="AG7" s="79" t="n">
        <v>1.3</v>
      </c>
      <c r="AH7" s="500"/>
      <c r="AI7" s="404"/>
      <c r="AJ7" s="404"/>
      <c r="AK7" s="313"/>
      <c r="AL7" s="313"/>
      <c r="AM7" s="313"/>
      <c r="AN7" s="446"/>
      <c r="AO7" s="61" t="s">
        <v>41</v>
      </c>
      <c r="AP7" s="67" t="s">
        <v>83</v>
      </c>
      <c r="AQ7" s="67" t="s">
        <v>84</v>
      </c>
      <c r="AR7" s="62" t="s">
        <v>85</v>
      </c>
      <c r="AS7" s="62" t="s">
        <v>143</v>
      </c>
      <c r="AT7" s="68" t="s">
        <v>86</v>
      </c>
      <c r="AU7" s="405" t="s">
        <v>87</v>
      </c>
      <c r="AV7" s="202" t="s">
        <v>88</v>
      </c>
      <c r="AW7" s="414"/>
      <c r="AX7" s="409"/>
      <c r="AY7" s="409"/>
      <c r="AZ7" s="291"/>
      <c r="BA7" s="287" t="s">
        <v>89</v>
      </c>
    </row>
    <row r="8" customFormat="false" ht="12.95" hidden="false" customHeight="true" outlineLevel="0" collapsed="false">
      <c r="A8" s="313"/>
      <c r="B8" s="403"/>
      <c r="C8" s="404"/>
      <c r="D8" s="313"/>
      <c r="E8" s="404"/>
      <c r="F8" s="313"/>
      <c r="G8" s="403"/>
      <c r="H8" s="405"/>
      <c r="I8" s="313"/>
      <c r="J8" s="313"/>
      <c r="K8" s="313"/>
      <c r="L8" s="313"/>
      <c r="M8" s="412"/>
      <c r="N8" s="69"/>
      <c r="O8" s="313"/>
      <c r="P8" s="69"/>
      <c r="Q8" s="58" t="s">
        <v>61</v>
      </c>
      <c r="R8" s="58" t="s">
        <v>61</v>
      </c>
      <c r="S8" s="58"/>
      <c r="T8" s="58"/>
      <c r="U8" s="413"/>
      <c r="V8" s="313"/>
      <c r="W8" s="31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4"/>
      <c r="AD8" s="404"/>
      <c r="AE8" s="415"/>
      <c r="AF8" s="317"/>
      <c r="AG8" s="317"/>
      <c r="AH8" s="500"/>
      <c r="AI8" s="404"/>
      <c r="AJ8" s="404"/>
      <c r="AK8" s="313"/>
      <c r="AL8" s="313"/>
      <c r="AM8" s="313"/>
      <c r="AN8" s="446"/>
      <c r="AO8" s="61"/>
      <c r="AP8" s="67"/>
      <c r="AQ8" s="67"/>
      <c r="AR8" s="62"/>
      <c r="AS8" s="62" t="s">
        <v>144</v>
      </c>
      <c r="AT8" s="68"/>
      <c r="AU8" s="405"/>
      <c r="AV8" s="202"/>
      <c r="AW8" s="414"/>
      <c r="AX8" s="409"/>
      <c r="AY8" s="409"/>
      <c r="AZ8" s="291"/>
      <c r="BA8" s="287"/>
    </row>
    <row r="9" customFormat="false" ht="12.95" hidden="false" customHeight="true" outlineLevel="0" collapsed="false">
      <c r="A9" s="313"/>
      <c r="B9" s="403"/>
      <c r="C9" s="404"/>
      <c r="D9" s="313"/>
      <c r="E9" s="404"/>
      <c r="F9" s="313"/>
      <c r="G9" s="403"/>
      <c r="H9" s="405"/>
      <c r="I9" s="313"/>
      <c r="J9" s="313"/>
      <c r="K9" s="313"/>
      <c r="L9" s="313"/>
      <c r="M9" s="412"/>
      <c r="N9" s="69"/>
      <c r="O9" s="313"/>
      <c r="P9" s="69"/>
      <c r="Q9" s="58"/>
      <c r="R9" s="81" t="n">
        <v>4.2</v>
      </c>
      <c r="S9" s="58"/>
      <c r="T9" s="58"/>
      <c r="U9" s="413"/>
      <c r="V9" s="313"/>
      <c r="W9" s="313"/>
      <c r="X9" s="65"/>
      <c r="Y9" s="57" t="s">
        <v>90</v>
      </c>
      <c r="Z9" s="61"/>
      <c r="AA9" s="57" t="s">
        <v>90</v>
      </c>
      <c r="AB9" s="61" t="s">
        <v>93</v>
      </c>
      <c r="AC9" s="404"/>
      <c r="AD9" s="404"/>
      <c r="AE9" s="313"/>
      <c r="AF9" s="416"/>
      <c r="AG9" s="417"/>
      <c r="AH9" s="409"/>
      <c r="AI9" s="404"/>
      <c r="AJ9" s="404"/>
      <c r="AK9" s="313"/>
      <c r="AL9" s="313"/>
      <c r="AM9" s="313"/>
      <c r="AN9" s="446"/>
      <c r="AO9" s="61"/>
      <c r="AP9" s="67"/>
      <c r="AQ9" s="67"/>
      <c r="AR9" s="62"/>
      <c r="AS9" s="62"/>
      <c r="AT9" s="68"/>
      <c r="AU9" s="405"/>
      <c r="AV9" s="202"/>
      <c r="AW9" s="414"/>
      <c r="AX9" s="409"/>
      <c r="AY9" s="409"/>
      <c r="AZ9" s="291"/>
      <c r="BA9" s="287"/>
    </row>
    <row r="10" customFormat="false" ht="12.95" hidden="false" customHeight="true" outlineLevel="0" collapsed="false">
      <c r="A10" s="313"/>
      <c r="B10" s="403"/>
      <c r="C10" s="404" t="s">
        <v>10</v>
      </c>
      <c r="D10" s="313"/>
      <c r="E10" s="404" t="s">
        <v>95</v>
      </c>
      <c r="F10" s="313"/>
      <c r="G10" s="403" t="s">
        <v>41</v>
      </c>
      <c r="H10" s="405" t="s">
        <v>41</v>
      </c>
      <c r="I10" s="405" t="s">
        <v>41</v>
      </c>
      <c r="J10" s="405" t="s">
        <v>41</v>
      </c>
      <c r="K10" s="405" t="s">
        <v>41</v>
      </c>
      <c r="L10" s="405" t="s">
        <v>41</v>
      </c>
      <c r="M10" s="419" t="s">
        <v>41</v>
      </c>
      <c r="N10" s="405" t="s">
        <v>41</v>
      </c>
      <c r="O10" s="405" t="s">
        <v>41</v>
      </c>
      <c r="P10" s="405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18" t="s">
        <v>41</v>
      </c>
      <c r="V10" s="405" t="s">
        <v>41</v>
      </c>
      <c r="W10" s="405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5" t="s">
        <v>41</v>
      </c>
      <c r="AD10" s="405" t="s">
        <v>41</v>
      </c>
      <c r="AE10" s="405" t="s">
        <v>41</v>
      </c>
      <c r="AF10" s="419" t="s">
        <v>41</v>
      </c>
      <c r="AG10" s="418" t="s">
        <v>41</v>
      </c>
      <c r="AH10" s="405" t="s">
        <v>41</v>
      </c>
      <c r="AI10" s="405" t="s">
        <v>41</v>
      </c>
      <c r="AJ10" s="405" t="s">
        <v>41</v>
      </c>
      <c r="AK10" s="405" t="s">
        <v>41</v>
      </c>
      <c r="AL10" s="405" t="s">
        <v>41</v>
      </c>
      <c r="AM10" s="405" t="s">
        <v>41</v>
      </c>
      <c r="AN10" s="446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2" t="s">
        <v>41</v>
      </c>
      <c r="AT10" s="61" t="s">
        <v>41</v>
      </c>
      <c r="AU10" s="61" t="s">
        <v>41</v>
      </c>
      <c r="AV10" s="61" t="s">
        <v>41</v>
      </c>
      <c r="AW10" s="414"/>
      <c r="AX10" s="409"/>
      <c r="AY10" s="409"/>
      <c r="AZ10" s="291"/>
      <c r="BA10" s="287" t="s">
        <v>97</v>
      </c>
    </row>
    <row r="11" customFormat="false" ht="12.95" hidden="false" customHeight="true" outlineLevel="0" collapsed="false">
      <c r="A11" s="313"/>
      <c r="B11" s="403"/>
      <c r="C11" s="404"/>
      <c r="D11" s="313"/>
      <c r="E11" s="404"/>
      <c r="F11" s="313"/>
      <c r="G11" s="403"/>
      <c r="H11" s="405"/>
      <c r="I11" s="313"/>
      <c r="J11" s="313"/>
      <c r="K11" s="313"/>
      <c r="L11" s="313"/>
      <c r="M11" s="412"/>
      <c r="N11" s="69" t="n">
        <v>1.03</v>
      </c>
      <c r="O11" s="420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3"/>
      <c r="V11" s="313"/>
      <c r="W11" s="31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4"/>
      <c r="AD11" s="404"/>
      <c r="AE11" s="313"/>
      <c r="AF11" s="416"/>
      <c r="AG11" s="417"/>
      <c r="AH11" s="409"/>
      <c r="AI11" s="404"/>
      <c r="AJ11" s="404"/>
      <c r="AK11" s="313"/>
      <c r="AL11" s="313"/>
      <c r="AM11" s="313"/>
      <c r="AN11" s="446"/>
      <c r="AO11" s="61"/>
      <c r="AP11" s="67"/>
      <c r="AQ11" s="67"/>
      <c r="AR11" s="62"/>
      <c r="AS11" s="62"/>
      <c r="AT11" s="87"/>
      <c r="AU11" s="316"/>
      <c r="AV11" s="176"/>
      <c r="AW11" s="414"/>
      <c r="AX11" s="409"/>
      <c r="AY11" s="409"/>
      <c r="AZ11" s="291"/>
      <c r="BA11" s="287" t="s">
        <v>41</v>
      </c>
    </row>
    <row r="12" customFormat="false" ht="12.95" hidden="false" customHeight="true" outlineLevel="0" collapsed="false">
      <c r="A12" s="184" t="s">
        <v>99</v>
      </c>
      <c r="B12" s="205"/>
      <c r="C12" s="107"/>
      <c r="D12" s="107"/>
      <c r="E12" s="107"/>
      <c r="F12" s="206" t="n">
        <f aca="false">SEP!F49</f>
        <v>9828.58583312326</v>
      </c>
      <c r="G12" s="107" t="n">
        <f aca="false">SEP!G49</f>
        <v>123803</v>
      </c>
      <c r="H12" s="554" t="n">
        <f aca="false">SEP!H49</f>
        <v>4578.77</v>
      </c>
      <c r="I12" s="107" t="n">
        <f aca="false">SEP!I49</f>
        <v>128381.77</v>
      </c>
      <c r="J12" s="107" t="n">
        <f aca="false">SEP!J49</f>
        <v>21500.6151273002</v>
      </c>
      <c r="K12" s="107" t="n">
        <f aca="false">SEP!K49</f>
        <v>149882.3851273</v>
      </c>
      <c r="L12" s="107" t="n">
        <f aca="false">SEP!L49</f>
        <v>19718.4134346233</v>
      </c>
      <c r="M12" s="208" t="n">
        <f aca="false">SEP!M49</f>
        <v>40773.3</v>
      </c>
      <c r="N12" s="107" t="n">
        <f aca="false">SEP!N49</f>
        <v>172.4589255</v>
      </c>
      <c r="O12" s="107" t="n">
        <f aca="false">SEP!O49</f>
        <v>12708.0975</v>
      </c>
      <c r="P12" s="155" t="n">
        <f aca="false">SEP!P49</f>
        <v>7.363</v>
      </c>
      <c r="Q12" s="107"/>
      <c r="R12" s="107"/>
      <c r="S12" s="107"/>
      <c r="T12" s="107"/>
      <c r="U12" s="209"/>
      <c r="V12" s="107" t="n">
        <f aca="false">SEP!V49</f>
        <v>20486.6</v>
      </c>
      <c r="W12" s="107" t="n">
        <f aca="false">SEP!W49</f>
        <v>11579.98</v>
      </c>
      <c r="X12" s="107" t="n">
        <f aca="false">SEP!X49</f>
        <v>60230.9429352523</v>
      </c>
      <c r="Y12" s="107" t="n">
        <f aca="false">SEP!Y49</f>
        <v>59173.3629352523</v>
      </c>
      <c r="Z12" s="107" t="n">
        <f aca="false">SEP!Z44</f>
        <v>0</v>
      </c>
      <c r="AA12" s="107"/>
      <c r="AB12" s="107" t="n">
        <f aca="false">SEP!AB12</f>
        <v>0</v>
      </c>
      <c r="AC12" s="107" t="n">
        <f aca="false">SEP!AC44</f>
        <v>0</v>
      </c>
      <c r="AD12" s="107" t="n">
        <f aca="false">SEP!AD44</f>
        <v>770.414651413478</v>
      </c>
      <c r="AE12" s="107" t="n">
        <f aca="false">SEP!AE49</f>
        <v>27839.14</v>
      </c>
      <c r="AF12" s="208" t="n">
        <f aca="false">SEP!AF49</f>
        <v>311.1</v>
      </c>
      <c r="AG12" s="210" t="n">
        <f aca="false">SEP!AG49</f>
        <v>237.9</v>
      </c>
      <c r="AH12" s="107"/>
      <c r="AI12" s="107"/>
      <c r="AJ12" s="107"/>
      <c r="AK12" s="107" t="n">
        <f aca="false">SEP!AK49</f>
        <v>138271.5976015</v>
      </c>
      <c r="AL12" s="107" t="n">
        <f aca="false">SEP!AL49</f>
        <v>1782.20169267696</v>
      </c>
      <c r="AM12" s="107" t="n">
        <f aca="false">SEP!AM49</f>
        <v>140053.799294177</v>
      </c>
      <c r="AN12" s="212"/>
      <c r="AO12" s="136"/>
      <c r="AP12" s="136"/>
      <c r="AQ12" s="136" t="n">
        <f aca="false">SEP!AQ50</f>
        <v>671.938892420578</v>
      </c>
      <c r="AR12" s="136" t="n">
        <f aca="false">SEP!AR49</f>
        <v>2547.6295</v>
      </c>
      <c r="AS12" s="136"/>
      <c r="AT12" s="207" t="n">
        <f aca="false">SEP!AS49</f>
        <v>740.42</v>
      </c>
      <c r="AU12" s="207" t="n">
        <f aca="false">SEP!AT49</f>
        <v>662.99</v>
      </c>
      <c r="AV12" s="207"/>
      <c r="AW12" s="312"/>
      <c r="AX12" s="207"/>
      <c r="AY12" s="207"/>
      <c r="AZ12" s="291"/>
      <c r="BA12" s="323"/>
    </row>
    <row r="13" s="222" customFormat="true" ht="12.95" hidden="false" customHeight="true" outlineLevel="0" collapsed="false">
      <c r="A13" s="173" t="s">
        <v>100</v>
      </c>
      <c r="B13" s="106" t="n">
        <f aca="false">SEP!B44</f>
        <v>6904.39</v>
      </c>
      <c r="C13" s="107" t="n">
        <f aca="false">SEP!C44</f>
        <v>300063</v>
      </c>
      <c r="D13" s="107" t="n">
        <f aca="false">SEP!D53</f>
        <v>22672</v>
      </c>
      <c r="E13" s="107" t="n">
        <f aca="false">SEP!E53</f>
        <v>148085</v>
      </c>
      <c r="F13" s="206" t="n">
        <f aca="false">SEP!F52</f>
        <v>11430.299974792</v>
      </c>
      <c r="G13" s="107" t="n">
        <f aca="false">SEP!G52</f>
        <v>135038</v>
      </c>
      <c r="H13" s="554" t="n">
        <f aca="false">SEP!H52</f>
        <v>5139.35</v>
      </c>
      <c r="I13" s="107" t="n">
        <f aca="false">SEP!I52</f>
        <v>140177.35</v>
      </c>
      <c r="J13" s="107" t="n">
        <f aca="false">SEP!J52</f>
        <v>24599.125576002</v>
      </c>
      <c r="K13" s="107" t="n">
        <f aca="false">SEP!K52</f>
        <v>164776.475576002</v>
      </c>
      <c r="L13" s="107" t="n">
        <f aca="false">SEP!L52</f>
        <v>21797.937576292</v>
      </c>
      <c r="M13" s="208" t="n">
        <f aca="false">SEP!M52</f>
        <v>41696.41</v>
      </c>
      <c r="N13" s="107" t="n">
        <f aca="false">SEP!N52</f>
        <v>172.4589255</v>
      </c>
      <c r="O13" s="107" t="n">
        <f aca="false">SEP!O52</f>
        <v>12708.0975</v>
      </c>
      <c r="P13" s="155"/>
      <c r="Q13" s="107" t="n">
        <f aca="false">SEP!Q52</f>
        <v>699.539926911296</v>
      </c>
      <c r="R13" s="207" t="n">
        <f aca="false">SEP!R52</f>
        <v>950.274034379597</v>
      </c>
      <c r="S13" s="107" t="n">
        <f aca="false">SEP!S52</f>
        <v>235.425602282885</v>
      </c>
      <c r="T13" s="107" t="n">
        <f aca="false">SEP!T52</f>
        <v>423.233148</v>
      </c>
      <c r="U13" s="308" t="n">
        <f aca="false">SEP!U52</f>
        <v>-12.2414035208269</v>
      </c>
      <c r="V13" s="107" t="n">
        <f aca="false">SEP!V52</f>
        <v>26580.6</v>
      </c>
      <c r="W13" s="107" t="n">
        <f aca="false">SEP!W52</f>
        <v>11638.26</v>
      </c>
      <c r="X13" s="107" t="n">
        <f aca="false">SEP!X52</f>
        <v>66615.758766447</v>
      </c>
      <c r="Y13" s="107" t="n">
        <f aca="false">SEP!Y52</f>
        <v>65356.3795366068</v>
      </c>
      <c r="Z13" s="107"/>
      <c r="AA13" s="107"/>
      <c r="AB13" s="107"/>
      <c r="AC13" s="107" t="n">
        <f aca="false">SEP!AC52</f>
        <v>0</v>
      </c>
      <c r="AD13" s="107"/>
      <c r="AE13" s="107" t="n">
        <f aca="false">SEP!AE52</f>
        <v>0</v>
      </c>
      <c r="AF13" s="276"/>
      <c r="AG13" s="266"/>
      <c r="AH13" s="107" t="n">
        <f aca="false">SEP!AH52</f>
        <v>43123</v>
      </c>
      <c r="AI13" s="107" t="n">
        <f aca="false">SEP!AI52</f>
        <v>6793.25787748929</v>
      </c>
      <c r="AJ13" s="107" t="n">
        <f aca="false">SEP!AJ52</f>
        <v>28682</v>
      </c>
      <c r="AK13" s="107" t="n">
        <f aca="false">SEP!AK52</f>
        <v>150544.9876015</v>
      </c>
      <c r="AL13" s="107" t="n">
        <f aca="false">SEP!AL52</f>
        <v>2801.18799970998</v>
      </c>
      <c r="AM13" s="107" t="n">
        <f aca="false">SEP!AM52</f>
        <v>153346.17560121</v>
      </c>
      <c r="AN13" s="212" t="n">
        <f aca="false">SEP!AN53</f>
        <v>13403.62026</v>
      </c>
      <c r="AO13" s="136" t="n">
        <f aca="false">SEP!AO52</f>
        <v>1259.3792298402</v>
      </c>
      <c r="AP13" s="136"/>
      <c r="AQ13" s="136" t="n">
        <f aca="false">SEP!AQ53</f>
        <v>671.938892420578</v>
      </c>
      <c r="AR13" s="155"/>
      <c r="AS13" s="155"/>
      <c r="AT13" s="207" t="n">
        <f aca="false">SEP!AS52</f>
        <v>0</v>
      </c>
      <c r="AU13" s="207" t="n">
        <f aca="false">SEP!AT52</f>
        <v>0</v>
      </c>
      <c r="AV13" s="207" t="n">
        <f aca="false">SEP!AU49</f>
        <v>354.89</v>
      </c>
      <c r="AW13" s="312" t="n">
        <f aca="false">SEP!AV52</f>
        <v>9.503</v>
      </c>
      <c r="AX13" s="207"/>
      <c r="AY13" s="207"/>
      <c r="AZ13" s="294"/>
      <c r="BA13" s="330" t="n">
        <f aca="false">SEP!AZ52</f>
        <v>2476.05323355295</v>
      </c>
    </row>
    <row r="14" customFormat="false" ht="3" hidden="false" customHeight="true" outlineLevel="0" collapsed="false">
      <c r="A14" s="223"/>
      <c r="B14" s="224"/>
      <c r="C14" s="225"/>
      <c r="D14" s="226"/>
      <c r="E14" s="225"/>
      <c r="F14" s="227"/>
      <c r="G14" s="226"/>
      <c r="H14" s="555"/>
      <c r="I14" s="226"/>
      <c r="J14" s="226"/>
      <c r="K14" s="226"/>
      <c r="L14" s="226"/>
      <c r="M14" s="229"/>
      <c r="N14" s="226"/>
      <c r="O14" s="226"/>
      <c r="P14" s="230"/>
      <c r="Q14" s="226"/>
      <c r="R14" s="226"/>
      <c r="S14" s="226"/>
      <c r="T14" s="226"/>
      <c r="U14" s="231"/>
      <c r="V14" s="226"/>
      <c r="W14" s="226"/>
      <c r="X14" s="226"/>
      <c r="Y14" s="226"/>
      <c r="Z14" s="225"/>
      <c r="AA14" s="226"/>
      <c r="AB14" s="225"/>
      <c r="AC14" s="225"/>
      <c r="AD14" s="225"/>
      <c r="AE14" s="226"/>
      <c r="AF14" s="229"/>
      <c r="AG14" s="233"/>
      <c r="AH14" s="226"/>
      <c r="AI14" s="225"/>
      <c r="AJ14" s="225"/>
      <c r="AK14" s="226"/>
      <c r="AL14" s="226"/>
      <c r="AM14" s="226"/>
      <c r="AN14" s="234"/>
      <c r="AO14" s="232"/>
      <c r="AP14" s="232"/>
      <c r="AQ14" s="230"/>
      <c r="AR14" s="230"/>
      <c r="AS14" s="230"/>
      <c r="AT14" s="230"/>
      <c r="AU14" s="230"/>
      <c r="AV14" s="235" t="s">
        <v>140</v>
      </c>
      <c r="AW14" s="481"/>
      <c r="AX14" s="235"/>
      <c r="AY14" s="235"/>
      <c r="AZ14" s="249"/>
      <c r="BA14" s="309"/>
    </row>
    <row r="15" customFormat="false" ht="12.95" hidden="false" customHeight="true" outlineLevel="0" collapsed="false">
      <c r="A15" s="179" t="n">
        <v>1</v>
      </c>
      <c r="B15" s="106" t="n">
        <v>6904.3</v>
      </c>
      <c r="C15" s="107" t="n">
        <v>299718</v>
      </c>
      <c r="D15" s="207" t="n">
        <f aca="false">C15-C13</f>
        <v>-345</v>
      </c>
      <c r="E15" s="107" t="n">
        <f aca="false">C15-152000</f>
        <v>147718</v>
      </c>
      <c r="F15" s="238" t="n">
        <f aca="false">D15/$D$2</f>
        <v>-173.93496344845</v>
      </c>
      <c r="G15" s="135" t="n">
        <v>177</v>
      </c>
      <c r="H15" s="556" t="n">
        <v>0</v>
      </c>
      <c r="I15" s="135" t="n">
        <f aca="false">G15+H15</f>
        <v>177</v>
      </c>
      <c r="J15" s="136" t="n">
        <f aca="false">IF(L15&gt;0,L15,0)</f>
        <v>30.8950365515503</v>
      </c>
      <c r="K15" s="135" t="n">
        <f aca="false">I15+J15</f>
        <v>207.89503655155</v>
      </c>
      <c r="L15" s="135" t="n">
        <f aca="false">F15-(I15-AK15)</f>
        <v>30.8950365515503</v>
      </c>
      <c r="M15" s="240" t="n">
        <v>91</v>
      </c>
      <c r="N15" s="155" t="n">
        <f aca="false">(1.8299*1.03)/2</f>
        <v>0.9423985</v>
      </c>
      <c r="O15" s="135" t="n">
        <f aca="false">(11+9.8)*1.05</f>
        <v>21.84</v>
      </c>
      <c r="P15" s="155" t="n">
        <v>0</v>
      </c>
      <c r="Q15" s="328" t="n">
        <f aca="false">1506400/325851/1.9835*1.02</f>
        <v>2.37732860402249</v>
      </c>
      <c r="R15" s="328" t="n">
        <v>4.2</v>
      </c>
      <c r="S15" s="131" t="n">
        <f aca="false">(((3581652)/325851/1.9835-T15)*1.04)-4.2</f>
        <v>0.341988953808097</v>
      </c>
      <c r="T15" s="131" t="n">
        <f aca="false">1.1291*1.04</f>
        <v>1.174264</v>
      </c>
      <c r="U15" s="346" t="n">
        <v>0</v>
      </c>
      <c r="V15" s="135" t="n">
        <v>108</v>
      </c>
      <c r="W15" s="135" t="n">
        <v>65</v>
      </c>
      <c r="X15" s="135" t="n">
        <f aca="false">M15-N15-O15-P15-Q15-R15-S15-T15-U15+V15+W15-AU15+AR15</f>
        <v>231.954019942169</v>
      </c>
      <c r="Y15" s="135" t="n">
        <f aca="false">X15-AO15</f>
        <v>212.954019942169</v>
      </c>
      <c r="Z15" s="107"/>
      <c r="AA15" s="135"/>
      <c r="AB15" s="107"/>
      <c r="AC15" s="107"/>
      <c r="AD15" s="207" t="n">
        <f aca="false">AD12+AP15</f>
        <v>707.183302867286</v>
      </c>
      <c r="AE15" s="135" t="n">
        <v>67</v>
      </c>
      <c r="AF15" s="137" t="n">
        <v>1.7</v>
      </c>
      <c r="AG15" s="138" t="n">
        <v>1.3</v>
      </c>
      <c r="AH15" s="135" t="n">
        <v>52</v>
      </c>
      <c r="AI15" s="107" t="n">
        <f aca="false">AI13-AH15</f>
        <v>6741.25787748929</v>
      </c>
      <c r="AJ15" s="107"/>
      <c r="AK15" s="134" t="n">
        <f aca="false">N15+O15+P15+Q15+R15+S15+T15+U15+X15+AE15+AH15</f>
        <v>381.83</v>
      </c>
      <c r="AL15" s="135" t="n">
        <f aca="false">IF(L15&lt;0,L15*-1,0)</f>
        <v>0</v>
      </c>
      <c r="AM15" s="135" t="n">
        <f aca="false">AK15+AL15</f>
        <v>381.83</v>
      </c>
      <c r="AN15" s="557"/>
      <c r="AO15" s="136" t="n">
        <v>19</v>
      </c>
      <c r="AP15" s="97" t="n">
        <f aca="false">(I15-AO15)-Q15-R15-Y15-AF15</f>
        <v>-63.2313485461919</v>
      </c>
      <c r="AQ15" s="155" t="n">
        <f aca="false">18.67*(Z15*1.9835+AC15*1.9835)/E15</f>
        <v>0</v>
      </c>
      <c r="AR15" s="155"/>
      <c r="AS15" s="155"/>
      <c r="AT15" s="107"/>
      <c r="AU15" s="172" t="n">
        <v>1.17</v>
      </c>
      <c r="AV15" s="175" t="n">
        <f aca="false">O15</f>
        <v>21.84</v>
      </c>
      <c r="AW15" s="312" t="n">
        <v>0</v>
      </c>
      <c r="AX15" s="207" t="n">
        <v>81</v>
      </c>
      <c r="AY15" s="207" t="n">
        <v>48</v>
      </c>
      <c r="AZ15" s="291"/>
      <c r="BA15" s="242" t="n">
        <f aca="false">SUM(N15,P15:U15)</f>
        <v>9.03598005783059</v>
      </c>
    </row>
    <row r="16" customFormat="false" ht="12.95" hidden="false" customHeight="true" outlineLevel="0" collapsed="false">
      <c r="A16" s="179" t="n">
        <f aca="false">A15+1</f>
        <v>2</v>
      </c>
      <c r="B16" s="106" t="n">
        <v>6904.2</v>
      </c>
      <c r="C16" s="107" t="n">
        <v>299336</v>
      </c>
      <c r="D16" s="207" t="n">
        <f aca="false">C16-C15</f>
        <v>-382</v>
      </c>
      <c r="E16" s="107" t="n">
        <f aca="false">C16-152000</f>
        <v>147336</v>
      </c>
      <c r="F16" s="238" t="n">
        <f aca="false">D16/$D$2</f>
        <v>-192.588858079153</v>
      </c>
      <c r="G16" s="135" t="n">
        <v>180</v>
      </c>
      <c r="H16" s="556" t="n">
        <v>0</v>
      </c>
      <c r="I16" s="135" t="n">
        <f aca="false">G16+H16</f>
        <v>180</v>
      </c>
      <c r="J16" s="136" t="n">
        <f aca="false">IF(L16&gt;0,L16,0)</f>
        <v>11.321141920847</v>
      </c>
      <c r="K16" s="135" t="n">
        <f aca="false">I16+J16</f>
        <v>191.321141920847</v>
      </c>
      <c r="L16" s="135" t="n">
        <f aca="false">F16-(I16-AK16)</f>
        <v>11.321141920847</v>
      </c>
      <c r="M16" s="240" t="n">
        <v>109</v>
      </c>
      <c r="N16" s="155" t="n">
        <f aca="false">(1.8299*1.03)/2</f>
        <v>0.9423985</v>
      </c>
      <c r="O16" s="135" t="n">
        <f aca="false">(2.6+2.7)*1.05</f>
        <v>5.565</v>
      </c>
      <c r="P16" s="155" t="n">
        <v>0</v>
      </c>
      <c r="Q16" s="328" t="n">
        <f aca="false">1463900/325851/1.9835*1.02</f>
        <v>2.31025713185643</v>
      </c>
      <c r="R16" s="328" t="n">
        <f aca="false">((2919484)/325851/1.9835-T16)*1.04</f>
        <v>3.4764967765415</v>
      </c>
      <c r="S16" s="83" t="n">
        <v>0</v>
      </c>
      <c r="T16" s="131" t="n">
        <f aca="false">1.1291*1.04</f>
        <v>1.174264</v>
      </c>
      <c r="U16" s="346" t="n">
        <v>0</v>
      </c>
      <c r="V16" s="135" t="n">
        <v>108</v>
      </c>
      <c r="W16" s="135" t="n">
        <v>65</v>
      </c>
      <c r="X16" s="135" t="n">
        <f aca="false">M16-N16-O16-P16-Q16-R16-S16-T16-U16+V16+W16-AU16+AR16</f>
        <v>267.441583591602</v>
      </c>
      <c r="Y16" s="135" t="n">
        <f aca="false">X16-AO16</f>
        <v>248.441583591602</v>
      </c>
      <c r="Z16" s="107"/>
      <c r="AA16" s="135"/>
      <c r="AB16" s="107"/>
      <c r="AC16" s="107"/>
      <c r="AD16" s="207" t="n">
        <f aca="false">AD15+AP16</f>
        <v>612.254965367286</v>
      </c>
      <c r="AE16" s="135" t="n">
        <v>51</v>
      </c>
      <c r="AF16" s="137" t="n">
        <v>1.7</v>
      </c>
      <c r="AG16" s="138" t="n">
        <v>1.3</v>
      </c>
      <c r="AH16" s="135" t="n">
        <v>52</v>
      </c>
      <c r="AI16" s="107" t="n">
        <f aca="false">AI15-AH16</f>
        <v>6689.25787748929</v>
      </c>
      <c r="AJ16" s="107"/>
      <c r="AK16" s="134" t="n">
        <f aca="false">N16+O16+P16+Q16+R16+S16+T16+U16+X16+AE16+AH16</f>
        <v>383.91</v>
      </c>
      <c r="AL16" s="135" t="n">
        <f aca="false">IF(L16&lt;0,L16*-1,0)</f>
        <v>0</v>
      </c>
      <c r="AM16" s="135" t="n">
        <f aca="false">AK16+AL16</f>
        <v>383.91</v>
      </c>
      <c r="AN16" s="557"/>
      <c r="AO16" s="136" t="n">
        <v>19</v>
      </c>
      <c r="AP16" s="97" t="n">
        <f aca="false">(I16-AO16)-Q16-R16-Y16-AF16</f>
        <v>-94.9283375</v>
      </c>
      <c r="AQ16" s="155" t="n">
        <f aca="false">18.67*(Z16*1.9835+AC16*1.9835)/E16</f>
        <v>0</v>
      </c>
      <c r="AR16" s="155"/>
      <c r="AS16" s="155"/>
      <c r="AT16" s="107"/>
      <c r="AU16" s="172" t="n">
        <v>1.09</v>
      </c>
      <c r="AV16" s="175" t="n">
        <f aca="false">O16</f>
        <v>5.565</v>
      </c>
      <c r="AW16" s="312" t="n">
        <v>0</v>
      </c>
      <c r="AX16" s="207" t="n">
        <v>75</v>
      </c>
      <c r="AY16" s="207" t="n">
        <v>49</v>
      </c>
      <c r="AZ16" s="291"/>
      <c r="BA16" s="242" t="n">
        <f aca="false">SUM(N16,P16:U16)</f>
        <v>7.90341640839792</v>
      </c>
    </row>
    <row r="17" customFormat="false" ht="12.95" hidden="false" customHeight="true" outlineLevel="0" collapsed="false">
      <c r="A17" s="179" t="n">
        <f aca="false">A16+1</f>
        <v>3</v>
      </c>
      <c r="B17" s="106" t="n">
        <v>6904.08</v>
      </c>
      <c r="C17" s="107" t="n">
        <v>298877</v>
      </c>
      <c r="D17" s="207" t="n">
        <f aca="false">C17-C16</f>
        <v>-459</v>
      </c>
      <c r="E17" s="107" t="n">
        <f aca="false">C17-152000</f>
        <v>146877</v>
      </c>
      <c r="F17" s="238" t="n">
        <f aca="false">D17/$D$2</f>
        <v>-231.40912528359</v>
      </c>
      <c r="G17" s="135" t="n">
        <v>178</v>
      </c>
      <c r="H17" s="556" t="n">
        <v>0</v>
      </c>
      <c r="I17" s="135" t="n">
        <f aca="false">G17+H17</f>
        <v>178</v>
      </c>
      <c r="J17" s="136" t="n">
        <f aca="false">IF(L17&gt;0,L17,0)</f>
        <v>14.5008747164105</v>
      </c>
      <c r="K17" s="135" t="n">
        <f aca="false">I17+J17</f>
        <v>192.50087471641</v>
      </c>
      <c r="L17" s="135" t="n">
        <f aca="false">F17-(I17-AK17)</f>
        <v>14.5008747164105</v>
      </c>
      <c r="M17" s="240" t="n">
        <v>133</v>
      </c>
      <c r="N17" s="155" t="n">
        <f aca="false">(1.8299*1.03)/2</f>
        <v>0.9423985</v>
      </c>
      <c r="O17" s="135" t="n">
        <f aca="false">(11+15)*1.05</f>
        <v>27.3</v>
      </c>
      <c r="P17" s="155" t="n">
        <v>0</v>
      </c>
      <c r="Q17" s="328" t="n">
        <f aca="false">1228600/325851/1.9835*1.02</f>
        <v>1.93891789889938</v>
      </c>
      <c r="R17" s="328" t="n">
        <f aca="false">((3195516)/325851/1.9835-T17)*1.04</f>
        <v>3.92065888747898</v>
      </c>
      <c r="S17" s="83" t="n">
        <v>0</v>
      </c>
      <c r="T17" s="131" t="n">
        <f aca="false">1.1291*1.04</f>
        <v>1.174264</v>
      </c>
      <c r="U17" s="346" t="n">
        <v>0</v>
      </c>
      <c r="V17" s="135" t="n">
        <v>107</v>
      </c>
      <c r="W17" s="135" t="n">
        <v>64</v>
      </c>
      <c r="X17" s="135" t="n">
        <f aca="false">M17-N17-O17-P17-Q17-R17-S17-T17-U17+V17+W17-AU17+AR17</f>
        <v>267.633760713622</v>
      </c>
      <c r="Y17" s="135" t="n">
        <f aca="false">X17-AO17</f>
        <v>248.633760713622</v>
      </c>
      <c r="Z17" s="107"/>
      <c r="AA17" s="135"/>
      <c r="AB17" s="107"/>
      <c r="AC17" s="107"/>
      <c r="AD17" s="207" t="n">
        <f aca="false">AD16+AP17</f>
        <v>515.061627867286</v>
      </c>
      <c r="AE17" s="135" t="n">
        <v>69</v>
      </c>
      <c r="AF17" s="137" t="n">
        <v>1.7</v>
      </c>
      <c r="AG17" s="138" t="n">
        <v>1.3</v>
      </c>
      <c r="AH17" s="135" t="n">
        <v>52</v>
      </c>
      <c r="AI17" s="107" t="n">
        <f aca="false">AI16-AH17</f>
        <v>6637.25787748929</v>
      </c>
      <c r="AJ17" s="107"/>
      <c r="AK17" s="134" t="n">
        <f aca="false">N17+O17+P17+Q17+R17+S17+T17+U17+X17+AE17+AH17</f>
        <v>423.91</v>
      </c>
      <c r="AL17" s="135" t="n">
        <f aca="false">IF(L17&lt;0,L17*-1,0)</f>
        <v>0</v>
      </c>
      <c r="AM17" s="135" t="n">
        <f aca="false">AK17+AL17</f>
        <v>423.91</v>
      </c>
      <c r="AN17" s="557"/>
      <c r="AO17" s="136" t="n">
        <v>19</v>
      </c>
      <c r="AP17" s="97" t="n">
        <f aca="false">(I17-AO17)-Q17-R17-Y17-AF17</f>
        <v>-97.1933375000001</v>
      </c>
      <c r="AQ17" s="155" t="n">
        <f aca="false">18.67*(Z17*1.9835+AC17*1.9835)/E17</f>
        <v>0</v>
      </c>
      <c r="AR17" s="155"/>
      <c r="AS17" s="155"/>
      <c r="AT17" s="107"/>
      <c r="AU17" s="172" t="n">
        <v>1.09</v>
      </c>
      <c r="AV17" s="175" t="n">
        <f aca="false">O17</f>
        <v>27.3</v>
      </c>
      <c r="AW17" s="312" t="n">
        <v>0</v>
      </c>
      <c r="AX17" s="207" t="n">
        <v>75</v>
      </c>
      <c r="AY17" s="207" t="n">
        <v>45</v>
      </c>
      <c r="AZ17" s="291"/>
      <c r="BA17" s="242" t="n">
        <f aca="false">SUM(N17,P17:U17)</f>
        <v>7.97623928637837</v>
      </c>
    </row>
    <row r="18" customFormat="false" ht="12.95" hidden="false" customHeight="true" outlineLevel="0" collapsed="false">
      <c r="A18" s="179" t="n">
        <f aca="false">A17+1</f>
        <v>4</v>
      </c>
      <c r="B18" s="106" t="n">
        <v>6904.03</v>
      </c>
      <c r="C18" s="107" t="n">
        <v>298686</v>
      </c>
      <c r="D18" s="207" t="n">
        <f aca="false">C18-C17</f>
        <v>-191</v>
      </c>
      <c r="E18" s="107" t="n">
        <f aca="false">C18-152000</f>
        <v>146686</v>
      </c>
      <c r="F18" s="238" t="n">
        <f aca="false">D18/$D$2</f>
        <v>-96.2944290395765</v>
      </c>
      <c r="G18" s="135" t="n">
        <v>178</v>
      </c>
      <c r="H18" s="556" t="n">
        <v>0</v>
      </c>
      <c r="I18" s="135" t="n">
        <f aca="false">G18+H18</f>
        <v>178</v>
      </c>
      <c r="J18" s="136" t="n">
        <f aca="false">IF(L18&gt;0,L18,0)</f>
        <v>103.615570960423</v>
      </c>
      <c r="K18" s="135" t="n">
        <f aca="false">I18+J18</f>
        <v>281.615570960424</v>
      </c>
      <c r="L18" s="135" t="n">
        <f aca="false">F18-(I18-AK18)</f>
        <v>103.615570960423</v>
      </c>
      <c r="M18" s="240" t="n">
        <v>122</v>
      </c>
      <c r="N18" s="155" t="n">
        <f aca="false">(1.8299*1.03)/2</f>
        <v>0.9423985</v>
      </c>
      <c r="O18" s="135" t="n">
        <f aca="false">(34+32)*1.05</f>
        <v>69.3</v>
      </c>
      <c r="P18" s="155" t="n">
        <v>0</v>
      </c>
      <c r="Q18" s="328" t="n">
        <f aca="false">950200/325851/1.9835*1.02</f>
        <v>1.49956030240452</v>
      </c>
      <c r="R18" s="328" t="n">
        <f aca="false">((3205573)/325851/1.9835-T18)*1.04</f>
        <v>3.93684157046392</v>
      </c>
      <c r="S18" s="83" t="n">
        <v>0</v>
      </c>
      <c r="T18" s="131" t="n">
        <f aca="false">1.1291*1.04</f>
        <v>1.174264</v>
      </c>
      <c r="U18" s="346" t="n">
        <v>0</v>
      </c>
      <c r="V18" s="135" t="n">
        <v>107</v>
      </c>
      <c r="W18" s="135" t="n">
        <v>66</v>
      </c>
      <c r="X18" s="135" t="n">
        <f aca="false">M18-N18-O18-P18-Q18-R18-S18-T18-U18+V18+W18-AU18+AR18</f>
        <v>217.056935627132</v>
      </c>
      <c r="Y18" s="135" t="n">
        <f aca="false">X18-AO18</f>
        <v>198.056935627132</v>
      </c>
      <c r="Z18" s="107"/>
      <c r="AA18" s="135"/>
      <c r="AB18" s="107"/>
      <c r="AC18" s="107"/>
      <c r="AD18" s="207" t="n">
        <f aca="false">AD17+AP18</f>
        <v>468.868290367286</v>
      </c>
      <c r="AE18" s="135" t="n">
        <v>33</v>
      </c>
      <c r="AF18" s="137" t="n">
        <v>1.7</v>
      </c>
      <c r="AG18" s="138" t="n">
        <v>1.3</v>
      </c>
      <c r="AH18" s="135" t="n">
        <v>51</v>
      </c>
      <c r="AI18" s="107" t="n">
        <f aca="false">AI17-AH18</f>
        <v>6586.25787748929</v>
      </c>
      <c r="AJ18" s="107"/>
      <c r="AK18" s="134" t="n">
        <f aca="false">N18+O18+P18+Q18+R18+S18+T18+U18+X18+AE18+AH18</f>
        <v>377.91</v>
      </c>
      <c r="AL18" s="135" t="n">
        <f aca="false">IF(L18&lt;0,L18*-1,0)</f>
        <v>0</v>
      </c>
      <c r="AM18" s="135" t="n">
        <f aca="false">AK18+AL18</f>
        <v>377.91</v>
      </c>
      <c r="AN18" s="557"/>
      <c r="AO18" s="136" t="n">
        <v>19</v>
      </c>
      <c r="AP18" s="97" t="n">
        <f aca="false">(I18-AO18)-Q18-R18-Y18-AF18</f>
        <v>-46.1933375</v>
      </c>
      <c r="AQ18" s="155" t="n">
        <f aca="false">18.67*(Z18*1.9835+AC18*1.9835)/E18</f>
        <v>0</v>
      </c>
      <c r="AR18" s="155"/>
      <c r="AS18" s="155"/>
      <c r="AT18" s="107"/>
      <c r="AU18" s="172" t="n">
        <v>1.09</v>
      </c>
      <c r="AV18" s="175" t="n">
        <f aca="false">O18</f>
        <v>69.3</v>
      </c>
      <c r="AW18" s="312" t="n">
        <v>0</v>
      </c>
      <c r="AX18" s="207" t="n">
        <v>62</v>
      </c>
      <c r="AY18" s="207" t="n">
        <v>46</v>
      </c>
      <c r="AZ18" s="291"/>
      <c r="BA18" s="242" t="n">
        <f aca="false">SUM(N18,P18:U18)</f>
        <v>7.55306437286844</v>
      </c>
    </row>
    <row r="19" customFormat="false" ht="12.95" hidden="false" customHeight="true" outlineLevel="0" collapsed="false">
      <c r="A19" s="179" t="n">
        <f aca="false">A18+1</f>
        <v>5</v>
      </c>
      <c r="B19" s="106" t="n">
        <v>6904</v>
      </c>
      <c r="C19" s="107" t="n">
        <v>298571</v>
      </c>
      <c r="D19" s="207" t="n">
        <f aca="false">C19-C18</f>
        <v>-115</v>
      </c>
      <c r="E19" s="107" t="n">
        <f aca="false">C19-152000</f>
        <v>146571</v>
      </c>
      <c r="F19" s="238" t="n">
        <f aca="false">D19/$D$2</f>
        <v>-57.9783211494832</v>
      </c>
      <c r="G19" s="135" t="n">
        <v>161</v>
      </c>
      <c r="H19" s="556" t="n">
        <v>0</v>
      </c>
      <c r="I19" s="135" t="n">
        <f aca="false">G19+H19</f>
        <v>161</v>
      </c>
      <c r="J19" s="136" t="n">
        <f aca="false">IF(L19&gt;0,L19,0)</f>
        <v>80.5216788505168</v>
      </c>
      <c r="K19" s="135" t="n">
        <f aca="false">I19+J19</f>
        <v>241.521678850517</v>
      </c>
      <c r="L19" s="135" t="n">
        <f aca="false">F19-(I19-AK19)</f>
        <v>80.5216788505168</v>
      </c>
      <c r="M19" s="240" t="n">
        <v>85</v>
      </c>
      <c r="N19" s="155" t="n">
        <f aca="false">(1.8299*1.03)/2</f>
        <v>0.9423985</v>
      </c>
      <c r="O19" s="135" t="n">
        <f aca="false">(22+24)*1.05</f>
        <v>48.3</v>
      </c>
      <c r="P19" s="155" t="n">
        <v>0</v>
      </c>
      <c r="Q19" s="328" t="n">
        <f aca="false">1088400/325851/1.9835*1.02</f>
        <v>1.71766094836569</v>
      </c>
      <c r="R19" s="328" t="n">
        <f aca="false">((3367947)/325851/1.9835-T19)*1.04</f>
        <v>4.19811699723098</v>
      </c>
      <c r="S19" s="131" t="n">
        <v>0</v>
      </c>
      <c r="T19" s="131" t="n">
        <f aca="false">1.1291*1.04</f>
        <v>1.174264</v>
      </c>
      <c r="U19" s="346" t="n">
        <v>0</v>
      </c>
      <c r="V19" s="135" t="n">
        <v>103</v>
      </c>
      <c r="W19" s="135" t="n">
        <v>63</v>
      </c>
      <c r="X19" s="135" t="n">
        <f aca="false">M19-N19-O19-P19-Q19-R19-S19-T19-U19+V19+W19-AU19+AR19</f>
        <v>194.167559554403</v>
      </c>
      <c r="Y19" s="135" t="n">
        <f aca="false">X19-AO19</f>
        <v>175.167559554403</v>
      </c>
      <c r="Z19" s="107"/>
      <c r="AA19" s="135"/>
      <c r="AB19" s="107"/>
      <c r="AC19" s="107"/>
      <c r="AD19" s="207" t="n">
        <f aca="false">AD18+AP19</f>
        <v>428.084952867286</v>
      </c>
      <c r="AE19" s="135" t="n">
        <v>0</v>
      </c>
      <c r="AF19" s="137" t="n">
        <v>1.7</v>
      </c>
      <c r="AG19" s="138" t="n">
        <v>1.3</v>
      </c>
      <c r="AH19" s="135" t="n">
        <v>49</v>
      </c>
      <c r="AI19" s="107" t="n">
        <f aca="false">AI18-AH19</f>
        <v>6537.25787748929</v>
      </c>
      <c r="AJ19" s="107"/>
      <c r="AK19" s="134" t="n">
        <f aca="false">N19+O19+P19+Q19+R19+S19+T19+U19+X19+AE19+AH19</f>
        <v>299.5</v>
      </c>
      <c r="AL19" s="135" t="n">
        <f aca="false">IF(L19&lt;0,L19*-1,0)</f>
        <v>0</v>
      </c>
      <c r="AM19" s="135" t="n">
        <f aca="false">AK19+AL19</f>
        <v>299.5</v>
      </c>
      <c r="AN19" s="557"/>
      <c r="AO19" s="136" t="n">
        <v>19</v>
      </c>
      <c r="AP19" s="97" t="n">
        <f aca="false">(I19-AO19)-Q19-R19-Y19-AF19</f>
        <v>-40.7833375</v>
      </c>
      <c r="AQ19" s="155" t="n">
        <f aca="false">18.67*(Z19*1.9835+AC19*1.9835)/E19</f>
        <v>0</v>
      </c>
      <c r="AR19" s="155"/>
      <c r="AS19" s="155"/>
      <c r="AT19" s="107"/>
      <c r="AU19" s="172" t="n">
        <v>0.5</v>
      </c>
      <c r="AV19" s="175" t="n">
        <f aca="false">O19</f>
        <v>48.3</v>
      </c>
      <c r="AW19" s="312" t="n">
        <v>0</v>
      </c>
      <c r="AX19" s="207" t="n">
        <v>60</v>
      </c>
      <c r="AY19" s="207" t="n">
        <v>44</v>
      </c>
      <c r="AZ19" s="291"/>
      <c r="BA19" s="242" t="n">
        <f aca="false">SUM(N19,P19:U19)</f>
        <v>8.03244044559667</v>
      </c>
    </row>
    <row r="20" customFormat="false" ht="12.95" hidden="false" customHeight="true" outlineLevel="0" collapsed="false">
      <c r="A20" s="179" t="n">
        <f aca="false">A19+1</f>
        <v>6</v>
      </c>
      <c r="B20" s="106" t="n">
        <v>6903.97</v>
      </c>
      <c r="C20" s="107" t="n">
        <v>298457</v>
      </c>
      <c r="D20" s="207" t="n">
        <f aca="false">C20-C19</f>
        <v>-114</v>
      </c>
      <c r="E20" s="107" t="n">
        <f aca="false">C20-152000</f>
        <v>146457</v>
      </c>
      <c r="F20" s="238" t="n">
        <f aca="false">D20/$D$2</f>
        <v>-57.4741618351399</v>
      </c>
      <c r="G20" s="135" t="n">
        <v>178</v>
      </c>
      <c r="H20" s="556" t="n">
        <v>0.01</v>
      </c>
      <c r="I20" s="135" t="n">
        <f aca="false">G20+H20</f>
        <v>178.01</v>
      </c>
      <c r="J20" s="136" t="n">
        <f aca="false">IF(L20&gt;0,L20,0)</f>
        <v>0</v>
      </c>
      <c r="K20" s="135" t="n">
        <f aca="false">I20+J20</f>
        <v>178.01</v>
      </c>
      <c r="L20" s="135" t="n">
        <f aca="false">F20-(I20-AK20)</f>
        <v>-7.48416183513989</v>
      </c>
      <c r="M20" s="240" t="n">
        <v>58</v>
      </c>
      <c r="N20" s="155" t="n">
        <f aca="false">(1.8299*1.03)/2</f>
        <v>0.9423985</v>
      </c>
      <c r="O20" s="135" t="n">
        <f aca="false">(9+7.6)*1.05</f>
        <v>17.43</v>
      </c>
      <c r="P20" s="155" t="n">
        <v>0</v>
      </c>
      <c r="Q20" s="328" t="n">
        <f aca="false">921400/325851/1.9835*1.02</f>
        <v>1.45410951656022</v>
      </c>
      <c r="R20" s="328" t="n">
        <f aca="false">((2515017)/325851/1.9835-T20)*1.04</f>
        <v>2.8256703632106</v>
      </c>
      <c r="S20" s="83" t="n">
        <v>0</v>
      </c>
      <c r="T20" s="131" t="n">
        <f aca="false">1.1291*1.04</f>
        <v>1.174264</v>
      </c>
      <c r="U20" s="346" t="n">
        <v>0</v>
      </c>
      <c r="V20" s="135" t="n">
        <v>77</v>
      </c>
      <c r="W20" s="135" t="n">
        <v>43</v>
      </c>
      <c r="X20" s="135" t="n">
        <f aca="false">M20-N20-O20-P20-Q20-R20-S20-T20-U20+V20+W20-AU20+AR20</f>
        <v>154.173557620229</v>
      </c>
      <c r="Y20" s="135" t="n">
        <f aca="false">X20-AO20</f>
        <v>135.173557620229</v>
      </c>
      <c r="Z20" s="107"/>
      <c r="AA20" s="135"/>
      <c r="AB20" s="107"/>
      <c r="AC20" s="107"/>
      <c r="AD20" s="207" t="n">
        <f aca="false">AD19</f>
        <v>428.084952867286</v>
      </c>
      <c r="AE20" s="135" t="n">
        <v>0</v>
      </c>
      <c r="AF20" s="137" t="n">
        <v>1.7</v>
      </c>
      <c r="AG20" s="138" t="n">
        <v>1.3</v>
      </c>
      <c r="AH20" s="135" t="n">
        <v>50</v>
      </c>
      <c r="AI20" s="107" t="n">
        <f aca="false">AI19-AH20</f>
        <v>6487.25787748929</v>
      </c>
      <c r="AJ20" s="107"/>
      <c r="AK20" s="134" t="n">
        <f aca="false">N20+O20+P20+Q20+R20+S20+T20+U20+X20+AE20+AH20</f>
        <v>228</v>
      </c>
      <c r="AL20" s="135" t="n">
        <f aca="false">IF(L20&lt;0,L20*-1,0)</f>
        <v>7.48416183513989</v>
      </c>
      <c r="AM20" s="135" t="n">
        <f aca="false">AK20+AL20</f>
        <v>235.48416183514</v>
      </c>
      <c r="AN20" s="557"/>
      <c r="AO20" s="136" t="n">
        <v>19</v>
      </c>
      <c r="AP20" s="97" t="n">
        <f aca="false">(I20-AO20)-Q20-R20-Y20-AF20</f>
        <v>17.8566625</v>
      </c>
      <c r="AQ20" s="155" t="n">
        <f aca="false">18.67*(Z20*1.9835+AC20*1.9835)/E20</f>
        <v>0</v>
      </c>
      <c r="AR20" s="155"/>
      <c r="AS20" s="155"/>
      <c r="AT20" s="107"/>
      <c r="AU20" s="172"/>
      <c r="AV20" s="175" t="n">
        <f aca="false">O20</f>
        <v>17.43</v>
      </c>
      <c r="AW20" s="312" t="n">
        <v>0.2</v>
      </c>
      <c r="AX20" s="207" t="n">
        <v>51</v>
      </c>
      <c r="AY20" s="207" t="n">
        <v>34</v>
      </c>
      <c r="AZ20" s="291"/>
      <c r="BA20" s="242" t="n">
        <f aca="false">SUM(N20,P20:U20)</f>
        <v>6.39644237977083</v>
      </c>
    </row>
    <row r="21" customFormat="false" ht="12.95" hidden="false" customHeight="true" outlineLevel="0" collapsed="false">
      <c r="A21" s="179" t="n">
        <f aca="false">A20+1</f>
        <v>7</v>
      </c>
      <c r="B21" s="106" t="n">
        <v>6903.94</v>
      </c>
      <c r="C21" s="107" t="n">
        <v>298343</v>
      </c>
      <c r="D21" s="207" t="n">
        <f aca="false">C21-C20</f>
        <v>-114</v>
      </c>
      <c r="E21" s="107" t="n">
        <f aca="false">C21-152000</f>
        <v>146343</v>
      </c>
      <c r="F21" s="238" t="n">
        <f aca="false">D21/$D$2</f>
        <v>-57.4741618351399</v>
      </c>
      <c r="G21" s="135" t="n">
        <v>168</v>
      </c>
      <c r="H21" s="556" t="n">
        <v>0</v>
      </c>
      <c r="I21" s="135" t="n">
        <f aca="false">G21+H21</f>
        <v>168</v>
      </c>
      <c r="J21" s="136" t="n">
        <f aca="false">IF(L21&gt;0,L21,0)</f>
        <v>0</v>
      </c>
      <c r="K21" s="135" t="n">
        <f aca="false">I21+J21</f>
        <v>168</v>
      </c>
      <c r="L21" s="135" t="n">
        <f aca="false">F21-(I21-AK21)</f>
        <v>-17.4741618351399</v>
      </c>
      <c r="M21" s="240" t="n">
        <v>52</v>
      </c>
      <c r="N21" s="155" t="n">
        <f aca="false">(1.8299*1.03)/2</f>
        <v>0.9423985</v>
      </c>
      <c r="O21" s="135" t="n">
        <f aca="false">(4.3+2)*1.05</f>
        <v>6.615</v>
      </c>
      <c r="P21" s="155" t="n">
        <v>0</v>
      </c>
      <c r="Q21" s="328" t="n">
        <f aca="false">942600/325851/1.9835*1.02</f>
        <v>1.48756634502894</v>
      </c>
      <c r="R21" s="328" t="n">
        <f aca="false">((1906642)/325851/1.9835-T21)*1.04</f>
        <v>2.22594527121085</v>
      </c>
      <c r="S21" s="83" t="n">
        <v>0</v>
      </c>
      <c r="T21" s="131" t="n">
        <f aca="false">0.7785*1.04</f>
        <v>0.80964</v>
      </c>
      <c r="U21" s="346" t="n">
        <v>0</v>
      </c>
      <c r="V21" s="558" t="n">
        <v>73</v>
      </c>
      <c r="W21" s="135" t="n">
        <v>33</v>
      </c>
      <c r="X21" s="135" t="n">
        <f aca="false">M21-N21-O21-P21-Q21-R21-S21-T21-U21+V21+W21-AU21+AR21</f>
        <v>145.91944988376</v>
      </c>
      <c r="Y21" s="135" t="n">
        <f aca="false">X21-AO21</f>
        <v>126.91944988376</v>
      </c>
      <c r="Z21" s="107"/>
      <c r="AA21" s="135"/>
      <c r="AB21" s="107"/>
      <c r="AC21" s="107"/>
      <c r="AD21" s="207" t="n">
        <f aca="false">AD20</f>
        <v>428.084952867286</v>
      </c>
      <c r="AE21" s="135" t="n">
        <v>0</v>
      </c>
      <c r="AF21" s="137" t="n">
        <v>1.7</v>
      </c>
      <c r="AG21" s="138" t="n">
        <v>1.3</v>
      </c>
      <c r="AH21" s="135" t="n">
        <v>50</v>
      </c>
      <c r="AI21" s="107" t="n">
        <f aca="false">AI20-AH21</f>
        <v>6437.25787748929</v>
      </c>
      <c r="AJ21" s="107"/>
      <c r="AK21" s="134" t="n">
        <f aca="false">N21+O21+P21+Q21+R21+S21+T21+U21+X21+AE21+AH21</f>
        <v>208</v>
      </c>
      <c r="AL21" s="135" t="n">
        <f aca="false">IF(L21&lt;0,L21*-1,0)</f>
        <v>17.4741618351399</v>
      </c>
      <c r="AM21" s="135" t="n">
        <f aca="false">AK21+AL21</f>
        <v>225.47416183514</v>
      </c>
      <c r="AN21" s="557"/>
      <c r="AO21" s="136" t="n">
        <v>19</v>
      </c>
      <c r="AP21" s="97" t="n">
        <f aca="false">(I21-AO21)-Q21-R21-Y21-AF21</f>
        <v>16.6670385</v>
      </c>
      <c r="AQ21" s="155" t="n">
        <f aca="false">18.67*(Z21*1.9835+AC21*1.9835)/E21</f>
        <v>0</v>
      </c>
      <c r="AR21" s="155"/>
      <c r="AS21" s="155"/>
      <c r="AT21" s="107"/>
      <c r="AU21" s="172"/>
      <c r="AV21" s="175" t="n">
        <f aca="false">O21</f>
        <v>6.615</v>
      </c>
      <c r="AW21" s="312" t="n">
        <v>0.02</v>
      </c>
      <c r="AX21" s="207" t="n">
        <v>50</v>
      </c>
      <c r="AY21" s="207" t="n">
        <v>30</v>
      </c>
      <c r="AZ21" s="291"/>
      <c r="BA21" s="242" t="n">
        <f aca="false">SUM(N21,P21:U21)</f>
        <v>5.4655501162398</v>
      </c>
    </row>
    <row r="22" customFormat="false" ht="12.95" hidden="false" customHeight="true" outlineLevel="0" collapsed="false">
      <c r="A22" s="179" t="n">
        <f aca="false">A21+1</f>
        <v>8</v>
      </c>
      <c r="B22" s="106" t="n">
        <v>6903.89</v>
      </c>
      <c r="C22" s="107" t="n">
        <v>298154</v>
      </c>
      <c r="D22" s="207" t="n">
        <f aca="false">C22-C21</f>
        <v>-189</v>
      </c>
      <c r="E22" s="107" t="n">
        <f aca="false">C22-152000</f>
        <v>146154</v>
      </c>
      <c r="F22" s="238" t="n">
        <f aca="false">D22/$D$2</f>
        <v>-95.2861104108898</v>
      </c>
      <c r="G22" s="135" t="n">
        <v>140</v>
      </c>
      <c r="H22" s="556" t="n">
        <v>0</v>
      </c>
      <c r="I22" s="135" t="n">
        <f aca="false">G22+H22</f>
        <v>140</v>
      </c>
      <c r="J22" s="136" t="n">
        <f aca="false">IF(L22&gt;0,L22,0)</f>
        <v>0</v>
      </c>
      <c r="K22" s="135" t="n">
        <f aca="false">I22+J22</f>
        <v>140</v>
      </c>
      <c r="L22" s="135" t="n">
        <f aca="false">F22-(I22-AK22)</f>
        <v>-9.28611041088983</v>
      </c>
      <c r="M22" s="240" t="n">
        <v>58</v>
      </c>
      <c r="N22" s="155" t="n">
        <f aca="false">(1.8299*1.03)/2</f>
        <v>0.9423985</v>
      </c>
      <c r="O22" s="135" t="n">
        <f aca="false">(0+0)*1.05</f>
        <v>0</v>
      </c>
      <c r="P22" s="155" t="n">
        <v>0</v>
      </c>
      <c r="Q22" s="328" t="n">
        <f aca="false">904200/325851/1.9835*1.02</f>
        <v>1.42696529723655</v>
      </c>
      <c r="R22" s="328" t="n">
        <f aca="false">((2041006)/325851/1.9835-T22)*1.04</f>
        <v>2.44214990644881</v>
      </c>
      <c r="S22" s="83" t="n">
        <v>0</v>
      </c>
      <c r="T22" s="131" t="n">
        <f aca="false">0.7785*1.04</f>
        <v>0.80964</v>
      </c>
      <c r="U22" s="346" t="n">
        <v>0</v>
      </c>
      <c r="V22" s="135" t="n">
        <v>79</v>
      </c>
      <c r="W22" s="135" t="n">
        <v>39</v>
      </c>
      <c r="X22" s="135" t="n">
        <f aca="false">M22-N22-O22-P22-Q22-R22-S22-T22-U22+V22+W22-AU22+AR22</f>
        <v>170.378846296315</v>
      </c>
      <c r="Y22" s="135" t="n">
        <f aca="false">X22-AO22</f>
        <v>151.378846296315</v>
      </c>
      <c r="Z22" s="107"/>
      <c r="AA22" s="135"/>
      <c r="AB22" s="107"/>
      <c r="AC22" s="107"/>
      <c r="AD22" s="207" t="n">
        <f aca="false">AD21+AP22</f>
        <v>392.136991367286</v>
      </c>
      <c r="AE22" s="135" t="n">
        <v>0</v>
      </c>
      <c r="AF22" s="137" t="n">
        <v>1.7</v>
      </c>
      <c r="AG22" s="138" t="n">
        <v>1.3</v>
      </c>
      <c r="AH22" s="135" t="n">
        <v>50</v>
      </c>
      <c r="AI22" s="107" t="n">
        <f aca="false">AI21-AH22</f>
        <v>6387.25787748929</v>
      </c>
      <c r="AJ22" s="107"/>
      <c r="AK22" s="134" t="n">
        <f aca="false">N22+O22+P22+Q22+R22+S22+T22+U22+X22+AE22+AH22</f>
        <v>226</v>
      </c>
      <c r="AL22" s="135" t="n">
        <f aca="false">IF(L22&lt;0,L22*-1,0)</f>
        <v>9.28611041088983</v>
      </c>
      <c r="AM22" s="135" t="n">
        <f aca="false">AK22+AL22</f>
        <v>235.28611041089</v>
      </c>
      <c r="AN22" s="557"/>
      <c r="AO22" s="136" t="n">
        <v>19</v>
      </c>
      <c r="AP22" s="97" t="n">
        <f aca="false">(I22-AO22)-Q22-R22-Y22-AF22</f>
        <v>-35.9479615</v>
      </c>
      <c r="AQ22" s="155" t="n">
        <f aca="false">18.67*(Z22*1.9835+AC22*1.9835)/E22</f>
        <v>0</v>
      </c>
      <c r="AR22" s="155"/>
      <c r="AS22" s="155"/>
      <c r="AT22" s="107"/>
      <c r="AU22" s="172"/>
      <c r="AV22" s="175" t="n">
        <f aca="false">O22</f>
        <v>0</v>
      </c>
      <c r="AW22" s="312" t="n">
        <v>0</v>
      </c>
      <c r="AX22" s="207" t="n">
        <v>52</v>
      </c>
      <c r="AY22" s="207" t="n">
        <v>28</v>
      </c>
      <c r="AZ22" s="291"/>
      <c r="BA22" s="242" t="n">
        <f aca="false">SUM(N22,P22:U22)</f>
        <v>5.62115370368536</v>
      </c>
    </row>
    <row r="23" customFormat="false" ht="12.95" hidden="false" customHeight="true" outlineLevel="0" collapsed="false">
      <c r="A23" s="179" t="n">
        <f aca="false">A22+1</f>
        <v>9</v>
      </c>
      <c r="B23" s="106" t="n">
        <v>6903.82</v>
      </c>
      <c r="C23" s="107" t="n">
        <v>297888</v>
      </c>
      <c r="D23" s="207" t="n">
        <f aca="false">C23-C22</f>
        <v>-266</v>
      </c>
      <c r="E23" s="107" t="n">
        <f aca="false">C23-152000</f>
        <v>145888</v>
      </c>
      <c r="F23" s="238" t="n">
        <f aca="false">D23/$D$2</f>
        <v>-134.106377615326</v>
      </c>
      <c r="G23" s="135" t="n">
        <v>126</v>
      </c>
      <c r="H23" s="556" t="n">
        <v>0</v>
      </c>
      <c r="I23" s="135" t="n">
        <f aca="false">G23+H23</f>
        <v>126</v>
      </c>
      <c r="J23" s="136" t="n">
        <f aca="false">IF(L23&gt;0,L23,0)</f>
        <v>0</v>
      </c>
      <c r="K23" s="135" t="n">
        <f aca="false">I23+J23</f>
        <v>126</v>
      </c>
      <c r="L23" s="135" t="n">
        <f aca="false">F23-(I23-AK23)</f>
        <v>-34.1063776153264</v>
      </c>
      <c r="M23" s="240" t="n">
        <v>60</v>
      </c>
      <c r="N23" s="155" t="n">
        <f aca="false">(1.8299*1.03)/2</f>
        <v>0.9423985</v>
      </c>
      <c r="O23" s="135" t="n">
        <f aca="false">(0+0)*1.05</f>
        <v>0</v>
      </c>
      <c r="P23" s="155" t="n">
        <v>0</v>
      </c>
      <c r="Q23" s="328" t="n">
        <f aca="false">1071800/325851/1.9835*1.02</f>
        <v>1.69146362041377</v>
      </c>
      <c r="R23" s="328" t="n">
        <f aca="false">((1966099)/325851/1.9835-T23)*1.04</f>
        <v>2.32161731876335</v>
      </c>
      <c r="S23" s="83" t="n">
        <v>0</v>
      </c>
      <c r="T23" s="131" t="n">
        <f aca="false">0.7785*1.04</f>
        <v>0.80964</v>
      </c>
      <c r="U23" s="346" t="n">
        <v>0</v>
      </c>
      <c r="V23" s="135" t="n">
        <v>76</v>
      </c>
      <c r="W23" s="135" t="n">
        <v>40</v>
      </c>
      <c r="X23" s="135" t="n">
        <f aca="false">M23-N23-O23-P23-Q23-R23-S23-T23-U23+V23+W23-AU23+AR23</f>
        <v>170.234880560823</v>
      </c>
      <c r="Y23" s="135" t="n">
        <f aca="false">X23-AO23</f>
        <v>151.234880560823</v>
      </c>
      <c r="Z23" s="107"/>
      <c r="AA23" s="135"/>
      <c r="AB23" s="107"/>
      <c r="AC23" s="107"/>
      <c r="AD23" s="207" t="n">
        <f aca="false">AD22+AP23</f>
        <v>342.189029867286</v>
      </c>
      <c r="AE23" s="135" t="n">
        <v>0</v>
      </c>
      <c r="AF23" s="137" t="n">
        <v>1.7</v>
      </c>
      <c r="AG23" s="138" t="n">
        <v>1.3</v>
      </c>
      <c r="AH23" s="135" t="n">
        <v>50</v>
      </c>
      <c r="AI23" s="107" t="n">
        <f aca="false">AI22-AH23</f>
        <v>6337.25787748929</v>
      </c>
      <c r="AJ23" s="107"/>
      <c r="AK23" s="134" t="n">
        <f aca="false">N23+O23+P23+Q23+R23+S23+T23+U23+X23+AE23+AH23</f>
        <v>226</v>
      </c>
      <c r="AL23" s="135" t="n">
        <f aca="false">IF(L23&lt;0,L23*-1,0)</f>
        <v>34.1063776153264</v>
      </c>
      <c r="AM23" s="135" t="n">
        <f aca="false">AK23+AL23</f>
        <v>260.106377615326</v>
      </c>
      <c r="AN23" s="557"/>
      <c r="AO23" s="136" t="n">
        <v>19</v>
      </c>
      <c r="AP23" s="97" t="n">
        <f aca="false">(I23-AO23)-Q23-R23-Y23-AF23</f>
        <v>-49.9479615</v>
      </c>
      <c r="AQ23" s="155" t="n">
        <f aca="false">18.67*(Z23*1.9835+AC23*1.9835)/E23</f>
        <v>0</v>
      </c>
      <c r="AR23" s="155"/>
      <c r="AS23" s="155"/>
      <c r="AT23" s="107"/>
      <c r="AU23" s="172"/>
      <c r="AV23" s="175" t="n">
        <f aca="false">O23</f>
        <v>0</v>
      </c>
      <c r="AW23" s="312" t="n">
        <v>0</v>
      </c>
      <c r="AX23" s="213" t="n">
        <v>58</v>
      </c>
      <c r="AY23" s="207" t="n">
        <v>32</v>
      </c>
      <c r="AZ23" s="291"/>
      <c r="BA23" s="242" t="n">
        <f aca="false">SUM(N23,P23:U23)</f>
        <v>5.76511943917712</v>
      </c>
    </row>
    <row r="24" customFormat="false" ht="12.95" hidden="false" customHeight="true" outlineLevel="0" collapsed="false">
      <c r="A24" s="179" t="n">
        <f aca="false">A23+1</f>
        <v>10</v>
      </c>
      <c r="B24" s="106" t="n">
        <v>6903.74</v>
      </c>
      <c r="C24" s="107" t="n">
        <v>297585</v>
      </c>
      <c r="D24" s="207" t="n">
        <f aca="false">C24-C23</f>
        <v>-303</v>
      </c>
      <c r="E24" s="107" t="n">
        <f aca="false">C24-152000</f>
        <v>145585</v>
      </c>
      <c r="F24" s="238" t="n">
        <f aca="false">D24/$D$2</f>
        <v>-152.76027224603</v>
      </c>
      <c r="G24" s="135" t="n">
        <v>117</v>
      </c>
      <c r="H24" s="556" t="n">
        <v>0</v>
      </c>
      <c r="I24" s="135" t="n">
        <f aca="false">G24+H24</f>
        <v>117</v>
      </c>
      <c r="J24" s="136" t="n">
        <f aca="false">IF(L24&gt;0,L24,0)</f>
        <v>0</v>
      </c>
      <c r="K24" s="135" t="n">
        <f aca="false">I24+J24</f>
        <v>117</v>
      </c>
      <c r="L24" s="135" t="n">
        <f aca="false">F24-(I24-AK24)</f>
        <v>-29.7602722460297</v>
      </c>
      <c r="M24" s="240" t="n">
        <v>80</v>
      </c>
      <c r="N24" s="155" t="n">
        <f aca="false">(1.8299*1.03)/2</f>
        <v>0.9423985</v>
      </c>
      <c r="O24" s="135" t="n">
        <f aca="false">0*1.05</f>
        <v>0</v>
      </c>
      <c r="P24" s="155" t="n">
        <v>0</v>
      </c>
      <c r="Q24" s="328" t="n">
        <f aca="false">1004500/325851/1.9835*1.02</f>
        <v>1.58525397154845</v>
      </c>
      <c r="R24" s="328" t="n">
        <f aca="false">((1916176)/325851/1.9835-T24)*1.04</f>
        <v>2.2412863967531</v>
      </c>
      <c r="S24" s="83" t="n">
        <v>0</v>
      </c>
      <c r="T24" s="131" t="n">
        <f aca="false">0.7785*1.04</f>
        <v>0.80964</v>
      </c>
      <c r="U24" s="346" t="n">
        <v>0</v>
      </c>
      <c r="V24" s="135" t="n">
        <v>71</v>
      </c>
      <c r="W24" s="135" t="n">
        <v>39</v>
      </c>
      <c r="X24" s="135" t="n">
        <f aca="false">M24-N24-O24-P24-Q24-R24-S24-T24-U24+V24+W24-AU24+AR24</f>
        <v>184.421421131698</v>
      </c>
      <c r="Y24" s="135" t="n">
        <f aca="false">X24-AO24</f>
        <v>165.421421131698</v>
      </c>
      <c r="Z24" s="107"/>
      <c r="AA24" s="135"/>
      <c r="AB24" s="107"/>
      <c r="AC24" s="107"/>
      <c r="AD24" s="207" t="n">
        <f aca="false">AD23+AP24</f>
        <v>269.241068367286</v>
      </c>
      <c r="AE24" s="136" t="n">
        <v>0</v>
      </c>
      <c r="AF24" s="137" t="n">
        <v>1.7</v>
      </c>
      <c r="AG24" s="138" t="n">
        <v>1.3</v>
      </c>
      <c r="AH24" s="135" t="n">
        <v>50</v>
      </c>
      <c r="AI24" s="107" t="n">
        <f aca="false">AI23-AH24</f>
        <v>6287.25787748929</v>
      </c>
      <c r="AJ24" s="107"/>
      <c r="AK24" s="134" t="n">
        <f aca="false">N24+O24+P24+Q24+R24+S24+T24+U24+X24+AE24+AH24</f>
        <v>240</v>
      </c>
      <c r="AL24" s="135" t="n">
        <f aca="false">IF(L24&lt;0,L24*-1,0)</f>
        <v>29.7602722460297</v>
      </c>
      <c r="AM24" s="135" t="n">
        <f aca="false">AK24+AL24</f>
        <v>269.76027224603</v>
      </c>
      <c r="AN24" s="557"/>
      <c r="AO24" s="136" t="n">
        <v>19</v>
      </c>
      <c r="AP24" s="97" t="n">
        <f aca="false">(I24-AO24)-Q24-R24-Y24-AF24</f>
        <v>-72.9479615</v>
      </c>
      <c r="AQ24" s="155" t="n">
        <f aca="false">18.67*(Z24*1.9835+AC24*1.9835)/E24</f>
        <v>0</v>
      </c>
      <c r="AR24" s="155"/>
      <c r="AS24" s="155"/>
      <c r="AT24" s="107"/>
      <c r="AU24" s="172"/>
      <c r="AV24" s="175" t="n">
        <f aca="false">O24</f>
        <v>0</v>
      </c>
      <c r="AW24" s="312" t="n">
        <v>0</v>
      </c>
      <c r="AX24" s="207" t="n">
        <v>61</v>
      </c>
      <c r="AY24" s="207" t="n">
        <v>32</v>
      </c>
      <c r="AZ24" s="291"/>
      <c r="BA24" s="242" t="n">
        <f aca="false">SUM(N24,P24:U24)</f>
        <v>5.57857886830156</v>
      </c>
    </row>
    <row r="25" customFormat="false" ht="12.95" hidden="false" customHeight="true" outlineLevel="0" collapsed="false">
      <c r="A25" s="179" t="n">
        <f aca="false">A24+1</f>
        <v>11</v>
      </c>
      <c r="B25" s="106" t="n">
        <v>6903.67</v>
      </c>
      <c r="C25" s="107" t="n">
        <v>297319</v>
      </c>
      <c r="D25" s="207" t="n">
        <f aca="false">C25-C24</f>
        <v>-266</v>
      </c>
      <c r="E25" s="107" t="n">
        <f aca="false">C25-152000</f>
        <v>145319</v>
      </c>
      <c r="F25" s="238" t="n">
        <f aca="false">D25/$D$2</f>
        <v>-134.106377615326</v>
      </c>
      <c r="G25" s="135" t="n">
        <v>115</v>
      </c>
      <c r="H25" s="556" t="n">
        <v>0</v>
      </c>
      <c r="I25" s="135" t="n">
        <f aca="false">G25+H25</f>
        <v>115</v>
      </c>
      <c r="J25" s="136" t="n">
        <f aca="false">IF(L25&gt;0,L25,0)</f>
        <v>0</v>
      </c>
      <c r="K25" s="135" t="n">
        <f aca="false">I25+J25</f>
        <v>115</v>
      </c>
      <c r="L25" s="135" t="n">
        <f aca="false">F25-(I25-AK25)</f>
        <v>-19.1063776153264</v>
      </c>
      <c r="M25" s="240" t="n">
        <v>70</v>
      </c>
      <c r="N25" s="155" t="n">
        <f aca="false">(1.8299*1.03)/2</f>
        <v>0.9423985</v>
      </c>
      <c r="O25" s="135" t="n">
        <f aca="false">4.2*1.05</f>
        <v>4.41</v>
      </c>
      <c r="P25" s="155" t="n">
        <v>0</v>
      </c>
      <c r="Q25" s="328" t="n">
        <f aca="false">1067700/325851/1.9835*1.02</f>
        <v>1.6849931960401</v>
      </c>
      <c r="R25" s="328" t="n">
        <f aca="false">((2293747)/325851/1.9835-T25)*1.04</f>
        <v>2.84883455199879</v>
      </c>
      <c r="S25" s="83" t="n">
        <v>0</v>
      </c>
      <c r="T25" s="131" t="n">
        <f aca="false">0.7785*1.04</f>
        <v>0.80964</v>
      </c>
      <c r="U25" s="346" t="n">
        <v>0</v>
      </c>
      <c r="V25" s="135" t="n">
        <v>70</v>
      </c>
      <c r="W25" s="135" t="n">
        <v>40</v>
      </c>
      <c r="X25" s="135" t="n">
        <f aca="false">M25-N25-O25-P25-Q25-R25-S25-T25-U25+V25+W25-AU25+AR25</f>
        <v>169.304133751961</v>
      </c>
      <c r="Y25" s="135" t="n">
        <f aca="false">X25-AO25</f>
        <v>150.304133751961</v>
      </c>
      <c r="Z25" s="107"/>
      <c r="AA25" s="135"/>
      <c r="AB25" s="107"/>
      <c r="AC25" s="107"/>
      <c r="AD25" s="207" t="n">
        <f aca="false">AD24+AP25</f>
        <v>208.703106867286</v>
      </c>
      <c r="AE25" s="135" t="n">
        <v>0</v>
      </c>
      <c r="AF25" s="137" t="n">
        <v>1.7</v>
      </c>
      <c r="AG25" s="138" t="n">
        <v>1.3</v>
      </c>
      <c r="AH25" s="135" t="n">
        <v>50</v>
      </c>
      <c r="AI25" s="107" t="n">
        <f aca="false">AI24-AH25</f>
        <v>6237.25787748929</v>
      </c>
      <c r="AJ25" s="107"/>
      <c r="AK25" s="134" t="n">
        <f aca="false">N25+O25+P25+Q25+R25+S25+T25+U25+X25+AE25+AH25</f>
        <v>230</v>
      </c>
      <c r="AL25" s="135" t="n">
        <f aca="false">IF(L25&lt;0,L25*-1,0)</f>
        <v>19.1063776153264</v>
      </c>
      <c r="AM25" s="135" t="n">
        <f aca="false">AK25+AL25</f>
        <v>249.106377615326</v>
      </c>
      <c r="AN25" s="557"/>
      <c r="AO25" s="136" t="n">
        <v>19</v>
      </c>
      <c r="AP25" s="97" t="n">
        <f aca="false">(I25-AO25)-Q25-R25-Y25-AF25</f>
        <v>-60.5379615</v>
      </c>
      <c r="AQ25" s="155" t="n">
        <f aca="false">18.67*(Z25*1.9835+AC25*1.9835)/E25</f>
        <v>0</v>
      </c>
      <c r="AR25" s="155"/>
      <c r="AS25" s="155"/>
      <c r="AT25" s="107"/>
      <c r="AU25" s="172"/>
      <c r="AV25" s="175" t="n">
        <f aca="false">O25</f>
        <v>4.41</v>
      </c>
      <c r="AW25" s="312" t="n">
        <v>0</v>
      </c>
      <c r="AX25" s="207" t="n">
        <v>66</v>
      </c>
      <c r="AY25" s="207" t="n">
        <v>41</v>
      </c>
      <c r="AZ25" s="291"/>
      <c r="BA25" s="242" t="n">
        <f aca="false">SUM(N25,P25:U25)</f>
        <v>6.2858662480389</v>
      </c>
    </row>
    <row r="26" customFormat="false" ht="12.95" hidden="false" customHeight="true" outlineLevel="0" collapsed="false">
      <c r="A26" s="179" t="n">
        <f aca="false">A25+1</f>
        <v>12</v>
      </c>
      <c r="B26" s="106" t="n">
        <v>6903.6</v>
      </c>
      <c r="C26" s="107" t="n">
        <v>297054</v>
      </c>
      <c r="D26" s="207" t="n">
        <f aca="false">C26-C25</f>
        <v>-265</v>
      </c>
      <c r="E26" s="107" t="n">
        <f aca="false">C26-152000</f>
        <v>145054</v>
      </c>
      <c r="F26" s="238" t="n">
        <f aca="false">D26/$D$2</f>
        <v>-133.602218300983</v>
      </c>
      <c r="G26" s="135" t="n">
        <v>120</v>
      </c>
      <c r="H26" s="556" t="n">
        <v>0</v>
      </c>
      <c r="I26" s="135" t="n">
        <f aca="false">G26+H26</f>
        <v>120</v>
      </c>
      <c r="J26" s="136" t="n">
        <f aca="false">IF(L26&gt;0,L26,0)</f>
        <v>0</v>
      </c>
      <c r="K26" s="135" t="n">
        <f aca="false">I26+J26</f>
        <v>120</v>
      </c>
      <c r="L26" s="135" t="n">
        <f aca="false">F26-(I26-AK26)</f>
        <v>-17.6022183009831</v>
      </c>
      <c r="M26" s="240" t="n">
        <v>77</v>
      </c>
      <c r="N26" s="155" t="n">
        <f aca="false">(1.8299*1.03)/2</f>
        <v>0.9423985</v>
      </c>
      <c r="O26" s="135" t="n">
        <f aca="false">(7.8+4.8)*1.05</f>
        <v>13.23</v>
      </c>
      <c r="P26" s="155" t="n">
        <v>0</v>
      </c>
      <c r="Q26" s="328" t="n">
        <f aca="false">1127800/325851/1.9835*1.02</f>
        <v>1.77984014844435</v>
      </c>
      <c r="R26" s="328" t="n">
        <f aca="false">((2209635)/325851/1.9835-T26)*1.04</f>
        <v>2.71349023150271</v>
      </c>
      <c r="S26" s="83" t="n">
        <v>0</v>
      </c>
      <c r="T26" s="131" t="n">
        <f aca="false">0.7785*1.04</f>
        <v>0.80964</v>
      </c>
      <c r="U26" s="346" t="n">
        <v>0</v>
      </c>
      <c r="V26" s="135" t="n">
        <v>70</v>
      </c>
      <c r="W26" s="135" t="n">
        <v>39</v>
      </c>
      <c r="X26" s="135" t="n">
        <f aca="false">M26-N26-O26-P26-Q26-R26-S26-T26-U26+V26+W26-AU26+AR26</f>
        <v>166.524631120053</v>
      </c>
      <c r="Y26" s="135" t="n">
        <f aca="false">X26-AO26</f>
        <v>147.524631120053</v>
      </c>
      <c r="Z26" s="107"/>
      <c r="AA26" s="135"/>
      <c r="AB26" s="107"/>
      <c r="AC26" s="107"/>
      <c r="AD26" s="207" t="n">
        <f aca="false">AD25+AP26</f>
        <v>155.985145367286</v>
      </c>
      <c r="AE26" s="135" t="n">
        <v>0</v>
      </c>
      <c r="AF26" s="137" t="n">
        <v>1.7</v>
      </c>
      <c r="AG26" s="138" t="n">
        <v>1.3</v>
      </c>
      <c r="AH26" s="135" t="n">
        <v>50</v>
      </c>
      <c r="AI26" s="107" t="n">
        <f aca="false">AI25-AH26</f>
        <v>6187.25787748929</v>
      </c>
      <c r="AJ26" s="107"/>
      <c r="AK26" s="134" t="n">
        <f aca="false">N26+O26+P26+Q26+R26+S26+T26+U26+X26+AE26+AH26</f>
        <v>236</v>
      </c>
      <c r="AL26" s="135" t="n">
        <f aca="false">IF(L26&lt;0,L26*-1,0)</f>
        <v>17.6022183009831</v>
      </c>
      <c r="AM26" s="135" t="n">
        <f aca="false">AK26+AL26</f>
        <v>253.602218300983</v>
      </c>
      <c r="AN26" s="557"/>
      <c r="AO26" s="136" t="n">
        <v>19</v>
      </c>
      <c r="AP26" s="97" t="n">
        <f aca="false">(I26-AO26)-Q26-R26-Y26-AF26</f>
        <v>-52.7179615</v>
      </c>
      <c r="AQ26" s="155" t="n">
        <f aca="false">18.67*(Z26*1.9835+AC26*1.9835)/E26</f>
        <v>0</v>
      </c>
      <c r="AR26" s="155"/>
      <c r="AS26" s="155"/>
      <c r="AT26" s="107"/>
      <c r="AU26" s="172"/>
      <c r="AV26" s="175" t="n">
        <f aca="false">O26</f>
        <v>13.23</v>
      </c>
      <c r="AW26" s="312" t="n">
        <v>0</v>
      </c>
      <c r="AX26" s="207" t="n">
        <v>70</v>
      </c>
      <c r="AY26" s="207" t="n">
        <v>39</v>
      </c>
      <c r="AZ26" s="291"/>
      <c r="BA26" s="242" t="n">
        <f aca="false">SUM(N26,P26:U26)</f>
        <v>6.24536887994706</v>
      </c>
    </row>
    <row r="27" customFormat="false" ht="12.95" hidden="false" customHeight="true" outlineLevel="0" collapsed="false">
      <c r="A27" s="179" t="n">
        <f aca="false">A26+1</f>
        <v>13</v>
      </c>
      <c r="B27" s="106" t="n">
        <v>6903.52</v>
      </c>
      <c r="C27" s="107" t="n">
        <v>296750</v>
      </c>
      <c r="D27" s="207" t="n">
        <f aca="false">C27-C26</f>
        <v>-304</v>
      </c>
      <c r="E27" s="107" t="n">
        <f aca="false">C27-152000</f>
        <v>144750</v>
      </c>
      <c r="F27" s="238" t="n">
        <f aca="false">D27/$D$2</f>
        <v>-153.264431560373</v>
      </c>
      <c r="G27" s="135" t="n">
        <v>122</v>
      </c>
      <c r="H27" s="556" t="n">
        <v>0</v>
      </c>
      <c r="I27" s="135" t="n">
        <f aca="false">G27+H27</f>
        <v>122</v>
      </c>
      <c r="J27" s="136" t="n">
        <f aca="false">IF(L27&gt;0,L27,0)</f>
        <v>0</v>
      </c>
      <c r="K27" s="135" t="n">
        <f aca="false">I27+J27</f>
        <v>122</v>
      </c>
      <c r="L27" s="135" t="n">
        <f aca="false">F27-(I27-AK27)</f>
        <v>-12.2644315603731</v>
      </c>
      <c r="M27" s="240" t="n">
        <v>110</v>
      </c>
      <c r="N27" s="155" t="n">
        <f aca="false">(1.8299*1.03)/2</f>
        <v>0.9423985</v>
      </c>
      <c r="O27" s="135" t="n">
        <f aca="false">(13+14)*1.05</f>
        <v>28.35</v>
      </c>
      <c r="P27" s="155" t="n">
        <v>0</v>
      </c>
      <c r="Q27" s="328" t="n">
        <f aca="false">1023300/325851/1.9835*1.02</f>
        <v>1.61492323453015</v>
      </c>
      <c r="R27" s="328" t="n">
        <f aca="false">((2247598)/325851/1.9835-T27)*1.04</f>
        <v>2.77457635998608</v>
      </c>
      <c r="S27" s="83" t="n">
        <v>0</v>
      </c>
      <c r="T27" s="131" t="n">
        <f aca="false">0.7785*1.04</f>
        <v>0.80964</v>
      </c>
      <c r="U27" s="346" t="n">
        <v>0</v>
      </c>
      <c r="V27" s="135" t="n">
        <v>67</v>
      </c>
      <c r="W27" s="135" t="n">
        <v>36</v>
      </c>
      <c r="X27" s="135" t="n">
        <f aca="false">M27-N27-O27-P27-Q27-R27-S27-T27-U27+V27+W27-AU27+AR27</f>
        <v>178.508461905484</v>
      </c>
      <c r="Y27" s="135" t="n">
        <f aca="false">X27-AO27</f>
        <v>159.508461905484</v>
      </c>
      <c r="Z27" s="107"/>
      <c r="AA27" s="135"/>
      <c r="AB27" s="107"/>
      <c r="AC27" s="107"/>
      <c r="AD27" s="207" t="n">
        <f aca="false">AD26+AP27</f>
        <v>93.3871838672856</v>
      </c>
      <c r="AE27" s="135" t="n">
        <v>0</v>
      </c>
      <c r="AF27" s="137" t="n">
        <v>1.7</v>
      </c>
      <c r="AG27" s="138" t="n">
        <v>1.3</v>
      </c>
      <c r="AH27" s="135" t="n">
        <v>50</v>
      </c>
      <c r="AI27" s="107" t="n">
        <f aca="false">AI26-AH27</f>
        <v>6137.25787748929</v>
      </c>
      <c r="AJ27" s="107"/>
      <c r="AK27" s="134" t="n">
        <f aca="false">N27+O27+P27+Q27+R27+S27+T27+U27+X27+AE27+AH27</f>
        <v>263</v>
      </c>
      <c r="AL27" s="135" t="n">
        <f aca="false">IF(L27&lt;0,L27*-1,0)</f>
        <v>12.2644315603731</v>
      </c>
      <c r="AM27" s="135" t="n">
        <f aca="false">AK27+AL27</f>
        <v>275.264431560373</v>
      </c>
      <c r="AN27" s="557"/>
      <c r="AO27" s="136" t="n">
        <v>19</v>
      </c>
      <c r="AP27" s="97" t="n">
        <f aca="false">(I27-AO27)-Q27-R27-Y27-AF27</f>
        <v>-62.5979615</v>
      </c>
      <c r="AQ27" s="155" t="n">
        <f aca="false">18.67*(Z27*1.9835+AC27*1.9835)/E27</f>
        <v>0</v>
      </c>
      <c r="AR27" s="155"/>
      <c r="AS27" s="155"/>
      <c r="AT27" s="107"/>
      <c r="AU27" s="172"/>
      <c r="AV27" s="175" t="n">
        <f aca="false">O27</f>
        <v>28.35</v>
      </c>
      <c r="AW27" s="312" t="n">
        <v>0</v>
      </c>
      <c r="AX27" s="207" t="n">
        <v>75</v>
      </c>
      <c r="AY27" s="207" t="n">
        <v>39</v>
      </c>
      <c r="AZ27" s="291"/>
      <c r="BA27" s="242" t="n">
        <f aca="false">SUM(N27,P27:U27)</f>
        <v>6.14153809451622</v>
      </c>
    </row>
    <row r="28" customFormat="false" ht="12.95" hidden="false" customHeight="true" outlineLevel="0" collapsed="false">
      <c r="A28" s="179" t="n">
        <f aca="false">A27+1</f>
        <v>14</v>
      </c>
      <c r="B28" s="106" t="n">
        <v>6903.5</v>
      </c>
      <c r="C28" s="107" t="n">
        <v>296674</v>
      </c>
      <c r="D28" s="207" t="n">
        <f aca="false">C28-C27</f>
        <v>-76</v>
      </c>
      <c r="E28" s="107" t="n">
        <f aca="false">C28-152000</f>
        <v>144674</v>
      </c>
      <c r="F28" s="238" t="n">
        <f aca="false">D28/$D$2</f>
        <v>-38.3161078900933</v>
      </c>
      <c r="G28" s="135" t="n">
        <v>128</v>
      </c>
      <c r="H28" s="556" t="n">
        <v>0</v>
      </c>
      <c r="I28" s="135" t="n">
        <f aca="false">G28+H28</f>
        <v>128</v>
      </c>
      <c r="J28" s="136" t="n">
        <f aca="false">IF(L28&gt;0,L28,0)</f>
        <v>0</v>
      </c>
      <c r="K28" s="135" t="n">
        <f aca="false">I28+J28</f>
        <v>128</v>
      </c>
      <c r="L28" s="135" t="n">
        <f aca="false">F28-(I28-AK28)</f>
        <v>-25.2761078900933</v>
      </c>
      <c r="M28" s="240" t="n">
        <v>91</v>
      </c>
      <c r="N28" s="155" t="n">
        <f aca="false">(1.8299*1.03)/2</f>
        <v>0.9423985</v>
      </c>
      <c r="O28" s="135" t="n">
        <f aca="false">(32+34)*1.05</f>
        <v>69.3</v>
      </c>
      <c r="P28" s="155" t="n">
        <v>0</v>
      </c>
      <c r="Q28" s="328" t="n">
        <f aca="false">992400/325851/1.9835*1.02</f>
        <v>1.5661583288847</v>
      </c>
      <c r="R28" s="328" t="n">
        <f aca="false">((2142202)/325851/1.9835-T28)*1.04</f>
        <v>2.4914160306751</v>
      </c>
      <c r="S28" s="83" t="n">
        <v>0</v>
      </c>
      <c r="T28" s="131" t="n">
        <f aca="false">0.8835*1.04</f>
        <v>0.91884</v>
      </c>
      <c r="U28" s="346" t="n">
        <v>0</v>
      </c>
      <c r="V28" s="135" t="n">
        <v>0.04</v>
      </c>
      <c r="W28" s="329" t="n">
        <v>0</v>
      </c>
      <c r="X28" s="135" t="n">
        <f aca="false">M28-N28-O28-P28-Q28-R28-S28-T28-U28+V28+W28-AU28+AR28</f>
        <v>15.8211871404402</v>
      </c>
      <c r="Y28" s="135" t="n">
        <f aca="false">X28-AO28</f>
        <v>14.5611871404402</v>
      </c>
      <c r="Z28" s="107"/>
      <c r="AA28" s="135"/>
      <c r="AB28" s="107"/>
      <c r="AC28" s="107"/>
      <c r="AD28" s="207"/>
      <c r="AE28" s="135"/>
      <c r="AF28" s="137" t="n">
        <v>1.7</v>
      </c>
      <c r="AG28" s="138" t="n">
        <v>1.3</v>
      </c>
      <c r="AH28" s="135" t="n">
        <v>50</v>
      </c>
      <c r="AI28" s="107" t="n">
        <f aca="false">AI27-AH28</f>
        <v>6087.25787748929</v>
      </c>
      <c r="AJ28" s="107"/>
      <c r="AK28" s="134" t="n">
        <f aca="false">N28+O28+P28+Q28+R28+S28+T28+U28+X28+AE28+AH28</f>
        <v>141.04</v>
      </c>
      <c r="AL28" s="135" t="n">
        <f aca="false">IF(L28&lt;0,L28*-1,0)</f>
        <v>25.2761078900933</v>
      </c>
      <c r="AM28" s="135" t="n">
        <f aca="false">AK28+AL28</f>
        <v>166.316107890093</v>
      </c>
      <c r="AN28" s="557"/>
      <c r="AO28" s="136" t="n">
        <v>1.26</v>
      </c>
      <c r="AP28" s="97" t="n">
        <f aca="false">(I28-AO28)-Q28-R28-Y28-AF28</f>
        <v>106.4212385</v>
      </c>
      <c r="AQ28" s="155" t="n">
        <f aca="false">18.67*(Z28*1.9835+AC28*1.9835)/E28</f>
        <v>0</v>
      </c>
      <c r="AR28" s="155"/>
      <c r="AS28" s="155"/>
      <c r="AT28" s="107"/>
      <c r="AU28" s="172"/>
      <c r="AV28" s="175" t="n">
        <f aca="false">O28</f>
        <v>69.3</v>
      </c>
      <c r="AW28" s="312" t="n">
        <v>0</v>
      </c>
      <c r="AX28" s="213" t="n">
        <v>76</v>
      </c>
      <c r="AY28" s="207" t="n">
        <v>39</v>
      </c>
      <c r="AZ28" s="291"/>
      <c r="BA28" s="242" t="n">
        <f aca="false">SUM(N28,P28:U28)</f>
        <v>5.9188128595598</v>
      </c>
    </row>
    <row r="29" customFormat="false" ht="12.95" hidden="false" customHeight="true" outlineLevel="0" collapsed="false">
      <c r="A29" s="179" t="n">
        <f aca="false">A28+1</f>
        <v>15</v>
      </c>
      <c r="B29" s="106" t="n">
        <v>6903.52</v>
      </c>
      <c r="C29" s="107" t="n">
        <v>296750</v>
      </c>
      <c r="D29" s="207" t="n">
        <f aca="false">C29-C28</f>
        <v>76</v>
      </c>
      <c r="E29" s="107" t="n">
        <f aca="false">C29-152000</f>
        <v>144750</v>
      </c>
      <c r="F29" s="238" t="n">
        <f aca="false">D29/$D$2</f>
        <v>38.3161078900933</v>
      </c>
      <c r="G29" s="135" t="n">
        <v>137</v>
      </c>
      <c r="H29" s="556" t="n">
        <v>0</v>
      </c>
      <c r="I29" s="135" t="n">
        <f aca="false">G29+H29</f>
        <v>137</v>
      </c>
      <c r="J29" s="136" t="n">
        <f aca="false">IF(L29&gt;0,L29,0)</f>
        <v>23.3161078900933</v>
      </c>
      <c r="K29" s="135" t="n">
        <f aca="false">I29+J29</f>
        <v>160.316107890093</v>
      </c>
      <c r="L29" s="135" t="n">
        <f aca="false">F29-(I29-AK29)</f>
        <v>23.3161078900933</v>
      </c>
      <c r="M29" s="240" t="n">
        <v>72</v>
      </c>
      <c r="N29" s="155" t="n">
        <f aca="false">(1.8299*1.03)/2</f>
        <v>0.9423985</v>
      </c>
      <c r="O29" s="135" t="n">
        <f aca="false">(26+24)*1.05</f>
        <v>52.5</v>
      </c>
      <c r="P29" s="155" t="n">
        <v>0</v>
      </c>
      <c r="Q29" s="328" t="n">
        <f aca="false">1277800/325851/1.9835*1.02</f>
        <v>2.01656299138339</v>
      </c>
      <c r="R29" s="328" t="n">
        <f aca="false">((2204278)/325851/1.9835-T29)*1.04</f>
        <v>2.59130230182684</v>
      </c>
      <c r="S29" s="83" t="n">
        <v>0</v>
      </c>
      <c r="T29" s="131" t="n">
        <f aca="false">0.8835*1.04</f>
        <v>0.91884</v>
      </c>
      <c r="U29" s="346" t="n">
        <v>0</v>
      </c>
      <c r="V29" s="135" t="n">
        <v>0</v>
      </c>
      <c r="W29" s="329" t="n">
        <v>0</v>
      </c>
      <c r="X29" s="135" t="n">
        <f aca="false">M29-N29-O29-P29-Q29-R29-S29-T29-U29+V29+W29-AU29+AR29</f>
        <v>13.0308962067898</v>
      </c>
      <c r="Y29" s="135" t="n">
        <f aca="false">X29-AO29</f>
        <v>13.0308962067898</v>
      </c>
      <c r="Z29" s="107"/>
      <c r="AA29" s="135"/>
      <c r="AB29" s="107"/>
      <c r="AC29" s="107"/>
      <c r="AD29" s="207"/>
      <c r="AE29" s="135"/>
      <c r="AF29" s="137" t="n">
        <v>1.7</v>
      </c>
      <c r="AG29" s="138" t="n">
        <v>1.3</v>
      </c>
      <c r="AH29" s="135" t="n">
        <v>50</v>
      </c>
      <c r="AI29" s="107" t="n">
        <f aca="false">AI28-AH29</f>
        <v>6037.25787748929</v>
      </c>
      <c r="AJ29" s="107"/>
      <c r="AK29" s="134" t="n">
        <f aca="false">N29+O29+P29+Q29+R29+S29+T29+U29+X29+AE29+AH29</f>
        <v>122</v>
      </c>
      <c r="AL29" s="135" t="n">
        <f aca="false">IF(L29&lt;0,L29*-1,0)</f>
        <v>0</v>
      </c>
      <c r="AM29" s="135" t="n">
        <f aca="false">AK29+AL29</f>
        <v>122</v>
      </c>
      <c r="AN29" s="557"/>
      <c r="AO29" s="136"/>
      <c r="AP29" s="97" t="n">
        <f aca="false">(I29-AO29)-Q29-R29-Y29-AF29</f>
        <v>117.6612385</v>
      </c>
      <c r="AQ29" s="155" t="n">
        <f aca="false">18.67*(Z29*1.9835+AC29*1.9835)/E29</f>
        <v>0</v>
      </c>
      <c r="AR29" s="155"/>
      <c r="AS29" s="155"/>
      <c r="AT29" s="107"/>
      <c r="AU29" s="172"/>
      <c r="AV29" s="175" t="n">
        <f aca="false">O29</f>
        <v>52.5</v>
      </c>
      <c r="AW29" s="312" t="n">
        <v>0</v>
      </c>
      <c r="AX29" s="213" t="n">
        <v>79</v>
      </c>
      <c r="AY29" s="207" t="n">
        <v>44</v>
      </c>
      <c r="AZ29" s="291"/>
      <c r="BA29" s="242" t="n">
        <f aca="false">SUM(N29,P29:U29)</f>
        <v>6.46910379321022</v>
      </c>
    </row>
    <row r="30" customFormat="false" ht="12.95" hidden="false" customHeight="true" outlineLevel="0" collapsed="false">
      <c r="A30" s="179" t="n">
        <f aca="false">A29+1</f>
        <v>16</v>
      </c>
      <c r="B30" s="106" t="n">
        <v>6903.53</v>
      </c>
      <c r="C30" s="107" t="n">
        <v>296788</v>
      </c>
      <c r="D30" s="207" t="n">
        <f aca="false">C30-C29</f>
        <v>38</v>
      </c>
      <c r="E30" s="107" t="n">
        <f aca="false">C30-152000</f>
        <v>144788</v>
      </c>
      <c r="F30" s="238" t="n">
        <f aca="false">D30/$D$2</f>
        <v>19.1580539450466</v>
      </c>
      <c r="G30" s="135" t="n">
        <v>139</v>
      </c>
      <c r="H30" s="556" t="n">
        <v>0</v>
      </c>
      <c r="I30" s="135" t="n">
        <f aca="false">G30+H30</f>
        <v>139</v>
      </c>
      <c r="J30" s="136" t="n">
        <f aca="false">IF(L30&gt;0,L30,0)</f>
        <v>0</v>
      </c>
      <c r="K30" s="135" t="n">
        <f aca="false">I30+J30</f>
        <v>139</v>
      </c>
      <c r="L30" s="135" t="n">
        <f aca="false">F30-(I30-AK30)</f>
        <v>-19.8419460549534</v>
      </c>
      <c r="M30" s="240" t="n">
        <v>51</v>
      </c>
      <c r="N30" s="155" t="n">
        <f aca="false">(1.8299*1.03)/2</f>
        <v>0.9423985</v>
      </c>
      <c r="O30" s="135" t="n">
        <f aca="false">(24+21)*1.05</f>
        <v>47.25</v>
      </c>
      <c r="P30" s="155" t="n">
        <v>0</v>
      </c>
      <c r="Q30" s="328" t="n">
        <f aca="false">1319600/325851/1.9835*1.02</f>
        <v>2.08252975694907</v>
      </c>
      <c r="R30" s="328" t="n">
        <f aca="false">((2148856)/325851/1.9835-T30)*1.04</f>
        <v>2.50212295844499</v>
      </c>
      <c r="S30" s="83" t="n">
        <v>0</v>
      </c>
      <c r="T30" s="131" t="n">
        <f aca="false">0.8835*1.04</f>
        <v>0.91884</v>
      </c>
      <c r="U30" s="346" t="n">
        <v>0</v>
      </c>
      <c r="V30" s="135" t="n">
        <v>0</v>
      </c>
      <c r="W30" s="135" t="n">
        <v>0</v>
      </c>
      <c r="X30" s="135" t="n">
        <f aca="false">M30-N30-O30-P30-Q30-R30-S30-T30-U30+V30+W30-AU30+AR30</f>
        <v>-2.69589121539406</v>
      </c>
      <c r="Y30" s="135" t="n">
        <f aca="false">X30-AO30</f>
        <v>-2.69589121539406</v>
      </c>
      <c r="Z30" s="107"/>
      <c r="AA30" s="135"/>
      <c r="AB30" s="107"/>
      <c r="AC30" s="107"/>
      <c r="AD30" s="207"/>
      <c r="AE30" s="135"/>
      <c r="AF30" s="137" t="n">
        <v>1.7</v>
      </c>
      <c r="AG30" s="138" t="n">
        <v>1.3</v>
      </c>
      <c r="AH30" s="135" t="n">
        <v>49</v>
      </c>
      <c r="AI30" s="107" t="n">
        <f aca="false">AI29-AH30</f>
        <v>5988.25787748929</v>
      </c>
      <c r="AJ30" s="107"/>
      <c r="AK30" s="134" t="n">
        <f aca="false">N30+O30+P30+Q30+R30+S30+T30+U30+X30+AE30+AH30</f>
        <v>100</v>
      </c>
      <c r="AL30" s="135" t="n">
        <f aca="false">IF(L30&lt;0,L30*-1,0)</f>
        <v>19.8419460549534</v>
      </c>
      <c r="AM30" s="135" t="n">
        <f aca="false">AK30+AL30</f>
        <v>119.841946054953</v>
      </c>
      <c r="AN30" s="557"/>
      <c r="AO30" s="136"/>
      <c r="AP30" s="97" t="n">
        <f aca="false">(I30-AO30)-Q30-R30-Y30-AF30</f>
        <v>135.4112385</v>
      </c>
      <c r="AQ30" s="155" t="n">
        <f aca="false">18.67*(Z30*1.9835+AC30*1.9835)/E30</f>
        <v>0</v>
      </c>
      <c r="AR30" s="155"/>
      <c r="AS30" s="136"/>
      <c r="AT30" s="107"/>
      <c r="AU30" s="172"/>
      <c r="AV30" s="175" t="n">
        <f aca="false">O30</f>
        <v>47.25</v>
      </c>
      <c r="AW30" s="312" t="n">
        <v>0</v>
      </c>
      <c r="AX30" s="213" t="n">
        <v>75</v>
      </c>
      <c r="AY30" s="207" t="n">
        <v>44</v>
      </c>
      <c r="AZ30" s="291"/>
      <c r="BA30" s="242" t="n">
        <f aca="false">SUM(N30,P30:U30)</f>
        <v>6.44589121539406</v>
      </c>
    </row>
    <row r="31" customFormat="false" ht="12.95" hidden="false" customHeight="true" outlineLevel="0" collapsed="false">
      <c r="A31" s="179" t="n">
        <f aca="false">A30+1</f>
        <v>17</v>
      </c>
      <c r="B31" s="106" t="n">
        <v>6903.51</v>
      </c>
      <c r="C31" s="107" t="n">
        <v>296712</v>
      </c>
      <c r="D31" s="207" t="n">
        <f aca="false">C31-C30</f>
        <v>-76</v>
      </c>
      <c r="E31" s="107" t="n">
        <f aca="false">C31-152000</f>
        <v>144712</v>
      </c>
      <c r="F31" s="238" t="n">
        <f aca="false">D31/$D$2</f>
        <v>-38.3161078900933</v>
      </c>
      <c r="G31" s="135" t="n">
        <v>136</v>
      </c>
      <c r="H31" s="556" t="n">
        <v>0</v>
      </c>
      <c r="I31" s="135" t="n">
        <f aca="false">G31+H31</f>
        <v>136</v>
      </c>
      <c r="J31" s="136" t="n">
        <f aca="false">IF(L31&gt;0,L31,0)</f>
        <v>0</v>
      </c>
      <c r="K31" s="135" t="n">
        <f aca="false">I31+J31</f>
        <v>136</v>
      </c>
      <c r="L31" s="135" t="n">
        <f aca="false">F31-(I31-AK31)</f>
        <v>-5.31610789009327</v>
      </c>
      <c r="M31" s="240" t="n">
        <v>69</v>
      </c>
      <c r="N31" s="155" t="n">
        <f aca="false">(1.8299*1.03)/2</f>
        <v>0.9423985</v>
      </c>
      <c r="O31" s="135" t="n">
        <f aca="false">(27+26)*1.05</f>
        <v>55.65</v>
      </c>
      <c r="P31" s="155" t="n">
        <v>0</v>
      </c>
      <c r="Q31" s="328" t="n">
        <f aca="false">1166700/325851/1.9835*1.02</f>
        <v>1.84123027237987</v>
      </c>
      <c r="R31" s="328" t="n">
        <f aca="false">((2190738)/325851/1.9835-T31)*1.04</f>
        <v>2.56951513591095</v>
      </c>
      <c r="S31" s="83" t="n">
        <v>0</v>
      </c>
      <c r="T31" s="131" t="n">
        <f aca="false">0.8835*1.04</f>
        <v>0.91884</v>
      </c>
      <c r="U31" s="346" t="n">
        <v>0</v>
      </c>
      <c r="V31" s="135" t="n">
        <v>57</v>
      </c>
      <c r="W31" s="135" t="n">
        <v>0</v>
      </c>
      <c r="X31" s="135" t="n">
        <f aca="false">M31-N31-O31-P31-Q31-R31-S31-T31-U31+V31+W31-AU31+AR31</f>
        <v>64.0780160917092</v>
      </c>
      <c r="Y31" s="135" t="n">
        <f aca="false">X31-AO31</f>
        <v>64.0780160917092</v>
      </c>
      <c r="Z31" s="107"/>
      <c r="AA31" s="135"/>
      <c r="AB31" s="107"/>
      <c r="AC31" s="107"/>
      <c r="AD31" s="107"/>
      <c r="AE31" s="135"/>
      <c r="AF31" s="137" t="n">
        <v>1.7</v>
      </c>
      <c r="AG31" s="138" t="n">
        <v>1.3</v>
      </c>
      <c r="AH31" s="135" t="n">
        <v>43</v>
      </c>
      <c r="AI31" s="107" t="n">
        <f aca="false">AI30-AH31</f>
        <v>5945.25787748929</v>
      </c>
      <c r="AJ31" s="107"/>
      <c r="AK31" s="134" t="n">
        <f aca="false">N31+O31+P31+Q31+R31+S31+T31+U31+X31+AE31+AH31</f>
        <v>169</v>
      </c>
      <c r="AL31" s="135" t="n">
        <f aca="false">IF(L31&lt;0,L31*-1,0)</f>
        <v>5.31610789009327</v>
      </c>
      <c r="AM31" s="135" t="n">
        <f aca="false">AK31+AL31</f>
        <v>174.316107890093</v>
      </c>
      <c r="AN31" s="557" t="n">
        <f aca="false">V31</f>
        <v>57</v>
      </c>
      <c r="AO31" s="136"/>
      <c r="AP31" s="97"/>
      <c r="AQ31" s="155" t="n">
        <f aca="false">18.67*(Z31*1.9835+AC31*1.9835)/E31</f>
        <v>0</v>
      </c>
      <c r="AR31" s="155"/>
      <c r="AS31" s="136"/>
      <c r="AT31" s="107"/>
      <c r="AU31" s="172"/>
      <c r="AV31" s="175" t="n">
        <f aca="false">O31</f>
        <v>55.65</v>
      </c>
      <c r="AW31" s="312" t="n">
        <v>0</v>
      </c>
      <c r="AX31" s="213" t="n">
        <v>66</v>
      </c>
      <c r="AY31" s="207" t="n">
        <v>41</v>
      </c>
      <c r="AZ31" s="291"/>
      <c r="BA31" s="242" t="n">
        <f aca="false">SUM(N31,P31:U31)</f>
        <v>6.27198390829082</v>
      </c>
    </row>
    <row r="32" customFormat="false" ht="12.95" hidden="false" customHeight="true" outlineLevel="0" collapsed="false">
      <c r="A32" s="179" t="n">
        <f aca="false">A31+1</f>
        <v>18</v>
      </c>
      <c r="B32" s="106" t="n">
        <v>6903.43</v>
      </c>
      <c r="C32" s="107" t="n">
        <v>296409</v>
      </c>
      <c r="D32" s="207" t="n">
        <f aca="false">C32-C31</f>
        <v>-303</v>
      </c>
      <c r="E32" s="107" t="n">
        <f aca="false">C32-152000</f>
        <v>144409</v>
      </c>
      <c r="F32" s="238" t="n">
        <f aca="false">D32/$D$2</f>
        <v>-152.76027224603</v>
      </c>
      <c r="G32" s="135" t="n">
        <v>128</v>
      </c>
      <c r="H32" s="556" t="n">
        <v>0</v>
      </c>
      <c r="I32" s="135" t="n">
        <f aca="false">G32+H32</f>
        <v>128</v>
      </c>
      <c r="J32" s="136" t="n">
        <f aca="false">IF(L32&gt;0,L32,0)</f>
        <v>0</v>
      </c>
      <c r="K32" s="135" t="n">
        <f aca="false">I32+J32</f>
        <v>128</v>
      </c>
      <c r="L32" s="135" t="n">
        <f aca="false">F32-(I32-AK32)</f>
        <v>-19.7602722460297</v>
      </c>
      <c r="M32" s="240" t="n">
        <v>79</v>
      </c>
      <c r="N32" s="155" t="n">
        <f aca="false">(1.8299*1.03)/2</f>
        <v>0.9423985</v>
      </c>
      <c r="O32" s="135" t="n">
        <f aca="false">(33+33)*1.05</f>
        <v>69.3</v>
      </c>
      <c r="P32" s="155" t="n">
        <v>0</v>
      </c>
      <c r="Q32" s="328" t="n">
        <f aca="false">1008200/325851/1.9835*1.02</f>
        <v>1.59109313500762</v>
      </c>
      <c r="R32" s="328" t="n">
        <f aca="false">((2997782)/325851/1.9835-T32)*1.04</f>
        <v>3.86812677028463</v>
      </c>
      <c r="S32" s="83" t="n">
        <v>0</v>
      </c>
      <c r="T32" s="131" t="n">
        <f aca="false">0.8835*1.04</f>
        <v>0.91884</v>
      </c>
      <c r="U32" s="346" t="n">
        <v>0</v>
      </c>
      <c r="V32" s="135" t="n">
        <v>139</v>
      </c>
      <c r="W32" s="135" t="n">
        <v>0</v>
      </c>
      <c r="X32" s="135" t="n">
        <f aca="false">M32-N32-O32-P32-Q32-R32-S32-T32-U32+V32+W32-AU32+AR32</f>
        <v>141.379541594708</v>
      </c>
      <c r="Y32" s="135" t="n">
        <f aca="false">X32-AO32</f>
        <v>141.379541594708</v>
      </c>
      <c r="Z32" s="107"/>
      <c r="AA32" s="135"/>
      <c r="AB32" s="107"/>
      <c r="AC32" s="107"/>
      <c r="AD32" s="107"/>
      <c r="AE32" s="135"/>
      <c r="AF32" s="137" t="n">
        <v>1.7</v>
      </c>
      <c r="AG32" s="138" t="n">
        <v>1.3</v>
      </c>
      <c r="AH32" s="135" t="n">
        <v>43</v>
      </c>
      <c r="AI32" s="107" t="n">
        <f aca="false">AI31-AH32</f>
        <v>5902.25787748929</v>
      </c>
      <c r="AJ32" s="107"/>
      <c r="AK32" s="134" t="n">
        <f aca="false">N32+O32+P32+Q32+R32+S32+T32+U32+X32+AE32+AH32</f>
        <v>261</v>
      </c>
      <c r="AL32" s="135" t="n">
        <f aca="false">IF(L32&lt;0,L32*-1,0)</f>
        <v>19.7602722460297</v>
      </c>
      <c r="AM32" s="135" t="n">
        <f aca="false">AK32+AL32</f>
        <v>280.76027224603</v>
      </c>
      <c r="AN32" s="557" t="n">
        <f aca="false">V32</f>
        <v>139</v>
      </c>
      <c r="AO32" s="136"/>
      <c r="AP32" s="136"/>
      <c r="AQ32" s="155" t="n">
        <f aca="false">18.67*(Z32*1.9835+AC32*1.9835)/E32</f>
        <v>0</v>
      </c>
      <c r="AR32" s="155"/>
      <c r="AS32" s="136"/>
      <c r="AT32" s="107"/>
      <c r="AU32" s="172"/>
      <c r="AV32" s="175" t="n">
        <f aca="false">O32</f>
        <v>69.3</v>
      </c>
      <c r="AW32" s="312" t="n">
        <v>0</v>
      </c>
      <c r="AX32" s="213" t="n">
        <v>66</v>
      </c>
      <c r="AY32" s="207" t="n">
        <v>38</v>
      </c>
      <c r="AZ32" s="291"/>
      <c r="BA32" s="242" t="n">
        <f aca="false">SUM(N32,P32:U32)</f>
        <v>7.32045840529224</v>
      </c>
    </row>
    <row r="33" customFormat="false" ht="12.95" hidden="false" customHeight="true" outlineLevel="0" collapsed="false">
      <c r="A33" s="179" t="n">
        <f aca="false">A32+1</f>
        <v>19</v>
      </c>
      <c r="B33" s="106" t="n">
        <v>6903.34</v>
      </c>
      <c r="C33" s="107" t="n">
        <v>296067</v>
      </c>
      <c r="D33" s="207" t="n">
        <f aca="false">C33-C32</f>
        <v>-342</v>
      </c>
      <c r="E33" s="107" t="n">
        <f aca="false">C33-152000</f>
        <v>144067</v>
      </c>
      <c r="F33" s="238" t="n">
        <f aca="false">D33/$D$2</f>
        <v>-172.42248550542</v>
      </c>
      <c r="G33" s="135" t="n">
        <v>114</v>
      </c>
      <c r="H33" s="556" t="n">
        <v>0</v>
      </c>
      <c r="I33" s="135" t="n">
        <f aca="false">G33+H33</f>
        <v>114</v>
      </c>
      <c r="J33" s="136" t="n">
        <f aca="false">IF(L33&gt;0,L33,0)</f>
        <v>0</v>
      </c>
      <c r="K33" s="135" t="n">
        <f aca="false">I33+J33</f>
        <v>114</v>
      </c>
      <c r="L33" s="135" t="n">
        <f aca="false">F33-(I33-AK33)</f>
        <v>-30.4224855054197</v>
      </c>
      <c r="M33" s="240" t="n">
        <v>63</v>
      </c>
      <c r="N33" s="155" t="n">
        <f aca="false">(1.8299*1.03)/2</f>
        <v>0.9423985</v>
      </c>
      <c r="O33" s="135" t="n">
        <f aca="false">(27+27)*1.05</f>
        <v>56.7</v>
      </c>
      <c r="P33" s="155" t="n">
        <v>0</v>
      </c>
      <c r="Q33" s="328" t="n">
        <f aca="false">958300/325851/1.9835*1.02</f>
        <v>1.51234333592323</v>
      </c>
      <c r="R33" s="328" t="n">
        <f aca="false">((2072515)/325851/1.9835-T33)*1.04</f>
        <v>2.37928292645204</v>
      </c>
      <c r="S33" s="83" t="n">
        <v>0</v>
      </c>
      <c r="T33" s="131" t="n">
        <f aca="false">0.8835*1.04</f>
        <v>0.91884</v>
      </c>
      <c r="U33" s="346" t="n">
        <v>0</v>
      </c>
      <c r="V33" s="135" t="n">
        <v>150</v>
      </c>
      <c r="W33" s="135" t="n">
        <v>0</v>
      </c>
      <c r="X33" s="135" t="n">
        <f aca="false">M33-N33-O33-P33-Q33-R33-S33-T33-U33+V33+W33-AU33+AR33</f>
        <v>150.547135237625</v>
      </c>
      <c r="Y33" s="135" t="n">
        <f aca="false">X33-AO33</f>
        <v>150.547135237625</v>
      </c>
      <c r="Z33" s="107"/>
      <c r="AA33" s="135"/>
      <c r="AB33" s="107"/>
      <c r="AC33" s="107"/>
      <c r="AD33" s="107"/>
      <c r="AE33" s="135"/>
      <c r="AF33" s="137" t="n">
        <v>1.7</v>
      </c>
      <c r="AG33" s="138" t="n">
        <v>1.3</v>
      </c>
      <c r="AH33" s="135" t="n">
        <v>43</v>
      </c>
      <c r="AI33" s="107" t="n">
        <f aca="false">AI32-AH33</f>
        <v>5859.25787748929</v>
      </c>
      <c r="AJ33" s="107"/>
      <c r="AK33" s="134" t="n">
        <f aca="false">N33+O33+P33+Q33+R33+S33+T33+U33+X33+AE33+AH33</f>
        <v>256</v>
      </c>
      <c r="AL33" s="135" t="n">
        <f aca="false">IF(L33&lt;0,L33*-1,0)</f>
        <v>30.4224855054197</v>
      </c>
      <c r="AM33" s="135" t="n">
        <f aca="false">AK33+AL33</f>
        <v>286.42248550542</v>
      </c>
      <c r="AN33" s="557" t="n">
        <f aca="false">V33</f>
        <v>150</v>
      </c>
      <c r="AO33" s="136"/>
      <c r="AP33" s="136"/>
      <c r="AQ33" s="155" t="n">
        <f aca="false">18.67*(Z33*1.9835+AC33*1.9835)/E33</f>
        <v>0</v>
      </c>
      <c r="AR33" s="155"/>
      <c r="AS33" s="155"/>
      <c r="AT33" s="107"/>
      <c r="AU33" s="172"/>
      <c r="AV33" s="175" t="n">
        <f aca="false">O33</f>
        <v>56.7</v>
      </c>
      <c r="AW33" s="312" t="n">
        <v>0</v>
      </c>
      <c r="AX33" s="213" t="n">
        <v>68</v>
      </c>
      <c r="AY33" s="207" t="n">
        <v>34</v>
      </c>
      <c r="AZ33" s="291"/>
      <c r="BA33" s="242" t="n">
        <f aca="false">SUM(N33,P33:U33)</f>
        <v>5.75286476237527</v>
      </c>
    </row>
    <row r="34" customFormat="false" ht="12.95" hidden="false" customHeight="true" outlineLevel="0" collapsed="false">
      <c r="A34" s="179" t="n">
        <f aca="false">A33+1</f>
        <v>20</v>
      </c>
      <c r="B34" s="106" t="n">
        <v>6903.26</v>
      </c>
      <c r="C34" s="107" t="n">
        <v>295764</v>
      </c>
      <c r="D34" s="207" t="n">
        <f aca="false">C34-C33</f>
        <v>-303</v>
      </c>
      <c r="E34" s="107" t="n">
        <f aca="false">C34-152000</f>
        <v>143764</v>
      </c>
      <c r="F34" s="238" t="n">
        <f aca="false">D34/$D$2</f>
        <v>-152.76027224603</v>
      </c>
      <c r="G34" s="135" t="n">
        <v>106</v>
      </c>
      <c r="H34" s="556" t="n">
        <v>0</v>
      </c>
      <c r="I34" s="135" t="n">
        <f aca="false">G34+H34</f>
        <v>106</v>
      </c>
      <c r="J34" s="136" t="n">
        <f aca="false">IF(L34&gt;0,L34,0)</f>
        <v>0</v>
      </c>
      <c r="K34" s="135" t="n">
        <f aca="false">I34+J34</f>
        <v>106</v>
      </c>
      <c r="L34" s="135" t="n">
        <f aca="false">F34-(I34-AK34)</f>
        <v>-27.7602722460297</v>
      </c>
      <c r="M34" s="240" t="n">
        <v>73</v>
      </c>
      <c r="N34" s="155" t="n">
        <f aca="false">(1.8299*1.03)/2</f>
        <v>0.9423985</v>
      </c>
      <c r="O34" s="135" t="n">
        <f aca="false">(32+32)*1.05</f>
        <v>67.2</v>
      </c>
      <c r="P34" s="155" t="n">
        <v>0</v>
      </c>
      <c r="Q34" s="328" t="n">
        <f aca="false">954400/325851/1.9835*1.02</f>
        <v>1.50618854200681</v>
      </c>
      <c r="R34" s="328" t="n">
        <f aca="false">((1939607)/325851/1.9835-T34)*1.04</f>
        <v>2.16542113564344</v>
      </c>
      <c r="S34" s="83" t="n">
        <v>0</v>
      </c>
      <c r="T34" s="131" t="n">
        <f aca="false">0.8835*1.04</f>
        <v>0.91884</v>
      </c>
      <c r="U34" s="346" t="n">
        <v>0</v>
      </c>
      <c r="V34" s="135" t="n">
        <v>115</v>
      </c>
      <c r="W34" s="135" t="n">
        <v>0</v>
      </c>
      <c r="X34" s="135" t="n">
        <f aca="false">M34-N34-O34-P34-Q34-R34-S34-T34-U34+V34+W34-AU34+AR34</f>
        <v>115.26715182235</v>
      </c>
      <c r="Y34" s="135" t="n">
        <f aca="false">X34-AO34</f>
        <v>115.26715182235</v>
      </c>
      <c r="Z34" s="107"/>
      <c r="AA34" s="135"/>
      <c r="AB34" s="107"/>
      <c r="AC34" s="107"/>
      <c r="AD34" s="107"/>
      <c r="AE34" s="135"/>
      <c r="AF34" s="137" t="n">
        <v>1.7</v>
      </c>
      <c r="AG34" s="138" t="n">
        <v>1.3</v>
      </c>
      <c r="AH34" s="135" t="n">
        <v>43</v>
      </c>
      <c r="AI34" s="107" t="n">
        <f aca="false">AI33-AH34</f>
        <v>5816.25787748929</v>
      </c>
      <c r="AJ34" s="107"/>
      <c r="AK34" s="134" t="n">
        <f aca="false">N34+O34+P34+Q34+R34+S34+T34+U34+X34+AE34+AH34</f>
        <v>231</v>
      </c>
      <c r="AL34" s="135" t="n">
        <f aca="false">IF(L34&lt;0,L34*-1,0)</f>
        <v>27.7602722460297</v>
      </c>
      <c r="AM34" s="135" t="n">
        <f aca="false">AK34+AL34</f>
        <v>258.76027224603</v>
      </c>
      <c r="AN34" s="557" t="n">
        <f aca="false">V34</f>
        <v>115</v>
      </c>
      <c r="AO34" s="136"/>
      <c r="AP34" s="136"/>
      <c r="AQ34" s="155" t="n">
        <f aca="false">18.67*(Z34*1.9835+AC34*1.9835)/E34</f>
        <v>0</v>
      </c>
      <c r="AR34" s="155"/>
      <c r="AS34" s="155"/>
      <c r="AT34" s="107"/>
      <c r="AU34" s="172"/>
      <c r="AV34" s="175" t="n">
        <f aca="false">O34</f>
        <v>67.2</v>
      </c>
      <c r="AW34" s="312" t="n">
        <v>0</v>
      </c>
      <c r="AX34" s="213" t="n">
        <v>66</v>
      </c>
      <c r="AY34" s="207" t="n">
        <v>37</v>
      </c>
      <c r="AZ34" s="291"/>
      <c r="BA34" s="242" t="n">
        <f aca="false">SUM(N34,P34:U34)</f>
        <v>5.53284817765025</v>
      </c>
    </row>
    <row r="35" customFormat="false" ht="12.95" hidden="false" customHeight="true" outlineLevel="0" collapsed="false">
      <c r="A35" s="179" t="n">
        <f aca="false">A34+1</f>
        <v>21</v>
      </c>
      <c r="B35" s="106" t="n">
        <v>6903.19</v>
      </c>
      <c r="C35" s="107" t="n">
        <v>295498</v>
      </c>
      <c r="D35" s="207" t="n">
        <f aca="false">C35-C34</f>
        <v>-266</v>
      </c>
      <c r="E35" s="107" t="n">
        <f aca="false">C35-152000</f>
        <v>143498</v>
      </c>
      <c r="F35" s="238" t="n">
        <f aca="false">D35/$D$2</f>
        <v>-134.106377615326</v>
      </c>
      <c r="G35" s="135" t="n">
        <v>102</v>
      </c>
      <c r="H35" s="556" t="n">
        <v>0</v>
      </c>
      <c r="I35" s="135" t="n">
        <f aca="false">G35+H35</f>
        <v>102</v>
      </c>
      <c r="J35" s="136" t="n">
        <f aca="false">IF(L35&gt;0,L35,0)</f>
        <v>0</v>
      </c>
      <c r="K35" s="135" t="n">
        <f aca="false">I35+J35</f>
        <v>102</v>
      </c>
      <c r="L35" s="135" t="n">
        <f aca="false">F35-(I35-AK35)</f>
        <v>-38.1063776153264</v>
      </c>
      <c r="M35" s="240" t="n">
        <v>60</v>
      </c>
      <c r="N35" s="155" t="n">
        <f aca="false">(1.8299*1.03)/2</f>
        <v>0.9423985</v>
      </c>
      <c r="O35" s="135" t="n">
        <f aca="false">(23+23)*1.05</f>
        <v>48.3</v>
      </c>
      <c r="P35" s="155" t="n">
        <v>0</v>
      </c>
      <c r="Q35" s="328" t="n">
        <f aca="false">1060200/325851/1.9835*1.02</f>
        <v>1.67315705389315</v>
      </c>
      <c r="R35" s="328" t="n">
        <f aca="false">((1980837)/325851/1.9835-T35)*1.04</f>
        <v>2.44462306222482</v>
      </c>
      <c r="S35" s="83" t="n">
        <v>0</v>
      </c>
      <c r="T35" s="131" t="n">
        <f aca="false">0.6867*1.04</f>
        <v>0.714168</v>
      </c>
      <c r="U35" s="346" t="n">
        <v>0</v>
      </c>
      <c r="V35" s="135" t="n">
        <v>95</v>
      </c>
      <c r="W35" s="135" t="n">
        <v>0</v>
      </c>
      <c r="X35" s="135" t="n">
        <f aca="false">M35-N35-O35-P35-Q35-R35-S35-T35-U35+V35+W35-AU35+AR35</f>
        <v>100.925653383882</v>
      </c>
      <c r="Y35" s="135" t="n">
        <f aca="false">X35-AO35</f>
        <v>100.925653383882</v>
      </c>
      <c r="Z35" s="107"/>
      <c r="AA35" s="135"/>
      <c r="AB35" s="107"/>
      <c r="AC35" s="107"/>
      <c r="AD35" s="107"/>
      <c r="AE35" s="135"/>
      <c r="AF35" s="137" t="n">
        <v>1.7</v>
      </c>
      <c r="AG35" s="138" t="n">
        <v>1.3</v>
      </c>
      <c r="AH35" s="135" t="n">
        <v>43</v>
      </c>
      <c r="AI35" s="107" t="n">
        <f aca="false">AI34-AH35</f>
        <v>5773.25787748929</v>
      </c>
      <c r="AJ35" s="107"/>
      <c r="AK35" s="134" t="n">
        <f aca="false">N35+O35+P35+Q35+R35+S35+T35+U35+X35+AE35+AH35</f>
        <v>198</v>
      </c>
      <c r="AL35" s="135" t="n">
        <f aca="false">IF(L35&lt;0,L35*-1,0)</f>
        <v>38.1063776153264</v>
      </c>
      <c r="AM35" s="135" t="n">
        <f aca="false">AK35+AL35</f>
        <v>236.106377615326</v>
      </c>
      <c r="AN35" s="557" t="n">
        <f aca="false">V35</f>
        <v>95</v>
      </c>
      <c r="AO35" s="136"/>
      <c r="AP35" s="136"/>
      <c r="AQ35" s="155" t="n">
        <f aca="false">18.67*(Z35*1.9835+AC35*1.9835)/E35</f>
        <v>0</v>
      </c>
      <c r="AR35" s="155"/>
      <c r="AS35" s="155"/>
      <c r="AT35" s="107"/>
      <c r="AU35" s="172"/>
      <c r="AV35" s="175" t="n">
        <f aca="false">O35</f>
        <v>48.3</v>
      </c>
      <c r="AW35" s="312" t="n">
        <v>0</v>
      </c>
      <c r="AX35" s="207" t="n">
        <v>65</v>
      </c>
      <c r="AY35" s="207" t="n">
        <v>39</v>
      </c>
      <c r="AZ35" s="291"/>
      <c r="BA35" s="242" t="n">
        <f aca="false">SUM(N35,P35:U35)</f>
        <v>5.77434661611797</v>
      </c>
    </row>
    <row r="36" customFormat="false" ht="12.95" hidden="false" customHeight="true" outlineLevel="0" collapsed="false">
      <c r="A36" s="179" t="n">
        <f aca="false">A35+1</f>
        <v>22</v>
      </c>
      <c r="B36" s="106" t="n">
        <v>6903.13</v>
      </c>
      <c r="C36" s="107" t="n">
        <v>295271</v>
      </c>
      <c r="D36" s="207" t="n">
        <f aca="false">C36-C35</f>
        <v>-227</v>
      </c>
      <c r="E36" s="107" t="n">
        <f aca="false">C36-152000</f>
        <v>143271</v>
      </c>
      <c r="F36" s="238" t="n">
        <f aca="false">D36/$D$2</f>
        <v>-114.444164355936</v>
      </c>
      <c r="G36" s="135" t="n">
        <v>95</v>
      </c>
      <c r="H36" s="556" t="n">
        <v>0</v>
      </c>
      <c r="I36" s="135" t="n">
        <f aca="false">G36+H36</f>
        <v>95</v>
      </c>
      <c r="J36" s="136" t="n">
        <f aca="false">IF(L36&gt;0,L36,0)</f>
        <v>0</v>
      </c>
      <c r="K36" s="135" t="n">
        <f aca="false">I36+J36</f>
        <v>95</v>
      </c>
      <c r="L36" s="135" t="n">
        <f aca="false">F36-(I36-AK36)</f>
        <v>-20.4441643559365</v>
      </c>
      <c r="M36" s="240" t="n">
        <v>51</v>
      </c>
      <c r="N36" s="155" t="n">
        <f aca="false">(1.8299*1.03)/2</f>
        <v>0.9423985</v>
      </c>
      <c r="O36" s="135" t="n">
        <f aca="false">(20+20)*1.05</f>
        <v>42</v>
      </c>
      <c r="P36" s="155" t="n">
        <v>0</v>
      </c>
      <c r="Q36" s="328" t="n">
        <f aca="false">1019500/325851/1.9835*1.02</f>
        <v>1.60892625584236</v>
      </c>
      <c r="R36" s="328" t="n">
        <f aca="false">((1939283)/325851/1.9835-T36)*1.04</f>
        <v>2.37775866839404</v>
      </c>
      <c r="S36" s="83" t="n">
        <v>0</v>
      </c>
      <c r="T36" s="131" t="n">
        <f aca="false">0.6867*1.04</f>
        <v>0.714168</v>
      </c>
      <c r="U36" s="346" t="n">
        <v>0</v>
      </c>
      <c r="V36" s="135" t="n">
        <v>95</v>
      </c>
      <c r="W36" s="135" t="n">
        <v>0</v>
      </c>
      <c r="X36" s="135" t="n">
        <f aca="false">M36-N36-O36-P36-Q36-R36-S36-T36-U36+V36+W36-AU36+AR36</f>
        <v>98.3567485757636</v>
      </c>
      <c r="Y36" s="135" t="n">
        <f aca="false">X36-AO36</f>
        <v>98.3567485757636</v>
      </c>
      <c r="Z36" s="107"/>
      <c r="AA36" s="135"/>
      <c r="AB36" s="107"/>
      <c r="AC36" s="107"/>
      <c r="AD36" s="107"/>
      <c r="AE36" s="135"/>
      <c r="AF36" s="137" t="n">
        <v>1.7</v>
      </c>
      <c r="AG36" s="138" t="n">
        <v>1.3</v>
      </c>
      <c r="AH36" s="135" t="n">
        <v>43</v>
      </c>
      <c r="AI36" s="107" t="n">
        <f aca="false">AI35-AH36</f>
        <v>5730.25787748929</v>
      </c>
      <c r="AJ36" s="107"/>
      <c r="AK36" s="134" t="n">
        <f aca="false">N36+O36+P36+Q36+R36+S36+T36+U36+X36+AE36+AH36</f>
        <v>189</v>
      </c>
      <c r="AL36" s="135" t="n">
        <f aca="false">IF(L36&lt;0,L36*-1,0)</f>
        <v>20.4441643559365</v>
      </c>
      <c r="AM36" s="135" t="n">
        <f aca="false">AK36+AL36</f>
        <v>209.444164355937</v>
      </c>
      <c r="AN36" s="557" t="n">
        <f aca="false">V36</f>
        <v>95</v>
      </c>
      <c r="AO36" s="136"/>
      <c r="AP36" s="136"/>
      <c r="AQ36" s="155" t="n">
        <f aca="false">18.67*(Z36*1.9835+AC36*1.9835)/E36</f>
        <v>0</v>
      </c>
      <c r="AR36" s="155"/>
      <c r="AS36" s="155"/>
      <c r="AT36" s="107"/>
      <c r="AU36" s="172"/>
      <c r="AV36" s="175" t="n">
        <f aca="false">O36</f>
        <v>42</v>
      </c>
      <c r="AW36" s="312" t="n">
        <v>0</v>
      </c>
      <c r="AX36" s="207" t="n">
        <v>66</v>
      </c>
      <c r="AY36" s="207" t="n">
        <v>39</v>
      </c>
      <c r="AZ36" s="291"/>
      <c r="BA36" s="242" t="n">
        <f aca="false">SUM(N36,P36:U36)</f>
        <v>5.6432514242364</v>
      </c>
    </row>
    <row r="37" customFormat="false" ht="12.95" hidden="false" customHeight="true" outlineLevel="0" collapsed="false">
      <c r="A37" s="179" t="n">
        <f aca="false">A36+1</f>
        <v>23</v>
      </c>
      <c r="B37" s="106" t="n">
        <v>6903.08</v>
      </c>
      <c r="C37" s="107" t="n">
        <v>295081</v>
      </c>
      <c r="D37" s="207" t="n">
        <f aca="false">C37-C36</f>
        <v>-190</v>
      </c>
      <c r="E37" s="107" t="n">
        <f aca="false">C37-152000</f>
        <v>143081</v>
      </c>
      <c r="F37" s="238" t="n">
        <f aca="false">D37/$D$2</f>
        <v>-95.7902697252332</v>
      </c>
      <c r="G37" s="135" t="n">
        <v>92</v>
      </c>
      <c r="H37" s="556" t="n">
        <v>0</v>
      </c>
      <c r="I37" s="135" t="n">
        <f aca="false">G37+H37</f>
        <v>92</v>
      </c>
      <c r="J37" s="136" t="n">
        <f aca="false">IF(L37&gt;0,L37,0)</f>
        <v>0</v>
      </c>
      <c r="K37" s="135" t="n">
        <f aca="false">I37+J37</f>
        <v>92</v>
      </c>
      <c r="L37" s="135" t="n">
        <f aca="false">F37-(I37-AK37)</f>
        <v>-9.79026972523317</v>
      </c>
      <c r="M37" s="240" t="n">
        <v>44</v>
      </c>
      <c r="N37" s="155" t="n">
        <f aca="false">(1.8299*1.03)/2</f>
        <v>0.9423985</v>
      </c>
      <c r="O37" s="135" t="n">
        <f aca="false">(17+17)*1.05</f>
        <v>35.7</v>
      </c>
      <c r="P37" s="155" t="n">
        <v>0</v>
      </c>
      <c r="Q37" s="328" t="n">
        <f aca="false">1241300/325851/1.9835*1.02</f>
        <v>1.95896043293489</v>
      </c>
      <c r="R37" s="328" t="n">
        <f aca="false">((1711075)/325851/1.9835-T37)*1.04</f>
        <v>2.01054998602091</v>
      </c>
      <c r="S37" s="83" t="n">
        <v>0</v>
      </c>
      <c r="T37" s="131" t="n">
        <f aca="false">0.6867*1.04</f>
        <v>0.714168</v>
      </c>
      <c r="U37" s="346" t="n">
        <v>0</v>
      </c>
      <c r="V37" s="135" t="n">
        <v>91</v>
      </c>
      <c r="W37" s="135" t="n">
        <v>0</v>
      </c>
      <c r="X37" s="135" t="n">
        <f aca="false">M37-N37-O37-P37-Q37-R37-S37-T37-U37+V37+W37-AU37+AR37</f>
        <v>93.6739230810442</v>
      </c>
      <c r="Y37" s="135" t="n">
        <f aca="false">X37-AO37</f>
        <v>93.6739230810442</v>
      </c>
      <c r="Z37" s="107"/>
      <c r="AA37" s="135"/>
      <c r="AB37" s="107"/>
      <c r="AC37" s="107"/>
      <c r="AD37" s="107"/>
      <c r="AE37" s="135"/>
      <c r="AF37" s="137" t="n">
        <v>1.7</v>
      </c>
      <c r="AG37" s="138" t="n">
        <v>1.3</v>
      </c>
      <c r="AH37" s="135" t="n">
        <v>43</v>
      </c>
      <c r="AI37" s="107" t="n">
        <f aca="false">AI36-AH37</f>
        <v>5687.25787748929</v>
      </c>
      <c r="AJ37" s="107"/>
      <c r="AK37" s="134" t="n">
        <f aca="false">N37+O37+P37+Q37+R37+S37+T37+U37+X37+AE37+AH37</f>
        <v>178</v>
      </c>
      <c r="AL37" s="135" t="n">
        <f aca="false">IF(L37&lt;0,L37*-1,0)</f>
        <v>9.79026972523317</v>
      </c>
      <c r="AM37" s="135" t="n">
        <f aca="false">AK37+AL37</f>
        <v>187.790269725233</v>
      </c>
      <c r="AN37" s="557" t="n">
        <f aca="false">V37</f>
        <v>91</v>
      </c>
      <c r="AO37" s="136"/>
      <c r="AP37" s="136"/>
      <c r="AQ37" s="155" t="n">
        <f aca="false">18.67*(Z37*1.9835+AC37*1.9835)/E37</f>
        <v>0</v>
      </c>
      <c r="AR37" s="155"/>
      <c r="AS37" s="155"/>
      <c r="AT37" s="107"/>
      <c r="AU37" s="172"/>
      <c r="AV37" s="175" t="n">
        <f aca="false">O37</f>
        <v>35.7</v>
      </c>
      <c r="AW37" s="312" t="n">
        <v>0</v>
      </c>
      <c r="AX37" s="207" t="n">
        <v>69</v>
      </c>
      <c r="AY37" s="213" t="n">
        <v>39</v>
      </c>
      <c r="AZ37" s="291"/>
      <c r="BA37" s="242" t="n">
        <f aca="false">SUM(N37,P37:U37)</f>
        <v>5.62607691895579</v>
      </c>
    </row>
    <row r="38" customFormat="false" ht="12.95" hidden="false" customHeight="true" outlineLevel="0" collapsed="false">
      <c r="A38" s="179" t="n">
        <f aca="false">A37+1</f>
        <v>24</v>
      </c>
      <c r="B38" s="106" t="n">
        <v>6903.01</v>
      </c>
      <c r="C38" s="107" t="n">
        <v>294815</v>
      </c>
      <c r="D38" s="207" t="n">
        <f aca="false">C38-C37</f>
        <v>-266</v>
      </c>
      <c r="E38" s="107" t="n">
        <f aca="false">C38-152000</f>
        <v>142815</v>
      </c>
      <c r="F38" s="238" t="n">
        <f aca="false">D38/$D$2</f>
        <v>-134.106377615326</v>
      </c>
      <c r="G38" s="135" t="n">
        <v>88</v>
      </c>
      <c r="H38" s="556" t="n">
        <v>0</v>
      </c>
      <c r="I38" s="135" t="n">
        <f aca="false">G38+H38</f>
        <v>88</v>
      </c>
      <c r="J38" s="136" t="n">
        <f aca="false">IF(L38&gt;0,L38,0)</f>
        <v>0</v>
      </c>
      <c r="K38" s="135" t="n">
        <f aca="false">I38+J38</f>
        <v>88</v>
      </c>
      <c r="L38" s="135" t="n">
        <f aca="false">F38-(I38-AK38)</f>
        <v>-27.1063776153264</v>
      </c>
      <c r="M38" s="240" t="n">
        <v>65</v>
      </c>
      <c r="N38" s="155" t="n">
        <f aca="false">(1.8299*1.03)/2</f>
        <v>0.9423985</v>
      </c>
      <c r="O38" s="135" t="n">
        <f aca="false">(25+25)*1.05</f>
        <v>52.5</v>
      </c>
      <c r="P38" s="155" t="n">
        <v>0</v>
      </c>
      <c r="Q38" s="328" t="n">
        <f aca="false">1121400/325851/1.9835*1.02</f>
        <v>1.76973997381228</v>
      </c>
      <c r="R38" s="328" t="n">
        <f aca="false">((1672017)/325851/1.9835-T38)*1.04</f>
        <v>1.94770189692618</v>
      </c>
      <c r="S38" s="83" t="n">
        <v>0</v>
      </c>
      <c r="T38" s="131" t="n">
        <f aca="false">0.6867*1.04</f>
        <v>0.714168</v>
      </c>
      <c r="U38" s="346" t="n">
        <v>0</v>
      </c>
      <c r="V38" s="135" t="n">
        <v>88</v>
      </c>
      <c r="W38" s="135" t="n">
        <v>0</v>
      </c>
      <c r="X38" s="135" t="n">
        <f aca="false">M38-N38-O38-P38-Q38-R38-S38-T38-U38+V38+W38-AU38+AR38</f>
        <v>95.1259916292615</v>
      </c>
      <c r="Y38" s="135" t="n">
        <f aca="false">X38-AO38</f>
        <v>95.1259916292615</v>
      </c>
      <c r="Z38" s="107"/>
      <c r="AA38" s="135"/>
      <c r="AB38" s="107"/>
      <c r="AC38" s="107"/>
      <c r="AD38" s="107"/>
      <c r="AE38" s="135"/>
      <c r="AF38" s="137" t="n">
        <v>1.7</v>
      </c>
      <c r="AG38" s="138" t="n">
        <v>1.3</v>
      </c>
      <c r="AH38" s="135" t="n">
        <v>42</v>
      </c>
      <c r="AI38" s="107" t="n">
        <f aca="false">AI37-AH38</f>
        <v>5645.25787748929</v>
      </c>
      <c r="AJ38" s="107"/>
      <c r="AK38" s="134" t="n">
        <f aca="false">N38+O38+P38+Q38+R38+S38+T38+U38+X38+AE38+AH38</f>
        <v>195</v>
      </c>
      <c r="AL38" s="135" t="n">
        <f aca="false">IF(L38&lt;0,L38*-1,0)</f>
        <v>27.1063776153264</v>
      </c>
      <c r="AM38" s="135" t="n">
        <f aca="false">AK38+AL38</f>
        <v>222.106377615326</v>
      </c>
      <c r="AN38" s="557" t="n">
        <f aca="false">V38</f>
        <v>88</v>
      </c>
      <c r="AO38" s="136"/>
      <c r="AP38" s="136"/>
      <c r="AQ38" s="155" t="n">
        <f aca="false">18.67*(Z38*1.9835+AC38*1.9835)/E38</f>
        <v>0</v>
      </c>
      <c r="AR38" s="155"/>
      <c r="AS38" s="155"/>
      <c r="AT38" s="107"/>
      <c r="AU38" s="172"/>
      <c r="AV38" s="175" t="n">
        <f aca="false">O38</f>
        <v>52.5</v>
      </c>
      <c r="AW38" s="312" t="n">
        <v>0</v>
      </c>
      <c r="AX38" s="207" t="n">
        <v>69</v>
      </c>
      <c r="AY38" s="213" t="n">
        <v>39</v>
      </c>
      <c r="AZ38" s="291"/>
      <c r="BA38" s="242" t="n">
        <f aca="false">SUM(N38,P38:U38)</f>
        <v>5.37400837073846</v>
      </c>
    </row>
    <row r="39" customFormat="false" ht="12.95" hidden="false" customHeight="true" outlineLevel="0" collapsed="false">
      <c r="A39" s="179" t="n">
        <v>25</v>
      </c>
      <c r="B39" s="106" t="n">
        <v>6902.94</v>
      </c>
      <c r="C39" s="107" t="n">
        <v>294552</v>
      </c>
      <c r="D39" s="207" t="n">
        <f aca="false">C39-C38</f>
        <v>-263</v>
      </c>
      <c r="E39" s="107" t="n">
        <f aca="false">C39-152000</f>
        <v>142552</v>
      </c>
      <c r="F39" s="238" t="n">
        <f aca="false">D39/$D$2</f>
        <v>-132.593899672296</v>
      </c>
      <c r="G39" s="135" t="n">
        <v>88</v>
      </c>
      <c r="H39" s="556" t="n">
        <v>0</v>
      </c>
      <c r="I39" s="135" t="n">
        <f aca="false">G39+H39</f>
        <v>88</v>
      </c>
      <c r="J39" s="136" t="n">
        <f aca="false">IF(L39&gt;0,L39,0)</f>
        <v>5.40610032770357</v>
      </c>
      <c r="K39" s="135" t="n">
        <f aca="false">I39+J39</f>
        <v>93.4061003277036</v>
      </c>
      <c r="L39" s="135" t="n">
        <f aca="false">F39-(I39-AK39)</f>
        <v>5.40610032770357</v>
      </c>
      <c r="M39" s="240" t="n">
        <v>102</v>
      </c>
      <c r="N39" s="155" t="n">
        <f aca="false">(1.8299*1.03)/2</f>
        <v>0.9423985</v>
      </c>
      <c r="O39" s="135" t="n">
        <f aca="false">(38+38)*1.05</f>
        <v>79.8</v>
      </c>
      <c r="P39" s="155" t="n">
        <v>0</v>
      </c>
      <c r="Q39" s="328" t="n">
        <f aca="false">1165800/325851/1.9835*1.02</f>
        <v>1.83980993532224</v>
      </c>
      <c r="R39" s="328" t="n">
        <f aca="false">((1679575)/325851/1.9835-T39)*1.04</f>
        <v>1.95986344788572</v>
      </c>
      <c r="S39" s="83" t="n">
        <v>0</v>
      </c>
      <c r="T39" s="131" t="n">
        <f aca="false">0.6867*1.04</f>
        <v>0.714168</v>
      </c>
      <c r="U39" s="346" t="n">
        <v>0</v>
      </c>
      <c r="V39" s="135" t="n">
        <v>82</v>
      </c>
      <c r="W39" s="135" t="n">
        <v>0</v>
      </c>
      <c r="X39" s="135" t="n">
        <f aca="false">M39-N39-O39-P39-Q39-R39-S39-T39-U39+V39+W39-AU39+AR39</f>
        <v>98.7437601167921</v>
      </c>
      <c r="Y39" s="135" t="n">
        <f aca="false">X39-AO39</f>
        <v>98.7437601167921</v>
      </c>
      <c r="Z39" s="107"/>
      <c r="AA39" s="135"/>
      <c r="AB39" s="107"/>
      <c r="AC39" s="107"/>
      <c r="AD39" s="107"/>
      <c r="AE39" s="135"/>
      <c r="AF39" s="137" t="n">
        <v>1.7</v>
      </c>
      <c r="AG39" s="138" t="n">
        <v>1.3</v>
      </c>
      <c r="AH39" s="135" t="n">
        <v>42</v>
      </c>
      <c r="AI39" s="107" t="n">
        <f aca="false">AI38-AH39</f>
        <v>5603.25787748929</v>
      </c>
      <c r="AJ39" s="107"/>
      <c r="AK39" s="134" t="n">
        <f aca="false">N39+O39+P39+Q39+R39+S39+T39+U39+X39+AE39+AH39</f>
        <v>226</v>
      </c>
      <c r="AL39" s="135" t="n">
        <f aca="false">IF(L39&lt;0,L39*-1,0)</f>
        <v>0</v>
      </c>
      <c r="AM39" s="135" t="n">
        <f aca="false">AK39+AL39</f>
        <v>226</v>
      </c>
      <c r="AN39" s="557" t="n">
        <f aca="false">V39</f>
        <v>82</v>
      </c>
      <c r="AO39" s="136"/>
      <c r="AP39" s="136"/>
      <c r="AQ39" s="155" t="n">
        <f aca="false">18.67*(Z39*1.9835+AC39*1.9835)/E39</f>
        <v>0</v>
      </c>
      <c r="AR39" s="155"/>
      <c r="AS39" s="155"/>
      <c r="AT39" s="107"/>
      <c r="AU39" s="172"/>
      <c r="AV39" s="175" t="n">
        <f aca="false">O39</f>
        <v>79.8</v>
      </c>
      <c r="AW39" s="312" t="n">
        <v>0.21</v>
      </c>
      <c r="AX39" s="207" t="n">
        <v>58</v>
      </c>
      <c r="AY39" s="213" t="n">
        <v>42</v>
      </c>
      <c r="AZ39" s="291"/>
      <c r="BA39" s="242" t="n">
        <f aca="false">SUM(N39,P39:U39)</f>
        <v>5.45623988320796</v>
      </c>
    </row>
    <row r="40" customFormat="false" ht="12.95" hidden="false" customHeight="true" outlineLevel="0" collapsed="false">
      <c r="A40" s="179" t="n">
        <v>26</v>
      </c>
      <c r="B40" s="106" t="n">
        <v>6902.92</v>
      </c>
      <c r="C40" s="107" t="n">
        <v>294476</v>
      </c>
      <c r="D40" s="207" t="n">
        <f aca="false">C40-C39</f>
        <v>-76</v>
      </c>
      <c r="E40" s="107" t="n">
        <f aca="false">C40-152000</f>
        <v>142476</v>
      </c>
      <c r="F40" s="238" t="n">
        <f aca="false">D40/$D$2</f>
        <v>-38.3161078900933</v>
      </c>
      <c r="G40" s="135" t="n">
        <v>117</v>
      </c>
      <c r="H40" s="556" t="n">
        <v>0</v>
      </c>
      <c r="I40" s="135" t="n">
        <f aca="false">G40+H40</f>
        <v>117</v>
      </c>
      <c r="J40" s="136" t="n">
        <f aca="false">IF(L40&gt;0,L40,0)</f>
        <v>52.6838921099067</v>
      </c>
      <c r="K40" s="135" t="n">
        <f aca="false">I40+J40</f>
        <v>169.683892109907</v>
      </c>
      <c r="L40" s="135" t="n">
        <f aca="false">F40-(I40-AK40)</f>
        <v>52.6838921099067</v>
      </c>
      <c r="M40" s="240" t="n">
        <v>88</v>
      </c>
      <c r="N40" s="155" t="n">
        <f aca="false">(1.8299*1.03)/2</f>
        <v>0.9423985</v>
      </c>
      <c r="O40" s="135" t="n">
        <f aca="false">(40+40)*1.05</f>
        <v>84</v>
      </c>
      <c r="P40" s="155" t="n">
        <v>0</v>
      </c>
      <c r="Q40" s="328" t="n">
        <f aca="false">1029300/325851/1.9835*1.02</f>
        <v>1.62439214824771</v>
      </c>
      <c r="R40" s="328" t="n">
        <f aca="false">((1560178)/325851/1.9835-T40)*1.04</f>
        <v>1.76774215919599</v>
      </c>
      <c r="S40" s="83" t="n">
        <v>0</v>
      </c>
      <c r="T40" s="131" t="n">
        <f aca="false">0.6867*1.04</f>
        <v>0.714168</v>
      </c>
      <c r="U40" s="346" t="n">
        <v>0</v>
      </c>
      <c r="V40" s="135" t="n">
        <v>78</v>
      </c>
      <c r="W40" s="135" t="n">
        <v>0</v>
      </c>
      <c r="X40" s="135" t="n">
        <f aca="false">M40-N40-O40-P40-Q40-R40-S40-T40-U40+V40+W40-AU40+AR40</f>
        <v>76.9512991925563</v>
      </c>
      <c r="Y40" s="135" t="n">
        <f aca="false">X40-AO40</f>
        <v>76.9512991925563</v>
      </c>
      <c r="Z40" s="107"/>
      <c r="AA40" s="135"/>
      <c r="AB40" s="107"/>
      <c r="AC40" s="107"/>
      <c r="AD40" s="107"/>
      <c r="AE40" s="135"/>
      <c r="AF40" s="137" t="n">
        <v>1.7</v>
      </c>
      <c r="AG40" s="138" t="n">
        <v>1.3</v>
      </c>
      <c r="AH40" s="135" t="n">
        <v>42</v>
      </c>
      <c r="AI40" s="107" t="n">
        <f aca="false">AI39-AH40</f>
        <v>5561.25787748929</v>
      </c>
      <c r="AJ40" s="107"/>
      <c r="AK40" s="134" t="n">
        <f aca="false">N40+O40+P40+Q40+R40+S40+T40+U40+X40+AE40+AH40</f>
        <v>208</v>
      </c>
      <c r="AL40" s="135" t="n">
        <f aca="false">IF(L40&lt;0,L40*-1,0)</f>
        <v>0</v>
      </c>
      <c r="AM40" s="135" t="n">
        <f aca="false">AK40+AL40</f>
        <v>208</v>
      </c>
      <c r="AN40" s="557" t="n">
        <f aca="false">V40</f>
        <v>78</v>
      </c>
      <c r="AO40" s="136"/>
      <c r="AP40" s="136"/>
      <c r="AQ40" s="155" t="n">
        <f aca="false">18.67*(Z40*1.9835+AC40*1.9835)/E40</f>
        <v>0</v>
      </c>
      <c r="AR40" s="155"/>
      <c r="AS40" s="155"/>
      <c r="AT40" s="107"/>
      <c r="AU40" s="172"/>
      <c r="AV40" s="175" t="n">
        <f aca="false">O40</f>
        <v>84</v>
      </c>
      <c r="AW40" s="312" t="n">
        <v>0.13</v>
      </c>
      <c r="AX40" s="207" t="n">
        <v>47</v>
      </c>
      <c r="AY40" s="213" t="n">
        <v>35</v>
      </c>
      <c r="AZ40" s="291"/>
      <c r="BA40" s="242" t="n">
        <f aca="false">SUM(N40,P40:U40)</f>
        <v>5.0487008074437</v>
      </c>
    </row>
    <row r="41" customFormat="false" ht="12.95" hidden="false" customHeight="true" outlineLevel="0" collapsed="false">
      <c r="A41" s="179" t="n">
        <v>27</v>
      </c>
      <c r="B41" s="106" t="n">
        <v>6902.88</v>
      </c>
      <c r="C41" s="107" t="n">
        <v>294326</v>
      </c>
      <c r="D41" s="207" t="n">
        <f aca="false">C41-C40</f>
        <v>-150</v>
      </c>
      <c r="E41" s="107" t="n">
        <f aca="false">C41-152000</f>
        <v>142326</v>
      </c>
      <c r="F41" s="238" t="n">
        <f aca="false">D41/$D$2</f>
        <v>-75.6238971514999</v>
      </c>
      <c r="G41" s="135" t="n">
        <v>117</v>
      </c>
      <c r="H41" s="556" t="n">
        <v>0</v>
      </c>
      <c r="I41" s="135" t="n">
        <f aca="false">G41+H41</f>
        <v>117</v>
      </c>
      <c r="J41" s="136" t="n">
        <f aca="false">IF(L41&gt;0,L41,0)</f>
        <v>0</v>
      </c>
      <c r="K41" s="135" t="n">
        <f aca="false">I41+J41</f>
        <v>117</v>
      </c>
      <c r="L41" s="135" t="n">
        <f aca="false">F41-(I41-AK41)</f>
        <v>-9.62389715149988</v>
      </c>
      <c r="M41" s="240" t="n">
        <v>48</v>
      </c>
      <c r="N41" s="155" t="n">
        <f aca="false">(1.8299*1.03)/2</f>
        <v>0.9423985</v>
      </c>
      <c r="O41" s="135" t="n">
        <f aca="false">(24+24)*1.05</f>
        <v>50.4</v>
      </c>
      <c r="P41" s="155" t="n">
        <v>0</v>
      </c>
      <c r="Q41" s="328" t="n">
        <f aca="false">801600/325851/1.9835*1.02</f>
        <v>1.26504687266624</v>
      </c>
      <c r="R41" s="328" t="n">
        <f aca="false">((1486536)/325851/1.9835-T41)*1.04</f>
        <v>1.64924507851818</v>
      </c>
      <c r="S41" s="83" t="n">
        <v>0</v>
      </c>
      <c r="T41" s="131" t="n">
        <f aca="false">0.6867*1.04</f>
        <v>0.714168</v>
      </c>
      <c r="U41" s="346" t="n">
        <v>0</v>
      </c>
      <c r="V41" s="135" t="n">
        <v>93</v>
      </c>
      <c r="W41" s="135" t="n">
        <v>0</v>
      </c>
      <c r="X41" s="135" t="n">
        <f aca="false">M41-N41-O41-P41-Q41-R41-S41-T41-U41+V41+W41-AU41+AR41</f>
        <v>86.0291415488156</v>
      </c>
      <c r="Y41" s="135" t="n">
        <f aca="false">X41-AO41</f>
        <v>86.0291415488156</v>
      </c>
      <c r="Z41" s="107"/>
      <c r="AA41" s="135"/>
      <c r="AB41" s="107"/>
      <c r="AC41" s="107"/>
      <c r="AD41" s="107"/>
      <c r="AE41" s="135"/>
      <c r="AF41" s="137" t="n">
        <v>1.7</v>
      </c>
      <c r="AG41" s="138" t="n">
        <v>1.3</v>
      </c>
      <c r="AH41" s="135" t="n">
        <v>42</v>
      </c>
      <c r="AI41" s="107" t="n">
        <f aca="false">AI40-AH41</f>
        <v>5519.25787748929</v>
      </c>
      <c r="AJ41" s="107"/>
      <c r="AK41" s="134" t="n">
        <f aca="false">N41+O41+P41+Q41+R41+S41+T41+U41+X41+AE41+AH41</f>
        <v>183</v>
      </c>
      <c r="AL41" s="135" t="n">
        <f aca="false">IF(L41&lt;0,L41*-1,0)</f>
        <v>9.62389715149988</v>
      </c>
      <c r="AM41" s="135" t="n">
        <f aca="false">AK41+AL41</f>
        <v>192.6238971515</v>
      </c>
      <c r="AN41" s="557" t="n">
        <f aca="false">V41</f>
        <v>93</v>
      </c>
      <c r="AO41" s="136"/>
      <c r="AP41" s="136"/>
      <c r="AQ41" s="155" t="n">
        <f aca="false">18.67*(Z41*1.9835+AC41*1.9835)/E41</f>
        <v>0</v>
      </c>
      <c r="AR41" s="155"/>
      <c r="AS41" s="155"/>
      <c r="AT41" s="107"/>
      <c r="AU41" s="172"/>
      <c r="AV41" s="175" t="n">
        <f aca="false">O41</f>
        <v>50.4</v>
      </c>
      <c r="AW41" s="312" t="n">
        <v>0</v>
      </c>
      <c r="AX41" s="207" t="n">
        <v>50</v>
      </c>
      <c r="AY41" s="213" t="n">
        <v>30</v>
      </c>
      <c r="AZ41" s="291"/>
      <c r="BA41" s="242" t="n">
        <f aca="false">SUM(N41,P41:U41)</f>
        <v>4.57085845118442</v>
      </c>
    </row>
    <row r="42" customFormat="false" ht="12.95" hidden="false" customHeight="true" outlineLevel="0" collapsed="false">
      <c r="A42" s="179" t="n">
        <v>28</v>
      </c>
      <c r="B42" s="106" t="n">
        <v>6902.82</v>
      </c>
      <c r="C42" s="107" t="n">
        <v>294100</v>
      </c>
      <c r="D42" s="207" t="n">
        <f aca="false">C42-C41</f>
        <v>-226</v>
      </c>
      <c r="E42" s="107" t="n">
        <f aca="false">C42-152000</f>
        <v>142100</v>
      </c>
      <c r="F42" s="238" t="n">
        <f aca="false">D42/$D$2</f>
        <v>-113.940005041593</v>
      </c>
      <c r="G42" s="135" t="n">
        <v>98</v>
      </c>
      <c r="H42" s="556" t="n">
        <v>0</v>
      </c>
      <c r="I42" s="135" t="n">
        <f aca="false">G42+H42</f>
        <v>98</v>
      </c>
      <c r="J42" s="136" t="n">
        <f aca="false">IF(L42&gt;0,L42,0)</f>
        <v>0</v>
      </c>
      <c r="K42" s="135" t="n">
        <f aca="false">I42+J42</f>
        <v>98</v>
      </c>
      <c r="L42" s="135" t="n">
        <f aca="false">F42-(I42-AK42)</f>
        <v>-15.9400050415931</v>
      </c>
      <c r="M42" s="240" t="n">
        <v>46</v>
      </c>
      <c r="N42" s="155" t="n">
        <f aca="false">(1.8299*1.03)/2</f>
        <v>0.9423985</v>
      </c>
      <c r="O42" s="135" t="n">
        <f aca="false">(18+18)*1.05</f>
        <v>37.8</v>
      </c>
      <c r="P42" s="155" t="n">
        <v>0</v>
      </c>
      <c r="Q42" s="328" t="n">
        <f aca="false">1030400/325851/1.9835*1.02</f>
        <v>1.62612811576259</v>
      </c>
      <c r="R42" s="328" t="n">
        <f aca="false">((1548519)/325851/1.9835-T42)*1.04</f>
        <v>1.77050554370018</v>
      </c>
      <c r="S42" s="83" t="n">
        <v>0</v>
      </c>
      <c r="T42" s="131" t="n">
        <f aca="false">0.6668*1.04</f>
        <v>0.693472</v>
      </c>
      <c r="U42" s="346" t="n">
        <v>0</v>
      </c>
      <c r="V42" s="135" t="n">
        <v>108</v>
      </c>
      <c r="W42" s="135" t="n">
        <v>0</v>
      </c>
      <c r="X42" s="135" t="n">
        <f aca="false">M42-N42-O42-P42-Q42-R42-S42-T42-U42+V42+W42-AU42+AR42</f>
        <v>111.167495840537</v>
      </c>
      <c r="Y42" s="135" t="n">
        <f aca="false">X42-AO42</f>
        <v>111.167495840537</v>
      </c>
      <c r="Z42" s="107"/>
      <c r="AA42" s="135"/>
      <c r="AB42" s="107"/>
      <c r="AC42" s="107"/>
      <c r="AD42" s="107"/>
      <c r="AE42" s="135"/>
      <c r="AF42" s="137" t="n">
        <v>1.7</v>
      </c>
      <c r="AG42" s="138" t="n">
        <v>1.3</v>
      </c>
      <c r="AH42" s="135" t="n">
        <v>42</v>
      </c>
      <c r="AI42" s="107" t="n">
        <f aca="false">AI41-AH42</f>
        <v>5477.25787748929</v>
      </c>
      <c r="AJ42" s="107"/>
      <c r="AK42" s="134" t="n">
        <f aca="false">N42+O42+P42+Q42+R42+S42+T42+U42+X42+AE42+AH42</f>
        <v>196</v>
      </c>
      <c r="AL42" s="135" t="n">
        <f aca="false">IF(L42&lt;0,L42*-1,0)</f>
        <v>15.9400050415931</v>
      </c>
      <c r="AM42" s="135" t="n">
        <f aca="false">AK42+AL42</f>
        <v>211.940005041593</v>
      </c>
      <c r="AN42" s="557" t="n">
        <f aca="false">V42</f>
        <v>108</v>
      </c>
      <c r="AO42" s="136"/>
      <c r="AP42" s="136"/>
      <c r="AQ42" s="155" t="n">
        <f aca="false">18.67*(Z42*1.9835+AC42*1.9835)/E42</f>
        <v>0</v>
      </c>
      <c r="AR42" s="155"/>
      <c r="AS42" s="155"/>
      <c r="AT42" s="107"/>
      <c r="AU42" s="172"/>
      <c r="AV42" s="175" t="n">
        <f aca="false">O42</f>
        <v>37.8</v>
      </c>
      <c r="AW42" s="312" t="n">
        <v>0</v>
      </c>
      <c r="AX42" s="207" t="n">
        <v>53</v>
      </c>
      <c r="AY42" s="213" t="n">
        <v>26</v>
      </c>
      <c r="AZ42" s="291"/>
      <c r="BA42" s="242" t="n">
        <f aca="false">SUM(N42,P42:U42)</f>
        <v>5.03250415946278</v>
      </c>
    </row>
    <row r="43" customFormat="false" ht="12.95" hidden="false" customHeight="true" outlineLevel="0" collapsed="false">
      <c r="A43" s="179" t="n">
        <v>29</v>
      </c>
      <c r="B43" s="106" t="n">
        <v>6902.77</v>
      </c>
      <c r="C43" s="107" t="n">
        <v>293912</v>
      </c>
      <c r="D43" s="207" t="n">
        <f aca="false">C43-C42</f>
        <v>-188</v>
      </c>
      <c r="E43" s="107" t="n">
        <f aca="false">C43-152000</f>
        <v>141912</v>
      </c>
      <c r="F43" s="238" t="n">
        <f aca="false">D43/$D$2</f>
        <v>-94.7819510965465</v>
      </c>
      <c r="G43" s="135" t="n">
        <v>86</v>
      </c>
      <c r="H43" s="556" t="n">
        <v>0</v>
      </c>
      <c r="I43" s="135" t="n">
        <f aca="false">G43+H43</f>
        <v>86</v>
      </c>
      <c r="J43" s="136" t="n">
        <f aca="false">IF(L43&gt;0,L43,0)</f>
        <v>0</v>
      </c>
      <c r="K43" s="135" t="n">
        <f aca="false">I43+J43</f>
        <v>86</v>
      </c>
      <c r="L43" s="135" t="n">
        <f aca="false">F43-(I43-AK43)</f>
        <v>-19.7819510965465</v>
      </c>
      <c r="M43" s="240" t="n">
        <v>20</v>
      </c>
      <c r="N43" s="155" t="n">
        <f aca="false">(1.8299*1.03)/2</f>
        <v>0.9423985</v>
      </c>
      <c r="O43" s="135" t="n">
        <f aca="false">(12+12)*1.05</f>
        <v>25.2</v>
      </c>
      <c r="P43" s="155" t="n">
        <v>0</v>
      </c>
      <c r="Q43" s="328" t="n">
        <f aca="false">896800/325851/1.9835*1.02</f>
        <v>1.41528697031822</v>
      </c>
      <c r="R43" s="328" t="n">
        <f aca="false">((1740616)/325851/1.9835-T43)*1.04</f>
        <v>2.07960814421302</v>
      </c>
      <c r="S43" s="83" t="n">
        <v>0</v>
      </c>
      <c r="T43" s="131" t="n">
        <f aca="false">0.6668*1.04</f>
        <v>0.693472</v>
      </c>
      <c r="U43" s="346" t="n">
        <v>0</v>
      </c>
      <c r="V43" s="135" t="n">
        <v>99</v>
      </c>
      <c r="W43" s="135" t="n">
        <v>0</v>
      </c>
      <c r="X43" s="135" t="n">
        <f aca="false">M43-N43-O43-P43-Q43-R43-S43-T43-U43+V43+W43-AU43+AR43</f>
        <v>88.6692343854688</v>
      </c>
      <c r="Y43" s="135" t="n">
        <f aca="false">X43-AO43</f>
        <v>88.6692343854688</v>
      </c>
      <c r="Z43" s="107"/>
      <c r="AA43" s="135"/>
      <c r="AB43" s="107"/>
      <c r="AC43" s="107"/>
      <c r="AD43" s="107"/>
      <c r="AE43" s="135"/>
      <c r="AF43" s="137" t="n">
        <v>1.7</v>
      </c>
      <c r="AG43" s="138" t="n">
        <v>1.3</v>
      </c>
      <c r="AH43" s="135" t="n">
        <v>42</v>
      </c>
      <c r="AI43" s="107" t="n">
        <f aca="false">AI42-AH43</f>
        <v>5435.25787748929</v>
      </c>
      <c r="AJ43" s="107"/>
      <c r="AK43" s="134" t="n">
        <f aca="false">N43+O43+P43+Q43+R43+S43+T43+U43+X43+AE43+AH43</f>
        <v>161</v>
      </c>
      <c r="AL43" s="135" t="n">
        <f aca="false">IF(L43&lt;0,L43*-1,0)</f>
        <v>19.7819510965465</v>
      </c>
      <c r="AM43" s="135" t="n">
        <f aca="false">AK43+AL43</f>
        <v>180.781951096547</v>
      </c>
      <c r="AN43" s="557" t="n">
        <f aca="false">V43</f>
        <v>99</v>
      </c>
      <c r="AO43" s="136"/>
      <c r="AP43" s="136"/>
      <c r="AQ43" s="155" t="n">
        <f aca="false">18.67*(Z43*1.9835+AC43*1.9835)/E43</f>
        <v>0</v>
      </c>
      <c r="AR43" s="155"/>
      <c r="AS43" s="155"/>
      <c r="AT43" s="107"/>
      <c r="AU43" s="172"/>
      <c r="AV43" s="175" t="n">
        <f aca="false">O43</f>
        <v>25.2</v>
      </c>
      <c r="AW43" s="312" t="n">
        <v>0</v>
      </c>
      <c r="AX43" s="207" t="n">
        <v>57</v>
      </c>
      <c r="AY43" s="213" t="n">
        <v>30</v>
      </c>
      <c r="AZ43" s="291"/>
      <c r="BA43" s="242" t="n">
        <f aca="false">SUM(N43,P43:U43)</f>
        <v>5.13076561453124</v>
      </c>
    </row>
    <row r="44" customFormat="false" ht="12.95" hidden="false" customHeight="true" outlineLevel="0" collapsed="false">
      <c r="A44" s="179" t="n">
        <v>30</v>
      </c>
      <c r="B44" s="106" t="n">
        <v>6902.73</v>
      </c>
      <c r="C44" s="107" t="n">
        <v>293761</v>
      </c>
      <c r="D44" s="207" t="n">
        <f aca="false">C44-C43</f>
        <v>-151</v>
      </c>
      <c r="E44" s="107" t="n">
        <f aca="false">C44-152000</f>
        <v>141761</v>
      </c>
      <c r="F44" s="238" t="n">
        <f aca="false">D44/$D$2</f>
        <v>-76.1280564658432</v>
      </c>
      <c r="G44" s="135" t="n">
        <v>80</v>
      </c>
      <c r="H44" s="556" t="n">
        <v>0</v>
      </c>
      <c r="I44" s="135" t="n">
        <f aca="false">G44+H44</f>
        <v>80</v>
      </c>
      <c r="J44" s="136" t="n">
        <f aca="false">IF(L44&gt;0,L44,0)</f>
        <v>0</v>
      </c>
      <c r="K44" s="135" t="n">
        <f aca="false">I44+J44</f>
        <v>80</v>
      </c>
      <c r="L44" s="135" t="n">
        <f aca="false">F44-(I44-AK44)</f>
        <v>-24.6280564658432</v>
      </c>
      <c r="M44" s="240" t="n">
        <v>6.5</v>
      </c>
      <c r="N44" s="155" t="n">
        <f aca="false">(1.8299*1.03)/2</f>
        <v>0.9423985</v>
      </c>
      <c r="O44" s="135" t="n">
        <f aca="false">(13+13)*1.05</f>
        <v>27.3</v>
      </c>
      <c r="P44" s="155" t="n">
        <v>0</v>
      </c>
      <c r="Q44" s="328" t="n">
        <f aca="false">1030000/325851/1.9835*1.02</f>
        <v>1.62549685484809</v>
      </c>
      <c r="R44" s="328" t="n">
        <f aca="false">((1474267)/325851/1.9835-T44)*1.04</f>
        <v>1.65102691418864</v>
      </c>
      <c r="S44" s="83" t="n">
        <v>0</v>
      </c>
      <c r="T44" s="131" t="n">
        <f aca="false">0.6668*1.04</f>
        <v>0.693472</v>
      </c>
      <c r="U44" s="346" t="n">
        <v>0</v>
      </c>
      <c r="V44" s="135" t="n">
        <v>83</v>
      </c>
      <c r="W44" s="135" t="n">
        <v>0</v>
      </c>
      <c r="X44" s="135" t="n">
        <f aca="false">M44-N44-O44-P44-Q44-R44-S44-T44-U44+V44+W44-AU44+AR44</f>
        <v>57.2876057309633</v>
      </c>
      <c r="Y44" s="135" t="n">
        <f aca="false">X44-AO44</f>
        <v>57.2876057309633</v>
      </c>
      <c r="Z44" s="107"/>
      <c r="AA44" s="135"/>
      <c r="AB44" s="107"/>
      <c r="AC44" s="107"/>
      <c r="AD44" s="107"/>
      <c r="AE44" s="135"/>
      <c r="AF44" s="137" t="n">
        <v>1.7</v>
      </c>
      <c r="AG44" s="138" t="n">
        <v>1.3</v>
      </c>
      <c r="AH44" s="135" t="n">
        <v>42</v>
      </c>
      <c r="AI44" s="107" t="n">
        <f aca="false">AI43-AH44</f>
        <v>5393.25787748929</v>
      </c>
      <c r="AJ44" s="107"/>
      <c r="AK44" s="134" t="n">
        <f aca="false">N44+O44+P44+Q44+R44+S44+T44+U44+X44+AE44+AH44</f>
        <v>131.5</v>
      </c>
      <c r="AL44" s="135" t="n">
        <f aca="false">IF(L44&lt;0,L44*-1,0)</f>
        <v>24.6280564658432</v>
      </c>
      <c r="AM44" s="135" t="n">
        <f aca="false">AK44+AL44</f>
        <v>156.128056465843</v>
      </c>
      <c r="AN44" s="557" t="n">
        <f aca="false">V44</f>
        <v>83</v>
      </c>
      <c r="AO44" s="136"/>
      <c r="AP44" s="136"/>
      <c r="AQ44" s="155" t="n">
        <f aca="false">18.67*(Z44*1.9835+AC44*1.9835)/E44</f>
        <v>0</v>
      </c>
      <c r="AR44" s="155"/>
      <c r="AS44" s="155"/>
      <c r="AT44" s="107"/>
      <c r="AU44" s="172"/>
      <c r="AV44" s="175" t="n">
        <f aca="false">O44</f>
        <v>27.3</v>
      </c>
      <c r="AW44" s="312" t="n">
        <v>0</v>
      </c>
      <c r="AX44" s="207" t="n">
        <v>62</v>
      </c>
      <c r="AY44" s="213" t="n">
        <v>31</v>
      </c>
      <c r="AZ44" s="291"/>
      <c r="BA44" s="242" t="n">
        <f aca="false">SUM(N44,P44:U44)</f>
        <v>4.91239426903673</v>
      </c>
    </row>
    <row r="45" customFormat="false" ht="12.95" hidden="false" customHeight="true" outlineLevel="0" collapsed="false">
      <c r="A45" s="179" t="n">
        <v>31</v>
      </c>
      <c r="B45" s="106" t="n">
        <v>6902.69</v>
      </c>
      <c r="C45" s="107" t="n">
        <v>293611</v>
      </c>
      <c r="D45" s="207" t="n">
        <f aca="false">C45-C44</f>
        <v>-150</v>
      </c>
      <c r="E45" s="107" t="n">
        <f aca="false">C45-152000</f>
        <v>141611</v>
      </c>
      <c r="F45" s="238" t="n">
        <f aca="false">D45/$D$2</f>
        <v>-75.6238971514999</v>
      </c>
      <c r="G45" s="135" t="n">
        <v>81</v>
      </c>
      <c r="H45" s="556" t="n">
        <v>0</v>
      </c>
      <c r="I45" s="135" t="n">
        <f aca="false">G45+H45</f>
        <v>81</v>
      </c>
      <c r="J45" s="136" t="n">
        <f aca="false">IF(L45&gt;0,L45,0)</f>
        <v>0</v>
      </c>
      <c r="K45" s="135" t="n">
        <f aca="false">I45+J45</f>
        <v>81</v>
      </c>
      <c r="L45" s="135" t="n">
        <f aca="false">F45-(I45-AK45)</f>
        <v>-35.5238971514999</v>
      </c>
      <c r="M45" s="240" t="n">
        <v>5.1</v>
      </c>
      <c r="N45" s="155" t="n">
        <f aca="false">(1.8299*1.03)/2</f>
        <v>0.9423985</v>
      </c>
      <c r="O45" s="135" t="n">
        <f aca="false">(13+13)*1.05</f>
        <v>27.3</v>
      </c>
      <c r="P45" s="155" t="n">
        <v>0</v>
      </c>
      <c r="Q45" s="328" t="n">
        <f aca="false">1036100/325851/1.9835*1.02</f>
        <v>1.63512358379428</v>
      </c>
      <c r="R45" s="328" t="n">
        <f aca="false">((1349560)/325851/1.9835-T45)*1.04</f>
        <v>1.45036132335612</v>
      </c>
      <c r="S45" s="83" t="n">
        <v>0</v>
      </c>
      <c r="T45" s="131" t="n">
        <f aca="false">0.6668*1.04</f>
        <v>0.693472</v>
      </c>
      <c r="U45" s="346" t="n">
        <v>0</v>
      </c>
      <c r="V45" s="135" t="n">
        <v>74</v>
      </c>
      <c r="W45" s="135" t="n">
        <v>0</v>
      </c>
      <c r="X45" s="135" t="n">
        <f aca="false">M45-N45-O45-P45-Q45-R45-S45-T45-U45+V45+W45-AU45+AR45</f>
        <v>47.0786445928496</v>
      </c>
      <c r="Y45" s="135" t="n">
        <f aca="false">X45-AO45</f>
        <v>47.0786445928496</v>
      </c>
      <c r="Z45" s="107"/>
      <c r="AA45" s="135"/>
      <c r="AB45" s="107"/>
      <c r="AC45" s="107"/>
      <c r="AD45" s="107"/>
      <c r="AE45" s="135"/>
      <c r="AF45" s="137" t="n">
        <v>1.7</v>
      </c>
      <c r="AG45" s="138" t="n">
        <v>1.3</v>
      </c>
      <c r="AH45" s="135" t="n">
        <v>42</v>
      </c>
      <c r="AI45" s="107" t="n">
        <f aca="false">AI44-AH45</f>
        <v>5351.25787748929</v>
      </c>
      <c r="AJ45" s="107"/>
      <c r="AK45" s="134" t="n">
        <f aca="false">N45+O45+P45+Q45+R45+S45+T45+U45+X45+AE45+AH45</f>
        <v>121.1</v>
      </c>
      <c r="AL45" s="135" t="n">
        <f aca="false">IF(L45&lt;0,L45*-1,0)</f>
        <v>35.5238971514999</v>
      </c>
      <c r="AM45" s="135" t="n">
        <f aca="false">AK45+AL45</f>
        <v>156.6238971515</v>
      </c>
      <c r="AN45" s="557" t="n">
        <f aca="false">V45</f>
        <v>74</v>
      </c>
      <c r="AO45" s="136"/>
      <c r="AP45" s="136"/>
      <c r="AQ45" s="155" t="n">
        <f aca="false">18.67*(Z45*1.9835+AC45*1.9835)/E45</f>
        <v>0</v>
      </c>
      <c r="AR45" s="155"/>
      <c r="AS45" s="155"/>
      <c r="AT45" s="107"/>
      <c r="AU45" s="172"/>
      <c r="AV45" s="175" t="n">
        <f aca="false">O45</f>
        <v>27.3</v>
      </c>
      <c r="AW45" s="312" t="n">
        <v>0</v>
      </c>
      <c r="AX45" s="207" t="n">
        <v>60</v>
      </c>
      <c r="AY45" s="213" t="n">
        <v>33</v>
      </c>
      <c r="AZ45" s="291"/>
      <c r="BA45" s="242" t="n">
        <f aca="false">SUM(N45,P45:U45)</f>
        <v>4.7213554071504</v>
      </c>
    </row>
    <row r="46" customFormat="false" ht="3" hidden="false" customHeight="true" outlineLevel="0" collapsed="false">
      <c r="A46" s="223"/>
      <c r="B46" s="244"/>
      <c r="C46" s="225"/>
      <c r="D46" s="226"/>
      <c r="E46" s="225"/>
      <c r="F46" s="227"/>
      <c r="G46" s="226"/>
      <c r="H46" s="555"/>
      <c r="I46" s="226"/>
      <c r="J46" s="226"/>
      <c r="K46" s="226"/>
      <c r="L46" s="226"/>
      <c r="M46" s="229" t="n">
        <v>0</v>
      </c>
      <c r="N46" s="226"/>
      <c r="O46" s="226"/>
      <c r="P46" s="230"/>
      <c r="Q46" s="226"/>
      <c r="R46" s="226"/>
      <c r="S46" s="226"/>
      <c r="T46" s="226"/>
      <c r="U46" s="231"/>
      <c r="V46" s="226"/>
      <c r="W46" s="226" t="n">
        <v>0</v>
      </c>
      <c r="X46" s="226"/>
      <c r="Y46" s="226"/>
      <c r="Z46" s="225"/>
      <c r="AA46" s="226"/>
      <c r="AB46" s="225"/>
      <c r="AC46" s="225"/>
      <c r="AD46" s="225"/>
      <c r="AE46" s="226"/>
      <c r="AF46" s="229"/>
      <c r="AG46" s="233"/>
      <c r="AH46" s="226"/>
      <c r="AI46" s="226"/>
      <c r="AJ46" s="226"/>
      <c r="AK46" s="226"/>
      <c r="AL46" s="226"/>
      <c r="AM46" s="226"/>
      <c r="AN46" s="234"/>
      <c r="AO46" s="232"/>
      <c r="AP46" s="232"/>
      <c r="AQ46" s="230"/>
      <c r="AR46" s="230"/>
      <c r="AS46" s="230"/>
      <c r="AT46" s="235"/>
      <c r="AU46" s="235"/>
      <c r="AV46" s="235"/>
      <c r="AW46" s="481"/>
      <c r="AX46" s="235"/>
      <c r="AY46" s="235"/>
      <c r="AZ46" s="249"/>
      <c r="BA46" s="309"/>
    </row>
    <row r="47" customFormat="false" ht="12.95" hidden="false" customHeight="true" outlineLevel="0" collapsed="false">
      <c r="A47" s="181" t="s">
        <v>101</v>
      </c>
      <c r="B47" s="205"/>
      <c r="C47" s="107"/>
      <c r="D47" s="107"/>
      <c r="E47" s="107"/>
      <c r="F47" s="206" t="n">
        <f aca="false">SUM(F15:F45)</f>
        <v>-3252.83589614318</v>
      </c>
      <c r="G47" s="107" t="n">
        <f aca="false">SUM(G15:G45)</f>
        <v>3892</v>
      </c>
      <c r="H47" s="207" t="n">
        <f aca="false">SUM(H15:H45)</f>
        <v>0.01</v>
      </c>
      <c r="I47" s="107" t="n">
        <f aca="false">SUM(I15:I45)</f>
        <v>3892.01</v>
      </c>
      <c r="J47" s="107" t="n">
        <f aca="false">SUM(J15:J45)</f>
        <v>322.260403327452</v>
      </c>
      <c r="K47" s="107" t="n">
        <f aca="false">SUM(K15:K45)</f>
        <v>4214.27040332745</v>
      </c>
      <c r="L47" s="107" t="n">
        <f aca="false">SUM(L15:L45)</f>
        <v>-154.145896143181</v>
      </c>
      <c r="M47" s="208" t="n">
        <f aca="false">SUM(M15:M45)</f>
        <v>2138.6</v>
      </c>
      <c r="N47" s="107" t="n">
        <f aca="false">SUM(N15:N45)</f>
        <v>29.2143535</v>
      </c>
      <c r="O47" s="107" t="n">
        <f aca="false">SUM(O15:O45)</f>
        <v>1170.54</v>
      </c>
      <c r="P47" s="155" t="n">
        <f aca="false">SUM(P15:P45)</f>
        <v>0</v>
      </c>
      <c r="Q47" s="107" t="n">
        <f aca="false">SUM(Q15:Q45)</f>
        <v>52.7270147753278</v>
      </c>
      <c r="R47" s="107" t="n">
        <f aca="false">SUM(R15:R45)</f>
        <v>79.8018581154515</v>
      </c>
      <c r="S47" s="107" t="n">
        <f aca="false">SUM(S15:S45)</f>
        <v>0.341988953808097</v>
      </c>
      <c r="T47" s="107" t="n">
        <f aca="false">SUM(T15:T45)</f>
        <v>26.918008</v>
      </c>
      <c r="U47" s="209" t="n">
        <f aca="false">SUM(U15:U45)</f>
        <v>0</v>
      </c>
      <c r="V47" s="107" t="n">
        <f aca="false">SUM(V15:V45)</f>
        <v>2563.04</v>
      </c>
      <c r="W47" s="107" t="n">
        <f aca="false">SUM(W15:W45)</f>
        <v>632</v>
      </c>
      <c r="X47" s="107" t="n">
        <f aca="false">SUM(X15:X45)</f>
        <v>3969.15677665541</v>
      </c>
      <c r="Y47" s="107" t="n">
        <f aca="false">SUM(Y15:Y45)</f>
        <v>3720.89677665541</v>
      </c>
      <c r="Z47" s="107"/>
      <c r="AA47" s="107"/>
      <c r="AB47" s="107"/>
      <c r="AC47" s="107"/>
      <c r="AE47" s="107" t="n">
        <f aca="false">SUM(AE15:AE45)</f>
        <v>220</v>
      </c>
      <c r="AF47" s="208" t="n">
        <f aca="false">SUM(AF15:AF45)</f>
        <v>52.7</v>
      </c>
      <c r="AG47" s="210" t="n">
        <f aca="false">SUM(AG15:AG45)</f>
        <v>40.3</v>
      </c>
      <c r="AH47" s="107" t="n">
        <f aca="false">SUM(AH15:AH45)</f>
        <v>1442</v>
      </c>
      <c r="AI47" s="107"/>
      <c r="AJ47" s="107" t="n">
        <f aca="false">SUM(AJ15:AJ45)</f>
        <v>0</v>
      </c>
      <c r="AK47" s="107" t="n">
        <f aca="false">SUM(AK15:AK45)</f>
        <v>6990.7</v>
      </c>
      <c r="AL47" s="107" t="n">
        <f aca="false">SUM(AL15:AL45)</f>
        <v>476.406299470633</v>
      </c>
      <c r="AM47" s="107" t="n">
        <f aca="false">SUM(AM15:AM45)</f>
        <v>7467.10629947063</v>
      </c>
      <c r="AN47" s="136" t="n">
        <f aca="false">SUM(AN15:AN45)</f>
        <v>1447</v>
      </c>
      <c r="AO47" s="136" t="n">
        <f aca="false">SUM(AO15:AO45)</f>
        <v>248.26</v>
      </c>
      <c r="AP47" s="136"/>
      <c r="AQ47" s="155"/>
      <c r="AR47" s="155"/>
      <c r="AS47" s="136" t="n">
        <f aca="false">SUM(AS15:AS45)</f>
        <v>0</v>
      </c>
      <c r="AT47" s="207" t="n">
        <f aca="false">SUM(AT15:AT45)</f>
        <v>0</v>
      </c>
      <c r="AU47" s="172"/>
      <c r="AV47" s="207" t="n">
        <f aca="false">SUM(AV15:AV45)</f>
        <v>1170.54</v>
      </c>
      <c r="AW47" s="312" t="n">
        <f aca="false">SUM(AW15:AW45)</f>
        <v>0.56</v>
      </c>
      <c r="AX47" s="207" t="n">
        <f aca="false">AVERAGE(AX15:AX45)</f>
        <v>64.1290322580645</v>
      </c>
      <c r="AY47" s="207" t="n">
        <f aca="false">AVERAGE(AY15:AY45)</f>
        <v>37.6451612903226</v>
      </c>
      <c r="AZ47" s="215" t="s">
        <v>125</v>
      </c>
      <c r="BA47" s="330" t="n">
        <f aca="false">SUM(BA15:BA45)</f>
        <v>189.003223344587</v>
      </c>
    </row>
    <row r="48" customFormat="false" ht="12.95" hidden="false" customHeight="true" outlineLevel="0" collapsed="false">
      <c r="A48" s="181" t="s">
        <v>103</v>
      </c>
      <c r="B48" s="205"/>
      <c r="C48" s="107"/>
      <c r="D48" s="107" t="n">
        <f aca="false">SUM(D15:D45)</f>
        <v>-6452</v>
      </c>
      <c r="E48" s="107"/>
      <c r="F48" s="206" t="n">
        <f aca="false">F47*$D$2</f>
        <v>-6452</v>
      </c>
      <c r="G48" s="107" t="n">
        <f aca="false">G47*$D$2</f>
        <v>7719.782</v>
      </c>
      <c r="H48" s="207" t="n">
        <f aca="false">H47*$D$2</f>
        <v>0.019835</v>
      </c>
      <c r="I48" s="107" t="n">
        <f aca="false">I47*$D$2</f>
        <v>7719.801835</v>
      </c>
      <c r="J48" s="107" t="n">
        <f aca="false">J47*$D$2</f>
        <v>639.20351</v>
      </c>
      <c r="K48" s="107" t="n">
        <f aca="false">K47*$D$2</f>
        <v>8359.005345</v>
      </c>
      <c r="L48" s="107" t="n">
        <f aca="false">L47*$D$2</f>
        <v>-305.748384999999</v>
      </c>
      <c r="M48" s="208" t="n">
        <f aca="false">M47*$D$2</f>
        <v>4241.9131</v>
      </c>
      <c r="N48" s="107" t="n">
        <f aca="false">N47*$D$2</f>
        <v>57.94667016725</v>
      </c>
      <c r="O48" s="107" t="n">
        <f aca="false">O47*$D$2</f>
        <v>2321.76609</v>
      </c>
      <c r="P48" s="155" t="n">
        <f aca="false">P47*$D$2</f>
        <v>0</v>
      </c>
      <c r="Q48" s="107" t="n">
        <f aca="false">Q47*$D$2</f>
        <v>104.584033806863</v>
      </c>
      <c r="R48" s="107" t="n">
        <f aca="false">R47*$D$2</f>
        <v>158.286985571998</v>
      </c>
      <c r="S48" s="107" t="n">
        <f aca="false">S47*$D$2</f>
        <v>0.678335089878361</v>
      </c>
      <c r="T48" s="107" t="n">
        <f aca="false">T47*$D$2</f>
        <v>53.391868868</v>
      </c>
      <c r="U48" s="209" t="n">
        <f aca="false">U47*$D$2</f>
        <v>0</v>
      </c>
      <c r="V48" s="107" t="n">
        <f aca="false">V47*$D$2</f>
        <v>5083.78984</v>
      </c>
      <c r="W48" s="107" t="n">
        <f aca="false">W47*$D$2</f>
        <v>1253.572</v>
      </c>
      <c r="X48" s="107" t="n">
        <f aca="false">X47*$D$2</f>
        <v>7872.82246649601</v>
      </c>
      <c r="Y48" s="107" t="n">
        <f aca="false">Y47*$D$2</f>
        <v>7380.39875649601</v>
      </c>
      <c r="Z48" s="107"/>
      <c r="AA48" s="107"/>
      <c r="AB48" s="107"/>
      <c r="AC48" s="107"/>
      <c r="AE48" s="107" t="n">
        <f aca="false">AE47*$D$2</f>
        <v>436.37</v>
      </c>
      <c r="AF48" s="208" t="n">
        <f aca="false">AF47*$D$2</f>
        <v>104.53045</v>
      </c>
      <c r="AG48" s="210" t="n">
        <f aca="false">AG47*$D$2</f>
        <v>79.93505</v>
      </c>
      <c r="AH48" s="107" t="n">
        <f aca="false">AH47*$D$2</f>
        <v>2860.207</v>
      </c>
      <c r="AI48" s="107"/>
      <c r="AJ48" s="107" t="n">
        <f aca="false">AJ47*$D$2</f>
        <v>0</v>
      </c>
      <c r="AK48" s="107" t="n">
        <f aca="false">AK47*$D$2</f>
        <v>13866.05345</v>
      </c>
      <c r="AL48" s="107" t="n">
        <f aca="false">AL47*$D$2</f>
        <v>944.951895</v>
      </c>
      <c r="AM48" s="107" t="n">
        <f aca="false">AM47*$D$2</f>
        <v>14811.005345</v>
      </c>
      <c r="AN48" s="107" t="n">
        <f aca="false">AN47*$D$2</f>
        <v>2870.1245</v>
      </c>
      <c r="AO48" s="107" t="n">
        <f aca="false">AO47*$D$2</f>
        <v>492.42371</v>
      </c>
      <c r="AP48" s="136"/>
      <c r="AQ48" s="155" t="n">
        <f aca="false">SUM(AQ15:AQ45)</f>
        <v>0</v>
      </c>
      <c r="AR48" s="155"/>
      <c r="AS48" s="135" t="n">
        <f aca="false">AS47*$D$2</f>
        <v>0</v>
      </c>
      <c r="AT48" s="207" t="n">
        <f aca="false">AT47*$D$2</f>
        <v>0</v>
      </c>
      <c r="AU48" s="172"/>
      <c r="AV48" s="207" t="n">
        <f aca="false">AV47*$D$2</f>
        <v>2321.76609</v>
      </c>
      <c r="AW48" s="312"/>
      <c r="AX48" s="207" t="n">
        <f aca="false">MAX(AX15:AX45)</f>
        <v>81</v>
      </c>
      <c r="AY48" s="207" t="n">
        <f aca="false">MAX(AY15:AY45)</f>
        <v>49</v>
      </c>
      <c r="AZ48" s="215" t="s">
        <v>104</v>
      </c>
      <c r="BA48" s="330" t="n">
        <f aca="false">BA47*$D$2</f>
        <v>374.887893503989</v>
      </c>
    </row>
    <row r="49" customFormat="false" ht="3" hidden="false" customHeight="true" outlineLevel="0" collapsed="false">
      <c r="A49" s="223"/>
      <c r="B49" s="244"/>
      <c r="C49" s="225"/>
      <c r="D49" s="225"/>
      <c r="E49" s="225"/>
      <c r="F49" s="249"/>
      <c r="G49" s="225"/>
      <c r="H49" s="235"/>
      <c r="I49" s="225"/>
      <c r="J49" s="225"/>
      <c r="K49" s="225"/>
      <c r="L49" s="225"/>
      <c r="M49" s="250"/>
      <c r="N49" s="225"/>
      <c r="O49" s="225"/>
      <c r="P49" s="230"/>
      <c r="Q49" s="225"/>
      <c r="R49" s="225"/>
      <c r="S49" s="225"/>
      <c r="T49" s="225"/>
      <c r="U49" s="231"/>
      <c r="V49" s="225"/>
      <c r="W49" s="225"/>
      <c r="X49" s="225"/>
      <c r="Y49" s="225"/>
      <c r="Z49" s="225"/>
      <c r="AA49" s="225"/>
      <c r="AB49" s="225"/>
      <c r="AC49" s="225"/>
      <c r="AD49" s="485"/>
      <c r="AE49" s="225"/>
      <c r="AF49" s="250"/>
      <c r="AG49" s="274"/>
      <c r="AH49" s="225"/>
      <c r="AI49" s="226"/>
      <c r="AJ49" s="225"/>
      <c r="AK49" s="225"/>
      <c r="AL49" s="225"/>
      <c r="AM49" s="225"/>
      <c r="AN49" s="252"/>
      <c r="AO49" s="232"/>
      <c r="AP49" s="232"/>
      <c r="AQ49" s="230"/>
      <c r="AR49" s="230"/>
      <c r="AS49" s="230"/>
      <c r="AT49" s="235"/>
      <c r="AU49" s="235"/>
      <c r="AV49" s="235"/>
      <c r="AW49" s="252"/>
      <c r="AX49" s="225"/>
      <c r="AY49" s="225"/>
      <c r="AZ49" s="249"/>
      <c r="BA49" s="309"/>
    </row>
    <row r="50" customFormat="false" ht="12.95" hidden="false" customHeight="true" outlineLevel="0" collapsed="false">
      <c r="A50" s="181" t="s">
        <v>105</v>
      </c>
      <c r="B50" s="205"/>
      <c r="C50" s="107"/>
      <c r="D50" s="107"/>
      <c r="E50" s="107"/>
      <c r="F50" s="206" t="n">
        <f aca="false">F12+F47</f>
        <v>6575.74993698008</v>
      </c>
      <c r="G50" s="107" t="n">
        <f aca="false">G12+G47</f>
        <v>127695</v>
      </c>
      <c r="H50" s="207" t="n">
        <f aca="false">H12+H47</f>
        <v>4578.78</v>
      </c>
      <c r="I50" s="107" t="n">
        <f aca="false">I12+I47</f>
        <v>132273.78</v>
      </c>
      <c r="J50" s="107" t="n">
        <f aca="false">J12+J47</f>
        <v>21822.8755306277</v>
      </c>
      <c r="K50" s="107" t="n">
        <f aca="false">K12+K47</f>
        <v>154096.655530628</v>
      </c>
      <c r="L50" s="107" t="n">
        <f aca="false">L12+L47</f>
        <v>19564.2675384801</v>
      </c>
      <c r="M50" s="208" t="n">
        <f aca="false">M12+M47</f>
        <v>42911.9</v>
      </c>
      <c r="N50" s="107" t="n">
        <f aca="false">N12+N47</f>
        <v>201.673279</v>
      </c>
      <c r="O50" s="107" t="n">
        <f aca="false">O12+O47</f>
        <v>13878.6375</v>
      </c>
      <c r="P50" s="155" t="n">
        <f aca="false">P12+P47</f>
        <v>7.363</v>
      </c>
      <c r="Q50" s="107"/>
      <c r="R50" s="107"/>
      <c r="S50" s="107"/>
      <c r="T50" s="107"/>
      <c r="U50" s="209"/>
      <c r="V50" s="107" t="n">
        <f aca="false">V12+V47</f>
        <v>23049.64</v>
      </c>
      <c r="W50" s="107" t="n">
        <f aca="false">W12+W47</f>
        <v>12211.98</v>
      </c>
      <c r="X50" s="107" t="n">
        <f aca="false">X12+X47</f>
        <v>64200.0997119077</v>
      </c>
      <c r="Y50" s="107" t="n">
        <f aca="false">Y12+Y47</f>
        <v>62894.2597119077</v>
      </c>
      <c r="Z50" s="80"/>
      <c r="AA50" s="107"/>
      <c r="AB50" s="107"/>
      <c r="AC50" s="107"/>
      <c r="AE50" s="107" t="n">
        <f aca="false">AE12+AE47</f>
        <v>28059.14</v>
      </c>
      <c r="AF50" s="208" t="n">
        <f aca="false">AF12+AF47</f>
        <v>363.8</v>
      </c>
      <c r="AG50" s="210" t="n">
        <f aca="false">AG12+AG47</f>
        <v>278.2</v>
      </c>
      <c r="AH50" s="107"/>
      <c r="AI50" s="107"/>
      <c r="AJ50" s="107" t="n">
        <f aca="false">AJ12+AJ47</f>
        <v>0</v>
      </c>
      <c r="AK50" s="107" t="n">
        <f aca="false">AK12+AK47</f>
        <v>145262.2976015</v>
      </c>
      <c r="AL50" s="107" t="n">
        <f aca="false">AL12+AL47</f>
        <v>2258.60799214759</v>
      </c>
      <c r="AM50" s="107" t="n">
        <f aca="false">AM12+AM47</f>
        <v>147520.905593648</v>
      </c>
      <c r="AN50" s="212"/>
      <c r="AO50" s="136"/>
      <c r="AP50" s="136"/>
      <c r="AQ50" s="155"/>
      <c r="AR50" s="207" t="n">
        <f aca="false">AR12+AR47</f>
        <v>2547.6295</v>
      </c>
      <c r="AS50" s="136" t="n">
        <f aca="false">AS47</f>
        <v>0</v>
      </c>
      <c r="AT50" s="207" t="n">
        <f aca="false">AT12+AT47</f>
        <v>740.42</v>
      </c>
      <c r="AU50" s="207" t="n">
        <f aca="false">AU12+AU47</f>
        <v>662.99</v>
      </c>
      <c r="AV50" s="207" t="n">
        <f aca="false">AV13+AV47</f>
        <v>1525.43</v>
      </c>
      <c r="AW50" s="312"/>
      <c r="AX50" s="207" t="n">
        <f aca="false">MIN(AX15:AX45)</f>
        <v>47</v>
      </c>
      <c r="AY50" s="207" t="n">
        <f aca="false">MIN(AY15:AY45)</f>
        <v>26</v>
      </c>
      <c r="AZ50" s="215" t="s">
        <v>106</v>
      </c>
      <c r="BA50" s="330" t="n">
        <f aca="false">BA12+BA47</f>
        <v>189.003223344587</v>
      </c>
    </row>
    <row r="51" customFormat="false" ht="12.95" hidden="false" customHeight="true" outlineLevel="0" collapsed="false">
      <c r="A51" s="181" t="s">
        <v>107</v>
      </c>
      <c r="B51" s="205"/>
      <c r="C51" s="107"/>
      <c r="D51" s="107"/>
      <c r="E51" s="107"/>
      <c r="F51" s="206" t="n">
        <f aca="false">F50*$D$2</f>
        <v>13043</v>
      </c>
      <c r="G51" s="107" t="n">
        <f aca="false">G50*$D$2</f>
        <v>253283.0325</v>
      </c>
      <c r="H51" s="207" t="n">
        <f aca="false">H50*$D$2</f>
        <v>9082.01013</v>
      </c>
      <c r="I51" s="107" t="n">
        <f aca="false">I50*$D$2</f>
        <v>262365.04263</v>
      </c>
      <c r="J51" s="107" t="n">
        <f aca="false">J50*$D$2</f>
        <v>43285.673615</v>
      </c>
      <c r="K51" s="107" t="n">
        <f aca="false">K50*$D$2</f>
        <v>305650.716245</v>
      </c>
      <c r="L51" s="107" t="n">
        <f aca="false">L50*$D$2</f>
        <v>38805.7246625752</v>
      </c>
      <c r="M51" s="208" t="n">
        <f aca="false">M50*$D$2</f>
        <v>85115.75365</v>
      </c>
      <c r="N51" s="107" t="n">
        <f aca="false">N50*$D$2</f>
        <v>400.0189488965</v>
      </c>
      <c r="O51" s="107" t="n">
        <f aca="false">O50*$D$2</f>
        <v>27528.27748125</v>
      </c>
      <c r="P51" s="155" t="n">
        <f aca="false">P50*$D$2</f>
        <v>14.6045105</v>
      </c>
      <c r="Q51" s="107"/>
      <c r="R51" s="107"/>
      <c r="S51" s="107"/>
      <c r="T51" s="107"/>
      <c r="U51" s="209"/>
      <c r="V51" s="107" t="n">
        <f aca="false">V50*$D$2</f>
        <v>45718.96094</v>
      </c>
      <c r="W51" s="107" t="n">
        <f aca="false">W50*$D$2</f>
        <v>24222.46233</v>
      </c>
      <c r="X51" s="107" t="n">
        <f aca="false">X50*$D$2</f>
        <v>127340.897778569</v>
      </c>
      <c r="Y51" s="107" t="n">
        <f aca="false">Y50*$D$2</f>
        <v>124750.764138569</v>
      </c>
      <c r="Z51" s="80"/>
      <c r="AA51" s="107"/>
      <c r="AB51" s="107"/>
      <c r="AC51" s="107"/>
      <c r="AE51" s="107" t="n">
        <f aca="false">AE50*$D$2</f>
        <v>55655.30419</v>
      </c>
      <c r="AF51" s="208" t="n">
        <f aca="false">AF50*$D$2</f>
        <v>721.5973</v>
      </c>
      <c r="AG51" s="210" t="n">
        <f aca="false">AG50*$D$2</f>
        <v>551.8097</v>
      </c>
      <c r="AH51" s="107"/>
      <c r="AI51" s="107"/>
      <c r="AJ51" s="107" t="n">
        <f aca="false">AJ50*$D$2</f>
        <v>0</v>
      </c>
      <c r="AK51" s="107" t="n">
        <f aca="false">AK50*$D$2</f>
        <v>288127.767292575</v>
      </c>
      <c r="AL51" s="107" t="n">
        <f aca="false">AL50*$D$2</f>
        <v>4479.94895242475</v>
      </c>
      <c r="AM51" s="107" t="n">
        <f aca="false">AM50*$D$2</f>
        <v>292607.716245</v>
      </c>
      <c r="AN51" s="212"/>
      <c r="AO51" s="136"/>
      <c r="AP51" s="136"/>
      <c r="AQ51" s="155" t="n">
        <f aca="false">AQ12+AQ48</f>
        <v>671.938892420578</v>
      </c>
      <c r="AR51" s="207" t="n">
        <f aca="false">AR50*$D$2</f>
        <v>5053.22311325</v>
      </c>
      <c r="AS51" s="136" t="n">
        <f aca="false">AS50*$D$2</f>
        <v>0</v>
      </c>
      <c r="AT51" s="207" t="n">
        <f aca="false">AT50*$D$2</f>
        <v>1468.62307</v>
      </c>
      <c r="AU51" s="207" t="n">
        <f aca="false">AU50*$D$2</f>
        <v>1315.040665</v>
      </c>
      <c r="AV51" s="207" t="n">
        <f aca="false">AV50*$D$2</f>
        <v>3025.690405</v>
      </c>
      <c r="AW51" s="312"/>
      <c r="AX51" s="207"/>
      <c r="AY51" s="207"/>
      <c r="AZ51" s="291"/>
      <c r="BA51" s="330" t="n">
        <f aca="false">BA50*$D$2</f>
        <v>374.887893503989</v>
      </c>
    </row>
    <row r="52" customFormat="false" ht="3" hidden="false" customHeight="true" outlineLevel="0" collapsed="false">
      <c r="A52" s="223"/>
      <c r="B52" s="244"/>
      <c r="C52" s="225"/>
      <c r="D52" s="225"/>
      <c r="E52" s="225"/>
      <c r="F52" s="249"/>
      <c r="G52" s="225"/>
      <c r="H52" s="235"/>
      <c r="I52" s="225"/>
      <c r="J52" s="225"/>
      <c r="K52" s="225"/>
      <c r="L52" s="225"/>
      <c r="M52" s="250"/>
      <c r="N52" s="225"/>
      <c r="O52" s="225"/>
      <c r="P52" s="230"/>
      <c r="Q52" s="225"/>
      <c r="R52" s="225"/>
      <c r="S52" s="225"/>
      <c r="T52" s="225"/>
      <c r="U52" s="231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50"/>
      <c r="AG52" s="274"/>
      <c r="AH52" s="225"/>
      <c r="AI52" s="225"/>
      <c r="AJ52" s="225"/>
      <c r="AK52" s="225"/>
      <c r="AL52" s="225"/>
      <c r="AM52" s="225"/>
      <c r="AN52" s="481"/>
      <c r="AO52" s="232"/>
      <c r="AP52" s="232"/>
      <c r="AQ52" s="230"/>
      <c r="AR52" s="230"/>
      <c r="AS52" s="230"/>
      <c r="AT52" s="235"/>
      <c r="AU52" s="235"/>
      <c r="AV52" s="235"/>
      <c r="AW52" s="481"/>
      <c r="AX52" s="230"/>
      <c r="AY52" s="230"/>
      <c r="AZ52" s="249"/>
      <c r="BA52" s="309"/>
    </row>
    <row r="53" customFormat="false" ht="12.95" hidden="false" customHeight="true" outlineLevel="0" collapsed="false">
      <c r="A53" s="181" t="s">
        <v>108</v>
      </c>
      <c r="B53" s="205"/>
      <c r="C53" s="107"/>
      <c r="D53" s="107"/>
      <c r="E53" s="107"/>
      <c r="F53" s="206" t="n">
        <f aca="false">F13+F47</f>
        <v>8177.46407864884</v>
      </c>
      <c r="G53" s="107" t="n">
        <f aca="false">G13+G47</f>
        <v>138930</v>
      </c>
      <c r="H53" s="207" t="n">
        <f aca="false">H13+H47</f>
        <v>5139.36</v>
      </c>
      <c r="I53" s="107" t="n">
        <f aca="false">I13+I47</f>
        <v>144069.36</v>
      </c>
      <c r="J53" s="107" t="n">
        <f aca="false">J13+J47</f>
        <v>24921.3859793295</v>
      </c>
      <c r="K53" s="107" t="n">
        <f aca="false">K13+K47</f>
        <v>168990.745979329</v>
      </c>
      <c r="L53" s="107" t="n">
        <f aca="false">L13+L47</f>
        <v>21643.7916801488</v>
      </c>
      <c r="M53" s="208" t="n">
        <f aca="false">M13+M47</f>
        <v>43835.01</v>
      </c>
      <c r="N53" s="107" t="n">
        <f aca="false">N13+N47</f>
        <v>201.673279</v>
      </c>
      <c r="O53" s="107" t="n">
        <f aca="false">O13+O47</f>
        <v>13878.6375</v>
      </c>
      <c r="P53" s="155"/>
      <c r="Q53" s="107" t="n">
        <f aca="false">Q13+Q47</f>
        <v>752.266941686624</v>
      </c>
      <c r="R53" s="207" t="n">
        <f aca="false">R13+R47</f>
        <v>1030.07589249505</v>
      </c>
      <c r="S53" s="107" t="n">
        <f aca="false">S13+S47</f>
        <v>235.767591236693</v>
      </c>
      <c r="T53" s="107" t="n">
        <f aca="false">T13+T47</f>
        <v>450.151156</v>
      </c>
      <c r="U53" s="308" t="n">
        <f aca="false">U13+U47</f>
        <v>-12.2414035208269</v>
      </c>
      <c r="V53" s="107" t="n">
        <f aca="false">V13+V47</f>
        <v>29143.64</v>
      </c>
      <c r="W53" s="107" t="n">
        <f aca="false">W13+W47</f>
        <v>12270.26</v>
      </c>
      <c r="X53" s="107" t="n">
        <f aca="false">X13+X47</f>
        <v>70584.9155431025</v>
      </c>
      <c r="Y53" s="107" t="n">
        <f aca="false">Y13+Y47</f>
        <v>69077.2763132623</v>
      </c>
      <c r="Z53" s="107"/>
      <c r="AA53" s="107"/>
      <c r="AB53" s="107"/>
      <c r="AC53" s="107"/>
      <c r="AD53" s="107"/>
      <c r="AE53" s="107"/>
      <c r="AF53" s="208" t="n">
        <f aca="false">AF13+AF47</f>
        <v>52.7</v>
      </c>
      <c r="AG53" s="210" t="n">
        <f aca="false">AG13+AG47</f>
        <v>40.3</v>
      </c>
      <c r="AH53" s="107" t="n">
        <f aca="false">AH13+AH47</f>
        <v>44565</v>
      </c>
      <c r="AI53" s="107" t="n">
        <f aca="false">AI45</f>
        <v>5351.25787748929</v>
      </c>
      <c r="AJ53" s="107" t="n">
        <f aca="false">AJ13+AJ47</f>
        <v>28682</v>
      </c>
      <c r="AK53" s="107" t="n">
        <f aca="false">AK13+AK47</f>
        <v>157535.6876015</v>
      </c>
      <c r="AL53" s="107" t="n">
        <f aca="false">AL13+AL47</f>
        <v>3277.59429918061</v>
      </c>
      <c r="AM53" s="107" t="n">
        <f aca="false">AM13+AM47</f>
        <v>160813.281900681</v>
      </c>
      <c r="AN53" s="212"/>
      <c r="AO53" s="136" t="n">
        <f aca="false">AO13+AO47</f>
        <v>1507.6392298402</v>
      </c>
      <c r="AP53" s="136"/>
      <c r="AQ53" s="155"/>
      <c r="AR53" s="155"/>
      <c r="AS53" s="155"/>
      <c r="AT53" s="207" t="n">
        <f aca="false">AT13+AT47</f>
        <v>0</v>
      </c>
      <c r="AU53" s="207"/>
      <c r="AV53" s="178"/>
      <c r="AW53" s="557" t="n">
        <f aca="false">AW13+AW47</f>
        <v>10.063</v>
      </c>
      <c r="AX53" s="207"/>
      <c r="AY53" s="207"/>
      <c r="AZ53" s="291"/>
      <c r="BA53" s="330" t="n">
        <f aca="false">BA13+BA47</f>
        <v>2665.05645689754</v>
      </c>
    </row>
    <row r="54" customFormat="false" ht="12.95" hidden="false" customHeight="true" outlineLevel="0" collapsed="false">
      <c r="A54" s="181" t="s">
        <v>109</v>
      </c>
      <c r="B54" s="205"/>
      <c r="C54" s="107"/>
      <c r="D54" s="107" t="n">
        <f aca="false">D13+D48</f>
        <v>16220</v>
      </c>
      <c r="E54" s="107" t="n">
        <f aca="false">E45</f>
        <v>141611</v>
      </c>
      <c r="F54" s="206" t="n">
        <f aca="false">F53*$D$2</f>
        <v>16220</v>
      </c>
      <c r="G54" s="107" t="n">
        <f aca="false">G53*$D$2</f>
        <v>275567.655</v>
      </c>
      <c r="H54" s="207" t="n">
        <f aca="false">H53*$D$2</f>
        <v>10193.92056</v>
      </c>
      <c r="I54" s="107" t="n">
        <f aca="false">I53*$D$2</f>
        <v>285761.57556</v>
      </c>
      <c r="J54" s="107" t="n">
        <f aca="false">J53*$D$2</f>
        <v>49431.56909</v>
      </c>
      <c r="K54" s="107" t="n">
        <f aca="false">K53*$D$2</f>
        <v>335193.14465</v>
      </c>
      <c r="L54" s="107" t="n">
        <f aca="false">L53*$D$2</f>
        <v>42930.4607975752</v>
      </c>
      <c r="M54" s="208" t="n">
        <f aca="false">M53*$D$2</f>
        <v>86946.742335</v>
      </c>
      <c r="N54" s="107" t="n">
        <f aca="false">N53*$D$2</f>
        <v>400.0189488965</v>
      </c>
      <c r="O54" s="107" t="n">
        <f aca="false">O53*$D$2</f>
        <v>27528.27748125</v>
      </c>
      <c r="P54" s="155"/>
      <c r="Q54" s="207" t="n">
        <f aca="false">Q53*$D$2</f>
        <v>1492.12147883542</v>
      </c>
      <c r="R54" s="207" t="n">
        <f aca="false">R53*$D$2</f>
        <v>2043.15553276393</v>
      </c>
      <c r="S54" s="218" t="n">
        <f aca="false">S53*$D$2</f>
        <v>467.645017217981</v>
      </c>
      <c r="T54" s="218" t="n">
        <f aca="false">T53*$D$2</f>
        <v>892.874817926</v>
      </c>
      <c r="U54" s="422" t="n">
        <f aca="false">U53*$D$2</f>
        <v>-24.2808238835601</v>
      </c>
      <c r="V54" s="107" t="n">
        <f aca="false">V53*$D$2</f>
        <v>57806.40994</v>
      </c>
      <c r="W54" s="107" t="n">
        <f aca="false">W53*$D$2</f>
        <v>24338.06071</v>
      </c>
      <c r="X54" s="107" t="n">
        <f aca="false">X53*$D$2</f>
        <v>140005.179979744</v>
      </c>
      <c r="Y54" s="107" t="n">
        <f aca="false">Y53*$D$2</f>
        <v>137014.777567356</v>
      </c>
      <c r="Z54" s="107"/>
      <c r="AA54" s="107"/>
      <c r="AB54" s="107"/>
      <c r="AC54" s="107"/>
      <c r="AD54" s="107"/>
      <c r="AE54" s="107"/>
      <c r="AF54" s="276" t="n">
        <f aca="false">AF53*$D$2</f>
        <v>104.53045</v>
      </c>
      <c r="AG54" s="266" t="n">
        <f aca="false">AG53*$D$2</f>
        <v>79.93505</v>
      </c>
      <c r="AH54" s="107" t="n">
        <f aca="false">AH53*$D$2</f>
        <v>88394.6775</v>
      </c>
      <c r="AI54" s="107" t="n">
        <f aca="false">AI53*$D$2</f>
        <v>10614.22</v>
      </c>
      <c r="AJ54" s="107" t="n">
        <f aca="false">AJ53*$D$2</f>
        <v>56890.747</v>
      </c>
      <c r="AK54" s="107" t="n">
        <f aca="false">AK53*$D$2</f>
        <v>312472.036357575</v>
      </c>
      <c r="AL54" s="107" t="n">
        <f aca="false">AL53*$D$2</f>
        <v>6501.10829242475</v>
      </c>
      <c r="AM54" s="107" t="n">
        <f aca="false">AM53*$D$2</f>
        <v>318973.14465</v>
      </c>
      <c r="AN54" s="212" t="n">
        <f aca="false">AN13+AN48</f>
        <v>16273.74476</v>
      </c>
      <c r="AO54" s="136" t="n">
        <f aca="false">AO53*$D$2</f>
        <v>2990.40241238804</v>
      </c>
      <c r="AP54" s="136"/>
      <c r="AQ54" s="155" t="n">
        <f aca="false">AQ13+AQ48</f>
        <v>671.938892420578</v>
      </c>
      <c r="AR54" s="155"/>
      <c r="AS54" s="155"/>
      <c r="AT54" s="207" t="n">
        <f aca="false">AT53*$D$2</f>
        <v>0</v>
      </c>
      <c r="AU54" s="207"/>
      <c r="AV54" s="178"/>
      <c r="AW54" s="312"/>
      <c r="AX54" s="207"/>
      <c r="AY54" s="207"/>
      <c r="AZ54" s="291"/>
      <c r="BA54" s="330" t="n">
        <f aca="false">BA53*$D$2</f>
        <v>5286.13948225627</v>
      </c>
    </row>
    <row r="55" customFormat="false" ht="3" hidden="false" customHeight="true" outlineLevel="0" collapsed="false">
      <c r="A55" s="223"/>
      <c r="B55" s="484"/>
      <c r="C55" s="485"/>
      <c r="D55" s="223"/>
      <c r="E55" s="485"/>
      <c r="F55" s="486"/>
      <c r="G55" s="223"/>
      <c r="H55" s="559"/>
      <c r="I55" s="223"/>
      <c r="J55" s="223"/>
      <c r="K55" s="223"/>
      <c r="L55" s="223"/>
      <c r="M55" s="488"/>
      <c r="N55" s="223"/>
      <c r="O55" s="223"/>
      <c r="P55" s="489"/>
      <c r="Q55" s="223"/>
      <c r="R55" s="560"/>
      <c r="S55" s="223"/>
      <c r="T55" s="223"/>
      <c r="U55" s="490"/>
      <c r="V55" s="223"/>
      <c r="W55" s="223"/>
      <c r="X55" s="223"/>
      <c r="Y55" s="223"/>
      <c r="Z55" s="485"/>
      <c r="AA55" s="223"/>
      <c r="AB55" s="485"/>
      <c r="AC55" s="485"/>
      <c r="AD55" s="485"/>
      <c r="AE55" s="223"/>
      <c r="AF55" s="229"/>
      <c r="AG55" s="233"/>
      <c r="AH55" s="223"/>
      <c r="AI55" s="485"/>
      <c r="AJ55" s="485"/>
      <c r="AK55" s="223"/>
      <c r="AL55" s="223"/>
      <c r="AM55" s="223"/>
      <c r="AN55" s="484"/>
      <c r="AO55" s="487"/>
      <c r="AP55" s="487"/>
      <c r="AQ55" s="489"/>
      <c r="AR55" s="489"/>
      <c r="AS55" s="489"/>
      <c r="AT55" s="223"/>
      <c r="AU55" s="223"/>
      <c r="AV55" s="223"/>
      <c r="AW55" s="484"/>
      <c r="AX55" s="223"/>
      <c r="AY55" s="223"/>
      <c r="AZ55" s="249"/>
      <c r="BA55" s="309"/>
    </row>
    <row r="56" customFormat="false" ht="11.1" hidden="false" customHeight="true" outlineLevel="0" collapsed="false">
      <c r="G56" s="182"/>
      <c r="H56" s="561"/>
      <c r="I56" s="170"/>
      <c r="N56" s="2"/>
      <c r="O56" s="178"/>
      <c r="Q56" s="175"/>
      <c r="W56" s="172"/>
      <c r="X56" s="1"/>
      <c r="Y56" s="1"/>
      <c r="Z56" s="173"/>
      <c r="AA56" s="1"/>
      <c r="AB56" s="173"/>
      <c r="AE56" s="175"/>
      <c r="AF56" s="175"/>
      <c r="AG56" s="175"/>
      <c r="AH56" s="173"/>
      <c r="AK56" s="176"/>
      <c r="AL56" s="176"/>
      <c r="AM56" s="381"/>
      <c r="AQ56" s="69"/>
      <c r="AR56" s="69"/>
      <c r="AS56" s="69"/>
      <c r="AW56" s="477"/>
      <c r="AX56" s="280"/>
      <c r="AY56" s="409"/>
    </row>
    <row r="57" customFormat="false" ht="11.1" hidden="false" customHeight="true" outlineLevel="0" collapsed="false">
      <c r="A57" s="181"/>
      <c r="B57" s="263"/>
      <c r="C57" s="2"/>
      <c r="D57" s="1"/>
      <c r="E57" s="379"/>
      <c r="F57" s="184"/>
      <c r="G57" s="1"/>
      <c r="H57" s="562"/>
      <c r="I57" s="12"/>
      <c r="J57" s="11"/>
      <c r="K57" s="170"/>
      <c r="L57" s="11"/>
      <c r="M57" s="11"/>
      <c r="N57" s="2" t="s">
        <v>145</v>
      </c>
      <c r="O57" s="178" t="n">
        <f aca="false">(O53+47.8)*1.9835</f>
        <v>27623.08878125</v>
      </c>
      <c r="P57" s="563"/>
      <c r="Q57" s="467"/>
      <c r="R57" s="93"/>
      <c r="S57" s="93"/>
      <c r="T57" s="93"/>
      <c r="U57" s="93"/>
      <c r="V57" s="26"/>
      <c r="W57" s="172" t="s">
        <v>146</v>
      </c>
      <c r="X57" s="1" t="n">
        <f aca="false">(X53-47.8)*1.9835</f>
        <v>139910.368679744</v>
      </c>
      <c r="Y57" s="1" t="n">
        <f aca="false">(Y53-47.8)*1.9835</f>
        <v>136919.966267356</v>
      </c>
      <c r="Z57" s="173"/>
      <c r="AA57" s="464"/>
      <c r="AB57" s="173"/>
      <c r="AC57" s="84"/>
      <c r="AD57" s="84"/>
      <c r="AE57" s="2"/>
      <c r="AF57" s="2"/>
      <c r="AG57" s="2"/>
      <c r="AH57" s="11"/>
      <c r="AI57" s="2"/>
      <c r="AJ57" s="105"/>
      <c r="AK57" s="105"/>
      <c r="AL57" s="184"/>
      <c r="AM57" s="381"/>
      <c r="AN57" s="539"/>
      <c r="AO57" s="564"/>
      <c r="AT57" s="405"/>
      <c r="AU57" s="172" t="s">
        <v>145</v>
      </c>
      <c r="AV57" s="178" t="n">
        <f aca="false">(AV50+47.8)*1.9835</f>
        <v>3120.501705</v>
      </c>
      <c r="AW57" s="280"/>
      <c r="AX57" s="280"/>
      <c r="AY57" s="280"/>
    </row>
    <row r="58" customFormat="false" ht="11.1" hidden="false" customHeight="true" outlineLevel="0" collapsed="false">
      <c r="B58" s="173" t="s">
        <v>147</v>
      </c>
      <c r="E58" s="379"/>
      <c r="F58" s="217"/>
      <c r="G58" s="1"/>
      <c r="H58" s="562"/>
      <c r="I58" s="1"/>
      <c r="J58" s="1"/>
      <c r="K58" s="380"/>
      <c r="L58" s="4"/>
      <c r="M58" s="4"/>
      <c r="N58" s="4"/>
      <c r="O58" s="173"/>
      <c r="P58" s="381"/>
      <c r="Q58" s="8"/>
      <c r="R58" s="93"/>
      <c r="S58" s="93"/>
      <c r="T58" s="93"/>
      <c r="U58" s="93"/>
      <c r="V58" s="26"/>
      <c r="W58" s="130"/>
      <c r="X58" s="90"/>
      <c r="Y58" s="90"/>
      <c r="Z58" s="173"/>
      <c r="AA58" s="90"/>
      <c r="AB58" s="173"/>
      <c r="AE58" s="173"/>
      <c r="AF58" s="173"/>
      <c r="AG58" s="173"/>
      <c r="AH58" s="2"/>
      <c r="AI58" s="26"/>
      <c r="AJ58" s="468"/>
      <c r="AK58" s="468"/>
      <c r="AL58" s="176"/>
      <c r="AM58" s="381"/>
      <c r="AT58" s="405"/>
      <c r="AW58" s="280"/>
      <c r="AX58" s="280"/>
      <c r="AY58" s="409"/>
    </row>
    <row r="59" customFormat="false" ht="11.1" hidden="false" customHeight="true" outlineLevel="0" collapsed="false">
      <c r="A59" s="172" t="s">
        <v>101</v>
      </c>
      <c r="D59" s="173"/>
      <c r="E59" s="379"/>
      <c r="F59" s="2" t="n">
        <v>-3252.83589614318</v>
      </c>
      <c r="G59" s="2" t="n">
        <v>4000</v>
      </c>
      <c r="H59" s="84" t="n">
        <v>0</v>
      </c>
      <c r="I59" s="2" t="n">
        <v>4000</v>
      </c>
      <c r="J59" s="2" t="n">
        <v>285.444295437358</v>
      </c>
      <c r="K59" s="380" t="n">
        <v>4285.44429543736</v>
      </c>
      <c r="L59" s="173" t="n">
        <v>-229.545896143181</v>
      </c>
      <c r="M59" s="2" t="n">
        <v>2147.13</v>
      </c>
      <c r="N59" s="2" t="n">
        <v>29.2143535</v>
      </c>
      <c r="O59" s="173" t="n">
        <v>1168.944</v>
      </c>
      <c r="P59" s="217" t="n">
        <v>0</v>
      </c>
      <c r="Q59" s="173" t="n">
        <v>52.7270147753278</v>
      </c>
      <c r="R59" s="90" t="n">
        <v>79.8018581154515</v>
      </c>
      <c r="S59" s="90" t="n">
        <v>0.341988953808097</v>
      </c>
      <c r="T59" s="90" t="n">
        <v>26.918008</v>
      </c>
      <c r="U59" s="90" t="n">
        <v>0</v>
      </c>
      <c r="V59" s="90" t="n">
        <v>2573.6</v>
      </c>
      <c r="W59" s="90" t="n">
        <v>619.5</v>
      </c>
      <c r="X59" s="90" t="n">
        <v>3977.34277665541</v>
      </c>
      <c r="Y59" s="90" t="n">
        <v>3729.08277665541</v>
      </c>
      <c r="Z59" s="173"/>
      <c r="AA59" s="90"/>
      <c r="AB59" s="173"/>
      <c r="AE59" s="173" t="n">
        <v>219.4</v>
      </c>
      <c r="AF59" s="173" t="n">
        <v>52.7</v>
      </c>
      <c r="AG59" s="173" t="n">
        <v>40.3</v>
      </c>
      <c r="AH59" s="2" t="n">
        <v>1468.6</v>
      </c>
      <c r="AI59" s="173"/>
      <c r="AJ59" s="173" t="n">
        <v>0</v>
      </c>
      <c r="AK59" s="173" t="n">
        <v>7023.29</v>
      </c>
      <c r="AL59" s="173" t="n">
        <v>514.990191580539</v>
      </c>
      <c r="AM59" s="379" t="n">
        <v>7538.28019158054</v>
      </c>
      <c r="AN59" s="173" t="n">
        <v>1447</v>
      </c>
      <c r="AO59" s="173" t="n">
        <v>248.26</v>
      </c>
      <c r="AP59" s="173"/>
      <c r="AQ59" s="173"/>
      <c r="AR59" s="173"/>
      <c r="AS59" s="173" t="n">
        <v>0</v>
      </c>
      <c r="AT59" s="84" t="n">
        <v>0</v>
      </c>
      <c r="AU59" s="173"/>
      <c r="AV59" s="173" t="n">
        <v>1168.944</v>
      </c>
      <c r="AW59" s="173"/>
      <c r="AX59" s="173"/>
      <c r="AY59" s="84"/>
    </row>
    <row r="60" customFormat="false" ht="11.1" hidden="false" customHeight="true" outlineLevel="0" collapsed="false">
      <c r="A60" s="172" t="s">
        <v>103</v>
      </c>
      <c r="D60" s="173" t="n">
        <v>-6452</v>
      </c>
      <c r="F60" s="173" t="n">
        <v>-6452</v>
      </c>
      <c r="G60" s="173" t="n">
        <v>7934</v>
      </c>
      <c r="H60" s="84" t="n">
        <v>0</v>
      </c>
      <c r="I60" s="173" t="n">
        <v>7934</v>
      </c>
      <c r="J60" s="173" t="n">
        <v>566.178760000001</v>
      </c>
      <c r="K60" s="173" t="n">
        <v>8500.17876</v>
      </c>
      <c r="L60" s="173" t="n">
        <v>-455.304285</v>
      </c>
      <c r="M60" s="173" t="n">
        <v>4258.832355</v>
      </c>
      <c r="N60" s="173" t="n">
        <v>57.94667016725</v>
      </c>
      <c r="O60" s="173" t="n">
        <v>2318.600424</v>
      </c>
      <c r="P60" s="173" t="n">
        <v>0</v>
      </c>
      <c r="Q60" s="173" t="n">
        <v>104.584033806863</v>
      </c>
      <c r="R60" s="173" t="n">
        <v>158.286985571998</v>
      </c>
      <c r="S60" s="173" t="n">
        <v>0.678335089878361</v>
      </c>
      <c r="T60" s="173" t="n">
        <v>53.391868868</v>
      </c>
      <c r="U60" s="173" t="n">
        <v>0</v>
      </c>
      <c r="V60" s="173" t="n">
        <v>5104.7356</v>
      </c>
      <c r="W60" s="173" t="n">
        <v>1228.77825</v>
      </c>
      <c r="X60" s="2" t="n">
        <v>7889.05939749601</v>
      </c>
      <c r="Y60" s="2" t="n">
        <v>7396.63568749601</v>
      </c>
      <c r="Z60" s="173"/>
      <c r="AA60" s="2"/>
      <c r="AB60" s="173"/>
      <c r="AE60" s="173" t="n">
        <v>435.1799</v>
      </c>
      <c r="AF60" s="173" t="n">
        <v>104.53045</v>
      </c>
      <c r="AG60" s="173" t="n">
        <v>79.93505</v>
      </c>
      <c r="AH60" s="173" t="n">
        <v>2912.9681</v>
      </c>
      <c r="AI60" s="173"/>
      <c r="AJ60" s="173" t="n">
        <v>0</v>
      </c>
      <c r="AK60" s="173" t="n">
        <v>13930.695715</v>
      </c>
      <c r="AL60" s="173" t="n">
        <v>1021.483045</v>
      </c>
      <c r="AM60" s="173" t="n">
        <v>14952.17876</v>
      </c>
      <c r="AN60" s="173" t="n">
        <v>2870.1245</v>
      </c>
      <c r="AO60" s="173" t="n">
        <v>492.42371</v>
      </c>
      <c r="AP60" s="173"/>
      <c r="AQ60" s="173" t="n">
        <v>0</v>
      </c>
      <c r="AR60" s="173"/>
      <c r="AS60" s="173" t="n">
        <v>0</v>
      </c>
      <c r="AT60" s="84" t="n">
        <v>0</v>
      </c>
      <c r="AU60" s="173"/>
      <c r="AV60" s="173" t="n">
        <v>2318.600424</v>
      </c>
      <c r="AW60" s="173"/>
      <c r="AX60" s="173"/>
      <c r="AY60" s="84"/>
    </row>
    <row r="61" customFormat="false" ht="11.1" hidden="false" customHeight="true" outlineLevel="0" collapsed="false">
      <c r="D61" s="173"/>
      <c r="F61" s="173"/>
      <c r="G61" s="173"/>
      <c r="H61" s="84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X61" s="173"/>
      <c r="Y61" s="173"/>
      <c r="Z61" s="173"/>
      <c r="AA61" s="173"/>
      <c r="AB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  <c r="AP61" s="173"/>
      <c r="AQ61" s="173"/>
      <c r="AR61" s="173"/>
      <c r="AS61" s="173"/>
      <c r="AT61" s="84"/>
      <c r="AU61" s="173"/>
      <c r="AV61" s="173"/>
      <c r="AW61" s="173"/>
      <c r="AX61" s="173"/>
      <c r="AY61" s="84"/>
    </row>
    <row r="62" customFormat="false" ht="11.1" hidden="false" customHeight="true" outlineLevel="0" collapsed="false">
      <c r="A62" s="172" t="s">
        <v>105</v>
      </c>
      <c r="D62" s="173"/>
      <c r="F62" s="173" t="n">
        <v>6575.7499369801</v>
      </c>
      <c r="G62" s="173" t="n">
        <v>127791</v>
      </c>
      <c r="H62" s="84" t="n">
        <v>4578.77</v>
      </c>
      <c r="I62" s="173" t="n">
        <v>132369.77</v>
      </c>
      <c r="J62" s="173" t="n">
        <v>22172.3402571212</v>
      </c>
      <c r="K62" s="173" t="n">
        <v>154542.110257121</v>
      </c>
      <c r="L62" s="173" t="n">
        <v>19538.7175384801</v>
      </c>
      <c r="M62" s="173" t="n">
        <v>42627.76</v>
      </c>
      <c r="N62" s="173" t="n">
        <v>201.673279</v>
      </c>
      <c r="O62" s="173" t="n">
        <v>13884.003</v>
      </c>
      <c r="P62" s="173" t="n">
        <v>7.363</v>
      </c>
      <c r="Q62" s="173"/>
      <c r="R62" s="173"/>
      <c r="S62" s="173"/>
      <c r="T62" s="173"/>
      <c r="U62" s="173"/>
      <c r="V62" s="173" t="n">
        <v>23078.96</v>
      </c>
      <c r="W62" s="173" t="n">
        <v>12077.04</v>
      </c>
      <c r="X62" s="173" t="n">
        <v>63804.9742119077</v>
      </c>
      <c r="Y62" s="173" t="n">
        <v>62498.5142119077</v>
      </c>
      <c r="Z62" s="173"/>
      <c r="AA62" s="173"/>
      <c r="AB62" s="173"/>
      <c r="AE62" s="173" t="n">
        <v>28050.14</v>
      </c>
      <c r="AF62" s="173" t="n">
        <v>363.8</v>
      </c>
      <c r="AG62" s="173" t="n">
        <v>278.2</v>
      </c>
      <c r="AH62" s="173"/>
      <c r="AI62" s="173"/>
      <c r="AJ62" s="173" t="n">
        <v>0</v>
      </c>
      <c r="AK62" s="173" t="n">
        <v>145332.7376015</v>
      </c>
      <c r="AL62" s="173" t="n">
        <v>2633.62271864116</v>
      </c>
      <c r="AM62" s="173" t="n">
        <v>147966.360320141</v>
      </c>
      <c r="AN62" s="173"/>
      <c r="AO62" s="173"/>
      <c r="AP62" s="173"/>
      <c r="AQ62" s="84"/>
      <c r="AR62" s="84" t="n">
        <v>2547.6295</v>
      </c>
      <c r="AS62" s="84" t="n">
        <v>0</v>
      </c>
      <c r="AT62" s="173" t="n">
        <v>740.42</v>
      </c>
      <c r="AU62" s="173" t="n">
        <v>662.99</v>
      </c>
      <c r="AV62" s="173" t="n">
        <v>1523.5715</v>
      </c>
      <c r="AW62" s="173"/>
      <c r="AX62" s="173"/>
      <c r="AY62" s="84"/>
    </row>
    <row r="63" customFormat="false" ht="11.1" hidden="false" customHeight="true" outlineLevel="0" collapsed="false">
      <c r="A63" s="172" t="s">
        <v>107</v>
      </c>
      <c r="D63" s="173"/>
      <c r="F63" s="173" t="n">
        <v>13043</v>
      </c>
      <c r="G63" s="173" t="n">
        <v>253473.4485</v>
      </c>
      <c r="H63" s="84" t="n">
        <v>9081.990295</v>
      </c>
      <c r="I63" s="173" t="n">
        <v>262555.438795</v>
      </c>
      <c r="J63" s="173" t="n">
        <v>43978.8369</v>
      </c>
      <c r="K63" s="173" t="n">
        <v>306534.275695</v>
      </c>
      <c r="L63" s="173" t="n">
        <v>38755.0462375753</v>
      </c>
      <c r="M63" s="173" t="n">
        <v>84552.16196</v>
      </c>
      <c r="N63" s="173" t="n">
        <v>400.0189488965</v>
      </c>
      <c r="O63" s="173" t="n">
        <v>27538.9199505</v>
      </c>
      <c r="P63" s="173" t="n">
        <v>14.6045105</v>
      </c>
      <c r="Q63" s="173"/>
      <c r="R63" s="173"/>
      <c r="S63" s="173"/>
      <c r="T63" s="173"/>
      <c r="U63" s="173"/>
      <c r="V63" s="173" t="n">
        <v>45777.11716</v>
      </c>
      <c r="W63" s="173" t="n">
        <v>23954.80884</v>
      </c>
      <c r="X63" s="173" t="n">
        <v>126557.166349319</v>
      </c>
      <c r="Y63" s="173" t="n">
        <v>123965.802939319</v>
      </c>
      <c r="Z63" s="173"/>
      <c r="AA63" s="173"/>
      <c r="AB63" s="173"/>
      <c r="AE63" s="173" t="n">
        <v>55637.45269</v>
      </c>
      <c r="AF63" s="173" t="n">
        <v>721.5973</v>
      </c>
      <c r="AG63" s="173" t="n">
        <v>551.8097</v>
      </c>
      <c r="AH63" s="173"/>
      <c r="AI63" s="173"/>
      <c r="AJ63" s="173" t="n">
        <v>0</v>
      </c>
      <c r="AK63" s="173" t="n">
        <v>288267.485032575</v>
      </c>
      <c r="AL63" s="173" t="n">
        <v>5223.79066242475</v>
      </c>
      <c r="AM63" s="173" t="n">
        <v>293491.275695</v>
      </c>
      <c r="AN63" s="173"/>
      <c r="AO63" s="173"/>
      <c r="AP63" s="173"/>
      <c r="AQ63" s="173" t="n">
        <v>656.563723811219</v>
      </c>
      <c r="AR63" s="173" t="n">
        <v>5053.22311325</v>
      </c>
      <c r="AS63" s="173" t="n">
        <v>0</v>
      </c>
      <c r="AT63" s="173" t="n">
        <v>1468.62307</v>
      </c>
      <c r="AU63" s="173" t="n">
        <v>1315.040665</v>
      </c>
      <c r="AV63" s="173" t="n">
        <v>3022.00407025</v>
      </c>
      <c r="AW63" s="84"/>
      <c r="AX63" s="173"/>
      <c r="AY63" s="173"/>
    </row>
    <row r="64" customFormat="false" ht="11.1" hidden="false" customHeight="true" outlineLevel="0" collapsed="false">
      <c r="D64" s="173"/>
      <c r="F64" s="173"/>
      <c r="G64" s="173"/>
      <c r="H64" s="84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X64" s="173"/>
      <c r="Y64" s="173"/>
      <c r="Z64" s="173"/>
      <c r="AA64" s="173"/>
      <c r="AB64" s="173"/>
      <c r="AE64" s="173"/>
      <c r="AF64" s="173"/>
      <c r="AG64" s="173"/>
      <c r="AH64" s="173"/>
      <c r="AI64" s="173"/>
      <c r="AJ64" s="217"/>
      <c r="AK64" s="217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84"/>
      <c r="AX64" s="173"/>
      <c r="AY64" s="173"/>
    </row>
    <row r="65" customFormat="false" ht="11.1" hidden="false" customHeight="true" outlineLevel="0" collapsed="false">
      <c r="A65" s="172" t="s">
        <v>108</v>
      </c>
      <c r="D65" s="173"/>
      <c r="F65" s="173" t="n">
        <v>8177.46407864886</v>
      </c>
      <c r="G65" s="173" t="n">
        <v>139026</v>
      </c>
      <c r="H65" s="84" t="n">
        <v>5139.35</v>
      </c>
      <c r="I65" s="173" t="n">
        <v>144165.35</v>
      </c>
      <c r="J65" s="173" t="n">
        <v>25269.2676052433</v>
      </c>
      <c r="K65" s="173" t="n">
        <v>169434.617605243</v>
      </c>
      <c r="L65" s="173" t="n">
        <v>21654.4316801489</v>
      </c>
      <c r="M65" s="173" t="n">
        <v>43504.76</v>
      </c>
      <c r="N65" s="173" t="n">
        <v>201.673279</v>
      </c>
      <c r="O65" s="173" t="n">
        <v>13884.003</v>
      </c>
      <c r="P65" s="173"/>
      <c r="Q65" s="178" t="n">
        <v>752.266941686624</v>
      </c>
      <c r="R65" s="178" t="n">
        <v>1030.07589249505</v>
      </c>
      <c r="S65" s="173" t="n">
        <v>235.767591236693</v>
      </c>
      <c r="T65" s="173" t="n">
        <v>450.151156</v>
      </c>
      <c r="U65" s="173" t="n">
        <v>-61.4114035208269</v>
      </c>
      <c r="V65" s="173" t="n">
        <v>29182.66</v>
      </c>
      <c r="W65" s="173" t="n">
        <v>12136.52</v>
      </c>
      <c r="X65" s="173" t="n">
        <v>70203.7500431025</v>
      </c>
      <c r="Y65" s="173" t="n">
        <v>68691.2908132623</v>
      </c>
      <c r="Z65" s="173"/>
      <c r="AA65" s="173"/>
      <c r="AB65" s="173"/>
      <c r="AE65" s="173"/>
      <c r="AF65" s="173" t="n">
        <v>52.7</v>
      </c>
      <c r="AG65" s="173" t="n">
        <v>40.3</v>
      </c>
      <c r="AH65" s="173" t="n">
        <v>45105.6</v>
      </c>
      <c r="AI65" s="173" t="n">
        <v>5239.05787748929</v>
      </c>
      <c r="AJ65" s="173" t="n">
        <v>29037.1</v>
      </c>
      <c r="AK65" s="173" t="n">
        <v>157642.3176015</v>
      </c>
      <c r="AL65" s="173" t="n">
        <v>3614.8359250944</v>
      </c>
      <c r="AM65" s="173" t="n">
        <v>161257.153526594</v>
      </c>
      <c r="AN65" s="173"/>
      <c r="AO65" s="173" t="n">
        <v>1512.4592298402</v>
      </c>
      <c r="AP65" s="173"/>
      <c r="AQ65" s="173"/>
      <c r="AR65" s="173"/>
      <c r="AS65" s="173"/>
      <c r="AT65" s="173" t="n">
        <v>0</v>
      </c>
      <c r="AU65" s="173"/>
      <c r="AV65" s="173"/>
      <c r="AW65" s="84"/>
      <c r="AX65" s="173"/>
      <c r="AY65" s="173"/>
    </row>
    <row r="66" customFormat="false" ht="11.1" hidden="false" customHeight="true" outlineLevel="0" collapsed="false">
      <c r="A66" s="172" t="s">
        <v>109</v>
      </c>
      <c r="D66" s="173" t="n">
        <v>16220</v>
      </c>
      <c r="E66" s="173" t="n">
        <v>141611</v>
      </c>
      <c r="F66" s="173" t="n">
        <v>16220</v>
      </c>
      <c r="G66" s="173" t="n">
        <v>275758.071</v>
      </c>
      <c r="H66" s="84" t="n">
        <v>10193.900725</v>
      </c>
      <c r="I66" s="173" t="n">
        <v>285951.971725</v>
      </c>
      <c r="J66" s="173" t="n">
        <v>50121.592295</v>
      </c>
      <c r="K66" s="173" t="n">
        <v>336073.56402</v>
      </c>
      <c r="L66" s="173" t="n">
        <v>42951.5652375753</v>
      </c>
      <c r="M66" s="173" t="n">
        <v>86291.69146</v>
      </c>
      <c r="N66" s="173" t="n">
        <v>400.0189488965</v>
      </c>
      <c r="O66" s="173" t="n">
        <v>27538.9199505</v>
      </c>
      <c r="P66" s="173"/>
      <c r="Q66" s="178" t="n">
        <v>1492.12147883542</v>
      </c>
      <c r="R66" s="178" t="n">
        <v>2043.15553276393</v>
      </c>
      <c r="S66" s="173" t="n">
        <v>467.645017217981</v>
      </c>
      <c r="T66" s="173" t="n">
        <v>892.874817926</v>
      </c>
      <c r="U66" s="173" t="n">
        <v>-121.80951888356</v>
      </c>
      <c r="V66" s="173" t="n">
        <v>57883.80611</v>
      </c>
      <c r="W66" s="173" t="n">
        <v>24072.78742</v>
      </c>
      <c r="X66" s="173" t="n">
        <v>139249.138210494</v>
      </c>
      <c r="Y66" s="173" t="n">
        <v>136249.175328106</v>
      </c>
      <c r="Z66" s="173"/>
      <c r="AA66" s="173"/>
      <c r="AB66" s="173"/>
      <c r="AE66" s="173"/>
      <c r="AF66" s="173" t="n">
        <v>104.53045</v>
      </c>
      <c r="AG66" s="173" t="n">
        <v>79.93505</v>
      </c>
      <c r="AH66" s="173" t="n">
        <v>89466.9576</v>
      </c>
      <c r="AI66" s="173" t="n">
        <v>10391.6713</v>
      </c>
      <c r="AJ66" s="173" t="n">
        <v>57595.08785</v>
      </c>
      <c r="AK66" s="173" t="n">
        <v>312683.536962575</v>
      </c>
      <c r="AL66" s="173" t="n">
        <v>7170.02705742475</v>
      </c>
      <c r="AM66" s="173" t="n">
        <v>319853.56402</v>
      </c>
      <c r="AN66" s="173" t="n">
        <v>16292.98471</v>
      </c>
      <c r="AO66" s="173" t="n">
        <v>2999.96288238804</v>
      </c>
      <c r="AP66" s="173"/>
      <c r="AQ66" s="173" t="n">
        <v>656.563723811219</v>
      </c>
      <c r="AR66" s="173"/>
      <c r="AS66" s="173"/>
      <c r="AT66" s="173" t="n">
        <v>0</v>
      </c>
      <c r="AU66" s="173"/>
      <c r="AV66" s="173"/>
      <c r="AW66" s="84"/>
      <c r="AX66" s="173"/>
      <c r="AY66" s="173"/>
    </row>
    <row r="67" customFormat="false" ht="11.1" hidden="false" customHeight="true" outlineLevel="0" collapsed="false">
      <c r="AL67" s="178"/>
      <c r="AM67" s="178"/>
      <c r="AN67" s="172"/>
      <c r="AO67" s="175"/>
      <c r="AP67" s="175"/>
      <c r="AQ67" s="8"/>
      <c r="AR67" s="8"/>
      <c r="AS67" s="8"/>
      <c r="AT67" s="172"/>
      <c r="AU67" s="172"/>
      <c r="AV67" s="178"/>
      <c r="AW67" s="179"/>
      <c r="AX67" s="172"/>
      <c r="AY67" s="8"/>
    </row>
    <row r="68" customFormat="false" ht="11.1" hidden="false" customHeight="true" outlineLevel="0" collapsed="false">
      <c r="B68" s="172" t="s">
        <v>148</v>
      </c>
      <c r="D68" s="173" t="n">
        <f aca="false">D54-D66</f>
        <v>0</v>
      </c>
      <c r="E68" s="173" t="n">
        <f aca="false">E54-E66</f>
        <v>0</v>
      </c>
      <c r="F68" s="173" t="n">
        <f aca="false">F54-F66</f>
        <v>0</v>
      </c>
      <c r="G68" s="173" t="n">
        <f aca="false">G54-G66</f>
        <v>-190.415999999968</v>
      </c>
      <c r="H68" s="173" t="n">
        <f aca="false">H54-H66</f>
        <v>0.0198349999991478</v>
      </c>
      <c r="I68" s="173" t="n">
        <f aca="false">I54-I66</f>
        <v>-190.396164999984</v>
      </c>
      <c r="J68" s="173" t="n">
        <f aca="false">J54-J66</f>
        <v>-690.023205000012</v>
      </c>
      <c r="K68" s="173" t="n">
        <f aca="false">K54-K66</f>
        <v>-880.419369999901</v>
      </c>
      <c r="L68" s="173" t="n">
        <f aca="false">L54-L66</f>
        <v>-21.1044400000173</v>
      </c>
      <c r="M68" s="173" t="n">
        <f aca="false">M54-M66</f>
        <v>655.050875000001</v>
      </c>
      <c r="N68" s="173" t="n">
        <f aca="false">N54-N66</f>
        <v>0</v>
      </c>
      <c r="O68" s="173" t="n">
        <f aca="false">O54-O66</f>
        <v>-10.6424692500004</v>
      </c>
      <c r="Q68" s="173" t="n">
        <f aca="false">Q54-Q66</f>
        <v>0</v>
      </c>
      <c r="R68" s="173" t="n">
        <f aca="false">R54-R66</f>
        <v>0</v>
      </c>
      <c r="S68" s="173" t="n">
        <f aca="false">S54-S66</f>
        <v>0</v>
      </c>
      <c r="T68" s="173" t="n">
        <f aca="false">T54-T66</f>
        <v>0</v>
      </c>
      <c r="U68" s="173" t="n">
        <f aca="false">U54-U66</f>
        <v>97.528695</v>
      </c>
      <c r="V68" s="173" t="n">
        <f aca="false">V54-V66</f>
        <v>-77.39617</v>
      </c>
      <c r="W68" s="173" t="n">
        <f aca="false">W54-W66</f>
        <v>265.273290000001</v>
      </c>
      <c r="X68" s="173" t="n">
        <f aca="false">X54-X66</f>
        <v>756.041769250005</v>
      </c>
      <c r="Y68" s="173" t="n">
        <f aca="false">Y54-Y66</f>
        <v>765.602239250002</v>
      </c>
      <c r="AE68" s="173" t="n">
        <f aca="false">AE51-AE63</f>
        <v>17.8515000000043</v>
      </c>
      <c r="AF68" s="173" t="n">
        <f aca="false">AF54-AF66</f>
        <v>0</v>
      </c>
      <c r="AG68" s="173" t="n">
        <f aca="false">AG54-AG66</f>
        <v>0</v>
      </c>
      <c r="AH68" s="173" t="n">
        <f aca="false">AH54-AH66</f>
        <v>-1072.28009999997</v>
      </c>
      <c r="AI68" s="173" t="n">
        <f aca="false">AI54-AI66</f>
        <v>222.548699999987</v>
      </c>
      <c r="AJ68" s="173" t="n">
        <f aca="false">AJ54-AJ66</f>
        <v>-704.340849999993</v>
      </c>
      <c r="AK68" s="173" t="n">
        <f aca="false">AK54-AK66</f>
        <v>-211.50060499995</v>
      </c>
      <c r="AL68" s="173" t="n">
        <f aca="false">AL54-AL66</f>
        <v>-668.918764999998</v>
      </c>
      <c r="AM68" s="173" t="n">
        <f aca="false">AM54-AM66</f>
        <v>-880.41936999996</v>
      </c>
      <c r="AN68" s="173" t="n">
        <f aca="false">AN54-AN66</f>
        <v>-19.239950000001</v>
      </c>
      <c r="AO68" s="173" t="n">
        <f aca="false">AO54-AO66</f>
        <v>-9.5604699999999</v>
      </c>
      <c r="AP68" s="173"/>
      <c r="AQ68" s="173" t="n">
        <f aca="false">AQ54-AQ66</f>
        <v>15.3751686093594</v>
      </c>
      <c r="AR68" s="173"/>
      <c r="AS68" s="173"/>
      <c r="AT68" s="173"/>
      <c r="AU68" s="172"/>
      <c r="AV68" s="178"/>
      <c r="AW68" s="179"/>
      <c r="AX68" s="172"/>
      <c r="AY68" s="8"/>
    </row>
    <row r="69" customFormat="false" ht="11.1" hidden="false" customHeight="true" outlineLevel="0" collapsed="false">
      <c r="AL69" s="178"/>
      <c r="AM69" s="178"/>
      <c r="AN69" s="172"/>
      <c r="AO69" s="175"/>
      <c r="AP69" s="175"/>
      <c r="AQ69" s="8"/>
      <c r="AR69" s="8"/>
      <c r="AS69" s="8"/>
      <c r="AT69" s="172"/>
      <c r="AW69" s="179"/>
      <c r="AX69" s="172"/>
      <c r="AY69" s="8"/>
    </row>
    <row r="70" customFormat="false" ht="11.1" hidden="false" customHeight="true" outlineLevel="0" collapsed="false">
      <c r="N70" s="175" t="s">
        <v>145</v>
      </c>
      <c r="O70" s="173" t="n">
        <v>27633.7312505</v>
      </c>
      <c r="W70" s="173" t="s">
        <v>146</v>
      </c>
      <c r="X70" s="173" t="n">
        <v>139154.326910494</v>
      </c>
      <c r="Y70" s="173" t="n">
        <v>136154.364028106</v>
      </c>
      <c r="AU70" s="172" t="s">
        <v>145</v>
      </c>
      <c r="AV70" s="178" t="n">
        <v>3116.81537025</v>
      </c>
    </row>
  </sheetData>
  <mergeCells count="2">
    <mergeCell ref="K2:AD2"/>
    <mergeCell ref="M5:U5"/>
  </mergeCells>
  <printOptions headings="true" gridLines="true" gridLinesSet="true" horizontalCentered="false" verticalCentered="false"/>
  <pageMargins left="0.25" right="0.25" top="0.5" bottom="0" header="0.25" footer="0.511811023622047"/>
  <pageSetup paperSize="5" scale="100" fitToWidth="1" fitToHeight="1" pageOrder="downThenOver" orientation="landscape" blackAndWhite="false" draft="false" cellComments="atEnd" horizontalDpi="300" verticalDpi="300" copies="1"/>
  <headerFooter differentFirst="false" differentOddEven="false">
    <oddHeader>&amp;C&amp;"LinePrinter,Bold"&amp;12 2011 APPROVED</oddHeader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E. A. Birk</dc:creator>
  <dc:description/>
  <dc:language>en-US</dc:language>
  <cp:lastModifiedBy>LaVon Millard</cp:lastModifiedBy>
  <cp:lastPrinted>2012-12-02T13:11:24Z</cp:lastPrinted>
  <dcterms:modified xsi:type="dcterms:W3CDTF">2012-12-02T13:12:06Z</dcterms:modified>
  <cp:revision>0</cp:revision>
  <dc:subject>MCPHEE IN/OUT FLOW</dc:subject>
  <dc:title>RIVER</dc:title>
</cp:coreProperties>
</file>