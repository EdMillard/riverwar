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_rels/externalLink10.xml.rels" ContentType="application/vnd.openxmlformats-package.relationships+xml"/>
  <Override PartName="/xl/externalLinks/_rels/externalLink6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9.xml.rels" ContentType="application/vnd.openxmlformats-package.relationships+xml"/>
  <Override PartName="/xl/externalLinks/_rels/externalLink8.xml.rels" ContentType="application/vnd.openxmlformats-package.relationships+xml"/>
  <Override PartName="/xl/externalLinks/_rels/externalLink7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function="false" hidden="false" localSheetId="5" name="_xlnm.Print_Area" vbProcedure="false">APR!$A$1:$AC$54</definedName>
    <definedName function="false" hidden="false" localSheetId="9" name="_xlnm.Print_Area" vbProcedure="false">AUG!$A$1:$AC$55</definedName>
    <definedName function="false" hidden="false" localSheetId="1" name="_xlnm.Print_Area" vbProcedure="false">DEC!$A$1:$AB$55</definedName>
    <definedName function="false" hidden="false" localSheetId="3" name="_xlnm.Print_Area" vbProcedure="false">FEB!$A$1:$AB$52</definedName>
    <definedName function="false" hidden="false" localSheetId="2" name="_xlnm.Print_Area" vbProcedure="false">JAN!$A$1:$AB$55</definedName>
    <definedName function="false" hidden="false" localSheetId="8" name="_xlnm.Print_Area" vbProcedure="false">JUL!$A$1:$AC$55</definedName>
    <definedName function="false" hidden="false" localSheetId="7" name="_xlnm.Print_Area" vbProcedure="false">JUN!$A$1:$AC$54</definedName>
    <definedName function="false" hidden="false" localSheetId="4" name="_xlnm.Print_Area" vbProcedure="false">MAR!$A$1:$AB$55</definedName>
    <definedName function="false" hidden="false" localSheetId="6" name="_xlnm.Print_Area" vbProcedure="false">MAY!$A$1:$AC$55</definedName>
    <definedName function="false" hidden="false" localSheetId="0" name="_xlnm.Print_Area" vbProcedure="false">NOV!$A$1:$AB$54</definedName>
    <definedName function="false" hidden="false" localSheetId="11" name="_xlnm.Print_Area" vbProcedure="false">OCT!$A$1:$AC$55</definedName>
    <definedName function="false" hidden="false" localSheetId="10" name="_xlnm.Print_Area" vbProcedure="false">SEP!$A$1:$AC$54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<sst xmlns="http://schemas.openxmlformats.org/spreadsheetml/2006/main" count="851" uniqueCount="103">
  <si>
    <t xml:space="preserve">MC  PHEE  RESERVOIR  IN/OUT  FLOW  TABULATION</t>
  </si>
  <si>
    <t xml:space="preserve">AF/cfs  CONVERT FACTOR</t>
  </si>
  <si>
    <t xml:space="preserve">NOVEMBER  "93"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</si>
  <si>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</si>
  <si>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</si>
  <si>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</si>
  <si>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</si>
  <si>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</si>
  <si>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</si>
  <si>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</si>
  <si>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RECORDED</t>
  </si>
  <si>
    <t xml:space="preserve">CALC</t>
  </si>
  <si>
    <t xml:space="preserve">TOTAL</t>
  </si>
  <si>
    <t xml:space="preserve">MVI</t>
  </si>
  <si>
    <t xml:space="preserve">U</t>
  </si>
  <si>
    <t xml:space="preserve">DV  CR</t>
  </si>
  <si>
    <t xml:space="preserve">UTE</t>
  </si>
  <si>
    <t xml:space="preserve">BELOW</t>
  </si>
  <si>
    <t xml:space="preserve">REMAIN</t>
  </si>
  <si>
    <t xml:space="preserve">RAIN</t>
  </si>
  <si>
    <t xml:space="preserve">MAX</t>
  </si>
  <si>
    <t xml:space="preserve">MIN</t>
  </si>
  <si>
    <t xml:space="preserve">"NOV"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</si>
  <si>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</si>
  <si>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</si>
  <si>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</si>
  <si>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</si>
  <si>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</si>
  <si>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CANYON</t>
  </si>
  <si>
    <t xml:space="preserve">INFLOW</t>
  </si>
  <si>
    <t xml:space="preserve">INF/OTF</t>
  </si>
  <si>
    <t xml:space="preserve">TUNNEL</t>
  </si>
  <si>
    <t xml:space="preserve">DIVER</t>
  </si>
  <si>
    <t xml:space="preserve">LATERAL</t>
  </si>
  <si>
    <t xml:space="preserve">CALL</t>
  </si>
  <si>
    <t xml:space="preserve">CANAL</t>
  </si>
  <si>
    <t xml:space="preserve">F &amp; R</t>
  </si>
  <si>
    <t xml:space="preserve">MC  PHEE</t>
  </si>
  <si>
    <t xml:space="preserve">RELEASE</t>
  </si>
  <si>
    <t xml:space="preserve">OUTFLOW</t>
  </si>
  <si>
    <t xml:space="preserve">TMP</t>
  </si>
  <si>
    <t xml:space="preserve">SEASON BAL</t>
  </si>
  <si>
    <t xml:space="preserve">YTD</t>
  </si>
  <si>
    <t xml:space="preserve">ice</t>
  </si>
  <si>
    <t xml:space="preserve">MONTH / CFS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</si>
  <si>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</si>
  <si>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</si>
  <si>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</si>
  <si>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</si>
  <si>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</si>
  <si>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</si>
  <si>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</si>
  <si>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"93"</t>
  </si>
  <si>
    <t xml:space="preserve">'DEC''</t>
  </si>
  <si>
    <t xml:space="preserve">JANUARY  "94"</t>
  </si>
  <si>
    <t xml:space="preserve">"JAN"</t>
  </si>
  <si>
    <t xml:space="preserve">FEBRUARY  "94"</t>
  </si>
  <si>
    <t xml:space="preserve">"FEB"</t>
  </si>
  <si>
    <t xml:space="preserve">MARCH  "94"</t>
  </si>
  <si>
    <t xml:space="preserve">"MAR"</t>
  </si>
  <si>
    <t xml:space="preserve">thawed</t>
  </si>
  <si>
    <t xml:space="preserve">APRIL  "94"</t>
  </si>
  <si>
    <t xml:space="preserve">DOLORES TUNNEL</t>
  </si>
  <si>
    <t xml:space="preserve">"APR"</t>
  </si>
  <si>
    <t xml:space="preserve">TOT DIV</t>
  </si>
  <si>
    <t xml:space="preserve">UTE F&amp;R</t>
  </si>
  <si>
    <t xml:space="preserve">MVI/CTZ/MWC</t>
  </si>
  <si>
    <t xml:space="preserve">MAY  "94"</t>
  </si>
  <si>
    <t xml:space="preserve">LONE</t>
  </si>
  <si>
    <t xml:space="preserve">"MAY"</t>
  </si>
  <si>
    <t xml:space="preserve">MVI,CTZ</t>
  </si>
  <si>
    <t xml:space="preserve">PINE</t>
  </si>
  <si>
    <t xml:space="preserve">JUNE  "94"</t>
  </si>
  <si>
    <t xml:space="preserve">"JUN"</t>
  </si>
  <si>
    <t xml:space="preserve">Ctz/MW</t>
  </si>
  <si>
    <t xml:space="preserve">Add to MVI call</t>
  </si>
  <si>
    <t xml:space="preserve">Totten</t>
  </si>
  <si>
    <t xml:space="preserve">Grhog</t>
  </si>
  <si>
    <t xml:space="preserve">Total</t>
  </si>
  <si>
    <t xml:space="preserve">cfs</t>
  </si>
  <si>
    <t xml:space="preserve">JULY  "94"</t>
  </si>
  <si>
    <t xml:space="preserve">"JUL"</t>
  </si>
  <si>
    <t xml:space="preserve">200 AF released in Tooten Reservoir @ 40 cfs rate on 28th - 31st</t>
  </si>
  <si>
    <t xml:space="preserve">At this point it is part of MVIC's diversion</t>
  </si>
  <si>
    <t xml:space="preserve">AUGUST  "94"</t>
  </si>
  <si>
    <t xml:space="preserve">"AUG"</t>
  </si>
  <si>
    <t xml:space="preserve">EDS</t>
  </si>
  <si>
    <t xml:space="preserve">gT #1</t>
  </si>
  <si>
    <t xml:space="preserve">GT #2</t>
  </si>
  <si>
    <t xml:space="preserve">Ute</t>
  </si>
  <si>
    <t xml:space="preserve">The shift was wrong on the parshall below McPhee</t>
  </si>
  <si>
    <t xml:space="preserve">  from 8/11 - 8/24.  The release of water was greater than the pool called for.</t>
  </si>
  <si>
    <t xml:space="preserve">  Therefore, only 70 cfs per day was debited to the fish pool during those 14 days</t>
  </si>
  <si>
    <t xml:space="preserve">SEPTEMBER  "94"</t>
  </si>
  <si>
    <t xml:space="preserve">"SEP"</t>
  </si>
  <si>
    <t xml:space="preserve">The release was to have dropped to 60 cfs on 9/1</t>
  </si>
  <si>
    <t xml:space="preserve">    Mistakenly it was the 7th before that took place</t>
  </si>
  <si>
    <t xml:space="preserve">    Therefore only 60cfs was debited to the pool 9/1 - 9/6</t>
  </si>
  <si>
    <t xml:space="preserve">OCTOBER  "94"</t>
  </si>
  <si>
    <t xml:space="preserve">"OCT"</t>
  </si>
  <si>
    <t xml:space="preserve">Ctz &amp; Ute Div</t>
  </si>
  <si>
    <t xml:space="preserve">MWC Div</t>
  </si>
  <si>
    <t xml:space="preserve">MVIC Div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</si>
</sst>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##0.0"/>
    <numFmt numFmtId="167" formatCode="0.0"/>
    <numFmt numFmtId="168" formatCode="0.00"/>
    <numFmt numFmtId="169" formatCode="0"/>
    <numFmt numFmtId="170" formatCode="#,##0.0"/>
    <numFmt numFmtId="171" formatCode="0.000"/>
    <numFmt numFmtId="172" formatCode="#,##0.00"/>
    <numFmt numFmtId="173" formatCode="[$-409]d\-mmm"/>
    <numFmt numFmtId="174" formatCode="0%"/>
    <numFmt numFmtId="175" formatCode="0.00%"/>
  </numFmts>
  <fonts count="13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"/>
      <family val="0"/>
    </font>
    <font>
      <sz val="6"/>
      <name val="Arial Narrow"/>
      <family val="0"/>
    </font>
    <font>
      <b val="true"/>
      <sz val="6"/>
      <name val="Arial Narrow"/>
      <family val="0"/>
    </font>
    <font>
      <b val="true"/>
      <sz val="9"/>
      <name val="Arial Narrow"/>
      <family val="0"/>
    </font>
    <font>
      <b val="true"/>
      <sz val="12"/>
      <name val="Arial Narrow"/>
      <family val="0"/>
    </font>
    <font>
      <sz val="8"/>
      <name val="Arial"/>
      <family val="0"/>
    </font>
    <font>
      <b val="true"/>
      <sz val="8"/>
      <name val="Arial Narrow"/>
      <family val="0"/>
    </font>
  </fonts>
  <fills count="3">
    <fill>
      <patternFill patternType="none"/>
    </fill>
    <fill>
      <patternFill patternType="gray125"/>
    </fill>
    <fill>
      <patternFill patternType="solid">
        <fgColor rgb="FF464648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n">
        <color rgb="FFEEEEEC"/>
      </left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/>
      <bottom style="thin">
        <color rgb="FFEEEEEC"/>
      </bottom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2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4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2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3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2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2" borderId="1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  <cellStyle name="Normal_RIVER074" xfId="21"/>
    <cellStyle name="Normal_RIVER084" xfId="22"/>
    <cellStyle name="Normal_RIVER094" xfId="23"/>
    <cellStyle name="Normal_RIVER104" xfId="24"/>
  </cellStyles>
  <colors>
    <indexedColors>
      <rgbColor rgb="FF000000"/>
      <rgbColor rgb="FFEEEE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646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externalLink" Target="externalLinks/externalLink1.xml"/><Relationship Id="rId15" Type="http://schemas.openxmlformats.org/officeDocument/2006/relationships/externalLink" Target="externalLinks/externalLink2.xml"/><Relationship Id="rId16" Type="http://schemas.openxmlformats.org/officeDocument/2006/relationships/externalLink" Target="externalLinks/externalLink3.xml"/><Relationship Id="rId17" Type="http://schemas.openxmlformats.org/officeDocument/2006/relationships/externalLink" Target="externalLinks/externalLink4.xml"/><Relationship Id="rId18" Type="http://schemas.openxmlformats.org/officeDocument/2006/relationships/externalLink" Target="externalLinks/externalLink5.xml"/><Relationship Id="rId19" Type="http://schemas.openxmlformats.org/officeDocument/2006/relationships/externalLink" Target="externalLinks/externalLink6.xml"/><Relationship Id="rId20" Type="http://schemas.openxmlformats.org/officeDocument/2006/relationships/externalLink" Target="externalLinks/externalLink7.xml"/><Relationship Id="rId21" Type="http://schemas.openxmlformats.org/officeDocument/2006/relationships/externalLink" Target="externalLinks/externalLink8.xml"/><Relationship Id="rId22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0.xml"/><Relationship Id="rId2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RIVER123.S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RIVER014.S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RIVER024.S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RIVER034.SS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RIVER044.SS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RIVER054.SS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RIVER064.SS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RIVER074.SS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RIVER084.SS" TargetMode="External"/>
</Relationships>
</file>

<file path=xl/externalLinks/_rels/externalLink10.xml.rels><?xml version="1.0" encoding="UTF-8"?>
<Relationships xmlns="http://schemas.openxmlformats.org/package/2006/relationships"><Relationship Id="rId1" Type="http://schemas.openxmlformats.org/officeDocument/2006/relationships/externalLinkPath" Target="RIVER094.S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VER123"/>
    </sheetNames>
    <sheetDataSet>
      <sheetData sheetId="0">
        <row r="48">
          <cell r="F48">
            <v>-39.3343419062026</v>
          </cell>
          <cell r="G48">
            <v>3048.30843166919</v>
          </cell>
          <cell r="H48">
            <v>0</v>
          </cell>
          <cell r="I48">
            <v>3048.30843166919</v>
          </cell>
          <cell r="J48">
            <v>49.2957690368129</v>
          </cell>
          <cell r="K48">
            <v>3097.604200706</v>
          </cell>
          <cell r="L48">
            <v>-419.292773575391</v>
          </cell>
          <cell r="M48">
            <v>420.92</v>
          </cell>
          <cell r="N48">
            <v>0</v>
          </cell>
          <cell r="O48">
            <v>0</v>
          </cell>
          <cell r="P48">
            <v>420.92</v>
          </cell>
        </row>
        <row r="48">
          <cell r="R48">
            <v>0</v>
          </cell>
          <cell r="S48">
            <v>0</v>
          </cell>
          <cell r="T48">
            <v>2247.43</v>
          </cell>
          <cell r="U48">
            <v>12668.1233148475</v>
          </cell>
          <cell r="V48">
            <v>2668.35</v>
          </cell>
          <cell r="W48">
            <v>489.78776096823</v>
          </cell>
          <cell r="X48">
            <v>3158.13776096823</v>
          </cell>
          <cell r="Y48">
            <v>2.79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IVER014"/>
    </sheetNames>
    <sheetDataSet>
      <sheetData sheetId="0">
        <row r="48">
          <cell r="F48">
            <v>335.854765506808</v>
          </cell>
          <cell r="G48">
            <v>4510.97734241049</v>
          </cell>
          <cell r="H48">
            <v>0</v>
          </cell>
          <cell r="I48">
            <v>4510.97734241049</v>
          </cell>
          <cell r="J48">
            <v>49.2957690368129</v>
          </cell>
          <cell r="K48">
            <v>4560.2731114473</v>
          </cell>
          <cell r="L48">
            <v>-419.352576903681</v>
          </cell>
          <cell r="M48">
            <v>573.27</v>
          </cell>
          <cell r="N48">
            <v>0</v>
          </cell>
          <cell r="O48">
            <v>0</v>
          </cell>
          <cell r="P48">
            <v>573.27</v>
          </cell>
        </row>
        <row r="48">
          <cell r="R48">
            <v>0</v>
          </cell>
          <cell r="S48">
            <v>0</v>
          </cell>
          <cell r="T48">
            <v>3182.5</v>
          </cell>
          <cell r="U48">
            <v>11733.0533148475</v>
          </cell>
          <cell r="V48">
            <v>3755.77</v>
          </cell>
          <cell r="W48">
            <v>489.78776096823</v>
          </cell>
          <cell r="X48">
            <v>4245.55776096823</v>
          </cell>
          <cell r="Y48">
            <v>3.35</v>
          </cell>
        </row>
        <row r="49">
          <cell r="D49">
            <v>666</v>
          </cell>
          <cell r="E49">
            <v>159353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IVER024"/>
    </sheetNames>
    <sheetDataSet>
      <sheetData sheetId="0">
        <row r="45">
          <cell r="F45">
            <v>1244.57892082703</v>
          </cell>
          <cell r="G45">
            <v>6362.41149773071</v>
          </cell>
          <cell r="H45">
            <v>0</v>
          </cell>
          <cell r="I45">
            <v>6361.60292486132</v>
          </cell>
          <cell r="J45">
            <v>49.2957690368129</v>
          </cell>
          <cell r="K45">
            <v>6410.89869389813</v>
          </cell>
          <cell r="L45">
            <v>-418.544004034291</v>
          </cell>
          <cell r="M45">
            <v>679.15</v>
          </cell>
          <cell r="N45">
            <v>0</v>
          </cell>
          <cell r="O45">
            <v>0</v>
          </cell>
          <cell r="P45">
            <v>679.15</v>
          </cell>
        </row>
        <row r="45">
          <cell r="R45">
            <v>0</v>
          </cell>
          <cell r="S45">
            <v>0</v>
          </cell>
          <cell r="T45">
            <v>4019.33</v>
          </cell>
          <cell r="U45">
            <v>10896.2233148475</v>
          </cell>
          <cell r="V45">
            <v>4698.48</v>
          </cell>
          <cell r="W45">
            <v>489.78776096823</v>
          </cell>
          <cell r="X45">
            <v>5188.26776096823</v>
          </cell>
          <cell r="Y45">
            <v>5.45</v>
          </cell>
        </row>
        <row r="46">
          <cell r="D46">
            <v>2468</v>
          </cell>
          <cell r="E46">
            <v>161155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IVER034"/>
    </sheetNames>
    <sheetDataSet>
      <sheetData sheetId="0">
        <row r="40">
          <cell r="B40">
            <v>6911.13</v>
          </cell>
          <cell r="C40">
            <v>326524</v>
          </cell>
        </row>
        <row r="48">
          <cell r="F48">
            <v>7986.38426626324</v>
          </cell>
          <cell r="G48">
            <v>12649.4764498235</v>
          </cell>
          <cell r="H48">
            <v>0</v>
          </cell>
          <cell r="I48">
            <v>12648.6678769541</v>
          </cell>
          <cell r="J48">
            <v>1973.712899647</v>
          </cell>
          <cell r="K48">
            <v>14622.3807766011</v>
          </cell>
          <cell r="L48">
            <v>1506.03638930913</v>
          </cell>
          <cell r="M48">
            <v>912.24</v>
          </cell>
        </row>
        <row r="48">
          <cell r="P48">
            <v>912.24</v>
          </cell>
        </row>
        <row r="48">
          <cell r="T48">
            <v>5263.41</v>
          </cell>
          <cell r="U48">
            <v>9652.14331484748</v>
          </cell>
          <cell r="V48">
            <v>6175.65</v>
          </cell>
          <cell r="W48">
            <v>489.78776096823</v>
          </cell>
          <cell r="X48">
            <v>6665.43776096823</v>
          </cell>
          <cell r="Y48">
            <v>6.56</v>
          </cell>
        </row>
        <row r="49">
          <cell r="D49">
            <v>15837</v>
          </cell>
          <cell r="E49">
            <v>174524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IVER044"/>
    </sheetNames>
    <sheetDataSet>
      <sheetData sheetId="0">
        <row r="39">
          <cell r="B39">
            <v>6921.33</v>
          </cell>
          <cell r="C39">
            <v>369360</v>
          </cell>
        </row>
        <row r="44">
          <cell r="F44">
            <v>21601.613716591</v>
          </cell>
          <cell r="G44">
            <v>13878.17</v>
          </cell>
          <cell r="H44">
            <v>3242.34</v>
          </cell>
          <cell r="I44">
            <v>17120.51</v>
          </cell>
          <cell r="J44">
            <v>8841.63371659102</v>
          </cell>
          <cell r="K44">
            <v>25962.143716591</v>
          </cell>
          <cell r="L44">
            <v>8512.45371659102</v>
          </cell>
          <cell r="M44">
            <v>2033.16</v>
          </cell>
          <cell r="N44">
            <v>604.8</v>
          </cell>
          <cell r="O44">
            <v>1428.36</v>
          </cell>
          <cell r="P44">
            <v>0</v>
          </cell>
          <cell r="Q44">
            <v>132.48</v>
          </cell>
          <cell r="R44">
            <v>1560.84</v>
          </cell>
          <cell r="S44">
            <v>0</v>
          </cell>
          <cell r="T44">
            <v>172</v>
          </cell>
          <cell r="U44">
            <v>1693.71</v>
          </cell>
          <cell r="V44">
            <v>0</v>
          </cell>
          <cell r="W44">
            <v>4031.35</v>
          </cell>
          <cell r="X44">
            <v>329.2</v>
          </cell>
          <cell r="Y44">
            <v>4360.55</v>
          </cell>
        </row>
        <row r="47">
          <cell r="F47">
            <v>29587.9979828543</v>
          </cell>
          <cell r="G47">
            <v>26527.6464498235</v>
          </cell>
          <cell r="H47">
            <v>3242.34</v>
          </cell>
          <cell r="I47">
            <v>29769.1778769541</v>
          </cell>
          <cell r="J47">
            <v>10815.346616238</v>
          </cell>
          <cell r="K47">
            <v>40584.5244931921</v>
          </cell>
          <cell r="L47">
            <v>10018.4901059001</v>
          </cell>
          <cell r="M47">
            <v>2945.4</v>
          </cell>
          <cell r="N47">
            <v>604.8</v>
          </cell>
          <cell r="O47">
            <v>2340.6</v>
          </cell>
          <cell r="P47">
            <v>0</v>
          </cell>
          <cell r="Q47">
            <v>132.48</v>
          </cell>
          <cell r="R47">
            <v>2473.08</v>
          </cell>
        </row>
        <row r="47">
          <cell r="T47">
            <v>172</v>
          </cell>
          <cell r="U47">
            <v>6957.12</v>
          </cell>
          <cell r="V47">
            <v>8560</v>
          </cell>
          <cell r="W47">
            <v>10207</v>
          </cell>
          <cell r="X47">
            <v>818.98776096823</v>
          </cell>
          <cell r="Y47">
            <v>11025.9877609682</v>
          </cell>
          <cell r="Z47">
            <v>8.12</v>
          </cell>
        </row>
        <row r="48">
          <cell r="D48">
            <v>58673</v>
          </cell>
          <cell r="E48">
            <v>217360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RIVER054"/>
    </sheetNames>
    <sheetDataSet>
      <sheetData sheetId="0">
        <row r="40">
          <cell r="B40">
            <v>6923.4</v>
          </cell>
          <cell r="C40">
            <v>378489</v>
          </cell>
        </row>
        <row r="45">
          <cell r="F45">
            <v>26205.2445789208</v>
          </cell>
          <cell r="G45">
            <v>57900.86</v>
          </cell>
          <cell r="H45">
            <v>6220.38</v>
          </cell>
          <cell r="I45">
            <v>64101.45</v>
          </cell>
          <cell r="J45">
            <v>21121.1569591528</v>
          </cell>
          <cell r="K45">
            <v>85222.6069591528</v>
          </cell>
          <cell r="L45">
            <v>20791.9769591528</v>
          </cell>
          <cell r="M45">
            <v>8024.64</v>
          </cell>
          <cell r="N45">
            <v>1237.94523449319</v>
          </cell>
          <cell r="O45">
            <v>6786.69476550681</v>
          </cell>
          <cell r="P45">
            <v>5146.46</v>
          </cell>
          <cell r="Q45">
            <v>2191.4815128593</v>
          </cell>
          <cell r="R45">
            <v>14124.6362783661</v>
          </cell>
          <cell r="S45">
            <v>0</v>
          </cell>
          <cell r="T45">
            <v>2779.16086737267</v>
          </cell>
          <cell r="U45">
            <v>40546.44</v>
          </cell>
          <cell r="V45">
            <v>8560</v>
          </cell>
          <cell r="W45">
            <v>58688.182380232</v>
          </cell>
          <cell r="X45">
            <v>329.2</v>
          </cell>
          <cell r="Y45">
            <v>59017.382380232</v>
          </cell>
        </row>
        <row r="48">
          <cell r="F48">
            <v>34191.6288451841</v>
          </cell>
          <cell r="G48">
            <v>70550.3364498235</v>
          </cell>
          <cell r="H48">
            <v>6220.38</v>
          </cell>
          <cell r="I48">
            <v>76750.1178769541</v>
          </cell>
          <cell r="J48">
            <v>23094.8698587998</v>
          </cell>
          <cell r="K48">
            <v>99844.9877357539</v>
          </cell>
          <cell r="L48">
            <v>22298.0133484619</v>
          </cell>
          <cell r="M48">
            <v>8936.88</v>
          </cell>
          <cell r="N48">
            <v>1237.94523449319</v>
          </cell>
          <cell r="O48">
            <v>7698.93476550681</v>
          </cell>
          <cell r="P48">
            <v>5146.46</v>
          </cell>
          <cell r="Q48">
            <v>2191.4815128593</v>
          </cell>
          <cell r="R48">
            <v>15036.8762783661</v>
          </cell>
        </row>
        <row r="48">
          <cell r="T48">
            <v>2779.16086737267</v>
          </cell>
          <cell r="U48">
            <v>45809.85</v>
          </cell>
          <cell r="V48">
            <v>8560</v>
          </cell>
          <cell r="W48">
            <v>64863.832380232</v>
          </cell>
          <cell r="X48">
            <v>818.98776096823</v>
          </cell>
          <cell r="Y48">
            <v>65682.8201412002</v>
          </cell>
          <cell r="Z48">
            <v>9.02</v>
          </cell>
        </row>
        <row r="49">
          <cell r="D49">
            <v>67802</v>
          </cell>
          <cell r="E49">
            <v>226489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RIVER064"/>
    </sheetNames>
    <sheetDataSet>
      <sheetData sheetId="0">
        <row r="39">
          <cell r="B39">
            <v>6922.13</v>
          </cell>
          <cell r="C39">
            <v>372867</v>
          </cell>
        </row>
        <row r="44">
          <cell r="F44">
            <v>23370.1462430661</v>
          </cell>
          <cell r="G44">
            <v>84069.83</v>
          </cell>
          <cell r="H44">
            <v>6256.88</v>
          </cell>
          <cell r="I44">
            <v>90306.92</v>
          </cell>
          <cell r="J44">
            <v>25303.6595965708</v>
          </cell>
          <cell r="K44">
            <v>115610.579596571</v>
          </cell>
          <cell r="L44">
            <v>24692.2479828543</v>
          </cell>
          <cell r="M44">
            <v>15890.74</v>
          </cell>
          <cell r="N44">
            <v>2161.91346444781</v>
          </cell>
          <cell r="O44">
            <v>13728.8265355522</v>
          </cell>
          <cell r="P44">
            <v>8595.37</v>
          </cell>
          <cell r="Q44">
            <v>4618.61212304589</v>
          </cell>
          <cell r="R44">
            <v>26942.8086585981</v>
          </cell>
          <cell r="S44">
            <v>3701.75208270298</v>
          </cell>
          <cell r="T44">
            <v>6903.71961674231</v>
          </cell>
          <cell r="U44">
            <v>55620.58</v>
          </cell>
          <cell r="V44">
            <v>0</v>
          </cell>
          <cell r="W44">
            <v>91629.0217397882</v>
          </cell>
          <cell r="X44">
            <v>611.431613716591</v>
          </cell>
          <cell r="Y44">
            <v>92240.4533535048</v>
          </cell>
        </row>
        <row r="47">
          <cell r="F47">
            <v>31356.5305093293</v>
          </cell>
          <cell r="G47">
            <v>96719.3064498235</v>
          </cell>
          <cell r="H47">
            <v>6256.88</v>
          </cell>
          <cell r="I47">
            <v>102955.587876954</v>
          </cell>
          <cell r="J47">
            <v>27277.3724962179</v>
          </cell>
          <cell r="K47">
            <v>130232.960373172</v>
          </cell>
          <cell r="L47">
            <v>26198.2843721634</v>
          </cell>
          <cell r="M47">
            <v>16802.98</v>
          </cell>
          <cell r="N47">
            <v>2161.91346444781</v>
          </cell>
          <cell r="O47">
            <v>14641.0665355522</v>
          </cell>
          <cell r="P47">
            <v>8595.37</v>
          </cell>
          <cell r="Q47">
            <v>4618.61212304589</v>
          </cell>
          <cell r="R47">
            <v>27855.0486585981</v>
          </cell>
        </row>
        <row r="47">
          <cell r="T47">
            <v>6903.71961674231</v>
          </cell>
          <cell r="U47">
            <v>60883.99</v>
          </cell>
          <cell r="V47">
            <v>7527</v>
          </cell>
          <cell r="W47">
            <v>97804.6717397882</v>
          </cell>
          <cell r="X47">
            <v>1101.21937468482</v>
          </cell>
          <cell r="Y47">
            <v>98905.891114473</v>
          </cell>
          <cell r="Z47">
            <v>9.28</v>
          </cell>
        </row>
        <row r="48">
          <cell r="D48">
            <v>62180</v>
          </cell>
          <cell r="E48">
            <v>220867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RIVER054"/>
    </sheetNames>
    <sheetDataSet>
      <sheetData sheetId="0">
        <row r="40">
          <cell r="B40">
            <v>6912.21</v>
          </cell>
          <cell r="C40">
            <v>330900</v>
          </cell>
        </row>
        <row r="45">
          <cell r="F45">
            <v>2206.75743822492</v>
          </cell>
          <cell r="G45">
            <v>88638.52</v>
          </cell>
          <cell r="H45">
            <v>6256.88</v>
          </cell>
          <cell r="I45">
            <v>94841.21</v>
          </cell>
          <cell r="J45">
            <v>25662.9512355018</v>
          </cell>
          <cell r="K45">
            <v>120504.161235502</v>
          </cell>
          <cell r="L45">
            <v>23537.8523247605</v>
          </cell>
          <cell r="M45">
            <v>24669.93</v>
          </cell>
          <cell r="N45">
            <v>2815.66686838124</v>
          </cell>
          <cell r="O45">
            <v>21854.2631316188</v>
          </cell>
          <cell r="P45">
            <v>12898</v>
          </cell>
          <cell r="Q45">
            <v>7420.42755421079</v>
          </cell>
          <cell r="R45">
            <v>42172.6906858295</v>
          </cell>
          <cell r="S45">
            <v>-6993.83994452849</v>
          </cell>
          <cell r="T45">
            <v>13304.6273323248</v>
          </cell>
          <cell r="U45">
            <v>57879.32</v>
          </cell>
          <cell r="V45">
            <v>5268.26</v>
          </cell>
          <cell r="W45">
            <v>116172.304886536</v>
          </cell>
          <cell r="X45">
            <v>2125.1189107413</v>
          </cell>
          <cell r="Y45">
            <v>118297.423797277</v>
          </cell>
        </row>
        <row r="48">
          <cell r="F48">
            <v>10193.1417044882</v>
          </cell>
          <cell r="G48">
            <v>101287.996449824</v>
          </cell>
          <cell r="H48">
            <v>6256.88</v>
          </cell>
          <cell r="I48">
            <v>107489.877876954</v>
          </cell>
          <cell r="J48">
            <v>27636.6641351488</v>
          </cell>
          <cell r="K48">
            <v>135126.542012103</v>
          </cell>
          <cell r="L48">
            <v>25043.8887140696</v>
          </cell>
          <cell r="M48">
            <v>25582.17</v>
          </cell>
          <cell r="N48">
            <v>2815.66686838124</v>
          </cell>
          <cell r="O48">
            <v>22766.5031316188</v>
          </cell>
          <cell r="P48">
            <v>12898</v>
          </cell>
          <cell r="Q48">
            <v>7420.42755421079</v>
          </cell>
          <cell r="R48">
            <v>43084.9306858296</v>
          </cell>
        </row>
        <row r="48">
          <cell r="T48">
            <v>13304.6273323248</v>
          </cell>
          <cell r="U48">
            <v>63142.73</v>
          </cell>
          <cell r="V48">
            <v>5268.26</v>
          </cell>
          <cell r="W48">
            <v>122347.954886536</v>
          </cell>
          <cell r="X48">
            <v>2614.90667170953</v>
          </cell>
          <cell r="Y48">
            <v>124962.861558245</v>
          </cell>
          <cell r="Z48">
            <v>9.58</v>
          </cell>
        </row>
        <row r="49">
          <cell r="D49">
            <v>20213</v>
          </cell>
          <cell r="E49">
            <v>178900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RIVER054"/>
    </sheetNames>
    <sheetDataSet>
      <sheetData sheetId="0">
        <row r="40">
          <cell r="B40">
            <v>6901.9</v>
          </cell>
          <cell r="C40">
            <v>290641</v>
          </cell>
        </row>
        <row r="45">
          <cell r="F45">
            <v>-18095.3101361573</v>
          </cell>
          <cell r="G45">
            <v>91717.2</v>
          </cell>
          <cell r="H45">
            <v>6256.88</v>
          </cell>
          <cell r="I45">
            <v>97885.28</v>
          </cell>
          <cell r="J45">
            <v>26345.90096823</v>
          </cell>
          <cell r="K45">
            <v>124231.18096823</v>
          </cell>
          <cell r="L45">
            <v>23677.6462481089</v>
          </cell>
          <cell r="M45">
            <v>32910.5</v>
          </cell>
          <cell r="N45">
            <v>3578.41270801815</v>
          </cell>
          <cell r="O45">
            <v>29332.0872919818</v>
          </cell>
          <cell r="P45">
            <v>17739.23</v>
          </cell>
          <cell r="Q45">
            <v>10018.0069793243</v>
          </cell>
          <cell r="R45">
            <v>57089.3242713061</v>
          </cell>
          <cell r="S45">
            <v>-18866.403530005</v>
          </cell>
          <cell r="T45">
            <v>18755.459404942</v>
          </cell>
          <cell r="U45">
            <v>60235.04</v>
          </cell>
        </row>
        <row r="45">
          <cell r="W45">
            <v>139658.236384266</v>
          </cell>
          <cell r="X45">
            <v>2668.27472012103</v>
          </cell>
          <cell r="Y45">
            <v>142326.511104387</v>
          </cell>
        </row>
        <row r="48">
          <cell r="F48">
            <v>-10108.9258698941</v>
          </cell>
          <cell r="G48">
            <v>104366.676449824</v>
          </cell>
          <cell r="H48">
            <v>6256.88</v>
          </cell>
          <cell r="I48">
            <v>110533.947876954</v>
          </cell>
          <cell r="J48">
            <v>28319.613867877</v>
          </cell>
          <cell r="K48">
            <v>138853.561744831</v>
          </cell>
          <cell r="L48">
            <v>25183.6826374181</v>
          </cell>
          <cell r="M48">
            <v>33822.74</v>
          </cell>
          <cell r="N48">
            <v>3578.41270801815</v>
          </cell>
          <cell r="O48">
            <v>30244.3272919818</v>
          </cell>
          <cell r="P48">
            <v>17739.23</v>
          </cell>
          <cell r="Q48">
            <v>10018.0069793243</v>
          </cell>
          <cell r="R48">
            <v>58001.5642713061</v>
          </cell>
        </row>
        <row r="48">
          <cell r="T48">
            <v>18755.459404942</v>
          </cell>
          <cell r="U48">
            <v>65498.45</v>
          </cell>
          <cell r="V48">
            <v>3086.54</v>
          </cell>
          <cell r="W48">
            <v>145833.886384266</v>
          </cell>
          <cell r="X48">
            <v>3158.06248108926</v>
          </cell>
          <cell r="Y48">
            <v>148991.948865356</v>
          </cell>
          <cell r="Z48">
            <v>10.17</v>
          </cell>
        </row>
        <row r="49">
          <cell r="D49">
            <v>-20046</v>
          </cell>
          <cell r="E49">
            <v>138641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RIVER054"/>
    </sheetNames>
    <sheetDataSet>
      <sheetData sheetId="0">
        <row r="39">
          <cell r="B39">
            <v>6896.85</v>
          </cell>
          <cell r="C39">
            <v>272105</v>
          </cell>
        </row>
        <row r="44">
          <cell r="F44">
            <v>-27442.7634896621</v>
          </cell>
          <cell r="G44">
            <v>95185.22</v>
          </cell>
          <cell r="H44">
            <v>6256.88</v>
          </cell>
          <cell r="I44">
            <v>101257.4</v>
          </cell>
          <cell r="J44">
            <v>27557.6423550177</v>
          </cell>
          <cell r="K44">
            <v>128815.042355018</v>
          </cell>
          <cell r="L44">
            <v>24423.9811548159</v>
          </cell>
          <cell r="M44">
            <v>37477.33</v>
          </cell>
          <cell r="N44">
            <v>4146.34462934947</v>
          </cell>
          <cell r="O44">
            <v>33406.8653706505</v>
          </cell>
          <cell r="P44">
            <v>21032.37</v>
          </cell>
          <cell r="Q44">
            <v>11958.5011800303</v>
          </cell>
          <cell r="R44">
            <v>66397.7365506808</v>
          </cell>
          <cell r="S44">
            <v>-24802.6958093797</v>
          </cell>
          <cell r="T44">
            <v>20597.1134644478</v>
          </cell>
          <cell r="U44">
            <v>61982.95</v>
          </cell>
        </row>
        <row r="44">
          <cell r="W44">
            <v>153124.144644478</v>
          </cell>
          <cell r="X44">
            <v>3133.68120020171</v>
          </cell>
          <cell r="Y44">
            <v>156257.82584468</v>
          </cell>
        </row>
        <row r="47">
          <cell r="F47">
            <v>-19456.3792233989</v>
          </cell>
          <cell r="G47">
            <v>107834.696449824</v>
          </cell>
          <cell r="H47">
            <v>6256.88</v>
          </cell>
          <cell r="I47">
            <v>113906.067876954</v>
          </cell>
          <cell r="J47">
            <v>29531.3552546647</v>
          </cell>
          <cell r="K47">
            <v>143437.423131619</v>
          </cell>
          <cell r="L47">
            <v>25930.0175441251</v>
          </cell>
          <cell r="M47">
            <v>38389.57</v>
          </cell>
          <cell r="N47">
            <v>4146.34462934947</v>
          </cell>
          <cell r="O47">
            <v>34319.1053706505</v>
          </cell>
          <cell r="P47">
            <v>21032.37</v>
          </cell>
          <cell r="Q47">
            <v>11958.5011800303</v>
          </cell>
          <cell r="R47">
            <v>67309.9765506808</v>
          </cell>
        </row>
        <row r="47">
          <cell r="T47">
            <v>20597.1134644478</v>
          </cell>
          <cell r="U47">
            <v>67246.36</v>
          </cell>
          <cell r="V47">
            <v>1399.59</v>
          </cell>
          <cell r="W47">
            <v>159299.794644478</v>
          </cell>
          <cell r="X47">
            <v>3623.46896116994</v>
          </cell>
          <cell r="Y47">
            <v>162923.263605648</v>
          </cell>
          <cell r="Z47">
            <v>13.08</v>
          </cell>
        </row>
        <row r="48">
          <cell r="D48">
            <v>-38582</v>
          </cell>
          <cell r="E48">
            <v>124552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54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pane xSplit="0" ySplit="9" topLeftCell="A10" activePane="bottomLeft" state="frozen"/>
      <selection pane="topLeft" activeCell="H1" activeCellId="0" sqref="H1"/>
      <selection pane="bottomLeft" activeCell="X7" activeCellId="0" sqref="X7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32"/>
    <col collapsed="false" customWidth="true" hidden="false" outlineLevel="0" max="4" min="4" style="0" width="6.82"/>
    <col collapsed="false" customWidth="true" hidden="false" outlineLevel="0" max="5" min="5" style="1" width="7.32"/>
    <col collapsed="false" customWidth="true" hidden="false" outlineLevel="0" max="6" min="6" style="0" width="7.66"/>
    <col collapsed="false" customWidth="true" hidden="false" outlineLevel="0" max="7" min="7" style="0" width="6.66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1" min="10" style="0" width="6.32"/>
    <col collapsed="false" customWidth="true" hidden="false" outlineLevel="0" max="12" min="12" style="0" width="6.49"/>
    <col collapsed="false" customWidth="true" hidden="false" outlineLevel="0" max="13" min="13" style="3" width="7.49"/>
    <col collapsed="false" customWidth="true" hidden="false" outlineLevel="0" max="14" min="14" style="0" width="5.82"/>
    <col collapsed="false" customWidth="true" hidden="false" outlineLevel="0" max="15" min="15" style="0" width="7.16"/>
    <col collapsed="false" customWidth="true" hidden="false" outlineLevel="0" max="16" min="16" style="0" width="6.66"/>
    <col collapsed="false" customWidth="true" hidden="false" outlineLevel="0" max="17" min="17" style="1" width="6.66"/>
    <col collapsed="false" customWidth="true" hidden="false" outlineLevel="0" max="18" min="18" style="0" width="5.82"/>
    <col collapsed="false" customWidth="true" hidden="false" outlineLevel="0" max="20" min="19" style="0" width="7.49"/>
    <col collapsed="false" customWidth="true" hidden="false" outlineLevel="0" max="21" min="21" style="1" width="6.32"/>
    <col collapsed="false" customWidth="true" hidden="false" outlineLevel="0" max="24" min="22" style="0" width="7.82"/>
    <col collapsed="false" customWidth="true" hidden="false" outlineLevel="0" max="25" min="25" style="4" width="5.66"/>
    <col collapsed="false" customWidth="true" hidden="false" outlineLevel="0" max="27" min="26" style="5" width="5.66"/>
    <col collapsed="false" customWidth="true" hidden="false" outlineLevel="0" max="28" min="28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8"/>
      <c r="R1" s="7"/>
      <c r="S1" s="7"/>
      <c r="T1" s="7"/>
      <c r="U1" s="8"/>
      <c r="V1" s="7"/>
      <c r="W1" s="7"/>
      <c r="X1" s="7"/>
      <c r="Y1" s="11"/>
      <c r="Z1" s="12"/>
      <c r="AA1" s="12"/>
      <c r="AB1" s="13"/>
      <c r="AC1" s="14"/>
      <c r="AD1" s="14"/>
    </row>
    <row r="2" customFormat="false" ht="14.1" hidden="false" customHeight="true" outlineLevel="0" collapsed="false">
      <c r="A2" s="7" t="s">
        <v>1</v>
      </c>
      <c r="B2" s="7"/>
      <c r="C2" s="8"/>
      <c r="D2" s="15" t="n">
        <v>1.983</v>
      </c>
      <c r="E2" s="8"/>
      <c r="F2" s="7"/>
      <c r="G2" s="7"/>
      <c r="H2" s="9"/>
      <c r="I2" s="7"/>
      <c r="J2" s="7"/>
      <c r="K2" s="7"/>
      <c r="L2" s="10" t="s">
        <v>2</v>
      </c>
      <c r="M2" s="7"/>
      <c r="N2" s="7"/>
      <c r="O2" s="7"/>
      <c r="P2" s="7"/>
      <c r="Q2" s="8"/>
      <c r="R2" s="7"/>
      <c r="S2" s="7"/>
      <c r="T2" s="7"/>
      <c r="U2" s="8"/>
      <c r="V2" s="7"/>
      <c r="W2" s="7"/>
      <c r="X2" s="7"/>
      <c r="Y2" s="11"/>
      <c r="Z2" s="12"/>
      <c r="AA2" s="12"/>
      <c r="AB2" s="13"/>
      <c r="AC2" s="14"/>
      <c r="AD2" s="14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8"/>
      <c r="R3" s="7"/>
      <c r="S3" s="7"/>
      <c r="T3" s="7"/>
      <c r="U3" s="8"/>
      <c r="V3" s="7"/>
      <c r="W3" s="7"/>
      <c r="X3" s="7"/>
      <c r="Y3" s="11"/>
      <c r="Z3" s="12"/>
      <c r="AA3" s="12"/>
      <c r="AB3" s="13"/>
      <c r="AC3" s="14"/>
      <c r="AD3" s="14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6" t="s">
        <v>8</v>
      </c>
      <c r="N4" s="16" t="s">
        <v>13</v>
      </c>
      <c r="O4" s="16" t="s">
        <v>14</v>
      </c>
      <c r="P4" s="16" t="s">
        <v>12</v>
      </c>
      <c r="Q4" s="17" t="s">
        <v>13</v>
      </c>
      <c r="R4" s="16" t="s">
        <v>15</v>
      </c>
      <c r="S4" s="16" t="s">
        <v>16</v>
      </c>
      <c r="T4" s="16" t="s">
        <v>17</v>
      </c>
      <c r="U4" s="17" t="s">
        <v>18</v>
      </c>
      <c r="V4" s="16" t="s">
        <v>10</v>
      </c>
      <c r="W4" s="16" t="s">
        <v>11</v>
      </c>
      <c r="X4" s="16" t="s">
        <v>12</v>
      </c>
      <c r="Y4" s="19" t="s">
        <v>19</v>
      </c>
      <c r="Z4" s="20" t="s">
        <v>20</v>
      </c>
      <c r="AA4" s="20" t="s">
        <v>21</v>
      </c>
      <c r="AB4" s="20" t="s">
        <v>3</v>
      </c>
      <c r="AC4" s="14"/>
      <c r="AD4" s="14"/>
    </row>
    <row r="5" customFormat="false" ht="11.1" hidden="false" customHeight="true" outlineLevel="0" collapsed="false">
      <c r="A5" s="21" t="s">
        <v>22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16" t="s">
        <v>13</v>
      </c>
      <c r="Q5" s="17" t="s">
        <v>34</v>
      </c>
      <c r="R5" s="16" t="s">
        <v>35</v>
      </c>
      <c r="S5" s="16" t="s">
        <v>36</v>
      </c>
      <c r="T5" s="16" t="s">
        <v>37</v>
      </c>
      <c r="U5" s="17" t="s">
        <v>38</v>
      </c>
      <c r="V5" s="16" t="s">
        <v>39</v>
      </c>
      <c r="W5" s="16" t="s">
        <v>39</v>
      </c>
      <c r="X5" s="16" t="s">
        <v>39</v>
      </c>
      <c r="Y5" s="22"/>
      <c r="Z5" s="20" t="s">
        <v>40</v>
      </c>
      <c r="AA5" s="20" t="s">
        <v>40</v>
      </c>
      <c r="AB5" s="23" t="s">
        <v>22</v>
      </c>
      <c r="AC5" s="14"/>
      <c r="AD5" s="14"/>
    </row>
    <row r="6" customFormat="false" ht="11.1" hidden="false" customHeight="true" outlineLevel="0" collapsed="false">
      <c r="A6" s="24"/>
      <c r="B6" s="24"/>
      <c r="C6" s="25"/>
      <c r="D6" s="24"/>
      <c r="E6" s="25"/>
      <c r="F6" s="24"/>
      <c r="G6" s="24"/>
      <c r="H6" s="26"/>
      <c r="I6" s="24"/>
      <c r="J6" s="24"/>
      <c r="K6" s="24"/>
      <c r="L6" s="24"/>
      <c r="M6" s="24"/>
      <c r="N6" s="24"/>
      <c r="O6" s="24"/>
      <c r="P6" s="24"/>
      <c r="Q6" s="25"/>
      <c r="R6" s="24"/>
      <c r="S6" s="24"/>
      <c r="T6" s="24"/>
      <c r="U6" s="25"/>
      <c r="V6" s="24"/>
      <c r="W6" s="24"/>
      <c r="X6" s="24"/>
      <c r="Y6" s="11"/>
      <c r="Z6" s="13"/>
      <c r="AA6" s="13"/>
      <c r="AB6" s="13"/>
      <c r="AC6" s="14"/>
      <c r="AD6" s="14"/>
    </row>
    <row r="7" customFormat="false" ht="11.1" hidden="false" customHeight="true" outlineLevel="0" collapsed="false">
      <c r="A7" s="7" t="s">
        <v>41</v>
      </c>
      <c r="B7" s="7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1"/>
      <c r="Z7" s="12"/>
      <c r="AA7" s="12"/>
      <c r="AB7" s="13"/>
      <c r="AC7" s="14"/>
    </row>
    <row r="8" s="1" customFormat="true" ht="11.1" hidden="false" customHeight="true" outlineLevel="0" collapsed="false">
      <c r="A8" s="8" t="s">
        <v>42</v>
      </c>
      <c r="B8" s="27" t="n">
        <v>6907.14</v>
      </c>
      <c r="C8" s="8" t="n">
        <v>310687</v>
      </c>
      <c r="D8" s="8"/>
      <c r="E8" s="8"/>
      <c r="F8" s="8"/>
      <c r="G8" s="8"/>
      <c r="H8" s="1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 t="n">
        <f aca="false">(25400+3900+285)/1.9835</f>
        <v>14915.5533148475</v>
      </c>
      <c r="V8" s="8"/>
      <c r="W8" s="8"/>
      <c r="X8" s="8"/>
      <c r="Y8" s="28"/>
      <c r="Z8" s="12"/>
      <c r="AA8" s="12"/>
      <c r="AB8" s="13"/>
      <c r="AC8" s="29" t="n">
        <v>13149</v>
      </c>
      <c r="AD8" s="14" t="n">
        <v>17902</v>
      </c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33"/>
      <c r="I9" s="30"/>
      <c r="J9" s="30"/>
      <c r="K9" s="30"/>
      <c r="L9" s="30"/>
      <c r="M9" s="30"/>
      <c r="N9" s="30"/>
      <c r="O9" s="30"/>
      <c r="P9" s="30"/>
      <c r="Q9" s="32"/>
      <c r="R9" s="30"/>
      <c r="S9" s="30"/>
      <c r="T9" s="30"/>
      <c r="U9" s="32"/>
      <c r="V9" s="30"/>
      <c r="W9" s="30"/>
      <c r="X9" s="30"/>
      <c r="Y9" s="34"/>
      <c r="Z9" s="35"/>
      <c r="AA9" s="35"/>
      <c r="AB9" s="36"/>
      <c r="AC9" s="14"/>
      <c r="AD9" s="14"/>
    </row>
    <row r="10" customFormat="false" ht="11.1" hidden="false" customHeight="true" outlineLevel="0" collapsed="false">
      <c r="A10" s="13" t="n">
        <v>1</v>
      </c>
      <c r="B10" s="27" t="n">
        <v>6907.15</v>
      </c>
      <c r="C10" s="8" t="n">
        <v>310725</v>
      </c>
      <c r="D10" s="12" t="n">
        <f aca="false">C10-C8</f>
        <v>38</v>
      </c>
      <c r="E10" s="8" t="n">
        <f aca="false">C10-152000</f>
        <v>158725</v>
      </c>
      <c r="F10" s="7" t="n">
        <f aca="false">D10/$D$2</f>
        <v>19.1628845184065</v>
      </c>
      <c r="G10" s="7" t="n">
        <v>68.79</v>
      </c>
      <c r="H10" s="9" t="n">
        <v>0</v>
      </c>
      <c r="I10" s="7" t="n">
        <f aca="false">G10+H10</f>
        <v>68.79</v>
      </c>
      <c r="J10" s="28" t="n">
        <f aca="false">IF(L10&gt;0,L10)</f>
        <v>27.9028845184064</v>
      </c>
      <c r="K10" s="7" t="n">
        <f aca="false">I10+J10</f>
        <v>96.6928845184065</v>
      </c>
      <c r="L10" s="7" t="n">
        <f aca="false">F10-(I10-V10)</f>
        <v>27.9028845184064</v>
      </c>
      <c r="M10" s="7" t="n">
        <v>29.99</v>
      </c>
      <c r="N10" s="7"/>
      <c r="O10" s="7"/>
      <c r="P10" s="7" t="n">
        <f aca="false">SUM(M10:O10)</f>
        <v>29.99</v>
      </c>
      <c r="Q10" s="8"/>
      <c r="R10" s="7"/>
      <c r="S10" s="7"/>
      <c r="T10" s="7" t="n">
        <v>47.54</v>
      </c>
      <c r="U10" s="8" t="n">
        <f aca="false">U8-T10</f>
        <v>14868.0133148475</v>
      </c>
      <c r="V10" s="7" t="n">
        <f aca="false">P10+R10+S10+T10</f>
        <v>77.53</v>
      </c>
      <c r="W10" s="7"/>
      <c r="X10" s="7" t="n">
        <f aca="false">V10+W10</f>
        <v>77.53</v>
      </c>
      <c r="Y10" s="11" t="n">
        <v>0</v>
      </c>
      <c r="Z10" s="12" t="n">
        <v>56</v>
      </c>
      <c r="AA10" s="12" t="n">
        <v>19</v>
      </c>
      <c r="AB10" s="13" t="n">
        <v>1</v>
      </c>
      <c r="AC10" s="12" t="n">
        <v>13243</v>
      </c>
      <c r="AD10" s="12"/>
      <c r="AE10" s="0" t="n">
        <v>7883</v>
      </c>
    </row>
    <row r="11" customFormat="false" ht="11.1" hidden="false" customHeight="true" outlineLevel="0" collapsed="false">
      <c r="A11" s="13" t="n">
        <f aca="false">A10+1</f>
        <v>2</v>
      </c>
      <c r="B11" s="37" t="n">
        <v>6907.12</v>
      </c>
      <c r="C11" s="8" t="n">
        <v>310609</v>
      </c>
      <c r="D11" s="12" t="n">
        <f aca="false">C11-C10</f>
        <v>-116</v>
      </c>
      <c r="E11" s="8" t="n">
        <f aca="false">C11-152000</f>
        <v>158609</v>
      </c>
      <c r="F11" s="7" t="n">
        <f aca="false">D11/$D$2</f>
        <v>-58.4972264246092</v>
      </c>
      <c r="G11" s="7" t="n">
        <v>63.61</v>
      </c>
      <c r="H11" s="9" t="n">
        <v>0</v>
      </c>
      <c r="I11" s="7" t="n">
        <f aca="false">G11+H11</f>
        <v>63.61</v>
      </c>
      <c r="J11" s="28"/>
      <c r="K11" s="7" t="n">
        <f aca="false">I11+J11</f>
        <v>63.61</v>
      </c>
      <c r="L11" s="7" t="n">
        <f aca="false">F11-(I11-V11)</f>
        <v>-61.5072264246092</v>
      </c>
      <c r="M11" s="7" t="n">
        <v>18.92</v>
      </c>
      <c r="N11" s="7"/>
      <c r="O11" s="7"/>
      <c r="P11" s="7" t="n">
        <f aca="false">SUM(M11:O11)</f>
        <v>18.92</v>
      </c>
      <c r="Q11" s="8"/>
      <c r="R11" s="7"/>
      <c r="S11" s="7"/>
      <c r="T11" s="7" t="n">
        <v>41.68</v>
      </c>
      <c r="U11" s="8" t="n">
        <f aca="false">U10-T11</f>
        <v>14826.3333148475</v>
      </c>
      <c r="V11" s="7" t="n">
        <f aca="false">P11+R11+S11+T11</f>
        <v>60.6</v>
      </c>
      <c r="W11" s="7" t="n">
        <f aca="false">IF(L11&lt;0,L11*-1)</f>
        <v>61.5072264246092</v>
      </c>
      <c r="X11" s="7" t="n">
        <f aca="false">V11+W11</f>
        <v>122.107226424609</v>
      </c>
      <c r="Y11" s="11" t="n">
        <v>0</v>
      </c>
      <c r="Z11" s="12" t="n">
        <v>50</v>
      </c>
      <c r="AA11" s="12" t="n">
        <v>24</v>
      </c>
      <c r="AB11" s="13" t="n">
        <f aca="false">AB10+1</f>
        <v>2</v>
      </c>
      <c r="AC11" s="12" t="n">
        <v>13333</v>
      </c>
      <c r="AD11" s="12" t="n">
        <v>62</v>
      </c>
    </row>
    <row r="12" customFormat="false" ht="11.1" hidden="false" customHeight="true" outlineLevel="0" collapsed="false">
      <c r="A12" s="13" t="n">
        <f aca="false">A11+1</f>
        <v>3</v>
      </c>
      <c r="B12" s="27" t="n">
        <v>6907.1</v>
      </c>
      <c r="C12" s="8" t="n">
        <v>310530</v>
      </c>
      <c r="D12" s="12" t="n">
        <f aca="false">C12-C11</f>
        <v>-79</v>
      </c>
      <c r="E12" s="8" t="n">
        <f aca="false">C12-152000</f>
        <v>158530</v>
      </c>
      <c r="F12" s="7" t="n">
        <f aca="false">D12/$D$2</f>
        <v>-39.8386283408976</v>
      </c>
      <c r="G12" s="7" t="n">
        <v>54.39</v>
      </c>
      <c r="H12" s="9" t="n">
        <v>0</v>
      </c>
      <c r="I12" s="7" t="n">
        <f aca="false">G12+H12</f>
        <v>54.39</v>
      </c>
      <c r="J12" s="28"/>
      <c r="K12" s="7" t="n">
        <f aca="false">I12+J12</f>
        <v>54.39</v>
      </c>
      <c r="L12" s="7" t="n">
        <f aca="false">F12-(I12-V12)</f>
        <v>-35.5186283408976</v>
      </c>
      <c r="M12" s="7" t="n">
        <v>18.11</v>
      </c>
      <c r="N12" s="7"/>
      <c r="O12" s="7"/>
      <c r="P12" s="7" t="n">
        <f aca="false">SUM(M12:O12)</f>
        <v>18.11</v>
      </c>
      <c r="Q12" s="8"/>
      <c r="R12" s="7"/>
      <c r="S12" s="7"/>
      <c r="T12" s="7" t="n">
        <v>40.6</v>
      </c>
      <c r="U12" s="8" t="n">
        <f aca="false">U11-T12</f>
        <v>14785.7333148475</v>
      </c>
      <c r="V12" s="7" t="n">
        <f aca="false">P12+R12+S12+T12</f>
        <v>58.71</v>
      </c>
      <c r="W12" s="7" t="n">
        <f aca="false">IF(L12&lt;0,L12*-1)</f>
        <v>35.5186283408976</v>
      </c>
      <c r="X12" s="7" t="n">
        <f aca="false">V12+W12</f>
        <v>94.2286283408976</v>
      </c>
      <c r="Y12" s="11" t="n">
        <v>0</v>
      </c>
      <c r="Z12" s="12" t="n">
        <v>48</v>
      </c>
      <c r="AA12" s="12" t="n">
        <v>22</v>
      </c>
      <c r="AB12" s="13" t="n">
        <f aca="false">AB11+1</f>
        <v>3</v>
      </c>
      <c r="AC12" s="12" t="n">
        <v>13456</v>
      </c>
      <c r="AD12" s="12" t="n">
        <v>159</v>
      </c>
    </row>
    <row r="13" customFormat="false" ht="11.1" hidden="false" customHeight="true" outlineLevel="0" collapsed="false">
      <c r="A13" s="13" t="n">
        <f aca="false">A12+1</f>
        <v>4</v>
      </c>
      <c r="B13" s="27" t="n">
        <v>6907.07</v>
      </c>
      <c r="C13" s="8" t="n">
        <v>310412</v>
      </c>
      <c r="D13" s="12" t="n">
        <f aca="false">C13-C12</f>
        <v>-118</v>
      </c>
      <c r="E13" s="8" t="n">
        <f aca="false">C13-152000</f>
        <v>158412</v>
      </c>
      <c r="F13" s="7" t="n">
        <f aca="false">D13/$D$2</f>
        <v>-59.505799293999</v>
      </c>
      <c r="G13" s="7" t="n">
        <v>56.2</v>
      </c>
      <c r="H13" s="9" t="n">
        <v>0</v>
      </c>
      <c r="I13" s="7" t="n">
        <f aca="false">G13+H13</f>
        <v>56.2</v>
      </c>
      <c r="J13" s="28"/>
      <c r="K13" s="7" t="n">
        <f aca="false">I13+J13</f>
        <v>56.2</v>
      </c>
      <c r="L13" s="7" t="n">
        <f aca="false">F13-(I13-V13)</f>
        <v>-57.405799293999</v>
      </c>
      <c r="M13" s="7" t="n">
        <v>17.25</v>
      </c>
      <c r="N13" s="7"/>
      <c r="O13" s="7"/>
      <c r="P13" s="7" t="n">
        <f aca="false">SUM(M13:O13)</f>
        <v>17.25</v>
      </c>
      <c r="Q13" s="8"/>
      <c r="R13" s="7"/>
      <c r="S13" s="7"/>
      <c r="T13" s="7" t="n">
        <v>41.05</v>
      </c>
      <c r="U13" s="8" t="n">
        <f aca="false">U12-T13</f>
        <v>14744.6833148475</v>
      </c>
      <c r="V13" s="7" t="n">
        <f aca="false">P13+R13+S13+T13</f>
        <v>58.3</v>
      </c>
      <c r="W13" s="7" t="n">
        <f aca="false">IF(L13&lt;0,L13*-1)</f>
        <v>57.405799293999</v>
      </c>
      <c r="X13" s="7" t="n">
        <f aca="false">V13+W13</f>
        <v>115.705799293999</v>
      </c>
      <c r="Y13" s="11" t="n">
        <v>0</v>
      </c>
      <c r="Z13" s="12" t="n">
        <v>50</v>
      </c>
      <c r="AA13" s="12" t="n">
        <v>20</v>
      </c>
      <c r="AB13" s="13" t="n">
        <f aca="false">AB12+1</f>
        <v>4</v>
      </c>
      <c r="AC13" s="12" t="n">
        <v>13563</v>
      </c>
      <c r="AD13" s="12" t="n">
        <v>263</v>
      </c>
    </row>
    <row r="14" customFormat="false" ht="11.1" hidden="false" customHeight="true" outlineLevel="0" collapsed="false">
      <c r="A14" s="13" t="n">
        <f aca="false">A13+1</f>
        <v>5</v>
      </c>
      <c r="B14" s="27" t="n">
        <v>6907.04</v>
      </c>
      <c r="C14" s="8" t="n">
        <v>310295</v>
      </c>
      <c r="D14" s="12" t="n">
        <f aca="false">C14-C13</f>
        <v>-117</v>
      </c>
      <c r="E14" s="8" t="n">
        <f aca="false">C14-152000</f>
        <v>158295</v>
      </c>
      <c r="F14" s="7" t="n">
        <f aca="false">D14/$D$2</f>
        <v>-59.0015128593041</v>
      </c>
      <c r="G14" s="7" t="n">
        <v>52.84</v>
      </c>
      <c r="H14" s="9" t="n">
        <v>0</v>
      </c>
      <c r="I14" s="7" t="n">
        <f aca="false">G14+H14</f>
        <v>52.84</v>
      </c>
      <c r="J14" s="28"/>
      <c r="K14" s="7" t="n">
        <f aca="false">I14+J14</f>
        <v>52.84</v>
      </c>
      <c r="L14" s="7" t="n">
        <f aca="false">F14-(I14-V14)</f>
        <v>-54.6415128593041</v>
      </c>
      <c r="M14" s="7" t="n">
        <v>16.7</v>
      </c>
      <c r="N14" s="7"/>
      <c r="O14" s="7"/>
      <c r="P14" s="7" t="n">
        <f aca="false">SUM(M14:O14)</f>
        <v>16.7</v>
      </c>
      <c r="Q14" s="8"/>
      <c r="R14" s="7"/>
      <c r="S14" s="7"/>
      <c r="T14" s="7" t="n">
        <v>40.5</v>
      </c>
      <c r="U14" s="8" t="n">
        <f aca="false">U13-T14</f>
        <v>14704.1833148475</v>
      </c>
      <c r="V14" s="7" t="n">
        <f aca="false">P14+R14+S14+T14</f>
        <v>57.2</v>
      </c>
      <c r="W14" s="7" t="n">
        <f aca="false">IF(L14&lt;0,L14*-1)</f>
        <v>54.6415128593041</v>
      </c>
      <c r="X14" s="7" t="n">
        <f aca="false">V14+W14</f>
        <v>111.841512859304</v>
      </c>
      <c r="Y14" s="11" t="n">
        <v>0</v>
      </c>
      <c r="Z14" s="12" t="n">
        <v>40</v>
      </c>
      <c r="AA14" s="12" t="n">
        <v>10</v>
      </c>
      <c r="AB14" s="13" t="n">
        <f aca="false">AB13+1</f>
        <v>5</v>
      </c>
      <c r="AC14" s="12" t="n">
        <v>13678</v>
      </c>
      <c r="AD14" s="12" t="n">
        <v>367</v>
      </c>
    </row>
    <row r="15" customFormat="false" ht="11.1" hidden="false" customHeight="true" outlineLevel="0" collapsed="false">
      <c r="A15" s="13" t="n">
        <f aca="false">A14+1</f>
        <v>6</v>
      </c>
      <c r="B15" s="27" t="n">
        <v>6907.02</v>
      </c>
      <c r="C15" s="8" t="n">
        <v>310216</v>
      </c>
      <c r="D15" s="12" t="n">
        <f aca="false">C15-C14</f>
        <v>-79</v>
      </c>
      <c r="E15" s="8" t="n">
        <f aca="false">C15-152000</f>
        <v>158216</v>
      </c>
      <c r="F15" s="7" t="n">
        <f aca="false">D15/$D$2</f>
        <v>-39.8386283408976</v>
      </c>
      <c r="G15" s="7" t="n">
        <v>43.79</v>
      </c>
      <c r="H15" s="9" t="n">
        <v>0</v>
      </c>
      <c r="I15" s="7" t="n">
        <f aca="false">G15+H15</f>
        <v>43.79</v>
      </c>
      <c r="J15" s="28"/>
      <c r="K15" s="7" t="n">
        <f aca="false">I15+J15</f>
        <v>43.79</v>
      </c>
      <c r="L15" s="7" t="n">
        <f aca="false">F15-(I15-V15)</f>
        <v>-26.4286283408976</v>
      </c>
      <c r="M15" s="7" t="n">
        <v>16.7</v>
      </c>
      <c r="N15" s="7"/>
      <c r="O15" s="7"/>
      <c r="P15" s="7" t="n">
        <f aca="false">SUM(M15:O15)</f>
        <v>16.7</v>
      </c>
      <c r="Q15" s="8"/>
      <c r="R15" s="7"/>
      <c r="S15" s="7"/>
      <c r="T15" s="7" t="n">
        <v>40.5</v>
      </c>
      <c r="U15" s="8" t="n">
        <f aca="false">U14-T15</f>
        <v>14663.6833148475</v>
      </c>
      <c r="V15" s="7" t="n">
        <f aca="false">P15+R15+S15+T15</f>
        <v>57.2</v>
      </c>
      <c r="W15" s="7" t="n">
        <f aca="false">IF(L15&lt;0,L15*-1)</f>
        <v>26.4286283408976</v>
      </c>
      <c r="X15" s="7" t="n">
        <f aca="false">V15+W15</f>
        <v>83.6286283408976</v>
      </c>
      <c r="Y15" s="11" t="n">
        <v>0</v>
      </c>
      <c r="Z15" s="12" t="n">
        <v>46</v>
      </c>
      <c r="AA15" s="12" t="n">
        <v>9</v>
      </c>
      <c r="AB15" s="13" t="n">
        <f aca="false">AB14+1</f>
        <v>6</v>
      </c>
      <c r="AC15" s="12" t="n">
        <v>13812</v>
      </c>
      <c r="AD15" s="12" t="n">
        <v>469</v>
      </c>
    </row>
    <row r="16" customFormat="false" ht="11.1" hidden="false" customHeight="true" outlineLevel="0" collapsed="false">
      <c r="A16" s="13" t="n">
        <f aca="false">A15+1</f>
        <v>7</v>
      </c>
      <c r="B16" s="27" t="n">
        <v>6906.99</v>
      </c>
      <c r="C16" s="8" t="n">
        <v>310100</v>
      </c>
      <c r="D16" s="12" t="n">
        <f aca="false">C16-C15</f>
        <v>-116</v>
      </c>
      <c r="E16" s="8" t="n">
        <f aca="false">C16-152000</f>
        <v>158100</v>
      </c>
      <c r="F16" s="7" t="n">
        <f aca="false">D16/$D$2</f>
        <v>-58.4972264246092</v>
      </c>
      <c r="G16" s="7" t="n">
        <v>47.97</v>
      </c>
      <c r="H16" s="9" t="n">
        <v>0</v>
      </c>
      <c r="I16" s="7" t="n">
        <f aca="false">G16+H16</f>
        <v>47.97</v>
      </c>
      <c r="J16" s="28"/>
      <c r="K16" s="7" t="n">
        <f aca="false">I16+J16</f>
        <v>47.97</v>
      </c>
      <c r="L16" s="7" t="n">
        <f aca="false">F16-(I16-V16)</f>
        <v>-49.2672264246092</v>
      </c>
      <c r="M16" s="7" t="n">
        <v>16.7</v>
      </c>
      <c r="N16" s="7"/>
      <c r="O16" s="7"/>
      <c r="P16" s="7" t="n">
        <f aca="false">SUM(M16:O16)</f>
        <v>16.7</v>
      </c>
      <c r="Q16" s="8"/>
      <c r="R16" s="7"/>
      <c r="S16" s="7"/>
      <c r="T16" s="7" t="n">
        <v>40.5</v>
      </c>
      <c r="U16" s="8" t="n">
        <f aca="false">U15-T16</f>
        <v>14623.1833148475</v>
      </c>
      <c r="V16" s="7" t="n">
        <f aca="false">P16+R16+S16+T16</f>
        <v>57.2</v>
      </c>
      <c r="W16" s="7" t="n">
        <f aca="false">IF(L16&lt;0,L16*-1)</f>
        <v>49.2672264246092</v>
      </c>
      <c r="X16" s="7" t="n">
        <f aca="false">V16+W16</f>
        <v>106.467226424609</v>
      </c>
      <c r="Y16" s="11" t="n">
        <v>0</v>
      </c>
      <c r="Z16" s="12" t="n">
        <v>47</v>
      </c>
      <c r="AA16" s="12" t="n">
        <v>15</v>
      </c>
      <c r="AB16" s="13" t="n">
        <f aca="false">AB15+1</f>
        <v>7</v>
      </c>
      <c r="AC16" s="12" t="n">
        <v>13968</v>
      </c>
      <c r="AD16" s="12" t="n">
        <v>587</v>
      </c>
    </row>
    <row r="17" customFormat="false" ht="11.1" hidden="false" customHeight="true" outlineLevel="0" collapsed="false">
      <c r="A17" s="13" t="n">
        <f aca="false">A16+1</f>
        <v>8</v>
      </c>
      <c r="B17" s="27" t="n">
        <v>6906.96</v>
      </c>
      <c r="C17" s="8" t="n">
        <v>309982</v>
      </c>
      <c r="D17" s="12" t="n">
        <f aca="false">C17-C16</f>
        <v>-118</v>
      </c>
      <c r="E17" s="8" t="n">
        <f aca="false">C17-152000</f>
        <v>157982</v>
      </c>
      <c r="F17" s="7" t="n">
        <f aca="false">D17/$D$2</f>
        <v>-59.505799293999</v>
      </c>
      <c r="G17" s="7" t="n">
        <v>48.37</v>
      </c>
      <c r="H17" s="9" t="n">
        <v>0</v>
      </c>
      <c r="I17" s="7" t="n">
        <f aca="false">G17+H17</f>
        <v>48.37</v>
      </c>
      <c r="J17" s="28"/>
      <c r="K17" s="7" t="n">
        <f aca="false">I17+J17</f>
        <v>48.37</v>
      </c>
      <c r="L17" s="7" t="n">
        <f aca="false">F17-(I17-V17)</f>
        <v>-50.675799293999</v>
      </c>
      <c r="M17" s="7" t="n">
        <v>16.7</v>
      </c>
      <c r="N17" s="7"/>
      <c r="O17" s="7"/>
      <c r="P17" s="7" t="n">
        <f aca="false">SUM(M17:O17)</f>
        <v>16.7</v>
      </c>
      <c r="Q17" s="8"/>
      <c r="R17" s="7"/>
      <c r="S17" s="7"/>
      <c r="T17" s="7" t="n">
        <v>40.5</v>
      </c>
      <c r="U17" s="8" t="n">
        <f aca="false">U16-T17</f>
        <v>14582.6833148475</v>
      </c>
      <c r="V17" s="7" t="n">
        <f aca="false">P17+R17+S17+T17</f>
        <v>57.2</v>
      </c>
      <c r="W17" s="7" t="n">
        <f aca="false">IF(L17&lt;0,L17*-1)</f>
        <v>50.675799293999</v>
      </c>
      <c r="X17" s="7" t="n">
        <f aca="false">V17+W17</f>
        <v>107.875799293999</v>
      </c>
      <c r="Y17" s="11" t="n">
        <v>0</v>
      </c>
      <c r="Z17" s="12" t="n">
        <v>50</v>
      </c>
      <c r="AA17" s="12" t="n">
        <v>16</v>
      </c>
      <c r="AB17" s="13" t="n">
        <f aca="false">AB16+1</f>
        <v>8</v>
      </c>
      <c r="AC17" s="12" t="n">
        <v>14117</v>
      </c>
      <c r="AD17" s="12" t="n">
        <v>707</v>
      </c>
    </row>
    <row r="18" customFormat="false" ht="11.1" hidden="false" customHeight="true" outlineLevel="0" collapsed="false">
      <c r="A18" s="13" t="n">
        <f aca="false">A17+1</f>
        <v>9</v>
      </c>
      <c r="B18" s="27" t="n">
        <v>6906.93</v>
      </c>
      <c r="C18" s="8" t="n">
        <v>309867</v>
      </c>
      <c r="D18" s="12" t="n">
        <f aca="false">C18-C17</f>
        <v>-115</v>
      </c>
      <c r="E18" s="8" t="n">
        <f aca="false">C18-152000</f>
        <v>157867</v>
      </c>
      <c r="F18" s="7" t="n">
        <f aca="false">D18/$D$2</f>
        <v>-57.9929399899143</v>
      </c>
      <c r="G18" s="7" t="n">
        <v>47.97</v>
      </c>
      <c r="H18" s="9" t="n">
        <v>0</v>
      </c>
      <c r="I18" s="7" t="n">
        <f aca="false">G18+H18</f>
        <v>47.97</v>
      </c>
      <c r="J18" s="28"/>
      <c r="K18" s="7" t="n">
        <f aca="false">I18+J18</f>
        <v>47.97</v>
      </c>
      <c r="L18" s="7" t="n">
        <f aca="false">F18-(I18-V18)</f>
        <v>-48.7629399899143</v>
      </c>
      <c r="M18" s="7" t="n">
        <v>16.7</v>
      </c>
      <c r="N18" s="7"/>
      <c r="O18" s="7"/>
      <c r="P18" s="7" t="n">
        <f aca="false">SUM(M18:O18)</f>
        <v>16.7</v>
      </c>
      <c r="Q18" s="8"/>
      <c r="R18" s="7"/>
      <c r="S18" s="7"/>
      <c r="T18" s="7" t="n">
        <v>40.5</v>
      </c>
      <c r="U18" s="8" t="n">
        <f aca="false">U17-T18</f>
        <v>14542.1833148475</v>
      </c>
      <c r="V18" s="7" t="n">
        <f aca="false">P18+R18+S18+T18</f>
        <v>57.2</v>
      </c>
      <c r="W18" s="7" t="n">
        <f aca="false">IF(L18&lt;0,L18*-1)</f>
        <v>48.7629399899143</v>
      </c>
      <c r="X18" s="7" t="n">
        <f aca="false">V18+W18</f>
        <v>105.962939989914</v>
      </c>
      <c r="Y18" s="11" t="n">
        <v>0</v>
      </c>
      <c r="Z18" s="38" t="n">
        <v>52</v>
      </c>
      <c r="AA18" s="12" t="n">
        <v>20</v>
      </c>
      <c r="AB18" s="13" t="n">
        <f aca="false">AB17+1</f>
        <v>9</v>
      </c>
      <c r="AC18" s="12" t="n">
        <v>14264</v>
      </c>
      <c r="AD18" s="12" t="n">
        <v>826</v>
      </c>
    </row>
    <row r="19" customFormat="false" ht="11.1" hidden="false" customHeight="true" outlineLevel="0" collapsed="false">
      <c r="A19" s="13" t="n">
        <f aca="false">A18+1</f>
        <v>10</v>
      </c>
      <c r="B19" s="27" t="n">
        <v>6906.93</v>
      </c>
      <c r="C19" s="8" t="n">
        <v>309867</v>
      </c>
      <c r="D19" s="12" t="n">
        <f aca="false">C19-C18</f>
        <v>0</v>
      </c>
      <c r="E19" s="8" t="n">
        <f aca="false">C19-152000</f>
        <v>157867</v>
      </c>
      <c r="F19" s="7" t="n">
        <f aca="false">D19/$D$2</f>
        <v>0</v>
      </c>
      <c r="G19" s="7" t="n">
        <v>46.92</v>
      </c>
      <c r="H19" s="9" t="n">
        <v>0</v>
      </c>
      <c r="I19" s="7" t="n">
        <f aca="false">G19+H19</f>
        <v>46.92</v>
      </c>
      <c r="J19" s="28" t="n">
        <f aca="false">IF(L19&gt;0,L19)</f>
        <v>11.56</v>
      </c>
      <c r="K19" s="7" t="n">
        <f aca="false">I19+J19</f>
        <v>58.48</v>
      </c>
      <c r="L19" s="7" t="n">
        <f aca="false">F19-(I19-V19)</f>
        <v>11.56</v>
      </c>
      <c r="M19" s="7" t="n">
        <v>17.98</v>
      </c>
      <c r="N19" s="7"/>
      <c r="O19" s="7"/>
      <c r="P19" s="7" t="n">
        <f aca="false">SUM(M19:O19)</f>
        <v>17.98</v>
      </c>
      <c r="Q19" s="8"/>
      <c r="R19" s="7"/>
      <c r="S19" s="7"/>
      <c r="T19" s="7" t="n">
        <v>40.5</v>
      </c>
      <c r="U19" s="8" t="n">
        <f aca="false">U18-T19</f>
        <v>14501.6833148475</v>
      </c>
      <c r="V19" s="7" t="n">
        <f aca="false">P19+R19+S19+T19</f>
        <v>58.48</v>
      </c>
      <c r="W19" s="7"/>
      <c r="X19" s="7" t="n">
        <f aca="false">V19+W19</f>
        <v>58.48</v>
      </c>
      <c r="Y19" s="11" t="n">
        <v>1.44</v>
      </c>
      <c r="Z19" s="12" t="n">
        <v>54</v>
      </c>
      <c r="AA19" s="12" t="n">
        <v>21</v>
      </c>
      <c r="AB19" s="13" t="n">
        <f aca="false">AB18+1</f>
        <v>10</v>
      </c>
      <c r="AC19" s="12" t="n">
        <v>14413</v>
      </c>
      <c r="AD19" s="12" t="n">
        <v>964</v>
      </c>
    </row>
    <row r="20" customFormat="false" ht="11.1" hidden="false" customHeight="true" outlineLevel="0" collapsed="false">
      <c r="A20" s="13" t="n">
        <f aca="false">A19+1</f>
        <v>11</v>
      </c>
      <c r="B20" s="27" t="n">
        <v>6906.93</v>
      </c>
      <c r="C20" s="8" t="n">
        <v>309867</v>
      </c>
      <c r="D20" s="12" t="n">
        <f aca="false">C20-C19</f>
        <v>0</v>
      </c>
      <c r="E20" s="8" t="n">
        <f aca="false">C20-152000</f>
        <v>157867</v>
      </c>
      <c r="F20" s="7" t="n">
        <f aca="false">D20/$D$2</f>
        <v>0</v>
      </c>
      <c r="G20" s="7" t="n">
        <v>62.29</v>
      </c>
      <c r="H20" s="9" t="n">
        <v>0</v>
      </c>
      <c r="I20" s="7" t="n">
        <f aca="false">G20+H20</f>
        <v>62.29</v>
      </c>
      <c r="J20" s="28"/>
      <c r="K20" s="7" t="n">
        <f aca="false">I20+J20</f>
        <v>62.29</v>
      </c>
      <c r="L20" s="7" t="n">
        <f aca="false">F20-(I20-V20)</f>
        <v>-2.24999999999999</v>
      </c>
      <c r="M20" s="7" t="n">
        <v>19.23</v>
      </c>
      <c r="N20" s="7"/>
      <c r="O20" s="7"/>
      <c r="P20" s="7" t="n">
        <f aca="false">SUM(M20:O20)</f>
        <v>19.23</v>
      </c>
      <c r="Q20" s="8"/>
      <c r="R20" s="7"/>
      <c r="S20" s="7"/>
      <c r="T20" s="7" t="n">
        <v>40.81</v>
      </c>
      <c r="U20" s="8" t="n">
        <f aca="false">U19-T20</f>
        <v>14460.8733148475</v>
      </c>
      <c r="V20" s="7" t="n">
        <f aca="false">P20+R20+S20+T20</f>
        <v>60.04</v>
      </c>
      <c r="W20" s="7" t="n">
        <f aca="false">IF(L20&lt;0,L20*-1)</f>
        <v>2.24999999999999</v>
      </c>
      <c r="X20" s="7" t="n">
        <f aca="false">V20+W20</f>
        <v>62.29</v>
      </c>
      <c r="Y20" s="11" t="n">
        <v>0</v>
      </c>
      <c r="Z20" s="12" t="n">
        <v>40</v>
      </c>
      <c r="AA20" s="12" t="n">
        <v>26</v>
      </c>
      <c r="AB20" s="13" t="n">
        <f aca="false">AB19+1</f>
        <v>11</v>
      </c>
      <c r="AC20" s="12" t="n">
        <v>14571</v>
      </c>
      <c r="AD20" s="12" t="n">
        <v>1065</v>
      </c>
    </row>
    <row r="21" customFormat="false" ht="11.1" hidden="false" customHeight="true" outlineLevel="0" collapsed="false">
      <c r="A21" s="13" t="n">
        <f aca="false">A20+1</f>
        <v>12</v>
      </c>
      <c r="B21" s="27" t="n">
        <v>6906.93</v>
      </c>
      <c r="C21" s="8" t="n">
        <v>309867</v>
      </c>
      <c r="D21" s="12" t="n">
        <f aca="false">C21-C20</f>
        <v>0</v>
      </c>
      <c r="E21" s="8" t="n">
        <f aca="false">C21-152000</f>
        <v>157867</v>
      </c>
      <c r="F21" s="7" t="n">
        <f aca="false">D21/$D$2</f>
        <v>0</v>
      </c>
      <c r="G21" s="7" t="n">
        <v>73.79</v>
      </c>
      <c r="H21" s="9" t="n">
        <v>0</v>
      </c>
      <c r="I21" s="7" t="n">
        <f aca="false">G21+H21</f>
        <v>73.79</v>
      </c>
      <c r="J21" s="28"/>
      <c r="K21" s="7" t="n">
        <f aca="false">I21+J21</f>
        <v>73.79</v>
      </c>
      <c r="L21" s="7" t="n">
        <f aca="false">F21-(I21-V21)</f>
        <v>-22.23</v>
      </c>
      <c r="M21" s="7" t="n">
        <v>10.92</v>
      </c>
      <c r="N21" s="7"/>
      <c r="O21" s="7"/>
      <c r="P21" s="7" t="n">
        <f aca="false">SUM(M21:O21)</f>
        <v>10.92</v>
      </c>
      <c r="Q21" s="8"/>
      <c r="R21" s="7"/>
      <c r="S21" s="7"/>
      <c r="T21" s="7" t="n">
        <v>40.64</v>
      </c>
      <c r="U21" s="8" t="n">
        <f aca="false">U20-T21</f>
        <v>14420.2333148475</v>
      </c>
      <c r="V21" s="7" t="n">
        <f aca="false">P21+R21+S21+T21</f>
        <v>51.56</v>
      </c>
      <c r="W21" s="7" t="n">
        <f aca="false">IF(L21&lt;0,L21*-1)</f>
        <v>22.23</v>
      </c>
      <c r="X21" s="7" t="n">
        <f aca="false">V21+W21</f>
        <v>73.79</v>
      </c>
      <c r="Y21" s="11" t="n">
        <v>0.4</v>
      </c>
      <c r="Z21" s="12" t="n">
        <v>40</v>
      </c>
      <c r="AA21" s="12" t="n">
        <v>23</v>
      </c>
      <c r="AB21" s="13" t="n">
        <f aca="false">AB20+1</f>
        <v>12</v>
      </c>
      <c r="AC21" s="12" t="n">
        <v>14696</v>
      </c>
      <c r="AD21" s="12" t="n">
        <v>1185</v>
      </c>
    </row>
    <row r="22" customFormat="false" ht="11.1" hidden="false" customHeight="true" outlineLevel="0" collapsed="false">
      <c r="A22" s="13" t="n">
        <f aca="false">A21+1</f>
        <v>13</v>
      </c>
      <c r="B22" s="27" t="n">
        <v>6906.93</v>
      </c>
      <c r="C22" s="8" t="n">
        <v>309867</v>
      </c>
      <c r="D22" s="12" t="n">
        <f aca="false">C22-C21</f>
        <v>0</v>
      </c>
      <c r="E22" s="8" t="n">
        <f aca="false">C22-152000</f>
        <v>157867</v>
      </c>
      <c r="F22" s="7" t="n">
        <f aca="false">D22/$D$2</f>
        <v>0</v>
      </c>
      <c r="G22" s="7" t="n">
        <v>60.77</v>
      </c>
      <c r="H22" s="9" t="n">
        <v>0</v>
      </c>
      <c r="I22" s="7" t="n">
        <f aca="false">G22+H22</f>
        <v>60.77</v>
      </c>
      <c r="J22" s="28"/>
      <c r="K22" s="7" t="n">
        <f aca="false">I22+J22</f>
        <v>60.77</v>
      </c>
      <c r="L22" s="7" t="n">
        <f aca="false">F22-(I22-V22)</f>
        <v>-15.07</v>
      </c>
      <c r="M22" s="7" t="n">
        <v>5.13</v>
      </c>
      <c r="N22" s="7"/>
      <c r="O22" s="7"/>
      <c r="P22" s="7" t="n">
        <f aca="false">SUM(M22:O22)</f>
        <v>5.13</v>
      </c>
      <c r="Q22" s="8"/>
      <c r="R22" s="7"/>
      <c r="S22" s="7"/>
      <c r="T22" s="7" t="n">
        <v>40.57</v>
      </c>
      <c r="U22" s="8" t="n">
        <f aca="false">U21-T22</f>
        <v>14379.6633148475</v>
      </c>
      <c r="V22" s="7" t="n">
        <f aca="false">P22+R22+S22+T22</f>
        <v>45.7</v>
      </c>
      <c r="W22" s="7" t="n">
        <f aca="false">IF(L22&lt;0,L22*-1)</f>
        <v>15.07</v>
      </c>
      <c r="X22" s="7" t="n">
        <f aca="false">V22+W22</f>
        <v>60.77</v>
      </c>
      <c r="Y22" s="11" t="n">
        <v>0</v>
      </c>
      <c r="Z22" s="12" t="n">
        <v>35</v>
      </c>
      <c r="AA22" s="12" t="n">
        <v>17</v>
      </c>
      <c r="AB22" s="13" t="n">
        <f aca="false">AB21+1</f>
        <v>13</v>
      </c>
      <c r="AC22" s="12" t="n">
        <v>14771</v>
      </c>
      <c r="AD22" s="12" t="n">
        <v>1299</v>
      </c>
    </row>
    <row r="23" customFormat="false" ht="11.1" hidden="false" customHeight="true" outlineLevel="0" collapsed="false">
      <c r="A23" s="13" t="n">
        <f aca="false">A22+1</f>
        <v>14</v>
      </c>
      <c r="B23" s="27" t="n">
        <v>6906.93</v>
      </c>
      <c r="C23" s="8" t="n">
        <v>309867</v>
      </c>
      <c r="D23" s="12" t="n">
        <f aca="false">C23-C22</f>
        <v>0</v>
      </c>
      <c r="E23" s="8" t="n">
        <f aca="false">C23-152000</f>
        <v>157867</v>
      </c>
      <c r="F23" s="7" t="n">
        <f aca="false">D23/$D$2</f>
        <v>0</v>
      </c>
      <c r="G23" s="7" t="n">
        <v>69.87</v>
      </c>
      <c r="H23" s="9" t="n">
        <v>0</v>
      </c>
      <c r="I23" s="7" t="n">
        <f aca="false">G23+H23</f>
        <v>69.87</v>
      </c>
      <c r="J23" s="28"/>
      <c r="K23" s="7" t="n">
        <f aca="false">I23+J23</f>
        <v>69.87</v>
      </c>
      <c r="L23" s="7" t="n">
        <f aca="false">F23-(I23-V23)</f>
        <v>-24.24</v>
      </c>
      <c r="M23" s="7" t="n">
        <v>5.13</v>
      </c>
      <c r="N23" s="7"/>
      <c r="O23" s="7"/>
      <c r="P23" s="7" t="n">
        <f aca="false">SUM(M23:O23)</f>
        <v>5.13</v>
      </c>
      <c r="Q23" s="8"/>
      <c r="R23" s="7"/>
      <c r="S23" s="7"/>
      <c r="T23" s="7" t="n">
        <v>40.5</v>
      </c>
      <c r="U23" s="8" t="n">
        <f aca="false">U22-T23</f>
        <v>14339.1633148475</v>
      </c>
      <c r="V23" s="7" t="n">
        <f aca="false">P23+R23+S23+T23</f>
        <v>45.63</v>
      </c>
      <c r="W23" s="7" t="n">
        <f aca="false">IF(L23&lt;0,L23*-1)</f>
        <v>24.24</v>
      </c>
      <c r="X23" s="7" t="n">
        <f aca="false">V23+W23</f>
        <v>69.87</v>
      </c>
      <c r="Y23" s="11" t="n">
        <v>0</v>
      </c>
      <c r="Z23" s="38" t="n">
        <v>49</v>
      </c>
      <c r="AA23" s="12" t="n">
        <v>23</v>
      </c>
      <c r="AB23" s="13" t="n">
        <f aca="false">AB22+1</f>
        <v>14</v>
      </c>
      <c r="AC23" s="12" t="n">
        <v>14842</v>
      </c>
      <c r="AD23" s="12" t="n">
        <v>1407</v>
      </c>
    </row>
    <row r="24" customFormat="false" ht="11.1" hidden="false" customHeight="true" outlineLevel="0" collapsed="false">
      <c r="A24" s="13" t="n">
        <f aca="false">A23+1</f>
        <v>15</v>
      </c>
      <c r="B24" s="27" t="n">
        <v>6906.93</v>
      </c>
      <c r="C24" s="8" t="n">
        <v>309867</v>
      </c>
      <c r="D24" s="12" t="n">
        <f aca="false">C24-C23</f>
        <v>0</v>
      </c>
      <c r="E24" s="8" t="n">
        <f aca="false">C24-152000</f>
        <v>157867</v>
      </c>
      <c r="F24" s="7" t="n">
        <f aca="false">D24/$D$2</f>
        <v>0</v>
      </c>
      <c r="G24" s="7" t="n">
        <v>59.43</v>
      </c>
      <c r="H24" s="9" t="n">
        <v>0</v>
      </c>
      <c r="I24" s="7" t="n">
        <f aca="false">G24+H24</f>
        <v>59.43</v>
      </c>
      <c r="J24" s="28"/>
      <c r="K24" s="7" t="n">
        <f aca="false">I24+J24</f>
        <v>59.43</v>
      </c>
      <c r="L24" s="7" t="n">
        <f aca="false">F24-(I24-V24)</f>
        <v>-13.69</v>
      </c>
      <c r="M24" s="7" t="n">
        <v>5</v>
      </c>
      <c r="N24" s="7"/>
      <c r="O24" s="7"/>
      <c r="P24" s="7" t="n">
        <f aca="false">SUM(M24:O24)</f>
        <v>5</v>
      </c>
      <c r="Q24" s="8"/>
      <c r="R24" s="7"/>
      <c r="S24" s="7"/>
      <c r="T24" s="7" t="n">
        <v>40.74</v>
      </c>
      <c r="U24" s="8" t="n">
        <f aca="false">U23-T24</f>
        <v>14298.4233148475</v>
      </c>
      <c r="V24" s="7" t="n">
        <f aca="false">P24+R24+S24+T24</f>
        <v>45.74</v>
      </c>
      <c r="W24" s="7" t="n">
        <f aca="false">IF(L24&lt;0,L24*-1)</f>
        <v>13.69</v>
      </c>
      <c r="X24" s="7" t="n">
        <f aca="false">V24+W24</f>
        <v>59.43</v>
      </c>
      <c r="Y24" s="11" t="n">
        <v>0.04</v>
      </c>
      <c r="Z24" s="38" t="n">
        <v>46</v>
      </c>
      <c r="AA24" s="12" t="n">
        <v>20</v>
      </c>
      <c r="AB24" s="13" t="n">
        <f aca="false">AB23+1</f>
        <v>15</v>
      </c>
      <c r="AC24" s="12" t="n">
        <v>14927</v>
      </c>
      <c r="AD24" s="12" t="n">
        <v>1516</v>
      </c>
    </row>
    <row r="25" customFormat="false" ht="11.1" hidden="false" customHeight="true" outlineLevel="0" collapsed="false">
      <c r="A25" s="13" t="n">
        <f aca="false">A24+1</f>
        <v>16</v>
      </c>
      <c r="B25" s="27" t="n">
        <v>6906.94</v>
      </c>
      <c r="C25" s="8" t="n">
        <v>309905</v>
      </c>
      <c r="D25" s="12" t="n">
        <f aca="false">C25-C24</f>
        <v>38</v>
      </c>
      <c r="E25" s="8" t="n">
        <f aca="false">C25-152000</f>
        <v>157905</v>
      </c>
      <c r="F25" s="7" t="n">
        <f aca="false">D25/$D$2</f>
        <v>19.1628845184065</v>
      </c>
      <c r="G25" s="7" t="n">
        <v>55.3</v>
      </c>
      <c r="H25" s="9" t="n">
        <v>0</v>
      </c>
      <c r="I25" s="7" t="n">
        <f aca="false">G25+H25</f>
        <v>55.3</v>
      </c>
      <c r="J25" s="28" t="n">
        <f aca="false">IF(L25&gt;0,L25)</f>
        <v>9.83288451840646</v>
      </c>
      <c r="K25" s="7" t="n">
        <f aca="false">I25+J25</f>
        <v>65.1328845184065</v>
      </c>
      <c r="L25" s="7" t="n">
        <f aca="false">F25-(I25-V25)</f>
        <v>9.83288451840646</v>
      </c>
      <c r="M25" s="7" t="n">
        <v>4.38</v>
      </c>
      <c r="N25" s="7"/>
      <c r="O25" s="7"/>
      <c r="P25" s="7" t="n">
        <f aca="false">SUM(M25:O25)</f>
        <v>4.38</v>
      </c>
      <c r="Q25" s="8"/>
      <c r="R25" s="7"/>
      <c r="S25" s="7"/>
      <c r="T25" s="7" t="n">
        <v>41.59</v>
      </c>
      <c r="U25" s="8" t="n">
        <f aca="false">U24-T25</f>
        <v>14256.8333148475</v>
      </c>
      <c r="V25" s="7" t="n">
        <f aca="false">P25+R25+S25+T25</f>
        <v>45.97</v>
      </c>
      <c r="W25" s="7"/>
      <c r="X25" s="7" t="n">
        <f aca="false">V25+W25</f>
        <v>45.97</v>
      </c>
      <c r="Y25" s="11" t="n">
        <v>0</v>
      </c>
      <c r="Z25" s="38" t="n">
        <v>44</v>
      </c>
      <c r="AA25" s="12" t="n">
        <v>18</v>
      </c>
      <c r="AB25" s="13" t="n">
        <f aca="false">AB24+1</f>
        <v>16</v>
      </c>
      <c r="AC25" s="12" t="n">
        <v>15009</v>
      </c>
      <c r="AD25" s="12" t="n">
        <v>1615</v>
      </c>
    </row>
    <row r="26" customFormat="false" ht="11.1" hidden="false" customHeight="true" outlineLevel="0" collapsed="false">
      <c r="A26" s="13" t="n">
        <f aca="false">A25+1</f>
        <v>17</v>
      </c>
      <c r="B26" s="27" t="n">
        <v>6906.94</v>
      </c>
      <c r="C26" s="8" t="n">
        <v>309905</v>
      </c>
      <c r="D26" s="12" t="n">
        <f aca="false">C26-C25</f>
        <v>0</v>
      </c>
      <c r="E26" s="8" t="n">
        <f aca="false">C26-152000</f>
        <v>157905</v>
      </c>
      <c r="F26" s="7" t="n">
        <f aca="false">D26/$D$2</f>
        <v>0</v>
      </c>
      <c r="G26" s="7" t="n">
        <v>52.72</v>
      </c>
      <c r="H26" s="9" t="n">
        <v>0</v>
      </c>
      <c r="I26" s="7" t="n">
        <f aca="false">G26+H26</f>
        <v>52.72</v>
      </c>
      <c r="J26" s="28"/>
      <c r="K26" s="7" t="n">
        <f aca="false">I26+J26</f>
        <v>52.72</v>
      </c>
      <c r="L26" s="7" t="n">
        <f aca="false">F26-(I26-V26)</f>
        <v>-6.9</v>
      </c>
      <c r="M26" s="7" t="n">
        <v>4.07</v>
      </c>
      <c r="N26" s="7"/>
      <c r="O26" s="7"/>
      <c r="P26" s="7" t="n">
        <f aca="false">SUM(M26:O26)</f>
        <v>4.07</v>
      </c>
      <c r="Q26" s="8"/>
      <c r="R26" s="7"/>
      <c r="S26" s="7"/>
      <c r="T26" s="7" t="n">
        <v>41.75</v>
      </c>
      <c r="U26" s="8" t="n">
        <f aca="false">U25-T26</f>
        <v>14215.0833148475</v>
      </c>
      <c r="V26" s="7" t="n">
        <f aca="false">P26+R26+S26+T26</f>
        <v>45.82</v>
      </c>
      <c r="W26" s="7" t="n">
        <f aca="false">IF(L26&lt;0,L26*-1)</f>
        <v>6.9</v>
      </c>
      <c r="X26" s="7" t="n">
        <f aca="false">V26+W26</f>
        <v>52.72</v>
      </c>
      <c r="Y26" s="11" t="n">
        <v>0</v>
      </c>
      <c r="Z26" s="38" t="n">
        <v>48</v>
      </c>
      <c r="AA26" s="12" t="n">
        <v>20</v>
      </c>
      <c r="AB26" s="13" t="n">
        <f aca="false">AB25+1</f>
        <v>17</v>
      </c>
      <c r="AC26" s="12" t="n">
        <v>15112</v>
      </c>
      <c r="AD26" s="12" t="n">
        <v>1714</v>
      </c>
    </row>
    <row r="27" customFormat="false" ht="11.1" hidden="false" customHeight="true" outlineLevel="0" collapsed="false">
      <c r="A27" s="13" t="n">
        <f aca="false">A26+1</f>
        <v>18</v>
      </c>
      <c r="B27" s="27" t="n">
        <v>6906.94</v>
      </c>
      <c r="C27" s="8" t="n">
        <v>309905</v>
      </c>
      <c r="D27" s="12" t="n">
        <f aca="false">C27-C26</f>
        <v>0</v>
      </c>
      <c r="E27" s="8" t="n">
        <f aca="false">C27-152000</f>
        <v>157905</v>
      </c>
      <c r="F27" s="7" t="n">
        <f aca="false">D27/$D$2</f>
        <v>0</v>
      </c>
      <c r="G27" s="7" t="n">
        <v>45.4</v>
      </c>
      <c r="H27" s="9" t="n">
        <v>0</v>
      </c>
      <c r="I27" s="7" t="n">
        <f aca="false">G27+H27</f>
        <v>45.4</v>
      </c>
      <c r="J27" s="28"/>
      <c r="K27" s="7" t="n">
        <f aca="false">I27+J27</f>
        <v>45.4</v>
      </c>
      <c r="L27" s="7" t="s">
        <v>43</v>
      </c>
      <c r="M27" s="7" t="n">
        <v>3.85</v>
      </c>
      <c r="N27" s="7"/>
      <c r="O27" s="7"/>
      <c r="P27" s="7" t="n">
        <f aca="false">SUM(M27:O27)</f>
        <v>3.85</v>
      </c>
      <c r="Q27" s="8"/>
      <c r="R27" s="7"/>
      <c r="S27" s="7"/>
      <c r="T27" s="7" t="n">
        <v>41.55</v>
      </c>
      <c r="U27" s="8" t="n">
        <f aca="false">U26-T27</f>
        <v>14173.5333148475</v>
      </c>
      <c r="V27" s="7" t="n">
        <f aca="false">P27+R27+S27+T27</f>
        <v>45.4</v>
      </c>
      <c r="W27" s="7"/>
      <c r="X27" s="7" t="n">
        <f aca="false">V27+W27</f>
        <v>45.4</v>
      </c>
      <c r="Y27" s="11" t="n">
        <v>0</v>
      </c>
      <c r="Z27" s="38" t="n">
        <v>50</v>
      </c>
      <c r="AA27" s="12" t="n">
        <v>21</v>
      </c>
      <c r="AB27" s="13" t="n">
        <f aca="false">AB26+1</f>
        <v>18</v>
      </c>
      <c r="AC27" s="12" t="n">
        <v>15213</v>
      </c>
      <c r="AD27" s="12" t="n">
        <v>1812</v>
      </c>
    </row>
    <row r="28" customFormat="false" ht="11.1" hidden="false" customHeight="true" outlineLevel="0" collapsed="false">
      <c r="A28" s="13" t="n">
        <f aca="false">A27+1</f>
        <v>19</v>
      </c>
      <c r="B28" s="27" t="n">
        <v>6906.94</v>
      </c>
      <c r="C28" s="8" t="n">
        <v>309905</v>
      </c>
      <c r="D28" s="12" t="n">
        <f aca="false">C28-C27</f>
        <v>0</v>
      </c>
      <c r="E28" s="8" t="n">
        <f aca="false">C28-152000</f>
        <v>157905</v>
      </c>
      <c r="F28" s="7" t="n">
        <f aca="false">D28/$D$2</f>
        <v>0</v>
      </c>
      <c r="G28" s="7" t="n">
        <v>45.02</v>
      </c>
      <c r="H28" s="9" t="n">
        <v>0</v>
      </c>
      <c r="I28" s="7" t="n">
        <f aca="false">G28+H28</f>
        <v>45.02</v>
      </c>
      <c r="J28" s="28"/>
      <c r="K28" s="7" t="n">
        <f aca="false">I28+J28</f>
        <v>45.02</v>
      </c>
      <c r="L28" s="7" t="n">
        <f aca="false">F28-(I28-V28)</f>
        <v>0</v>
      </c>
      <c r="M28" s="7" t="n">
        <v>3.72</v>
      </c>
      <c r="N28" s="7"/>
      <c r="O28" s="7"/>
      <c r="P28" s="7" t="n">
        <f aca="false">SUM(M28:O28)</f>
        <v>3.72</v>
      </c>
      <c r="Q28" s="8"/>
      <c r="R28" s="7"/>
      <c r="S28" s="7"/>
      <c r="T28" s="7" t="n">
        <v>41.3</v>
      </c>
      <c r="U28" s="8" t="n">
        <f aca="false">U27-T28</f>
        <v>14132.2333148475</v>
      </c>
      <c r="V28" s="7" t="n">
        <f aca="false">P28+R28+S28+T28</f>
        <v>45.02</v>
      </c>
      <c r="W28" s="7"/>
      <c r="X28" s="7" t="n">
        <f aca="false">V28+W28</f>
        <v>45.02</v>
      </c>
      <c r="Y28" s="11" t="n">
        <v>0</v>
      </c>
      <c r="Z28" s="38" t="n">
        <v>48</v>
      </c>
      <c r="AA28" s="12" t="n">
        <v>18</v>
      </c>
      <c r="AB28" s="13" t="n">
        <f aca="false">AB27+1</f>
        <v>19</v>
      </c>
      <c r="AC28" s="12" t="n">
        <v>15295</v>
      </c>
      <c r="AD28" s="12" t="n">
        <v>1909</v>
      </c>
    </row>
    <row r="29" customFormat="false" ht="11.1" hidden="false" customHeight="true" outlineLevel="0" collapsed="false">
      <c r="A29" s="13" t="n">
        <f aca="false">A28+1</f>
        <v>20</v>
      </c>
      <c r="B29" s="27" t="n">
        <v>6906.94</v>
      </c>
      <c r="C29" s="8" t="n">
        <v>309905</v>
      </c>
      <c r="D29" s="12" t="n">
        <f aca="false">C29-C28</f>
        <v>0</v>
      </c>
      <c r="E29" s="8" t="n">
        <f aca="false">C29-152000</f>
        <v>157905</v>
      </c>
      <c r="F29" s="7" t="n">
        <f aca="false">D29/$D$2</f>
        <v>0</v>
      </c>
      <c r="G29" s="7" t="n">
        <v>45.62</v>
      </c>
      <c r="H29" s="9" t="n">
        <v>0</v>
      </c>
      <c r="I29" s="7" t="n">
        <f aca="false">G29+H29</f>
        <v>45.62</v>
      </c>
      <c r="J29" s="28"/>
      <c r="K29" s="7" t="n">
        <f aca="false">I29+J29</f>
        <v>45.62</v>
      </c>
      <c r="L29" s="7" t="n">
        <f aca="false">F29-(I29-V29)</f>
        <v>0</v>
      </c>
      <c r="M29" s="7" t="n">
        <v>4.32</v>
      </c>
      <c r="N29" s="7"/>
      <c r="O29" s="7"/>
      <c r="P29" s="7" t="n">
        <f aca="false">SUM(M29:O29)</f>
        <v>4.32</v>
      </c>
      <c r="Q29" s="8"/>
      <c r="R29" s="7"/>
      <c r="S29" s="7"/>
      <c r="T29" s="7" t="n">
        <v>41.3</v>
      </c>
      <c r="U29" s="8" t="n">
        <f aca="false">U28-T29</f>
        <v>14090.9333148475</v>
      </c>
      <c r="V29" s="7" t="n">
        <f aca="false">P29+R29+S29+T29</f>
        <v>45.62</v>
      </c>
      <c r="W29" s="7"/>
      <c r="X29" s="7" t="n">
        <f aca="false">V29+W29</f>
        <v>45.62</v>
      </c>
      <c r="Y29" s="11" t="n">
        <v>0</v>
      </c>
      <c r="Z29" s="38" t="n">
        <v>50</v>
      </c>
      <c r="AA29" s="12" t="n">
        <v>16</v>
      </c>
      <c r="AB29" s="13" t="n">
        <f aca="false">AB28+1</f>
        <v>20</v>
      </c>
      <c r="AC29" s="12" t="n">
        <v>15367</v>
      </c>
      <c r="AD29" s="12" t="n">
        <v>2006</v>
      </c>
    </row>
    <row r="30" customFormat="false" ht="11.1" hidden="false" customHeight="true" outlineLevel="0" collapsed="false">
      <c r="A30" s="13" t="n">
        <f aca="false">A29+1</f>
        <v>21</v>
      </c>
      <c r="B30" s="27" t="n">
        <v>6906.95</v>
      </c>
      <c r="C30" s="8" t="n">
        <v>309944</v>
      </c>
      <c r="D30" s="12" t="n">
        <f aca="false">C30-C29</f>
        <v>39</v>
      </c>
      <c r="E30" s="8" t="n">
        <f aca="false">C30-152000</f>
        <v>157944</v>
      </c>
      <c r="F30" s="7" t="n">
        <f aca="false">D30/$D$2</f>
        <v>19.6671709531014</v>
      </c>
      <c r="G30" s="7" t="n">
        <v>65.7271709531014</v>
      </c>
      <c r="H30" s="9" t="n">
        <v>0</v>
      </c>
      <c r="I30" s="7" t="n">
        <f aca="false">G30+H30</f>
        <v>65.7271709531014</v>
      </c>
      <c r="J30" s="28"/>
      <c r="K30" s="7" t="n">
        <f aca="false">I30+J30</f>
        <v>65.7271709531014</v>
      </c>
      <c r="L30" s="7" t="n">
        <f aca="false">F30-(I30-V30)</f>
        <v>0</v>
      </c>
      <c r="M30" s="7" t="n">
        <v>4.76</v>
      </c>
      <c r="N30" s="7"/>
      <c r="O30" s="7"/>
      <c r="P30" s="7" t="n">
        <f aca="false">SUM(M30:O30)</f>
        <v>4.76</v>
      </c>
      <c r="Q30" s="8"/>
      <c r="R30" s="7"/>
      <c r="S30" s="7"/>
      <c r="T30" s="7" t="n">
        <v>41.3</v>
      </c>
      <c r="U30" s="8" t="n">
        <f aca="false">U29-T30</f>
        <v>14049.6333148475</v>
      </c>
      <c r="V30" s="7" t="n">
        <f aca="false">P30+R30+S30+T30</f>
        <v>46.06</v>
      </c>
      <c r="W30" s="7"/>
      <c r="X30" s="7" t="n">
        <f aca="false">V30+W30</f>
        <v>46.06</v>
      </c>
      <c r="Y30" s="11" t="n">
        <v>0</v>
      </c>
      <c r="Z30" s="12" t="n">
        <v>51</v>
      </c>
      <c r="AA30" s="12" t="n">
        <v>16</v>
      </c>
      <c r="AB30" s="13" t="n">
        <f aca="false">AB29+1</f>
        <v>21</v>
      </c>
      <c r="AC30" s="12" t="n">
        <v>15445</v>
      </c>
      <c r="AD30" s="12" t="n">
        <v>2106</v>
      </c>
      <c r="AE30" s="0" t="n">
        <v>273.4</v>
      </c>
    </row>
    <row r="31" customFormat="false" ht="11.1" hidden="false" customHeight="true" outlineLevel="0" collapsed="false">
      <c r="A31" s="13" t="n">
        <f aca="false">A30+1</f>
        <v>22</v>
      </c>
      <c r="B31" s="27" t="n">
        <v>6906.95</v>
      </c>
      <c r="C31" s="8" t="n">
        <v>309944</v>
      </c>
      <c r="D31" s="12" t="n">
        <f aca="false">C31-C30</f>
        <v>0</v>
      </c>
      <c r="E31" s="8" t="n">
        <f aca="false">C31-152000</f>
        <v>157944</v>
      </c>
      <c r="F31" s="7" t="n">
        <f aca="false">D31/$D$2</f>
        <v>0</v>
      </c>
      <c r="G31" s="7" t="n">
        <v>45.24</v>
      </c>
      <c r="H31" s="9" t="n">
        <v>0</v>
      </c>
      <c r="I31" s="7" t="n">
        <f aca="false">G31+H31</f>
        <v>45.24</v>
      </c>
      <c r="J31" s="28"/>
      <c r="K31" s="7" t="n">
        <f aca="false">I31+J31</f>
        <v>45.24</v>
      </c>
      <c r="L31" s="7" t="n">
        <f aca="false">F31-(I31-V31)</f>
        <v>0</v>
      </c>
      <c r="M31" s="7" t="n">
        <v>4.39</v>
      </c>
      <c r="N31" s="7"/>
      <c r="O31" s="7"/>
      <c r="P31" s="7" t="n">
        <f aca="false">SUM(M31:O31)</f>
        <v>4.39</v>
      </c>
      <c r="Q31" s="8"/>
      <c r="R31" s="7"/>
      <c r="S31" s="7"/>
      <c r="T31" s="7" t="n">
        <v>40.85</v>
      </c>
      <c r="U31" s="8" t="n">
        <f aca="false">U30-T31</f>
        <v>14008.7833148475</v>
      </c>
      <c r="V31" s="7" t="n">
        <f aca="false">P31+R31+S31+T31</f>
        <v>45.24</v>
      </c>
      <c r="W31" s="7"/>
      <c r="X31" s="7" t="n">
        <f aca="false">V31+W31</f>
        <v>45.24</v>
      </c>
      <c r="Y31" s="11" t="n">
        <v>0</v>
      </c>
      <c r="Z31" s="12" t="n">
        <v>44</v>
      </c>
      <c r="AA31" s="12" t="n">
        <v>38</v>
      </c>
      <c r="AB31" s="13" t="n">
        <f aca="false">AB30+1</f>
        <v>22</v>
      </c>
      <c r="AC31" s="12" t="n">
        <v>15524</v>
      </c>
      <c r="AD31" s="12" t="n">
        <v>2203</v>
      </c>
      <c r="AE31" s="0" t="n">
        <v>249.63</v>
      </c>
    </row>
    <row r="32" customFormat="false" ht="11.1" hidden="false" customHeight="true" outlineLevel="0" collapsed="false">
      <c r="A32" s="13" t="n">
        <f aca="false">A31+1</f>
        <v>23</v>
      </c>
      <c r="B32" s="27" t="n">
        <v>6906.95</v>
      </c>
      <c r="C32" s="8" t="n">
        <v>309944</v>
      </c>
      <c r="D32" s="12" t="n">
        <f aca="false">C32-C31</f>
        <v>0</v>
      </c>
      <c r="E32" s="8" t="n">
        <f aca="false">C32-152000</f>
        <v>157944</v>
      </c>
      <c r="F32" s="7" t="n">
        <f aca="false">D32/$D$2</f>
        <v>0</v>
      </c>
      <c r="G32" s="7" t="n">
        <v>44.82</v>
      </c>
      <c r="H32" s="9" t="n">
        <v>0</v>
      </c>
      <c r="I32" s="7" t="n">
        <f aca="false">G32+H32</f>
        <v>44.82</v>
      </c>
      <c r="J32" s="28"/>
      <c r="K32" s="7" t="n">
        <f aca="false">I32+J32</f>
        <v>44.82</v>
      </c>
      <c r="L32" s="7" t="n">
        <f aca="false">F32-(I32-V32)</f>
        <v>0</v>
      </c>
      <c r="M32" s="7" t="n">
        <v>4.29</v>
      </c>
      <c r="N32" s="7"/>
      <c r="O32" s="7"/>
      <c r="P32" s="7" t="n">
        <f aca="false">SUM(M32:O32)</f>
        <v>4.29</v>
      </c>
      <c r="Q32" s="8"/>
      <c r="R32" s="7"/>
      <c r="S32" s="7"/>
      <c r="T32" s="7" t="n">
        <v>40.53</v>
      </c>
      <c r="U32" s="8" t="n">
        <f aca="false">U31-T32</f>
        <v>13968.2533148475</v>
      </c>
      <c r="V32" s="7" t="n">
        <f aca="false">P32+R32+S32+T32</f>
        <v>44.82</v>
      </c>
      <c r="W32" s="7"/>
      <c r="X32" s="7" t="n">
        <f aca="false">V32+W32</f>
        <v>44.82</v>
      </c>
      <c r="Y32" s="11" t="n">
        <v>0</v>
      </c>
      <c r="Z32" s="12" t="n">
        <v>52</v>
      </c>
      <c r="AA32" s="38" t="n">
        <v>43</v>
      </c>
      <c r="AB32" s="13" t="n">
        <f aca="false">AB31+1</f>
        <v>23</v>
      </c>
      <c r="AC32" s="12" t="n">
        <v>15607</v>
      </c>
      <c r="AD32" s="12" t="n">
        <v>2299</v>
      </c>
      <c r="AE32" s="0" t="n">
        <v>243.94</v>
      </c>
    </row>
    <row r="33" customFormat="false" ht="11.1" hidden="false" customHeight="true" outlineLevel="0" collapsed="false">
      <c r="A33" s="13" t="n">
        <f aca="false">A32+1</f>
        <v>24</v>
      </c>
      <c r="B33" s="27" t="n">
        <v>6906.94</v>
      </c>
      <c r="C33" s="8" t="n">
        <v>309905</v>
      </c>
      <c r="D33" s="12" t="n">
        <f aca="false">C33-C32</f>
        <v>-39</v>
      </c>
      <c r="E33" s="8" t="n">
        <f aca="false">C33-152000</f>
        <v>157905</v>
      </c>
      <c r="F33" s="7" t="n">
        <f aca="false">D33/$D$2</f>
        <v>-19.6671709531014</v>
      </c>
      <c r="G33" s="7" t="n">
        <v>25.0728290468986</v>
      </c>
      <c r="H33" s="9" t="n">
        <v>0</v>
      </c>
      <c r="I33" s="7" t="n">
        <f aca="false">G33+H33</f>
        <v>25.0728290468986</v>
      </c>
      <c r="J33" s="28"/>
      <c r="K33" s="7" t="n">
        <f aca="false">I33+J33</f>
        <v>25.0728290468986</v>
      </c>
      <c r="L33" s="7" t="n">
        <f aca="false">F33-(I33-V33)</f>
        <v>0</v>
      </c>
      <c r="M33" s="7" t="n">
        <v>4.24</v>
      </c>
      <c r="N33" s="7"/>
      <c r="O33" s="7"/>
      <c r="P33" s="7" t="n">
        <f aca="false">SUM(M33:O33)</f>
        <v>4.24</v>
      </c>
      <c r="Q33" s="8"/>
      <c r="R33" s="7"/>
      <c r="S33" s="7"/>
      <c r="T33" s="7" t="n">
        <v>40.5</v>
      </c>
      <c r="U33" s="8" t="n">
        <f aca="false">U32-T33</f>
        <v>13927.7533148475</v>
      </c>
      <c r="V33" s="7" t="n">
        <f aca="false">P33+R33+S33+T33</f>
        <v>44.74</v>
      </c>
      <c r="W33" s="7"/>
      <c r="X33" s="7" t="n">
        <f aca="false">V33+W33</f>
        <v>44.74</v>
      </c>
      <c r="Y33" s="11" t="n">
        <v>0</v>
      </c>
      <c r="Z33" s="12" t="n">
        <v>38</v>
      </c>
      <c r="AA33" s="38" t="n">
        <v>22</v>
      </c>
      <c r="AB33" s="13" t="n">
        <f aca="false">AB32+1</f>
        <v>24</v>
      </c>
      <c r="AC33" s="12" t="n">
        <v>15666</v>
      </c>
      <c r="AD33" s="12" t="n">
        <v>2395</v>
      </c>
      <c r="AE33" s="0" t="n">
        <v>243.15</v>
      </c>
    </row>
    <row r="34" customFormat="false" ht="11.1" hidden="false" customHeight="true" outlineLevel="0" collapsed="false">
      <c r="A34" s="13" t="n">
        <f aca="false">A33+1</f>
        <v>25</v>
      </c>
      <c r="B34" s="27" t="n">
        <v>6906.93</v>
      </c>
      <c r="C34" s="8" t="n">
        <v>309867</v>
      </c>
      <c r="D34" s="12" t="n">
        <f aca="false">C34-C33</f>
        <v>-38</v>
      </c>
      <c r="E34" s="8" t="n">
        <f aca="false">C34-152000</f>
        <v>157867</v>
      </c>
      <c r="F34" s="7" t="n">
        <f aca="false">D34/$D$2</f>
        <v>-19.1628845184065</v>
      </c>
      <c r="G34" s="7" t="n">
        <v>25.7571154815935</v>
      </c>
      <c r="H34" s="9" t="n">
        <v>0</v>
      </c>
      <c r="I34" s="7" t="n">
        <f aca="false">G34+H34</f>
        <v>25.7571154815935</v>
      </c>
      <c r="J34" s="28"/>
      <c r="K34" s="7" t="n">
        <f aca="false">I34+J34</f>
        <v>25.7571154815935</v>
      </c>
      <c r="L34" s="7" t="n">
        <f aca="false">F34-(I34-V34)</f>
        <v>0</v>
      </c>
      <c r="M34" s="7" t="n">
        <v>4.28</v>
      </c>
      <c r="N34" s="7"/>
      <c r="O34" s="7"/>
      <c r="P34" s="7" t="n">
        <f aca="false">SUM(M34:O34)</f>
        <v>4.28</v>
      </c>
      <c r="Q34" s="8"/>
      <c r="R34" s="7"/>
      <c r="S34" s="7"/>
      <c r="T34" s="7" t="n">
        <v>40.64</v>
      </c>
      <c r="U34" s="8" t="n">
        <f aca="false">U33-T34</f>
        <v>13887.1133148475</v>
      </c>
      <c r="V34" s="7" t="n">
        <f aca="false">P34+R34+S34+T34</f>
        <v>44.92</v>
      </c>
      <c r="W34" s="7"/>
      <c r="X34" s="7" t="n">
        <f aca="false">V34+W34</f>
        <v>44.92</v>
      </c>
      <c r="Y34" s="11" t="n">
        <v>0</v>
      </c>
      <c r="Z34" s="12" t="n">
        <v>33</v>
      </c>
      <c r="AA34" s="38" t="n">
        <v>6</v>
      </c>
      <c r="AB34" s="13" t="n">
        <f aca="false">AB33+1</f>
        <v>25</v>
      </c>
      <c r="AC34" s="12" t="n">
        <v>15726</v>
      </c>
      <c r="AD34" s="12" t="n">
        <v>2491</v>
      </c>
      <c r="AE34" s="0" t="n">
        <v>242.11</v>
      </c>
    </row>
    <row r="35" customFormat="false" ht="11.1" hidden="false" customHeight="true" outlineLevel="0" collapsed="false">
      <c r="A35" s="13" t="n">
        <f aca="false">A34+1</f>
        <v>26</v>
      </c>
      <c r="B35" s="27" t="n">
        <v>6906.92</v>
      </c>
      <c r="C35" s="8" t="n">
        <v>309827</v>
      </c>
      <c r="D35" s="12" t="n">
        <f aca="false">C35-C34</f>
        <v>-40</v>
      </c>
      <c r="E35" s="8" t="n">
        <f aca="false">C35-152000</f>
        <v>157827</v>
      </c>
      <c r="F35" s="7" t="n">
        <f aca="false">D35/$D$2</f>
        <v>-20.1714573877963</v>
      </c>
      <c r="G35" s="7" t="n">
        <v>24.6785426122037</v>
      </c>
      <c r="H35" s="9" t="n">
        <v>0</v>
      </c>
      <c r="I35" s="7" t="n">
        <f aca="false">G35+H35</f>
        <v>24.6785426122037</v>
      </c>
      <c r="J35" s="28"/>
      <c r="K35" s="7" t="n">
        <f aca="false">I35+J35</f>
        <v>24.6785426122037</v>
      </c>
      <c r="L35" s="7" t="n">
        <f aca="false">F35-(I35-V35)</f>
        <v>0</v>
      </c>
      <c r="M35" s="7" t="n">
        <v>4.25</v>
      </c>
      <c r="N35" s="7"/>
      <c r="O35" s="7"/>
      <c r="P35" s="7" t="n">
        <f aca="false">SUM(M35:O35)</f>
        <v>4.25</v>
      </c>
      <c r="Q35" s="8"/>
      <c r="R35" s="7"/>
      <c r="S35" s="7"/>
      <c r="T35" s="7" t="n">
        <v>40.6</v>
      </c>
      <c r="U35" s="8" t="n">
        <f aca="false">U34-T35</f>
        <v>13846.5133148475</v>
      </c>
      <c r="V35" s="7" t="n">
        <f aca="false">P35+R35+S35+T35</f>
        <v>44.85</v>
      </c>
      <c r="W35" s="7"/>
      <c r="X35" s="7" t="n">
        <f aca="false">V35+W35</f>
        <v>44.85</v>
      </c>
      <c r="Y35" s="11" t="n">
        <v>0</v>
      </c>
      <c r="Z35" s="12" t="n">
        <v>40</v>
      </c>
      <c r="AA35" s="12" t="n">
        <v>3</v>
      </c>
      <c r="AB35" s="13" t="n">
        <f aca="false">AB34+1</f>
        <v>26</v>
      </c>
      <c r="AC35" s="12" t="n">
        <v>15781</v>
      </c>
      <c r="AD35" s="12" t="n">
        <v>2589</v>
      </c>
      <c r="AE35" s="0" t="n">
        <v>244.72</v>
      </c>
    </row>
    <row r="36" customFormat="false" ht="11.1" hidden="false" customHeight="true" outlineLevel="0" collapsed="false">
      <c r="A36" s="13" t="n">
        <f aca="false">A35+1</f>
        <v>27</v>
      </c>
      <c r="B36" s="27" t="n">
        <v>6906.91</v>
      </c>
      <c r="C36" s="8" t="n">
        <v>309789</v>
      </c>
      <c r="D36" s="12" t="n">
        <f aca="false">C36-C35</f>
        <v>-38</v>
      </c>
      <c r="E36" s="8" t="n">
        <f aca="false">C36-152000</f>
        <v>157789</v>
      </c>
      <c r="F36" s="7" t="n">
        <f aca="false">D36/$D$2</f>
        <v>-19.1628845184065</v>
      </c>
      <c r="G36" s="7" t="n">
        <v>25.6971154815935</v>
      </c>
      <c r="H36" s="9" t="n">
        <v>0</v>
      </c>
      <c r="I36" s="7" t="n">
        <f aca="false">G36+H36</f>
        <v>25.6971154815935</v>
      </c>
      <c r="J36" s="28"/>
      <c r="K36" s="7" t="n">
        <f aca="false">I36+J36</f>
        <v>25.6971154815935</v>
      </c>
      <c r="L36" s="7" t="n">
        <f aca="false">F36-(I36-V36)</f>
        <v>0</v>
      </c>
      <c r="M36" s="7" t="n">
        <v>4.36</v>
      </c>
      <c r="N36" s="7"/>
      <c r="O36" s="7"/>
      <c r="P36" s="7" t="n">
        <f aca="false">SUM(M36:O36)</f>
        <v>4.36</v>
      </c>
      <c r="Q36" s="8"/>
      <c r="R36" s="7"/>
      <c r="S36" s="7"/>
      <c r="T36" s="7" t="n">
        <v>40.5</v>
      </c>
      <c r="U36" s="8" t="n">
        <f aca="false">U35-T36</f>
        <v>13806.0133148475</v>
      </c>
      <c r="V36" s="7" t="n">
        <f aca="false">P36+R36+S36+T36</f>
        <v>44.86</v>
      </c>
      <c r="W36" s="7"/>
      <c r="X36" s="7" t="n">
        <f aca="false">V36+W36</f>
        <v>44.86</v>
      </c>
      <c r="Y36" s="11" t="n">
        <v>0</v>
      </c>
      <c r="Z36" s="12" t="n">
        <v>44</v>
      </c>
      <c r="AA36" s="12" t="n">
        <v>7</v>
      </c>
      <c r="AB36" s="13" t="n">
        <f aca="false">AB35+1</f>
        <v>27</v>
      </c>
      <c r="AC36" s="12" t="n">
        <v>15841</v>
      </c>
      <c r="AD36" s="12" t="n">
        <v>2686</v>
      </c>
      <c r="AE36" s="0" t="n">
        <v>252.4</v>
      </c>
    </row>
    <row r="37" customFormat="false" ht="11.1" hidden="false" customHeight="true" outlineLevel="0" collapsed="false">
      <c r="A37" s="13" t="n">
        <f aca="false">A36+1</f>
        <v>28</v>
      </c>
      <c r="B37" s="27" t="n">
        <v>6906.9</v>
      </c>
      <c r="C37" s="8" t="n">
        <v>309749</v>
      </c>
      <c r="D37" s="12" t="n">
        <f aca="false">C37-C36</f>
        <v>-40</v>
      </c>
      <c r="E37" s="8" t="n">
        <f aca="false">C37-152000</f>
        <v>157749</v>
      </c>
      <c r="F37" s="7" t="n">
        <f aca="false">D37/$D$2</f>
        <v>-20.1714573877963</v>
      </c>
      <c r="G37" s="7" t="n">
        <v>24.7185426122037</v>
      </c>
      <c r="H37" s="9" t="n">
        <v>0</v>
      </c>
      <c r="I37" s="7" t="n">
        <f aca="false">G37+H37</f>
        <v>24.7185426122037</v>
      </c>
      <c r="J37" s="28"/>
      <c r="K37" s="7" t="n">
        <f aca="false">I37+J37</f>
        <v>24.7185426122037</v>
      </c>
      <c r="L37" s="7" t="n">
        <f aca="false">F37-(I37-V37)</f>
        <v>0</v>
      </c>
      <c r="M37" s="7" t="n">
        <v>4.39</v>
      </c>
      <c r="N37" s="7"/>
      <c r="O37" s="7"/>
      <c r="P37" s="7" t="n">
        <f aca="false">SUM(M37:O37)</f>
        <v>4.39</v>
      </c>
      <c r="Q37" s="8"/>
      <c r="R37" s="7"/>
      <c r="S37" s="7"/>
      <c r="T37" s="7" t="n">
        <v>40.5</v>
      </c>
      <c r="U37" s="8" t="n">
        <f aca="false">U36-T37</f>
        <v>13765.5133148475</v>
      </c>
      <c r="V37" s="7" t="n">
        <f aca="false">P37+R37+S37+T37</f>
        <v>44.89</v>
      </c>
      <c r="W37" s="7"/>
      <c r="X37" s="7" t="n">
        <f aca="false">V37+W37</f>
        <v>44.89</v>
      </c>
      <c r="Y37" s="11" t="n">
        <v>0</v>
      </c>
      <c r="Z37" s="12" t="n">
        <v>50</v>
      </c>
      <c r="AA37" s="12" t="n">
        <v>12</v>
      </c>
      <c r="AB37" s="13" t="n">
        <f aca="false">AB36+1</f>
        <v>28</v>
      </c>
      <c r="AC37" s="12" t="n">
        <v>804</v>
      </c>
      <c r="AD37" s="12" t="n">
        <v>2779</v>
      </c>
      <c r="AE37" s="0" t="n">
        <v>254.14</v>
      </c>
    </row>
    <row r="38" customFormat="false" ht="11.1" hidden="false" customHeight="true" outlineLevel="0" collapsed="false">
      <c r="A38" s="13" t="n">
        <f aca="false">A37+1</f>
        <v>29</v>
      </c>
      <c r="B38" s="27" t="n">
        <v>6906.89</v>
      </c>
      <c r="C38" s="8" t="n">
        <v>309711</v>
      </c>
      <c r="D38" s="12" t="n">
        <f aca="false">C38-C37</f>
        <v>-38</v>
      </c>
      <c r="E38" s="8" t="n">
        <f aca="false">C38-152000</f>
        <v>157711</v>
      </c>
      <c r="F38" s="7" t="n">
        <f aca="false">D38/$D$2</f>
        <v>-19.1628845184065</v>
      </c>
      <c r="G38" s="7" t="n">
        <v>25.7371154815935</v>
      </c>
      <c r="H38" s="9" t="n">
        <v>0</v>
      </c>
      <c r="I38" s="7" t="n">
        <f aca="false">G38+H38</f>
        <v>25.7371154815935</v>
      </c>
      <c r="J38" s="28"/>
      <c r="K38" s="7" t="n">
        <f aca="false">I38+J38</f>
        <v>25.7371154815935</v>
      </c>
      <c r="L38" s="7" t="n">
        <f aca="false">F38-(I38-V38)</f>
        <v>0</v>
      </c>
      <c r="M38" s="7" t="n">
        <v>4.4</v>
      </c>
      <c r="N38" s="7"/>
      <c r="O38" s="7"/>
      <c r="P38" s="7" t="n">
        <f aca="false">SUM(M38:O38)</f>
        <v>4.4</v>
      </c>
      <c r="Q38" s="8"/>
      <c r="R38" s="7"/>
      <c r="S38" s="7"/>
      <c r="T38" s="7" t="n">
        <v>40.5</v>
      </c>
      <c r="U38" s="8" t="n">
        <f aca="false">U37-T38</f>
        <v>13725.0133148475</v>
      </c>
      <c r="V38" s="7" t="n">
        <f aca="false">P38+R38+S38+T38</f>
        <v>44.9</v>
      </c>
      <c r="W38" s="7"/>
      <c r="X38" s="7" t="n">
        <f aca="false">V38+W38</f>
        <v>44.9</v>
      </c>
      <c r="Y38" s="11" t="n">
        <v>0</v>
      </c>
      <c r="Z38" s="38" t="n">
        <v>52</v>
      </c>
      <c r="AA38" s="12" t="n">
        <v>17</v>
      </c>
      <c r="AB38" s="13" t="n">
        <f aca="false">AB37+1</f>
        <v>29</v>
      </c>
      <c r="AC38" s="12" t="n">
        <v>862</v>
      </c>
      <c r="AD38" s="12" t="n">
        <v>2872</v>
      </c>
      <c r="AE38" s="0" t="n">
        <v>256.51</v>
      </c>
    </row>
    <row r="39" customFormat="false" ht="11.1" hidden="false" customHeight="true" outlineLevel="0" collapsed="false">
      <c r="A39" s="13" t="n">
        <v>30</v>
      </c>
      <c r="B39" s="27" t="n">
        <v>6906.89</v>
      </c>
      <c r="C39" s="8" t="n">
        <v>309711</v>
      </c>
      <c r="D39" s="12" t="n">
        <f aca="false">C39-C38</f>
        <v>0</v>
      </c>
      <c r="E39" s="8" t="n">
        <f aca="false">C39-152000</f>
        <v>157711</v>
      </c>
      <c r="F39" s="7" t="n">
        <f aca="false">D39/$D$2</f>
        <v>0</v>
      </c>
      <c r="G39" s="7" t="n">
        <v>42.5</v>
      </c>
      <c r="H39" s="9" t="n">
        <v>0</v>
      </c>
      <c r="I39" s="7" t="n">
        <f aca="false">G39+H39</f>
        <v>42.5</v>
      </c>
      <c r="J39" s="28"/>
      <c r="K39" s="7" t="n">
        <f aca="false">I39+J39</f>
        <v>42.5</v>
      </c>
      <c r="L39" s="7" t="n">
        <f aca="false">F39-(I39-V39)</f>
        <v>0</v>
      </c>
      <c r="M39" s="7" t="n">
        <v>4.4</v>
      </c>
      <c r="N39" s="7"/>
      <c r="O39" s="7"/>
      <c r="P39" s="7" t="n">
        <f aca="false">SUM(M39:O39)</f>
        <v>4.4</v>
      </c>
      <c r="Q39" s="8"/>
      <c r="R39" s="7"/>
      <c r="S39" s="7"/>
      <c r="T39" s="7" t="n">
        <v>38.1</v>
      </c>
      <c r="U39" s="8" t="n">
        <f aca="false">U38-T39</f>
        <v>13686.9133148475</v>
      </c>
      <c r="V39" s="7" t="n">
        <f aca="false">P39+R39+S39+T39</f>
        <v>42.5</v>
      </c>
      <c r="W39" s="7"/>
      <c r="X39" s="7" t="n">
        <f aca="false">V39+W39</f>
        <v>42.5</v>
      </c>
      <c r="Y39" s="11" t="n">
        <v>0</v>
      </c>
      <c r="Z39" s="38" t="n">
        <v>48</v>
      </c>
      <c r="AA39" s="12" t="n">
        <v>20</v>
      </c>
      <c r="AB39" s="13" t="n">
        <v>30</v>
      </c>
      <c r="AC39" s="12" t="n">
        <v>927</v>
      </c>
      <c r="AD39" s="12" t="n">
        <v>2965</v>
      </c>
      <c r="AE39" s="0" t="n">
        <v>248.45</v>
      </c>
    </row>
    <row r="40" customFormat="false" ht="3" hidden="false" customHeight="true" outlineLevel="0" collapsed="false">
      <c r="A40" s="30"/>
      <c r="B40" s="30"/>
      <c r="C40" s="32"/>
      <c r="D40" s="30"/>
      <c r="E40" s="32"/>
      <c r="F40" s="30"/>
      <c r="G40" s="30"/>
      <c r="H40" s="33"/>
      <c r="I40" s="30"/>
      <c r="J40" s="30"/>
      <c r="K40" s="30"/>
      <c r="L40" s="30"/>
      <c r="M40" s="30"/>
      <c r="N40" s="30"/>
      <c r="O40" s="30"/>
      <c r="P40" s="30"/>
      <c r="Q40" s="32"/>
      <c r="R40" s="30"/>
      <c r="S40" s="30"/>
      <c r="T40" s="30"/>
      <c r="U40" s="30"/>
      <c r="V40" s="30"/>
      <c r="W40" s="30"/>
      <c r="X40" s="30"/>
      <c r="Y40" s="34"/>
      <c r="Z40" s="35" t="n">
        <v>73</v>
      </c>
      <c r="AA40" s="35"/>
      <c r="AB40" s="36"/>
      <c r="AC40" s="14"/>
      <c r="AD40" s="14"/>
    </row>
    <row r="41" customFormat="false" ht="11.1" hidden="false" customHeight="true" outlineLevel="0" collapsed="false">
      <c r="A41" s="7" t="s">
        <v>44</v>
      </c>
      <c r="B41" s="7"/>
      <c r="C41" s="8"/>
      <c r="D41" s="8"/>
      <c r="E41" s="8"/>
      <c r="F41" s="8" t="n">
        <f aca="false">SUM(F10:F39)</f>
        <v>-492.183560262229</v>
      </c>
      <c r="G41" s="8" t="n">
        <f aca="false">SUM(G10:G39)</f>
        <v>1451.00843166919</v>
      </c>
      <c r="H41" s="8" t="n">
        <f aca="false">SUM(H10:H39)</f>
        <v>0</v>
      </c>
      <c r="I41" s="8" t="n">
        <f aca="false">SUM(I10:I39)</f>
        <v>1451.00843166919</v>
      </c>
      <c r="J41" s="8" t="n">
        <f aca="false">SUM(J10:J39)</f>
        <v>49.2957690368129</v>
      </c>
      <c r="K41" s="8" t="n">
        <f aca="false">SUM(K10:K39)</f>
        <v>1500.304200706</v>
      </c>
      <c r="L41" s="8" t="n">
        <f aca="false">SUM(L10:L39)</f>
        <v>-419.291991931417</v>
      </c>
      <c r="M41" s="8" t="n">
        <f aca="false">SUM(M10:M39)</f>
        <v>295.26</v>
      </c>
      <c r="N41" s="8" t="n">
        <f aca="false">SUM(N10:N39)</f>
        <v>0</v>
      </c>
      <c r="O41" s="8" t="n">
        <f aca="false">SUM(O10:O39)</f>
        <v>0</v>
      </c>
      <c r="P41" s="8" t="n">
        <f aca="false">SUM(P10:P39)</f>
        <v>295.26</v>
      </c>
      <c r="Q41" s="8"/>
      <c r="R41" s="8" t="n">
        <f aca="false">SUM(R10:R39)</f>
        <v>0</v>
      </c>
      <c r="S41" s="8" t="n">
        <f aca="false">SUM(S10:S39)</f>
        <v>0</v>
      </c>
      <c r="T41" s="8" t="n">
        <f aca="false">SUM(T10:T39)</f>
        <v>1228.64</v>
      </c>
      <c r="U41" s="8"/>
      <c r="V41" s="8" t="n">
        <f aca="false">SUM(V10:V39)</f>
        <v>1523.9</v>
      </c>
      <c r="W41" s="8" t="n">
        <f aca="false">SUM(W10:W39)</f>
        <v>468.58776096823</v>
      </c>
      <c r="X41" s="8" t="n">
        <f aca="false">SUM(X10:X39)</f>
        <v>1992.48776096823</v>
      </c>
      <c r="Y41" s="11" t="n">
        <f aca="false">SUM(Y10:Y39)</f>
        <v>1.88</v>
      </c>
      <c r="Z41" s="12" t="n">
        <f aca="false">AVERAGE(Z10:Z39)</f>
        <v>46.5</v>
      </c>
      <c r="AA41" s="12" t="n">
        <f aca="false">AVERAGE(AA10:AA39)</f>
        <v>18.7333333333333</v>
      </c>
      <c r="AB41" s="13"/>
      <c r="AC41" s="14"/>
      <c r="AD41" s="14"/>
    </row>
    <row r="42" customFormat="false" ht="11.1" hidden="false" customHeight="true" outlineLevel="0" collapsed="false">
      <c r="A42" s="7" t="s">
        <v>45</v>
      </c>
      <c r="B42" s="7"/>
      <c r="C42" s="8"/>
      <c r="D42" s="8" t="n">
        <f aca="false">SUM(D10:D39)</f>
        <v>-976</v>
      </c>
      <c r="E42" s="8"/>
      <c r="F42" s="8" t="n">
        <f aca="false">F41*$D$2</f>
        <v>-976</v>
      </c>
      <c r="G42" s="8" t="n">
        <f aca="false">G41*$D$2</f>
        <v>2877.34972</v>
      </c>
      <c r="H42" s="8" t="n">
        <f aca="false">H41*$D$2</f>
        <v>0</v>
      </c>
      <c r="I42" s="8" t="n">
        <f aca="false">I41*$D$2</f>
        <v>2877.34972</v>
      </c>
      <c r="J42" s="8" t="n">
        <f aca="false">J41*$D$2</f>
        <v>97.75351</v>
      </c>
      <c r="K42" s="8" t="n">
        <f aca="false">K41*$D$2</f>
        <v>2975.10323</v>
      </c>
      <c r="L42" s="8" t="n">
        <f aca="false">L41*$D$2</f>
        <v>-831.45602</v>
      </c>
      <c r="M42" s="8" t="n">
        <f aca="false">M41*$D$2</f>
        <v>585.50058</v>
      </c>
      <c r="N42" s="8" t="n">
        <f aca="false">N41*$D$2</f>
        <v>0</v>
      </c>
      <c r="O42" s="8" t="n">
        <f aca="false">O41*$D$2</f>
        <v>0</v>
      </c>
      <c r="P42" s="8" t="n">
        <f aca="false">P41*$D$2</f>
        <v>585.50058</v>
      </c>
      <c r="Q42" s="8"/>
      <c r="R42" s="8" t="n">
        <f aca="false">R41*$D$2</f>
        <v>0</v>
      </c>
      <c r="S42" s="8" t="n">
        <f aca="false">S41*$D$2</f>
        <v>0</v>
      </c>
      <c r="T42" s="8" t="n">
        <f aca="false">T41*$D$2</f>
        <v>2436.39312</v>
      </c>
      <c r="U42" s="8"/>
      <c r="V42" s="8" t="n">
        <f aca="false">V41*$D$2</f>
        <v>3021.8937</v>
      </c>
      <c r="W42" s="8" t="n">
        <f aca="false">W41*$D$2</f>
        <v>929.20953</v>
      </c>
      <c r="X42" s="8" t="n">
        <f aca="false">X41*$D$2</f>
        <v>3951.10323</v>
      </c>
      <c r="Y42" s="11"/>
      <c r="Z42" s="12" t="n">
        <v>82</v>
      </c>
      <c r="AA42" s="12" t="n">
        <v>54</v>
      </c>
      <c r="AB42" s="13" t="s">
        <v>46</v>
      </c>
      <c r="AC42" s="14"/>
      <c r="AD42" s="14"/>
    </row>
    <row r="43" customFormat="false" ht="3" hidden="false" customHeight="true" outlineLevel="0" collapsed="false">
      <c r="A43" s="30"/>
      <c r="B43" s="30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0"/>
      <c r="V43" s="32"/>
      <c r="W43" s="32"/>
      <c r="X43" s="32"/>
      <c r="Y43" s="11"/>
      <c r="Z43" s="12"/>
      <c r="AA43" s="12"/>
      <c r="AB43" s="13"/>
      <c r="AC43" s="14"/>
      <c r="AD43" s="14"/>
    </row>
    <row r="44" customFormat="false" ht="11.1" hidden="false" customHeight="true" outlineLevel="0" collapsed="false">
      <c r="A44" s="7" t="s">
        <v>47</v>
      </c>
      <c r="B44" s="7"/>
      <c r="C44" s="8"/>
      <c r="D44" s="8"/>
      <c r="E44" s="8"/>
      <c r="F44" s="8"/>
      <c r="G44" s="8"/>
      <c r="H44" s="12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11"/>
      <c r="Z44" s="12" t="n">
        <v>59</v>
      </c>
      <c r="AA44" s="12" t="n">
        <v>32</v>
      </c>
      <c r="AB44" s="13" t="s">
        <v>48</v>
      </c>
      <c r="AC44" s="14"/>
      <c r="AD44" s="14"/>
    </row>
    <row r="45" customFormat="false" ht="11.1" hidden="false" customHeight="true" outlineLevel="0" collapsed="false">
      <c r="A45" s="7" t="s">
        <v>49</v>
      </c>
      <c r="B45" s="7"/>
      <c r="C45" s="8"/>
      <c r="D45" s="8"/>
      <c r="E45" s="8"/>
      <c r="F45" s="8"/>
      <c r="G45" s="8"/>
      <c r="H45" s="1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11"/>
      <c r="Z45" s="12"/>
      <c r="AA45" s="12"/>
      <c r="AB45" s="13"/>
      <c r="AC45" s="14"/>
      <c r="AD45" s="14"/>
    </row>
    <row r="46" customFormat="false" ht="3" hidden="false" customHeight="true" outlineLevel="0" collapsed="false">
      <c r="A46" s="30"/>
      <c r="B46" s="30"/>
      <c r="C46" s="32"/>
      <c r="D46" s="32"/>
      <c r="E46" s="32"/>
      <c r="F46" s="32"/>
      <c r="G46" s="32"/>
      <c r="H46" s="3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4"/>
      <c r="Z46" s="12"/>
      <c r="AA46" s="12"/>
      <c r="AB46" s="13"/>
      <c r="AC46" s="14"/>
      <c r="AD46" s="14"/>
    </row>
    <row r="47" customFormat="false" ht="11.1" hidden="false" customHeight="true" outlineLevel="0" collapsed="false">
      <c r="A47" s="7" t="s">
        <v>50</v>
      </c>
      <c r="B47" s="7"/>
      <c r="C47" s="8"/>
      <c r="D47" s="8"/>
      <c r="E47" s="8"/>
      <c r="F47" s="8" t="n">
        <f aca="false">F8+F41</f>
        <v>-492.183560262229</v>
      </c>
      <c r="G47" s="8" t="n">
        <f aca="false">G8+G41</f>
        <v>1451.00843166919</v>
      </c>
      <c r="H47" s="12" t="n">
        <f aca="false">H8+H41</f>
        <v>0</v>
      </c>
      <c r="I47" s="8" t="n">
        <f aca="false">I8+I41</f>
        <v>1451.00843166919</v>
      </c>
      <c r="J47" s="8" t="n">
        <f aca="false">J8+J41</f>
        <v>49.2957690368129</v>
      </c>
      <c r="K47" s="8" t="n">
        <f aca="false">K8+K41</f>
        <v>1500.304200706</v>
      </c>
      <c r="L47" s="8" t="n">
        <f aca="false">L8+L41</f>
        <v>-419.291991931417</v>
      </c>
      <c r="M47" s="8" t="n">
        <f aca="false">M8+M41</f>
        <v>295.26</v>
      </c>
      <c r="N47" s="8" t="n">
        <f aca="false">N8+N41</f>
        <v>0</v>
      </c>
      <c r="O47" s="8" t="n">
        <f aca="false">O8+O41</f>
        <v>0</v>
      </c>
      <c r="P47" s="8" t="n">
        <f aca="false">P8+P41</f>
        <v>295.26</v>
      </c>
      <c r="Q47" s="8"/>
      <c r="R47" s="8" t="n">
        <f aca="false">R8+R41</f>
        <v>0</v>
      </c>
      <c r="S47" s="8" t="n">
        <f aca="false">S8+S41</f>
        <v>0</v>
      </c>
      <c r="T47" s="8" t="n">
        <f aca="false">T8+T41</f>
        <v>1228.64</v>
      </c>
      <c r="U47" s="8" t="n">
        <f aca="false">U39</f>
        <v>13686.9133148475</v>
      </c>
      <c r="V47" s="8" t="n">
        <f aca="false">V8+V41</f>
        <v>1523.9</v>
      </c>
      <c r="W47" s="8" t="n">
        <f aca="false">W8+W41</f>
        <v>468.58776096823</v>
      </c>
      <c r="X47" s="8" t="n">
        <f aca="false">X8+X41</f>
        <v>1992.48776096823</v>
      </c>
      <c r="Y47" s="28" t="n">
        <f aca="false">Y8+Y41</f>
        <v>1.88</v>
      </c>
      <c r="Z47" s="12"/>
      <c r="AA47" s="12"/>
      <c r="AB47" s="13"/>
      <c r="AC47" s="14"/>
      <c r="AD47" s="14"/>
    </row>
    <row r="48" customFormat="false" ht="11.1" hidden="false" customHeight="true" outlineLevel="0" collapsed="false">
      <c r="A48" s="7" t="s">
        <v>51</v>
      </c>
      <c r="B48" s="7"/>
      <c r="C48" s="8"/>
      <c r="D48" s="8" t="n">
        <f aca="false">D8+D42</f>
        <v>-976</v>
      </c>
      <c r="E48" s="8" t="n">
        <f aca="false">E39</f>
        <v>157711</v>
      </c>
      <c r="F48" s="8" t="n">
        <f aca="false">F47*$D$2</f>
        <v>-976</v>
      </c>
      <c r="G48" s="8" t="n">
        <f aca="false">G47*$D$2</f>
        <v>2877.34972</v>
      </c>
      <c r="H48" s="12" t="n">
        <f aca="false">H47*$D$2</f>
        <v>0</v>
      </c>
      <c r="I48" s="8" t="n">
        <f aca="false">I47*$D$2</f>
        <v>2877.34972</v>
      </c>
      <c r="J48" s="8" t="n">
        <f aca="false">J47*$D$2</f>
        <v>97.75351</v>
      </c>
      <c r="K48" s="8" t="n">
        <f aca="false">K47*$D$2</f>
        <v>2975.10323</v>
      </c>
      <c r="L48" s="8" t="n">
        <f aca="false">L47*$D$2</f>
        <v>-831.45602</v>
      </c>
      <c r="M48" s="8" t="n">
        <f aca="false">M47*$D$2</f>
        <v>585.50058</v>
      </c>
      <c r="N48" s="8" t="n">
        <f aca="false">N47*$D$2</f>
        <v>0</v>
      </c>
      <c r="O48" s="8" t="n">
        <f aca="false">O47*$D$2</f>
        <v>0</v>
      </c>
      <c r="P48" s="8" t="n">
        <f aca="false">P47*$D$2</f>
        <v>585.50058</v>
      </c>
      <c r="Q48" s="8" t="n">
        <f aca="false">Q47*$D$2</f>
        <v>0</v>
      </c>
      <c r="R48" s="8" t="n">
        <f aca="false">R47*$D$2</f>
        <v>0</v>
      </c>
      <c r="S48" s="8" t="n">
        <f aca="false">S47*$D$2</f>
        <v>0</v>
      </c>
      <c r="T48" s="8" t="n">
        <f aca="false">T47*$D$2</f>
        <v>2436.39312</v>
      </c>
      <c r="U48" s="8" t="n">
        <f aca="false">U47*$D$2</f>
        <v>27141.1491033426</v>
      </c>
      <c r="V48" s="8" t="n">
        <f aca="false">V47*$D$2</f>
        <v>3021.8937</v>
      </c>
      <c r="W48" s="8" t="n">
        <f aca="false">W47*$D$2</f>
        <v>929.20953</v>
      </c>
      <c r="X48" s="8" t="n">
        <f aca="false">X47*$D$2</f>
        <v>3951.10323</v>
      </c>
      <c r="Y48" s="11"/>
      <c r="Z48" s="12"/>
      <c r="AA48" s="12"/>
      <c r="AB48" s="13"/>
      <c r="AC48" s="14"/>
      <c r="AD48" s="14"/>
    </row>
    <row r="49" customFormat="false" ht="11.1" hidden="false" customHeight="true" outlineLevel="0" collapsed="false">
      <c r="A49" s="30"/>
      <c r="B49" s="30"/>
      <c r="C49" s="32"/>
      <c r="D49" s="30"/>
      <c r="E49" s="32"/>
      <c r="F49" s="30"/>
      <c r="G49" s="30"/>
      <c r="H49" s="33"/>
      <c r="I49" s="30"/>
      <c r="J49" s="30"/>
      <c r="K49" s="30"/>
      <c r="L49" s="30"/>
      <c r="M49" s="30"/>
      <c r="N49" s="30"/>
      <c r="O49" s="30"/>
      <c r="P49" s="30"/>
      <c r="Q49" s="32"/>
      <c r="R49" s="30"/>
      <c r="S49" s="30"/>
      <c r="T49" s="30"/>
      <c r="U49" s="32"/>
      <c r="V49" s="30"/>
      <c r="W49" s="30"/>
      <c r="X49" s="30"/>
      <c r="Y49" s="11"/>
      <c r="Z49" s="12"/>
      <c r="AA49" s="12"/>
      <c r="AB49" s="13"/>
      <c r="AC49" s="14"/>
      <c r="AD49" s="14"/>
    </row>
    <row r="50" customFormat="false" ht="14.1" hidden="false" customHeight="true" outlineLevel="0" collapsed="false">
      <c r="A50" s="39"/>
      <c r="B50" s="40"/>
      <c r="C50" s="8"/>
      <c r="D50" s="7"/>
      <c r="E50" s="8"/>
      <c r="F50" s="7"/>
      <c r="G50" s="7"/>
      <c r="H50" s="9"/>
      <c r="I50" s="7"/>
      <c r="J50" s="7"/>
      <c r="K50" s="7"/>
      <c r="L50" s="7"/>
      <c r="M50" s="7"/>
      <c r="N50" s="7"/>
      <c r="O50" s="7"/>
      <c r="P50" s="7"/>
      <c r="Q50" s="8"/>
      <c r="R50" s="7"/>
      <c r="S50" s="7"/>
      <c r="T50" s="7"/>
      <c r="U50" s="8"/>
      <c r="V50" s="7"/>
      <c r="W50" s="7"/>
      <c r="X50" s="7"/>
      <c r="Y50" s="11"/>
      <c r="Z50" s="12"/>
      <c r="AA50" s="12"/>
      <c r="AB50" s="13"/>
      <c r="AC50" s="14"/>
      <c r="AD50" s="14"/>
    </row>
    <row r="51" customFormat="false" ht="11.1" hidden="false" customHeight="true" outlineLevel="0" collapsed="false">
      <c r="A51" s="7"/>
      <c r="B51" s="27"/>
      <c r="C51" s="8"/>
      <c r="D51" s="38"/>
      <c r="E51" s="8"/>
      <c r="F51" s="7"/>
      <c r="G51" s="7"/>
      <c r="H51" s="38"/>
      <c r="I51" s="9"/>
      <c r="J51" s="7"/>
      <c r="K51" s="41"/>
      <c r="L51" s="7"/>
      <c r="M51" s="7"/>
      <c r="N51" s="7"/>
      <c r="O51" s="7"/>
      <c r="P51" s="7"/>
      <c r="Q51" s="8"/>
      <c r="R51" s="7"/>
      <c r="S51" s="7"/>
      <c r="T51" s="7"/>
      <c r="U51" s="8"/>
      <c r="V51" s="7"/>
      <c r="W51" s="7"/>
      <c r="X51" s="7"/>
      <c r="Y51" s="11"/>
      <c r="Z51" s="12"/>
      <c r="AA51" s="12"/>
      <c r="AB51" s="13"/>
      <c r="AC51" s="14"/>
      <c r="AD51" s="14"/>
    </row>
    <row r="52" customFormat="false" ht="11.1" hidden="false" customHeight="true" outlineLevel="0" collapsed="false">
      <c r="B52" s="38"/>
      <c r="C52" s="8"/>
      <c r="D52" s="8"/>
      <c r="E52" s="8"/>
      <c r="F52" s="38"/>
      <c r="G52" s="38"/>
      <c r="H52" s="9"/>
      <c r="I52" s="38"/>
      <c r="J52" s="38"/>
      <c r="K52" s="38"/>
      <c r="L52" s="38"/>
      <c r="M52" s="28"/>
      <c r="N52" s="38"/>
      <c r="O52" s="38"/>
      <c r="P52" s="38"/>
      <c r="Q52" s="8"/>
      <c r="R52" s="38"/>
      <c r="S52" s="38"/>
      <c r="T52" s="38"/>
      <c r="U52" s="8"/>
      <c r="V52" s="38"/>
      <c r="W52" s="38"/>
      <c r="X52" s="38"/>
      <c r="Y52" s="11"/>
      <c r="Z52" s="12"/>
      <c r="AA52" s="12"/>
      <c r="AB52" s="13"/>
      <c r="AC52" s="42"/>
      <c r="AD52" s="42"/>
    </row>
    <row r="53" customFormat="false" ht="11.1" hidden="false" customHeight="true" outlineLevel="0" collapsed="false">
      <c r="A53" s="38"/>
      <c r="B53" s="11"/>
      <c r="C53" s="8"/>
      <c r="D53" s="8"/>
      <c r="E53" s="8"/>
      <c r="F53" s="38"/>
      <c r="G53" s="38"/>
      <c r="H53" s="9"/>
      <c r="I53" s="38"/>
      <c r="J53" s="38"/>
      <c r="K53" s="38"/>
      <c r="L53" s="38"/>
      <c r="M53" s="28"/>
      <c r="N53" s="38"/>
      <c r="O53" s="38"/>
      <c r="P53" s="38"/>
      <c r="Q53" s="8"/>
      <c r="R53" s="38"/>
      <c r="S53" s="38"/>
      <c r="T53" s="38"/>
      <c r="U53" s="8"/>
      <c r="V53" s="38"/>
      <c r="W53" s="38"/>
      <c r="X53" s="38"/>
      <c r="Y53" s="11"/>
      <c r="Z53" s="12"/>
      <c r="AA53" s="12"/>
      <c r="AB53" s="13"/>
      <c r="AC53" s="42"/>
      <c r="AD53" s="42"/>
    </row>
    <row r="54" customFormat="false" ht="11.1" hidden="false" customHeight="true" outlineLevel="0" collapsed="false">
      <c r="A54" s="38"/>
      <c r="B54" s="38"/>
      <c r="C54" s="8"/>
      <c r="D54" s="38"/>
      <c r="E54" s="8"/>
      <c r="F54" s="38"/>
      <c r="G54" s="43"/>
      <c r="H54" s="9"/>
      <c r="I54" s="38"/>
      <c r="J54" s="38"/>
      <c r="K54" s="38"/>
      <c r="L54" s="38"/>
      <c r="M54" s="28"/>
      <c r="N54" s="38"/>
      <c r="O54" s="38"/>
      <c r="P54" s="38"/>
      <c r="Q54" s="8"/>
      <c r="R54" s="38"/>
      <c r="S54" s="38"/>
      <c r="T54" s="38"/>
      <c r="U54" s="8"/>
      <c r="V54" s="38"/>
      <c r="W54" s="38"/>
      <c r="X54" s="38"/>
      <c r="Y54" s="11"/>
      <c r="Z54" s="12"/>
      <c r="AA54" s="12"/>
      <c r="AB54" s="13"/>
      <c r="AC54" s="42"/>
      <c r="AD54" s="42"/>
    </row>
  </sheetData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55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pane xSplit="0" ySplit="9" topLeftCell="A10" activePane="bottomLeft" state="frozen"/>
      <selection pane="topLeft" activeCell="H1" activeCellId="0" sqref="H1"/>
      <selection pane="bottomLeft" activeCell="X8" activeCellId="0" sqref="X8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32"/>
    <col collapsed="false" customWidth="true" hidden="false" outlineLevel="0" max="4" min="4" style="0" width="6.82"/>
    <col collapsed="false" customWidth="true" hidden="false" outlineLevel="0" max="5" min="5" style="1" width="7.32"/>
    <col collapsed="false" customWidth="true" hidden="false" outlineLevel="0" max="6" min="6" style="0" width="7.66"/>
    <col collapsed="false" customWidth="true" hidden="false" outlineLevel="0" max="7" min="7" style="0" width="6.66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1" min="10" style="0" width="6.32"/>
    <col collapsed="false" customWidth="true" hidden="false" outlineLevel="0" max="12" min="12" style="0" width="6.49"/>
    <col collapsed="false" customWidth="true" hidden="false" outlineLevel="0" max="13" min="13" style="3" width="7.49"/>
    <col collapsed="false" customWidth="true" hidden="false" outlineLevel="0" max="14" min="14" style="0" width="5.82"/>
    <col collapsed="false" customWidth="true" hidden="false" outlineLevel="0" max="15" min="15" style="0" width="7.16"/>
    <col collapsed="false" customWidth="true" hidden="false" outlineLevel="0" max="16" min="16" style="0" width="6.66"/>
    <col collapsed="false" customWidth="true" hidden="false" outlineLevel="0" max="17" min="17" style="1" width="6.66"/>
    <col collapsed="false" customWidth="true" hidden="false" outlineLevel="0" max="18" min="18" style="0" width="5.82"/>
    <col collapsed="false" customWidth="true" hidden="false" outlineLevel="0" max="20" min="19" style="0" width="7.49"/>
    <col collapsed="false" customWidth="true" hidden="false" outlineLevel="0" max="21" min="21" style="1" width="6.32"/>
    <col collapsed="false" customWidth="true" hidden="false" outlineLevel="0" max="24" min="22" style="0" width="7.82"/>
    <col collapsed="false" customWidth="true" hidden="false" outlineLevel="0" max="25" min="25" style="4" width="5.66"/>
    <col collapsed="false" customWidth="true" hidden="false" outlineLevel="0" max="27" min="26" style="5" width="5.66"/>
    <col collapsed="false" customWidth="true" hidden="false" outlineLevel="0" max="28" min="28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8"/>
      <c r="R1" s="7"/>
      <c r="S1" s="7"/>
      <c r="T1" s="7"/>
      <c r="U1" s="8"/>
      <c r="V1" s="7"/>
      <c r="W1" s="7"/>
      <c r="X1" s="7"/>
      <c r="Y1" s="11"/>
      <c r="Z1" s="12"/>
      <c r="AA1" s="12"/>
      <c r="AB1" s="13"/>
      <c r="AC1" s="14"/>
      <c r="AD1" s="14"/>
    </row>
    <row r="2" customFormat="false" ht="14.1" hidden="false" customHeight="true" outlineLevel="0" collapsed="false">
      <c r="A2" s="7" t="s">
        <v>1</v>
      </c>
      <c r="B2" s="7"/>
      <c r="C2" s="8"/>
      <c r="D2" s="15" t="n">
        <v>1.983</v>
      </c>
      <c r="E2" s="8"/>
      <c r="F2" s="7"/>
      <c r="G2" s="7"/>
      <c r="H2" s="9"/>
      <c r="I2" s="7"/>
      <c r="J2" s="7"/>
      <c r="K2" s="7"/>
      <c r="L2" s="10" t="s">
        <v>52</v>
      </c>
      <c r="M2" s="7"/>
      <c r="N2" s="7"/>
      <c r="O2" s="7"/>
      <c r="P2" s="7"/>
      <c r="Q2" s="8"/>
      <c r="R2" s="7"/>
      <c r="S2" s="7"/>
      <c r="T2" s="7"/>
      <c r="U2" s="8"/>
      <c r="V2" s="7"/>
      <c r="W2" s="7"/>
      <c r="X2" s="7"/>
      <c r="Y2" s="11"/>
      <c r="Z2" s="12"/>
      <c r="AA2" s="12"/>
      <c r="AB2" s="13"/>
      <c r="AC2" s="14"/>
      <c r="AD2" s="14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8"/>
      <c r="R3" s="7"/>
      <c r="S3" s="7"/>
      <c r="T3" s="7"/>
      <c r="U3" s="8"/>
      <c r="V3" s="7"/>
      <c r="W3" s="7"/>
      <c r="X3" s="7"/>
      <c r="Y3" s="11"/>
      <c r="Z3" s="12"/>
      <c r="AA3" s="12"/>
      <c r="AB3" s="13"/>
      <c r="AC3" s="14"/>
      <c r="AD3" s="14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6" t="s">
        <v>8</v>
      </c>
      <c r="N4" s="16" t="s">
        <v>13</v>
      </c>
      <c r="O4" s="16" t="s">
        <v>14</v>
      </c>
      <c r="P4" s="16" t="s">
        <v>12</v>
      </c>
      <c r="Q4" s="17" t="s">
        <v>13</v>
      </c>
      <c r="R4" s="16" t="s">
        <v>15</v>
      </c>
      <c r="S4" s="16" t="s">
        <v>16</v>
      </c>
      <c r="T4" s="16" t="s">
        <v>17</v>
      </c>
      <c r="U4" s="17" t="s">
        <v>18</v>
      </c>
      <c r="V4" s="16" t="s">
        <v>10</v>
      </c>
      <c r="W4" s="16" t="s">
        <v>11</v>
      </c>
      <c r="X4" s="16" t="s">
        <v>12</v>
      </c>
      <c r="Y4" s="19" t="s">
        <v>19</v>
      </c>
      <c r="Z4" s="20" t="s">
        <v>20</v>
      </c>
      <c r="AA4" s="20" t="s">
        <v>21</v>
      </c>
      <c r="AB4" s="20" t="s">
        <v>3</v>
      </c>
      <c r="AC4" s="14"/>
      <c r="AD4" s="14"/>
    </row>
    <row r="5" customFormat="false" ht="11.1" hidden="false" customHeight="true" outlineLevel="0" collapsed="false">
      <c r="A5" s="21" t="s">
        <v>53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16" t="s">
        <v>13</v>
      </c>
      <c r="Q5" s="17" t="s">
        <v>34</v>
      </c>
      <c r="R5" s="16" t="s">
        <v>35</v>
      </c>
      <c r="S5" s="16" t="s">
        <v>36</v>
      </c>
      <c r="T5" s="16" t="s">
        <v>37</v>
      </c>
      <c r="U5" s="17" t="s">
        <v>38</v>
      </c>
      <c r="V5" s="16" t="s">
        <v>39</v>
      </c>
      <c r="W5" s="16" t="s">
        <v>39</v>
      </c>
      <c r="X5" s="16" t="s">
        <v>39</v>
      </c>
      <c r="Y5" s="22"/>
      <c r="Z5" s="20" t="s">
        <v>40</v>
      </c>
      <c r="AA5" s="20" t="s">
        <v>40</v>
      </c>
      <c r="AB5" s="23" t="s">
        <v>53</v>
      </c>
      <c r="AC5" s="14"/>
      <c r="AD5" s="14"/>
    </row>
    <row r="6" customFormat="false" ht="11.1" hidden="false" customHeight="true" outlineLevel="0" collapsed="false">
      <c r="A6" s="24"/>
      <c r="B6" s="24"/>
      <c r="C6" s="25"/>
      <c r="D6" s="24"/>
      <c r="E6" s="25"/>
      <c r="F6" s="24"/>
      <c r="G6" s="24"/>
      <c r="H6" s="26"/>
      <c r="I6" s="24"/>
      <c r="J6" s="24"/>
      <c r="K6" s="24"/>
      <c r="L6" s="24"/>
      <c r="M6" s="24"/>
      <c r="N6" s="24"/>
      <c r="O6" s="24"/>
      <c r="P6" s="24"/>
      <c r="Q6" s="25"/>
      <c r="R6" s="24"/>
      <c r="S6" s="24"/>
      <c r="T6" s="24"/>
      <c r="U6" s="25"/>
      <c r="V6" s="24"/>
      <c r="W6" s="24"/>
      <c r="X6" s="24"/>
      <c r="Y6" s="11"/>
      <c r="Z6" s="13"/>
      <c r="AA6" s="13"/>
      <c r="AB6" s="13"/>
      <c r="AC6" s="14" t="n">
        <v>741</v>
      </c>
      <c r="AD6" s="14" t="n">
        <v>742</v>
      </c>
    </row>
    <row r="7" customFormat="false" ht="11.1" hidden="false" customHeight="true" outlineLevel="0" collapsed="false">
      <c r="A7" s="7" t="s">
        <v>41</v>
      </c>
      <c r="B7" s="7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1"/>
      <c r="Z7" s="12"/>
      <c r="AA7" s="12"/>
      <c r="AB7" s="13"/>
      <c r="AC7" s="14"/>
    </row>
    <row r="8" s="1" customFormat="true" ht="11.1" hidden="false" customHeight="true" outlineLevel="0" collapsed="false">
      <c r="A8" s="8" t="s">
        <v>42</v>
      </c>
      <c r="B8" s="27" t="n">
        <v>6906.89</v>
      </c>
      <c r="C8" s="8" t="n">
        <v>309711</v>
      </c>
      <c r="D8" s="8" t="n">
        <v>-976</v>
      </c>
      <c r="E8" s="8" t="n">
        <v>157711</v>
      </c>
      <c r="F8" s="8" t="n">
        <f aca="false" t="array" ref="F8:Y8">NOV!$F$47:$Y$47</f>
        <v>-492.183560262229</v>
      </c>
      <c r="G8" s="8" t="n">
        <v>1451.00843166919</v>
      </c>
      <c r="H8" s="12" t="n">
        <v>0</v>
      </c>
      <c r="I8" s="8" t="n">
        <v>1451.00843166919</v>
      </c>
      <c r="J8" s="8" t="n">
        <v>49.2957690368129</v>
      </c>
      <c r="K8" s="8" t="n">
        <v>1500.304200706</v>
      </c>
      <c r="L8" s="8" t="n">
        <v>-419.291991931417</v>
      </c>
      <c r="M8" s="8" t="n">
        <v>295.26</v>
      </c>
      <c r="N8" s="8" t="n">
        <v>0</v>
      </c>
      <c r="O8" s="8" t="n">
        <v>0</v>
      </c>
      <c r="P8" s="8" t="n">
        <v>295.26</v>
      </c>
      <c r="Q8" s="8" t="n">
        <v>0</v>
      </c>
      <c r="R8" s="8" t="n">
        <v>0</v>
      </c>
      <c r="S8" s="8" t="n">
        <v>0</v>
      </c>
      <c r="T8" s="8" t="n">
        <v>1228.64</v>
      </c>
      <c r="U8" s="8" t="n">
        <v>13686.9133148475</v>
      </c>
      <c r="V8" s="8" t="n">
        <v>1523.9</v>
      </c>
      <c r="W8" s="8" t="n">
        <v>468.58776096823</v>
      </c>
      <c r="X8" s="8" t="n">
        <v>1992.48776096823</v>
      </c>
      <c r="Y8" s="28" t="n">
        <v>1.88</v>
      </c>
      <c r="Z8" s="12"/>
      <c r="AA8" s="12"/>
      <c r="AB8" s="13"/>
      <c r="AC8" s="29" t="n">
        <v>927</v>
      </c>
      <c r="AD8" s="14" t="n">
        <v>2965</v>
      </c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33"/>
      <c r="I9" s="30"/>
      <c r="J9" s="30"/>
      <c r="K9" s="30"/>
      <c r="L9" s="30"/>
      <c r="M9" s="30" t="n">
        <v>4</v>
      </c>
      <c r="N9" s="30"/>
      <c r="O9" s="30"/>
      <c r="P9" s="30"/>
      <c r="Q9" s="32"/>
      <c r="R9" s="30"/>
      <c r="S9" s="30"/>
      <c r="T9" s="30"/>
      <c r="U9" s="32"/>
      <c r="V9" s="30"/>
      <c r="W9" s="30"/>
      <c r="X9" s="30"/>
      <c r="Y9" s="34"/>
      <c r="Z9" s="35"/>
      <c r="AA9" s="35"/>
      <c r="AB9" s="36"/>
      <c r="AC9" s="14"/>
      <c r="AD9" s="14"/>
    </row>
    <row r="10" customFormat="false" ht="11.1" hidden="false" customHeight="true" outlineLevel="0" collapsed="false">
      <c r="A10" s="13" t="n">
        <v>1</v>
      </c>
      <c r="B10" s="27" t="n">
        <v>6906.89</v>
      </c>
      <c r="C10" s="8" t="n">
        <v>309711</v>
      </c>
      <c r="D10" s="12" t="n">
        <f aca="false">C10-C8</f>
        <v>0</v>
      </c>
      <c r="E10" s="8" t="n">
        <f aca="false">C10-152000</f>
        <v>157711</v>
      </c>
      <c r="F10" s="7" t="n">
        <f aca="false">D10/$D$2</f>
        <v>0</v>
      </c>
      <c r="G10" s="7" t="n">
        <v>39.9</v>
      </c>
      <c r="H10" s="9" t="n">
        <v>0</v>
      </c>
      <c r="I10" s="7" t="n">
        <f aca="false">G10+H10</f>
        <v>39.9</v>
      </c>
      <c r="J10" s="28"/>
      <c r="K10" s="7" t="n">
        <f aca="false">I10+J10</f>
        <v>39.9</v>
      </c>
      <c r="L10" s="7" t="n">
        <f aca="false">F10-(I10-V10)</f>
        <v>0.0400000000000063</v>
      </c>
      <c r="M10" s="7" t="n">
        <v>4.24</v>
      </c>
      <c r="N10" s="7"/>
      <c r="O10" s="7"/>
      <c r="P10" s="7" t="n">
        <f aca="false">SUM(M10:O10)</f>
        <v>4.24</v>
      </c>
      <c r="Q10" s="8"/>
      <c r="R10" s="7"/>
      <c r="S10" s="7" t="n">
        <v>0</v>
      </c>
      <c r="T10" s="7" t="n">
        <v>35.7</v>
      </c>
      <c r="U10" s="8" t="n">
        <f aca="false">U8-T10</f>
        <v>13651.2133148475</v>
      </c>
      <c r="V10" s="7" t="n">
        <f aca="false">P10+R10+S10+T10</f>
        <v>39.94</v>
      </c>
      <c r="W10" s="7" t="n">
        <v>21.2</v>
      </c>
      <c r="X10" s="7" t="n">
        <f aca="false">V10+W10</f>
        <v>61.14</v>
      </c>
      <c r="Y10" s="11" t="n">
        <v>0</v>
      </c>
      <c r="Z10" s="12" t="n">
        <v>46</v>
      </c>
      <c r="AA10" s="12" t="n">
        <v>22</v>
      </c>
      <c r="AB10" s="13" t="n">
        <v>1</v>
      </c>
      <c r="AC10" s="0" t="n">
        <v>989</v>
      </c>
      <c r="AD10" s="29" t="n">
        <v>3056</v>
      </c>
      <c r="AE10" s="0" t="n">
        <v>7883</v>
      </c>
    </row>
    <row r="11" customFormat="false" ht="11.1" hidden="false" customHeight="true" outlineLevel="0" collapsed="false">
      <c r="A11" s="13" t="n">
        <f aca="false">A10+1</f>
        <v>2</v>
      </c>
      <c r="B11" s="27" t="n">
        <v>6906.89</v>
      </c>
      <c r="C11" s="8" t="n">
        <v>309711</v>
      </c>
      <c r="D11" s="12" t="n">
        <f aca="false">C11-C10</f>
        <v>0</v>
      </c>
      <c r="E11" s="8" t="n">
        <f aca="false">C11-152000</f>
        <v>157711</v>
      </c>
      <c r="F11" s="7" t="n">
        <f aca="false">D11/$D$2</f>
        <v>0</v>
      </c>
      <c r="G11" s="7" t="n">
        <v>40</v>
      </c>
      <c r="H11" s="9" t="n">
        <v>0</v>
      </c>
      <c r="I11" s="7" t="n">
        <f aca="false">G11+H11</f>
        <v>40</v>
      </c>
      <c r="J11" s="38"/>
      <c r="K11" s="7" t="n">
        <f aca="false">I11+J11</f>
        <v>40</v>
      </c>
      <c r="L11" s="7" t="n">
        <f aca="false">F11-(I11-V11)</f>
        <v>-0.0300000000000011</v>
      </c>
      <c r="M11" s="7" t="n">
        <v>4.27</v>
      </c>
      <c r="N11" s="7"/>
      <c r="O11" s="7"/>
      <c r="P11" s="7" t="n">
        <f aca="false">SUM(M11:O11)</f>
        <v>4.27</v>
      </c>
      <c r="Q11" s="8"/>
      <c r="R11" s="7"/>
      <c r="S11" s="7"/>
      <c r="T11" s="7" t="n">
        <v>35.7</v>
      </c>
      <c r="U11" s="8" t="n">
        <f aca="false">U10-T11</f>
        <v>13615.5133148475</v>
      </c>
      <c r="V11" s="7" t="n">
        <f aca="false">P11+R11+S11+T11</f>
        <v>39.97</v>
      </c>
      <c r="W11" s="7"/>
      <c r="X11" s="7" t="n">
        <f aca="false">V11+W11</f>
        <v>39.97</v>
      </c>
      <c r="Y11" s="11" t="n">
        <v>0</v>
      </c>
      <c r="Z11" s="12" t="n">
        <v>43</v>
      </c>
      <c r="AA11" s="12" t="n">
        <v>16</v>
      </c>
      <c r="AB11" s="13" t="n">
        <f aca="false">AB10+1</f>
        <v>2</v>
      </c>
      <c r="AC11" s="0" t="n">
        <v>1032</v>
      </c>
      <c r="AD11" s="29" t="n">
        <v>3153</v>
      </c>
    </row>
    <row r="12" customFormat="false" ht="11.1" hidden="false" customHeight="true" outlineLevel="0" collapsed="false">
      <c r="A12" s="13" t="n">
        <f aca="false">A11+1</f>
        <v>3</v>
      </c>
      <c r="B12" s="27" t="n">
        <v>6906.89</v>
      </c>
      <c r="C12" s="8" t="n">
        <v>309711</v>
      </c>
      <c r="D12" s="12" t="n">
        <f aca="false">C12-C11</f>
        <v>0</v>
      </c>
      <c r="E12" s="8" t="n">
        <f aca="false">C12-152000</f>
        <v>157711</v>
      </c>
      <c r="F12" s="7" t="n">
        <f aca="false">D12/$D$2</f>
        <v>0</v>
      </c>
      <c r="G12" s="7" t="n">
        <v>39.9</v>
      </c>
      <c r="H12" s="9" t="n">
        <v>0</v>
      </c>
      <c r="I12" s="7" t="n">
        <f aca="false">G12+H12</f>
        <v>39.9</v>
      </c>
      <c r="J12" s="38"/>
      <c r="K12" s="7" t="n">
        <f aca="false">I12+J12</f>
        <v>39.9</v>
      </c>
      <c r="L12" s="7" t="n">
        <f aca="false">F12-(I12-V12)</f>
        <v>-0.00999999999999801</v>
      </c>
      <c r="M12" s="7" t="n">
        <v>4.19</v>
      </c>
      <c r="N12" s="7"/>
      <c r="O12" s="7"/>
      <c r="P12" s="7" t="n">
        <f aca="false">SUM(M12:O12)</f>
        <v>4.19</v>
      </c>
      <c r="Q12" s="8"/>
      <c r="R12" s="7"/>
      <c r="S12" s="7"/>
      <c r="T12" s="7" t="n">
        <v>35.7</v>
      </c>
      <c r="U12" s="8" t="n">
        <f aca="false">U11-T12</f>
        <v>13579.8133148475</v>
      </c>
      <c r="V12" s="7" t="n">
        <f aca="false">P12+R12+S12+T12</f>
        <v>39.89</v>
      </c>
      <c r="W12" s="7"/>
      <c r="X12" s="7" t="n">
        <f aca="false">V12+W12</f>
        <v>39.89</v>
      </c>
      <c r="Y12" s="11" t="n">
        <v>0</v>
      </c>
      <c r="Z12" s="12" t="n">
        <v>45</v>
      </c>
      <c r="AA12" s="12" t="n">
        <v>20</v>
      </c>
      <c r="AB12" s="13" t="n">
        <f aca="false">AB11+1</f>
        <v>3</v>
      </c>
      <c r="AC12" s="0" t="n">
        <v>1085</v>
      </c>
      <c r="AD12" s="29" t="n">
        <v>3249</v>
      </c>
    </row>
    <row r="13" customFormat="false" ht="11.1" hidden="false" customHeight="true" outlineLevel="0" collapsed="false">
      <c r="A13" s="13" t="n">
        <f aca="false">A12+1</f>
        <v>4</v>
      </c>
      <c r="B13" s="27" t="n">
        <v>6906.89</v>
      </c>
      <c r="C13" s="8" t="n">
        <v>309711</v>
      </c>
      <c r="D13" s="12" t="n">
        <f aca="false">C13-C12</f>
        <v>0</v>
      </c>
      <c r="E13" s="8" t="n">
        <f aca="false">C13-152000</f>
        <v>157711</v>
      </c>
      <c r="F13" s="7" t="n">
        <f aca="false">D13/$D$2</f>
        <v>0</v>
      </c>
      <c r="G13" s="7" t="n">
        <v>40.1</v>
      </c>
      <c r="H13" s="9" t="n">
        <v>0</v>
      </c>
      <c r="I13" s="7" t="n">
        <f aca="false">G13+H13</f>
        <v>40.1</v>
      </c>
      <c r="J13" s="38"/>
      <c r="K13" s="7" t="n">
        <f aca="false">I13+J13</f>
        <v>40.1</v>
      </c>
      <c r="L13" s="7" t="n">
        <f aca="false">F13-(I13-V13)</f>
        <v>0</v>
      </c>
      <c r="M13" s="7" t="n">
        <v>4.4</v>
      </c>
      <c r="N13" s="7"/>
      <c r="O13" s="7"/>
      <c r="P13" s="7" t="n">
        <f aca="false">SUM(M13:O13)</f>
        <v>4.4</v>
      </c>
      <c r="Q13" s="8"/>
      <c r="R13" s="7"/>
      <c r="S13" s="7"/>
      <c r="T13" s="7" t="n">
        <v>35.7</v>
      </c>
      <c r="U13" s="8" t="n">
        <f aca="false">U12-T13</f>
        <v>13544.1133148475</v>
      </c>
      <c r="V13" s="7" t="n">
        <f aca="false">P13+R13+S13+T13</f>
        <v>40.1</v>
      </c>
      <c r="W13" s="7"/>
      <c r="X13" s="7" t="n">
        <f aca="false">V13+W13</f>
        <v>40.1</v>
      </c>
      <c r="Y13" s="11" t="n">
        <v>0</v>
      </c>
      <c r="Z13" s="12" t="n">
        <v>46</v>
      </c>
      <c r="AA13" s="12" t="n">
        <v>18</v>
      </c>
      <c r="AB13" s="13" t="n">
        <f aca="false">AB12+1</f>
        <v>4</v>
      </c>
      <c r="AC13" s="0" t="n">
        <v>1122</v>
      </c>
      <c r="AD13" s="29" t="n">
        <v>3347</v>
      </c>
    </row>
    <row r="14" customFormat="false" ht="11.1" hidden="false" customHeight="true" outlineLevel="0" collapsed="false">
      <c r="A14" s="13" t="n">
        <f aca="false">A13+1</f>
        <v>5</v>
      </c>
      <c r="B14" s="27" t="n">
        <v>6906.89</v>
      </c>
      <c r="C14" s="8" t="n">
        <v>309711</v>
      </c>
      <c r="D14" s="12" t="n">
        <f aca="false">C14-C13</f>
        <v>0</v>
      </c>
      <c r="E14" s="8" t="n">
        <f aca="false">C14-152000</f>
        <v>157711</v>
      </c>
      <c r="F14" s="7" t="n">
        <f aca="false">D14/$D$2</f>
        <v>0</v>
      </c>
      <c r="G14" s="7" t="n">
        <v>40.1</v>
      </c>
      <c r="H14" s="9" t="n">
        <v>0</v>
      </c>
      <c r="I14" s="7" t="n">
        <f aca="false">G14+H14</f>
        <v>40.1</v>
      </c>
      <c r="J14" s="38"/>
      <c r="K14" s="7" t="n">
        <f aca="false">I14+J14</f>
        <v>40.1</v>
      </c>
      <c r="L14" s="7" t="n">
        <f aca="false">F14-(I14-V14)</f>
        <v>-0.0399999999999991</v>
      </c>
      <c r="M14" s="7" t="n">
        <v>4.36</v>
      </c>
      <c r="N14" s="7"/>
      <c r="O14" s="7"/>
      <c r="P14" s="7" t="n">
        <f aca="false">SUM(M14:O14)</f>
        <v>4.36</v>
      </c>
      <c r="Q14" s="8"/>
      <c r="R14" s="7"/>
      <c r="S14" s="7"/>
      <c r="T14" s="7" t="n">
        <v>35.7</v>
      </c>
      <c r="U14" s="8" t="n">
        <f aca="false">U13-T14</f>
        <v>13508.4133148475</v>
      </c>
      <c r="V14" s="7" t="n">
        <f aca="false">P14+R14+S14+T14</f>
        <v>40.06</v>
      </c>
      <c r="W14" s="7"/>
      <c r="X14" s="7" t="n">
        <f aca="false">V14+W14</f>
        <v>40.06</v>
      </c>
      <c r="Y14" s="11" t="n">
        <v>0</v>
      </c>
      <c r="Z14" s="12" t="n">
        <v>48</v>
      </c>
      <c r="AA14" s="12" t="n">
        <v>18</v>
      </c>
      <c r="AB14" s="13" t="n">
        <f aca="false">AB13+1</f>
        <v>5</v>
      </c>
      <c r="AC14" s="0" t="n">
        <v>1157</v>
      </c>
      <c r="AD14" s="29" t="n">
        <v>3444</v>
      </c>
    </row>
    <row r="15" customFormat="false" ht="11.1" hidden="false" customHeight="true" outlineLevel="0" collapsed="false">
      <c r="A15" s="13" t="n">
        <f aca="false">A14+1</f>
        <v>6</v>
      </c>
      <c r="B15" s="27" t="n">
        <v>6906.89</v>
      </c>
      <c r="C15" s="8" t="n">
        <v>309711</v>
      </c>
      <c r="D15" s="12" t="n">
        <f aca="false">C15-C14</f>
        <v>0</v>
      </c>
      <c r="E15" s="8" t="n">
        <f aca="false">C15-152000</f>
        <v>157711</v>
      </c>
      <c r="F15" s="7" t="n">
        <f aca="false">D15/$D$2</f>
        <v>0</v>
      </c>
      <c r="G15" s="7" t="n">
        <v>40</v>
      </c>
      <c r="H15" s="9" t="n">
        <v>0</v>
      </c>
      <c r="I15" s="7" t="n">
        <f aca="false">G15+H15</f>
        <v>40</v>
      </c>
      <c r="J15" s="38"/>
      <c r="K15" s="7" t="n">
        <f aca="false">I15+J15</f>
        <v>40</v>
      </c>
      <c r="L15" s="7" t="n">
        <f aca="false">F15-(I15-V15)</f>
        <v>0.0300000000000011</v>
      </c>
      <c r="M15" s="7" t="n">
        <v>4.36</v>
      </c>
      <c r="N15" s="7"/>
      <c r="O15" s="7"/>
      <c r="P15" s="7" t="n">
        <f aca="false">SUM(M15:O15)</f>
        <v>4.36</v>
      </c>
      <c r="Q15" s="8"/>
      <c r="R15" s="7"/>
      <c r="S15" s="7"/>
      <c r="T15" s="7" t="n">
        <v>35.67</v>
      </c>
      <c r="U15" s="8" t="n">
        <f aca="false">U14-T15</f>
        <v>13472.7433148475</v>
      </c>
      <c r="V15" s="7" t="n">
        <f aca="false">P15+R15+S15+T15</f>
        <v>40.03</v>
      </c>
      <c r="W15" s="7"/>
      <c r="X15" s="7" t="n">
        <f aca="false">V15+W15</f>
        <v>40.03</v>
      </c>
      <c r="Y15" s="11" t="n">
        <v>0</v>
      </c>
      <c r="Z15" s="12" t="n">
        <v>49</v>
      </c>
      <c r="AA15" s="12" t="n">
        <v>24</v>
      </c>
      <c r="AB15" s="13" t="n">
        <f aca="false">AB14+1</f>
        <v>6</v>
      </c>
      <c r="AC15" s="0" t="n">
        <v>1173</v>
      </c>
      <c r="AD15" s="29" t="n">
        <v>3541</v>
      </c>
      <c r="AE15" s="0" t="n">
        <v>132.9</v>
      </c>
    </row>
    <row r="16" customFormat="false" ht="11.1" hidden="false" customHeight="true" outlineLevel="0" collapsed="false">
      <c r="A16" s="13" t="n">
        <f aca="false">A15+1</f>
        <v>7</v>
      </c>
      <c r="B16" s="27" t="n">
        <v>6906.91</v>
      </c>
      <c r="C16" s="8" t="n">
        <v>309789</v>
      </c>
      <c r="D16" s="12" t="n">
        <f aca="false">C16-C15</f>
        <v>78</v>
      </c>
      <c r="E16" s="8" t="n">
        <f aca="false">C16-152000</f>
        <v>157789</v>
      </c>
      <c r="F16" s="7" t="n">
        <f aca="false">D16/$D$2</f>
        <v>39.3343419062027</v>
      </c>
      <c r="G16" s="7" t="n">
        <v>79.4</v>
      </c>
      <c r="H16" s="9" t="n">
        <v>0</v>
      </c>
      <c r="I16" s="7" t="n">
        <f aca="false">G16+H16</f>
        <v>79.4</v>
      </c>
      <c r="J16" s="38"/>
      <c r="K16" s="7" t="n">
        <f aca="false">I16+J16</f>
        <v>79.4</v>
      </c>
      <c r="L16" s="7" t="n">
        <f aca="false">F16-(I16-V16)</f>
        <v>0.0243419062027215</v>
      </c>
      <c r="M16" s="7" t="n">
        <v>4.39</v>
      </c>
      <c r="N16" s="7"/>
      <c r="O16" s="7"/>
      <c r="P16" s="7" t="n">
        <f aca="false">SUM(M16:O16)</f>
        <v>4.39</v>
      </c>
      <c r="Q16" s="8"/>
      <c r="R16" s="7"/>
      <c r="S16" s="7"/>
      <c r="T16" s="7" t="n">
        <v>35.7</v>
      </c>
      <c r="U16" s="8" t="n">
        <f aca="false">U15-T16</f>
        <v>13437.0433148475</v>
      </c>
      <c r="V16" s="7" t="n">
        <f aca="false">P16+R16+S16+T16</f>
        <v>40.09</v>
      </c>
      <c r="W16" s="7"/>
      <c r="X16" s="7" t="n">
        <f aca="false">V16+W16</f>
        <v>40.09</v>
      </c>
      <c r="Y16" s="11" t="n">
        <v>0</v>
      </c>
      <c r="Z16" s="12" t="n">
        <v>53</v>
      </c>
      <c r="AA16" s="12" t="n">
        <v>19</v>
      </c>
      <c r="AB16" s="13" t="n">
        <f aca="false">AB15+1</f>
        <v>7</v>
      </c>
      <c r="AC16" s="14" t="n">
        <v>1173</v>
      </c>
      <c r="AD16" s="29" t="n">
        <v>3628</v>
      </c>
      <c r="AE16" s="0" t="n">
        <v>138.06</v>
      </c>
    </row>
    <row r="17" customFormat="false" ht="11.1" hidden="false" customHeight="true" outlineLevel="0" collapsed="false">
      <c r="A17" s="13" t="n">
        <f aca="false">A16+1</f>
        <v>8</v>
      </c>
      <c r="B17" s="27" t="n">
        <v>6906.91</v>
      </c>
      <c r="C17" s="8" t="n">
        <v>309789</v>
      </c>
      <c r="D17" s="12" t="n">
        <f aca="false">C17-C16</f>
        <v>0</v>
      </c>
      <c r="E17" s="8" t="n">
        <f aca="false">C17-152000</f>
        <v>157789</v>
      </c>
      <c r="F17" s="7" t="n">
        <f aca="false">D17/$D$2</f>
        <v>0</v>
      </c>
      <c r="G17" s="7" t="n">
        <v>40.1</v>
      </c>
      <c r="H17" s="9" t="n">
        <v>0</v>
      </c>
      <c r="I17" s="7" t="n">
        <f aca="false">G17+H17</f>
        <v>40.1</v>
      </c>
      <c r="J17" s="38"/>
      <c r="K17" s="7" t="n">
        <f aca="false">I17+J17</f>
        <v>40.1</v>
      </c>
      <c r="L17" s="7" t="n">
        <f aca="false">F17-(I17-V17)</f>
        <v>-0.00999999999999801</v>
      </c>
      <c r="M17" s="7" t="n">
        <v>4.39</v>
      </c>
      <c r="N17" s="7"/>
      <c r="O17" s="7"/>
      <c r="P17" s="7" t="n">
        <f aca="false">SUM(M17:O17)</f>
        <v>4.39</v>
      </c>
      <c r="Q17" s="8"/>
      <c r="R17" s="7"/>
      <c r="S17" s="7"/>
      <c r="T17" s="7" t="n">
        <v>35.7</v>
      </c>
      <c r="U17" s="8" t="n">
        <f aca="false">U16-T17</f>
        <v>13401.3433148475</v>
      </c>
      <c r="V17" s="7" t="n">
        <f aca="false">P17+R17+S17+T17</f>
        <v>40.09</v>
      </c>
      <c r="W17" s="7"/>
      <c r="X17" s="7" t="n">
        <f aca="false">V17+W17</f>
        <v>40.09</v>
      </c>
      <c r="Y17" s="11" t="n">
        <v>0</v>
      </c>
      <c r="Z17" s="12" t="n">
        <v>50</v>
      </c>
      <c r="AA17" s="12" t="n">
        <v>34</v>
      </c>
      <c r="AB17" s="13" t="n">
        <f aca="false">AB16+1</f>
        <v>8</v>
      </c>
      <c r="AC17" s="14" t="n">
        <v>1184</v>
      </c>
      <c r="AD17" s="29" t="n">
        <v>3708</v>
      </c>
      <c r="AE17" s="0" t="n">
        <v>124.16</v>
      </c>
    </row>
    <row r="18" customFormat="false" ht="11.1" hidden="false" customHeight="true" outlineLevel="0" collapsed="false">
      <c r="A18" s="13" t="n">
        <f aca="false">A17+1</f>
        <v>9</v>
      </c>
      <c r="B18" s="27" t="n">
        <v>6906.92</v>
      </c>
      <c r="C18" s="8" t="n">
        <v>309827</v>
      </c>
      <c r="D18" s="12" t="n">
        <f aca="false">C18-C17</f>
        <v>38</v>
      </c>
      <c r="E18" s="8" t="n">
        <f aca="false">C18-152000</f>
        <v>157827</v>
      </c>
      <c r="F18" s="7" t="n">
        <f aca="false">D18/$D$2</f>
        <v>19.1628845184065</v>
      </c>
      <c r="G18" s="7" t="n">
        <v>59.1</v>
      </c>
      <c r="H18" s="9" t="n">
        <v>0</v>
      </c>
      <c r="I18" s="7" t="n">
        <f aca="false">G18+H18</f>
        <v>59.1</v>
      </c>
      <c r="J18" s="38"/>
      <c r="K18" s="7" t="n">
        <f aca="false">I18+J18</f>
        <v>59.1</v>
      </c>
      <c r="L18" s="7" t="n">
        <f aca="false">F18-(I18-V18)</f>
        <v>0.0428845184064564</v>
      </c>
      <c r="M18" s="7" t="n">
        <v>4.28</v>
      </c>
      <c r="N18" s="7"/>
      <c r="O18" s="7"/>
      <c r="P18" s="7" t="n">
        <f aca="false">SUM(M18:O18)</f>
        <v>4.28</v>
      </c>
      <c r="Q18" s="8"/>
      <c r="R18" s="7"/>
      <c r="S18" s="7"/>
      <c r="T18" s="7" t="n">
        <v>35.7</v>
      </c>
      <c r="U18" s="8" t="n">
        <f aca="false">U17-T18</f>
        <v>13365.6433148475</v>
      </c>
      <c r="V18" s="7" t="n">
        <f aca="false">P18+R18+S18+T18</f>
        <v>39.98</v>
      </c>
      <c r="W18" s="7"/>
      <c r="X18" s="7" t="n">
        <f aca="false">V18+W18</f>
        <v>39.98</v>
      </c>
      <c r="Y18" s="11" t="n">
        <v>0</v>
      </c>
      <c r="Z18" s="38" t="n">
        <v>54</v>
      </c>
      <c r="AA18" s="12" t="n">
        <v>22</v>
      </c>
      <c r="AB18" s="13" t="n">
        <f aca="false">AB17+1</f>
        <v>9</v>
      </c>
      <c r="AC18" s="14" t="n">
        <v>19</v>
      </c>
      <c r="AD18" s="29" t="n">
        <v>3787</v>
      </c>
      <c r="AE18" s="0" t="n">
        <v>91</v>
      </c>
    </row>
    <row r="19" customFormat="false" ht="11.1" hidden="false" customHeight="true" outlineLevel="0" collapsed="false">
      <c r="A19" s="13" t="n">
        <f aca="false">A18+1</f>
        <v>10</v>
      </c>
      <c r="B19" s="27" t="n">
        <v>6906.92</v>
      </c>
      <c r="C19" s="8" t="n">
        <v>309827</v>
      </c>
      <c r="D19" s="12" t="n">
        <f aca="false">C19-C18</f>
        <v>0</v>
      </c>
      <c r="E19" s="8" t="n">
        <f aca="false">C19-152000</f>
        <v>157827</v>
      </c>
      <c r="F19" s="7" t="n">
        <f aca="false">D19/$D$2</f>
        <v>0</v>
      </c>
      <c r="G19" s="7" t="n">
        <v>40.1</v>
      </c>
      <c r="H19" s="9" t="n">
        <v>0</v>
      </c>
      <c r="I19" s="7" t="n">
        <f aca="false">G19+H19</f>
        <v>40.1</v>
      </c>
      <c r="J19" s="38"/>
      <c r="K19" s="7" t="n">
        <f aca="false">I19+J19</f>
        <v>40.1</v>
      </c>
      <c r="L19" s="7" t="n">
        <f aca="false">F19-(I19-V19)</f>
        <v>-0.0399999999999991</v>
      </c>
      <c r="M19" s="7" t="n">
        <v>4.36</v>
      </c>
      <c r="N19" s="7"/>
      <c r="O19" s="7"/>
      <c r="P19" s="7" t="n">
        <f aca="false">SUM(M19:O19)</f>
        <v>4.36</v>
      </c>
      <c r="Q19" s="8"/>
      <c r="R19" s="7"/>
      <c r="S19" s="7"/>
      <c r="T19" s="7" t="n">
        <v>35.7</v>
      </c>
      <c r="U19" s="8" t="n">
        <f aca="false">U18-T19</f>
        <v>13329.9433148475</v>
      </c>
      <c r="V19" s="7" t="n">
        <f aca="false">P19+R19+S19+T19</f>
        <v>40.06</v>
      </c>
      <c r="W19" s="7"/>
      <c r="X19" s="7" t="n">
        <f aca="false">V19+W19</f>
        <v>40.06</v>
      </c>
      <c r="Y19" s="11" t="n">
        <v>0</v>
      </c>
      <c r="Z19" s="12" t="n">
        <v>55</v>
      </c>
      <c r="AA19" s="12" t="n">
        <v>21</v>
      </c>
      <c r="AB19" s="13" t="n">
        <f aca="false">AB18+1</f>
        <v>10</v>
      </c>
      <c r="AC19" s="14" t="n">
        <v>29</v>
      </c>
      <c r="AD19" s="29" t="n">
        <v>3867</v>
      </c>
      <c r="AE19" s="0" t="n">
        <v>88.73</v>
      </c>
    </row>
    <row r="20" customFormat="false" ht="11.1" hidden="false" customHeight="true" outlineLevel="0" collapsed="false">
      <c r="A20" s="13" t="n">
        <f aca="false">A19+1</f>
        <v>11</v>
      </c>
      <c r="B20" s="27" t="n">
        <v>6906.99</v>
      </c>
      <c r="C20" s="8" t="n">
        <v>310100</v>
      </c>
      <c r="D20" s="12" t="n">
        <f aca="false">C20-C19</f>
        <v>273</v>
      </c>
      <c r="E20" s="8" t="n">
        <f aca="false">C20-152000</f>
        <v>158100</v>
      </c>
      <c r="F20" s="7" t="n">
        <f aca="false">D20/$D$2</f>
        <v>137.67019667171</v>
      </c>
      <c r="G20" s="7" t="n">
        <v>177.7</v>
      </c>
      <c r="H20" s="9" t="n">
        <v>0</v>
      </c>
      <c r="I20" s="7" t="n">
        <f aca="false">G20+H20</f>
        <v>177.7</v>
      </c>
      <c r="J20" s="38"/>
      <c r="K20" s="7" t="n">
        <f aca="false">I20+J20</f>
        <v>177.7</v>
      </c>
      <c r="L20" s="7" t="n">
        <f aca="false">F20-(I20-V20)</f>
        <v>0.0401966717095377</v>
      </c>
      <c r="M20" s="7" t="n">
        <v>4.4</v>
      </c>
      <c r="N20" s="7"/>
      <c r="O20" s="7"/>
      <c r="P20" s="7" t="n">
        <f aca="false">SUM(M20:O20)</f>
        <v>4.4</v>
      </c>
      <c r="Q20" s="8"/>
      <c r="R20" s="7"/>
      <c r="S20" s="7"/>
      <c r="T20" s="7" t="n">
        <v>35.67</v>
      </c>
      <c r="U20" s="8" t="n">
        <f aca="false">U19-T20</f>
        <v>13294.2733148475</v>
      </c>
      <c r="V20" s="7" t="n">
        <f aca="false">P20+R20+S20+T20</f>
        <v>40.07</v>
      </c>
      <c r="W20" s="7"/>
      <c r="X20" s="7" t="n">
        <f aca="false">V20+W20</f>
        <v>40.07</v>
      </c>
      <c r="Y20" s="11" t="n">
        <v>0</v>
      </c>
      <c r="Z20" s="12" t="n">
        <v>53</v>
      </c>
      <c r="AA20" s="12" t="n">
        <v>17</v>
      </c>
      <c r="AB20" s="13" t="n">
        <f aca="false">AB19+1</f>
        <v>11</v>
      </c>
      <c r="AC20" s="14" t="n">
        <v>29</v>
      </c>
      <c r="AD20" s="29" t="n">
        <v>3933</v>
      </c>
      <c r="AE20" s="0" t="n">
        <v>85.97</v>
      </c>
    </row>
    <row r="21" customFormat="false" ht="11.1" hidden="false" customHeight="true" outlineLevel="0" collapsed="false">
      <c r="A21" s="13" t="n">
        <f aca="false">A20+1</f>
        <v>12</v>
      </c>
      <c r="B21" s="27" t="n">
        <v>6906.99</v>
      </c>
      <c r="C21" s="8" t="n">
        <v>310100</v>
      </c>
      <c r="D21" s="12" t="n">
        <f aca="false">C21-C20</f>
        <v>0</v>
      </c>
      <c r="E21" s="8" t="n">
        <f aca="false">C21-152000</f>
        <v>158100</v>
      </c>
      <c r="F21" s="7" t="n">
        <f aca="false">D21/$D$2</f>
        <v>0</v>
      </c>
      <c r="G21" s="7" t="n">
        <v>40.1</v>
      </c>
      <c r="H21" s="9" t="n">
        <v>0</v>
      </c>
      <c r="I21" s="7" t="n">
        <f aca="false">G21+H21</f>
        <v>40.1</v>
      </c>
      <c r="J21" s="38"/>
      <c r="K21" s="7" t="n">
        <f aca="false">I21+J21</f>
        <v>40.1</v>
      </c>
      <c r="L21" s="7" t="n">
        <f aca="false">F21-(I21-V21)</f>
        <v>0</v>
      </c>
      <c r="M21" s="7" t="n">
        <v>4.3</v>
      </c>
      <c r="N21" s="7"/>
      <c r="O21" s="7"/>
      <c r="P21" s="7" t="n">
        <f aca="false">SUM(M21:O21)</f>
        <v>4.3</v>
      </c>
      <c r="Q21" s="8"/>
      <c r="R21" s="7"/>
      <c r="S21" s="7"/>
      <c r="T21" s="7" t="n">
        <v>35.8</v>
      </c>
      <c r="U21" s="8" t="n">
        <f aca="false">U20-T21</f>
        <v>13258.4733148475</v>
      </c>
      <c r="V21" s="7" t="n">
        <f aca="false">P21+R21+S21+T21</f>
        <v>40.1</v>
      </c>
      <c r="W21" s="7"/>
      <c r="X21" s="7" t="n">
        <f aca="false">V21+W21</f>
        <v>40.1</v>
      </c>
      <c r="Y21" s="11" t="n">
        <v>0.5</v>
      </c>
      <c r="Z21" s="12" t="n">
        <v>42</v>
      </c>
      <c r="AA21" s="12" t="n">
        <v>32</v>
      </c>
      <c r="AB21" s="13" t="n">
        <f aca="false">AB20+1</f>
        <v>12</v>
      </c>
      <c r="AC21" s="14" t="n">
        <v>39</v>
      </c>
      <c r="AD21" s="29" t="n">
        <v>3983</v>
      </c>
      <c r="AE21" s="0" t="n">
        <v>62.24</v>
      </c>
    </row>
    <row r="22" customFormat="false" ht="11.1" hidden="false" customHeight="true" outlineLevel="0" collapsed="false">
      <c r="A22" s="13" t="n">
        <f aca="false">A21+1</f>
        <v>13</v>
      </c>
      <c r="B22" s="27" t="n">
        <v>6906.99</v>
      </c>
      <c r="C22" s="8" t="n">
        <v>310100</v>
      </c>
      <c r="D22" s="12" t="n">
        <f aca="false">C22-C21</f>
        <v>0</v>
      </c>
      <c r="E22" s="8" t="n">
        <f aca="false">C22-152000</f>
        <v>158100</v>
      </c>
      <c r="F22" s="7" t="n">
        <f aca="false">D22/$D$2</f>
        <v>0</v>
      </c>
      <c r="G22" s="7" t="n">
        <v>40</v>
      </c>
      <c r="H22" s="9" t="n">
        <v>0</v>
      </c>
      <c r="I22" s="7" t="n">
        <f aca="false">G22+H22</f>
        <v>40</v>
      </c>
      <c r="J22" s="38"/>
      <c r="K22" s="7" t="n">
        <f aca="false">I22+J22</f>
        <v>40</v>
      </c>
      <c r="L22" s="7" t="n">
        <f aca="false">F22-(I22-V22)</f>
        <v>-0.0300000000000011</v>
      </c>
      <c r="M22" s="7" t="n">
        <v>4.3</v>
      </c>
      <c r="N22" s="7"/>
      <c r="O22" s="7"/>
      <c r="P22" s="7" t="n">
        <f aca="false">SUM(M22:O22)</f>
        <v>4.3</v>
      </c>
      <c r="Q22" s="8"/>
      <c r="R22" s="7"/>
      <c r="S22" s="7"/>
      <c r="T22" s="7" t="n">
        <v>35.67</v>
      </c>
      <c r="U22" s="8" t="n">
        <f aca="false">U21-T22</f>
        <v>13222.8033148475</v>
      </c>
      <c r="V22" s="7" t="n">
        <f aca="false">P22+R22+S22+T22</f>
        <v>39.97</v>
      </c>
      <c r="W22" s="7"/>
      <c r="X22" s="7" t="n">
        <f aca="false">V22+W22</f>
        <v>39.97</v>
      </c>
      <c r="Y22" s="11" t="n">
        <v>0</v>
      </c>
      <c r="Z22" s="12" t="n">
        <v>38</v>
      </c>
      <c r="AA22" s="12" t="n">
        <v>14</v>
      </c>
      <c r="AB22" s="13" t="n">
        <f aca="false">AB21+1</f>
        <v>13</v>
      </c>
      <c r="AC22" s="14" t="n">
        <v>49</v>
      </c>
      <c r="AD22" s="29" t="n">
        <v>4033</v>
      </c>
      <c r="AE22" s="0" t="n">
        <v>64.92</v>
      </c>
    </row>
    <row r="23" customFormat="false" ht="11.1" hidden="false" customHeight="true" outlineLevel="0" collapsed="false">
      <c r="A23" s="13" t="n">
        <f aca="false">A22+1</f>
        <v>14</v>
      </c>
      <c r="B23" s="27" t="n">
        <v>6907</v>
      </c>
      <c r="C23" s="8" t="n">
        <v>310138</v>
      </c>
      <c r="D23" s="12" t="n">
        <f aca="false">C23-C22</f>
        <v>38</v>
      </c>
      <c r="E23" s="8" t="n">
        <f aca="false">C23-152000</f>
        <v>158138</v>
      </c>
      <c r="F23" s="7" t="n">
        <f aca="false">D23/$D$2</f>
        <v>19.1628845184065</v>
      </c>
      <c r="G23" s="7" t="n">
        <v>58.8</v>
      </c>
      <c r="H23" s="9" t="n">
        <v>0</v>
      </c>
      <c r="I23" s="7" t="n">
        <f aca="false">G23+H23</f>
        <v>58.8</v>
      </c>
      <c r="J23" s="38"/>
      <c r="K23" s="7" t="n">
        <f aca="false">I23+J23</f>
        <v>58.8</v>
      </c>
      <c r="L23" s="7" t="n">
        <f aca="false">F23-(I23-V23)</f>
        <v>-0.04711548159354</v>
      </c>
      <c r="M23" s="7" t="n">
        <v>3.89</v>
      </c>
      <c r="N23" s="7"/>
      <c r="O23" s="7"/>
      <c r="P23" s="7" t="n">
        <f aca="false">SUM(M23:O23)</f>
        <v>3.89</v>
      </c>
      <c r="Q23" s="8"/>
      <c r="R23" s="7"/>
      <c r="S23" s="7"/>
      <c r="T23" s="7" t="n">
        <v>35.7</v>
      </c>
      <c r="U23" s="8" t="n">
        <f aca="false">U22-T23</f>
        <v>13187.1033148475</v>
      </c>
      <c r="V23" s="7" t="n">
        <f aca="false">P23+R23+S23+T23</f>
        <v>39.59</v>
      </c>
      <c r="W23" s="7"/>
      <c r="X23" s="7" t="n">
        <f aca="false">V23+W23</f>
        <v>39.59</v>
      </c>
      <c r="Y23" s="11" t="n">
        <v>0</v>
      </c>
      <c r="Z23" s="38" t="n">
        <v>46</v>
      </c>
      <c r="AA23" s="12" t="n">
        <v>8</v>
      </c>
      <c r="AB23" s="13" t="n">
        <f aca="false">AB22+1</f>
        <v>14</v>
      </c>
      <c r="AC23" s="14" t="n">
        <v>49</v>
      </c>
      <c r="AD23" s="29" t="n">
        <v>4080</v>
      </c>
      <c r="AE23" s="0" t="n">
        <v>59.81</v>
      </c>
    </row>
    <row r="24" customFormat="false" ht="11.1" hidden="false" customHeight="true" outlineLevel="0" collapsed="false">
      <c r="A24" s="13" t="n">
        <f aca="false">A23+1</f>
        <v>15</v>
      </c>
      <c r="B24" s="27" t="n">
        <v>6907.07</v>
      </c>
      <c r="C24" s="8" t="n">
        <v>310412</v>
      </c>
      <c r="D24" s="12" t="n">
        <f aca="false">C24-C23</f>
        <v>274</v>
      </c>
      <c r="E24" s="8" t="n">
        <f aca="false">C24-152000</f>
        <v>158412</v>
      </c>
      <c r="F24" s="7" t="n">
        <f aca="false">D24/$D$2</f>
        <v>138.174483106404</v>
      </c>
      <c r="G24" s="7" t="n">
        <v>177.5</v>
      </c>
      <c r="H24" s="9" t="n">
        <v>0</v>
      </c>
      <c r="I24" s="7" t="n">
        <f aca="false">G24+H24</f>
        <v>177.5</v>
      </c>
      <c r="J24" s="38"/>
      <c r="K24" s="7" t="n">
        <f aca="false">I24+J24</f>
        <v>177.5</v>
      </c>
      <c r="L24" s="7" t="n">
        <f aca="false">F24-(I24-V24)</f>
        <v>0.024483106404432</v>
      </c>
      <c r="M24" s="7" t="n">
        <v>3.72</v>
      </c>
      <c r="N24" s="7"/>
      <c r="O24" s="7"/>
      <c r="P24" s="7" t="n">
        <f aca="false">SUM(M24:O24)</f>
        <v>3.72</v>
      </c>
      <c r="Q24" s="8"/>
      <c r="R24" s="7"/>
      <c r="S24" s="7"/>
      <c r="T24" s="7" t="n">
        <v>35.63</v>
      </c>
      <c r="U24" s="8" t="n">
        <f aca="false">U23-T24</f>
        <v>13151.4733148475</v>
      </c>
      <c r="V24" s="7" t="n">
        <f aca="false">P24+R24+S24+T24</f>
        <v>39.35</v>
      </c>
      <c r="W24" s="7"/>
      <c r="X24" s="7" t="n">
        <f aca="false">V24+W24</f>
        <v>39.35</v>
      </c>
      <c r="Y24" s="11" t="n">
        <v>0.27</v>
      </c>
      <c r="Z24" s="38" t="n">
        <v>36</v>
      </c>
      <c r="AA24" s="12" t="n">
        <v>28</v>
      </c>
      <c r="AB24" s="13" t="n">
        <f aca="false">AB23+1</f>
        <v>15</v>
      </c>
      <c r="AC24" s="14" t="n">
        <v>49</v>
      </c>
      <c r="AD24" s="29" t="n">
        <v>4110</v>
      </c>
      <c r="AE24" s="0" t="n">
        <v>29.1</v>
      </c>
    </row>
    <row r="25" customFormat="false" ht="11.1" hidden="false" customHeight="true" outlineLevel="0" collapsed="false">
      <c r="A25" s="13" t="n">
        <f aca="false">A24+1</f>
        <v>16</v>
      </c>
      <c r="B25" s="27" t="n">
        <v>6907.06</v>
      </c>
      <c r="C25" s="8" t="n">
        <v>310373</v>
      </c>
      <c r="D25" s="12" t="n">
        <f aca="false">C25-C24</f>
        <v>-39</v>
      </c>
      <c r="E25" s="8" t="n">
        <f aca="false">C25-152000</f>
        <v>158373</v>
      </c>
      <c r="F25" s="7" t="n">
        <f aca="false">D25/$D$2</f>
        <v>-19.6671709531014</v>
      </c>
      <c r="G25" s="7" t="n">
        <v>17.3</v>
      </c>
      <c r="H25" s="9" t="n">
        <v>0</v>
      </c>
      <c r="I25" s="7" t="n">
        <f aca="false">G25+H25</f>
        <v>17.3</v>
      </c>
      <c r="J25" s="38"/>
      <c r="K25" s="7" t="n">
        <f aca="false">I25+J25</f>
        <v>17.3</v>
      </c>
      <c r="L25" s="7" t="n">
        <f aca="false">F25-(I25-V25)</f>
        <v>0.0228290468986394</v>
      </c>
      <c r="M25" s="7" t="n">
        <v>3.72</v>
      </c>
      <c r="N25" s="7"/>
      <c r="O25" s="7"/>
      <c r="P25" s="7" t="n">
        <f aca="false">SUM(M25:O25)</f>
        <v>3.72</v>
      </c>
      <c r="Q25" s="8"/>
      <c r="R25" s="7"/>
      <c r="S25" s="7"/>
      <c r="T25" s="7" t="n">
        <v>33.27</v>
      </c>
      <c r="U25" s="8" t="n">
        <f aca="false">U24-T25</f>
        <v>13118.2033148475</v>
      </c>
      <c r="V25" s="7" t="n">
        <f aca="false">P25+R25+S25+T25</f>
        <v>36.99</v>
      </c>
      <c r="W25" s="7"/>
      <c r="X25" s="7" t="n">
        <f aca="false">V25+W25</f>
        <v>36.99</v>
      </c>
      <c r="Y25" s="11" t="n">
        <v>0</v>
      </c>
      <c r="Z25" s="38" t="n">
        <v>39</v>
      </c>
      <c r="AA25" s="12" t="n">
        <v>22</v>
      </c>
      <c r="AB25" s="13" t="n">
        <f aca="false">AB24+1</f>
        <v>16</v>
      </c>
      <c r="AC25" s="14" t="n">
        <v>49</v>
      </c>
      <c r="AD25" s="29" t="n">
        <v>4140</v>
      </c>
      <c r="AE25" s="0" t="n">
        <v>26.14</v>
      </c>
    </row>
    <row r="26" customFormat="false" ht="11.1" hidden="false" customHeight="true" outlineLevel="0" collapsed="false">
      <c r="A26" s="13" t="n">
        <f aca="false">A25+1</f>
        <v>17</v>
      </c>
      <c r="B26" s="27" t="n">
        <v>6907.05</v>
      </c>
      <c r="C26" s="8" t="n">
        <v>310333</v>
      </c>
      <c r="D26" s="12" t="n">
        <f aca="false">C26-C25</f>
        <v>-40</v>
      </c>
      <c r="E26" s="8" t="n">
        <f aca="false">C26-152000</f>
        <v>158333</v>
      </c>
      <c r="F26" s="7" t="n">
        <f aca="false">D26/$D$2</f>
        <v>-20.1714573877963</v>
      </c>
      <c r="G26" s="7" t="n">
        <v>14</v>
      </c>
      <c r="H26" s="9" t="n">
        <v>0</v>
      </c>
      <c r="I26" s="7" t="n">
        <f aca="false">G26+H26</f>
        <v>14</v>
      </c>
      <c r="J26" s="38"/>
      <c r="K26" s="7" t="n">
        <f aca="false">I26+J26</f>
        <v>14</v>
      </c>
      <c r="L26" s="7" t="n">
        <f aca="false">F26-(I26-V26)</f>
        <v>0.0485426122037325</v>
      </c>
      <c r="M26" s="7" t="n">
        <v>3.72</v>
      </c>
      <c r="N26" s="7"/>
      <c r="O26" s="7"/>
      <c r="P26" s="7" t="n">
        <f aca="false">SUM(M26:O26)</f>
        <v>3.72</v>
      </c>
      <c r="Q26" s="8"/>
      <c r="R26" s="7"/>
      <c r="S26" s="7"/>
      <c r="T26" s="7" t="n">
        <v>30.5</v>
      </c>
      <c r="U26" s="8" t="n">
        <f aca="false">U25-T26</f>
        <v>13087.7033148475</v>
      </c>
      <c r="V26" s="7" t="n">
        <f aca="false">P26+R26+S26+T26</f>
        <v>34.22</v>
      </c>
      <c r="W26" s="7"/>
      <c r="X26" s="7" t="n">
        <f aca="false">V26+W26</f>
        <v>34.22</v>
      </c>
      <c r="Y26" s="11" t="n">
        <v>0</v>
      </c>
      <c r="Z26" s="38" t="n">
        <v>37</v>
      </c>
      <c r="AA26" s="12" t="n">
        <v>0</v>
      </c>
      <c r="AB26" s="13" t="n">
        <f aca="false">AB25+1</f>
        <v>17</v>
      </c>
      <c r="AC26" s="14" t="n">
        <v>49</v>
      </c>
      <c r="AD26" s="44" t="n">
        <v>4170</v>
      </c>
      <c r="AE26" s="0" t="n">
        <v>26.41</v>
      </c>
    </row>
    <row r="27" customFormat="false" ht="11.1" hidden="false" customHeight="true" outlineLevel="0" collapsed="false">
      <c r="A27" s="13" t="n">
        <f aca="false">A26+1</f>
        <v>18</v>
      </c>
      <c r="B27" s="27" t="n">
        <v>6907.04</v>
      </c>
      <c r="C27" s="8" t="n">
        <v>310295</v>
      </c>
      <c r="D27" s="12" t="n">
        <f aca="false">C27-C26</f>
        <v>-38</v>
      </c>
      <c r="E27" s="8" t="n">
        <f aca="false">C27-152000</f>
        <v>158295</v>
      </c>
      <c r="F27" s="7" t="n">
        <f aca="false">D27/$D$2</f>
        <v>-19.1628845184065</v>
      </c>
      <c r="G27" s="7" t="n">
        <v>15.1</v>
      </c>
      <c r="H27" s="9" t="n">
        <v>0</v>
      </c>
      <c r="I27" s="7" t="n">
        <f aca="false">G27+H27</f>
        <v>15.1</v>
      </c>
      <c r="J27" s="38"/>
      <c r="K27" s="7" t="n">
        <f aca="false">I27+J27</f>
        <v>15.1</v>
      </c>
      <c r="L27" s="7" t="n">
        <f aca="false">F27-(I27-V27)</f>
        <v>-0.0428845184064564</v>
      </c>
      <c r="M27" s="7" t="n">
        <v>3.72</v>
      </c>
      <c r="N27" s="7"/>
      <c r="O27" s="7"/>
      <c r="P27" s="7" t="n">
        <f aca="false">SUM(M27:O27)</f>
        <v>3.72</v>
      </c>
      <c r="Q27" s="8"/>
      <c r="R27" s="7"/>
      <c r="S27" s="7"/>
      <c r="T27" s="7" t="n">
        <v>30.5</v>
      </c>
      <c r="U27" s="8" t="n">
        <f aca="false">U26-T27</f>
        <v>13057.2033148475</v>
      </c>
      <c r="V27" s="7" t="n">
        <f aca="false">P27+R27+S27+T27</f>
        <v>34.22</v>
      </c>
      <c r="W27" s="7"/>
      <c r="X27" s="7" t="n">
        <f aca="false">V27+W27</f>
        <v>34.22</v>
      </c>
      <c r="Y27" s="11" t="n">
        <v>0</v>
      </c>
      <c r="Z27" s="38" t="n">
        <v>40</v>
      </c>
      <c r="AA27" s="12" t="n">
        <v>9</v>
      </c>
      <c r="AB27" s="13" t="n">
        <f aca="false">AB26+1</f>
        <v>18</v>
      </c>
      <c r="AC27" s="14" t="n">
        <v>49</v>
      </c>
      <c r="AD27" s="29" t="n">
        <v>4195</v>
      </c>
      <c r="AE27" s="0" t="n">
        <v>25.38</v>
      </c>
    </row>
    <row r="28" customFormat="false" ht="11.1" hidden="false" customHeight="true" outlineLevel="0" collapsed="false">
      <c r="A28" s="13" t="n">
        <f aca="false">A27+1</f>
        <v>19</v>
      </c>
      <c r="B28" s="27" t="n">
        <v>6907.04</v>
      </c>
      <c r="C28" s="8" t="n">
        <v>310295</v>
      </c>
      <c r="D28" s="12" t="n">
        <f aca="false">C28-C27</f>
        <v>0</v>
      </c>
      <c r="E28" s="8" t="n">
        <f aca="false">C28-152000</f>
        <v>158295</v>
      </c>
      <c r="F28" s="7" t="n">
        <f aca="false">D28/$D$2</f>
        <v>0</v>
      </c>
      <c r="G28" s="7" t="n">
        <v>34.2</v>
      </c>
      <c r="H28" s="9" t="n">
        <v>0</v>
      </c>
      <c r="I28" s="7" t="n">
        <f aca="false">G28+H28</f>
        <v>34.2</v>
      </c>
      <c r="J28" s="38"/>
      <c r="K28" s="7" t="n">
        <f aca="false">I28+J28</f>
        <v>34.2</v>
      </c>
      <c r="L28" s="7" t="n">
        <f aca="false">F28-(I28-V28)</f>
        <v>0.019999999999996</v>
      </c>
      <c r="M28" s="7" t="n">
        <v>3.72</v>
      </c>
      <c r="N28" s="7"/>
      <c r="O28" s="7"/>
      <c r="P28" s="7" t="n">
        <f aca="false">SUM(M28:O28)</f>
        <v>3.72</v>
      </c>
      <c r="Q28" s="8"/>
      <c r="R28" s="7"/>
      <c r="S28" s="7"/>
      <c r="T28" s="7" t="n">
        <v>30.5</v>
      </c>
      <c r="U28" s="8" t="n">
        <f aca="false">U27-T28</f>
        <v>13026.7033148475</v>
      </c>
      <c r="V28" s="7" t="n">
        <f aca="false">P28+R28+S28+T28</f>
        <v>34.22</v>
      </c>
      <c r="W28" s="7"/>
      <c r="X28" s="7" t="n">
        <f aca="false">V28+W28</f>
        <v>34.22</v>
      </c>
      <c r="Y28" s="11" t="n">
        <v>0</v>
      </c>
      <c r="Z28" s="38" t="n">
        <v>39</v>
      </c>
      <c r="AA28" s="12" t="n">
        <v>16</v>
      </c>
      <c r="AB28" s="13" t="n">
        <f aca="false">AB27+1</f>
        <v>19</v>
      </c>
      <c r="AC28" s="14" t="n">
        <v>49</v>
      </c>
      <c r="AD28" s="29" t="n">
        <v>4218</v>
      </c>
      <c r="AE28" s="0" t="n">
        <v>23.79</v>
      </c>
    </row>
    <row r="29" customFormat="false" ht="11.1" hidden="false" customHeight="true" outlineLevel="0" collapsed="false">
      <c r="A29" s="13" t="n">
        <f aca="false">A28+1</f>
        <v>20</v>
      </c>
      <c r="B29" s="27" t="n">
        <v>6907.05</v>
      </c>
      <c r="C29" s="8" t="n">
        <v>310333</v>
      </c>
      <c r="D29" s="12" t="n">
        <f aca="false">C29-C28</f>
        <v>38</v>
      </c>
      <c r="E29" s="8" t="n">
        <f aca="false">C29-152000</f>
        <v>158333</v>
      </c>
      <c r="F29" s="7" t="n">
        <f aca="false">D29/$D$2</f>
        <v>19.1628845184065</v>
      </c>
      <c r="G29" s="7" t="n">
        <v>53.4</v>
      </c>
      <c r="H29" s="9" t="n">
        <v>0</v>
      </c>
      <c r="I29" s="7" t="n">
        <f aca="false">G29+H29</f>
        <v>53.4</v>
      </c>
      <c r="J29" s="38"/>
      <c r="K29" s="7" t="n">
        <f aca="false">I29+J29</f>
        <v>53.4</v>
      </c>
      <c r="L29" s="7" t="n">
        <f aca="false">F29-(I29-V29)</f>
        <v>-0.0171154815935459</v>
      </c>
      <c r="M29" s="7" t="n">
        <v>3.72</v>
      </c>
      <c r="N29" s="7"/>
      <c r="O29" s="7"/>
      <c r="P29" s="7" t="n">
        <f aca="false">SUM(M29:O29)</f>
        <v>3.72</v>
      </c>
      <c r="Q29" s="8"/>
      <c r="R29" s="7"/>
      <c r="S29" s="7"/>
      <c r="T29" s="7" t="n">
        <v>30.5</v>
      </c>
      <c r="U29" s="8" t="n">
        <f aca="false">U28-T29</f>
        <v>12996.2033148475</v>
      </c>
      <c r="V29" s="7" t="n">
        <f aca="false">P29+R29+S29+T29</f>
        <v>34.22</v>
      </c>
      <c r="W29" s="7"/>
      <c r="X29" s="7" t="n">
        <f aca="false">V29+W29</f>
        <v>34.22</v>
      </c>
      <c r="Y29" s="11" t="n">
        <v>0</v>
      </c>
      <c r="Z29" s="38" t="n">
        <v>40</v>
      </c>
      <c r="AA29" s="12" t="n">
        <v>8</v>
      </c>
      <c r="AB29" s="13" t="n">
        <f aca="false">AB28+1</f>
        <v>20</v>
      </c>
      <c r="AC29" s="14" t="n">
        <v>49</v>
      </c>
      <c r="AD29" s="29" t="n">
        <v>4275</v>
      </c>
      <c r="AE29" s="0" t="n">
        <v>23.99</v>
      </c>
    </row>
    <row r="30" customFormat="false" ht="11.1" hidden="false" customHeight="true" outlineLevel="0" collapsed="false">
      <c r="A30" s="13" t="n">
        <f aca="false">A29+1</f>
        <v>21</v>
      </c>
      <c r="B30" s="27" t="n">
        <v>6907.06</v>
      </c>
      <c r="C30" s="8" t="n">
        <v>310373</v>
      </c>
      <c r="D30" s="12" t="n">
        <f aca="false">C30-C29</f>
        <v>40</v>
      </c>
      <c r="E30" s="8" t="n">
        <f aca="false">C30-152000</f>
        <v>158373</v>
      </c>
      <c r="F30" s="7" t="n">
        <f aca="false">D30/$D$2</f>
        <v>20.1714573877963</v>
      </c>
      <c r="G30" s="7" t="n">
        <v>54.4</v>
      </c>
      <c r="H30" s="9" t="n">
        <v>0</v>
      </c>
      <c r="I30" s="7" t="n">
        <f aca="false">G30+H30</f>
        <v>54.4</v>
      </c>
      <c r="J30" s="38"/>
      <c r="K30" s="7" t="n">
        <f aca="false">I30+J30</f>
        <v>54.4</v>
      </c>
      <c r="L30" s="7" t="n">
        <f aca="false">F30-(I30-V30)</f>
        <v>-0.0385426122037344</v>
      </c>
      <c r="M30" s="7" t="n">
        <v>3.72</v>
      </c>
      <c r="N30" s="7"/>
      <c r="O30" s="7"/>
      <c r="P30" s="7" t="n">
        <f aca="false">SUM(M30:O30)</f>
        <v>3.72</v>
      </c>
      <c r="Q30" s="8"/>
      <c r="R30" s="7"/>
      <c r="S30" s="7"/>
      <c r="T30" s="7" t="n">
        <v>30.47</v>
      </c>
      <c r="U30" s="8" t="n">
        <f aca="false">U29-T30</f>
        <v>12965.7333148475</v>
      </c>
      <c r="V30" s="7" t="n">
        <f aca="false">P30+R30+S30+T30</f>
        <v>34.19</v>
      </c>
      <c r="W30" s="7"/>
      <c r="X30" s="7" t="n">
        <f aca="false">V30+W30</f>
        <v>34.19</v>
      </c>
      <c r="Y30" s="11" t="n">
        <v>0</v>
      </c>
      <c r="Z30" s="12" t="n">
        <v>34</v>
      </c>
      <c r="AA30" s="12" t="n">
        <v>4</v>
      </c>
      <c r="AB30" s="13" t="n">
        <f aca="false">AB29+1</f>
        <v>21</v>
      </c>
      <c r="AC30" s="14" t="n">
        <v>49</v>
      </c>
      <c r="AD30" s="29" t="n">
        <v>4290</v>
      </c>
      <c r="AE30" s="0" t="n">
        <v>21.64</v>
      </c>
    </row>
    <row r="31" customFormat="false" ht="11.1" hidden="false" customHeight="true" outlineLevel="0" collapsed="false">
      <c r="A31" s="13" t="n">
        <f aca="false">A30+1</f>
        <v>22</v>
      </c>
      <c r="B31" s="27" t="n">
        <v>6907.06</v>
      </c>
      <c r="C31" s="8" t="n">
        <v>310373</v>
      </c>
      <c r="D31" s="12" t="n">
        <f aca="false">C31-C30</f>
        <v>0</v>
      </c>
      <c r="E31" s="8" t="n">
        <f aca="false">C31-152000</f>
        <v>158373</v>
      </c>
      <c r="F31" s="7" t="n">
        <f aca="false">D31/$D$2</f>
        <v>0</v>
      </c>
      <c r="G31" s="7" t="n">
        <v>33.7</v>
      </c>
      <c r="H31" s="9" t="n">
        <v>0</v>
      </c>
      <c r="I31" s="7" t="n">
        <f aca="false">G31+H31</f>
        <v>33.7</v>
      </c>
      <c r="J31" s="38"/>
      <c r="K31" s="7" t="n">
        <f aca="false">I31+J31</f>
        <v>33.7</v>
      </c>
      <c r="L31" s="7" t="n">
        <f aca="false">F31-(I31-V31)</f>
        <v>0</v>
      </c>
      <c r="M31" s="7" t="n">
        <v>3.72</v>
      </c>
      <c r="N31" s="7"/>
      <c r="O31" s="7"/>
      <c r="P31" s="7" t="n">
        <f aca="false">SUM(M31:O31)</f>
        <v>3.72</v>
      </c>
      <c r="Q31" s="8"/>
      <c r="R31" s="7"/>
      <c r="S31" s="7"/>
      <c r="T31" s="7" t="n">
        <v>29.98</v>
      </c>
      <c r="U31" s="8" t="n">
        <f aca="false">U30-T31</f>
        <v>12935.7533148475</v>
      </c>
      <c r="V31" s="7" t="n">
        <f aca="false">P31+R31+S31+T31</f>
        <v>33.7</v>
      </c>
      <c r="W31" s="7"/>
      <c r="X31" s="7" t="n">
        <f aca="false">V31+W31</f>
        <v>33.7</v>
      </c>
      <c r="Y31" s="11" t="n">
        <v>0</v>
      </c>
      <c r="Z31" s="12" t="n">
        <v>31</v>
      </c>
      <c r="AA31" s="12" t="n">
        <v>4</v>
      </c>
      <c r="AB31" s="13" t="n">
        <f aca="false">AB30+1</f>
        <v>22</v>
      </c>
      <c r="AC31" s="14" t="n">
        <v>49</v>
      </c>
      <c r="AD31" s="29" t="n">
        <v>4305</v>
      </c>
      <c r="AE31" s="0" t="n">
        <v>25.53</v>
      </c>
    </row>
    <row r="32" customFormat="false" ht="11.1" hidden="false" customHeight="true" outlineLevel="0" collapsed="false">
      <c r="A32" s="13" t="n">
        <f aca="false">A31+1</f>
        <v>23</v>
      </c>
      <c r="B32" s="27" t="n">
        <v>6907.05</v>
      </c>
      <c r="C32" s="8" t="n">
        <v>310333</v>
      </c>
      <c r="D32" s="12" t="n">
        <f aca="false">C32-C31</f>
        <v>-40</v>
      </c>
      <c r="E32" s="8" t="n">
        <f aca="false">C32-152000</f>
        <v>158333</v>
      </c>
      <c r="F32" s="7" t="n">
        <f aca="false">D32/$D$2</f>
        <v>-20.1714573877963</v>
      </c>
      <c r="G32" s="7" t="n">
        <v>13.2</v>
      </c>
      <c r="H32" s="9" t="n">
        <v>0</v>
      </c>
      <c r="I32" s="7" t="n">
        <f aca="false">G32+H32</f>
        <v>13.2</v>
      </c>
      <c r="J32" s="38"/>
      <c r="K32" s="7" t="n">
        <f aca="false">I32+J32</f>
        <v>13.2</v>
      </c>
      <c r="L32" s="7" t="n">
        <f aca="false">F32-(I32-V32)</f>
        <v>-0.0114573877962663</v>
      </c>
      <c r="M32" s="7" t="n">
        <v>3.59</v>
      </c>
      <c r="N32" s="7"/>
      <c r="O32" s="7"/>
      <c r="P32" s="7" t="n">
        <f aca="false">SUM(M32:O32)</f>
        <v>3.59</v>
      </c>
      <c r="Q32" s="8"/>
      <c r="R32" s="7"/>
      <c r="S32" s="7"/>
      <c r="T32" s="7" t="n">
        <v>29.77</v>
      </c>
      <c r="U32" s="8" t="n">
        <f aca="false">U31-T32</f>
        <v>12905.9833148475</v>
      </c>
      <c r="V32" s="7" t="n">
        <f aca="false">P32+R32+S32+T32</f>
        <v>33.36</v>
      </c>
      <c r="W32" s="7"/>
      <c r="X32" s="7" t="n">
        <f aca="false">V32+W32</f>
        <v>33.36</v>
      </c>
      <c r="Y32" s="11" t="n">
        <v>0</v>
      </c>
      <c r="Z32" s="12" t="n">
        <v>30</v>
      </c>
      <c r="AA32" s="38" t="n">
        <v>8</v>
      </c>
      <c r="AB32" s="13" t="n">
        <f aca="false">AB31+1</f>
        <v>23</v>
      </c>
      <c r="AC32" s="14" t="n">
        <v>49</v>
      </c>
      <c r="AD32" s="29" t="n">
        <v>4320</v>
      </c>
      <c r="AE32" s="0" t="n">
        <v>20.66</v>
      </c>
    </row>
    <row r="33" customFormat="false" ht="11.1" hidden="false" customHeight="true" outlineLevel="0" collapsed="false">
      <c r="A33" s="13" t="n">
        <f aca="false">A32+1</f>
        <v>24</v>
      </c>
      <c r="B33" s="27" t="n">
        <v>6907.06</v>
      </c>
      <c r="C33" s="8" t="n">
        <v>310373</v>
      </c>
      <c r="D33" s="12" t="n">
        <f aca="false">C33-C32</f>
        <v>40</v>
      </c>
      <c r="E33" s="8" t="n">
        <f aca="false">C33-152000</f>
        <v>158373</v>
      </c>
      <c r="F33" s="7" t="n">
        <f aca="false">D33/$D$2</f>
        <v>20.1714573877963</v>
      </c>
      <c r="G33" s="7" t="n">
        <v>53.9</v>
      </c>
      <c r="H33" s="9" t="n">
        <v>0</v>
      </c>
      <c r="I33" s="7" t="n">
        <f aca="false">G33+H33</f>
        <v>53.9</v>
      </c>
      <c r="J33" s="38"/>
      <c r="K33" s="7" t="n">
        <f aca="false">I33+J33</f>
        <v>53.9</v>
      </c>
      <c r="L33" s="7" t="n">
        <f aca="false">F33-(I33-V33)</f>
        <v>0.0314573877962658</v>
      </c>
      <c r="M33" s="7" t="n">
        <v>4.03</v>
      </c>
      <c r="N33" s="7"/>
      <c r="O33" s="7"/>
      <c r="P33" s="7" t="n">
        <f aca="false">SUM(M33:O33)</f>
        <v>4.03</v>
      </c>
      <c r="Q33" s="8"/>
      <c r="R33" s="7"/>
      <c r="S33" s="7"/>
      <c r="T33" s="7" t="n">
        <v>29.73</v>
      </c>
      <c r="U33" s="8" t="n">
        <f aca="false">U32-T33</f>
        <v>12876.2533148475</v>
      </c>
      <c r="V33" s="7" t="n">
        <f aca="false">P33+R33+S33+T33</f>
        <v>33.76</v>
      </c>
      <c r="W33" s="7"/>
      <c r="X33" s="7" t="n">
        <f aca="false">V33+W33</f>
        <v>33.76</v>
      </c>
      <c r="Y33" s="11" t="n">
        <v>0</v>
      </c>
      <c r="Z33" s="12" t="n">
        <v>33</v>
      </c>
      <c r="AA33" s="38" t="n">
        <v>11</v>
      </c>
      <c r="AB33" s="13" t="n">
        <f aca="false">AB32+1</f>
        <v>24</v>
      </c>
      <c r="AC33" s="14" t="n">
        <v>49</v>
      </c>
      <c r="AD33" s="29" t="n">
        <v>4335</v>
      </c>
      <c r="AE33" s="0" t="n">
        <v>20.3</v>
      </c>
    </row>
    <row r="34" customFormat="false" ht="11.1" hidden="false" customHeight="true" outlineLevel="0" collapsed="false">
      <c r="A34" s="13" t="n">
        <f aca="false">A33+1</f>
        <v>25</v>
      </c>
      <c r="B34" s="27" t="n">
        <v>6907.07</v>
      </c>
      <c r="C34" s="8" t="n">
        <v>310412</v>
      </c>
      <c r="D34" s="12" t="n">
        <f aca="false">C34-C33</f>
        <v>39</v>
      </c>
      <c r="E34" s="8" t="n">
        <f aca="false">C34-152000</f>
        <v>158412</v>
      </c>
      <c r="F34" s="7" t="n">
        <f aca="false">D34/$D$2</f>
        <v>19.6671709531014</v>
      </c>
      <c r="G34" s="7" t="n">
        <v>53.1</v>
      </c>
      <c r="H34" s="9" t="n">
        <v>0</v>
      </c>
      <c r="I34" s="7" t="n">
        <f aca="false">G34+H34</f>
        <v>53.1</v>
      </c>
      <c r="J34" s="38"/>
      <c r="K34" s="7" t="n">
        <f aca="false">I34+J34</f>
        <v>53.1</v>
      </c>
      <c r="L34" s="7" t="n">
        <f aca="false">F34-(I34-V34)</f>
        <v>0.0171709531013633</v>
      </c>
      <c r="M34" s="7" t="n">
        <v>3.72</v>
      </c>
      <c r="N34" s="7"/>
      <c r="O34" s="7"/>
      <c r="P34" s="7" t="n">
        <f aca="false">SUM(M34:O34)</f>
        <v>3.72</v>
      </c>
      <c r="Q34" s="8"/>
      <c r="R34" s="7"/>
      <c r="S34" s="7"/>
      <c r="T34" s="7" t="n">
        <v>29.73</v>
      </c>
      <c r="U34" s="8" t="n">
        <f aca="false">U33-T34</f>
        <v>12846.5233148475</v>
      </c>
      <c r="V34" s="7" t="n">
        <f aca="false">P34+R34+S34+T34</f>
        <v>33.45</v>
      </c>
      <c r="W34" s="7"/>
      <c r="X34" s="7" t="n">
        <f aca="false">V34+W34</f>
        <v>33.45</v>
      </c>
      <c r="Y34" s="11" t="n">
        <v>0</v>
      </c>
      <c r="Z34" s="12" t="n">
        <v>38</v>
      </c>
      <c r="AA34" s="38" t="n">
        <v>10</v>
      </c>
      <c r="AB34" s="13" t="n">
        <f aca="false">AB33+1</f>
        <v>25</v>
      </c>
      <c r="AC34" s="14" t="n">
        <v>49</v>
      </c>
      <c r="AD34" s="29" t="n">
        <v>4360</v>
      </c>
      <c r="AE34" s="0" t="n">
        <v>19.78</v>
      </c>
    </row>
    <row r="35" customFormat="false" ht="11.1" hidden="false" customHeight="true" outlineLevel="0" collapsed="false">
      <c r="A35" s="13" t="n">
        <f aca="false">A34+1</f>
        <v>26</v>
      </c>
      <c r="B35" s="27" t="n">
        <v>6907.08</v>
      </c>
      <c r="C35" s="8" t="n">
        <v>310452</v>
      </c>
      <c r="D35" s="12" t="n">
        <f aca="false">C35-C34</f>
        <v>40</v>
      </c>
      <c r="E35" s="8" t="n">
        <f aca="false">C35-152000</f>
        <v>158452</v>
      </c>
      <c r="F35" s="7" t="n">
        <f aca="false">D35/$D$2</f>
        <v>20.1714573877963</v>
      </c>
      <c r="G35" s="7" t="n">
        <v>53.6</v>
      </c>
      <c r="H35" s="9" t="n">
        <v>0</v>
      </c>
      <c r="I35" s="7" t="n">
        <f aca="false">G35+H35</f>
        <v>53.6</v>
      </c>
      <c r="J35" s="38"/>
      <c r="K35" s="7" t="n">
        <f aca="false">I35+J35</f>
        <v>53.6</v>
      </c>
      <c r="L35" s="7" t="n">
        <f aca="false">F35-(I35-V35)</f>
        <v>-0.00854261220373331</v>
      </c>
      <c r="M35" s="7" t="n">
        <v>3.72</v>
      </c>
      <c r="N35" s="7"/>
      <c r="O35" s="7"/>
      <c r="P35" s="7" t="n">
        <f aca="false">SUM(M35:O35)</f>
        <v>3.72</v>
      </c>
      <c r="Q35" s="8"/>
      <c r="R35" s="7"/>
      <c r="S35" s="7"/>
      <c r="T35" s="7" t="n">
        <v>29.7</v>
      </c>
      <c r="U35" s="8" t="n">
        <f aca="false">U34-T35</f>
        <v>12816.8233148475</v>
      </c>
      <c r="V35" s="7" t="n">
        <f aca="false">P35+R35+S35+T35</f>
        <v>33.42</v>
      </c>
      <c r="W35" s="7"/>
      <c r="X35" s="7" t="n">
        <f aca="false">V35+W35</f>
        <v>33.42</v>
      </c>
      <c r="Y35" s="11" t="n">
        <v>0</v>
      </c>
      <c r="Z35" s="12" t="n">
        <v>42</v>
      </c>
      <c r="AA35" s="12" t="n">
        <v>16</v>
      </c>
      <c r="AB35" s="13" t="n">
        <f aca="false">AB34+1</f>
        <v>26</v>
      </c>
      <c r="AC35" s="14" t="n">
        <v>49</v>
      </c>
      <c r="AD35" s="29" t="n">
        <v>4385</v>
      </c>
      <c r="AE35" s="0" t="n">
        <v>20.79</v>
      </c>
    </row>
    <row r="36" customFormat="false" ht="11.1" hidden="false" customHeight="true" outlineLevel="0" collapsed="false">
      <c r="A36" s="13" t="n">
        <f aca="false">A35+1</f>
        <v>27</v>
      </c>
      <c r="B36" s="27" t="n">
        <v>6907.09</v>
      </c>
      <c r="C36" s="8" t="n">
        <v>310490</v>
      </c>
      <c r="D36" s="12" t="n">
        <f aca="false">C36-C35</f>
        <v>38</v>
      </c>
      <c r="E36" s="8" t="n">
        <f aca="false">C36-152000</f>
        <v>158490</v>
      </c>
      <c r="F36" s="7" t="n">
        <f aca="false">D36/$D$2</f>
        <v>19.1628845184065</v>
      </c>
      <c r="G36" s="7" t="n">
        <v>52.9</v>
      </c>
      <c r="H36" s="9" t="n">
        <v>0</v>
      </c>
      <c r="I36" s="7" t="n">
        <f aca="false">G36+H36</f>
        <v>52.9</v>
      </c>
      <c r="J36" s="38"/>
      <c r="K36" s="7" t="n">
        <f aca="false">I36+J36</f>
        <v>52.9</v>
      </c>
      <c r="L36" s="7" t="n">
        <f aca="false">F36-(I36-V36)</f>
        <v>-0.00711548159354791</v>
      </c>
      <c r="M36" s="7" t="n">
        <v>4.03</v>
      </c>
      <c r="N36" s="7"/>
      <c r="O36" s="7"/>
      <c r="P36" s="7" t="n">
        <f aca="false">SUM(M36:O36)</f>
        <v>4.03</v>
      </c>
      <c r="Q36" s="8"/>
      <c r="R36" s="7"/>
      <c r="S36" s="7"/>
      <c r="T36" s="7" t="n">
        <v>29.7</v>
      </c>
      <c r="U36" s="8" t="n">
        <f aca="false">U35-T36</f>
        <v>12787.1233148475</v>
      </c>
      <c r="V36" s="7" t="n">
        <f aca="false">P36+R36+S36+T36</f>
        <v>33.73</v>
      </c>
      <c r="W36" s="7"/>
      <c r="X36" s="7" t="n">
        <f aca="false">V36+W36</f>
        <v>33.73</v>
      </c>
      <c r="Y36" s="11" t="n">
        <v>0</v>
      </c>
      <c r="Z36" s="12" t="n">
        <v>40</v>
      </c>
      <c r="AA36" s="12" t="n">
        <v>15</v>
      </c>
      <c r="AB36" s="13" t="n">
        <f aca="false">AB35+1</f>
        <v>27</v>
      </c>
      <c r="AC36" s="14" t="n">
        <v>49</v>
      </c>
      <c r="AD36" s="29" t="n">
        <v>4410</v>
      </c>
      <c r="AE36" s="0" t="n">
        <v>21.41</v>
      </c>
    </row>
    <row r="37" customFormat="false" ht="11.1" hidden="false" customHeight="true" outlineLevel="0" collapsed="false">
      <c r="A37" s="13" t="n">
        <f aca="false">A36+1</f>
        <v>28</v>
      </c>
      <c r="B37" s="27" t="n">
        <v>6907.1</v>
      </c>
      <c r="C37" s="8" t="n">
        <v>310530</v>
      </c>
      <c r="D37" s="12" t="n">
        <f aca="false">C37-C36</f>
        <v>40</v>
      </c>
      <c r="E37" s="8" t="n">
        <f aca="false">C37-152000</f>
        <v>158530</v>
      </c>
      <c r="F37" s="7" t="n">
        <f aca="false">D37/$D$2</f>
        <v>20.1714573877963</v>
      </c>
      <c r="G37" s="7" t="n">
        <v>54.3</v>
      </c>
      <c r="H37" s="9" t="n">
        <v>0</v>
      </c>
      <c r="I37" s="7" t="n">
        <f aca="false">G37+H37</f>
        <v>54.3</v>
      </c>
      <c r="J37" s="38"/>
      <c r="K37" s="7" t="n">
        <f aca="false">I37+J37</f>
        <v>54.3</v>
      </c>
      <c r="L37" s="7" t="n">
        <f aca="false">F37-(I37-V37)</f>
        <v>-0.0285426122037293</v>
      </c>
      <c r="M37" s="7" t="n">
        <v>4.4</v>
      </c>
      <c r="N37" s="7"/>
      <c r="O37" s="7"/>
      <c r="P37" s="7" t="n">
        <f aca="false">SUM(M37:O37)</f>
        <v>4.4</v>
      </c>
      <c r="Q37" s="8"/>
      <c r="R37" s="7"/>
      <c r="S37" s="7"/>
      <c r="T37" s="7" t="n">
        <v>29.7</v>
      </c>
      <c r="U37" s="8" t="n">
        <f aca="false">U36-T37</f>
        <v>12757.4233148475</v>
      </c>
      <c r="V37" s="7" t="n">
        <f aca="false">P37+R37+S37+T37</f>
        <v>34.1</v>
      </c>
      <c r="W37" s="7"/>
      <c r="X37" s="7" t="n">
        <f aca="false">V37+W37</f>
        <v>34.1</v>
      </c>
      <c r="Y37" s="11" t="n">
        <v>0.14</v>
      </c>
      <c r="Z37" s="12" t="n">
        <v>38</v>
      </c>
      <c r="AA37" s="12" t="n">
        <v>26</v>
      </c>
      <c r="AB37" s="13" t="n">
        <f aca="false">AB36+1</f>
        <v>28</v>
      </c>
      <c r="AC37" s="14" t="n">
        <v>49</v>
      </c>
      <c r="AD37" s="29" t="n">
        <v>4435</v>
      </c>
      <c r="AE37" s="0" t="n">
        <v>21.23</v>
      </c>
    </row>
    <row r="38" customFormat="false" ht="11.1" hidden="false" customHeight="true" outlineLevel="0" collapsed="false">
      <c r="A38" s="13" t="n">
        <f aca="false">A37+1</f>
        <v>29</v>
      </c>
      <c r="B38" s="27" t="n">
        <v>6907.11</v>
      </c>
      <c r="C38" s="8" t="n">
        <v>310568</v>
      </c>
      <c r="D38" s="12" t="n">
        <f aca="false">C38-C37</f>
        <v>38</v>
      </c>
      <c r="E38" s="8" t="n">
        <f aca="false">C38-152000</f>
        <v>158568</v>
      </c>
      <c r="F38" s="7" t="n">
        <f aca="false">D38/$D$2</f>
        <v>19.1628845184065</v>
      </c>
      <c r="G38" s="7" t="n">
        <v>53.1</v>
      </c>
      <c r="H38" s="9" t="n">
        <v>0</v>
      </c>
      <c r="I38" s="7" t="n">
        <f aca="false">G38+H38</f>
        <v>53.1</v>
      </c>
      <c r="J38" s="38"/>
      <c r="K38" s="7" t="n">
        <f aca="false">I38+J38</f>
        <v>53.1</v>
      </c>
      <c r="L38" s="7" t="n">
        <f aca="false">F38-(I38-V38)</f>
        <v>0.0228845184064532</v>
      </c>
      <c r="M38" s="7" t="n">
        <v>4.16</v>
      </c>
      <c r="N38" s="7"/>
      <c r="O38" s="7"/>
      <c r="P38" s="7" t="n">
        <f aca="false">SUM(M38:O38)</f>
        <v>4.16</v>
      </c>
      <c r="Q38" s="8"/>
      <c r="R38" s="7"/>
      <c r="S38" s="7"/>
      <c r="T38" s="7" t="n">
        <v>29.8</v>
      </c>
      <c r="U38" s="8" t="n">
        <f aca="false">U37-T38</f>
        <v>12727.6233148475</v>
      </c>
      <c r="V38" s="7" t="n">
        <f aca="false">P38+R38+S38+T38</f>
        <v>33.96</v>
      </c>
      <c r="W38" s="7"/>
      <c r="X38" s="7" t="n">
        <f aca="false">V38+W38</f>
        <v>33.96</v>
      </c>
      <c r="Y38" s="11" t="n">
        <v>0</v>
      </c>
      <c r="Z38" s="38" t="n">
        <v>39</v>
      </c>
      <c r="AA38" s="12" t="n">
        <v>12</v>
      </c>
      <c r="AB38" s="13" t="n">
        <f aca="false">AB37+1</f>
        <v>29</v>
      </c>
      <c r="AC38" s="14" t="n">
        <v>49</v>
      </c>
      <c r="AD38" s="29" t="n">
        <v>0</v>
      </c>
      <c r="AE38" s="0" t="n">
        <v>21.6</v>
      </c>
    </row>
    <row r="39" customFormat="false" ht="11.1" hidden="false" customHeight="true" outlineLevel="0" collapsed="false">
      <c r="A39" s="13" t="n">
        <v>30</v>
      </c>
      <c r="B39" s="27" t="n">
        <v>6907.12</v>
      </c>
      <c r="C39" s="8" t="n">
        <v>310609</v>
      </c>
      <c r="D39" s="12" t="n">
        <f aca="false">C39-C38</f>
        <v>41</v>
      </c>
      <c r="E39" s="8" t="n">
        <f aca="false">C39-152000</f>
        <v>158609</v>
      </c>
      <c r="F39" s="7" t="n">
        <f aca="false">D39/$D$2</f>
        <v>20.6757438224912</v>
      </c>
      <c r="G39" s="7" t="n">
        <v>54.5</v>
      </c>
      <c r="H39" s="9" t="n">
        <v>0</v>
      </c>
      <c r="I39" s="7" t="n">
        <f aca="false">G39+H39</f>
        <v>54.5</v>
      </c>
      <c r="J39" s="38"/>
      <c r="K39" s="7" t="n">
        <f aca="false">I39+J39</f>
        <v>54.5</v>
      </c>
      <c r="L39" s="7" t="n">
        <f aca="false">F39-(I39-V39)</f>
        <v>0.00574382249117278</v>
      </c>
      <c r="M39" s="7" t="n">
        <v>4.06</v>
      </c>
      <c r="N39" s="7"/>
      <c r="O39" s="7"/>
      <c r="P39" s="7" t="n">
        <f aca="false">SUM(M39:O39)</f>
        <v>4.06</v>
      </c>
      <c r="Q39" s="8"/>
      <c r="R39" s="7"/>
      <c r="S39" s="7"/>
      <c r="T39" s="7" t="n">
        <v>29.77</v>
      </c>
      <c r="U39" s="8" t="n">
        <f aca="false">U38-T39</f>
        <v>12697.8533148475</v>
      </c>
      <c r="V39" s="7" t="n">
        <f aca="false">P39+R39+S39+T39</f>
        <v>33.83</v>
      </c>
      <c r="W39" s="7"/>
      <c r="X39" s="7" t="n">
        <f aca="false">V39+W39</f>
        <v>33.83</v>
      </c>
      <c r="Y39" s="11" t="n">
        <v>0</v>
      </c>
      <c r="Z39" s="38" t="n">
        <v>40</v>
      </c>
      <c r="AA39" s="12" t="n">
        <v>14</v>
      </c>
      <c r="AB39" s="13" t="n">
        <v>30</v>
      </c>
      <c r="AC39" s="14" t="n">
        <v>49</v>
      </c>
      <c r="AD39" s="29" t="n">
        <v>17819</v>
      </c>
      <c r="AE39" s="0" t="n">
        <v>21.6</v>
      </c>
    </row>
    <row r="40" customFormat="false" ht="11.1" hidden="false" customHeight="true" outlineLevel="0" collapsed="false">
      <c r="A40" s="13" t="n">
        <v>31</v>
      </c>
      <c r="B40" s="27" t="n">
        <v>6907.12</v>
      </c>
      <c r="C40" s="8" t="n">
        <v>310609</v>
      </c>
      <c r="D40" s="12" t="n">
        <f aca="false">C40-C39</f>
        <v>0</v>
      </c>
      <c r="E40" s="8" t="n">
        <f aca="false">C40-152000</f>
        <v>158609</v>
      </c>
      <c r="F40" s="7" t="n">
        <f aca="false">D40/$D$2</f>
        <v>0</v>
      </c>
      <c r="G40" s="7" t="n">
        <v>33.8</v>
      </c>
      <c r="H40" s="9" t="n">
        <v>0</v>
      </c>
      <c r="I40" s="7" t="n">
        <f aca="false">G40+H40</f>
        <v>33.8</v>
      </c>
      <c r="J40" s="38"/>
      <c r="K40" s="7" t="n">
        <f aca="false">I40+J40</f>
        <v>33.8</v>
      </c>
      <c r="L40" s="7" t="n">
        <f aca="false">F40-(I40-V40)</f>
        <v>-0.00999999999999801</v>
      </c>
      <c r="M40" s="7" t="n">
        <v>4.06</v>
      </c>
      <c r="N40" s="7"/>
      <c r="O40" s="7"/>
      <c r="P40" s="7" t="n">
        <f aca="false">SUM(M40:O40)</f>
        <v>4.06</v>
      </c>
      <c r="Q40" s="8"/>
      <c r="R40" s="7"/>
      <c r="S40" s="7"/>
      <c r="T40" s="7" t="n">
        <v>29.73</v>
      </c>
      <c r="U40" s="8" t="n">
        <f aca="false">U39-T40</f>
        <v>12668.1233148475</v>
      </c>
      <c r="V40" s="7" t="n">
        <f aca="false">P40+R40+S40+T40</f>
        <v>33.79</v>
      </c>
      <c r="W40" s="7"/>
      <c r="X40" s="7" t="n">
        <f aca="false">V40+W40</f>
        <v>33.79</v>
      </c>
      <c r="Y40" s="11" t="n">
        <v>0</v>
      </c>
      <c r="Z40" s="38" t="n">
        <v>31</v>
      </c>
      <c r="AA40" s="12" t="n">
        <v>12</v>
      </c>
      <c r="AB40" s="13" t="n">
        <v>31</v>
      </c>
      <c r="AC40" s="14" t="n">
        <v>49</v>
      </c>
      <c r="AD40" s="29" t="n">
        <v>17902</v>
      </c>
      <c r="AE40" s="0" t="n">
        <v>21.6</v>
      </c>
    </row>
    <row r="41" customFormat="false" ht="3" hidden="false" customHeight="true" outlineLevel="0" collapsed="false">
      <c r="A41" s="30"/>
      <c r="B41" s="30"/>
      <c r="C41" s="32"/>
      <c r="D41" s="30"/>
      <c r="E41" s="32"/>
      <c r="F41" s="30"/>
      <c r="G41" s="30"/>
      <c r="H41" s="33"/>
      <c r="I41" s="30"/>
      <c r="J41" s="30"/>
      <c r="K41" s="30"/>
      <c r="L41" s="30"/>
      <c r="M41" s="30"/>
      <c r="N41" s="30"/>
      <c r="O41" s="30"/>
      <c r="P41" s="30"/>
      <c r="Q41" s="32"/>
      <c r="R41" s="30"/>
      <c r="S41" s="30"/>
      <c r="T41" s="30"/>
      <c r="U41" s="30"/>
      <c r="V41" s="30"/>
      <c r="W41" s="30"/>
      <c r="X41" s="30"/>
      <c r="Y41" s="34"/>
      <c r="Z41" s="35" t="n">
        <v>73</v>
      </c>
      <c r="AA41" s="35"/>
      <c r="AB41" s="36"/>
      <c r="AC41" s="14"/>
      <c r="AD41" s="14"/>
    </row>
    <row r="42" customFormat="false" ht="11.1" hidden="false" customHeight="true" outlineLevel="0" collapsed="false">
      <c r="A42" s="7" t="s">
        <v>44</v>
      </c>
      <c r="B42" s="7"/>
      <c r="C42" s="8"/>
      <c r="D42" s="8"/>
      <c r="E42" s="8"/>
      <c r="F42" s="8" t="n">
        <f aca="false">SUM(F10:F40)</f>
        <v>452.849218356026</v>
      </c>
      <c r="G42" s="8" t="n">
        <f aca="false">SUM(G10:G40)</f>
        <v>1597.3</v>
      </c>
      <c r="H42" s="8" t="n">
        <f aca="false">SUM(H10:H40)</f>
        <v>0</v>
      </c>
      <c r="I42" s="8" t="n">
        <f aca="false">SUM(I10:I40)</f>
        <v>1597.3</v>
      </c>
      <c r="J42" s="8" t="n">
        <f aca="false">SUM(J10:J40)</f>
        <v>0</v>
      </c>
      <c r="K42" s="8" t="n">
        <f aca="false">SUM(K10:K40)</f>
        <v>1597.3</v>
      </c>
      <c r="L42" s="8" t="n">
        <f aca="false">SUM(L10:L40)</f>
        <v>-0.00078164397377023</v>
      </c>
      <c r="M42" s="8" t="n">
        <f aca="false">SUM(M10:M40)</f>
        <v>125.66</v>
      </c>
      <c r="N42" s="8" t="n">
        <f aca="false">SUM(N10:N40)</f>
        <v>0</v>
      </c>
      <c r="O42" s="8" t="n">
        <f aca="false">SUM(O10:O40)</f>
        <v>0</v>
      </c>
      <c r="P42" s="8" t="n">
        <f aca="false">SUM(P10:P40)</f>
        <v>125.66</v>
      </c>
      <c r="Q42" s="8"/>
      <c r="R42" s="8" t="n">
        <f aca="false">SUM(R10:R40)</f>
        <v>0</v>
      </c>
      <c r="S42" s="8" t="n">
        <f aca="false">SUM(S10:S40)</f>
        <v>0</v>
      </c>
      <c r="T42" s="8" t="n">
        <f aca="false">SUM(T10:T40)</f>
        <v>1018.79</v>
      </c>
      <c r="U42" s="8" t="n">
        <f aca="false">U40</f>
        <v>12668.1233148475</v>
      </c>
      <c r="V42" s="8" t="n">
        <f aca="false">SUM(V10:V40)</f>
        <v>1144.45</v>
      </c>
      <c r="W42" s="8" t="n">
        <f aca="false">SUM(W10:W40)</f>
        <v>21.2</v>
      </c>
      <c r="X42" s="8" t="n">
        <f aca="false">SUM(X10:X40)</f>
        <v>1165.65</v>
      </c>
      <c r="Y42" s="11" t="n">
        <f aca="false">SUM(Y10:Y40)</f>
        <v>0.91</v>
      </c>
      <c r="Z42" s="12" t="n">
        <f aca="false">AVERAGE(Z10:Z40)</f>
        <v>41.7741935483871</v>
      </c>
      <c r="AA42" s="12" t="n">
        <f aca="false">AVERAGE(AA10:AA40)</f>
        <v>16.1290322580645</v>
      </c>
      <c r="AB42" s="13"/>
      <c r="AC42" s="14"/>
      <c r="AD42" s="14"/>
    </row>
    <row r="43" customFormat="false" ht="11.1" hidden="false" customHeight="true" outlineLevel="0" collapsed="false">
      <c r="A43" s="7" t="s">
        <v>45</v>
      </c>
      <c r="B43" s="7"/>
      <c r="C43" s="8"/>
      <c r="D43" s="8" t="n">
        <f aca="false">SUM(D10:D40)</f>
        <v>898</v>
      </c>
      <c r="E43" s="8"/>
      <c r="F43" s="8" t="n">
        <f aca="false">F42*$D$2</f>
        <v>898</v>
      </c>
      <c r="G43" s="8" t="n">
        <f aca="false">G42*$D$2</f>
        <v>3167.4459</v>
      </c>
      <c r="H43" s="8" t="n">
        <f aca="false">H42*$D$2</f>
        <v>0</v>
      </c>
      <c r="I43" s="8" t="n">
        <f aca="false">I42*$D$2</f>
        <v>3167.4459</v>
      </c>
      <c r="J43" s="8" t="n">
        <f aca="false">J42*$D$2</f>
        <v>0</v>
      </c>
      <c r="K43" s="8" t="n">
        <f aca="false">K42*$D$2</f>
        <v>3167.4459</v>
      </c>
      <c r="L43" s="8" t="n">
        <f aca="false">L42*$D$2</f>
        <v>-0.00154999999998637</v>
      </c>
      <c r="M43" s="8" t="n">
        <f aca="false">M42*$D$2</f>
        <v>249.18378</v>
      </c>
      <c r="N43" s="8" t="n">
        <f aca="false">N42*$D$2</f>
        <v>0</v>
      </c>
      <c r="O43" s="8" t="n">
        <f aca="false">O42*$D$2</f>
        <v>0</v>
      </c>
      <c r="P43" s="8" t="n">
        <f aca="false">P42*$D$2</f>
        <v>249.18378</v>
      </c>
      <c r="Q43" s="8"/>
      <c r="R43" s="8" t="n">
        <f aca="false">R42*$D$2</f>
        <v>0</v>
      </c>
      <c r="S43" s="8" t="n">
        <f aca="false">S42*$D$2</f>
        <v>0</v>
      </c>
      <c r="T43" s="8" t="n">
        <f aca="false">T42*$D$2</f>
        <v>2020.26057</v>
      </c>
      <c r="U43" s="8" t="n">
        <f aca="false">U42*$D$2</f>
        <v>25120.8885333426</v>
      </c>
      <c r="V43" s="8" t="n">
        <f aca="false">V42*$D$2</f>
        <v>2269.44435</v>
      </c>
      <c r="W43" s="8" t="n">
        <f aca="false">W42*$D$2</f>
        <v>42.0396</v>
      </c>
      <c r="X43" s="8" t="n">
        <f aca="false">X42*$D$2</f>
        <v>2311.48395</v>
      </c>
      <c r="Y43" s="11"/>
      <c r="Z43" s="12" t="n">
        <f aca="false">MAX(Z10:Z40)</f>
        <v>55</v>
      </c>
      <c r="AA43" s="12" t="n">
        <f aca="false">MAX(AA10:AA40)</f>
        <v>34</v>
      </c>
      <c r="AB43" s="13" t="s">
        <v>46</v>
      </c>
      <c r="AC43" s="14"/>
      <c r="AD43" s="14"/>
    </row>
    <row r="44" customFormat="false" ht="3" hidden="false" customHeight="true" outlineLevel="0" collapsed="false">
      <c r="A44" s="30"/>
      <c r="B44" s="30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0"/>
      <c r="V44" s="32"/>
      <c r="W44" s="32"/>
      <c r="X44" s="32"/>
      <c r="Y44" s="11"/>
      <c r="Z44" s="12"/>
      <c r="AA44" s="12"/>
      <c r="AB44" s="13"/>
      <c r="AC44" s="14"/>
      <c r="AD44" s="14"/>
    </row>
    <row r="45" customFormat="false" ht="11.1" hidden="false" customHeight="true" outlineLevel="0" collapsed="false">
      <c r="A45" s="7" t="s">
        <v>47</v>
      </c>
      <c r="B45" s="7"/>
      <c r="C45" s="8"/>
      <c r="D45" s="8"/>
      <c r="E45" s="8"/>
      <c r="F45" s="8"/>
      <c r="G45" s="8"/>
      <c r="H45" s="1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11"/>
      <c r="Z45" s="12" t="n">
        <f aca="false">MIN(Z10:Z40)</f>
        <v>30</v>
      </c>
      <c r="AA45" s="12" t="n">
        <f aca="false">MIN(AA10:AA40)</f>
        <v>0</v>
      </c>
      <c r="AB45" s="13" t="s">
        <v>48</v>
      </c>
      <c r="AC45" s="14"/>
      <c r="AD45" s="14"/>
    </row>
    <row r="46" customFormat="false" ht="11.1" hidden="false" customHeight="true" outlineLevel="0" collapsed="false">
      <c r="A46" s="7" t="s">
        <v>49</v>
      </c>
      <c r="B46" s="7"/>
      <c r="C46" s="8"/>
      <c r="D46" s="8"/>
      <c r="E46" s="8"/>
      <c r="F46" s="8"/>
      <c r="G46" s="8"/>
      <c r="H46" s="12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11"/>
      <c r="Z46" s="12"/>
      <c r="AA46" s="12"/>
      <c r="AB46" s="13"/>
      <c r="AC46" s="14"/>
      <c r="AD46" s="14"/>
    </row>
    <row r="47" customFormat="false" ht="3" hidden="false" customHeight="true" outlineLevel="0" collapsed="false">
      <c r="A47" s="30"/>
      <c r="B47" s="30"/>
      <c r="C47" s="32"/>
      <c r="D47" s="32"/>
      <c r="E47" s="32"/>
      <c r="F47" s="32"/>
      <c r="G47" s="32"/>
      <c r="H47" s="35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4"/>
      <c r="Z47" s="12"/>
      <c r="AA47" s="12"/>
      <c r="AB47" s="13"/>
      <c r="AC47" s="14"/>
      <c r="AD47" s="14"/>
    </row>
    <row r="48" customFormat="false" ht="11.1" hidden="false" customHeight="true" outlineLevel="0" collapsed="false">
      <c r="A48" s="7" t="s">
        <v>50</v>
      </c>
      <c r="B48" s="7"/>
      <c r="C48" s="8"/>
      <c r="D48" s="8"/>
      <c r="E48" s="8"/>
      <c r="F48" s="8" t="n">
        <f aca="false">F8+F42</f>
        <v>-39.3343419062027</v>
      </c>
      <c r="G48" s="8" t="n">
        <f aca="false">G8+G42</f>
        <v>3048.30843166919</v>
      </c>
      <c r="H48" s="12" t="n">
        <f aca="false">H8+H42</f>
        <v>0</v>
      </c>
      <c r="I48" s="8" t="n">
        <f aca="false">I8+I42</f>
        <v>3048.30843166919</v>
      </c>
      <c r="J48" s="8" t="n">
        <f aca="false">J8+J42</f>
        <v>49.2957690368129</v>
      </c>
      <c r="K48" s="8" t="n">
        <f aca="false">K8+K42</f>
        <v>3097.604200706</v>
      </c>
      <c r="L48" s="8" t="n">
        <f aca="false">L8+L42</f>
        <v>-419.292773575391</v>
      </c>
      <c r="M48" s="8" t="n">
        <f aca="false">M8+M42</f>
        <v>420.92</v>
      </c>
      <c r="N48" s="8" t="n">
        <f aca="false">N8+N42</f>
        <v>0</v>
      </c>
      <c r="O48" s="8" t="n">
        <f aca="false">O8+O42</f>
        <v>0</v>
      </c>
      <c r="P48" s="8" t="n">
        <f aca="false">P8+P42</f>
        <v>420.92</v>
      </c>
      <c r="Q48" s="8"/>
      <c r="R48" s="8" t="n">
        <f aca="false">R8+R42</f>
        <v>0</v>
      </c>
      <c r="S48" s="8" t="n">
        <f aca="false">S8+S42</f>
        <v>0</v>
      </c>
      <c r="T48" s="8" t="n">
        <f aca="false">T8+T42</f>
        <v>2247.43</v>
      </c>
      <c r="U48" s="8" t="n">
        <f aca="false">U40</f>
        <v>12668.1233148475</v>
      </c>
      <c r="V48" s="8" t="n">
        <f aca="false">V8+V42</f>
        <v>2668.35</v>
      </c>
      <c r="W48" s="8" t="n">
        <f aca="false">W8+W42</f>
        <v>489.78776096823</v>
      </c>
      <c r="X48" s="8" t="n">
        <f aca="false">X8+X42</f>
        <v>3158.13776096823</v>
      </c>
      <c r="Y48" s="28" t="n">
        <f aca="false">Y8+Y42</f>
        <v>2.79</v>
      </c>
      <c r="Z48" s="12"/>
      <c r="AA48" s="12"/>
      <c r="AB48" s="13"/>
      <c r="AC48" s="14"/>
      <c r="AD48" s="14"/>
    </row>
    <row r="49" customFormat="false" ht="11.1" hidden="false" customHeight="true" outlineLevel="0" collapsed="false">
      <c r="A49" s="7" t="s">
        <v>51</v>
      </c>
      <c r="B49" s="7"/>
      <c r="C49" s="8"/>
      <c r="D49" s="8" t="n">
        <f aca="false">D8+D43</f>
        <v>-78</v>
      </c>
      <c r="E49" s="8" t="n">
        <f aca="false">E40</f>
        <v>158609</v>
      </c>
      <c r="F49" s="8" t="n">
        <f aca="false">F48*$D$2</f>
        <v>-78</v>
      </c>
      <c r="G49" s="8" t="n">
        <f aca="false">G48*$D$2</f>
        <v>6044.79562</v>
      </c>
      <c r="H49" s="12" t="n">
        <f aca="false">H48*$D$2</f>
        <v>0</v>
      </c>
      <c r="I49" s="8" t="n">
        <f aca="false">I48*$D$2</f>
        <v>6044.79562</v>
      </c>
      <c r="J49" s="8" t="n">
        <f aca="false">J48*$D$2</f>
        <v>97.75351</v>
      </c>
      <c r="K49" s="8" t="n">
        <f aca="false">K48*$D$2</f>
        <v>6142.54913</v>
      </c>
      <c r="L49" s="8" t="n">
        <f aca="false">L48*$D$2</f>
        <v>-831.45757</v>
      </c>
      <c r="M49" s="8" t="n">
        <f aca="false">M48*$D$2</f>
        <v>834.68436</v>
      </c>
      <c r="N49" s="8" t="n">
        <f aca="false">N48*$D$2</f>
        <v>0</v>
      </c>
      <c r="O49" s="8" t="n">
        <f aca="false">O48*$D$2</f>
        <v>0</v>
      </c>
      <c r="P49" s="8" t="n">
        <f aca="false">P48*$D$2</f>
        <v>834.68436</v>
      </c>
      <c r="Q49" s="8" t="n">
        <f aca="false">Q48*$D$2</f>
        <v>0</v>
      </c>
      <c r="R49" s="8" t="n">
        <f aca="false">R48*$D$2</f>
        <v>0</v>
      </c>
      <c r="S49" s="8" t="n">
        <f aca="false">S48*$D$2</f>
        <v>0</v>
      </c>
      <c r="T49" s="8" t="n">
        <f aca="false">T48*$D$2</f>
        <v>4456.65369</v>
      </c>
      <c r="U49" s="8" t="n">
        <f aca="false">U40*$D$2</f>
        <v>25120.8885333426</v>
      </c>
      <c r="V49" s="8" t="n">
        <f aca="false">V48*$D$2</f>
        <v>5291.33805</v>
      </c>
      <c r="W49" s="8" t="n">
        <f aca="false">W48*$D$2</f>
        <v>971.24913</v>
      </c>
      <c r="X49" s="8" t="n">
        <f aca="false">X48*$D$2</f>
        <v>6262.58718</v>
      </c>
      <c r="Y49" s="11"/>
      <c r="Z49" s="12"/>
      <c r="AA49" s="12"/>
      <c r="AB49" s="13"/>
      <c r="AC49" s="14"/>
      <c r="AD49" s="14"/>
    </row>
    <row r="50" customFormat="false" ht="3" hidden="false" customHeight="true" outlineLevel="0" collapsed="false">
      <c r="A50" s="30"/>
      <c r="B50" s="30"/>
      <c r="C50" s="32"/>
      <c r="D50" s="30"/>
      <c r="E50" s="32"/>
      <c r="F50" s="30"/>
      <c r="G50" s="30"/>
      <c r="H50" s="33"/>
      <c r="I50" s="30"/>
      <c r="J50" s="30"/>
      <c r="K50" s="30"/>
      <c r="L50" s="30"/>
      <c r="M50" s="30"/>
      <c r="N50" s="30"/>
      <c r="O50" s="30"/>
      <c r="P50" s="30"/>
      <c r="Q50" s="32"/>
      <c r="R50" s="30"/>
      <c r="S50" s="30"/>
      <c r="T50" s="30"/>
      <c r="U50" s="32"/>
      <c r="V50" s="30"/>
      <c r="W50" s="30"/>
      <c r="X50" s="30"/>
      <c r="Y50" s="11"/>
      <c r="Z50" s="12"/>
      <c r="AA50" s="12"/>
      <c r="AB50" s="13"/>
      <c r="AC50" s="14"/>
      <c r="AD50" s="14"/>
    </row>
    <row r="51" customFormat="false" ht="11.1" hidden="false" customHeight="true" outlineLevel="0" collapsed="false">
      <c r="A51" s="7" t="str">
        <f aca="false">"SEP /9"</f>
        <v>SEP /9</v>
      </c>
      <c r="B51" s="40"/>
      <c r="C51" s="8"/>
      <c r="D51" s="7"/>
      <c r="E51" s="8"/>
      <c r="F51" s="7"/>
      <c r="G51" s="7"/>
      <c r="H51" s="9"/>
      <c r="I51" s="7"/>
      <c r="J51" s="7"/>
      <c r="K51" s="7"/>
      <c r="L51" s="7"/>
      <c r="M51" s="7"/>
      <c r="N51" s="7"/>
      <c r="O51" s="7"/>
      <c r="P51" s="7"/>
      <c r="Q51" s="8"/>
      <c r="R51" s="7"/>
      <c r="S51" s="7"/>
      <c r="T51" s="7"/>
      <c r="U51" s="8"/>
      <c r="V51" s="7"/>
      <c r="W51" s="7"/>
      <c r="X51" s="7"/>
      <c r="Y51" s="11"/>
      <c r="Z51" s="12"/>
      <c r="AA51" s="12"/>
      <c r="AB51" s="13"/>
      <c r="AC51" s="14"/>
      <c r="AD51" s="14"/>
    </row>
    <row r="52" customFormat="false" ht="11.1" hidden="false" customHeight="true" outlineLevel="0" collapsed="false">
      <c r="A52" s="7"/>
      <c r="B52" s="27" t="n">
        <v>6911.22</v>
      </c>
      <c r="C52" s="8" t="n">
        <v>326889</v>
      </c>
      <c r="D52" s="38"/>
      <c r="E52" s="8" t="n">
        <f aca="false">C52-152000</f>
        <v>174889</v>
      </c>
      <c r="F52" s="7"/>
      <c r="G52" s="7"/>
      <c r="H52" s="38"/>
      <c r="I52" s="9"/>
      <c r="J52" s="7"/>
      <c r="K52" s="41"/>
      <c r="L52" s="7"/>
      <c r="M52" s="7"/>
      <c r="N52" s="7"/>
      <c r="O52" s="7"/>
      <c r="P52" s="7"/>
      <c r="Q52" s="8"/>
      <c r="R52" s="7"/>
      <c r="S52" s="7"/>
      <c r="T52" s="7"/>
      <c r="U52" s="8"/>
      <c r="V52" s="7"/>
      <c r="W52" s="7"/>
      <c r="X52" s="7"/>
      <c r="Y52" s="11"/>
      <c r="Z52" s="12"/>
      <c r="AA52" s="12"/>
      <c r="AB52" s="13"/>
      <c r="AC52" s="14"/>
      <c r="AD52" s="14"/>
    </row>
    <row r="53" customFormat="false" ht="11.1" hidden="false" customHeight="true" outlineLevel="0" collapsed="false">
      <c r="A53" s="38" t="str">
        <f aca="false">"8/12/93 thru 9/9/93"</f>
        <v>8/12/93 thru 9/9/93</v>
      </c>
      <c r="B53" s="38"/>
      <c r="C53" s="8"/>
      <c r="D53" s="8"/>
      <c r="E53" s="8"/>
      <c r="F53" s="38"/>
      <c r="G53" s="38"/>
      <c r="H53" s="9"/>
      <c r="I53" s="38"/>
      <c r="J53" s="38"/>
      <c r="K53" s="38"/>
      <c r="L53" s="38"/>
      <c r="M53" s="28"/>
      <c r="N53" s="38"/>
      <c r="O53" s="38"/>
      <c r="P53" s="38"/>
      <c r="Q53" s="8"/>
      <c r="R53" s="38"/>
      <c r="S53" s="38"/>
      <c r="T53" s="38"/>
      <c r="U53" s="8"/>
      <c r="V53" s="38"/>
      <c r="W53" s="38"/>
      <c r="X53" s="38"/>
      <c r="Y53" s="11"/>
      <c r="Z53" s="12"/>
      <c r="AA53" s="12"/>
      <c r="AB53" s="13"/>
      <c r="AC53" s="42"/>
      <c r="AD53" s="42"/>
    </row>
    <row r="54" customFormat="false" ht="11.1" hidden="false" customHeight="true" outlineLevel="0" collapsed="false">
      <c r="A54" s="38"/>
      <c r="B54" s="11" t="n">
        <f aca="false">B52-B21</f>
        <v>4.23000000000047</v>
      </c>
      <c r="C54" s="8"/>
      <c r="D54" s="8" t="n">
        <f aca="false">C52-C21</f>
        <v>16789</v>
      </c>
      <c r="E54" s="8"/>
      <c r="F54" s="38"/>
      <c r="G54" s="38"/>
      <c r="H54" s="9"/>
      <c r="I54" s="38"/>
      <c r="J54" s="38"/>
      <c r="K54" s="38"/>
      <c r="L54" s="38"/>
      <c r="M54" s="28"/>
      <c r="N54" s="38"/>
      <c r="O54" s="38"/>
      <c r="P54" s="38"/>
      <c r="Q54" s="8"/>
      <c r="R54" s="38"/>
      <c r="S54" s="38"/>
      <c r="T54" s="38"/>
      <c r="U54" s="8"/>
      <c r="V54" s="38"/>
      <c r="W54" s="38"/>
      <c r="X54" s="38"/>
      <c r="Y54" s="11"/>
      <c r="Z54" s="12"/>
      <c r="AA54" s="12"/>
      <c r="AB54" s="13"/>
      <c r="AC54" s="42"/>
      <c r="AD54" s="42"/>
    </row>
    <row r="55" customFormat="false" ht="11.1" hidden="false" customHeight="true" outlineLevel="0" collapsed="false">
      <c r="A55" s="38"/>
      <c r="B55" s="38"/>
      <c r="C55" s="8"/>
      <c r="D55" s="38"/>
      <c r="E55" s="8"/>
      <c r="F55" s="38"/>
      <c r="G55" s="43"/>
      <c r="H55" s="9"/>
      <c r="I55" s="38"/>
      <c r="J55" s="38"/>
      <c r="K55" s="38"/>
      <c r="L55" s="38"/>
      <c r="M55" s="28"/>
      <c r="N55" s="38"/>
      <c r="O55" s="38"/>
      <c r="P55" s="38"/>
      <c r="Q55" s="8"/>
      <c r="R55" s="38"/>
      <c r="S55" s="38"/>
      <c r="T55" s="38"/>
      <c r="U55" s="8"/>
      <c r="V55" s="38"/>
      <c r="W55" s="38"/>
      <c r="X55" s="38"/>
      <c r="Y55" s="11"/>
      <c r="Z55" s="12"/>
      <c r="AA55" s="12"/>
      <c r="AB55" s="13"/>
      <c r="AC55" s="42"/>
      <c r="AD55" s="42"/>
    </row>
  </sheetData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5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J10" activePane="bottomRight" state="frozen"/>
      <selection pane="topLeft" activeCell="A4" activeCellId="0" sqref="A4"/>
      <selection pane="topRight" activeCell="J4" activeCellId="0" sqref="J4"/>
      <selection pane="bottomLeft" activeCell="A10" activeCellId="0" sqref="A10"/>
      <selection pane="bottomRight" activeCell="Y9" activeCellId="0" sqref="Y9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32"/>
    <col collapsed="false" customWidth="true" hidden="false" outlineLevel="0" max="4" min="4" style="0" width="6.82"/>
    <col collapsed="false" customWidth="true" hidden="false" outlineLevel="0" max="5" min="5" style="1" width="7.32"/>
    <col collapsed="false" customWidth="true" hidden="false" outlineLevel="0" max="6" min="6" style="0" width="7.66"/>
    <col collapsed="false" customWidth="true" hidden="false" outlineLevel="0" max="7" min="7" style="0" width="6.66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1" min="10" style="0" width="6.32"/>
    <col collapsed="false" customWidth="true" hidden="false" outlineLevel="0" max="12" min="12" style="0" width="6.49"/>
    <col collapsed="false" customWidth="true" hidden="false" outlineLevel="0" max="13" min="13" style="3" width="7.49"/>
    <col collapsed="false" customWidth="true" hidden="false" outlineLevel="0" max="14" min="14" style="0" width="5.82"/>
    <col collapsed="false" customWidth="true" hidden="false" outlineLevel="0" max="15" min="15" style="0" width="7.16"/>
    <col collapsed="false" customWidth="true" hidden="false" outlineLevel="0" max="16" min="16" style="0" width="6.66"/>
    <col collapsed="false" customWidth="true" hidden="false" outlineLevel="0" max="17" min="17" style="1" width="6.66"/>
    <col collapsed="false" customWidth="true" hidden="false" outlineLevel="0" max="18" min="18" style="0" width="5.82"/>
    <col collapsed="false" customWidth="true" hidden="false" outlineLevel="0" max="20" min="19" style="0" width="7.49"/>
    <col collapsed="false" customWidth="true" hidden="false" outlineLevel="0" max="21" min="21" style="1" width="6.32"/>
    <col collapsed="false" customWidth="true" hidden="false" outlineLevel="0" max="24" min="22" style="0" width="7.82"/>
    <col collapsed="false" customWidth="true" hidden="false" outlineLevel="0" max="25" min="25" style="4" width="5.66"/>
    <col collapsed="false" customWidth="true" hidden="false" outlineLevel="0" max="27" min="26" style="5" width="5.66"/>
    <col collapsed="false" customWidth="true" hidden="false" outlineLevel="0" max="28" min="28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8"/>
      <c r="R1" s="7"/>
      <c r="S1" s="7"/>
      <c r="T1" s="7"/>
      <c r="U1" s="8"/>
      <c r="V1" s="7"/>
      <c r="W1" s="7"/>
      <c r="X1" s="7"/>
      <c r="Y1" s="11"/>
      <c r="Z1" s="12"/>
      <c r="AA1" s="12"/>
      <c r="AB1" s="13"/>
      <c r="AC1" s="14"/>
      <c r="AD1" s="14"/>
    </row>
    <row r="2" customFormat="false" ht="14.1" hidden="false" customHeight="true" outlineLevel="0" collapsed="false">
      <c r="A2" s="7" t="s">
        <v>1</v>
      </c>
      <c r="B2" s="7"/>
      <c r="C2" s="8"/>
      <c r="D2" s="15" t="n">
        <v>1.983</v>
      </c>
      <c r="E2" s="8"/>
      <c r="F2" s="7"/>
      <c r="G2" s="7"/>
      <c r="H2" s="9"/>
      <c r="I2" s="7"/>
      <c r="J2" s="7"/>
      <c r="K2" s="10" t="s">
        <v>54</v>
      </c>
      <c r="L2" s="10"/>
      <c r="M2" s="7"/>
      <c r="N2" s="7"/>
      <c r="O2" s="7"/>
      <c r="P2" s="7"/>
      <c r="Q2" s="8"/>
      <c r="R2" s="7"/>
      <c r="S2" s="7"/>
      <c r="T2" s="7"/>
      <c r="U2" s="8"/>
      <c r="V2" s="7"/>
      <c r="W2" s="7"/>
      <c r="X2" s="7"/>
      <c r="Y2" s="11"/>
      <c r="Z2" s="12"/>
      <c r="AA2" s="12"/>
      <c r="AB2" s="13"/>
      <c r="AC2" s="14"/>
      <c r="AD2" s="14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8"/>
      <c r="R3" s="7"/>
      <c r="S3" s="7"/>
      <c r="T3" s="7"/>
      <c r="U3" s="8"/>
      <c r="V3" s="7"/>
      <c r="W3" s="7"/>
      <c r="X3" s="7"/>
      <c r="Y3" s="11"/>
      <c r="Z3" s="12"/>
      <c r="AA3" s="12"/>
      <c r="AB3" s="13"/>
      <c r="AC3" s="14"/>
      <c r="AD3" s="14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6" t="s">
        <v>8</v>
      </c>
      <c r="N4" s="16" t="s">
        <v>13</v>
      </c>
      <c r="O4" s="16" t="s">
        <v>14</v>
      </c>
      <c r="P4" s="16" t="s">
        <v>12</v>
      </c>
      <c r="Q4" s="17" t="s">
        <v>13</v>
      </c>
      <c r="R4" s="16" t="s">
        <v>15</v>
      </c>
      <c r="S4" s="16" t="s">
        <v>16</v>
      </c>
      <c r="T4" s="16" t="s">
        <v>17</v>
      </c>
      <c r="U4" s="17" t="s">
        <v>18</v>
      </c>
      <c r="V4" s="16" t="s">
        <v>10</v>
      </c>
      <c r="W4" s="16" t="s">
        <v>11</v>
      </c>
      <c r="X4" s="16" t="s">
        <v>12</v>
      </c>
      <c r="Y4" s="19" t="s">
        <v>19</v>
      </c>
      <c r="Z4" s="20" t="s">
        <v>20</v>
      </c>
      <c r="AA4" s="20" t="s">
        <v>21</v>
      </c>
      <c r="AB4" s="20" t="s">
        <v>3</v>
      </c>
      <c r="AC4" s="14"/>
      <c r="AD4" s="14"/>
    </row>
    <row r="5" customFormat="false" ht="11.1" hidden="false" customHeight="true" outlineLevel="0" collapsed="false">
      <c r="A5" s="21" t="s">
        <v>55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16" t="s">
        <v>13</v>
      </c>
      <c r="Q5" s="17" t="s">
        <v>34</v>
      </c>
      <c r="R5" s="16" t="s">
        <v>35</v>
      </c>
      <c r="S5" s="16" t="s">
        <v>36</v>
      </c>
      <c r="T5" s="16" t="s">
        <v>37</v>
      </c>
      <c r="U5" s="17" t="s">
        <v>38</v>
      </c>
      <c r="V5" s="16" t="s">
        <v>39</v>
      </c>
      <c r="W5" s="16" t="s">
        <v>39</v>
      </c>
      <c r="X5" s="16" t="s">
        <v>39</v>
      </c>
      <c r="Y5" s="22"/>
      <c r="Z5" s="20" t="s">
        <v>40</v>
      </c>
      <c r="AA5" s="20" t="s">
        <v>40</v>
      </c>
      <c r="AB5" s="23" t="s">
        <v>55</v>
      </c>
      <c r="AC5" s="14"/>
      <c r="AD5" s="14"/>
    </row>
    <row r="6" customFormat="false" ht="11.1" hidden="false" customHeight="true" outlineLevel="0" collapsed="false">
      <c r="A6" s="24"/>
      <c r="B6" s="24"/>
      <c r="C6" s="25"/>
      <c r="D6" s="24"/>
      <c r="E6" s="25"/>
      <c r="F6" s="24"/>
      <c r="G6" s="24"/>
      <c r="H6" s="26"/>
      <c r="I6" s="24"/>
      <c r="J6" s="24"/>
      <c r="K6" s="24"/>
      <c r="L6" s="24"/>
      <c r="M6" s="24"/>
      <c r="N6" s="24"/>
      <c r="O6" s="24"/>
      <c r="P6" s="24"/>
      <c r="Q6" s="25"/>
      <c r="R6" s="24"/>
      <c r="S6" s="24"/>
      <c r="T6" s="24"/>
      <c r="U6" s="25"/>
      <c r="V6" s="24"/>
      <c r="W6" s="24"/>
      <c r="X6" s="24"/>
      <c r="Y6" s="11"/>
      <c r="Z6" s="13"/>
      <c r="AA6" s="13"/>
      <c r="AB6" s="13"/>
      <c r="AC6" s="14" t="n">
        <v>741</v>
      </c>
      <c r="AD6" s="14" t="n">
        <v>742</v>
      </c>
    </row>
    <row r="7" customFormat="false" ht="11.1" hidden="false" customHeight="true" outlineLevel="0" collapsed="false">
      <c r="A7" s="7" t="s">
        <v>41</v>
      </c>
      <c r="B7" s="7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1"/>
      <c r="Z7" s="12"/>
      <c r="AA7" s="12"/>
      <c r="AB7" s="13"/>
      <c r="AC7" s="14"/>
    </row>
    <row r="8" s="1" customFormat="true" ht="11.1" hidden="false" customHeight="true" outlineLevel="0" collapsed="false">
      <c r="A8" s="8" t="s">
        <v>42</v>
      </c>
      <c r="B8" s="27" t="n">
        <v>6907.12</v>
      </c>
      <c r="C8" s="8" t="n">
        <v>310609</v>
      </c>
      <c r="D8" s="8" t="n">
        <v>-78</v>
      </c>
      <c r="E8" s="8" t="n">
        <v>158609</v>
      </c>
      <c r="F8" s="8" t="n">
        <f aca="false" t="array" ref="F8:Y8">[1]RIVER123!$F$48:$Y$48</f>
        <v>-39.3343419062026</v>
      </c>
      <c r="G8" s="8" t="n">
        <v>3048.30843166919</v>
      </c>
      <c r="H8" s="12" t="n">
        <v>0</v>
      </c>
      <c r="I8" s="8" t="n">
        <v>3048.30843166919</v>
      </c>
      <c r="J8" s="8" t="n">
        <v>49.2957690368129</v>
      </c>
      <c r="K8" s="8" t="n">
        <v>3097.604200706</v>
      </c>
      <c r="L8" s="8" t="n">
        <v>-419.292773575391</v>
      </c>
      <c r="M8" s="8" t="n">
        <v>420.92</v>
      </c>
      <c r="N8" s="8" t="n">
        <v>0</v>
      </c>
      <c r="O8" s="8" t="n">
        <v>0</v>
      </c>
      <c r="P8" s="8" t="n">
        <v>420.92</v>
      </c>
      <c r="Q8" s="8" t="n">
        <v>0</v>
      </c>
      <c r="R8" s="8" t="n">
        <v>0</v>
      </c>
      <c r="S8" s="8" t="n">
        <v>0</v>
      </c>
      <c r="T8" s="8" t="n">
        <v>2247.43</v>
      </c>
      <c r="U8" s="8" t="n">
        <v>12668.1233148475</v>
      </c>
      <c r="V8" s="8" t="n">
        <v>2668.35</v>
      </c>
      <c r="W8" s="8" t="n">
        <v>489.78776096823</v>
      </c>
      <c r="X8" s="8" t="n">
        <v>3158.13776096823</v>
      </c>
      <c r="Y8" s="28" t="n">
        <v>2.79</v>
      </c>
      <c r="Z8" s="12"/>
      <c r="AA8" s="12"/>
      <c r="AB8" s="13"/>
      <c r="AC8" s="29" t="n">
        <v>927</v>
      </c>
      <c r="AD8" s="14" t="n">
        <v>2965</v>
      </c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33"/>
      <c r="I9" s="30"/>
      <c r="J9" s="30"/>
      <c r="K9" s="30"/>
      <c r="L9" s="30"/>
      <c r="M9" s="30"/>
      <c r="N9" s="30"/>
      <c r="O9" s="30"/>
      <c r="P9" s="30"/>
      <c r="Q9" s="32"/>
      <c r="R9" s="30"/>
      <c r="S9" s="30"/>
      <c r="T9" s="30"/>
      <c r="U9" s="32"/>
      <c r="V9" s="30"/>
      <c r="W9" s="30"/>
      <c r="X9" s="30"/>
      <c r="Y9" s="34"/>
      <c r="Z9" s="35"/>
      <c r="AA9" s="35"/>
      <c r="AB9" s="36"/>
      <c r="AC9" s="14"/>
      <c r="AD9" s="14"/>
    </row>
    <row r="10" customFormat="false" ht="11.1" hidden="false" customHeight="true" outlineLevel="0" collapsed="false">
      <c r="A10" s="13" t="n">
        <v>1</v>
      </c>
      <c r="B10" s="27" t="n">
        <v>6907.13</v>
      </c>
      <c r="C10" s="8" t="n">
        <v>310647</v>
      </c>
      <c r="D10" s="12" t="n">
        <f aca="false">C10-C8</f>
        <v>38</v>
      </c>
      <c r="E10" s="8" t="n">
        <f aca="false">C10-152000</f>
        <v>158647</v>
      </c>
      <c r="F10" s="7" t="n">
        <f aca="false">D10/$D$2</f>
        <v>19.1628845184065</v>
      </c>
      <c r="G10" s="7" t="n">
        <v>52.9</v>
      </c>
      <c r="H10" s="9" t="n">
        <v>0</v>
      </c>
      <c r="I10" s="7" t="n">
        <f aca="false">G10+H10</f>
        <v>52.9</v>
      </c>
      <c r="J10" s="38"/>
      <c r="K10" s="7" t="n">
        <f aca="false">I10+J10</f>
        <v>52.9</v>
      </c>
      <c r="L10" s="7" t="n">
        <f aca="false">F10-(I10-V10)</f>
        <v>0.0228845184064532</v>
      </c>
      <c r="M10" s="7" t="n">
        <v>4.06</v>
      </c>
      <c r="N10" s="7" t="n">
        <v>0</v>
      </c>
      <c r="O10" s="7"/>
      <c r="P10" s="7" t="n">
        <f aca="false">SUM(M10:O10)</f>
        <v>4.06</v>
      </c>
      <c r="Q10" s="8"/>
      <c r="R10" s="7"/>
      <c r="S10" s="7"/>
      <c r="T10" s="7" t="n">
        <v>29.7</v>
      </c>
      <c r="U10" s="8" t="n">
        <f aca="false">U8-T10</f>
        <v>12638.4233148475</v>
      </c>
      <c r="V10" s="7" t="n">
        <f aca="false">P10+R10+S10+T10</f>
        <v>33.76</v>
      </c>
      <c r="W10" s="7"/>
      <c r="X10" s="7" t="n">
        <f aca="false">V10+W10</f>
        <v>33.76</v>
      </c>
      <c r="Y10" s="11" t="n">
        <v>0</v>
      </c>
      <c r="Z10" s="12" t="n">
        <v>39</v>
      </c>
      <c r="AA10" s="12" t="n">
        <v>17</v>
      </c>
      <c r="AB10" s="13" t="n">
        <v>1</v>
      </c>
      <c r="AC10" s="0" t="n">
        <v>989</v>
      </c>
      <c r="AD10" s="29" t="n">
        <v>3056</v>
      </c>
      <c r="AE10" s="0" t="n">
        <v>7883</v>
      </c>
    </row>
    <row r="11" customFormat="false" ht="11.1" hidden="false" customHeight="true" outlineLevel="0" collapsed="false">
      <c r="A11" s="13" t="n">
        <f aca="false">A10+1</f>
        <v>2</v>
      </c>
      <c r="B11" s="27" t="n">
        <v>6907.14</v>
      </c>
      <c r="C11" s="8" t="n">
        <v>310687</v>
      </c>
      <c r="D11" s="12" t="n">
        <f aca="false">C11-C10</f>
        <v>40</v>
      </c>
      <c r="E11" s="8" t="n">
        <f aca="false">C11-152000</f>
        <v>158687</v>
      </c>
      <c r="F11" s="7" t="n">
        <f aca="false">D11/$D$2</f>
        <v>20.1714573877963</v>
      </c>
      <c r="G11" s="7" t="n">
        <v>54</v>
      </c>
      <c r="H11" s="9" t="n">
        <v>0</v>
      </c>
      <c r="I11" s="7" t="n">
        <f aca="false">G11+H11</f>
        <v>54</v>
      </c>
      <c r="J11" s="38"/>
      <c r="K11" s="7" t="n">
        <f aca="false">I11+J11</f>
        <v>54</v>
      </c>
      <c r="L11" s="7" t="n">
        <f aca="false">F11-(I11-V11)</f>
        <v>-0.0385426122037344</v>
      </c>
      <c r="M11" s="7" t="n">
        <v>4.06</v>
      </c>
      <c r="N11" s="7" t="n">
        <v>0</v>
      </c>
      <c r="O11" s="7"/>
      <c r="P11" s="7" t="n">
        <f aca="false">SUM(M11:O11)</f>
        <v>4.06</v>
      </c>
      <c r="Q11" s="8"/>
      <c r="R11" s="7"/>
      <c r="S11" s="7"/>
      <c r="T11" s="7" t="n">
        <v>29.73</v>
      </c>
      <c r="U11" s="8" t="n">
        <f aca="false">U10-T11</f>
        <v>12608.6933148475</v>
      </c>
      <c r="V11" s="7" t="n">
        <f aca="false">P11+R11+S11+T11</f>
        <v>33.79</v>
      </c>
      <c r="W11" s="7"/>
      <c r="X11" s="7" t="n">
        <f aca="false">V11+W11</f>
        <v>33.79</v>
      </c>
      <c r="Y11" s="11" t="n">
        <v>0</v>
      </c>
      <c r="Z11" s="12" t="n">
        <v>40</v>
      </c>
      <c r="AA11" s="12" t="n">
        <v>20</v>
      </c>
      <c r="AB11" s="13" t="n">
        <f aca="false">AB10+1</f>
        <v>2</v>
      </c>
      <c r="AC11" s="0" t="n">
        <v>1032</v>
      </c>
      <c r="AD11" s="29" t="n">
        <v>3153</v>
      </c>
    </row>
    <row r="12" customFormat="false" ht="11.1" hidden="false" customHeight="true" outlineLevel="0" collapsed="false">
      <c r="A12" s="13" t="n">
        <f aca="false">A11+1</f>
        <v>3</v>
      </c>
      <c r="B12" s="27" t="n">
        <v>6907.14</v>
      </c>
      <c r="C12" s="8" t="n">
        <v>310687</v>
      </c>
      <c r="D12" s="12" t="n">
        <f aca="false">C12-C11</f>
        <v>0</v>
      </c>
      <c r="E12" s="8" t="n">
        <f aca="false">C12-152000</f>
        <v>158687</v>
      </c>
      <c r="F12" s="7" t="n">
        <f aca="false">D12/$D$2</f>
        <v>0</v>
      </c>
      <c r="G12" s="7" t="n">
        <v>33.9</v>
      </c>
      <c r="H12" s="9" t="n">
        <v>0</v>
      </c>
      <c r="I12" s="7" t="n">
        <f aca="false">G12+H12</f>
        <v>33.9</v>
      </c>
      <c r="J12" s="38"/>
      <c r="K12" s="7" t="n">
        <f aca="false">I12+J12</f>
        <v>33.9</v>
      </c>
      <c r="L12" s="7" t="n">
        <f aca="false">F12-(I12-V12)</f>
        <v>-0.0399999999999991</v>
      </c>
      <c r="M12" s="7" t="n">
        <v>4.06</v>
      </c>
      <c r="N12" s="7" t="n">
        <v>0</v>
      </c>
      <c r="O12" s="7"/>
      <c r="P12" s="7" t="n">
        <f aca="false">SUM(M12:O12)</f>
        <v>4.06</v>
      </c>
      <c r="Q12" s="8"/>
      <c r="R12" s="7"/>
      <c r="S12" s="7"/>
      <c r="T12" s="7" t="n">
        <v>29.8</v>
      </c>
      <c r="U12" s="8" t="n">
        <f aca="false">U11-T12</f>
        <v>12578.8933148475</v>
      </c>
      <c r="V12" s="7" t="n">
        <f aca="false">P12+R12+S12+T12</f>
        <v>33.86</v>
      </c>
      <c r="W12" s="7"/>
      <c r="X12" s="7" t="n">
        <f aca="false">V12+W12</f>
        <v>33.86</v>
      </c>
      <c r="Y12" s="11" t="n">
        <v>0</v>
      </c>
      <c r="Z12" s="12" t="n">
        <v>44</v>
      </c>
      <c r="AA12" s="12" t="n">
        <v>17</v>
      </c>
      <c r="AB12" s="13" t="n">
        <f aca="false">AB11+1</f>
        <v>3</v>
      </c>
      <c r="AC12" s="0" t="n">
        <v>1085</v>
      </c>
      <c r="AD12" s="29" t="n">
        <v>3249</v>
      </c>
    </row>
    <row r="13" customFormat="false" ht="11.1" hidden="false" customHeight="true" outlineLevel="0" collapsed="false">
      <c r="A13" s="13" t="n">
        <f aca="false">A12+1</f>
        <v>4</v>
      </c>
      <c r="B13" s="27" t="n">
        <v>6907.15</v>
      </c>
      <c r="C13" s="8" t="n">
        <v>310725</v>
      </c>
      <c r="D13" s="12" t="n">
        <f aca="false">C13-C12</f>
        <v>38</v>
      </c>
      <c r="E13" s="8" t="n">
        <f aca="false">C13-152000</f>
        <v>158725</v>
      </c>
      <c r="F13" s="7" t="n">
        <f aca="false">D13/$D$2</f>
        <v>19.1628845184065</v>
      </c>
      <c r="G13" s="7" t="n">
        <v>53</v>
      </c>
      <c r="H13" s="9" t="n">
        <v>0</v>
      </c>
      <c r="I13" s="7" t="n">
        <f aca="false">G13+H13</f>
        <v>53</v>
      </c>
      <c r="J13" s="38"/>
      <c r="K13" s="7" t="n">
        <f aca="false">I13+J13</f>
        <v>53</v>
      </c>
      <c r="L13" s="7" t="n">
        <f aca="false">F13-(I13-V13)</f>
        <v>0.0228845184064532</v>
      </c>
      <c r="M13" s="7" t="n">
        <v>4.06</v>
      </c>
      <c r="N13" s="7" t="n">
        <v>0</v>
      </c>
      <c r="O13" s="7"/>
      <c r="P13" s="7" t="n">
        <f aca="false">SUM(M13:O13)</f>
        <v>4.06</v>
      </c>
      <c r="Q13" s="8"/>
      <c r="R13" s="7"/>
      <c r="S13" s="7"/>
      <c r="T13" s="7" t="n">
        <v>29.8</v>
      </c>
      <c r="U13" s="8" t="n">
        <f aca="false">U12-T13</f>
        <v>12549.0933148475</v>
      </c>
      <c r="V13" s="7" t="n">
        <f aca="false">P13+R13+S13+T13</f>
        <v>33.86</v>
      </c>
      <c r="W13" s="7"/>
      <c r="X13" s="7" t="n">
        <f aca="false">V13+W13</f>
        <v>33.86</v>
      </c>
      <c r="Y13" s="11" t="n">
        <v>0</v>
      </c>
      <c r="Z13" s="12" t="n">
        <v>52</v>
      </c>
      <c r="AA13" s="12" t="n">
        <v>22</v>
      </c>
      <c r="AB13" s="13" t="n">
        <f aca="false">AB12+1</f>
        <v>4</v>
      </c>
      <c r="AC13" s="0" t="n">
        <v>1122</v>
      </c>
      <c r="AD13" s="29" t="n">
        <v>3347</v>
      </c>
    </row>
    <row r="14" customFormat="false" ht="11.1" hidden="false" customHeight="true" outlineLevel="0" collapsed="false">
      <c r="A14" s="13" t="n">
        <f aca="false">A13+1</f>
        <v>5</v>
      </c>
      <c r="B14" s="27" t="n">
        <v>6907.15</v>
      </c>
      <c r="C14" s="8" t="n">
        <v>310725</v>
      </c>
      <c r="D14" s="12" t="n">
        <f aca="false">C14-C13</f>
        <v>0</v>
      </c>
      <c r="E14" s="8" t="n">
        <f aca="false">C14-152000</f>
        <v>158725</v>
      </c>
      <c r="F14" s="7" t="n">
        <f aca="false">D14/$D$2</f>
        <v>0</v>
      </c>
      <c r="G14" s="7" t="n">
        <v>34</v>
      </c>
      <c r="H14" s="9" t="n">
        <v>0</v>
      </c>
      <c r="I14" s="7" t="n">
        <f aca="false">G14+H14</f>
        <v>34</v>
      </c>
      <c r="J14" s="38"/>
      <c r="K14" s="7" t="n">
        <f aca="false">I14+J14</f>
        <v>34</v>
      </c>
      <c r="L14" s="7" t="n">
        <f aca="false">F14-(I14-V14)</f>
        <v>0</v>
      </c>
      <c r="M14" s="7" t="n">
        <v>4.06</v>
      </c>
      <c r="N14" s="7" t="n">
        <v>0</v>
      </c>
      <c r="O14" s="7"/>
      <c r="P14" s="7" t="n">
        <f aca="false">SUM(M14:O14)</f>
        <v>4.06</v>
      </c>
      <c r="Q14" s="8"/>
      <c r="R14" s="7"/>
      <c r="S14" s="7"/>
      <c r="T14" s="7" t="n">
        <v>29.94</v>
      </c>
      <c r="U14" s="8" t="n">
        <f aca="false">U13-T14</f>
        <v>12519.1533148475</v>
      </c>
      <c r="V14" s="7" t="n">
        <f aca="false">P14+R14+S14+T14</f>
        <v>34</v>
      </c>
      <c r="W14" s="7"/>
      <c r="X14" s="7" t="n">
        <f aca="false">V14+W14</f>
        <v>34</v>
      </c>
      <c r="Y14" s="11" t="n">
        <v>0</v>
      </c>
      <c r="Z14" s="12" t="n">
        <v>51</v>
      </c>
      <c r="AA14" s="12" t="n">
        <v>24</v>
      </c>
      <c r="AB14" s="13" t="n">
        <f aca="false">AB13+1</f>
        <v>5</v>
      </c>
      <c r="AC14" s="0" t="n">
        <v>1157</v>
      </c>
      <c r="AD14" s="29" t="n">
        <v>3444</v>
      </c>
    </row>
    <row r="15" customFormat="false" ht="11.1" hidden="false" customHeight="true" outlineLevel="0" collapsed="false">
      <c r="A15" s="13" t="n">
        <f aca="false">A14+1</f>
        <v>6</v>
      </c>
      <c r="B15" s="27" t="n">
        <v>6907.16</v>
      </c>
      <c r="C15" s="8" t="n">
        <v>310766</v>
      </c>
      <c r="D15" s="12" t="n">
        <f aca="false">C15-C14</f>
        <v>41</v>
      </c>
      <c r="E15" s="8" t="n">
        <f aca="false">C15-152000</f>
        <v>158766</v>
      </c>
      <c r="F15" s="7" t="n">
        <f aca="false">D15/$D$2</f>
        <v>20.6757438224912</v>
      </c>
      <c r="G15" s="7" t="n">
        <v>54.9</v>
      </c>
      <c r="H15" s="9" t="n">
        <v>0</v>
      </c>
      <c r="I15" s="7" t="n">
        <f aca="false">G15+H15</f>
        <v>54.9</v>
      </c>
      <c r="J15" s="38"/>
      <c r="K15" s="7" t="n">
        <f aca="false">I15+J15</f>
        <v>54.9</v>
      </c>
      <c r="L15" s="7" t="n">
        <f aca="false">F15-(I15-V15)</f>
        <v>0.0157438224911779</v>
      </c>
      <c r="M15" s="7" t="n">
        <v>4.05</v>
      </c>
      <c r="N15" s="7" t="n">
        <v>0</v>
      </c>
      <c r="O15" s="7"/>
      <c r="P15" s="7" t="n">
        <f aca="false">SUM(M15:O15)</f>
        <v>4.05</v>
      </c>
      <c r="Q15" s="8"/>
      <c r="R15" s="7"/>
      <c r="S15" s="7"/>
      <c r="T15" s="7" t="n">
        <v>30.19</v>
      </c>
      <c r="U15" s="8" t="n">
        <f aca="false">U14-T15</f>
        <v>12488.9633148475</v>
      </c>
      <c r="V15" s="7" t="n">
        <f aca="false">P15+R15+S15+T15</f>
        <v>34.24</v>
      </c>
      <c r="W15" s="7"/>
      <c r="X15" s="7" t="n">
        <f aca="false">V15+W15</f>
        <v>34.24</v>
      </c>
      <c r="Y15" s="11" t="n">
        <v>0</v>
      </c>
      <c r="Z15" s="12" t="n">
        <v>40</v>
      </c>
      <c r="AA15" s="12" t="n">
        <v>14</v>
      </c>
      <c r="AB15" s="13" t="n">
        <f aca="false">AB14+1</f>
        <v>6</v>
      </c>
      <c r="AC15" s="0" t="n">
        <v>1173</v>
      </c>
      <c r="AD15" s="29" t="n">
        <v>3541</v>
      </c>
      <c r="AE15" s="0" t="n">
        <v>132.9</v>
      </c>
    </row>
    <row r="16" customFormat="false" ht="11.1" hidden="false" customHeight="true" outlineLevel="0" collapsed="false">
      <c r="A16" s="13" t="n">
        <f aca="false">A15+1</f>
        <v>7</v>
      </c>
      <c r="B16" s="27" t="n">
        <v>6907.16</v>
      </c>
      <c r="C16" s="8" t="n">
        <v>310766</v>
      </c>
      <c r="D16" s="12" t="n">
        <f aca="false">C16-C15</f>
        <v>0</v>
      </c>
      <c r="E16" s="8" t="n">
        <f aca="false">C16-152000</f>
        <v>158766</v>
      </c>
      <c r="F16" s="7" t="n">
        <f aca="false">D16/$D$2</f>
        <v>0</v>
      </c>
      <c r="G16" s="7" t="n">
        <v>34.9</v>
      </c>
      <c r="H16" s="9" t="n">
        <v>0</v>
      </c>
      <c r="I16" s="7" t="n">
        <f aca="false">G16+H16</f>
        <v>34.9</v>
      </c>
      <c r="J16" s="38"/>
      <c r="K16" s="7" t="n">
        <f aca="false">I16+J16</f>
        <v>34.9</v>
      </c>
      <c r="L16" s="7" t="n">
        <f aca="false">F16-(I16-V16)</f>
        <v>0.00999999999999801</v>
      </c>
      <c r="M16" s="7" t="n">
        <v>4.44</v>
      </c>
      <c r="N16" s="7" t="n">
        <v>0</v>
      </c>
      <c r="O16" s="7"/>
      <c r="P16" s="7" t="n">
        <f aca="false">SUM(M16:O16)</f>
        <v>4.44</v>
      </c>
      <c r="Q16" s="8"/>
      <c r="R16" s="7"/>
      <c r="S16" s="7"/>
      <c r="T16" s="7" t="n">
        <v>30.47</v>
      </c>
      <c r="U16" s="8" t="n">
        <f aca="false">U15-T16</f>
        <v>12458.4933148475</v>
      </c>
      <c r="V16" s="7" t="n">
        <f aca="false">P16+R16+S16+T16</f>
        <v>34.91</v>
      </c>
      <c r="W16" s="7"/>
      <c r="X16" s="7" t="n">
        <f aca="false">V16+W16</f>
        <v>34.91</v>
      </c>
      <c r="Y16" s="11" t="n">
        <v>0</v>
      </c>
      <c r="Z16" s="12" t="n">
        <v>41</v>
      </c>
      <c r="AA16" s="12" t="n">
        <v>8</v>
      </c>
      <c r="AB16" s="13" t="n">
        <f aca="false">AB15+1</f>
        <v>7</v>
      </c>
      <c r="AC16" s="14" t="n">
        <v>1173</v>
      </c>
      <c r="AD16" s="29" t="n">
        <v>3628</v>
      </c>
      <c r="AE16" s="0" t="n">
        <v>138.06</v>
      </c>
    </row>
    <row r="17" customFormat="false" ht="11.1" hidden="false" customHeight="true" outlineLevel="0" collapsed="false">
      <c r="A17" s="13" t="n">
        <f aca="false">A16+1</f>
        <v>8</v>
      </c>
      <c r="B17" s="27" t="n">
        <v>6907.17</v>
      </c>
      <c r="C17" s="8" t="n">
        <v>310804</v>
      </c>
      <c r="D17" s="12" t="n">
        <f aca="false">C17-C16</f>
        <v>38</v>
      </c>
      <c r="E17" s="8" t="n">
        <f aca="false">C17-152000</f>
        <v>158804</v>
      </c>
      <c r="F17" s="7" t="n">
        <f aca="false">D17/$D$2</f>
        <v>19.1628845184065</v>
      </c>
      <c r="G17" s="7" t="n">
        <v>54</v>
      </c>
      <c r="H17" s="9" t="n">
        <v>0</v>
      </c>
      <c r="I17" s="7" t="n">
        <f aca="false">G17+H17</f>
        <v>54</v>
      </c>
      <c r="J17" s="38"/>
      <c r="K17" s="7" t="n">
        <f aca="false">I17+J17</f>
        <v>54</v>
      </c>
      <c r="L17" s="7" t="n">
        <f aca="false">F17-(I17-V17)</f>
        <v>-0.0271154815935439</v>
      </c>
      <c r="M17" s="7" t="n">
        <v>4.76</v>
      </c>
      <c r="N17" s="7" t="n">
        <v>0</v>
      </c>
      <c r="O17" s="7"/>
      <c r="P17" s="7" t="n">
        <f aca="false">SUM(M17:O17)</f>
        <v>4.76</v>
      </c>
      <c r="Q17" s="8"/>
      <c r="R17" s="7"/>
      <c r="S17" s="7"/>
      <c r="T17" s="7" t="n">
        <v>30.05</v>
      </c>
      <c r="U17" s="8" t="n">
        <f aca="false">U16-T17</f>
        <v>12428.4433148475</v>
      </c>
      <c r="V17" s="7" t="n">
        <f aca="false">P17+R17+S17+T17</f>
        <v>34.81</v>
      </c>
      <c r="W17" s="7"/>
      <c r="X17" s="7" t="n">
        <f aca="false">V17+W17</f>
        <v>34.81</v>
      </c>
      <c r="Y17" s="11" t="n">
        <v>0</v>
      </c>
      <c r="Z17" s="12" t="n">
        <v>42</v>
      </c>
      <c r="AA17" s="12" t="n">
        <v>11</v>
      </c>
      <c r="AB17" s="13" t="n">
        <f aca="false">AB16+1</f>
        <v>8</v>
      </c>
      <c r="AC17" s="14" t="n">
        <v>1184</v>
      </c>
      <c r="AD17" s="29" t="n">
        <v>3708</v>
      </c>
      <c r="AE17" s="0" t="n">
        <v>124.16</v>
      </c>
    </row>
    <row r="18" customFormat="false" ht="11.1" hidden="false" customHeight="true" outlineLevel="0" collapsed="false">
      <c r="A18" s="13" t="n">
        <f aca="false">A17+1</f>
        <v>9</v>
      </c>
      <c r="B18" s="27" t="n">
        <v>6907.17</v>
      </c>
      <c r="C18" s="8" t="n">
        <v>310804</v>
      </c>
      <c r="D18" s="12" t="n">
        <f aca="false">C18-C17</f>
        <v>0</v>
      </c>
      <c r="E18" s="8" t="n">
        <f aca="false">C18-152000</f>
        <v>158804</v>
      </c>
      <c r="F18" s="7" t="n">
        <f aca="false">D18/$D$2</f>
        <v>0</v>
      </c>
      <c r="G18" s="7" t="n">
        <v>34.6</v>
      </c>
      <c r="H18" s="9" t="n">
        <v>0</v>
      </c>
      <c r="I18" s="7" t="n">
        <f aca="false">G18+H18</f>
        <v>34.6</v>
      </c>
      <c r="J18" s="38"/>
      <c r="K18" s="7" t="n">
        <f aca="false">I18+J18</f>
        <v>34.6</v>
      </c>
      <c r="L18" s="7" t="n">
        <f aca="false">F18-(I18-V18)</f>
        <v>0</v>
      </c>
      <c r="M18" s="7" t="n">
        <v>4.76</v>
      </c>
      <c r="N18" s="7" t="n">
        <v>0</v>
      </c>
      <c r="O18" s="7"/>
      <c r="P18" s="7" t="n">
        <f aca="false">SUM(M18:O18)</f>
        <v>4.76</v>
      </c>
      <c r="Q18" s="8"/>
      <c r="R18" s="7"/>
      <c r="S18" s="7"/>
      <c r="T18" s="7" t="n">
        <v>29.84</v>
      </c>
      <c r="U18" s="8" t="n">
        <f aca="false">U17-T18</f>
        <v>12398.6033148475</v>
      </c>
      <c r="V18" s="7" t="n">
        <f aca="false">P18+R18+S18+T18</f>
        <v>34.6</v>
      </c>
      <c r="W18" s="7"/>
      <c r="X18" s="7" t="n">
        <f aca="false">V18+W18</f>
        <v>34.6</v>
      </c>
      <c r="Y18" s="11" t="n">
        <v>0</v>
      </c>
      <c r="Z18" s="38" t="n">
        <v>43</v>
      </c>
      <c r="AA18" s="12" t="n">
        <v>14</v>
      </c>
      <c r="AB18" s="13" t="n">
        <f aca="false">AB17+1</f>
        <v>9</v>
      </c>
      <c r="AC18" s="14" t="n">
        <v>19</v>
      </c>
      <c r="AD18" s="29" t="n">
        <v>3787</v>
      </c>
      <c r="AE18" s="0" t="n">
        <v>91</v>
      </c>
    </row>
    <row r="19" customFormat="false" ht="11.1" hidden="false" customHeight="true" outlineLevel="0" collapsed="false">
      <c r="A19" s="13" t="n">
        <f aca="false">A18+1</f>
        <v>10</v>
      </c>
      <c r="B19" s="27" t="n">
        <v>6907.18</v>
      </c>
      <c r="C19" s="8" t="n">
        <v>310844</v>
      </c>
      <c r="D19" s="12" t="n">
        <f aca="false">C19-C18</f>
        <v>40</v>
      </c>
      <c r="E19" s="8" t="n">
        <f aca="false">C19-152000</f>
        <v>158844</v>
      </c>
      <c r="F19" s="7" t="n">
        <f aca="false">D19/$D$2</f>
        <v>20.1714573877963</v>
      </c>
      <c r="G19" s="7" t="n">
        <v>56</v>
      </c>
      <c r="H19" s="9" t="n">
        <v>0</v>
      </c>
      <c r="I19" s="7" t="n">
        <f aca="false">G19+H19</f>
        <v>56</v>
      </c>
      <c r="J19" s="38"/>
      <c r="K19" s="7" t="n">
        <f aca="false">I19+J19</f>
        <v>56</v>
      </c>
      <c r="L19" s="7" t="n">
        <f aca="false">F19-(I19-V19)</f>
        <v>0.0314573877962658</v>
      </c>
      <c r="M19" s="7" t="n">
        <v>6.02</v>
      </c>
      <c r="N19" s="7" t="n">
        <v>0</v>
      </c>
      <c r="O19" s="7"/>
      <c r="P19" s="7" t="n">
        <f aca="false">SUM(M19:O19)</f>
        <v>6.02</v>
      </c>
      <c r="Q19" s="8"/>
      <c r="R19" s="7"/>
      <c r="S19" s="7"/>
      <c r="T19" s="7" t="n">
        <v>29.84</v>
      </c>
      <c r="U19" s="8" t="n">
        <f aca="false">U18-T19</f>
        <v>12368.7633148475</v>
      </c>
      <c r="V19" s="7" t="n">
        <f aca="false">P19+R19+S19+T19</f>
        <v>35.86</v>
      </c>
      <c r="W19" s="7"/>
      <c r="X19" s="7" t="n">
        <f aca="false">V19+W19</f>
        <v>35.86</v>
      </c>
      <c r="Y19" s="11" t="n">
        <v>0</v>
      </c>
      <c r="Z19" s="12" t="n">
        <v>40</v>
      </c>
      <c r="AA19" s="12" t="n">
        <v>10</v>
      </c>
      <c r="AB19" s="13" t="n">
        <f aca="false">AB18+1</f>
        <v>10</v>
      </c>
      <c r="AC19" s="14" t="n">
        <v>29</v>
      </c>
      <c r="AD19" s="29" t="n">
        <v>3867</v>
      </c>
      <c r="AE19" s="0" t="n">
        <v>88.73</v>
      </c>
    </row>
    <row r="20" customFormat="false" ht="11.1" hidden="false" customHeight="true" outlineLevel="0" collapsed="false">
      <c r="A20" s="13" t="n">
        <f aca="false">A19+1</f>
        <v>11</v>
      </c>
      <c r="B20" s="27" t="n">
        <v>6907.18</v>
      </c>
      <c r="C20" s="8" t="n">
        <v>310844</v>
      </c>
      <c r="D20" s="12" t="n">
        <f aca="false">C20-C19</f>
        <v>0</v>
      </c>
      <c r="E20" s="8" t="n">
        <f aca="false">C20-152000</f>
        <v>158844</v>
      </c>
      <c r="F20" s="7" t="n">
        <f aca="false">D20/$D$2</f>
        <v>0</v>
      </c>
      <c r="G20" s="7" t="n">
        <v>35.9</v>
      </c>
      <c r="H20" s="9" t="n">
        <v>0</v>
      </c>
      <c r="I20" s="7" t="n">
        <f aca="false">G20+H20</f>
        <v>35.9</v>
      </c>
      <c r="J20" s="38"/>
      <c r="K20" s="7" t="n">
        <f aca="false">I20+J20</f>
        <v>35.9</v>
      </c>
      <c r="L20" s="7" t="n">
        <f aca="false">F20-(I20-V20)</f>
        <v>-0.029999999999994</v>
      </c>
      <c r="M20" s="7" t="n">
        <v>6</v>
      </c>
      <c r="N20" s="7" t="n">
        <v>0</v>
      </c>
      <c r="O20" s="7"/>
      <c r="P20" s="7" t="n">
        <f aca="false">SUM(M20:O20)</f>
        <v>6</v>
      </c>
      <c r="Q20" s="8"/>
      <c r="R20" s="7"/>
      <c r="S20" s="7"/>
      <c r="T20" s="7" t="n">
        <v>29.87</v>
      </c>
      <c r="U20" s="8" t="n">
        <f aca="false">U19-T20</f>
        <v>12338.8933148475</v>
      </c>
      <c r="V20" s="7" t="n">
        <f aca="false">P20+R20+S20+T20</f>
        <v>35.87</v>
      </c>
      <c r="W20" s="7"/>
      <c r="X20" s="7" t="n">
        <f aca="false">V20+W20</f>
        <v>35.87</v>
      </c>
      <c r="Y20" s="11" t="n">
        <v>0</v>
      </c>
      <c r="Z20" s="12" t="n">
        <v>44</v>
      </c>
      <c r="AA20" s="12" t="n">
        <v>8</v>
      </c>
      <c r="AB20" s="13" t="n">
        <f aca="false">AB19+1</f>
        <v>11</v>
      </c>
      <c r="AC20" s="14" t="n">
        <v>29</v>
      </c>
      <c r="AD20" s="29" t="n">
        <v>3933</v>
      </c>
      <c r="AE20" s="0" t="n">
        <v>85.97</v>
      </c>
    </row>
    <row r="21" customFormat="false" ht="11.1" hidden="false" customHeight="true" outlineLevel="0" collapsed="false">
      <c r="A21" s="13" t="n">
        <f aca="false">A20+1</f>
        <v>12</v>
      </c>
      <c r="B21" s="27" t="n">
        <v>6907.19</v>
      </c>
      <c r="C21" s="8" t="n">
        <v>310882</v>
      </c>
      <c r="D21" s="12" t="n">
        <f aca="false">C21-C20</f>
        <v>38</v>
      </c>
      <c r="E21" s="8" t="n">
        <f aca="false">C21-152000</f>
        <v>158882</v>
      </c>
      <c r="F21" s="7" t="n">
        <f aca="false">D21/$D$2</f>
        <v>19.1628845184065</v>
      </c>
      <c r="G21" s="7" t="n">
        <v>54.6</v>
      </c>
      <c r="H21" s="9" t="n">
        <v>0</v>
      </c>
      <c r="I21" s="7" t="n">
        <f aca="false">G21+H21</f>
        <v>54.6</v>
      </c>
      <c r="J21" s="38"/>
      <c r="K21" s="7" t="n">
        <f aca="false">I21+J21</f>
        <v>54.6</v>
      </c>
      <c r="L21" s="7" t="n">
        <f aca="false">F21-(I21-V21)</f>
        <v>0.0128845184064552</v>
      </c>
      <c r="M21" s="7" t="n">
        <v>5.51</v>
      </c>
      <c r="N21" s="7" t="n">
        <v>0</v>
      </c>
      <c r="O21" s="7"/>
      <c r="P21" s="7" t="n">
        <f aca="false">SUM(M21:O21)</f>
        <v>5.51</v>
      </c>
      <c r="Q21" s="8"/>
      <c r="R21" s="7"/>
      <c r="S21" s="7"/>
      <c r="T21" s="7" t="n">
        <v>29.94</v>
      </c>
      <c r="U21" s="8" t="n">
        <f aca="false">U20-T21</f>
        <v>12308.9533148475</v>
      </c>
      <c r="V21" s="7" t="n">
        <f aca="false">P21+R21+S21+T21</f>
        <v>35.45</v>
      </c>
      <c r="W21" s="7"/>
      <c r="X21" s="7" t="n">
        <f aca="false">V21+W21</f>
        <v>35.45</v>
      </c>
      <c r="Y21" s="11" t="n">
        <v>0</v>
      </c>
      <c r="Z21" s="12" t="n">
        <v>42</v>
      </c>
      <c r="AA21" s="12" t="n">
        <v>8</v>
      </c>
      <c r="AB21" s="13" t="n">
        <f aca="false">AB20+1</f>
        <v>12</v>
      </c>
      <c r="AC21" s="14" t="n">
        <v>39</v>
      </c>
      <c r="AD21" s="29" t="n">
        <v>3983</v>
      </c>
      <c r="AE21" s="0" t="n">
        <v>62.24</v>
      </c>
    </row>
    <row r="22" customFormat="false" ht="11.1" hidden="false" customHeight="true" outlineLevel="0" collapsed="false">
      <c r="A22" s="13" t="n">
        <f aca="false">A21+1</f>
        <v>13</v>
      </c>
      <c r="B22" s="27" t="n">
        <v>6907.19</v>
      </c>
      <c r="C22" s="8" t="n">
        <v>310882</v>
      </c>
      <c r="D22" s="12" t="n">
        <f aca="false">C22-C21</f>
        <v>0</v>
      </c>
      <c r="E22" s="8" t="n">
        <f aca="false">C22-152000</f>
        <v>158882</v>
      </c>
      <c r="F22" s="7" t="n">
        <f aca="false">D22/$D$2</f>
        <v>0</v>
      </c>
      <c r="G22" s="7" t="n">
        <v>35.4</v>
      </c>
      <c r="H22" s="9" t="n">
        <v>0</v>
      </c>
      <c r="I22" s="7" t="n">
        <f aca="false">G22+H22</f>
        <v>35.4</v>
      </c>
      <c r="J22" s="38"/>
      <c r="K22" s="7" t="n">
        <f aca="false">I22+J22</f>
        <v>35.4</v>
      </c>
      <c r="L22" s="7" t="n">
        <f aca="false">F22-(I22-V22)</f>
        <v>0</v>
      </c>
      <c r="M22" s="7" t="n">
        <v>5.25</v>
      </c>
      <c r="N22" s="7" t="n">
        <v>0</v>
      </c>
      <c r="O22" s="7"/>
      <c r="P22" s="7" t="n">
        <f aca="false">SUM(M22:O22)</f>
        <v>5.25</v>
      </c>
      <c r="Q22" s="8"/>
      <c r="R22" s="7"/>
      <c r="S22" s="7"/>
      <c r="T22" s="7" t="n">
        <v>30.15</v>
      </c>
      <c r="U22" s="8" t="n">
        <f aca="false">U21-T22</f>
        <v>12278.8033148475</v>
      </c>
      <c r="V22" s="7" t="n">
        <f aca="false">P22+R22+S22+T22</f>
        <v>35.4</v>
      </c>
      <c r="W22" s="7"/>
      <c r="X22" s="7" t="n">
        <f aca="false">V22+W22</f>
        <v>35.4</v>
      </c>
      <c r="Y22" s="11" t="n">
        <v>0</v>
      </c>
      <c r="Z22" s="12" t="n">
        <v>40</v>
      </c>
      <c r="AA22" s="12" t="n">
        <v>10</v>
      </c>
      <c r="AB22" s="13" t="n">
        <f aca="false">AB21+1</f>
        <v>13</v>
      </c>
      <c r="AC22" s="14" t="n">
        <v>49</v>
      </c>
      <c r="AD22" s="29" t="n">
        <v>4033</v>
      </c>
      <c r="AE22" s="0" t="n">
        <v>64.92</v>
      </c>
    </row>
    <row r="23" customFormat="false" ht="11.1" hidden="false" customHeight="true" outlineLevel="0" collapsed="false">
      <c r="A23" s="13" t="n">
        <f aca="false">A22+1</f>
        <v>14</v>
      </c>
      <c r="B23" s="27" t="n">
        <v>6907.19</v>
      </c>
      <c r="C23" s="8" t="n">
        <v>310882</v>
      </c>
      <c r="D23" s="12" t="n">
        <f aca="false">C23-C22</f>
        <v>0</v>
      </c>
      <c r="E23" s="8" t="n">
        <f aca="false">C23-152000</f>
        <v>158882</v>
      </c>
      <c r="F23" s="7" t="n">
        <f aca="false">D23/$D$2</f>
        <v>0</v>
      </c>
      <c r="G23" s="7" t="n">
        <v>35.6</v>
      </c>
      <c r="H23" s="9" t="n">
        <v>0</v>
      </c>
      <c r="I23" s="7" t="n">
        <f aca="false">G23+H23</f>
        <v>35.6</v>
      </c>
      <c r="J23" s="38"/>
      <c r="K23" s="7" t="n">
        <f aca="false">I23+J23</f>
        <v>35.6</v>
      </c>
      <c r="L23" s="7" t="n">
        <f aca="false">F23-(I23-V23)</f>
        <v>0.0300000000000011</v>
      </c>
      <c r="M23" s="7" t="n">
        <v>5.13</v>
      </c>
      <c r="N23" s="7" t="n">
        <v>0</v>
      </c>
      <c r="O23" s="7"/>
      <c r="P23" s="7" t="n">
        <f aca="false">SUM(M23:O23)</f>
        <v>5.13</v>
      </c>
      <c r="Q23" s="8"/>
      <c r="R23" s="7"/>
      <c r="S23" s="7"/>
      <c r="T23" s="7" t="n">
        <v>30.5</v>
      </c>
      <c r="U23" s="8" t="n">
        <f aca="false">U22-T23</f>
        <v>12248.3033148475</v>
      </c>
      <c r="V23" s="7" t="n">
        <f aca="false">P23+R23+S23+T23</f>
        <v>35.63</v>
      </c>
      <c r="W23" s="7"/>
      <c r="X23" s="7" t="n">
        <f aca="false">V23+W23</f>
        <v>35.63</v>
      </c>
      <c r="Y23" s="11" t="n">
        <v>0</v>
      </c>
      <c r="Z23" s="38" t="n">
        <v>48</v>
      </c>
      <c r="AA23" s="12" t="n">
        <v>10</v>
      </c>
      <c r="AB23" s="13" t="n">
        <f aca="false">AB22+1</f>
        <v>14</v>
      </c>
      <c r="AC23" s="14" t="n">
        <v>49</v>
      </c>
      <c r="AD23" s="29" t="n">
        <v>4080</v>
      </c>
      <c r="AE23" s="0" t="n">
        <v>59.81</v>
      </c>
    </row>
    <row r="24" customFormat="false" ht="11.1" hidden="false" customHeight="true" outlineLevel="0" collapsed="false">
      <c r="A24" s="13" t="n">
        <f aca="false">A23+1</f>
        <v>15</v>
      </c>
      <c r="B24" s="27" t="n">
        <v>6907.2</v>
      </c>
      <c r="C24" s="8" t="n">
        <v>310922</v>
      </c>
      <c r="D24" s="12" t="n">
        <f aca="false">C24-C23</f>
        <v>40</v>
      </c>
      <c r="E24" s="8" t="n">
        <f aca="false">C24-152000</f>
        <v>158922</v>
      </c>
      <c r="F24" s="7" t="n">
        <f aca="false">D24/$D$2</f>
        <v>20.1714573877963</v>
      </c>
      <c r="G24" s="7" t="n">
        <v>55.7</v>
      </c>
      <c r="H24" s="9" t="n">
        <v>0</v>
      </c>
      <c r="I24" s="7" t="n">
        <f aca="false">G24+H24</f>
        <v>55.7</v>
      </c>
      <c r="J24" s="38"/>
      <c r="K24" s="7" t="n">
        <f aca="false">I24+J24</f>
        <v>55.7</v>
      </c>
      <c r="L24" s="7" t="n">
        <f aca="false">F24-(I24-V24)</f>
        <v>-0.0385426122037344</v>
      </c>
      <c r="M24" s="7" t="n">
        <v>5.13</v>
      </c>
      <c r="N24" s="7" t="n">
        <v>0</v>
      </c>
      <c r="O24" s="7"/>
      <c r="P24" s="7" t="n">
        <f aca="false">SUM(M24:O24)</f>
        <v>5.13</v>
      </c>
      <c r="Q24" s="8"/>
      <c r="R24" s="7"/>
      <c r="S24" s="7"/>
      <c r="T24" s="7" t="n">
        <v>30.36</v>
      </c>
      <c r="U24" s="8" t="n">
        <f aca="false">U23-T24</f>
        <v>12217.9433148475</v>
      </c>
      <c r="V24" s="7" t="n">
        <f aca="false">P24+R24+S24+T24</f>
        <v>35.49</v>
      </c>
      <c r="W24" s="7"/>
      <c r="X24" s="7" t="n">
        <f aca="false">V24+W24</f>
        <v>35.49</v>
      </c>
      <c r="Y24" s="11" t="n">
        <v>0</v>
      </c>
      <c r="Z24" s="38" t="n">
        <v>43</v>
      </c>
      <c r="AA24" s="12" t="n">
        <v>11</v>
      </c>
      <c r="AB24" s="13" t="n">
        <f aca="false">AB23+1</f>
        <v>15</v>
      </c>
      <c r="AC24" s="14" t="n">
        <v>49</v>
      </c>
      <c r="AD24" s="29" t="n">
        <v>4110</v>
      </c>
      <c r="AE24" s="0" t="n">
        <v>29.1</v>
      </c>
    </row>
    <row r="25" customFormat="false" ht="11.1" hidden="false" customHeight="true" outlineLevel="0" collapsed="false">
      <c r="A25" s="13" t="n">
        <f aca="false">A24+1</f>
        <v>16</v>
      </c>
      <c r="B25" s="27" t="n">
        <v>6907.2</v>
      </c>
      <c r="C25" s="8" t="n">
        <v>310922</v>
      </c>
      <c r="D25" s="12" t="n">
        <f aca="false">C25-C24</f>
        <v>0</v>
      </c>
      <c r="E25" s="8" t="n">
        <f aca="false">C25-152000</f>
        <v>158922</v>
      </c>
      <c r="F25" s="7" t="n">
        <f aca="false">D25/$D$2</f>
        <v>0</v>
      </c>
      <c r="G25" s="7" t="n">
        <v>36.1</v>
      </c>
      <c r="H25" s="9" t="n">
        <v>0</v>
      </c>
      <c r="I25" s="7" t="n">
        <f aca="false">G25+H25</f>
        <v>36.1</v>
      </c>
      <c r="J25" s="38"/>
      <c r="K25" s="7" t="n">
        <f aca="false">I25+J25</f>
        <v>36.1</v>
      </c>
      <c r="L25" s="7" t="n">
        <f aca="false">F25-(I25-V25)</f>
        <v>0</v>
      </c>
      <c r="M25" s="7" t="n">
        <v>5.7</v>
      </c>
      <c r="N25" s="7" t="n">
        <v>0</v>
      </c>
      <c r="O25" s="7"/>
      <c r="P25" s="7" t="n">
        <f aca="false">SUM(M25:O25)</f>
        <v>5.7</v>
      </c>
      <c r="Q25" s="8"/>
      <c r="R25" s="7"/>
      <c r="S25" s="7"/>
      <c r="T25" s="7" t="n">
        <v>30.4</v>
      </c>
      <c r="U25" s="8" t="n">
        <f aca="false">U24-T25</f>
        <v>12187.5433148475</v>
      </c>
      <c r="V25" s="7" t="n">
        <f aca="false">P25+R25+S25+T25</f>
        <v>36.1</v>
      </c>
      <c r="W25" s="7"/>
      <c r="X25" s="7" t="n">
        <f aca="false">V25+W25</f>
        <v>36.1</v>
      </c>
      <c r="Y25" s="11" t="n">
        <v>0</v>
      </c>
      <c r="Z25" s="38" t="n">
        <v>44</v>
      </c>
      <c r="AA25" s="12" t="n">
        <v>13</v>
      </c>
      <c r="AB25" s="13" t="n">
        <f aca="false">AB24+1</f>
        <v>16</v>
      </c>
      <c r="AC25" s="14" t="n">
        <v>49</v>
      </c>
      <c r="AD25" s="29" t="n">
        <v>4140</v>
      </c>
      <c r="AE25" s="0" t="n">
        <v>26.14</v>
      </c>
    </row>
    <row r="26" customFormat="false" ht="11.1" hidden="false" customHeight="true" outlineLevel="0" collapsed="false">
      <c r="A26" s="13" t="n">
        <f aca="false">A25+1</f>
        <v>17</v>
      </c>
      <c r="B26" s="27" t="n">
        <v>6907.19</v>
      </c>
      <c r="C26" s="8" t="n">
        <v>310882</v>
      </c>
      <c r="D26" s="12" t="n">
        <f aca="false">C26-C25</f>
        <v>-40</v>
      </c>
      <c r="E26" s="8" t="n">
        <f aca="false">C26-152000</f>
        <v>158882</v>
      </c>
      <c r="F26" s="7" t="n">
        <f aca="false">D26/$D$2</f>
        <v>-20.1714573877963</v>
      </c>
      <c r="G26" s="7" t="n">
        <v>16.5</v>
      </c>
      <c r="H26" s="9" t="n">
        <v>0</v>
      </c>
      <c r="I26" s="7" t="n">
        <f aca="false">G26+H26</f>
        <v>16.5</v>
      </c>
      <c r="J26" s="38"/>
      <c r="K26" s="7" t="n">
        <f aca="false">I26+J26</f>
        <v>16.5</v>
      </c>
      <c r="L26" s="7" t="n">
        <f aca="false">F26-(I26-V26)</f>
        <v>-0.0314573877962658</v>
      </c>
      <c r="M26" s="7" t="n">
        <v>6.17</v>
      </c>
      <c r="N26" s="7" t="n">
        <v>0</v>
      </c>
      <c r="O26" s="7"/>
      <c r="P26" s="7" t="n">
        <f aca="false">SUM(M26:O26)</f>
        <v>6.17</v>
      </c>
      <c r="Q26" s="8"/>
      <c r="R26" s="7"/>
      <c r="S26" s="7"/>
      <c r="T26" s="7" t="n">
        <v>30.47</v>
      </c>
      <c r="U26" s="8" t="n">
        <f aca="false">U25-T26</f>
        <v>12157.0733148475</v>
      </c>
      <c r="V26" s="7" t="n">
        <f aca="false">P26+R26+S26+T26</f>
        <v>36.64</v>
      </c>
      <c r="W26" s="7"/>
      <c r="X26" s="7" t="n">
        <f aca="false">V26+W26</f>
        <v>36.64</v>
      </c>
      <c r="Y26" s="11" t="n">
        <v>0</v>
      </c>
      <c r="Z26" s="38" t="n">
        <v>46</v>
      </c>
      <c r="AA26" s="12" t="n">
        <v>10</v>
      </c>
      <c r="AB26" s="13" t="n">
        <f aca="false">AB25+1</f>
        <v>17</v>
      </c>
      <c r="AC26" s="14" t="n">
        <v>49</v>
      </c>
      <c r="AD26" s="44" t="n">
        <v>4170</v>
      </c>
      <c r="AE26" s="0" t="n">
        <v>26.41</v>
      </c>
    </row>
    <row r="27" customFormat="false" ht="11.1" hidden="false" customHeight="true" outlineLevel="0" collapsed="false">
      <c r="A27" s="13" t="n">
        <f aca="false">A26+1</f>
        <v>18</v>
      </c>
      <c r="B27" s="27" t="n">
        <v>6907.19</v>
      </c>
      <c r="C27" s="8" t="n">
        <v>310882</v>
      </c>
      <c r="D27" s="12" t="n">
        <f aca="false">C27-C26</f>
        <v>0</v>
      </c>
      <c r="E27" s="8" t="n">
        <f aca="false">C27-152000</f>
        <v>158882</v>
      </c>
      <c r="F27" s="7" t="n">
        <f aca="false">D27/$D$2</f>
        <v>0</v>
      </c>
      <c r="G27" s="7" t="n">
        <v>36.69</v>
      </c>
      <c r="H27" s="9" t="n">
        <v>0</v>
      </c>
      <c r="I27" s="7" t="n">
        <f aca="false">G27+H27</f>
        <v>36.69</v>
      </c>
      <c r="J27" s="38"/>
      <c r="K27" s="7" t="n">
        <f aca="false">I27+J27</f>
        <v>36.69</v>
      </c>
      <c r="L27" s="7" t="n">
        <f aca="false">F27-(I27-V27)</f>
        <v>0</v>
      </c>
      <c r="M27" s="7" t="n">
        <v>6.19</v>
      </c>
      <c r="N27" s="7" t="n">
        <v>0</v>
      </c>
      <c r="O27" s="7"/>
      <c r="P27" s="7" t="n">
        <f aca="false">SUM(M27:O27)</f>
        <v>6.19</v>
      </c>
      <c r="Q27" s="8"/>
      <c r="R27" s="7"/>
      <c r="S27" s="7"/>
      <c r="T27" s="7" t="n">
        <v>30.5</v>
      </c>
      <c r="U27" s="8" t="n">
        <f aca="false">U26-T27</f>
        <v>12126.5733148475</v>
      </c>
      <c r="V27" s="7" t="n">
        <f aca="false">P27+R27+S27+T27</f>
        <v>36.69</v>
      </c>
      <c r="W27" s="7"/>
      <c r="X27" s="7" t="n">
        <f aca="false">V27+W27</f>
        <v>36.69</v>
      </c>
      <c r="Y27" s="11" t="n">
        <v>0</v>
      </c>
      <c r="Z27" s="38" t="n">
        <v>50</v>
      </c>
      <c r="AA27" s="12" t="n">
        <v>18</v>
      </c>
      <c r="AB27" s="13" t="n">
        <f aca="false">AB26+1</f>
        <v>18</v>
      </c>
      <c r="AC27" s="14" t="n">
        <v>49</v>
      </c>
      <c r="AD27" s="29" t="n">
        <v>4195</v>
      </c>
      <c r="AE27" s="0" t="n">
        <v>25.38</v>
      </c>
    </row>
    <row r="28" customFormat="false" ht="11.1" hidden="false" customHeight="true" outlineLevel="0" collapsed="false">
      <c r="A28" s="13" t="n">
        <f aca="false">A27+1</f>
        <v>19</v>
      </c>
      <c r="B28" s="27" t="n">
        <v>6907.19</v>
      </c>
      <c r="C28" s="8" t="n">
        <v>310882</v>
      </c>
      <c r="D28" s="12" t="n">
        <f aca="false">C28-C27</f>
        <v>0</v>
      </c>
      <c r="E28" s="8" t="n">
        <f aca="false">C28-152000</f>
        <v>158882</v>
      </c>
      <c r="F28" s="7" t="n">
        <f aca="false">D28/$D$2</f>
        <v>0</v>
      </c>
      <c r="G28" s="7" t="n">
        <v>36.74</v>
      </c>
      <c r="H28" s="9" t="n">
        <v>0</v>
      </c>
      <c r="I28" s="7" t="n">
        <f aca="false">G28+H28</f>
        <v>36.74</v>
      </c>
      <c r="J28" s="38"/>
      <c r="K28" s="7" t="n">
        <f aca="false">I28+J28</f>
        <v>36.74</v>
      </c>
      <c r="L28" s="7" t="n">
        <f aca="false">F28-(I28-V28)</f>
        <v>0</v>
      </c>
      <c r="M28" s="7" t="n">
        <v>6.24</v>
      </c>
      <c r="N28" s="7" t="n">
        <v>0</v>
      </c>
      <c r="O28" s="7"/>
      <c r="P28" s="7" t="n">
        <f aca="false">SUM(M28:O28)</f>
        <v>6.24</v>
      </c>
      <c r="Q28" s="8"/>
      <c r="R28" s="7"/>
      <c r="S28" s="7"/>
      <c r="T28" s="7" t="n">
        <v>30.5</v>
      </c>
      <c r="U28" s="8" t="n">
        <f aca="false">U27-T28</f>
        <v>12096.0733148475</v>
      </c>
      <c r="V28" s="7" t="n">
        <f aca="false">P28+R28+S28+T28</f>
        <v>36.74</v>
      </c>
      <c r="W28" s="7"/>
      <c r="X28" s="7" t="n">
        <f aca="false">V28+W28</f>
        <v>36.74</v>
      </c>
      <c r="Y28" s="11" t="n">
        <v>0</v>
      </c>
      <c r="Z28" s="38" t="n">
        <v>49</v>
      </c>
      <c r="AA28" s="12" t="n">
        <v>16</v>
      </c>
      <c r="AB28" s="13" t="n">
        <f aca="false">AB27+1</f>
        <v>19</v>
      </c>
      <c r="AC28" s="14" t="n">
        <v>49</v>
      </c>
      <c r="AD28" s="29" t="n">
        <v>4218</v>
      </c>
      <c r="AE28" s="0" t="n">
        <v>23.79</v>
      </c>
    </row>
    <row r="29" customFormat="false" ht="11.1" hidden="false" customHeight="true" outlineLevel="0" collapsed="false">
      <c r="A29" s="13" t="n">
        <f aca="false">A28+1</f>
        <v>20</v>
      </c>
      <c r="B29" s="27" t="n">
        <v>6907.19</v>
      </c>
      <c r="C29" s="8" t="n">
        <v>310882</v>
      </c>
      <c r="D29" s="12" t="n">
        <f aca="false">C29-C28</f>
        <v>0</v>
      </c>
      <c r="E29" s="8" t="n">
        <f aca="false">C29-152000</f>
        <v>158882</v>
      </c>
      <c r="F29" s="7" t="n">
        <f aca="false">D29/$D$2</f>
        <v>0</v>
      </c>
      <c r="G29" s="7" t="n">
        <v>36.79</v>
      </c>
      <c r="H29" s="9" t="n">
        <v>0</v>
      </c>
      <c r="I29" s="7" t="n">
        <f aca="false">G29+H29</f>
        <v>36.79</v>
      </c>
      <c r="J29" s="38"/>
      <c r="K29" s="7" t="n">
        <f aca="false">I29+J29</f>
        <v>36.79</v>
      </c>
      <c r="L29" s="7" t="n">
        <f aca="false">F29-(I29-V29)</f>
        <v>0</v>
      </c>
      <c r="M29" s="7" t="n">
        <v>6.29</v>
      </c>
      <c r="N29" s="7" t="n">
        <v>0</v>
      </c>
      <c r="O29" s="7"/>
      <c r="P29" s="7" t="n">
        <f aca="false">SUM(M29:O29)</f>
        <v>6.29</v>
      </c>
      <c r="Q29" s="8"/>
      <c r="R29" s="7"/>
      <c r="S29" s="7"/>
      <c r="T29" s="7" t="n">
        <v>30.5</v>
      </c>
      <c r="U29" s="8" t="n">
        <f aca="false">U28-T29</f>
        <v>12065.5733148475</v>
      </c>
      <c r="V29" s="7" t="n">
        <f aca="false">P29+R29+S29+T29</f>
        <v>36.79</v>
      </c>
      <c r="W29" s="7"/>
      <c r="X29" s="7" t="n">
        <f aca="false">V29+W29</f>
        <v>36.79</v>
      </c>
      <c r="Y29" s="11" t="n">
        <v>0</v>
      </c>
      <c r="Z29" s="38" t="n">
        <v>55</v>
      </c>
      <c r="AA29" s="12" t="n">
        <v>12</v>
      </c>
      <c r="AB29" s="13" t="n">
        <f aca="false">AB28+1</f>
        <v>20</v>
      </c>
      <c r="AC29" s="14" t="n">
        <v>49</v>
      </c>
      <c r="AD29" s="29" t="n">
        <v>4275</v>
      </c>
      <c r="AE29" s="0" t="n">
        <v>23.99</v>
      </c>
    </row>
    <row r="30" customFormat="false" ht="11.1" hidden="false" customHeight="true" outlineLevel="0" collapsed="false">
      <c r="A30" s="13" t="n">
        <f aca="false">A29+1</f>
        <v>21</v>
      </c>
      <c r="B30" s="27" t="n">
        <v>6907.19</v>
      </c>
      <c r="C30" s="8" t="n">
        <v>310882</v>
      </c>
      <c r="D30" s="12" t="n">
        <f aca="false">C30-C29</f>
        <v>0</v>
      </c>
      <c r="E30" s="8" t="n">
        <f aca="false">C30-152000</f>
        <v>158882</v>
      </c>
      <c r="F30" s="7" t="n">
        <f aca="false">D30/$D$2</f>
        <v>0</v>
      </c>
      <c r="G30" s="7" t="n">
        <v>36.25</v>
      </c>
      <c r="H30" s="9" t="n">
        <v>0</v>
      </c>
      <c r="I30" s="7" t="n">
        <f aca="false">G30+H30</f>
        <v>36.25</v>
      </c>
      <c r="J30" s="38"/>
      <c r="K30" s="7" t="n">
        <f aca="false">I30+J30</f>
        <v>36.25</v>
      </c>
      <c r="L30" s="7" t="n">
        <f aca="false">F30-(I30-V30)</f>
        <v>0</v>
      </c>
      <c r="M30" s="7" t="n">
        <v>5.75</v>
      </c>
      <c r="N30" s="7" t="n">
        <v>0</v>
      </c>
      <c r="O30" s="7"/>
      <c r="P30" s="7" t="n">
        <f aca="false">SUM(M30:O30)</f>
        <v>5.75</v>
      </c>
      <c r="Q30" s="8"/>
      <c r="R30" s="7"/>
      <c r="S30" s="7"/>
      <c r="T30" s="7" t="n">
        <v>30.5</v>
      </c>
      <c r="U30" s="8" t="n">
        <f aca="false">U29-T30</f>
        <v>12035.0733148475</v>
      </c>
      <c r="V30" s="7" t="n">
        <f aca="false">P30+R30+S30+T30</f>
        <v>36.25</v>
      </c>
      <c r="W30" s="7"/>
      <c r="X30" s="7" t="n">
        <f aca="false">V30+W30</f>
        <v>36.25</v>
      </c>
      <c r="Y30" s="11" t="n">
        <v>0</v>
      </c>
      <c r="Z30" s="12" t="n">
        <v>53</v>
      </c>
      <c r="AA30" s="12" t="n">
        <v>12</v>
      </c>
      <c r="AB30" s="13" t="n">
        <f aca="false">AB29+1</f>
        <v>21</v>
      </c>
      <c r="AC30" s="14" t="n">
        <v>49</v>
      </c>
      <c r="AD30" s="29" t="n">
        <v>4290</v>
      </c>
      <c r="AE30" s="0" t="n">
        <v>21.64</v>
      </c>
    </row>
    <row r="31" customFormat="false" ht="11.1" hidden="false" customHeight="true" outlineLevel="0" collapsed="false">
      <c r="A31" s="13" t="n">
        <f aca="false">A30+1</f>
        <v>22</v>
      </c>
      <c r="B31" s="27" t="n">
        <v>6907.2</v>
      </c>
      <c r="C31" s="8" t="n">
        <v>310922</v>
      </c>
      <c r="D31" s="12" t="n">
        <f aca="false">C31-C30</f>
        <v>40</v>
      </c>
      <c r="E31" s="8" t="n">
        <f aca="false">C31-152000</f>
        <v>158922</v>
      </c>
      <c r="F31" s="7" t="n">
        <f aca="false">D31/$D$2</f>
        <v>20.1714573877963</v>
      </c>
      <c r="G31" s="7" t="n">
        <v>55.8014573877963</v>
      </c>
      <c r="H31" s="9" t="n">
        <v>0</v>
      </c>
      <c r="I31" s="7" t="n">
        <f aca="false">G31+H31</f>
        <v>55.8014573877963</v>
      </c>
      <c r="J31" s="38"/>
      <c r="K31" s="7" t="n">
        <f aca="false">I31+J31</f>
        <v>55.8014573877963</v>
      </c>
      <c r="L31" s="7" t="n">
        <f aca="false">F31-(I31-V31)</f>
        <v>0</v>
      </c>
      <c r="M31" s="7" t="n">
        <v>5.13</v>
      </c>
      <c r="N31" s="7" t="n">
        <v>0</v>
      </c>
      <c r="O31" s="7"/>
      <c r="P31" s="7" t="n">
        <f aca="false">SUM(M31:O31)</f>
        <v>5.13</v>
      </c>
      <c r="Q31" s="8"/>
      <c r="R31" s="7"/>
      <c r="S31" s="7"/>
      <c r="T31" s="7" t="n">
        <v>30.5</v>
      </c>
      <c r="U31" s="8" t="n">
        <f aca="false">U30-T31</f>
        <v>12004.5733148475</v>
      </c>
      <c r="V31" s="7" t="n">
        <f aca="false">P31+R31+S31+T31</f>
        <v>35.63</v>
      </c>
      <c r="W31" s="7"/>
      <c r="X31" s="7" t="n">
        <f aca="false">V31+W31</f>
        <v>35.63</v>
      </c>
      <c r="Y31" s="11" t="n">
        <v>0</v>
      </c>
      <c r="Z31" s="12" t="n">
        <v>54</v>
      </c>
      <c r="AA31" s="12" t="n">
        <v>13</v>
      </c>
      <c r="AB31" s="13" t="n">
        <f aca="false">AB30+1</f>
        <v>22</v>
      </c>
      <c r="AC31" s="14" t="n">
        <v>49</v>
      </c>
      <c r="AD31" s="29" t="n">
        <v>4305</v>
      </c>
      <c r="AE31" s="0" t="n">
        <v>25.53</v>
      </c>
    </row>
    <row r="32" customFormat="false" ht="11.1" hidden="false" customHeight="true" outlineLevel="0" collapsed="false">
      <c r="A32" s="13" t="n">
        <f aca="false">A31+1</f>
        <v>23</v>
      </c>
      <c r="B32" s="27" t="n">
        <v>6907.2</v>
      </c>
      <c r="C32" s="8" t="n">
        <v>310922</v>
      </c>
      <c r="D32" s="12" t="n">
        <f aca="false">C32-C31</f>
        <v>0</v>
      </c>
      <c r="E32" s="8" t="n">
        <f aca="false">C32-152000</f>
        <v>158922</v>
      </c>
      <c r="F32" s="7" t="n">
        <f aca="false">D32/$D$2</f>
        <v>0</v>
      </c>
      <c r="G32" s="7" t="n">
        <v>35.63</v>
      </c>
      <c r="H32" s="9" t="n">
        <v>0</v>
      </c>
      <c r="I32" s="7" t="n">
        <f aca="false">G32+H32</f>
        <v>35.63</v>
      </c>
      <c r="J32" s="38"/>
      <c r="K32" s="7" t="n">
        <f aca="false">I32+J32</f>
        <v>35.63</v>
      </c>
      <c r="L32" s="7" t="n">
        <f aca="false">F32-(I32-V32)</f>
        <v>0</v>
      </c>
      <c r="M32" s="7" t="n">
        <v>5.13</v>
      </c>
      <c r="N32" s="7" t="n">
        <v>0</v>
      </c>
      <c r="O32" s="7"/>
      <c r="P32" s="7" t="n">
        <f aca="false">SUM(M32:O32)</f>
        <v>5.13</v>
      </c>
      <c r="Q32" s="8"/>
      <c r="R32" s="7"/>
      <c r="S32" s="7"/>
      <c r="T32" s="7" t="n">
        <v>30.5</v>
      </c>
      <c r="U32" s="8" t="n">
        <f aca="false">U31-T32</f>
        <v>11974.0733148475</v>
      </c>
      <c r="V32" s="7" t="n">
        <f aca="false">P32+R32+S32+T32</f>
        <v>35.63</v>
      </c>
      <c r="W32" s="7"/>
      <c r="X32" s="7" t="n">
        <f aca="false">V32+W32</f>
        <v>35.63</v>
      </c>
      <c r="Y32" s="11" t="n">
        <v>0</v>
      </c>
      <c r="Z32" s="12" t="n">
        <v>55</v>
      </c>
      <c r="AA32" s="38" t="n">
        <v>16</v>
      </c>
      <c r="AB32" s="13" t="n">
        <f aca="false">AB31+1</f>
        <v>23</v>
      </c>
      <c r="AC32" s="14" t="n">
        <v>49</v>
      </c>
      <c r="AD32" s="29" t="n">
        <v>4320</v>
      </c>
      <c r="AE32" s="0" t="n">
        <v>20.66</v>
      </c>
    </row>
    <row r="33" customFormat="false" ht="11.1" hidden="false" customHeight="true" outlineLevel="0" collapsed="false">
      <c r="A33" s="13" t="n">
        <f aca="false">A32+1</f>
        <v>24</v>
      </c>
      <c r="B33" s="27" t="n">
        <v>6907.21</v>
      </c>
      <c r="C33" s="8" t="n">
        <v>310961</v>
      </c>
      <c r="D33" s="12" t="n">
        <f aca="false">C33-C32</f>
        <v>39</v>
      </c>
      <c r="E33" s="8" t="n">
        <f aca="false">C33-152000</f>
        <v>158961</v>
      </c>
      <c r="F33" s="7" t="n">
        <f aca="false">D33/$D$2</f>
        <v>19.6671709531014</v>
      </c>
      <c r="G33" s="7" t="n">
        <v>55.2971709531014</v>
      </c>
      <c r="H33" s="9" t="n">
        <v>0</v>
      </c>
      <c r="I33" s="7" t="n">
        <f aca="false">G33+H33</f>
        <v>55.2971709531014</v>
      </c>
      <c r="J33" s="38"/>
      <c r="K33" s="7" t="n">
        <f aca="false">I33+J33</f>
        <v>55.2971709531014</v>
      </c>
      <c r="L33" s="7" t="n">
        <f aca="false">F33-(I33-V33)</f>
        <v>0</v>
      </c>
      <c r="M33" s="7" t="n">
        <v>5.13</v>
      </c>
      <c r="N33" s="7" t="n">
        <v>0</v>
      </c>
      <c r="O33" s="7"/>
      <c r="P33" s="7" t="n">
        <f aca="false">SUM(M33:O33)</f>
        <v>5.13</v>
      </c>
      <c r="Q33" s="8"/>
      <c r="R33" s="7"/>
      <c r="S33" s="7"/>
      <c r="T33" s="7" t="n">
        <v>30.5</v>
      </c>
      <c r="U33" s="8" t="n">
        <f aca="false">U32-T33</f>
        <v>11943.5733148475</v>
      </c>
      <c r="V33" s="7" t="n">
        <f aca="false">P33+R33+S33+T33</f>
        <v>35.63</v>
      </c>
      <c r="W33" s="7"/>
      <c r="X33" s="7" t="n">
        <f aca="false">V33+W33</f>
        <v>35.63</v>
      </c>
      <c r="Y33" s="11" t="n">
        <v>0</v>
      </c>
      <c r="Z33" s="12" t="n">
        <v>51</v>
      </c>
      <c r="AA33" s="38" t="n">
        <v>31</v>
      </c>
      <c r="AB33" s="13" t="n">
        <f aca="false">AB32+1</f>
        <v>24</v>
      </c>
      <c r="AC33" s="14" t="n">
        <v>49</v>
      </c>
      <c r="AD33" s="29" t="n">
        <v>4335</v>
      </c>
      <c r="AE33" s="0" t="n">
        <v>20.3</v>
      </c>
    </row>
    <row r="34" customFormat="false" ht="11.1" hidden="false" customHeight="true" outlineLevel="0" collapsed="false">
      <c r="A34" s="13" t="n">
        <f aca="false">A33+1</f>
        <v>25</v>
      </c>
      <c r="B34" s="27" t="n">
        <v>6907.29</v>
      </c>
      <c r="C34" s="8" t="n">
        <v>311274</v>
      </c>
      <c r="D34" s="12" t="n">
        <f aca="false">C34-C33</f>
        <v>313</v>
      </c>
      <c r="E34" s="8" t="n">
        <f aca="false">C34-152000</f>
        <v>159274</v>
      </c>
      <c r="F34" s="7" t="n">
        <f aca="false">D34/$D$2</f>
        <v>157.841654059506</v>
      </c>
      <c r="G34" s="7" t="n">
        <v>192.791654059506</v>
      </c>
      <c r="H34" s="9" t="n">
        <v>0</v>
      </c>
      <c r="I34" s="7" t="n">
        <f aca="false">G34+H34</f>
        <v>192.791654059506</v>
      </c>
      <c r="J34" s="38"/>
      <c r="K34" s="7" t="n">
        <f aca="false">I34+J34</f>
        <v>192.791654059506</v>
      </c>
      <c r="L34" s="7" t="n">
        <f aca="false">F34-(I34-V34)</f>
        <v>0</v>
      </c>
      <c r="M34" s="7" t="n">
        <v>5.02</v>
      </c>
      <c r="N34" s="7" t="n">
        <v>0</v>
      </c>
      <c r="O34" s="7"/>
      <c r="P34" s="7" t="n">
        <f aca="false">SUM(M34:O34)</f>
        <v>5.02</v>
      </c>
      <c r="Q34" s="8"/>
      <c r="R34" s="7"/>
      <c r="S34" s="7"/>
      <c r="T34" s="7" t="n">
        <v>29.93</v>
      </c>
      <c r="U34" s="8" t="n">
        <f aca="false">U33-T34</f>
        <v>11913.6433148475</v>
      </c>
      <c r="V34" s="7" t="n">
        <f aca="false">P34+R34+S34+T34</f>
        <v>34.95</v>
      </c>
      <c r="W34" s="7"/>
      <c r="X34" s="7" t="n">
        <f aca="false">V34+W34</f>
        <v>34.95</v>
      </c>
      <c r="Y34" s="11" t="n">
        <v>0.26</v>
      </c>
      <c r="Z34" s="12" t="n">
        <v>48</v>
      </c>
      <c r="AA34" s="38" t="n">
        <v>26</v>
      </c>
      <c r="AB34" s="13" t="n">
        <f aca="false">AB33+1</f>
        <v>25</v>
      </c>
      <c r="AC34" s="14" t="n">
        <v>49</v>
      </c>
      <c r="AD34" s="29" t="n">
        <v>4360</v>
      </c>
      <c r="AE34" s="0" t="n">
        <v>19.78</v>
      </c>
    </row>
    <row r="35" customFormat="false" ht="11.1" hidden="false" customHeight="true" outlineLevel="0" collapsed="false">
      <c r="A35" s="13" t="n">
        <f aca="false">A34+1</f>
        <v>26</v>
      </c>
      <c r="B35" s="27" t="n">
        <v>6907.3</v>
      </c>
      <c r="C35" s="8" t="n">
        <v>311313</v>
      </c>
      <c r="D35" s="12" t="n">
        <f aca="false">C35-C34</f>
        <v>39</v>
      </c>
      <c r="E35" s="8" t="n">
        <f aca="false">C35-152000</f>
        <v>159313</v>
      </c>
      <c r="F35" s="7" t="n">
        <f aca="false">D35/$D$2</f>
        <v>19.6671709531014</v>
      </c>
      <c r="G35" s="7" t="n">
        <v>54.0771709531014</v>
      </c>
      <c r="H35" s="9" t="n">
        <v>0</v>
      </c>
      <c r="I35" s="7" t="n">
        <f aca="false">G35+H35</f>
        <v>54.0771709531014</v>
      </c>
      <c r="J35" s="38"/>
      <c r="K35" s="7" t="n">
        <f aca="false">I35+J35</f>
        <v>54.0771709531014</v>
      </c>
      <c r="L35" s="7" t="n">
        <f aca="false">F35-(I35-V35)</f>
        <v>0</v>
      </c>
      <c r="M35" s="7" t="n">
        <v>4.76</v>
      </c>
      <c r="N35" s="7" t="n">
        <v>0</v>
      </c>
      <c r="O35" s="7"/>
      <c r="P35" s="7" t="n">
        <f aca="false">SUM(M35:O35)</f>
        <v>4.76</v>
      </c>
      <c r="Q35" s="8"/>
      <c r="R35" s="7"/>
      <c r="S35" s="7"/>
      <c r="T35" s="7" t="n">
        <v>29.65</v>
      </c>
      <c r="U35" s="8" t="n">
        <f aca="false">U34-T35</f>
        <v>11883.9933148475</v>
      </c>
      <c r="V35" s="7" t="n">
        <f aca="false">P35+R35+S35+T35</f>
        <v>34.41</v>
      </c>
      <c r="W35" s="7"/>
      <c r="X35" s="7" t="n">
        <f aca="false">V35+W35</f>
        <v>34.41</v>
      </c>
      <c r="Y35" s="11" t="n">
        <v>0.24</v>
      </c>
      <c r="Z35" s="12" t="n">
        <v>32</v>
      </c>
      <c r="AA35" s="12" t="n">
        <v>25</v>
      </c>
      <c r="AB35" s="13" t="n">
        <f aca="false">AB34+1</f>
        <v>26</v>
      </c>
      <c r="AC35" s="14" t="n">
        <v>49</v>
      </c>
      <c r="AD35" s="29" t="n">
        <v>4385</v>
      </c>
      <c r="AE35" s="0" t="n">
        <v>20.79</v>
      </c>
    </row>
    <row r="36" customFormat="false" ht="11.1" hidden="false" customHeight="true" outlineLevel="0" collapsed="false">
      <c r="A36" s="13" t="n">
        <f aca="false">A35+1</f>
        <v>27</v>
      </c>
      <c r="B36" s="27" t="n">
        <v>6907.3</v>
      </c>
      <c r="C36" s="8" t="n">
        <v>311313</v>
      </c>
      <c r="D36" s="12" t="n">
        <f aca="false">C36-C35</f>
        <v>0</v>
      </c>
      <c r="E36" s="8" t="n">
        <f aca="false">C36-152000</f>
        <v>159313</v>
      </c>
      <c r="F36" s="7" t="n">
        <f aca="false">D36/$D$2</f>
        <v>0</v>
      </c>
      <c r="G36" s="7" t="n">
        <v>34.12</v>
      </c>
      <c r="H36" s="9" t="n">
        <v>0</v>
      </c>
      <c r="I36" s="7" t="n">
        <f aca="false">G36+H36</f>
        <v>34.12</v>
      </c>
      <c r="J36" s="38"/>
      <c r="K36" s="7" t="n">
        <f aca="false">I36+J36</f>
        <v>34.12</v>
      </c>
      <c r="L36" s="7" t="n">
        <f aca="false">F36-(I36-V36)</f>
        <v>0</v>
      </c>
      <c r="M36" s="7" t="n">
        <v>4.43</v>
      </c>
      <c r="N36" s="7" t="n">
        <v>0</v>
      </c>
      <c r="O36" s="7"/>
      <c r="P36" s="7" t="n">
        <f aca="false">SUM(M36:O36)</f>
        <v>4.43</v>
      </c>
      <c r="Q36" s="8"/>
      <c r="R36" s="7"/>
      <c r="S36" s="7"/>
      <c r="T36" s="7" t="n">
        <v>29.69</v>
      </c>
      <c r="U36" s="8" t="n">
        <f aca="false">U35-T36</f>
        <v>11854.3033148475</v>
      </c>
      <c r="V36" s="7" t="n">
        <f aca="false">P36+R36+S36+T36</f>
        <v>34.12</v>
      </c>
      <c r="W36" s="7"/>
      <c r="X36" s="7" t="n">
        <f aca="false">V36+W36</f>
        <v>34.12</v>
      </c>
      <c r="Y36" s="11" t="n">
        <v>0</v>
      </c>
      <c r="Z36" s="12" t="n">
        <v>36</v>
      </c>
      <c r="AA36" s="12" t="n">
        <v>30</v>
      </c>
      <c r="AB36" s="13" t="n">
        <f aca="false">AB35+1</f>
        <v>27</v>
      </c>
      <c r="AC36" s="14" t="n">
        <v>49</v>
      </c>
      <c r="AD36" s="29" t="n">
        <v>4410</v>
      </c>
      <c r="AE36" s="0" t="n">
        <v>21.41</v>
      </c>
    </row>
    <row r="37" customFormat="false" ht="11.1" hidden="false" customHeight="true" outlineLevel="0" collapsed="false">
      <c r="A37" s="13" t="n">
        <f aca="false">A36+1</f>
        <v>28</v>
      </c>
      <c r="B37" s="27" t="n">
        <v>6907.3</v>
      </c>
      <c r="C37" s="8" t="n">
        <v>311313</v>
      </c>
      <c r="D37" s="12" t="n">
        <f aca="false">C37-C36</f>
        <v>0</v>
      </c>
      <c r="E37" s="8" t="n">
        <f aca="false">C37-152000</f>
        <v>159313</v>
      </c>
      <c r="F37" s="7" t="n">
        <f aca="false">D37/$D$2</f>
        <v>0</v>
      </c>
      <c r="G37" s="7" t="n">
        <v>34.55</v>
      </c>
      <c r="H37" s="9" t="n">
        <v>0</v>
      </c>
      <c r="I37" s="7" t="n">
        <f aca="false">G37+H37</f>
        <v>34.55</v>
      </c>
      <c r="J37" s="38"/>
      <c r="K37" s="7" t="n">
        <f aca="false">I37+J37</f>
        <v>34.55</v>
      </c>
      <c r="L37" s="7" t="n">
        <f aca="false">F37-(I37-V37)</f>
        <v>0</v>
      </c>
      <c r="M37" s="7" t="n">
        <v>3.9</v>
      </c>
      <c r="N37" s="7" t="n">
        <v>0</v>
      </c>
      <c r="O37" s="7"/>
      <c r="P37" s="7" t="n">
        <f aca="false">SUM(M37:O37)</f>
        <v>3.9</v>
      </c>
      <c r="Q37" s="8"/>
      <c r="R37" s="7"/>
      <c r="S37" s="7"/>
      <c r="T37" s="7" t="n">
        <v>30.65</v>
      </c>
      <c r="U37" s="8" t="n">
        <f aca="false">U36-T37</f>
        <v>11823.6533148475</v>
      </c>
      <c r="V37" s="7" t="n">
        <f aca="false">P37+R37+S37+T37</f>
        <v>34.55</v>
      </c>
      <c r="W37" s="7"/>
      <c r="X37" s="7" t="n">
        <f aca="false">V37+W37</f>
        <v>34.55</v>
      </c>
      <c r="Y37" s="11" t="n">
        <v>0</v>
      </c>
      <c r="Z37" s="12" t="n">
        <v>35</v>
      </c>
      <c r="AA37" s="12" t="n">
        <v>22</v>
      </c>
      <c r="AB37" s="13" t="n">
        <f aca="false">AB36+1</f>
        <v>28</v>
      </c>
      <c r="AC37" s="14" t="n">
        <v>49</v>
      </c>
      <c r="AD37" s="29" t="n">
        <v>4435</v>
      </c>
      <c r="AE37" s="0" t="n">
        <v>21.23</v>
      </c>
    </row>
    <row r="38" customFormat="false" ht="11.1" hidden="false" customHeight="true" outlineLevel="0" collapsed="false">
      <c r="A38" s="13" t="n">
        <f aca="false">A37+1</f>
        <v>29</v>
      </c>
      <c r="B38" s="27" t="n">
        <v>6907.3</v>
      </c>
      <c r="C38" s="8" t="n">
        <v>311313</v>
      </c>
      <c r="D38" s="12" t="n">
        <f aca="false">C38-C37</f>
        <v>0</v>
      </c>
      <c r="E38" s="8" t="n">
        <f aca="false">C38-152000</f>
        <v>159313</v>
      </c>
      <c r="F38" s="7" t="n">
        <f aca="false">D38/$D$2</f>
        <v>0</v>
      </c>
      <c r="G38" s="7" t="n">
        <v>34.22</v>
      </c>
      <c r="H38" s="9" t="n">
        <v>0</v>
      </c>
      <c r="I38" s="7" t="n">
        <f aca="false">G38+H38</f>
        <v>34.22</v>
      </c>
      <c r="J38" s="38"/>
      <c r="K38" s="7" t="n">
        <f aca="false">I38+J38</f>
        <v>34.22</v>
      </c>
      <c r="L38" s="7" t="n">
        <f aca="false">F38-(I38-V38)</f>
        <v>0</v>
      </c>
      <c r="M38" s="7" t="n">
        <v>3.72</v>
      </c>
      <c r="N38" s="7" t="n">
        <v>0</v>
      </c>
      <c r="O38" s="7"/>
      <c r="P38" s="7" t="n">
        <f aca="false">SUM(M38:O38)</f>
        <v>3.72</v>
      </c>
      <c r="Q38" s="8"/>
      <c r="R38" s="7"/>
      <c r="S38" s="7"/>
      <c r="T38" s="7" t="n">
        <v>30.5</v>
      </c>
      <c r="U38" s="8" t="n">
        <f aca="false">U37-T38</f>
        <v>11793.1533148475</v>
      </c>
      <c r="V38" s="7" t="n">
        <f aca="false">P38+R38+S38+T38</f>
        <v>34.22</v>
      </c>
      <c r="W38" s="7"/>
      <c r="X38" s="7" t="n">
        <f aca="false">V38+W38</f>
        <v>34.22</v>
      </c>
      <c r="Y38" s="11" t="n">
        <v>0.06</v>
      </c>
      <c r="Z38" s="38" t="n">
        <v>38</v>
      </c>
      <c r="AA38" s="12" t="n">
        <v>12</v>
      </c>
      <c r="AB38" s="13" t="n">
        <f aca="false">AB37+1</f>
        <v>29</v>
      </c>
      <c r="AC38" s="14" t="n">
        <v>49</v>
      </c>
      <c r="AD38" s="29" t="n">
        <v>0</v>
      </c>
      <c r="AE38" s="0" t="n">
        <v>21.6</v>
      </c>
    </row>
    <row r="39" customFormat="false" ht="11.1" hidden="false" customHeight="true" outlineLevel="0" collapsed="false">
      <c r="A39" s="13" t="n">
        <v>30</v>
      </c>
      <c r="B39" s="27" t="n">
        <v>6907.3</v>
      </c>
      <c r="C39" s="8" t="n">
        <v>311313</v>
      </c>
      <c r="D39" s="12" t="n">
        <f aca="false">C39-C38</f>
        <v>0</v>
      </c>
      <c r="E39" s="8" t="n">
        <f aca="false">C39-152000</f>
        <v>159313</v>
      </c>
      <c r="F39" s="7" t="n">
        <f aca="false">D39/$D$2</f>
        <v>0</v>
      </c>
      <c r="G39" s="7" t="n">
        <v>33.32</v>
      </c>
      <c r="H39" s="9" t="n">
        <v>0</v>
      </c>
      <c r="I39" s="7" t="n">
        <f aca="false">G39+H39</f>
        <v>33.32</v>
      </c>
      <c r="J39" s="38"/>
      <c r="K39" s="7" t="n">
        <f aca="false">I39+J39</f>
        <v>33.32</v>
      </c>
      <c r="L39" s="7" t="n">
        <f aca="false">F39-(I39-V39)</f>
        <v>0</v>
      </c>
      <c r="M39" s="7" t="n">
        <v>3.72</v>
      </c>
      <c r="N39" s="7" t="n">
        <v>0</v>
      </c>
      <c r="O39" s="7"/>
      <c r="P39" s="7" t="n">
        <f aca="false">SUM(M39:O39)</f>
        <v>3.72</v>
      </c>
      <c r="Q39" s="8"/>
      <c r="R39" s="7"/>
      <c r="S39" s="7"/>
      <c r="T39" s="7" t="n">
        <v>29.6</v>
      </c>
      <c r="U39" s="8" t="n">
        <f aca="false">U38-T39</f>
        <v>11763.5533148475</v>
      </c>
      <c r="V39" s="7" t="n">
        <f aca="false">P39+R39+S39+T39</f>
        <v>33.32</v>
      </c>
      <c r="W39" s="7"/>
      <c r="X39" s="7" t="n">
        <f aca="false">V39+W39</f>
        <v>33.32</v>
      </c>
      <c r="Y39" s="11" t="n">
        <v>0</v>
      </c>
      <c r="Z39" s="38" t="n">
        <v>37</v>
      </c>
      <c r="AA39" s="12" t="n">
        <v>8</v>
      </c>
      <c r="AB39" s="13" t="n">
        <v>30</v>
      </c>
      <c r="AC39" s="14" t="n">
        <v>49</v>
      </c>
      <c r="AD39" s="29" t="n">
        <v>17819</v>
      </c>
      <c r="AE39" s="0" t="n">
        <v>21.6</v>
      </c>
    </row>
    <row r="40" customFormat="false" ht="11.1" hidden="false" customHeight="true" outlineLevel="0" collapsed="false">
      <c r="A40" s="13" t="n">
        <v>31</v>
      </c>
      <c r="B40" s="27" t="n">
        <v>6907.31</v>
      </c>
      <c r="C40" s="8" t="n">
        <v>311353</v>
      </c>
      <c r="D40" s="12" t="n">
        <f aca="false">C40-C39</f>
        <v>40</v>
      </c>
      <c r="E40" s="8" t="n">
        <f aca="false">C40-152000</f>
        <v>159353</v>
      </c>
      <c r="F40" s="7" t="n">
        <f aca="false">D40/$D$2</f>
        <v>20.1714573877963</v>
      </c>
      <c r="G40" s="7" t="n">
        <v>54.3914573877963</v>
      </c>
      <c r="H40" s="9" t="n">
        <v>0</v>
      </c>
      <c r="I40" s="7" t="n">
        <f aca="false">G40+H40</f>
        <v>54.3914573877963</v>
      </c>
      <c r="J40" s="38"/>
      <c r="K40" s="7" t="n">
        <f aca="false">I40+J40</f>
        <v>54.3914573877963</v>
      </c>
      <c r="L40" s="7" t="n">
        <f aca="false">F40-(I40-V40)</f>
        <v>0</v>
      </c>
      <c r="M40" s="7" t="n">
        <v>3.72</v>
      </c>
      <c r="N40" s="7" t="n">
        <v>0</v>
      </c>
      <c r="O40" s="7"/>
      <c r="P40" s="7" t="n">
        <f aca="false">SUM(M40:O40)</f>
        <v>3.72</v>
      </c>
      <c r="Q40" s="8"/>
      <c r="R40" s="7"/>
      <c r="S40" s="7"/>
      <c r="T40" s="7" t="n">
        <v>30.5</v>
      </c>
      <c r="U40" s="8" t="n">
        <f aca="false">U39-T40</f>
        <v>11733.0533148475</v>
      </c>
      <c r="V40" s="7" t="n">
        <f aca="false">P40+R40+S40+T40</f>
        <v>34.22</v>
      </c>
      <c r="W40" s="7"/>
      <c r="X40" s="7" t="n">
        <f aca="false">V40+W40</f>
        <v>34.22</v>
      </c>
      <c r="Y40" s="11" t="n">
        <v>0</v>
      </c>
      <c r="Z40" s="38" t="n">
        <v>24</v>
      </c>
      <c r="AA40" s="12" t="n">
        <v>-4</v>
      </c>
      <c r="AB40" s="13" t="n">
        <v>31</v>
      </c>
      <c r="AC40" s="14" t="n">
        <v>49</v>
      </c>
      <c r="AD40" s="29" t="n">
        <v>17902</v>
      </c>
      <c r="AE40" s="0" t="n">
        <v>21.6</v>
      </c>
    </row>
    <row r="41" customFormat="false" ht="3" hidden="false" customHeight="true" outlineLevel="0" collapsed="false">
      <c r="A41" s="30"/>
      <c r="B41" s="30"/>
      <c r="C41" s="32"/>
      <c r="D41" s="30"/>
      <c r="E41" s="32"/>
      <c r="F41" s="30"/>
      <c r="G41" s="30"/>
      <c r="H41" s="33"/>
      <c r="I41" s="30"/>
      <c r="J41" s="30"/>
      <c r="K41" s="30"/>
      <c r="L41" s="30"/>
      <c r="M41" s="30"/>
      <c r="N41" s="30"/>
      <c r="O41" s="30"/>
      <c r="P41" s="30"/>
      <c r="Q41" s="32"/>
      <c r="R41" s="30"/>
      <c r="S41" s="30"/>
      <c r="T41" s="30"/>
      <c r="U41" s="30"/>
      <c r="V41" s="30"/>
      <c r="W41" s="30"/>
      <c r="X41" s="30"/>
      <c r="Y41" s="34"/>
      <c r="Z41" s="35" t="n">
        <v>73</v>
      </c>
      <c r="AA41" s="35"/>
      <c r="AB41" s="36"/>
      <c r="AC41" s="14"/>
      <c r="AD41" s="14"/>
    </row>
    <row r="42" customFormat="false" ht="11.1" hidden="false" customHeight="true" outlineLevel="0" collapsed="false">
      <c r="A42" s="7" t="s">
        <v>44</v>
      </c>
      <c r="B42" s="7"/>
      <c r="C42" s="8"/>
      <c r="D42" s="8"/>
      <c r="E42" s="8"/>
      <c r="F42" s="8" t="n">
        <f aca="false">SUM(F10:F40)</f>
        <v>375.189107413011</v>
      </c>
      <c r="G42" s="8" t="n">
        <f aca="false">SUM(G10:G40)</f>
        <v>1462.6689107413</v>
      </c>
      <c r="H42" s="8" t="n">
        <f aca="false">SUM(H10:H40)</f>
        <v>0</v>
      </c>
      <c r="I42" s="8" t="n">
        <f aca="false">SUM(I10:I40)</f>
        <v>1462.6689107413</v>
      </c>
      <c r="J42" s="8" t="n">
        <f aca="false">SUM(J10:J40)</f>
        <v>0</v>
      </c>
      <c r="K42" s="8" t="n">
        <f aca="false">SUM(K10:K40)</f>
        <v>1462.6689107413</v>
      </c>
      <c r="L42" s="8" t="n">
        <f aca="false">SUM(L10:L40)</f>
        <v>-0.0598033282904673</v>
      </c>
      <c r="M42" s="8" t="n">
        <f aca="false">SUM(M10:M40)</f>
        <v>152.35</v>
      </c>
      <c r="N42" s="8" t="n">
        <f aca="false">SUM(N10:N40)</f>
        <v>0</v>
      </c>
      <c r="O42" s="8" t="n">
        <f aca="false">SUM(O10:O40)</f>
        <v>0</v>
      </c>
      <c r="P42" s="8" t="n">
        <f aca="false">SUM(P10:P40)</f>
        <v>152.35</v>
      </c>
      <c r="Q42" s="8"/>
      <c r="R42" s="8" t="n">
        <f aca="false">SUM(R10:R40)</f>
        <v>0</v>
      </c>
      <c r="S42" s="8" t="n">
        <f aca="false">SUM(S10:S40)</f>
        <v>0</v>
      </c>
      <c r="T42" s="8" t="n">
        <f aca="false">SUM(T10:T40)</f>
        <v>935.07</v>
      </c>
      <c r="U42" s="8" t="n">
        <f aca="false">U40</f>
        <v>11733.0533148475</v>
      </c>
      <c r="V42" s="8" t="n">
        <f aca="false">SUM(V10:V40)</f>
        <v>1087.42</v>
      </c>
      <c r="W42" s="8" t="n">
        <f aca="false">SUM(W10:W40)</f>
        <v>0</v>
      </c>
      <c r="X42" s="8" t="n">
        <f aca="false">SUM(X10:X40)</f>
        <v>1087.42</v>
      </c>
      <c r="Y42" s="11" t="n">
        <f aca="false">SUM(Y10:Y40)</f>
        <v>0.56</v>
      </c>
      <c r="Z42" s="12" t="n">
        <f aca="false">AVERAGE(Z10:Z40)</f>
        <v>43.741935483871</v>
      </c>
      <c r="AA42" s="12" t="n">
        <f aca="false">AVERAGE(AA10:AA40)</f>
        <v>14.9677419354839</v>
      </c>
      <c r="AB42" s="13"/>
      <c r="AC42" s="14"/>
      <c r="AD42" s="14"/>
    </row>
    <row r="43" customFormat="false" ht="11.1" hidden="false" customHeight="true" outlineLevel="0" collapsed="false">
      <c r="A43" s="7" t="s">
        <v>45</v>
      </c>
      <c r="B43" s="7"/>
      <c r="C43" s="8"/>
      <c r="D43" s="8" t="n">
        <f aca="false">SUM(D10:D40)</f>
        <v>744</v>
      </c>
      <c r="E43" s="8"/>
      <c r="F43" s="8" t="n">
        <f aca="false">F42*$D$2</f>
        <v>744</v>
      </c>
      <c r="G43" s="8" t="n">
        <f aca="false">G42*$D$2</f>
        <v>2900.47245</v>
      </c>
      <c r="H43" s="8" t="n">
        <f aca="false">H42*$D$2</f>
        <v>0</v>
      </c>
      <c r="I43" s="8" t="n">
        <f aca="false">I42*$D$2</f>
        <v>2900.47245</v>
      </c>
      <c r="J43" s="8" t="n">
        <f aca="false">J42*$D$2</f>
        <v>0</v>
      </c>
      <c r="K43" s="8" t="n">
        <f aca="false">K42*$D$2</f>
        <v>2900.47245</v>
      </c>
      <c r="L43" s="8" t="n">
        <f aca="false">L42*$D$2</f>
        <v>-0.118589999999997</v>
      </c>
      <c r="M43" s="8" t="n">
        <f aca="false">M42*$D$2</f>
        <v>302.11005</v>
      </c>
      <c r="N43" s="8" t="n">
        <f aca="false">N42*$D$2</f>
        <v>0</v>
      </c>
      <c r="O43" s="8" t="n">
        <f aca="false">O42*$D$2</f>
        <v>0</v>
      </c>
      <c r="P43" s="8" t="n">
        <f aca="false">P42*$D$2</f>
        <v>302.11005</v>
      </c>
      <c r="Q43" s="8"/>
      <c r="R43" s="8" t="n">
        <f aca="false">R42*$D$2</f>
        <v>0</v>
      </c>
      <c r="S43" s="8" t="n">
        <f aca="false">S42*$D$2</f>
        <v>0</v>
      </c>
      <c r="T43" s="8" t="n">
        <f aca="false">T42*$D$2</f>
        <v>1854.24381</v>
      </c>
      <c r="U43" s="8" t="n">
        <f aca="false">U42*$D$2</f>
        <v>23266.6447233426</v>
      </c>
      <c r="V43" s="8" t="n">
        <f aca="false">V42*$D$2</f>
        <v>2156.35386</v>
      </c>
      <c r="W43" s="8" t="n">
        <f aca="false">W42*$D$2</f>
        <v>0</v>
      </c>
      <c r="X43" s="8" t="n">
        <f aca="false">X42*$D$2</f>
        <v>2156.35386</v>
      </c>
      <c r="Y43" s="11"/>
      <c r="Z43" s="12" t="n">
        <f aca="false">MAX(Z10:Z40)</f>
        <v>55</v>
      </c>
      <c r="AA43" s="12" t="n">
        <f aca="false">MAX(AA10:AA40)</f>
        <v>31</v>
      </c>
      <c r="AB43" s="13" t="s">
        <v>46</v>
      </c>
      <c r="AC43" s="14"/>
      <c r="AD43" s="14"/>
    </row>
    <row r="44" customFormat="false" ht="3" hidden="false" customHeight="true" outlineLevel="0" collapsed="false">
      <c r="A44" s="30"/>
      <c r="B44" s="30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0"/>
      <c r="V44" s="32"/>
      <c r="W44" s="32"/>
      <c r="X44" s="32"/>
      <c r="Y44" s="11"/>
      <c r="Z44" s="12"/>
      <c r="AA44" s="12"/>
      <c r="AB44" s="13"/>
      <c r="AC44" s="14"/>
      <c r="AD44" s="14"/>
    </row>
    <row r="45" customFormat="false" ht="11.1" hidden="false" customHeight="true" outlineLevel="0" collapsed="false">
      <c r="A45" s="7" t="s">
        <v>47</v>
      </c>
      <c r="B45" s="7"/>
      <c r="C45" s="8"/>
      <c r="D45" s="8"/>
      <c r="E45" s="8"/>
      <c r="F45" s="8"/>
      <c r="G45" s="8"/>
      <c r="H45" s="1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11"/>
      <c r="Z45" s="12" t="n">
        <f aca="false">MIN(Z10:Z40)</f>
        <v>24</v>
      </c>
      <c r="AA45" s="12" t="n">
        <f aca="false">MIN(AA10:AA40)</f>
        <v>-4</v>
      </c>
      <c r="AB45" s="13" t="s">
        <v>48</v>
      </c>
      <c r="AC45" s="14"/>
      <c r="AD45" s="14"/>
    </row>
    <row r="46" customFormat="false" ht="11.1" hidden="false" customHeight="true" outlineLevel="0" collapsed="false">
      <c r="A46" s="7" t="s">
        <v>49</v>
      </c>
      <c r="B46" s="7"/>
      <c r="C46" s="8"/>
      <c r="D46" s="8"/>
      <c r="E46" s="8"/>
      <c r="F46" s="8"/>
      <c r="G46" s="8"/>
      <c r="H46" s="12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11"/>
      <c r="Z46" s="12"/>
      <c r="AA46" s="12"/>
      <c r="AB46" s="13"/>
      <c r="AC46" s="14"/>
      <c r="AD46" s="14"/>
    </row>
    <row r="47" customFormat="false" ht="3" hidden="false" customHeight="true" outlineLevel="0" collapsed="false">
      <c r="A47" s="30"/>
      <c r="B47" s="30"/>
      <c r="C47" s="32"/>
      <c r="D47" s="32"/>
      <c r="E47" s="32"/>
      <c r="F47" s="32"/>
      <c r="G47" s="32"/>
      <c r="H47" s="35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4"/>
      <c r="Z47" s="12"/>
      <c r="AA47" s="12"/>
      <c r="AB47" s="13"/>
      <c r="AC47" s="14"/>
      <c r="AD47" s="14"/>
    </row>
    <row r="48" customFormat="false" ht="11.1" hidden="false" customHeight="true" outlineLevel="0" collapsed="false">
      <c r="A48" s="7" t="s">
        <v>50</v>
      </c>
      <c r="B48" s="7"/>
      <c r="C48" s="8"/>
      <c r="D48" s="8"/>
      <c r="E48" s="8"/>
      <c r="F48" s="8" t="n">
        <f aca="false">F8+F42</f>
        <v>335.854765506808</v>
      </c>
      <c r="G48" s="8" t="n">
        <f aca="false">G8+G42</f>
        <v>4510.97734241049</v>
      </c>
      <c r="H48" s="12" t="n">
        <f aca="false">H8+H42</f>
        <v>0</v>
      </c>
      <c r="I48" s="8" t="n">
        <f aca="false">I8+I42</f>
        <v>4510.97734241049</v>
      </c>
      <c r="J48" s="8" t="n">
        <f aca="false">J8+J42</f>
        <v>49.2957690368129</v>
      </c>
      <c r="K48" s="8" t="n">
        <f aca="false">K8+K42</f>
        <v>4560.2731114473</v>
      </c>
      <c r="L48" s="8" t="n">
        <f aca="false">L8+L42</f>
        <v>-419.352576903681</v>
      </c>
      <c r="M48" s="8" t="n">
        <f aca="false">M8+M42</f>
        <v>573.27</v>
      </c>
      <c r="N48" s="8" t="n">
        <f aca="false">N8+N42</f>
        <v>0</v>
      </c>
      <c r="O48" s="8" t="n">
        <f aca="false">O8+O42</f>
        <v>0</v>
      </c>
      <c r="P48" s="8" t="n">
        <f aca="false">P8+P42</f>
        <v>573.27</v>
      </c>
      <c r="Q48" s="8"/>
      <c r="R48" s="8" t="n">
        <f aca="false">R8+R42</f>
        <v>0</v>
      </c>
      <c r="S48" s="8" t="n">
        <f aca="false">S8+S42</f>
        <v>0</v>
      </c>
      <c r="T48" s="8" t="n">
        <f aca="false">T8+T42</f>
        <v>3182.5</v>
      </c>
      <c r="U48" s="8" t="n">
        <f aca="false">U40</f>
        <v>11733.0533148475</v>
      </c>
      <c r="V48" s="8" t="n">
        <f aca="false">V8+V42</f>
        <v>3755.77</v>
      </c>
      <c r="W48" s="8" t="n">
        <f aca="false">W8+W42</f>
        <v>489.78776096823</v>
      </c>
      <c r="X48" s="8" t="n">
        <f aca="false">X8+X42</f>
        <v>4245.55776096823</v>
      </c>
      <c r="Y48" s="28" t="n">
        <f aca="false">Y8+Y42</f>
        <v>3.35</v>
      </c>
      <c r="Z48" s="12"/>
      <c r="AA48" s="12"/>
      <c r="AB48" s="13"/>
      <c r="AC48" s="14"/>
      <c r="AD48" s="14"/>
    </row>
    <row r="49" customFormat="false" ht="11.1" hidden="false" customHeight="true" outlineLevel="0" collapsed="false">
      <c r="A49" s="7" t="s">
        <v>51</v>
      </c>
      <c r="B49" s="7"/>
      <c r="C49" s="8"/>
      <c r="D49" s="8" t="n">
        <f aca="false">D8+D43</f>
        <v>666</v>
      </c>
      <c r="E49" s="8" t="n">
        <f aca="false">E40</f>
        <v>159353</v>
      </c>
      <c r="F49" s="8" t="n">
        <f aca="false">F48*$D$2</f>
        <v>666</v>
      </c>
      <c r="G49" s="8" t="n">
        <f aca="false">G48*$D$2</f>
        <v>8945.26807</v>
      </c>
      <c r="H49" s="12" t="n">
        <f aca="false">H48*$D$2</f>
        <v>0</v>
      </c>
      <c r="I49" s="8" t="n">
        <f aca="false">I48*$D$2</f>
        <v>8945.26807</v>
      </c>
      <c r="J49" s="8" t="n">
        <f aca="false">J48*$D$2</f>
        <v>97.75351</v>
      </c>
      <c r="K49" s="8" t="n">
        <f aca="false">K48*$D$2</f>
        <v>9043.02158</v>
      </c>
      <c r="L49" s="8" t="n">
        <f aca="false">L48*$D$2</f>
        <v>-831.57616</v>
      </c>
      <c r="M49" s="8" t="n">
        <f aca="false">M48*$D$2</f>
        <v>1136.79441</v>
      </c>
      <c r="N49" s="8" t="n">
        <f aca="false">N48*$D$2</f>
        <v>0</v>
      </c>
      <c r="O49" s="8" t="n">
        <f aca="false">O48*$D$2</f>
        <v>0</v>
      </c>
      <c r="P49" s="8" t="n">
        <f aca="false">P48*$D$2</f>
        <v>1136.79441</v>
      </c>
      <c r="Q49" s="8" t="n">
        <f aca="false">Q48*$D$2</f>
        <v>0</v>
      </c>
      <c r="R49" s="8" t="n">
        <f aca="false">R48*$D$2</f>
        <v>0</v>
      </c>
      <c r="S49" s="8" t="n">
        <f aca="false">S48*$D$2</f>
        <v>0</v>
      </c>
      <c r="T49" s="8" t="n">
        <f aca="false">T48*$D$2</f>
        <v>6310.8975</v>
      </c>
      <c r="U49" s="8" t="n">
        <f aca="false">U40*$D$2</f>
        <v>23266.6447233426</v>
      </c>
      <c r="V49" s="8" t="n">
        <f aca="false">V48*$D$2</f>
        <v>7447.69191</v>
      </c>
      <c r="W49" s="8" t="n">
        <f aca="false">W48*$D$2</f>
        <v>971.24913</v>
      </c>
      <c r="X49" s="8" t="n">
        <f aca="false">X48*$D$2</f>
        <v>8418.94104</v>
      </c>
      <c r="Y49" s="11"/>
      <c r="Z49" s="12"/>
      <c r="AA49" s="12"/>
      <c r="AB49" s="13"/>
      <c r="AC49" s="14"/>
      <c r="AD49" s="14"/>
    </row>
    <row r="50" customFormat="false" ht="3" hidden="false" customHeight="true" outlineLevel="0" collapsed="false">
      <c r="A50" s="30"/>
      <c r="B50" s="30"/>
      <c r="C50" s="32"/>
      <c r="D50" s="30"/>
      <c r="E50" s="32"/>
      <c r="F50" s="30"/>
      <c r="G50" s="30"/>
      <c r="H50" s="33"/>
      <c r="I50" s="30"/>
      <c r="J50" s="30"/>
      <c r="K50" s="30"/>
      <c r="L50" s="30"/>
      <c r="M50" s="30"/>
      <c r="N50" s="30"/>
      <c r="O50" s="30"/>
      <c r="P50" s="30"/>
      <c r="Q50" s="32"/>
      <c r="R50" s="30"/>
      <c r="S50" s="30"/>
      <c r="T50" s="30"/>
      <c r="U50" s="32"/>
      <c r="V50" s="30"/>
      <c r="W50" s="30"/>
      <c r="X50" s="30"/>
      <c r="Y50" s="11"/>
      <c r="Z50" s="12"/>
      <c r="AA50" s="12"/>
      <c r="AB50" s="13"/>
      <c r="AC50" s="14"/>
      <c r="AD50" s="14"/>
    </row>
    <row r="51" customFormat="false" ht="11.1" hidden="false" customHeight="true" outlineLevel="0" collapsed="false">
      <c r="A51" s="7" t="str">
        <f aca="false">"SEP /9"</f>
        <v>SEP /9</v>
      </c>
      <c r="B51" s="40"/>
      <c r="C51" s="8"/>
      <c r="D51" s="7"/>
      <c r="E51" s="8"/>
      <c r="F51" s="7"/>
      <c r="G51" s="7"/>
      <c r="H51" s="9"/>
      <c r="I51" s="7"/>
      <c r="J51" s="7"/>
      <c r="K51" s="7"/>
      <c r="L51" s="7"/>
      <c r="M51" s="7"/>
      <c r="N51" s="7"/>
      <c r="O51" s="7"/>
      <c r="P51" s="7"/>
      <c r="Q51" s="8"/>
      <c r="R51" s="7"/>
      <c r="S51" s="7"/>
      <c r="T51" s="7"/>
      <c r="U51" s="8"/>
      <c r="V51" s="7"/>
      <c r="W51" s="7"/>
      <c r="X51" s="7"/>
      <c r="Y51" s="11"/>
      <c r="Z51" s="12"/>
      <c r="AA51" s="12"/>
      <c r="AB51" s="13"/>
      <c r="AC51" s="14"/>
      <c r="AD51" s="14"/>
    </row>
    <row r="52" customFormat="false" ht="11.1" hidden="false" customHeight="true" outlineLevel="0" collapsed="false">
      <c r="A52" s="7"/>
      <c r="B52" s="27" t="n">
        <v>6911.22</v>
      </c>
      <c r="C52" s="8" t="n">
        <v>326889</v>
      </c>
      <c r="D52" s="38"/>
      <c r="E52" s="8" t="n">
        <f aca="false">C52-152000</f>
        <v>174889</v>
      </c>
      <c r="F52" s="7"/>
      <c r="G52" s="7"/>
      <c r="H52" s="38"/>
      <c r="I52" s="9"/>
      <c r="J52" s="7"/>
      <c r="K52" s="41"/>
      <c r="L52" s="7"/>
      <c r="M52" s="7"/>
      <c r="N52" s="7"/>
      <c r="O52" s="7"/>
      <c r="P52" s="7"/>
      <c r="Q52" s="8"/>
      <c r="R52" s="7"/>
      <c r="S52" s="7"/>
      <c r="T52" s="7"/>
      <c r="U52" s="8"/>
      <c r="V52" s="7"/>
      <c r="W52" s="7"/>
      <c r="X52" s="7"/>
      <c r="Y52" s="11"/>
      <c r="Z52" s="12"/>
      <c r="AA52" s="12"/>
      <c r="AB52" s="13"/>
      <c r="AC52" s="14"/>
      <c r="AD52" s="14"/>
    </row>
    <row r="53" customFormat="false" ht="11.1" hidden="false" customHeight="true" outlineLevel="0" collapsed="false">
      <c r="A53" s="38" t="str">
        <f aca="false">"8/12/93 thru 9/9/93"</f>
        <v>8/12/93 thru 9/9/93</v>
      </c>
      <c r="B53" s="38"/>
      <c r="C53" s="8"/>
      <c r="D53" s="8"/>
      <c r="E53" s="8"/>
      <c r="F53" s="38"/>
      <c r="G53" s="38"/>
      <c r="H53" s="9"/>
      <c r="I53" s="38"/>
      <c r="J53" s="38"/>
      <c r="K53" s="38"/>
      <c r="L53" s="38"/>
      <c r="M53" s="28"/>
      <c r="N53" s="38"/>
      <c r="O53" s="38"/>
      <c r="P53" s="38"/>
      <c r="Q53" s="8"/>
      <c r="R53" s="38"/>
      <c r="S53" s="38"/>
      <c r="T53" s="38"/>
      <c r="U53" s="8"/>
      <c r="V53" s="38"/>
      <c r="W53" s="38"/>
      <c r="X53" s="38"/>
      <c r="Y53" s="11"/>
      <c r="Z53" s="12"/>
      <c r="AA53" s="12"/>
      <c r="AB53" s="13"/>
      <c r="AC53" s="42"/>
      <c r="AD53" s="42"/>
    </row>
    <row r="54" customFormat="false" ht="11.1" hidden="false" customHeight="true" outlineLevel="0" collapsed="false">
      <c r="A54" s="38"/>
      <c r="B54" s="11" t="n">
        <f aca="false">B52-B21</f>
        <v>4.03000000000066</v>
      </c>
      <c r="C54" s="8"/>
      <c r="D54" s="8" t="n">
        <f aca="false">C52-C21</f>
        <v>16007</v>
      </c>
      <c r="E54" s="8"/>
      <c r="F54" s="38"/>
      <c r="G54" s="38"/>
      <c r="H54" s="9"/>
      <c r="I54" s="38"/>
      <c r="J54" s="38"/>
      <c r="K54" s="38"/>
      <c r="L54" s="38"/>
      <c r="M54" s="28"/>
      <c r="N54" s="38"/>
      <c r="O54" s="38"/>
      <c r="P54" s="38"/>
      <c r="Q54" s="8"/>
      <c r="R54" s="38"/>
      <c r="S54" s="38"/>
      <c r="T54" s="38"/>
      <c r="U54" s="8"/>
      <c r="V54" s="38"/>
      <c r="W54" s="38"/>
      <c r="X54" s="38"/>
      <c r="Y54" s="11"/>
      <c r="Z54" s="12"/>
      <c r="AA54" s="12"/>
      <c r="AB54" s="13"/>
      <c r="AC54" s="42"/>
      <c r="AD54" s="42"/>
    </row>
    <row r="55" customFormat="false" ht="11.1" hidden="false" customHeight="true" outlineLevel="0" collapsed="false">
      <c r="A55" s="38"/>
      <c r="B55" s="38"/>
      <c r="C55" s="8"/>
      <c r="D55" s="38"/>
      <c r="E55" s="8"/>
      <c r="F55" s="38"/>
      <c r="G55" s="43"/>
      <c r="H55" s="9"/>
      <c r="I55" s="38"/>
      <c r="J55" s="38"/>
      <c r="K55" s="38"/>
      <c r="L55" s="38"/>
      <c r="M55" s="28"/>
      <c r="N55" s="38"/>
      <c r="O55" s="38"/>
      <c r="P55" s="38"/>
      <c r="Q55" s="8"/>
      <c r="R55" s="38"/>
      <c r="S55" s="38"/>
      <c r="T55" s="38"/>
      <c r="U55" s="8"/>
      <c r="V55" s="38"/>
      <c r="W55" s="38"/>
      <c r="X55" s="38"/>
      <c r="Y55" s="11"/>
      <c r="Z55" s="12"/>
      <c r="AA55" s="12"/>
      <c r="AB55" s="13"/>
      <c r="AC55" s="42"/>
      <c r="AD55" s="42"/>
    </row>
  </sheetData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52"/>
  <sheetViews>
    <sheetView showFormulas="false" showGridLines="true" showRowColHeaders="true" showZeros="true" rightToLeft="false" tabSelected="false" showOutlineSymbols="true" defaultGridColor="true" view="normal" topLeftCell="I4" colorId="64" zoomScale="100" zoomScaleNormal="100" zoomScalePageLayoutView="100" workbookViewId="0">
      <pane xSplit="0" ySplit="6" topLeftCell="A10" activePane="bottomLeft" state="frozen"/>
      <selection pane="topLeft" activeCell="I4" activeCellId="0" sqref="I4"/>
      <selection pane="bottomLeft" activeCell="X10" activeCellId="0" sqref="X1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32"/>
    <col collapsed="false" customWidth="true" hidden="false" outlineLevel="0" max="4" min="4" style="0" width="6.82"/>
    <col collapsed="false" customWidth="true" hidden="false" outlineLevel="0" max="5" min="5" style="1" width="7.32"/>
    <col collapsed="false" customWidth="true" hidden="false" outlineLevel="0" max="6" min="6" style="0" width="7.66"/>
    <col collapsed="false" customWidth="true" hidden="false" outlineLevel="0" max="7" min="7" style="0" width="7.32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1" min="10" style="0" width="6.32"/>
    <col collapsed="false" customWidth="true" hidden="false" outlineLevel="0" max="12" min="12" style="0" width="6.49"/>
    <col collapsed="false" customWidth="true" hidden="false" outlineLevel="0" max="13" min="13" style="3" width="7.49"/>
    <col collapsed="false" customWidth="true" hidden="false" outlineLevel="0" max="14" min="14" style="0" width="5.82"/>
    <col collapsed="false" customWidth="true" hidden="false" outlineLevel="0" max="15" min="15" style="0" width="7.16"/>
    <col collapsed="false" customWidth="true" hidden="false" outlineLevel="0" max="16" min="16" style="0" width="6.66"/>
    <col collapsed="false" customWidth="true" hidden="false" outlineLevel="0" max="17" min="17" style="1" width="6.66"/>
    <col collapsed="false" customWidth="true" hidden="false" outlineLevel="0" max="18" min="18" style="0" width="5.82"/>
    <col collapsed="false" customWidth="true" hidden="false" outlineLevel="0" max="20" min="19" style="0" width="7.49"/>
    <col collapsed="false" customWidth="true" hidden="false" outlineLevel="0" max="21" min="21" style="1" width="6.32"/>
    <col collapsed="false" customWidth="true" hidden="false" outlineLevel="0" max="24" min="22" style="0" width="7.82"/>
    <col collapsed="false" customWidth="true" hidden="false" outlineLevel="0" max="25" min="25" style="4" width="5.66"/>
    <col collapsed="false" customWidth="true" hidden="false" outlineLevel="0" max="27" min="26" style="5" width="5.66"/>
    <col collapsed="false" customWidth="true" hidden="false" outlineLevel="0" max="28" min="28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8"/>
      <c r="R1" s="7"/>
      <c r="S1" s="7"/>
      <c r="T1" s="7"/>
      <c r="U1" s="8"/>
      <c r="V1" s="7"/>
      <c r="W1" s="7"/>
      <c r="X1" s="7"/>
      <c r="Y1" s="11"/>
      <c r="Z1" s="12"/>
      <c r="AA1" s="12"/>
      <c r="AB1" s="13"/>
      <c r="AC1" s="14"/>
      <c r="AD1" s="14"/>
    </row>
    <row r="2" customFormat="false" ht="14.1" hidden="false" customHeight="true" outlineLevel="0" collapsed="false">
      <c r="A2" s="7" t="s">
        <v>1</v>
      </c>
      <c r="B2" s="7"/>
      <c r="C2" s="8"/>
      <c r="D2" s="15" t="n">
        <v>1.983</v>
      </c>
      <c r="E2" s="8"/>
      <c r="F2" s="7"/>
      <c r="G2" s="7"/>
      <c r="H2" s="9"/>
      <c r="I2" s="7"/>
      <c r="J2" s="7"/>
      <c r="K2" s="10" t="s">
        <v>56</v>
      </c>
      <c r="L2" s="10"/>
      <c r="M2" s="7"/>
      <c r="N2" s="7"/>
      <c r="O2" s="7"/>
      <c r="P2" s="7"/>
      <c r="Q2" s="8"/>
      <c r="R2" s="7"/>
      <c r="S2" s="7"/>
      <c r="T2" s="7"/>
      <c r="U2" s="8"/>
      <c r="V2" s="7"/>
      <c r="W2" s="7"/>
      <c r="X2" s="7"/>
      <c r="Y2" s="11"/>
      <c r="Z2" s="12"/>
      <c r="AA2" s="12"/>
      <c r="AB2" s="13"/>
      <c r="AC2" s="14"/>
      <c r="AD2" s="14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8"/>
      <c r="R3" s="7"/>
      <c r="S3" s="7"/>
      <c r="T3" s="7"/>
      <c r="U3" s="8"/>
      <c r="V3" s="7"/>
      <c r="W3" s="7"/>
      <c r="X3" s="7"/>
      <c r="Y3" s="11"/>
      <c r="Z3" s="12"/>
      <c r="AA3" s="12"/>
      <c r="AB3" s="13"/>
      <c r="AC3" s="14"/>
      <c r="AD3" s="14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6" t="s">
        <v>8</v>
      </c>
      <c r="N4" s="16" t="s">
        <v>13</v>
      </c>
      <c r="O4" s="16" t="s">
        <v>14</v>
      </c>
      <c r="P4" s="16" t="s">
        <v>12</v>
      </c>
      <c r="Q4" s="17" t="s">
        <v>13</v>
      </c>
      <c r="R4" s="16" t="s">
        <v>15</v>
      </c>
      <c r="S4" s="16" t="s">
        <v>16</v>
      </c>
      <c r="T4" s="16" t="s">
        <v>17</v>
      </c>
      <c r="U4" s="17" t="s">
        <v>18</v>
      </c>
      <c r="V4" s="16" t="s">
        <v>10</v>
      </c>
      <c r="W4" s="16" t="s">
        <v>11</v>
      </c>
      <c r="X4" s="16" t="s">
        <v>12</v>
      </c>
      <c r="Y4" s="19" t="s">
        <v>19</v>
      </c>
      <c r="Z4" s="20" t="s">
        <v>20</v>
      </c>
      <c r="AA4" s="20" t="s">
        <v>21</v>
      </c>
      <c r="AB4" s="20" t="s">
        <v>3</v>
      </c>
      <c r="AC4" s="14"/>
      <c r="AD4" s="14"/>
    </row>
    <row r="5" customFormat="false" ht="11.1" hidden="false" customHeight="true" outlineLevel="0" collapsed="false">
      <c r="A5" s="21" t="s">
        <v>57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16" t="s">
        <v>13</v>
      </c>
      <c r="Q5" s="17" t="s">
        <v>34</v>
      </c>
      <c r="R5" s="16" t="s">
        <v>35</v>
      </c>
      <c r="S5" s="16" t="s">
        <v>36</v>
      </c>
      <c r="T5" s="16" t="s">
        <v>37</v>
      </c>
      <c r="U5" s="17" t="s">
        <v>38</v>
      </c>
      <c r="V5" s="16" t="s">
        <v>39</v>
      </c>
      <c r="W5" s="16" t="s">
        <v>39</v>
      </c>
      <c r="X5" s="16" t="s">
        <v>39</v>
      </c>
      <c r="Y5" s="22"/>
      <c r="Z5" s="20" t="s">
        <v>40</v>
      </c>
      <c r="AA5" s="20" t="s">
        <v>40</v>
      </c>
      <c r="AB5" s="23" t="s">
        <v>57</v>
      </c>
      <c r="AC5" s="14"/>
      <c r="AD5" s="14"/>
    </row>
    <row r="6" customFormat="false" ht="11.1" hidden="false" customHeight="true" outlineLevel="0" collapsed="false">
      <c r="A6" s="24"/>
      <c r="B6" s="24"/>
      <c r="C6" s="25"/>
      <c r="D6" s="24"/>
      <c r="E6" s="25"/>
      <c r="F6" s="24"/>
      <c r="G6" s="24"/>
      <c r="H6" s="26"/>
      <c r="I6" s="24"/>
      <c r="J6" s="24"/>
      <c r="K6" s="24"/>
      <c r="L6" s="24"/>
      <c r="M6" s="24"/>
      <c r="N6" s="24"/>
      <c r="O6" s="24"/>
      <c r="P6" s="24"/>
      <c r="Q6" s="25"/>
      <c r="R6" s="24"/>
      <c r="S6" s="24"/>
      <c r="T6" s="24"/>
      <c r="U6" s="25"/>
      <c r="V6" s="24"/>
      <c r="W6" s="24"/>
      <c r="X6" s="24"/>
      <c r="Y6" s="11"/>
      <c r="Z6" s="13"/>
      <c r="AA6" s="13"/>
      <c r="AB6" s="13"/>
      <c r="AC6" s="14" t="n">
        <v>741</v>
      </c>
      <c r="AD6" s="14" t="n">
        <v>742</v>
      </c>
    </row>
    <row r="7" customFormat="false" ht="11.1" hidden="false" customHeight="true" outlineLevel="0" collapsed="false">
      <c r="A7" s="7" t="s">
        <v>41</v>
      </c>
      <c r="B7" s="7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1"/>
      <c r="Z7" s="12"/>
      <c r="AA7" s="12"/>
      <c r="AB7" s="13"/>
      <c r="AC7" s="14"/>
    </row>
    <row r="8" s="1" customFormat="true" ht="11.1" hidden="false" customHeight="true" outlineLevel="0" collapsed="false">
      <c r="A8" s="8" t="s">
        <v>42</v>
      </c>
      <c r="B8" s="27" t="n">
        <v>6907.31</v>
      </c>
      <c r="C8" s="8" t="n">
        <v>311353</v>
      </c>
      <c r="D8" s="8" t="n">
        <f aca="false" t="array" ref="D8:E8">[2]RIVER014!$D$49:$E$49</f>
        <v>666</v>
      </c>
      <c r="E8" s="8" t="n">
        <v>159353</v>
      </c>
      <c r="F8" s="8" t="n">
        <f aca="false" t="array" ref="F8:Y8">[2]RIVER014!$F$48:$Y$48</f>
        <v>335.854765506808</v>
      </c>
      <c r="G8" s="8" t="n">
        <v>4510.97734241049</v>
      </c>
      <c r="H8" s="12" t="n">
        <v>0</v>
      </c>
      <c r="I8" s="8" t="n">
        <v>4510.97734241049</v>
      </c>
      <c r="J8" s="8" t="n">
        <v>49.2957690368129</v>
      </c>
      <c r="K8" s="8" t="n">
        <v>4560.2731114473</v>
      </c>
      <c r="L8" s="8" t="n">
        <v>-419.352576903681</v>
      </c>
      <c r="M8" s="8" t="n">
        <v>573.27</v>
      </c>
      <c r="N8" s="8" t="n">
        <v>0</v>
      </c>
      <c r="O8" s="8" t="n">
        <v>0</v>
      </c>
      <c r="P8" s="8" t="n">
        <v>573.27</v>
      </c>
      <c r="Q8" s="8" t="n">
        <v>0</v>
      </c>
      <c r="R8" s="8" t="n">
        <v>0</v>
      </c>
      <c r="S8" s="8" t="n">
        <v>0</v>
      </c>
      <c r="T8" s="8" t="n">
        <v>3182.5</v>
      </c>
      <c r="U8" s="8" t="n">
        <v>11733.0533148475</v>
      </c>
      <c r="V8" s="8" t="n">
        <v>3755.77</v>
      </c>
      <c r="W8" s="8" t="n">
        <v>489.78776096823</v>
      </c>
      <c r="X8" s="8" t="n">
        <v>4245.55776096823</v>
      </c>
      <c r="Y8" s="28" t="n">
        <v>3.35</v>
      </c>
      <c r="Z8" s="12"/>
      <c r="AA8" s="12"/>
      <c r="AB8" s="13"/>
      <c r="AC8" s="29" t="n">
        <v>927</v>
      </c>
      <c r="AD8" s="14" t="n">
        <v>2965</v>
      </c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33"/>
      <c r="I9" s="30"/>
      <c r="J9" s="30"/>
      <c r="K9" s="30"/>
      <c r="L9" s="30"/>
      <c r="M9" s="30"/>
      <c r="N9" s="30"/>
      <c r="O9" s="30"/>
      <c r="P9" s="30"/>
      <c r="Q9" s="32"/>
      <c r="R9" s="30"/>
      <c r="S9" s="30"/>
      <c r="T9" s="30"/>
      <c r="U9" s="32"/>
      <c r="V9" s="30"/>
      <c r="W9" s="30"/>
      <c r="X9" s="30"/>
      <c r="Y9" s="34"/>
      <c r="Z9" s="35"/>
      <c r="AA9" s="35"/>
      <c r="AB9" s="36"/>
      <c r="AC9" s="14"/>
      <c r="AD9" s="14"/>
    </row>
    <row r="10" customFormat="false" ht="11.1" hidden="false" customHeight="true" outlineLevel="0" collapsed="false">
      <c r="A10" s="13" t="n">
        <v>1</v>
      </c>
      <c r="B10" s="27" t="n">
        <v>6907.32</v>
      </c>
      <c r="C10" s="8" t="n">
        <v>311391</v>
      </c>
      <c r="D10" s="12" t="n">
        <f aca="false">C10-C8</f>
        <v>38</v>
      </c>
      <c r="E10" s="8" t="n">
        <f aca="false">C10-152000</f>
        <v>159391</v>
      </c>
      <c r="F10" s="7" t="n">
        <f aca="false">D10/$D$2</f>
        <v>19.1628845184065</v>
      </c>
      <c r="G10" s="7" t="n">
        <v>53.3128845184065</v>
      </c>
      <c r="H10" s="9" t="n">
        <v>0</v>
      </c>
      <c r="I10" s="7" t="n">
        <f aca="false">G10+H10</f>
        <v>53.3128845184065</v>
      </c>
      <c r="J10" s="38"/>
      <c r="K10" s="7" t="n">
        <f aca="false">I10+J10</f>
        <v>53.3128845184065</v>
      </c>
      <c r="L10" s="7" t="n">
        <f aca="false">F10-(I10-V10)</f>
        <v>0</v>
      </c>
      <c r="M10" s="7" t="n">
        <v>3.72</v>
      </c>
      <c r="N10" s="7" t="n">
        <v>0</v>
      </c>
      <c r="O10" s="7"/>
      <c r="P10" s="7" t="n">
        <f aca="false">SUM(M10:O10)</f>
        <v>3.72</v>
      </c>
      <c r="Q10" s="8"/>
      <c r="R10" s="7"/>
      <c r="S10" s="7"/>
      <c r="T10" s="7" t="n">
        <v>30.43</v>
      </c>
      <c r="U10" s="8" t="n">
        <f aca="false">U8-T10</f>
        <v>11702.6233148475</v>
      </c>
      <c r="V10" s="7" t="n">
        <f aca="false">P10+R10+S10+T10</f>
        <v>34.15</v>
      </c>
      <c r="W10" s="7"/>
      <c r="X10" s="7" t="n">
        <f aca="false">V10+W10</f>
        <v>34.15</v>
      </c>
      <c r="Y10" s="11" t="n">
        <v>0</v>
      </c>
      <c r="Z10" s="12" t="n">
        <v>28</v>
      </c>
      <c r="AA10" s="12" t="n">
        <v>-10</v>
      </c>
      <c r="AB10" s="13" t="n">
        <v>1</v>
      </c>
      <c r="AC10" s="0" t="n">
        <v>989</v>
      </c>
      <c r="AD10" s="29" t="n">
        <v>3056</v>
      </c>
      <c r="AE10" s="0" t="n">
        <v>7883</v>
      </c>
    </row>
    <row r="11" customFormat="false" ht="11.1" hidden="false" customHeight="true" outlineLevel="0" collapsed="false">
      <c r="A11" s="13" t="n">
        <f aca="false">A10+1</f>
        <v>2</v>
      </c>
      <c r="B11" s="27" t="n">
        <v>6907.34</v>
      </c>
      <c r="C11" s="8" t="n">
        <v>311470</v>
      </c>
      <c r="D11" s="12" t="n">
        <f aca="false">C11-C10</f>
        <v>79</v>
      </c>
      <c r="E11" s="8" t="n">
        <f aca="false">C11-152000</f>
        <v>159470</v>
      </c>
      <c r="F11" s="7" t="n">
        <f aca="false">D11/$D$2</f>
        <v>39.8386283408976</v>
      </c>
      <c r="G11" s="7" t="n">
        <v>74.0586283408976</v>
      </c>
      <c r="H11" s="9" t="n">
        <v>0</v>
      </c>
      <c r="I11" s="7" t="n">
        <f aca="false">G11+H11</f>
        <v>74.0586283408976</v>
      </c>
      <c r="J11" s="38"/>
      <c r="K11" s="7" t="n">
        <f aca="false">I11+J11</f>
        <v>74.0586283408976</v>
      </c>
      <c r="L11" s="7" t="n">
        <f aca="false">F11-(I11-V11)</f>
        <v>0</v>
      </c>
      <c r="M11" s="7" t="n">
        <v>3.72</v>
      </c>
      <c r="N11" s="7" t="n">
        <v>0</v>
      </c>
      <c r="O11" s="7"/>
      <c r="P11" s="7" t="n">
        <f aca="false">SUM(M11:O11)</f>
        <v>3.72</v>
      </c>
      <c r="Q11" s="8"/>
      <c r="R11" s="7"/>
      <c r="S11" s="7"/>
      <c r="T11" s="7" t="n">
        <v>30.5</v>
      </c>
      <c r="U11" s="8" t="n">
        <f aca="false">U10-T11</f>
        <v>11672.1233148475</v>
      </c>
      <c r="V11" s="7" t="n">
        <f aca="false">P11+R11+S11+T11</f>
        <v>34.22</v>
      </c>
      <c r="W11" s="7"/>
      <c r="X11" s="7" t="n">
        <f aca="false">V11+W11</f>
        <v>34.22</v>
      </c>
      <c r="Y11" s="11" t="n">
        <v>0</v>
      </c>
      <c r="Z11" s="12" t="n">
        <v>37</v>
      </c>
      <c r="AA11" s="12" t="n">
        <v>-2</v>
      </c>
      <c r="AB11" s="13" t="n">
        <f aca="false">AB10+1</f>
        <v>2</v>
      </c>
      <c r="AC11" s="0" t="n">
        <v>1032</v>
      </c>
      <c r="AD11" s="29" t="n">
        <v>3153</v>
      </c>
    </row>
    <row r="12" customFormat="false" ht="11.1" hidden="false" customHeight="true" outlineLevel="0" collapsed="false">
      <c r="A12" s="13" t="n">
        <f aca="false">A11+1</f>
        <v>3</v>
      </c>
      <c r="B12" s="27" t="n">
        <v>6907.36</v>
      </c>
      <c r="C12" s="8" t="n">
        <v>311548</v>
      </c>
      <c r="D12" s="12" t="n">
        <f aca="false">C12-C11</f>
        <v>78</v>
      </c>
      <c r="E12" s="8" t="n">
        <f aca="false">C12-152000</f>
        <v>159548</v>
      </c>
      <c r="F12" s="7" t="n">
        <f aca="false">D12/$D$2</f>
        <v>39.3343419062027</v>
      </c>
      <c r="G12" s="7" t="n">
        <v>73.5543419062027</v>
      </c>
      <c r="H12" s="9" t="n">
        <v>0</v>
      </c>
      <c r="I12" s="7" t="n">
        <f aca="false">G12+H12</f>
        <v>73.5543419062027</v>
      </c>
      <c r="J12" s="38"/>
      <c r="K12" s="7" t="n">
        <f aca="false">I12+J12</f>
        <v>73.5543419062027</v>
      </c>
      <c r="L12" s="7" t="n">
        <f aca="false">F12-(I12-V12)</f>
        <v>0</v>
      </c>
      <c r="M12" s="7" t="n">
        <v>3.72</v>
      </c>
      <c r="N12" s="7" t="n">
        <v>0</v>
      </c>
      <c r="O12" s="7"/>
      <c r="P12" s="7" t="n">
        <f aca="false">SUM(M12:O12)</f>
        <v>3.72</v>
      </c>
      <c r="Q12" s="8"/>
      <c r="R12" s="7"/>
      <c r="S12" s="7"/>
      <c r="T12" s="7" t="n">
        <v>30.5</v>
      </c>
      <c r="U12" s="8" t="n">
        <f aca="false">U11-T12</f>
        <v>11641.6233148475</v>
      </c>
      <c r="V12" s="7" t="n">
        <f aca="false">P12+R12+S12+T12</f>
        <v>34.22</v>
      </c>
      <c r="W12" s="7"/>
      <c r="X12" s="7" t="n">
        <f aca="false">V12+W12</f>
        <v>34.22</v>
      </c>
      <c r="Y12" s="11" t="n">
        <v>0</v>
      </c>
      <c r="Z12" s="12" t="n">
        <v>38</v>
      </c>
      <c r="AA12" s="12" t="n">
        <v>12</v>
      </c>
      <c r="AB12" s="13" t="n">
        <f aca="false">AB11+1</f>
        <v>3</v>
      </c>
      <c r="AC12" s="0" t="n">
        <v>1085</v>
      </c>
      <c r="AD12" s="29" t="n">
        <v>3249</v>
      </c>
    </row>
    <row r="13" customFormat="false" ht="11.1" hidden="false" customHeight="true" outlineLevel="0" collapsed="false">
      <c r="A13" s="13" t="n">
        <f aca="false">A12+1</f>
        <v>4</v>
      </c>
      <c r="B13" s="27" t="n">
        <v>6907.38</v>
      </c>
      <c r="C13" s="8" t="n">
        <v>311626</v>
      </c>
      <c r="D13" s="12" t="n">
        <f aca="false">C13-C12</f>
        <v>78</v>
      </c>
      <c r="E13" s="8" t="n">
        <f aca="false">C13-152000</f>
        <v>159626</v>
      </c>
      <c r="F13" s="7" t="n">
        <f aca="false">D13/$D$2</f>
        <v>39.3343419062027</v>
      </c>
      <c r="G13" s="7" t="n">
        <v>73.5843419062027</v>
      </c>
      <c r="H13" s="9" t="n">
        <v>0</v>
      </c>
      <c r="I13" s="7" t="n">
        <f aca="false">G13+H13</f>
        <v>73.5843419062027</v>
      </c>
      <c r="J13" s="38"/>
      <c r="K13" s="7" t="n">
        <f aca="false">I13+J13</f>
        <v>73.5843419062027</v>
      </c>
      <c r="L13" s="7" t="n">
        <f aca="false">F13-(I13-V13)</f>
        <v>0</v>
      </c>
      <c r="M13" s="7" t="n">
        <v>3.72</v>
      </c>
      <c r="N13" s="7" t="n">
        <v>0</v>
      </c>
      <c r="O13" s="7"/>
      <c r="P13" s="7" t="n">
        <f aca="false">SUM(M13:O13)</f>
        <v>3.72</v>
      </c>
      <c r="Q13" s="8"/>
      <c r="R13" s="7"/>
      <c r="S13" s="7"/>
      <c r="T13" s="7" t="n">
        <v>30.53</v>
      </c>
      <c r="U13" s="8" t="n">
        <f aca="false">U12-T13</f>
        <v>11611.0933148475</v>
      </c>
      <c r="V13" s="7" t="n">
        <f aca="false">P13+R13+S13+T13</f>
        <v>34.25</v>
      </c>
      <c r="W13" s="7"/>
      <c r="X13" s="7" t="n">
        <f aca="false">V13+W13</f>
        <v>34.25</v>
      </c>
      <c r="Y13" s="11" t="n">
        <v>0.22</v>
      </c>
      <c r="Z13" s="12" t="n">
        <v>31</v>
      </c>
      <c r="AA13" s="12" t="n">
        <v>28</v>
      </c>
      <c r="AB13" s="13" t="n">
        <f aca="false">AB12+1</f>
        <v>4</v>
      </c>
      <c r="AC13" s="0" t="n">
        <v>1122</v>
      </c>
      <c r="AD13" s="29" t="n">
        <v>3347</v>
      </c>
    </row>
    <row r="14" customFormat="false" ht="11.1" hidden="false" customHeight="true" outlineLevel="0" collapsed="false">
      <c r="A14" s="13" t="n">
        <f aca="false">A13+1</f>
        <v>5</v>
      </c>
      <c r="B14" s="27" t="n">
        <v>6907.4</v>
      </c>
      <c r="C14" s="8" t="n">
        <v>311705</v>
      </c>
      <c r="D14" s="12" t="n">
        <f aca="false">C14-C13</f>
        <v>79</v>
      </c>
      <c r="E14" s="8" t="n">
        <f aca="false">C14-152000</f>
        <v>159705</v>
      </c>
      <c r="F14" s="7" t="n">
        <f aca="false">D14/$D$2</f>
        <v>39.8386283408976</v>
      </c>
      <c r="G14" s="7" t="n">
        <v>74.0586283408976</v>
      </c>
      <c r="H14" s="9" t="n">
        <v>0</v>
      </c>
      <c r="I14" s="7" t="n">
        <f aca="false">G14+H14</f>
        <v>74.0586283408976</v>
      </c>
      <c r="J14" s="38"/>
      <c r="K14" s="7" t="n">
        <f aca="false">I14+J14</f>
        <v>74.0586283408976</v>
      </c>
      <c r="L14" s="7" t="n">
        <f aca="false">F14-(I14-V14)</f>
        <v>0</v>
      </c>
      <c r="M14" s="7" t="n">
        <v>3.72</v>
      </c>
      <c r="N14" s="7" t="n">
        <v>0</v>
      </c>
      <c r="O14" s="7"/>
      <c r="P14" s="7" t="n">
        <f aca="false">SUM(M14:O14)</f>
        <v>3.72</v>
      </c>
      <c r="Q14" s="8"/>
      <c r="R14" s="7"/>
      <c r="S14" s="7"/>
      <c r="T14" s="7" t="n">
        <v>30.5</v>
      </c>
      <c r="U14" s="8" t="n">
        <f aca="false">U13-T14</f>
        <v>11580.5933148475</v>
      </c>
      <c r="V14" s="7" t="n">
        <f aca="false">P14+R14+S14+T14</f>
        <v>34.22</v>
      </c>
      <c r="W14" s="7"/>
      <c r="X14" s="7" t="n">
        <f aca="false">V14+W14</f>
        <v>34.22</v>
      </c>
      <c r="Y14" s="11" t="n">
        <v>0.16</v>
      </c>
      <c r="Z14" s="12" t="n">
        <v>38</v>
      </c>
      <c r="AA14" s="12" t="n">
        <v>18</v>
      </c>
      <c r="AB14" s="13" t="n">
        <f aca="false">AB13+1</f>
        <v>5</v>
      </c>
      <c r="AC14" s="0" t="n">
        <v>1157</v>
      </c>
      <c r="AD14" s="29" t="n">
        <v>3444</v>
      </c>
    </row>
    <row r="15" customFormat="false" ht="11.1" hidden="false" customHeight="true" outlineLevel="0" collapsed="false">
      <c r="A15" s="13" t="n">
        <f aca="false">A14+1</f>
        <v>6</v>
      </c>
      <c r="B15" s="27" t="n">
        <v>6907.42311783</v>
      </c>
      <c r="C15" s="8" t="n">
        <v>311783</v>
      </c>
      <c r="D15" s="12" t="n">
        <f aca="false">C15-C14</f>
        <v>78</v>
      </c>
      <c r="E15" s="8" t="n">
        <f aca="false">C15-152000</f>
        <v>159783</v>
      </c>
      <c r="F15" s="7" t="n">
        <f aca="false">D15/$D$2</f>
        <v>39.3343419062027</v>
      </c>
      <c r="G15" s="7" t="n">
        <v>73.5543419062027</v>
      </c>
      <c r="H15" s="9" t="n">
        <v>0</v>
      </c>
      <c r="I15" s="7" t="n">
        <f aca="false">G15+H15</f>
        <v>73.5543419062027</v>
      </c>
      <c r="J15" s="38"/>
      <c r="K15" s="7" t="n">
        <f aca="false">I15+J15</f>
        <v>73.5543419062027</v>
      </c>
      <c r="L15" s="7" t="n">
        <f aca="false">F15-(I15-V15)</f>
        <v>0</v>
      </c>
      <c r="M15" s="7" t="n">
        <v>3.72</v>
      </c>
      <c r="N15" s="7" t="n">
        <v>0</v>
      </c>
      <c r="O15" s="7"/>
      <c r="P15" s="7" t="n">
        <f aca="false">SUM(M15:O15)</f>
        <v>3.72</v>
      </c>
      <c r="Q15" s="8"/>
      <c r="R15" s="7"/>
      <c r="S15" s="7"/>
      <c r="T15" s="7" t="n">
        <v>30.5</v>
      </c>
      <c r="U15" s="8" t="n">
        <f aca="false">U14-T15</f>
        <v>11550.0933148475</v>
      </c>
      <c r="V15" s="7" t="n">
        <f aca="false">P15+R15+S15+T15</f>
        <v>34.22</v>
      </c>
      <c r="W15" s="7"/>
      <c r="X15" s="7" t="n">
        <f aca="false">V15+W15</f>
        <v>34.22</v>
      </c>
      <c r="Y15" s="11" t="n">
        <v>0</v>
      </c>
      <c r="Z15" s="12" t="n">
        <v>40</v>
      </c>
      <c r="AA15" s="12" t="n">
        <v>7</v>
      </c>
      <c r="AB15" s="13" t="n">
        <f aca="false">AB14+1</f>
        <v>6</v>
      </c>
      <c r="AC15" s="0" t="n">
        <v>1173</v>
      </c>
      <c r="AD15" s="29" t="n">
        <v>3541</v>
      </c>
      <c r="AE15" s="0" t="n">
        <v>132.9</v>
      </c>
    </row>
    <row r="16" customFormat="false" ht="11.1" hidden="false" customHeight="true" outlineLevel="0" collapsed="false">
      <c r="A16" s="13" t="n">
        <f aca="false">A15+1</f>
        <v>7</v>
      </c>
      <c r="B16" s="27" t="n">
        <v>6907.47</v>
      </c>
      <c r="C16" s="8" t="n">
        <v>311980</v>
      </c>
      <c r="D16" s="12" t="n">
        <f aca="false">C16-C15</f>
        <v>197</v>
      </c>
      <c r="E16" s="8" t="n">
        <f aca="false">C16-152000</f>
        <v>159980</v>
      </c>
      <c r="F16" s="7" t="n">
        <f aca="false">D16/$D$2</f>
        <v>99.3444276348966</v>
      </c>
      <c r="G16" s="7" t="n">
        <v>133.634427634897</v>
      </c>
      <c r="H16" s="9" t="n">
        <v>0</v>
      </c>
      <c r="I16" s="7" t="n">
        <f aca="false">G16+H16</f>
        <v>133.634427634897</v>
      </c>
      <c r="J16" s="38"/>
      <c r="K16" s="7" t="n">
        <f aca="false">I16+J16</f>
        <v>133.634427634897</v>
      </c>
      <c r="L16" s="7" t="n">
        <f aca="false">F16-(I16-V16)</f>
        <v>0</v>
      </c>
      <c r="M16" s="7" t="n">
        <v>3.79</v>
      </c>
      <c r="N16" s="7" t="n">
        <v>0</v>
      </c>
      <c r="O16" s="7"/>
      <c r="P16" s="7" t="n">
        <f aca="false">SUM(M16:O16)</f>
        <v>3.79</v>
      </c>
      <c r="Q16" s="8"/>
      <c r="R16" s="7"/>
      <c r="S16" s="7"/>
      <c r="T16" s="7" t="n">
        <v>30.5</v>
      </c>
      <c r="U16" s="8" t="n">
        <f aca="false">U15-T16</f>
        <v>11519.5933148475</v>
      </c>
      <c r="V16" s="7" t="n">
        <f aca="false">P16+R16+S16+T16</f>
        <v>34.29</v>
      </c>
      <c r="W16" s="7"/>
      <c r="X16" s="7" t="n">
        <f aca="false">V16+W16</f>
        <v>34.29</v>
      </c>
      <c r="Y16" s="11" t="n">
        <v>0.82</v>
      </c>
      <c r="Z16" s="12" t="n">
        <v>36</v>
      </c>
      <c r="AA16" s="12" t="n">
        <v>16</v>
      </c>
      <c r="AB16" s="13" t="n">
        <f aca="false">AB15+1</f>
        <v>7</v>
      </c>
      <c r="AC16" s="14" t="n">
        <v>1173</v>
      </c>
      <c r="AD16" s="29" t="n">
        <v>3628</v>
      </c>
      <c r="AE16" s="0" t="n">
        <v>138.06</v>
      </c>
    </row>
    <row r="17" customFormat="false" ht="11.1" hidden="false" customHeight="true" outlineLevel="0" collapsed="false">
      <c r="A17" s="13" t="n">
        <f aca="false">A16+1</f>
        <v>8</v>
      </c>
      <c r="B17" s="27" t="n">
        <v>6907.48</v>
      </c>
      <c r="C17" s="8" t="n">
        <v>312019</v>
      </c>
      <c r="D17" s="12" t="n">
        <f aca="false">C17-C16</f>
        <v>39</v>
      </c>
      <c r="E17" s="8" t="n">
        <f aca="false">C17-152000</f>
        <v>160019</v>
      </c>
      <c r="F17" s="7" t="n">
        <f aca="false">D17/$D$2</f>
        <v>19.6671709531014</v>
      </c>
      <c r="G17" s="7" t="n">
        <v>53.1971709531014</v>
      </c>
      <c r="H17" s="9" t="n">
        <v>0</v>
      </c>
      <c r="I17" s="7" t="n">
        <f aca="false">G17+H17</f>
        <v>53.1971709531014</v>
      </c>
      <c r="J17" s="38"/>
      <c r="K17" s="7" t="n">
        <f aca="false">I17+J17</f>
        <v>53.1971709531014</v>
      </c>
      <c r="L17" s="7" t="n">
        <f aca="false">F17-(I17-V17)</f>
        <v>0</v>
      </c>
      <c r="M17" s="7" t="n">
        <v>3.72</v>
      </c>
      <c r="N17" s="7" t="n">
        <v>0</v>
      </c>
      <c r="O17" s="7"/>
      <c r="P17" s="7" t="n">
        <f aca="false">SUM(M17:O17)</f>
        <v>3.72</v>
      </c>
      <c r="Q17" s="8"/>
      <c r="R17" s="7"/>
      <c r="S17" s="7"/>
      <c r="T17" s="7" t="n">
        <v>29.81</v>
      </c>
      <c r="U17" s="8" t="n">
        <f aca="false">U16-T17</f>
        <v>11489.7833148475</v>
      </c>
      <c r="V17" s="7" t="n">
        <f aca="false">P17+R17+S17+T17</f>
        <v>33.53</v>
      </c>
      <c r="W17" s="7"/>
      <c r="X17" s="7" t="n">
        <f aca="false">V17+W17</f>
        <v>33.53</v>
      </c>
      <c r="Y17" s="11" t="n">
        <v>0.08</v>
      </c>
      <c r="Z17" s="12" t="n">
        <v>41</v>
      </c>
      <c r="AA17" s="12" t="n">
        <v>31</v>
      </c>
      <c r="AB17" s="13" t="n">
        <f aca="false">AB16+1</f>
        <v>8</v>
      </c>
      <c r="AC17" s="14" t="n">
        <v>1184</v>
      </c>
      <c r="AD17" s="29" t="n">
        <v>3708</v>
      </c>
      <c r="AE17" s="0" t="n">
        <v>124.16</v>
      </c>
    </row>
    <row r="18" customFormat="false" ht="11.1" hidden="false" customHeight="true" outlineLevel="0" collapsed="false">
      <c r="A18" s="13" t="n">
        <f aca="false">A17+1</f>
        <v>9</v>
      </c>
      <c r="B18" s="27" t="n">
        <v>6907.49</v>
      </c>
      <c r="C18" s="8" t="n">
        <v>312059</v>
      </c>
      <c r="D18" s="12" t="n">
        <f aca="false">C18-C17</f>
        <v>40</v>
      </c>
      <c r="E18" s="8" t="n">
        <f aca="false">C18-152000</f>
        <v>160059</v>
      </c>
      <c r="F18" s="7" t="n">
        <f aca="false">D18/$D$2</f>
        <v>20.1714573877963</v>
      </c>
      <c r="G18" s="7" t="n">
        <v>52.8914573877963</v>
      </c>
      <c r="H18" s="9" t="n">
        <v>0</v>
      </c>
      <c r="I18" s="7" t="n">
        <f aca="false">G18+H18</f>
        <v>52.8914573877963</v>
      </c>
      <c r="J18" s="38"/>
      <c r="K18" s="7" t="n">
        <f aca="false">I18+J18</f>
        <v>52.8914573877963</v>
      </c>
      <c r="L18" s="7" t="n">
        <f aca="false">F18-(I18-V18)</f>
        <v>0</v>
      </c>
      <c r="M18" s="7" t="n">
        <v>3.72</v>
      </c>
      <c r="N18" s="7" t="n">
        <v>0</v>
      </c>
      <c r="O18" s="7"/>
      <c r="P18" s="7" t="n">
        <f aca="false">SUM(M18:O18)</f>
        <v>3.72</v>
      </c>
      <c r="Q18" s="8"/>
      <c r="R18" s="7"/>
      <c r="S18" s="7"/>
      <c r="T18" s="7" t="n">
        <v>29</v>
      </c>
      <c r="U18" s="8" t="n">
        <f aca="false">U17-T18</f>
        <v>11460.7833148475</v>
      </c>
      <c r="V18" s="7" t="n">
        <f aca="false">P18+R18+S18+T18</f>
        <v>32.72</v>
      </c>
      <c r="W18" s="7"/>
      <c r="X18" s="7" t="n">
        <f aca="false">V18+W18</f>
        <v>32.72</v>
      </c>
      <c r="Y18" s="11" t="n">
        <v>0</v>
      </c>
      <c r="Z18" s="38" t="n">
        <v>38</v>
      </c>
      <c r="AA18" s="12" t="n">
        <v>20</v>
      </c>
      <c r="AB18" s="13" t="n">
        <f aca="false">AB17+1</f>
        <v>9</v>
      </c>
      <c r="AC18" s="14" t="n">
        <v>19</v>
      </c>
      <c r="AD18" s="29" t="n">
        <v>3787</v>
      </c>
      <c r="AE18" s="0" t="n">
        <v>91</v>
      </c>
    </row>
    <row r="19" customFormat="false" ht="11.1" hidden="false" customHeight="true" outlineLevel="0" collapsed="false">
      <c r="A19" s="13" t="n">
        <f aca="false">A18+1</f>
        <v>10</v>
      </c>
      <c r="B19" s="27" t="n">
        <v>6907.49</v>
      </c>
      <c r="C19" s="8" t="n">
        <v>312059</v>
      </c>
      <c r="D19" s="12" t="n">
        <f aca="false">C19-C18</f>
        <v>0</v>
      </c>
      <c r="E19" s="8" t="n">
        <f aca="false">C19-152000</f>
        <v>160059</v>
      </c>
      <c r="F19" s="7" t="n">
        <f aca="false">D19/$D$2</f>
        <v>0</v>
      </c>
      <c r="G19" s="7" t="n">
        <v>33.35</v>
      </c>
      <c r="H19" s="9" t="n">
        <v>0</v>
      </c>
      <c r="I19" s="7" t="n">
        <f aca="false">G19+H19</f>
        <v>33.35</v>
      </c>
      <c r="J19" s="38"/>
      <c r="K19" s="7" t="n">
        <f aca="false">I19+J19</f>
        <v>33.35</v>
      </c>
      <c r="L19" s="7" t="n">
        <f aca="false">F19-(I19-V19)</f>
        <v>0</v>
      </c>
      <c r="M19" s="7" t="n">
        <v>3.85</v>
      </c>
      <c r="N19" s="7" t="n">
        <v>0</v>
      </c>
      <c r="O19" s="7"/>
      <c r="P19" s="7" t="n">
        <f aca="false">SUM(M19:O19)</f>
        <v>3.85</v>
      </c>
      <c r="Q19" s="8"/>
      <c r="R19" s="7"/>
      <c r="S19" s="7"/>
      <c r="T19" s="7" t="n">
        <v>29.5</v>
      </c>
      <c r="U19" s="8" t="n">
        <f aca="false">U18-T19</f>
        <v>11431.2833148475</v>
      </c>
      <c r="V19" s="7" t="n">
        <f aca="false">P19+R19+S19+T19</f>
        <v>33.35</v>
      </c>
      <c r="W19" s="7"/>
      <c r="X19" s="7" t="n">
        <f aca="false">V19+W19</f>
        <v>33.35</v>
      </c>
      <c r="Y19" s="11" t="n">
        <v>0</v>
      </c>
      <c r="Z19" s="12" t="n">
        <v>44</v>
      </c>
      <c r="AA19" s="12" t="n">
        <v>12</v>
      </c>
      <c r="AB19" s="13" t="n">
        <f aca="false">AB18+1</f>
        <v>10</v>
      </c>
      <c r="AC19" s="14" t="n">
        <v>29</v>
      </c>
      <c r="AD19" s="29" t="n">
        <v>3867</v>
      </c>
      <c r="AE19" s="0" t="n">
        <v>88.73</v>
      </c>
    </row>
    <row r="20" customFormat="false" ht="11.1" hidden="false" customHeight="true" outlineLevel="0" collapsed="false">
      <c r="A20" s="13" t="n">
        <f aca="false">A19+1</f>
        <v>11</v>
      </c>
      <c r="B20" s="27" t="n">
        <v>6907.5</v>
      </c>
      <c r="C20" s="8" t="n">
        <v>312097</v>
      </c>
      <c r="D20" s="12" t="n">
        <f aca="false">C20-C19</f>
        <v>38</v>
      </c>
      <c r="E20" s="8" t="n">
        <f aca="false">C20-152000</f>
        <v>160097</v>
      </c>
      <c r="F20" s="7" t="n">
        <f aca="false">D20/$D$2</f>
        <v>19.1628845184065</v>
      </c>
      <c r="G20" s="7" t="n">
        <v>52.6528845184065</v>
      </c>
      <c r="H20" s="9" t="n">
        <v>0</v>
      </c>
      <c r="I20" s="7" t="n">
        <f aca="false">G20+H20</f>
        <v>52.6528845184065</v>
      </c>
      <c r="J20" s="38"/>
      <c r="K20" s="7" t="n">
        <f aca="false">I20+J20</f>
        <v>52.6528845184065</v>
      </c>
      <c r="L20" s="7" t="n">
        <f aca="false">F20-(I20-V20)</f>
        <v>0</v>
      </c>
      <c r="M20" s="7" t="n">
        <v>3.76</v>
      </c>
      <c r="N20" s="7" t="n">
        <v>0</v>
      </c>
      <c r="O20" s="7"/>
      <c r="P20" s="7" t="n">
        <f aca="false">SUM(M20:O20)</f>
        <v>3.76</v>
      </c>
      <c r="Q20" s="8"/>
      <c r="R20" s="7"/>
      <c r="S20" s="7"/>
      <c r="T20" s="7" t="n">
        <v>29.73</v>
      </c>
      <c r="U20" s="8" t="n">
        <f aca="false">U19-T20</f>
        <v>11401.5533148475</v>
      </c>
      <c r="V20" s="7" t="n">
        <f aca="false">P20+R20+S20+T20</f>
        <v>33.49</v>
      </c>
      <c r="W20" s="7"/>
      <c r="X20" s="7" t="n">
        <f aca="false">V20+W20</f>
        <v>33.49</v>
      </c>
      <c r="Y20" s="11" t="n">
        <v>0.08</v>
      </c>
      <c r="Z20" s="12" t="n">
        <v>39</v>
      </c>
      <c r="AA20" s="12" t="n">
        <v>30</v>
      </c>
      <c r="AB20" s="13" t="n">
        <f aca="false">AB19+1</f>
        <v>11</v>
      </c>
      <c r="AC20" s="14" t="n">
        <v>29</v>
      </c>
      <c r="AD20" s="29" t="n">
        <v>3933</v>
      </c>
      <c r="AE20" s="0" t="n">
        <v>85.97</v>
      </c>
    </row>
    <row r="21" customFormat="false" ht="11.1" hidden="false" customHeight="true" outlineLevel="0" collapsed="false">
      <c r="A21" s="13" t="n">
        <f aca="false">A20+1</f>
        <v>12</v>
      </c>
      <c r="B21" s="27" t="n">
        <v>6907.51</v>
      </c>
      <c r="C21" s="8" t="n">
        <v>312135</v>
      </c>
      <c r="D21" s="12" t="n">
        <f aca="false">C21-C20</f>
        <v>38</v>
      </c>
      <c r="E21" s="8" t="n">
        <f aca="false">C21-152000</f>
        <v>160135</v>
      </c>
      <c r="F21" s="7" t="n">
        <f aca="false">D21/$D$2</f>
        <v>19.1628845184065</v>
      </c>
      <c r="G21" s="7" t="n">
        <v>52.6128845184065</v>
      </c>
      <c r="H21" s="9" t="n">
        <v>0</v>
      </c>
      <c r="I21" s="7" t="n">
        <f aca="false">G21+H21</f>
        <v>52.6128845184065</v>
      </c>
      <c r="J21" s="38"/>
      <c r="K21" s="7" t="n">
        <f aca="false">I21+J21</f>
        <v>52.6128845184065</v>
      </c>
      <c r="L21" s="7" t="n">
        <f aca="false">F21-(I21-V21)</f>
        <v>0</v>
      </c>
      <c r="M21" s="7" t="n">
        <v>3.72</v>
      </c>
      <c r="N21" s="7" t="n">
        <v>0</v>
      </c>
      <c r="O21" s="7"/>
      <c r="P21" s="7" t="n">
        <f aca="false">SUM(M21:O21)</f>
        <v>3.72</v>
      </c>
      <c r="Q21" s="8"/>
      <c r="R21" s="7"/>
      <c r="S21" s="7"/>
      <c r="T21" s="7" t="n">
        <v>29.73</v>
      </c>
      <c r="U21" s="8" t="n">
        <f aca="false">U20-T21</f>
        <v>11371.8233148475</v>
      </c>
      <c r="V21" s="7" t="n">
        <f aca="false">P21+R21+S21+T21</f>
        <v>33.45</v>
      </c>
      <c r="W21" s="7"/>
      <c r="X21" s="7" t="n">
        <f aca="false">V21+W21</f>
        <v>33.45</v>
      </c>
      <c r="Y21" s="11" t="n">
        <v>0</v>
      </c>
      <c r="Z21" s="12" t="n">
        <v>41</v>
      </c>
      <c r="AA21" s="12" t="n">
        <v>17</v>
      </c>
      <c r="AB21" s="13" t="n">
        <f aca="false">AB20+1</f>
        <v>12</v>
      </c>
      <c r="AC21" s="14" t="n">
        <v>39</v>
      </c>
      <c r="AD21" s="29" t="n">
        <v>3983</v>
      </c>
      <c r="AE21" s="0" t="n">
        <v>62.24</v>
      </c>
    </row>
    <row r="22" customFormat="false" ht="11.1" hidden="false" customHeight="true" outlineLevel="0" collapsed="false">
      <c r="A22" s="13" t="n">
        <f aca="false">A21+1</f>
        <v>13</v>
      </c>
      <c r="B22" s="27" t="n">
        <v>6907.52</v>
      </c>
      <c r="C22" s="8" t="n">
        <v>312175</v>
      </c>
      <c r="D22" s="12" t="n">
        <f aca="false">C22-C21</f>
        <v>40</v>
      </c>
      <c r="E22" s="8" t="n">
        <f aca="false">C22-152000</f>
        <v>160175</v>
      </c>
      <c r="F22" s="7" t="n">
        <f aca="false">D22/$D$2</f>
        <v>20.1714573877963</v>
      </c>
      <c r="G22" s="7" t="n">
        <v>53.6314573877963</v>
      </c>
      <c r="H22" s="9" t="n">
        <v>0</v>
      </c>
      <c r="I22" s="7" t="n">
        <f aca="false">G23+H22</f>
        <v>52.9971709531014</v>
      </c>
      <c r="J22" s="38"/>
      <c r="K22" s="7" t="n">
        <f aca="false">I22+J22</f>
        <v>52.9971709531014</v>
      </c>
      <c r="L22" s="7" t="n">
        <f aca="false">F22-(I22-V22)</f>
        <v>0.634286434694907</v>
      </c>
      <c r="M22" s="7" t="n">
        <v>3.79</v>
      </c>
      <c r="N22" s="7" t="n">
        <v>0</v>
      </c>
      <c r="O22" s="7"/>
      <c r="P22" s="7" t="n">
        <f aca="false">SUM(M22:O22)</f>
        <v>3.79</v>
      </c>
      <c r="Q22" s="8"/>
      <c r="R22" s="7"/>
      <c r="S22" s="7"/>
      <c r="T22" s="7" t="n">
        <v>29.67</v>
      </c>
      <c r="U22" s="8" t="n">
        <f aca="false">U21-T22</f>
        <v>11342.1533148475</v>
      </c>
      <c r="V22" s="7" t="n">
        <f aca="false">P22+R22+S22+T22</f>
        <v>33.46</v>
      </c>
      <c r="W22" s="7"/>
      <c r="X22" s="7" t="n">
        <f aca="false">V22+W22</f>
        <v>33.46</v>
      </c>
      <c r="Y22" s="11" t="n">
        <v>0</v>
      </c>
      <c r="Z22" s="12" t="n">
        <v>45</v>
      </c>
      <c r="AA22" s="12" t="n">
        <v>4</v>
      </c>
      <c r="AB22" s="13" t="n">
        <f aca="false">AB21+1</f>
        <v>13</v>
      </c>
      <c r="AC22" s="14" t="n">
        <v>49</v>
      </c>
      <c r="AD22" s="29" t="n">
        <v>4033</v>
      </c>
      <c r="AE22" s="0" t="n">
        <v>64.92</v>
      </c>
    </row>
    <row r="23" customFormat="false" ht="11.1" hidden="false" customHeight="true" outlineLevel="0" collapsed="false">
      <c r="A23" s="13" t="n">
        <f aca="false">A22+1</f>
        <v>14</v>
      </c>
      <c r="B23" s="27" t="n">
        <v>6907.53</v>
      </c>
      <c r="C23" s="8" t="n">
        <v>312214</v>
      </c>
      <c r="D23" s="12" t="n">
        <f aca="false">C23-C22</f>
        <v>39</v>
      </c>
      <c r="E23" s="8" t="n">
        <f aca="false">C23-152000</f>
        <v>160214</v>
      </c>
      <c r="F23" s="7" t="n">
        <f aca="false">D23/$D$2</f>
        <v>19.6671709531014</v>
      </c>
      <c r="G23" s="7" t="n">
        <v>52.9971709531014</v>
      </c>
      <c r="H23" s="9" t="n">
        <v>0</v>
      </c>
      <c r="I23" s="7" t="n">
        <f aca="false">G24+H23</f>
        <v>53.5914573877963</v>
      </c>
      <c r="J23" s="38"/>
      <c r="K23" s="7" t="n">
        <f aca="false">I23+J23</f>
        <v>53.5914573877963</v>
      </c>
      <c r="L23" s="7" t="n">
        <f aca="false">F23-(I23-V23)</f>
        <v>-0.594286434694908</v>
      </c>
      <c r="M23" s="7" t="n">
        <v>3.72</v>
      </c>
      <c r="N23" s="7" t="n">
        <v>0</v>
      </c>
      <c r="O23" s="7"/>
      <c r="P23" s="7" t="n">
        <f aca="false">SUM(M23:O23)</f>
        <v>3.72</v>
      </c>
      <c r="Q23" s="8"/>
      <c r="R23" s="7"/>
      <c r="S23" s="7"/>
      <c r="T23" s="7" t="n">
        <v>29.61</v>
      </c>
      <c r="U23" s="8" t="n">
        <f aca="false">U22-T23</f>
        <v>11312.5433148475</v>
      </c>
      <c r="V23" s="7" t="n">
        <f aca="false">P23+R23+S23+T23</f>
        <v>33.33</v>
      </c>
      <c r="W23" s="7"/>
      <c r="X23" s="7" t="n">
        <f aca="false">V23+W23</f>
        <v>33.33</v>
      </c>
      <c r="Y23" s="11" t="n">
        <v>0</v>
      </c>
      <c r="Z23" s="38" t="n">
        <v>48</v>
      </c>
      <c r="AA23" s="12" t="n">
        <v>11</v>
      </c>
      <c r="AB23" s="13" t="n">
        <f aca="false">AB22+1</f>
        <v>14</v>
      </c>
      <c r="AC23" s="14" t="n">
        <v>49</v>
      </c>
      <c r="AD23" s="29" t="n">
        <v>4080</v>
      </c>
      <c r="AE23" s="0" t="n">
        <v>59.81</v>
      </c>
    </row>
    <row r="24" customFormat="false" ht="11.1" hidden="false" customHeight="true" outlineLevel="0" collapsed="false">
      <c r="A24" s="13" t="n">
        <f aca="false">A23+1</f>
        <v>15</v>
      </c>
      <c r="B24" s="27" t="n">
        <v>6907.54</v>
      </c>
      <c r="C24" s="8" t="n">
        <v>312254</v>
      </c>
      <c r="D24" s="12" t="n">
        <f aca="false">C24-C23</f>
        <v>40</v>
      </c>
      <c r="E24" s="8" t="n">
        <f aca="false">C24-152000</f>
        <v>160254</v>
      </c>
      <c r="F24" s="7" t="n">
        <f aca="false">D24/$D$2</f>
        <v>20.1714573877963</v>
      </c>
      <c r="G24" s="7" t="n">
        <v>53.5914573877963</v>
      </c>
      <c r="H24" s="9" t="n">
        <v>0</v>
      </c>
      <c r="I24" s="7" t="n">
        <f aca="false">G25+H24</f>
        <v>72.8343419062027</v>
      </c>
      <c r="J24" s="38"/>
      <c r="K24" s="7" t="n">
        <f aca="false">I24+J24</f>
        <v>72.8343419062027</v>
      </c>
      <c r="L24" s="7" t="n">
        <f aca="false">F24-(I24-V24)</f>
        <v>-19.2428845184065</v>
      </c>
      <c r="M24" s="7" t="n">
        <v>3.72</v>
      </c>
      <c r="N24" s="7" t="n">
        <v>0</v>
      </c>
      <c r="O24" s="7"/>
      <c r="P24" s="7" t="n">
        <f aca="false">SUM(M24:O24)</f>
        <v>3.72</v>
      </c>
      <c r="Q24" s="8"/>
      <c r="R24" s="7"/>
      <c r="S24" s="7"/>
      <c r="T24" s="7" t="n">
        <v>29.7</v>
      </c>
      <c r="U24" s="8" t="n">
        <f aca="false">U23-T24</f>
        <v>11282.8433148475</v>
      </c>
      <c r="V24" s="7" t="n">
        <f aca="false">P24+R24+S24+T24</f>
        <v>33.42</v>
      </c>
      <c r="W24" s="7"/>
      <c r="X24" s="7" t="n">
        <f aca="false">V24+W24</f>
        <v>33.42</v>
      </c>
      <c r="Y24" s="11" t="n">
        <v>0</v>
      </c>
      <c r="Z24" s="38" t="n">
        <v>51</v>
      </c>
      <c r="AA24" s="12" t="n">
        <v>12</v>
      </c>
      <c r="AB24" s="13" t="n">
        <f aca="false">AB23+1</f>
        <v>15</v>
      </c>
      <c r="AC24" s="14" t="n">
        <v>49</v>
      </c>
      <c r="AD24" s="29" t="n">
        <v>4110</v>
      </c>
      <c r="AE24" s="0" t="n">
        <v>29.1</v>
      </c>
    </row>
    <row r="25" customFormat="false" ht="11.1" hidden="false" customHeight="true" outlineLevel="0" collapsed="false">
      <c r="A25" s="13" t="n">
        <f aca="false">A24+1</f>
        <v>16</v>
      </c>
      <c r="B25" s="27" t="n">
        <v>6907.56</v>
      </c>
      <c r="C25" s="8" t="n">
        <v>312332</v>
      </c>
      <c r="D25" s="12" t="n">
        <f aca="false">C25-C24</f>
        <v>78</v>
      </c>
      <c r="E25" s="8" t="n">
        <f aca="false">C25-152000</f>
        <v>160332</v>
      </c>
      <c r="F25" s="7" t="n">
        <f aca="false">D25/$D$2</f>
        <v>39.3343419062027</v>
      </c>
      <c r="G25" s="7" t="n">
        <v>72.8343419062027</v>
      </c>
      <c r="H25" s="9" t="n">
        <v>0</v>
      </c>
      <c r="I25" s="7" t="n">
        <f aca="false">G26+H25</f>
        <v>73.4686283408976</v>
      </c>
      <c r="J25" s="38"/>
      <c r="K25" s="7" t="n">
        <f aca="false">I25+J25</f>
        <v>73.4686283408976</v>
      </c>
      <c r="L25" s="7" t="n">
        <f aca="false">F25-(I25-V25)</f>
        <v>-0.6342864346949</v>
      </c>
      <c r="M25" s="7" t="n">
        <v>3.72</v>
      </c>
      <c r="N25" s="7" t="n">
        <v>0</v>
      </c>
      <c r="O25" s="7"/>
      <c r="P25" s="7" t="n">
        <f aca="false">SUM(M25:O25)</f>
        <v>3.72</v>
      </c>
      <c r="Q25" s="8"/>
      <c r="R25" s="7"/>
      <c r="S25" s="7"/>
      <c r="T25" s="7" t="n">
        <v>29.78</v>
      </c>
      <c r="U25" s="8" t="n">
        <f aca="false">U24-T25</f>
        <v>11253.0633148475</v>
      </c>
      <c r="V25" s="7" t="n">
        <f aca="false">P25+R25+S25+T25</f>
        <v>33.5</v>
      </c>
      <c r="W25" s="7"/>
      <c r="X25" s="7" t="n">
        <f aca="false">V25+W25</f>
        <v>33.5</v>
      </c>
      <c r="Y25" s="11" t="n">
        <v>0</v>
      </c>
      <c r="Z25" s="38" t="n">
        <v>52</v>
      </c>
      <c r="AA25" s="12" t="n">
        <v>24</v>
      </c>
      <c r="AB25" s="13" t="n">
        <f aca="false">AB24+1</f>
        <v>16</v>
      </c>
      <c r="AC25" s="14" t="n">
        <v>49</v>
      </c>
      <c r="AD25" s="29" t="n">
        <v>4140</v>
      </c>
      <c r="AE25" s="0" t="n">
        <v>26.14</v>
      </c>
    </row>
    <row r="26" customFormat="false" ht="11.1" hidden="false" customHeight="true" outlineLevel="0" collapsed="false">
      <c r="A26" s="13" t="n">
        <f aca="false">A25+1</f>
        <v>17</v>
      </c>
      <c r="B26" s="27" t="n">
        <v>6907.58</v>
      </c>
      <c r="C26" s="8" t="n">
        <v>312411</v>
      </c>
      <c r="D26" s="12" t="n">
        <f aca="false">C26-C25</f>
        <v>79</v>
      </c>
      <c r="E26" s="8" t="n">
        <f aca="false">C26-152000</f>
        <v>160411</v>
      </c>
      <c r="F26" s="7" t="n">
        <f aca="false">D26/$D$2</f>
        <v>39.8386283408976</v>
      </c>
      <c r="G26" s="7" t="n">
        <v>73.4686283408976</v>
      </c>
      <c r="H26" s="9" t="n">
        <v>0</v>
      </c>
      <c r="I26" s="7" t="n">
        <f aca="false">G27+H26</f>
        <v>52.8228845184065</v>
      </c>
      <c r="J26" s="38"/>
      <c r="K26" s="7" t="n">
        <f aca="false">I26+J26</f>
        <v>52.8228845184065</v>
      </c>
      <c r="L26" s="7" t="n">
        <f aca="false">F26-(I26-V26)</f>
        <v>20.6457438224912</v>
      </c>
      <c r="M26" s="7" t="n">
        <v>3.76</v>
      </c>
      <c r="N26" s="7" t="n">
        <v>0</v>
      </c>
      <c r="O26" s="7"/>
      <c r="P26" s="7" t="n">
        <f aca="false">SUM(M26:O26)</f>
        <v>3.76</v>
      </c>
      <c r="Q26" s="8"/>
      <c r="R26" s="7"/>
      <c r="S26" s="7"/>
      <c r="T26" s="7" t="n">
        <v>29.87</v>
      </c>
      <c r="U26" s="8" t="n">
        <f aca="false">U25-T26</f>
        <v>11223.1933148475</v>
      </c>
      <c r="V26" s="7" t="n">
        <f aca="false">P26+R26+S26+T26</f>
        <v>33.63</v>
      </c>
      <c r="W26" s="7"/>
      <c r="X26" s="7" t="n">
        <f aca="false">V26+W26</f>
        <v>33.63</v>
      </c>
      <c r="Y26" s="11" t="n">
        <v>0</v>
      </c>
      <c r="Z26" s="38" t="n">
        <v>44</v>
      </c>
      <c r="AA26" s="12" t="n">
        <v>26</v>
      </c>
      <c r="AB26" s="13" t="n">
        <f aca="false">AB25+1</f>
        <v>17</v>
      </c>
      <c r="AC26" s="14" t="n">
        <v>49</v>
      </c>
      <c r="AD26" s="44" t="n">
        <v>4170</v>
      </c>
      <c r="AE26" s="0" t="n">
        <v>26.41</v>
      </c>
    </row>
    <row r="27" customFormat="false" ht="11.1" hidden="false" customHeight="true" outlineLevel="0" collapsed="false">
      <c r="A27" s="13" t="n">
        <f aca="false">A26+1</f>
        <v>18</v>
      </c>
      <c r="B27" s="27" t="n">
        <v>6907.59</v>
      </c>
      <c r="C27" s="8" t="n">
        <v>312449</v>
      </c>
      <c r="D27" s="12" t="n">
        <f aca="false">C27-C26</f>
        <v>38</v>
      </c>
      <c r="E27" s="8" t="n">
        <f aca="false">C27-152000</f>
        <v>160449</v>
      </c>
      <c r="F27" s="7" t="n">
        <f aca="false">D27/$D$2</f>
        <v>19.1628845184065</v>
      </c>
      <c r="G27" s="7" t="n">
        <v>52.8228845184065</v>
      </c>
      <c r="H27" s="9" t="n">
        <v>0</v>
      </c>
      <c r="I27" s="7" t="n">
        <f aca="false">G27+H27</f>
        <v>52.8228845184065</v>
      </c>
      <c r="J27" s="38"/>
      <c r="K27" s="7" t="n">
        <f aca="false">I27+J27</f>
        <v>52.8228845184065</v>
      </c>
      <c r="L27" s="7" t="n">
        <f aca="false">F27-(I27-V27)</f>
        <v>0</v>
      </c>
      <c r="M27" s="7" t="n">
        <v>3.72</v>
      </c>
      <c r="N27" s="7" t="n">
        <v>0</v>
      </c>
      <c r="O27" s="7"/>
      <c r="P27" s="7" t="n">
        <f aca="false">SUM(M27:O27)</f>
        <v>3.72</v>
      </c>
      <c r="Q27" s="8"/>
      <c r="R27" s="7"/>
      <c r="S27" s="7"/>
      <c r="T27" s="7" t="n">
        <v>29.94</v>
      </c>
      <c r="U27" s="8" t="n">
        <f aca="false">U26-T27</f>
        <v>11193.2533148475</v>
      </c>
      <c r="V27" s="7" t="n">
        <f aca="false">P27+R27+S27+T27</f>
        <v>33.66</v>
      </c>
      <c r="W27" s="7"/>
      <c r="X27" s="7" t="n">
        <f aca="false">V27+W27</f>
        <v>33.66</v>
      </c>
      <c r="Y27" s="11" t="n">
        <v>0</v>
      </c>
      <c r="Z27" s="38" t="n">
        <v>38</v>
      </c>
      <c r="AA27" s="12" t="n">
        <v>22</v>
      </c>
      <c r="AB27" s="13" t="n">
        <f aca="false">AB26+1</f>
        <v>18</v>
      </c>
      <c r="AC27" s="14" t="n">
        <v>49</v>
      </c>
      <c r="AD27" s="29" t="n">
        <v>4195</v>
      </c>
      <c r="AE27" s="0" t="n">
        <v>25.38</v>
      </c>
    </row>
    <row r="28" customFormat="false" ht="11.1" hidden="false" customHeight="true" outlineLevel="0" collapsed="false">
      <c r="A28" s="13" t="n">
        <f aca="false">A27+1</f>
        <v>19</v>
      </c>
      <c r="B28" s="27" t="n">
        <v>6907.64</v>
      </c>
      <c r="C28" s="8" t="n">
        <v>312646</v>
      </c>
      <c r="D28" s="12" t="n">
        <f aca="false">C28-C27</f>
        <v>197</v>
      </c>
      <c r="E28" s="8" t="n">
        <f aca="false">C28-152000</f>
        <v>160646</v>
      </c>
      <c r="F28" s="7" t="n">
        <f aca="false">D28/$D$2</f>
        <v>99.3444276348966</v>
      </c>
      <c r="G28" s="7" t="n">
        <v>132.764427634897</v>
      </c>
      <c r="H28" s="9" t="n">
        <v>0</v>
      </c>
      <c r="I28" s="7" t="n">
        <f aca="false">G28+H28</f>
        <v>132.764427634897</v>
      </c>
      <c r="J28" s="38"/>
      <c r="K28" s="7" t="n">
        <f aca="false">I28+J28</f>
        <v>132.764427634897</v>
      </c>
      <c r="L28" s="7" t="n">
        <f aca="false">F28-(I28-V28)</f>
        <v>0</v>
      </c>
      <c r="M28" s="7" t="n">
        <v>3.72</v>
      </c>
      <c r="N28" s="7" t="n">
        <v>0</v>
      </c>
      <c r="O28" s="7"/>
      <c r="P28" s="7" t="n">
        <f aca="false">SUM(M28:O28)</f>
        <v>3.72</v>
      </c>
      <c r="Q28" s="8"/>
      <c r="R28" s="7"/>
      <c r="S28" s="7"/>
      <c r="T28" s="7" t="n">
        <v>29.7</v>
      </c>
      <c r="U28" s="8" t="n">
        <f aca="false">U27-T28</f>
        <v>11163.5533148475</v>
      </c>
      <c r="V28" s="7" t="n">
        <f aca="false">P28+R28+S28+T28</f>
        <v>33.42</v>
      </c>
      <c r="W28" s="7"/>
      <c r="X28" s="7" t="n">
        <f aca="false">V28+W28</f>
        <v>33.42</v>
      </c>
      <c r="Y28" s="11" t="n">
        <v>0.4</v>
      </c>
      <c r="Z28" s="38" t="n">
        <v>40</v>
      </c>
      <c r="AA28" s="12" t="n">
        <v>17</v>
      </c>
      <c r="AB28" s="13" t="n">
        <f aca="false">AB27+1</f>
        <v>19</v>
      </c>
      <c r="AC28" s="14" t="n">
        <v>49</v>
      </c>
      <c r="AD28" s="29" t="n">
        <v>4218</v>
      </c>
      <c r="AE28" s="0" t="n">
        <v>23.79</v>
      </c>
    </row>
    <row r="29" customFormat="false" ht="11.1" hidden="false" customHeight="true" outlineLevel="0" collapsed="false">
      <c r="A29" s="13" t="n">
        <f aca="false">A28+1</f>
        <v>20</v>
      </c>
      <c r="B29" s="27" t="n">
        <v>6907.65</v>
      </c>
      <c r="C29" s="8" t="n">
        <v>312684</v>
      </c>
      <c r="D29" s="12" t="n">
        <f aca="false">C29-C28</f>
        <v>38</v>
      </c>
      <c r="E29" s="8" t="n">
        <f aca="false">C29-152000</f>
        <v>160684</v>
      </c>
      <c r="F29" s="7" t="n">
        <f aca="false">D29/$D$2</f>
        <v>19.1628845184065</v>
      </c>
      <c r="G29" s="7" t="n">
        <v>52.5928845184064</v>
      </c>
      <c r="H29" s="9" t="n">
        <v>0</v>
      </c>
      <c r="I29" s="7" t="n">
        <f aca="false">G29+H29</f>
        <v>52.5928845184064</v>
      </c>
      <c r="J29" s="38"/>
      <c r="K29" s="7" t="n">
        <f aca="false">I29+J29</f>
        <v>52.5928845184064</v>
      </c>
      <c r="L29" s="7" t="n">
        <f aca="false">F29-(I29-V29)</f>
        <v>0</v>
      </c>
      <c r="M29" s="7" t="n">
        <v>3.73</v>
      </c>
      <c r="N29" s="7" t="n">
        <v>0</v>
      </c>
      <c r="O29" s="7"/>
      <c r="P29" s="7" t="n">
        <f aca="false">SUM(M29:O29)</f>
        <v>3.73</v>
      </c>
      <c r="Q29" s="8"/>
      <c r="R29" s="7"/>
      <c r="S29" s="7"/>
      <c r="T29" s="7" t="n">
        <v>29.7</v>
      </c>
      <c r="U29" s="8" t="n">
        <f aca="false">U28-T29</f>
        <v>11133.8533148475</v>
      </c>
      <c r="V29" s="7" t="n">
        <f aca="false">P29+R29+S29+T29</f>
        <v>33.43</v>
      </c>
      <c r="W29" s="7"/>
      <c r="X29" s="7" t="n">
        <f aca="false">V29+W29</f>
        <v>33.43</v>
      </c>
      <c r="Y29" s="11" t="n">
        <v>0</v>
      </c>
      <c r="Z29" s="38" t="n">
        <v>36</v>
      </c>
      <c r="AA29" s="12" t="n">
        <v>20</v>
      </c>
      <c r="AB29" s="13" t="n">
        <f aca="false">AB28+1</f>
        <v>20</v>
      </c>
      <c r="AC29" s="14" t="n">
        <v>49</v>
      </c>
      <c r="AD29" s="29" t="n">
        <v>4275</v>
      </c>
      <c r="AE29" s="0" t="n">
        <v>23.99</v>
      </c>
    </row>
    <row r="30" customFormat="false" ht="11.1" hidden="false" customHeight="true" outlineLevel="0" collapsed="false">
      <c r="A30" s="13" t="n">
        <f aca="false">A29+1</f>
        <v>21</v>
      </c>
      <c r="B30" s="27" t="n">
        <v>6907.66</v>
      </c>
      <c r="C30" s="8" t="n">
        <v>312725</v>
      </c>
      <c r="D30" s="12" t="n">
        <f aca="false">C30-C29</f>
        <v>41</v>
      </c>
      <c r="E30" s="8" t="n">
        <f aca="false">C30-152000</f>
        <v>160725</v>
      </c>
      <c r="F30" s="7" t="n">
        <f aca="false">D30/$D$2</f>
        <v>20.6757438224912</v>
      </c>
      <c r="G30" s="7" t="n">
        <v>54.0957438224912</v>
      </c>
      <c r="H30" s="9" t="n">
        <v>0</v>
      </c>
      <c r="I30" s="7" t="n">
        <f aca="false">G30+H30</f>
        <v>54.0957438224912</v>
      </c>
      <c r="J30" s="38"/>
      <c r="K30" s="7" t="n">
        <f aca="false">I30+J30</f>
        <v>54.0957438224912</v>
      </c>
      <c r="L30" s="7" t="n">
        <f aca="false">F30-(I30-V30)</f>
        <v>0</v>
      </c>
      <c r="M30" s="7" t="n">
        <v>3.72</v>
      </c>
      <c r="N30" s="7" t="n">
        <v>0</v>
      </c>
      <c r="O30" s="7"/>
      <c r="P30" s="7" t="n">
        <f aca="false">SUM(M30:O30)</f>
        <v>3.72</v>
      </c>
      <c r="Q30" s="8"/>
      <c r="R30" s="7"/>
      <c r="S30" s="7"/>
      <c r="T30" s="7" t="n">
        <v>29.7</v>
      </c>
      <c r="U30" s="8" t="n">
        <f aca="false">U29-T30</f>
        <v>11104.1533148475</v>
      </c>
      <c r="V30" s="7" t="n">
        <f aca="false">P30+R30+S30+T30</f>
        <v>33.42</v>
      </c>
      <c r="W30" s="7"/>
      <c r="X30" s="7" t="n">
        <f aca="false">V30+W30</f>
        <v>33.42</v>
      </c>
      <c r="Y30" s="11" t="n">
        <v>0.18</v>
      </c>
      <c r="Z30" s="12" t="n">
        <v>41</v>
      </c>
      <c r="AA30" s="12" t="n">
        <v>23</v>
      </c>
      <c r="AB30" s="13" t="n">
        <f aca="false">AB29+1</f>
        <v>21</v>
      </c>
      <c r="AC30" s="14" t="n">
        <v>49</v>
      </c>
      <c r="AD30" s="29" t="n">
        <v>4290</v>
      </c>
      <c r="AE30" s="0" t="n">
        <v>21.64</v>
      </c>
    </row>
    <row r="31" customFormat="false" ht="11.1" hidden="false" customHeight="true" outlineLevel="0" collapsed="false">
      <c r="A31" s="13" t="n">
        <f aca="false">A30+1</f>
        <v>22</v>
      </c>
      <c r="B31" s="27" t="n">
        <v>6907.67</v>
      </c>
      <c r="C31" s="8" t="n">
        <v>312763</v>
      </c>
      <c r="D31" s="12" t="n">
        <f aca="false">C31-C30</f>
        <v>38</v>
      </c>
      <c r="E31" s="8" t="n">
        <f aca="false">C31-152000</f>
        <v>160763</v>
      </c>
      <c r="F31" s="7" t="n">
        <f aca="false">D31/$D$2</f>
        <v>19.1628845184065</v>
      </c>
      <c r="G31" s="7" t="n">
        <v>52.5828845184065</v>
      </c>
      <c r="H31" s="9" t="n">
        <v>0</v>
      </c>
      <c r="I31" s="7" t="n">
        <f aca="false">G31+H31</f>
        <v>52.5828845184065</v>
      </c>
      <c r="J31" s="38"/>
      <c r="K31" s="7" t="n">
        <f aca="false">I31+J31</f>
        <v>52.5828845184065</v>
      </c>
      <c r="L31" s="7" t="n">
        <f aca="false">F31-(I31-V31)</f>
        <v>0</v>
      </c>
      <c r="M31" s="7" t="n">
        <v>3.72</v>
      </c>
      <c r="N31" s="7" t="n">
        <v>0</v>
      </c>
      <c r="O31" s="7"/>
      <c r="P31" s="7" t="n">
        <f aca="false">SUM(M31:O31)</f>
        <v>3.72</v>
      </c>
      <c r="Q31" s="8"/>
      <c r="R31" s="7"/>
      <c r="S31" s="7"/>
      <c r="T31" s="7" t="n">
        <v>29.7</v>
      </c>
      <c r="U31" s="8" t="n">
        <f aca="false">U30-T31</f>
        <v>11074.4533148475</v>
      </c>
      <c r="V31" s="7" t="n">
        <f aca="false">P31+R31+S31+T31</f>
        <v>33.42</v>
      </c>
      <c r="W31" s="7"/>
      <c r="X31" s="7" t="n">
        <f aca="false">V31+W31</f>
        <v>33.42</v>
      </c>
      <c r="Y31" s="11" t="n">
        <v>0.15</v>
      </c>
      <c r="Z31" s="12" t="n">
        <v>36</v>
      </c>
      <c r="AA31" s="12" t="n">
        <v>26</v>
      </c>
      <c r="AB31" s="13" t="n">
        <f aca="false">AB30+1</f>
        <v>22</v>
      </c>
      <c r="AC31" s="14" t="n">
        <v>49</v>
      </c>
      <c r="AD31" s="29" t="n">
        <v>4305</v>
      </c>
      <c r="AE31" s="0" t="n">
        <v>25.53</v>
      </c>
    </row>
    <row r="32" customFormat="false" ht="11.1" hidden="false" customHeight="true" outlineLevel="0" collapsed="false">
      <c r="A32" s="13" t="n">
        <f aca="false">A31+1</f>
        <v>23</v>
      </c>
      <c r="B32" s="27" t="n">
        <v>6907.68</v>
      </c>
      <c r="C32" s="8" t="n">
        <v>312803</v>
      </c>
      <c r="D32" s="12" t="n">
        <f aca="false">C32-C31</f>
        <v>40</v>
      </c>
      <c r="E32" s="8" t="n">
        <f aca="false">C32-152000</f>
        <v>160803</v>
      </c>
      <c r="F32" s="7" t="n">
        <f aca="false">D32/$D$2</f>
        <v>20.1714573877963</v>
      </c>
      <c r="G32" s="7" t="n">
        <v>53.5514573877963</v>
      </c>
      <c r="H32" s="9" t="n">
        <v>0</v>
      </c>
      <c r="I32" s="7" t="n">
        <f aca="false">G32+H32</f>
        <v>53.5514573877963</v>
      </c>
      <c r="J32" s="38"/>
      <c r="K32" s="7" t="n">
        <f aca="false">I32+J32</f>
        <v>53.5514573877963</v>
      </c>
      <c r="L32" s="7" t="n">
        <f aca="false">F32-(I32-V32)</f>
        <v>0</v>
      </c>
      <c r="M32" s="7" t="n">
        <v>3.68</v>
      </c>
      <c r="N32" s="7" t="n">
        <v>0</v>
      </c>
      <c r="O32" s="7"/>
      <c r="P32" s="7" t="n">
        <f aca="false">SUM(M32:O32)</f>
        <v>3.68</v>
      </c>
      <c r="Q32" s="8"/>
      <c r="R32" s="7"/>
      <c r="S32" s="7"/>
      <c r="T32" s="7" t="n">
        <v>29.7</v>
      </c>
      <c r="U32" s="8" t="n">
        <f aca="false">U31-T32</f>
        <v>11044.7533148475</v>
      </c>
      <c r="V32" s="7" t="n">
        <f aca="false">P32+R32+S32+T32</f>
        <v>33.38</v>
      </c>
      <c r="W32" s="7"/>
      <c r="X32" s="7" t="n">
        <f aca="false">V32+W32</f>
        <v>33.38</v>
      </c>
      <c r="Y32" s="11" t="n">
        <v>0</v>
      </c>
      <c r="Z32" s="12" t="n">
        <v>34</v>
      </c>
      <c r="AA32" s="38" t="n">
        <v>4</v>
      </c>
      <c r="AB32" s="13" t="n">
        <f aca="false">AB31+1</f>
        <v>23</v>
      </c>
      <c r="AC32" s="14" t="n">
        <v>49</v>
      </c>
      <c r="AD32" s="29" t="n">
        <v>4320</v>
      </c>
      <c r="AE32" s="0" t="n">
        <v>20.66</v>
      </c>
    </row>
    <row r="33" customFormat="false" ht="11.1" hidden="false" customHeight="true" outlineLevel="0" collapsed="false">
      <c r="A33" s="13" t="n">
        <f aca="false">A32+1</f>
        <v>24</v>
      </c>
      <c r="B33" s="27" t="n">
        <v>6907.7</v>
      </c>
      <c r="C33" s="8" t="n">
        <v>312881</v>
      </c>
      <c r="D33" s="12" t="n">
        <f aca="false">C33-C32</f>
        <v>78</v>
      </c>
      <c r="E33" s="8" t="n">
        <f aca="false">C33-152000</f>
        <v>160881</v>
      </c>
      <c r="F33" s="7" t="n">
        <f aca="false">D33/$D$2</f>
        <v>39.3343419062027</v>
      </c>
      <c r="G33" s="7" t="n">
        <v>72.7543419062027</v>
      </c>
      <c r="H33" s="9" t="n">
        <v>0</v>
      </c>
      <c r="I33" s="7" t="n">
        <f aca="false">G33+H33</f>
        <v>72.7543419062027</v>
      </c>
      <c r="J33" s="38"/>
      <c r="K33" s="7" t="n">
        <f aca="false">I33+J33</f>
        <v>72.7543419062027</v>
      </c>
      <c r="L33" s="7" t="n">
        <f aca="false">F33-(I33-V33)</f>
        <v>0</v>
      </c>
      <c r="M33" s="7" t="n">
        <v>3.72</v>
      </c>
      <c r="N33" s="7" t="n">
        <v>0</v>
      </c>
      <c r="O33" s="7"/>
      <c r="P33" s="7" t="n">
        <f aca="false">SUM(M33:O33)</f>
        <v>3.72</v>
      </c>
      <c r="Q33" s="8"/>
      <c r="R33" s="7"/>
      <c r="S33" s="7"/>
      <c r="T33" s="7" t="n">
        <v>29.7</v>
      </c>
      <c r="U33" s="8" t="n">
        <f aca="false">U32-T33</f>
        <v>11015.0533148475</v>
      </c>
      <c r="V33" s="7" t="n">
        <f aca="false">P33+R33+S33+T33</f>
        <v>33.42</v>
      </c>
      <c r="W33" s="7"/>
      <c r="X33" s="7" t="n">
        <f aca="false">V33+W33</f>
        <v>33.42</v>
      </c>
      <c r="Y33" s="11" t="n">
        <v>0</v>
      </c>
      <c r="Z33" s="12" t="n">
        <v>47</v>
      </c>
      <c r="AA33" s="38" t="n">
        <v>12</v>
      </c>
      <c r="AB33" s="13" t="n">
        <f aca="false">AB32+1</f>
        <v>24</v>
      </c>
      <c r="AC33" s="14" t="n">
        <v>49</v>
      </c>
      <c r="AD33" s="29" t="n">
        <v>4335</v>
      </c>
      <c r="AE33" s="0" t="n">
        <v>20.3</v>
      </c>
    </row>
    <row r="34" customFormat="false" ht="11.1" hidden="false" customHeight="true" outlineLevel="0" collapsed="false">
      <c r="A34" s="13" t="n">
        <f aca="false">A33+1</f>
        <v>25</v>
      </c>
      <c r="B34" s="27" t="n">
        <v>6907.72</v>
      </c>
      <c r="C34" s="8" t="n">
        <v>312960</v>
      </c>
      <c r="D34" s="12" t="n">
        <f aca="false">C34-C33</f>
        <v>79</v>
      </c>
      <c r="E34" s="8" t="n">
        <f aca="false">C34-152000</f>
        <v>160960</v>
      </c>
      <c r="F34" s="7" t="n">
        <f aca="false">D34/$D$2</f>
        <v>39.8386283408976</v>
      </c>
      <c r="G34" s="7" t="n">
        <v>73.2586283408976</v>
      </c>
      <c r="H34" s="9" t="n">
        <v>0</v>
      </c>
      <c r="I34" s="7" t="n">
        <f aca="false">G34+H34</f>
        <v>73.2586283408976</v>
      </c>
      <c r="J34" s="38"/>
      <c r="K34" s="7" t="n">
        <f aca="false">I34+J34</f>
        <v>73.2586283408976</v>
      </c>
      <c r="L34" s="7" t="n">
        <f aca="false">F34-(I34-V34)</f>
        <v>0</v>
      </c>
      <c r="M34" s="7" t="n">
        <v>3.72</v>
      </c>
      <c r="N34" s="7" t="n">
        <v>0</v>
      </c>
      <c r="O34" s="7"/>
      <c r="P34" s="7" t="n">
        <f aca="false">SUM(M34:O34)</f>
        <v>3.72</v>
      </c>
      <c r="Q34" s="8"/>
      <c r="R34" s="7"/>
      <c r="S34" s="7"/>
      <c r="T34" s="7" t="n">
        <v>29.7</v>
      </c>
      <c r="U34" s="8" t="n">
        <f aca="false">U33-T34</f>
        <v>10985.3533148475</v>
      </c>
      <c r="V34" s="7" t="n">
        <f aca="false">P34+R34+S34+T34</f>
        <v>33.42</v>
      </c>
      <c r="W34" s="7"/>
      <c r="X34" s="7" t="n">
        <f aca="false">V34+W34</f>
        <v>33.42</v>
      </c>
      <c r="Y34" s="11" t="n">
        <v>0</v>
      </c>
      <c r="Z34" s="12" t="n">
        <v>56</v>
      </c>
      <c r="AA34" s="38" t="n">
        <v>18</v>
      </c>
      <c r="AB34" s="13" t="n">
        <f aca="false">AB33+1</f>
        <v>25</v>
      </c>
      <c r="AC34" s="14" t="n">
        <v>49</v>
      </c>
      <c r="AD34" s="29" t="n">
        <v>4360</v>
      </c>
      <c r="AE34" s="0" t="n">
        <v>19.78</v>
      </c>
    </row>
    <row r="35" customFormat="false" ht="11.1" hidden="false" customHeight="true" outlineLevel="0" collapsed="false">
      <c r="A35" s="13" t="n">
        <f aca="false">A34+1</f>
        <v>26</v>
      </c>
      <c r="B35" s="27" t="n">
        <v>6907.74</v>
      </c>
      <c r="C35" s="8" t="n">
        <v>313038</v>
      </c>
      <c r="D35" s="12" t="n">
        <f aca="false">C35-C34</f>
        <v>78</v>
      </c>
      <c r="E35" s="8" t="n">
        <f aca="false">C35-152000</f>
        <v>161038</v>
      </c>
      <c r="F35" s="7" t="n">
        <f aca="false">D35/$D$2</f>
        <v>39.3343419062027</v>
      </c>
      <c r="G35" s="7" t="n">
        <v>72.7543419062027</v>
      </c>
      <c r="H35" s="9" t="n">
        <v>0</v>
      </c>
      <c r="I35" s="7" t="n">
        <f aca="false">G35+H35</f>
        <v>72.7543419062027</v>
      </c>
      <c r="J35" s="38"/>
      <c r="K35" s="7" t="n">
        <f aca="false">I35+J35</f>
        <v>72.7543419062027</v>
      </c>
      <c r="L35" s="7" t="n">
        <f aca="false">F35-(I35-V35)</f>
        <v>0</v>
      </c>
      <c r="M35" s="7" t="n">
        <v>3.72</v>
      </c>
      <c r="N35" s="7" t="n">
        <v>0</v>
      </c>
      <c r="O35" s="7"/>
      <c r="P35" s="7" t="n">
        <f aca="false">SUM(M35:O35)</f>
        <v>3.72</v>
      </c>
      <c r="Q35" s="8"/>
      <c r="R35" s="7"/>
      <c r="S35" s="7"/>
      <c r="T35" s="7" t="n">
        <v>29.7</v>
      </c>
      <c r="U35" s="8" t="n">
        <f aca="false">U34-T35</f>
        <v>10955.6533148475</v>
      </c>
      <c r="V35" s="7" t="n">
        <f aca="false">P35+R35+S35+T35</f>
        <v>33.42</v>
      </c>
      <c r="W35" s="7"/>
      <c r="X35" s="7" t="n">
        <f aca="false">V35+W35</f>
        <v>33.42</v>
      </c>
      <c r="Y35" s="11" t="n">
        <v>0</v>
      </c>
      <c r="Z35" s="12" t="n">
        <v>59</v>
      </c>
      <c r="AA35" s="12" t="n">
        <v>22</v>
      </c>
      <c r="AB35" s="13" t="n">
        <f aca="false">AB34+1</f>
        <v>26</v>
      </c>
      <c r="AC35" s="14" t="n">
        <v>49</v>
      </c>
      <c r="AD35" s="29" t="n">
        <v>4385</v>
      </c>
      <c r="AE35" s="0" t="n">
        <v>20.79</v>
      </c>
    </row>
    <row r="36" customFormat="false" ht="11.1" hidden="false" customHeight="true" outlineLevel="0" collapsed="false">
      <c r="A36" s="13" t="n">
        <f aca="false">A35+1</f>
        <v>27</v>
      </c>
      <c r="B36" s="27" t="n">
        <v>6907.75</v>
      </c>
      <c r="C36" s="8" t="n">
        <v>313077</v>
      </c>
      <c r="D36" s="12" t="n">
        <f aca="false">C36-C35</f>
        <v>39</v>
      </c>
      <c r="E36" s="8" t="n">
        <f aca="false">C36-152000</f>
        <v>161077</v>
      </c>
      <c r="F36" s="7" t="n">
        <f aca="false">D36/$D$2</f>
        <v>19.6671709531014</v>
      </c>
      <c r="G36" s="7" t="n">
        <v>53.0871709531014</v>
      </c>
      <c r="H36" s="9" t="n">
        <v>0</v>
      </c>
      <c r="I36" s="7" t="n">
        <f aca="false">G36+H36</f>
        <v>53.0871709531014</v>
      </c>
      <c r="J36" s="38"/>
      <c r="K36" s="7" t="n">
        <f aca="false">I36+J36</f>
        <v>53.0871709531014</v>
      </c>
      <c r="L36" s="7" t="n">
        <f aca="false">F36-(I36-V36)</f>
        <v>0</v>
      </c>
      <c r="M36" s="7" t="n">
        <v>3.72</v>
      </c>
      <c r="N36" s="7" t="n">
        <v>0</v>
      </c>
      <c r="O36" s="7"/>
      <c r="P36" s="7" t="n">
        <f aca="false">SUM(M36:O36)</f>
        <v>3.72</v>
      </c>
      <c r="Q36" s="8"/>
      <c r="R36" s="7"/>
      <c r="S36" s="7"/>
      <c r="T36" s="7" t="n">
        <v>29.7</v>
      </c>
      <c r="U36" s="8" t="n">
        <f aca="false">U35-T36</f>
        <v>10925.9533148475</v>
      </c>
      <c r="V36" s="7" t="n">
        <f aca="false">P36+R36+S36+T36</f>
        <v>33.42</v>
      </c>
      <c r="W36" s="7"/>
      <c r="X36" s="7" t="n">
        <f aca="false">V36+W36</f>
        <v>33.42</v>
      </c>
      <c r="Y36" s="11" t="n">
        <v>0.01</v>
      </c>
      <c r="Z36" s="12" t="n">
        <v>53</v>
      </c>
      <c r="AA36" s="12" t="n">
        <v>30</v>
      </c>
      <c r="AB36" s="13" t="n">
        <f aca="false">AB35+1</f>
        <v>27</v>
      </c>
      <c r="AC36" s="14" t="n">
        <v>49</v>
      </c>
      <c r="AD36" s="29" t="n">
        <v>4410</v>
      </c>
      <c r="AE36" s="0" t="n">
        <v>21.41</v>
      </c>
    </row>
    <row r="37" customFormat="false" ht="11.1" hidden="false" customHeight="true" outlineLevel="0" collapsed="false">
      <c r="A37" s="13" t="n">
        <f aca="false">A36+1</f>
        <v>28</v>
      </c>
      <c r="B37" s="27" t="n">
        <v>6907.77</v>
      </c>
      <c r="C37" s="8" t="n">
        <v>313155</v>
      </c>
      <c r="D37" s="12" t="n">
        <f aca="false">C37-C36</f>
        <v>78</v>
      </c>
      <c r="E37" s="8" t="n">
        <f aca="false">C37-152000</f>
        <v>161155</v>
      </c>
      <c r="F37" s="7" t="n">
        <f aca="false">D37/$D$2</f>
        <v>39.3343419062027</v>
      </c>
      <c r="G37" s="7" t="n">
        <v>74.1843419062027</v>
      </c>
      <c r="H37" s="9" t="n">
        <v>0</v>
      </c>
      <c r="I37" s="7" t="n">
        <f aca="false">G37+H37</f>
        <v>74.1843419062027</v>
      </c>
      <c r="J37" s="38"/>
      <c r="K37" s="7" t="n">
        <f aca="false">I37+J37</f>
        <v>74.1843419062027</v>
      </c>
      <c r="L37" s="7" t="n">
        <f aca="false">F37-(I37-V37)</f>
        <v>0</v>
      </c>
      <c r="M37" s="7" t="n">
        <v>5.12</v>
      </c>
      <c r="N37" s="7" t="n">
        <v>0</v>
      </c>
      <c r="O37" s="7"/>
      <c r="P37" s="7" t="n">
        <f aca="false">SUM(M37:O37)</f>
        <v>5.12</v>
      </c>
      <c r="Q37" s="8"/>
      <c r="R37" s="7"/>
      <c r="S37" s="7"/>
      <c r="T37" s="7" t="n">
        <v>29.73</v>
      </c>
      <c r="U37" s="8" t="n">
        <f aca="false">U36-T37</f>
        <v>10896.2233148475</v>
      </c>
      <c r="V37" s="7" t="n">
        <f aca="false">P37+R37+S37+T37</f>
        <v>34.85</v>
      </c>
      <c r="W37" s="7"/>
      <c r="X37" s="7" t="n">
        <f aca="false">V37+W37</f>
        <v>34.85</v>
      </c>
      <c r="Y37" s="11" t="n">
        <v>0</v>
      </c>
      <c r="Z37" s="12" t="n">
        <v>56</v>
      </c>
      <c r="AA37" s="12" t="n">
        <v>32</v>
      </c>
      <c r="AB37" s="13" t="n">
        <f aca="false">AB36+1</f>
        <v>28</v>
      </c>
      <c r="AC37" s="14" t="n">
        <v>49</v>
      </c>
      <c r="AD37" s="29" t="n">
        <v>4435</v>
      </c>
      <c r="AE37" s="0" t="n">
        <v>21.23</v>
      </c>
    </row>
    <row r="38" customFormat="false" ht="3" hidden="false" customHeight="true" outlineLevel="0" collapsed="false">
      <c r="A38" s="30"/>
      <c r="B38" s="30"/>
      <c r="C38" s="32"/>
      <c r="D38" s="30"/>
      <c r="E38" s="32"/>
      <c r="F38" s="30"/>
      <c r="G38" s="30"/>
      <c r="H38" s="33"/>
      <c r="I38" s="30"/>
      <c r="J38" s="30"/>
      <c r="K38" s="30"/>
      <c r="L38" s="30"/>
      <c r="M38" s="30"/>
      <c r="N38" s="30"/>
      <c r="O38" s="30"/>
      <c r="P38" s="30"/>
      <c r="Q38" s="32"/>
      <c r="R38" s="30"/>
      <c r="S38" s="30"/>
      <c r="T38" s="30"/>
      <c r="U38" s="30"/>
      <c r="V38" s="30"/>
      <c r="W38" s="30"/>
      <c r="X38" s="30"/>
      <c r="Y38" s="34"/>
      <c r="Z38" s="35" t="n">
        <v>73</v>
      </c>
      <c r="AA38" s="35"/>
      <c r="AB38" s="36"/>
      <c r="AC38" s="14"/>
      <c r="AD38" s="14"/>
    </row>
    <row r="39" customFormat="false" ht="11.1" hidden="false" customHeight="true" outlineLevel="0" collapsed="false">
      <c r="A39" s="7" t="s">
        <v>44</v>
      </c>
      <c r="B39" s="7"/>
      <c r="C39" s="8"/>
      <c r="D39" s="8"/>
      <c r="E39" s="8"/>
      <c r="F39" s="8" t="n">
        <f aca="false">SUM(F10:F37)</f>
        <v>908.724155320222</v>
      </c>
      <c r="G39" s="8" t="n">
        <f aca="false">SUM(G10:G37)</f>
        <v>1851.43415532022</v>
      </c>
      <c r="H39" s="8" t="n">
        <f aca="false">SUM(H10:H37)</f>
        <v>0</v>
      </c>
      <c r="I39" s="8" t="n">
        <f aca="false">SUM(I10:I37)</f>
        <v>1850.62558245083</v>
      </c>
      <c r="J39" s="8" t="n">
        <f aca="false">SUM(J10:J37)</f>
        <v>0</v>
      </c>
      <c r="K39" s="8" t="n">
        <f aca="false">SUM(K10:K37)</f>
        <v>1850.62558245083</v>
      </c>
      <c r="L39" s="8" t="n">
        <f aca="false">SUM(L10:L37)</f>
        <v>0.80857286938982</v>
      </c>
      <c r="M39" s="8" t="n">
        <f aca="false">SUM(M10:M37)</f>
        <v>105.88</v>
      </c>
      <c r="N39" s="8" t="n">
        <f aca="false">SUM(N10:N37)</f>
        <v>0</v>
      </c>
      <c r="O39" s="8" t="n">
        <f aca="false">SUM(O10:O37)</f>
        <v>0</v>
      </c>
      <c r="P39" s="8" t="n">
        <f aca="false">SUM(P10:P37)</f>
        <v>105.88</v>
      </c>
      <c r="Q39" s="8"/>
      <c r="R39" s="8" t="n">
        <f aca="false">SUM(R10:R37)</f>
        <v>0</v>
      </c>
      <c r="S39" s="8" t="n">
        <f aca="false">SUM(S10:S37)</f>
        <v>0</v>
      </c>
      <c r="T39" s="8" t="n">
        <f aca="false">SUM(T10:T37)</f>
        <v>836.83</v>
      </c>
      <c r="U39" s="8"/>
      <c r="V39" s="8" t="n">
        <f aca="false">SUM(V10:V37)</f>
        <v>942.71</v>
      </c>
      <c r="W39" s="8" t="n">
        <f aca="false">SUM(W10:W37)</f>
        <v>0</v>
      </c>
      <c r="X39" s="8" t="n">
        <f aca="false">SUM(X10:X37)</f>
        <v>942.71</v>
      </c>
      <c r="Y39" s="11" t="n">
        <f aca="false">SUM(Y10:Y37)</f>
        <v>2.1</v>
      </c>
      <c r="Z39" s="12" t="n">
        <f aca="false">AVERAGE(Z10:Z37)</f>
        <v>42.3928571428572</v>
      </c>
      <c r="AA39" s="12" t="n">
        <f aca="false">AVERAGE(AA10:AA37)</f>
        <v>17.2142857142857</v>
      </c>
      <c r="AB39" s="13"/>
      <c r="AC39" s="14"/>
      <c r="AD39" s="14"/>
    </row>
    <row r="40" customFormat="false" ht="11.1" hidden="false" customHeight="true" outlineLevel="0" collapsed="false">
      <c r="A40" s="7" t="s">
        <v>45</v>
      </c>
      <c r="B40" s="7"/>
      <c r="C40" s="8"/>
      <c r="D40" s="8" t="n">
        <f aca="false">SUM(D10:D37)</f>
        <v>1802</v>
      </c>
      <c r="E40" s="8"/>
      <c r="F40" s="8" t="n">
        <f aca="false">F39*$D$2</f>
        <v>1802</v>
      </c>
      <c r="G40" s="8" t="n">
        <f aca="false">G39*$D$2</f>
        <v>3671.39393</v>
      </c>
      <c r="H40" s="8" t="n">
        <f aca="false">H39*$D$2</f>
        <v>0</v>
      </c>
      <c r="I40" s="8" t="n">
        <f aca="false">I39*$D$2</f>
        <v>3669.79053</v>
      </c>
      <c r="J40" s="8" t="n">
        <f aca="false">J39*$D$2</f>
        <v>0</v>
      </c>
      <c r="K40" s="8" t="n">
        <f aca="false">K39*$D$2</f>
        <v>3669.79053</v>
      </c>
      <c r="L40" s="8" t="n">
        <f aca="false">L39*$D$2</f>
        <v>1.60340000000001</v>
      </c>
      <c r="M40" s="8" t="n">
        <f aca="false">M39*$D$2</f>
        <v>209.96004</v>
      </c>
      <c r="N40" s="8" t="n">
        <f aca="false">N39*$D$2</f>
        <v>0</v>
      </c>
      <c r="O40" s="8" t="n">
        <f aca="false">O39*$D$2</f>
        <v>0</v>
      </c>
      <c r="P40" s="8" t="n">
        <f aca="false">P39*$D$2</f>
        <v>209.96004</v>
      </c>
      <c r="Q40" s="8"/>
      <c r="R40" s="8" t="n">
        <f aca="false">R39*$D$2</f>
        <v>0</v>
      </c>
      <c r="S40" s="8" t="n">
        <f aca="false">S39*$D$2</f>
        <v>0</v>
      </c>
      <c r="T40" s="8" t="n">
        <f aca="false">T39*$D$2</f>
        <v>1659.43389</v>
      </c>
      <c r="U40" s="8" t="n">
        <f aca="false">U39*$D$2</f>
        <v>0</v>
      </c>
      <c r="V40" s="8" t="n">
        <f aca="false">V39*$D$2</f>
        <v>1869.39393</v>
      </c>
      <c r="W40" s="8" t="n">
        <f aca="false">W39*$D$2</f>
        <v>0</v>
      </c>
      <c r="X40" s="8" t="n">
        <f aca="false">X39*$D$2</f>
        <v>1869.39393</v>
      </c>
      <c r="Y40" s="11"/>
      <c r="Z40" s="12" t="n">
        <f aca="false">MAX(Z10:Z37)</f>
        <v>59</v>
      </c>
      <c r="AA40" s="12" t="n">
        <f aca="false">MAX(AA10:AA37)</f>
        <v>32</v>
      </c>
      <c r="AB40" s="13" t="s">
        <v>46</v>
      </c>
      <c r="AC40" s="14"/>
      <c r="AD40" s="14"/>
    </row>
    <row r="41" customFormat="false" ht="3" hidden="false" customHeight="true" outlineLevel="0" collapsed="false">
      <c r="A41" s="30"/>
      <c r="B41" s="30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0"/>
      <c r="V41" s="32"/>
      <c r="W41" s="32"/>
      <c r="X41" s="32"/>
      <c r="Y41" s="11"/>
      <c r="Z41" s="12"/>
      <c r="AA41" s="12"/>
      <c r="AB41" s="13"/>
      <c r="AC41" s="14"/>
      <c r="AD41" s="14"/>
    </row>
    <row r="42" customFormat="false" ht="11.1" hidden="false" customHeight="true" outlineLevel="0" collapsed="false">
      <c r="A42" s="7" t="s">
        <v>47</v>
      </c>
      <c r="B42" s="7"/>
      <c r="C42" s="8"/>
      <c r="D42" s="8"/>
      <c r="E42" s="8"/>
      <c r="F42" s="8"/>
      <c r="G42" s="8"/>
      <c r="H42" s="12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11"/>
      <c r="Z42" s="12" t="n">
        <f aca="false">MIN(Z10:Z37)</f>
        <v>28</v>
      </c>
      <c r="AA42" s="12" t="n">
        <f aca="false">MIN(AA10:AA37)</f>
        <v>-10</v>
      </c>
      <c r="AB42" s="13" t="s">
        <v>48</v>
      </c>
      <c r="AC42" s="14"/>
      <c r="AD42" s="14"/>
    </row>
    <row r="43" customFormat="false" ht="11.1" hidden="false" customHeight="true" outlineLevel="0" collapsed="false">
      <c r="A43" s="7" t="s">
        <v>49</v>
      </c>
      <c r="B43" s="7"/>
      <c r="C43" s="8"/>
      <c r="D43" s="8"/>
      <c r="E43" s="8"/>
      <c r="F43" s="8"/>
      <c r="G43" s="8"/>
      <c r="H43" s="12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11"/>
      <c r="Z43" s="12"/>
      <c r="AA43" s="12"/>
      <c r="AB43" s="13"/>
      <c r="AC43" s="14"/>
      <c r="AD43" s="14"/>
    </row>
    <row r="44" customFormat="false" ht="3" hidden="false" customHeight="true" outlineLevel="0" collapsed="false">
      <c r="A44" s="30"/>
      <c r="B44" s="30"/>
      <c r="C44" s="32"/>
      <c r="D44" s="32"/>
      <c r="E44" s="32"/>
      <c r="F44" s="32"/>
      <c r="G44" s="32"/>
      <c r="H44" s="35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4"/>
      <c r="Z44" s="12"/>
      <c r="AA44" s="12"/>
      <c r="AB44" s="13"/>
      <c r="AC44" s="14"/>
      <c r="AD44" s="14"/>
    </row>
    <row r="45" customFormat="false" ht="11.1" hidden="false" customHeight="true" outlineLevel="0" collapsed="false">
      <c r="A45" s="7" t="s">
        <v>50</v>
      </c>
      <c r="B45" s="7"/>
      <c r="C45" s="8"/>
      <c r="D45" s="8"/>
      <c r="E45" s="8"/>
      <c r="F45" s="8" t="n">
        <f aca="false">F8+F39</f>
        <v>1244.57892082703</v>
      </c>
      <c r="G45" s="8" t="n">
        <f aca="false">G8+G39</f>
        <v>6362.41149773071</v>
      </c>
      <c r="H45" s="12" t="n">
        <f aca="false">H8+H39</f>
        <v>0</v>
      </c>
      <c r="I45" s="8" t="n">
        <f aca="false">I8+I39</f>
        <v>6361.60292486132</v>
      </c>
      <c r="J45" s="8" t="n">
        <f aca="false">J8+J39</f>
        <v>49.2957690368129</v>
      </c>
      <c r="K45" s="8" t="n">
        <f aca="false">K8+K39</f>
        <v>6410.89869389813</v>
      </c>
      <c r="L45" s="8" t="n">
        <f aca="false">L8+L39</f>
        <v>-418.544004034291</v>
      </c>
      <c r="M45" s="8" t="n">
        <f aca="false">M8+M39</f>
        <v>679.15</v>
      </c>
      <c r="N45" s="8" t="n">
        <f aca="false">N8+N39</f>
        <v>0</v>
      </c>
      <c r="O45" s="8" t="n">
        <f aca="false">O8+O39</f>
        <v>0</v>
      </c>
      <c r="P45" s="8" t="n">
        <f aca="false">P8+P39</f>
        <v>679.15</v>
      </c>
      <c r="Q45" s="8"/>
      <c r="R45" s="8" t="n">
        <f aca="false">R8+R39</f>
        <v>0</v>
      </c>
      <c r="S45" s="8" t="n">
        <f aca="false">S8+S39</f>
        <v>0</v>
      </c>
      <c r="T45" s="8" t="n">
        <f aca="false">T8+T39</f>
        <v>4019.33</v>
      </c>
      <c r="U45" s="8" t="n">
        <f aca="false">U37</f>
        <v>10896.2233148475</v>
      </c>
      <c r="V45" s="8" t="n">
        <f aca="false">V8+V39</f>
        <v>4698.48</v>
      </c>
      <c r="W45" s="8" t="n">
        <f aca="false">W8+W39</f>
        <v>489.78776096823</v>
      </c>
      <c r="X45" s="8" t="n">
        <f aca="false">X8+X39</f>
        <v>5188.26776096823</v>
      </c>
      <c r="Y45" s="28" t="n">
        <f aca="false">Y8+Y39</f>
        <v>5.45</v>
      </c>
      <c r="Z45" s="12"/>
      <c r="AA45" s="12"/>
      <c r="AB45" s="13"/>
      <c r="AC45" s="14"/>
      <c r="AD45" s="14"/>
    </row>
    <row r="46" customFormat="false" ht="11.1" hidden="false" customHeight="true" outlineLevel="0" collapsed="false">
      <c r="A46" s="7" t="s">
        <v>51</v>
      </c>
      <c r="B46" s="7"/>
      <c r="C46" s="8"/>
      <c r="D46" s="8" t="n">
        <f aca="false">D8+D40</f>
        <v>2468</v>
      </c>
      <c r="E46" s="8" t="n">
        <f aca="false">E37</f>
        <v>161155</v>
      </c>
      <c r="F46" s="8" t="n">
        <f aca="false">F45*$D$2</f>
        <v>2468</v>
      </c>
      <c r="G46" s="8" t="n">
        <f aca="false">G45*$D$2</f>
        <v>12616.662</v>
      </c>
      <c r="H46" s="12" t="n">
        <f aca="false">H45*$D$2</f>
        <v>0</v>
      </c>
      <c r="I46" s="8" t="n">
        <f aca="false">I45*$D$2</f>
        <v>12615.0586</v>
      </c>
      <c r="J46" s="8" t="n">
        <f aca="false">J45*$D$2</f>
        <v>97.75351</v>
      </c>
      <c r="K46" s="8" t="n">
        <f aca="false">K45*$D$2</f>
        <v>12712.81211</v>
      </c>
      <c r="L46" s="8" t="n">
        <f aca="false">L45*$D$2</f>
        <v>-829.97276</v>
      </c>
      <c r="M46" s="8" t="n">
        <f aca="false">M45*$D$2</f>
        <v>1346.75445</v>
      </c>
      <c r="N46" s="8" t="n">
        <f aca="false">N45*$D$2</f>
        <v>0</v>
      </c>
      <c r="O46" s="8" t="n">
        <f aca="false">O45*$D$2</f>
        <v>0</v>
      </c>
      <c r="P46" s="8" t="n">
        <f aca="false">P45*$D$2</f>
        <v>1346.75445</v>
      </c>
      <c r="Q46" s="8" t="n">
        <f aca="false">Q45*$D$2</f>
        <v>0</v>
      </c>
      <c r="R46" s="8" t="n">
        <f aca="false">R45*$D$2</f>
        <v>0</v>
      </c>
      <c r="S46" s="8" t="n">
        <f aca="false">S45*$D$2</f>
        <v>0</v>
      </c>
      <c r="T46" s="8" t="n">
        <f aca="false">T45*$D$2</f>
        <v>7970.33139</v>
      </c>
      <c r="U46" s="8" t="n">
        <f aca="false">U45*$D$2</f>
        <v>21607.2108333426</v>
      </c>
      <c r="V46" s="8" t="n">
        <f aca="false">V45*$D$2</f>
        <v>9317.08584</v>
      </c>
      <c r="W46" s="8" t="n">
        <f aca="false">W45*$D$2</f>
        <v>971.24913</v>
      </c>
      <c r="X46" s="8" t="n">
        <f aca="false">X45*$D$2</f>
        <v>10288.33497</v>
      </c>
      <c r="Y46" s="11"/>
      <c r="Z46" s="12"/>
      <c r="AA46" s="12"/>
      <c r="AB46" s="13"/>
      <c r="AC46" s="14"/>
      <c r="AD46" s="14"/>
    </row>
    <row r="47" customFormat="false" ht="3" hidden="false" customHeight="true" outlineLevel="0" collapsed="false">
      <c r="A47" s="30"/>
      <c r="B47" s="30"/>
      <c r="C47" s="32"/>
      <c r="D47" s="30"/>
      <c r="E47" s="32"/>
      <c r="F47" s="30"/>
      <c r="G47" s="30"/>
      <c r="H47" s="33"/>
      <c r="I47" s="30"/>
      <c r="J47" s="30"/>
      <c r="K47" s="30"/>
      <c r="L47" s="30"/>
      <c r="M47" s="30"/>
      <c r="N47" s="30"/>
      <c r="O47" s="30"/>
      <c r="P47" s="30"/>
      <c r="Q47" s="32"/>
      <c r="R47" s="30"/>
      <c r="S47" s="30"/>
      <c r="T47" s="30"/>
      <c r="U47" s="32"/>
      <c r="V47" s="30"/>
      <c r="W47" s="30"/>
      <c r="X47" s="30"/>
      <c r="Y47" s="11"/>
      <c r="Z47" s="12"/>
      <c r="AA47" s="12"/>
      <c r="AB47" s="13"/>
      <c r="AC47" s="14"/>
      <c r="AD47" s="14"/>
    </row>
    <row r="48" customFormat="false" ht="11.1" hidden="false" customHeight="true" outlineLevel="0" collapsed="false">
      <c r="A48" s="7"/>
      <c r="B48" s="40"/>
      <c r="C48" s="8"/>
      <c r="D48" s="7"/>
      <c r="E48" s="8"/>
      <c r="F48" s="7"/>
      <c r="G48" s="7"/>
      <c r="H48" s="9"/>
      <c r="I48" s="7"/>
      <c r="J48" s="7"/>
      <c r="K48" s="7"/>
      <c r="L48" s="7"/>
      <c r="M48" s="7"/>
      <c r="N48" s="7"/>
      <c r="O48" s="7"/>
      <c r="P48" s="7"/>
      <c r="Q48" s="8"/>
      <c r="R48" s="7"/>
      <c r="S48" s="7"/>
      <c r="T48" s="7"/>
      <c r="U48" s="8"/>
      <c r="V48" s="7"/>
      <c r="W48" s="7"/>
      <c r="X48" s="7"/>
      <c r="Y48" s="11"/>
      <c r="Z48" s="12"/>
      <c r="AA48" s="12"/>
      <c r="AB48" s="13"/>
      <c r="AC48" s="14"/>
      <c r="AD48" s="14"/>
    </row>
    <row r="49" customFormat="false" ht="11.1" hidden="false" customHeight="true" outlineLevel="0" collapsed="false">
      <c r="A49" s="7"/>
      <c r="B49" s="27"/>
      <c r="C49" s="8"/>
      <c r="D49" s="38"/>
      <c r="E49" s="8"/>
      <c r="F49" s="7"/>
      <c r="G49" s="7"/>
      <c r="H49" s="38"/>
      <c r="I49" s="9"/>
      <c r="J49" s="7"/>
      <c r="K49" s="41"/>
      <c r="L49" s="7"/>
      <c r="M49" s="7"/>
      <c r="N49" s="7"/>
      <c r="O49" s="7"/>
      <c r="P49" s="7"/>
      <c r="Q49" s="8"/>
      <c r="R49" s="7"/>
      <c r="S49" s="7"/>
      <c r="T49" s="7"/>
      <c r="U49" s="8"/>
      <c r="V49" s="7"/>
      <c r="W49" s="7"/>
      <c r="X49" s="7"/>
      <c r="Y49" s="11"/>
      <c r="Z49" s="12"/>
      <c r="AA49" s="12"/>
      <c r="AB49" s="13"/>
      <c r="AC49" s="14"/>
      <c r="AD49" s="14"/>
    </row>
    <row r="50" customFormat="false" ht="3" hidden="false" customHeight="true" outlineLevel="0" collapsed="false">
      <c r="A50" s="38"/>
      <c r="B50" s="38"/>
      <c r="C50" s="8"/>
      <c r="D50" s="8"/>
      <c r="E50" s="8"/>
      <c r="F50" s="38"/>
      <c r="G50" s="38"/>
      <c r="H50" s="9"/>
      <c r="I50" s="38"/>
      <c r="J50" s="38"/>
      <c r="K50" s="38"/>
      <c r="L50" s="38"/>
      <c r="M50" s="28"/>
      <c r="N50" s="38"/>
      <c r="O50" s="38"/>
      <c r="P50" s="38"/>
      <c r="Q50" s="8"/>
      <c r="R50" s="38"/>
      <c r="S50" s="38"/>
      <c r="T50" s="38"/>
      <c r="U50" s="8"/>
      <c r="V50" s="38"/>
      <c r="W50" s="38"/>
      <c r="X50" s="38"/>
      <c r="Y50" s="11"/>
      <c r="Z50" s="12"/>
      <c r="AA50" s="12"/>
      <c r="AB50" s="13"/>
      <c r="AC50" s="42"/>
      <c r="AD50" s="42"/>
    </row>
    <row r="51" customFormat="false" ht="11.1" hidden="false" customHeight="true" outlineLevel="0" collapsed="false">
      <c r="A51" s="38"/>
      <c r="B51" s="11"/>
      <c r="C51" s="8"/>
      <c r="D51" s="8"/>
      <c r="E51" s="8"/>
      <c r="F51" s="38"/>
      <c r="G51" s="38"/>
      <c r="H51" s="9"/>
      <c r="I51" s="38"/>
      <c r="J51" s="38"/>
      <c r="K51" s="38"/>
      <c r="L51" s="38"/>
      <c r="M51" s="28"/>
      <c r="N51" s="38"/>
      <c r="O51" s="38"/>
      <c r="P51" s="38"/>
      <c r="Q51" s="8"/>
      <c r="R51" s="38"/>
      <c r="S51" s="38"/>
      <c r="T51" s="38"/>
      <c r="U51" s="8"/>
      <c r="V51" s="38"/>
      <c r="W51" s="38"/>
      <c r="X51" s="38"/>
      <c r="Y51" s="11"/>
      <c r="Z51" s="12"/>
      <c r="AA51" s="12"/>
      <c r="AB51" s="13"/>
      <c r="AC51" s="42"/>
      <c r="AD51" s="42"/>
    </row>
    <row r="52" customFormat="false" ht="11.1" hidden="false" customHeight="true" outlineLevel="0" collapsed="false">
      <c r="A52" s="38"/>
      <c r="B52" s="38"/>
      <c r="C52" s="8"/>
      <c r="D52" s="38"/>
      <c r="E52" s="8"/>
      <c r="F52" s="38"/>
      <c r="G52" s="43"/>
      <c r="H52" s="9"/>
      <c r="I52" s="38"/>
      <c r="J52" s="38"/>
      <c r="K52" s="38"/>
      <c r="L52" s="38"/>
      <c r="M52" s="28"/>
      <c r="N52" s="38"/>
      <c r="O52" s="38"/>
      <c r="P52" s="38"/>
      <c r="Q52" s="8"/>
      <c r="R52" s="38"/>
      <c r="S52" s="38"/>
      <c r="T52" s="38"/>
      <c r="U52" s="8"/>
      <c r="V52" s="38"/>
      <c r="W52" s="38"/>
      <c r="X52" s="38"/>
      <c r="Y52" s="11"/>
      <c r="Z52" s="12"/>
      <c r="AA52" s="12"/>
      <c r="AB52" s="13"/>
      <c r="AC52" s="42"/>
      <c r="AD52" s="42"/>
    </row>
  </sheetData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5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I10" activePane="bottomRight" state="frozen"/>
      <selection pane="topLeft" activeCell="A4" activeCellId="0" sqref="A4"/>
      <selection pane="topRight" activeCell="I4" activeCellId="0" sqref="I4"/>
      <selection pane="bottomLeft" activeCell="A10" activeCellId="0" sqref="A10"/>
      <selection pane="bottomRight" activeCell="X10" activeCellId="0" sqref="X1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32"/>
    <col collapsed="false" customWidth="true" hidden="false" outlineLevel="0" max="4" min="4" style="0" width="6.82"/>
    <col collapsed="false" customWidth="true" hidden="false" outlineLevel="0" max="5" min="5" style="1" width="7.32"/>
    <col collapsed="false" customWidth="true" hidden="false" outlineLevel="0" max="6" min="6" style="0" width="7.66"/>
    <col collapsed="false" customWidth="true" hidden="false" outlineLevel="0" max="7" min="7" style="0" width="7.32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1" min="10" style="0" width="6.32"/>
    <col collapsed="false" customWidth="true" hidden="false" outlineLevel="0" max="12" min="12" style="0" width="6.49"/>
    <col collapsed="false" customWidth="true" hidden="false" outlineLevel="0" max="13" min="13" style="3" width="7.49"/>
    <col collapsed="false" customWidth="true" hidden="false" outlineLevel="0" max="14" min="14" style="0" width="5.82"/>
    <col collapsed="false" customWidth="true" hidden="false" outlineLevel="0" max="15" min="15" style="0" width="7.16"/>
    <col collapsed="false" customWidth="true" hidden="false" outlineLevel="0" max="16" min="16" style="0" width="6.66"/>
    <col collapsed="false" customWidth="true" hidden="false" outlineLevel="0" max="17" min="17" style="1" width="6.66"/>
    <col collapsed="false" customWidth="true" hidden="false" outlineLevel="0" max="18" min="18" style="0" width="5.82"/>
    <col collapsed="false" customWidth="true" hidden="false" outlineLevel="0" max="20" min="19" style="0" width="7.49"/>
    <col collapsed="false" customWidth="true" hidden="false" outlineLevel="0" max="21" min="21" style="1" width="6.32"/>
    <col collapsed="false" customWidth="true" hidden="false" outlineLevel="0" max="24" min="22" style="0" width="7.82"/>
    <col collapsed="false" customWidth="true" hidden="false" outlineLevel="0" max="25" min="25" style="4" width="5.66"/>
    <col collapsed="false" customWidth="true" hidden="false" outlineLevel="0" max="27" min="26" style="5" width="5.66"/>
    <col collapsed="false" customWidth="true" hidden="false" outlineLevel="0" max="28" min="28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8"/>
      <c r="R1" s="7"/>
      <c r="S1" s="7"/>
      <c r="T1" s="7"/>
      <c r="U1" s="8"/>
      <c r="V1" s="7"/>
      <c r="W1" s="7"/>
      <c r="X1" s="7"/>
      <c r="Y1" s="11"/>
      <c r="Z1" s="12"/>
      <c r="AA1" s="12"/>
      <c r="AB1" s="13"/>
      <c r="AC1" s="14"/>
      <c r="AD1" s="14"/>
    </row>
    <row r="2" customFormat="false" ht="14.1" hidden="false" customHeight="true" outlineLevel="0" collapsed="false">
      <c r="A2" s="7" t="s">
        <v>1</v>
      </c>
      <c r="B2" s="7"/>
      <c r="C2" s="8"/>
      <c r="D2" s="15" t="n">
        <v>1.983</v>
      </c>
      <c r="E2" s="8"/>
      <c r="F2" s="7"/>
      <c r="G2" s="7"/>
      <c r="H2" s="9"/>
      <c r="I2" s="7"/>
      <c r="J2" s="7"/>
      <c r="K2" s="45" t="s">
        <v>58</v>
      </c>
      <c r="L2" s="45"/>
      <c r="M2" s="45"/>
      <c r="N2" s="45"/>
      <c r="O2" s="45"/>
      <c r="P2" s="45"/>
      <c r="Q2" s="45"/>
      <c r="R2" s="45"/>
      <c r="S2" s="45"/>
      <c r="T2" s="7"/>
      <c r="U2" s="8"/>
      <c r="V2" s="7"/>
      <c r="W2" s="7"/>
      <c r="X2" s="7"/>
      <c r="Y2" s="11"/>
      <c r="Z2" s="12"/>
      <c r="AA2" s="12"/>
      <c r="AB2" s="13"/>
      <c r="AC2" s="14"/>
      <c r="AD2" s="14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8"/>
      <c r="R3" s="7"/>
      <c r="S3" s="7"/>
      <c r="T3" s="7"/>
      <c r="U3" s="8"/>
      <c r="V3" s="7"/>
      <c r="W3" s="7"/>
      <c r="X3" s="7"/>
      <c r="Y3" s="11"/>
      <c r="Z3" s="12"/>
      <c r="AA3" s="12"/>
      <c r="AB3" s="13"/>
      <c r="AC3" s="14"/>
      <c r="AD3" s="14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6" t="s">
        <v>8</v>
      </c>
      <c r="N4" s="16" t="s">
        <v>13</v>
      </c>
      <c r="O4" s="16" t="s">
        <v>14</v>
      </c>
      <c r="P4" s="16" t="s">
        <v>12</v>
      </c>
      <c r="Q4" s="17" t="s">
        <v>13</v>
      </c>
      <c r="R4" s="16" t="s">
        <v>15</v>
      </c>
      <c r="S4" s="16" t="s">
        <v>16</v>
      </c>
      <c r="T4" s="16" t="s">
        <v>17</v>
      </c>
      <c r="U4" s="17" t="s">
        <v>18</v>
      </c>
      <c r="V4" s="16" t="s">
        <v>10</v>
      </c>
      <c r="W4" s="16" t="s">
        <v>11</v>
      </c>
      <c r="X4" s="16" t="s">
        <v>12</v>
      </c>
      <c r="Y4" s="19" t="s">
        <v>19</v>
      </c>
      <c r="Z4" s="20" t="s">
        <v>20</v>
      </c>
      <c r="AA4" s="20" t="s">
        <v>21</v>
      </c>
      <c r="AB4" s="20" t="s">
        <v>3</v>
      </c>
      <c r="AC4" s="14"/>
      <c r="AD4" s="14"/>
    </row>
    <row r="5" customFormat="false" ht="11.1" hidden="false" customHeight="true" outlineLevel="0" collapsed="false">
      <c r="A5" s="21" t="s">
        <v>59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16" t="s">
        <v>13</v>
      </c>
      <c r="Q5" s="17" t="s">
        <v>34</v>
      </c>
      <c r="R5" s="16" t="s">
        <v>35</v>
      </c>
      <c r="S5" s="16" t="s">
        <v>36</v>
      </c>
      <c r="T5" s="16" t="s">
        <v>37</v>
      </c>
      <c r="U5" s="17" t="s">
        <v>38</v>
      </c>
      <c r="V5" s="16" t="s">
        <v>39</v>
      </c>
      <c r="W5" s="16" t="s">
        <v>39</v>
      </c>
      <c r="X5" s="16" t="s">
        <v>39</v>
      </c>
      <c r="Y5" s="22"/>
      <c r="Z5" s="20" t="s">
        <v>40</v>
      </c>
      <c r="AA5" s="20" t="s">
        <v>40</v>
      </c>
      <c r="AB5" s="23" t="s">
        <v>59</v>
      </c>
      <c r="AC5" s="14"/>
      <c r="AD5" s="14"/>
    </row>
    <row r="6" customFormat="false" ht="11.1" hidden="false" customHeight="true" outlineLevel="0" collapsed="false">
      <c r="A6" s="24"/>
      <c r="B6" s="24"/>
      <c r="C6" s="25"/>
      <c r="D6" s="24"/>
      <c r="E6" s="25"/>
      <c r="F6" s="24"/>
      <c r="G6" s="24"/>
      <c r="H6" s="26"/>
      <c r="I6" s="24"/>
      <c r="J6" s="24"/>
      <c r="K6" s="24"/>
      <c r="L6" s="24"/>
      <c r="M6" s="24"/>
      <c r="N6" s="24"/>
      <c r="O6" s="24"/>
      <c r="P6" s="24"/>
      <c r="Q6" s="25"/>
      <c r="R6" s="24"/>
      <c r="S6" s="24"/>
      <c r="T6" s="24"/>
      <c r="U6" s="25"/>
      <c r="V6" s="24"/>
      <c r="W6" s="24"/>
      <c r="X6" s="24"/>
      <c r="Y6" s="11"/>
      <c r="Z6" s="13"/>
      <c r="AA6" s="13"/>
      <c r="AB6" s="13"/>
      <c r="AC6" s="14" t="n">
        <v>741</v>
      </c>
      <c r="AD6" s="14" t="n">
        <v>742</v>
      </c>
    </row>
    <row r="7" customFormat="false" ht="11.1" hidden="false" customHeight="true" outlineLevel="0" collapsed="false">
      <c r="A7" s="7" t="s">
        <v>41</v>
      </c>
      <c r="B7" s="7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1"/>
      <c r="Z7" s="12"/>
      <c r="AA7" s="12"/>
      <c r="AB7" s="13"/>
      <c r="AC7" s="14"/>
    </row>
    <row r="8" s="1" customFormat="true" ht="11.1" hidden="false" customHeight="true" outlineLevel="0" collapsed="false">
      <c r="A8" s="8" t="s">
        <v>42</v>
      </c>
      <c r="B8" s="27" t="n">
        <v>6907.77</v>
      </c>
      <c r="C8" s="8" t="n">
        <v>313155</v>
      </c>
      <c r="D8" s="8" t="n">
        <f aca="false" t="array" ref="D8:E8">[3]RIVER024!$D$46:$E$46</f>
        <v>2468</v>
      </c>
      <c r="E8" s="8" t="n">
        <v>161155</v>
      </c>
      <c r="F8" s="8" t="n">
        <f aca="false" t="array" ref="F8:Y8">[3]RIVER024!$F$45:$Y$45</f>
        <v>1244.57892082703</v>
      </c>
      <c r="G8" s="8" t="n">
        <v>6362.41149773071</v>
      </c>
      <c r="H8" s="12" t="n">
        <v>0</v>
      </c>
      <c r="I8" s="8" t="n">
        <v>6361.60292486132</v>
      </c>
      <c r="J8" s="8" t="n">
        <v>49.2957690368129</v>
      </c>
      <c r="K8" s="8" t="n">
        <v>6410.89869389813</v>
      </c>
      <c r="L8" s="8" t="n">
        <v>-418.544004034291</v>
      </c>
      <c r="M8" s="8" t="n">
        <v>679.15</v>
      </c>
      <c r="N8" s="8" t="n">
        <v>0</v>
      </c>
      <c r="O8" s="8" t="n">
        <v>0</v>
      </c>
      <c r="P8" s="8" t="n">
        <v>679.15</v>
      </c>
      <c r="Q8" s="8" t="n">
        <v>0</v>
      </c>
      <c r="R8" s="8" t="n">
        <v>0</v>
      </c>
      <c r="S8" s="8" t="n">
        <v>0</v>
      </c>
      <c r="T8" s="8" t="n">
        <v>4019.33</v>
      </c>
      <c r="U8" s="8" t="n">
        <v>10896.2233148475</v>
      </c>
      <c r="V8" s="8" t="n">
        <v>4698.48</v>
      </c>
      <c r="W8" s="8" t="n">
        <v>489.78776096823</v>
      </c>
      <c r="X8" s="8" t="n">
        <v>5188.26776096823</v>
      </c>
      <c r="Y8" s="28" t="n">
        <v>5.45</v>
      </c>
      <c r="Z8" s="12"/>
      <c r="AA8" s="12"/>
      <c r="AB8" s="13"/>
      <c r="AC8" s="29" t="n">
        <v>927</v>
      </c>
      <c r="AD8" s="14" t="n">
        <v>2965</v>
      </c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33"/>
      <c r="I9" s="30"/>
      <c r="J9" s="30"/>
      <c r="K9" s="30"/>
      <c r="L9" s="30"/>
      <c r="M9" s="30"/>
      <c r="N9" s="30"/>
      <c r="O9" s="30"/>
      <c r="P9" s="30"/>
      <c r="Q9" s="32"/>
      <c r="R9" s="30"/>
      <c r="S9" s="30"/>
      <c r="T9" s="30"/>
      <c r="U9" s="32"/>
      <c r="V9" s="30"/>
      <c r="W9" s="30"/>
      <c r="X9" s="30"/>
      <c r="Y9" s="34"/>
      <c r="Z9" s="35"/>
      <c r="AA9" s="35"/>
      <c r="AB9" s="36"/>
      <c r="AC9" s="14"/>
      <c r="AD9" s="14"/>
    </row>
    <row r="10" customFormat="false" ht="11.1" hidden="false" customHeight="true" outlineLevel="0" collapsed="false">
      <c r="A10" s="13" t="n">
        <v>1</v>
      </c>
      <c r="B10" s="27" t="n">
        <v>6907.79</v>
      </c>
      <c r="C10" s="8" t="n">
        <v>313233</v>
      </c>
      <c r="D10" s="12" t="n">
        <f aca="false">C10-C8</f>
        <v>78</v>
      </c>
      <c r="E10" s="8" t="n">
        <f aca="false">C10-152000</f>
        <v>161233</v>
      </c>
      <c r="F10" s="7" t="n">
        <f aca="false">D10/$D$2</f>
        <v>39.3343419062027</v>
      </c>
      <c r="G10" s="7" t="n">
        <v>82.5</v>
      </c>
      <c r="H10" s="9" t="n">
        <v>0</v>
      </c>
      <c r="I10" s="7" t="n">
        <f aca="false">G10+H10</f>
        <v>82.5</v>
      </c>
      <c r="J10" s="38"/>
      <c r="K10" s="7" t="n">
        <f aca="false">I10+J10</f>
        <v>82.5</v>
      </c>
      <c r="L10" s="7" t="n">
        <f aca="false">F10-(I10-V10)</f>
        <v>0.0443419062027175</v>
      </c>
      <c r="M10" s="7" t="n">
        <v>5.41</v>
      </c>
      <c r="N10" s="7" t="n">
        <v>0</v>
      </c>
      <c r="O10" s="7"/>
      <c r="P10" s="7" t="n">
        <f aca="false">SUM(M10:O10)</f>
        <v>5.41</v>
      </c>
      <c r="Q10" s="8"/>
      <c r="R10" s="7"/>
      <c r="S10" s="7"/>
      <c r="T10" s="7" t="n">
        <v>37.8</v>
      </c>
      <c r="U10" s="8" t="n">
        <f aca="false">U8-T10</f>
        <v>10858.4233148475</v>
      </c>
      <c r="V10" s="7" t="n">
        <f aca="false">P10+R10+S10+T10</f>
        <v>43.21</v>
      </c>
      <c r="W10" s="7"/>
      <c r="X10" s="7" t="n">
        <f aca="false">V10+W10</f>
        <v>43.21</v>
      </c>
      <c r="Y10" s="11" t="n">
        <v>0</v>
      </c>
      <c r="Z10" s="12" t="n">
        <v>51</v>
      </c>
      <c r="AA10" s="12" t="n">
        <v>24</v>
      </c>
      <c r="AB10" s="13" t="n">
        <v>1</v>
      </c>
      <c r="AC10" s="0" t="n">
        <v>989</v>
      </c>
      <c r="AD10" s="29" t="n">
        <v>3056</v>
      </c>
      <c r="AE10" s="0" t="n">
        <v>7883</v>
      </c>
    </row>
    <row r="11" customFormat="false" ht="11.1" hidden="false" customHeight="true" outlineLevel="0" collapsed="false">
      <c r="A11" s="13" t="n">
        <f aca="false">A10+1</f>
        <v>2</v>
      </c>
      <c r="B11" s="27" t="n">
        <v>6907.81</v>
      </c>
      <c r="C11" s="8" t="n">
        <v>313312</v>
      </c>
      <c r="D11" s="12" t="n">
        <f aca="false">C11-C10</f>
        <v>79</v>
      </c>
      <c r="E11" s="8" t="n">
        <f aca="false">C11-152000</f>
        <v>161312</v>
      </c>
      <c r="F11" s="7" t="n">
        <f aca="false">D11/$D$2</f>
        <v>39.8386283408976</v>
      </c>
      <c r="G11" s="7" t="n">
        <v>87.2</v>
      </c>
      <c r="H11" s="9" t="n">
        <v>0</v>
      </c>
      <c r="I11" s="7" t="n">
        <f aca="false">G11+H11</f>
        <v>87.2</v>
      </c>
      <c r="J11" s="38"/>
      <c r="K11" s="7" t="n">
        <f aca="false">I11+J11</f>
        <v>87.2</v>
      </c>
      <c r="L11" s="7" t="n">
        <f aca="false">F11-(I11-V11)</f>
        <v>0.018628340897628</v>
      </c>
      <c r="M11" s="7" t="n">
        <v>5.13</v>
      </c>
      <c r="N11" s="7" t="n">
        <v>0</v>
      </c>
      <c r="O11" s="7"/>
      <c r="P11" s="7" t="n">
        <f aca="false">SUM(M11:O11)</f>
        <v>5.13</v>
      </c>
      <c r="Q11" s="8"/>
      <c r="R11" s="7"/>
      <c r="S11" s="7"/>
      <c r="T11" s="7" t="n">
        <v>42.25</v>
      </c>
      <c r="U11" s="8" t="n">
        <f aca="false">U10-T11</f>
        <v>10816.1733148475</v>
      </c>
      <c r="V11" s="7" t="n">
        <f aca="false">P11+R11+S11+T11</f>
        <v>47.38</v>
      </c>
      <c r="W11" s="7"/>
      <c r="X11" s="7" t="n">
        <f aca="false">V11+W11</f>
        <v>47.38</v>
      </c>
      <c r="Y11" s="11" t="n">
        <v>0</v>
      </c>
      <c r="Z11" s="12" t="n">
        <v>56</v>
      </c>
      <c r="AA11" s="12" t="n">
        <v>25</v>
      </c>
      <c r="AB11" s="13" t="n">
        <f aca="false">AB10+1</f>
        <v>2</v>
      </c>
      <c r="AC11" s="0" t="n">
        <v>1032</v>
      </c>
      <c r="AD11" s="29" t="n">
        <v>3153</v>
      </c>
    </row>
    <row r="12" customFormat="false" ht="11.1" hidden="false" customHeight="true" outlineLevel="0" collapsed="false">
      <c r="A12" s="13" t="n">
        <f aca="false">A11+1</f>
        <v>3</v>
      </c>
      <c r="B12" s="27" t="n">
        <v>6907.83</v>
      </c>
      <c r="C12" s="8" t="n">
        <v>313390</v>
      </c>
      <c r="D12" s="12" t="n">
        <f aca="false">C12-C11</f>
        <v>78</v>
      </c>
      <c r="E12" s="8" t="n">
        <f aca="false">C12-152000</f>
        <v>161390</v>
      </c>
      <c r="F12" s="7" t="n">
        <f aca="false">D12/$D$2</f>
        <v>39.3343419062027</v>
      </c>
      <c r="G12" s="7" t="n">
        <v>85.1</v>
      </c>
      <c r="H12" s="9" t="n">
        <v>0</v>
      </c>
      <c r="I12" s="7" t="n">
        <f aca="false">G12+H12</f>
        <v>85.1</v>
      </c>
      <c r="J12" s="38"/>
      <c r="K12" s="7" t="n">
        <f aca="false">I12+J12</f>
        <v>85.1</v>
      </c>
      <c r="L12" s="7" t="n">
        <f aca="false">F12-(I12-V12)</f>
        <v>0.00434190620273256</v>
      </c>
      <c r="M12" s="7" t="n">
        <v>5.13</v>
      </c>
      <c r="N12" s="7" t="n">
        <v>0</v>
      </c>
      <c r="O12" s="7"/>
      <c r="P12" s="7" t="n">
        <f aca="false">SUM(M12:O12)</f>
        <v>5.13</v>
      </c>
      <c r="Q12" s="8"/>
      <c r="R12" s="7"/>
      <c r="S12" s="7"/>
      <c r="T12" s="7" t="n">
        <v>40.64</v>
      </c>
      <c r="U12" s="8" t="n">
        <f aca="false">U11-T12</f>
        <v>10775.5333148475</v>
      </c>
      <c r="V12" s="7" t="n">
        <f aca="false">P12+R12+S12+T12</f>
        <v>45.77</v>
      </c>
      <c r="W12" s="7"/>
      <c r="X12" s="7" t="n">
        <f aca="false">V12+W12</f>
        <v>45.77</v>
      </c>
      <c r="Y12" s="11" t="n">
        <v>0</v>
      </c>
      <c r="Z12" s="12" t="n">
        <v>58</v>
      </c>
      <c r="AA12" s="12" t="n">
        <v>27</v>
      </c>
      <c r="AB12" s="13" t="n">
        <f aca="false">AB11+1</f>
        <v>3</v>
      </c>
      <c r="AC12" s="0" t="n">
        <v>1085</v>
      </c>
      <c r="AD12" s="29" t="n">
        <v>3249</v>
      </c>
    </row>
    <row r="13" customFormat="false" ht="11.1" hidden="false" customHeight="true" outlineLevel="0" collapsed="false">
      <c r="A13" s="13" t="n">
        <f aca="false">A12+1</f>
        <v>4</v>
      </c>
      <c r="B13" s="27" t="n">
        <v>6907.85</v>
      </c>
      <c r="C13" s="8" t="n">
        <v>313469</v>
      </c>
      <c r="D13" s="12" t="n">
        <f aca="false">C13-C12</f>
        <v>79</v>
      </c>
      <c r="E13" s="8" t="n">
        <f aca="false">C13-152000</f>
        <v>161469</v>
      </c>
      <c r="F13" s="7" t="n">
        <f aca="false">D13/$D$2</f>
        <v>39.8386283408976</v>
      </c>
      <c r="G13" s="7" t="n">
        <v>90.1</v>
      </c>
      <c r="H13" s="9" t="n">
        <v>0</v>
      </c>
      <c r="I13" s="7" t="n">
        <f aca="false">G13+H13</f>
        <v>90.1</v>
      </c>
      <c r="J13" s="38"/>
      <c r="K13" s="7" t="n">
        <f aca="false">I13+J13</f>
        <v>90.1</v>
      </c>
      <c r="L13" s="7" t="n">
        <f aca="false">F13-(I13-V13)</f>
        <v>0.0186283408976351</v>
      </c>
      <c r="M13" s="7" t="n">
        <v>10.13</v>
      </c>
      <c r="N13" s="7" t="n">
        <v>0</v>
      </c>
      <c r="O13" s="7"/>
      <c r="P13" s="7" t="n">
        <f aca="false">SUM(M13:O13)</f>
        <v>10.13</v>
      </c>
      <c r="Q13" s="8"/>
      <c r="R13" s="7"/>
      <c r="S13" s="7"/>
      <c r="T13" s="7" t="n">
        <v>40.15</v>
      </c>
      <c r="U13" s="8" t="n">
        <f aca="false">U12-T13</f>
        <v>10735.3833148475</v>
      </c>
      <c r="V13" s="7" t="n">
        <f aca="false">P13+R13+S13+T13</f>
        <v>50.28</v>
      </c>
      <c r="W13" s="7"/>
      <c r="X13" s="7" t="n">
        <f aca="false">V13+W13</f>
        <v>50.28</v>
      </c>
      <c r="Y13" s="11" t="n">
        <v>0</v>
      </c>
      <c r="Z13" s="12" t="n">
        <v>64</v>
      </c>
      <c r="AA13" s="12" t="n">
        <v>26</v>
      </c>
      <c r="AB13" s="13" t="n">
        <f aca="false">AB12+1</f>
        <v>4</v>
      </c>
      <c r="AC13" s="0" t="n">
        <v>1122</v>
      </c>
      <c r="AD13" s="29" t="n">
        <v>3347</v>
      </c>
    </row>
    <row r="14" customFormat="false" ht="11.1" hidden="false" customHeight="true" outlineLevel="0" collapsed="false">
      <c r="A14" s="13" t="n">
        <f aca="false">A13+1</f>
        <v>5</v>
      </c>
      <c r="B14" s="27" t="n">
        <v>6907.87</v>
      </c>
      <c r="C14" s="8" t="n">
        <v>313547</v>
      </c>
      <c r="D14" s="12" t="n">
        <f aca="false">C14-C13</f>
        <v>78</v>
      </c>
      <c r="E14" s="8" t="n">
        <f aca="false">C14-152000</f>
        <v>161547</v>
      </c>
      <c r="F14" s="7" t="n">
        <f aca="false">D14/$D$2</f>
        <v>39.3343419062027</v>
      </c>
      <c r="G14" s="7" t="n">
        <v>84.9</v>
      </c>
      <c r="H14" s="9" t="n">
        <v>0</v>
      </c>
      <c r="I14" s="7" t="n">
        <f aca="false">G14+H14</f>
        <v>84.9</v>
      </c>
      <c r="J14" s="38"/>
      <c r="K14" s="7" t="n">
        <f aca="false">I14+J14</f>
        <v>84.9</v>
      </c>
      <c r="L14" s="7" t="n">
        <f aca="false">F14-(I14-V14)</f>
        <v>0.0143419062027164</v>
      </c>
      <c r="M14" s="7" t="n">
        <v>5.51</v>
      </c>
      <c r="N14" s="7" t="n">
        <v>0</v>
      </c>
      <c r="O14" s="7"/>
      <c r="P14" s="7" t="n">
        <f aca="false">SUM(M14:O14)</f>
        <v>5.51</v>
      </c>
      <c r="Q14" s="8"/>
      <c r="R14" s="7"/>
      <c r="S14" s="7"/>
      <c r="T14" s="7" t="n">
        <v>40.07</v>
      </c>
      <c r="U14" s="8" t="n">
        <f aca="false">U13-T14</f>
        <v>10695.3133148475</v>
      </c>
      <c r="V14" s="7" t="n">
        <f aca="false">P14+R14+S14+T14</f>
        <v>45.58</v>
      </c>
      <c r="W14" s="7"/>
      <c r="X14" s="7" t="n">
        <f aca="false">V14+W14</f>
        <v>45.58</v>
      </c>
      <c r="Y14" s="11" t="n">
        <v>0</v>
      </c>
      <c r="Z14" s="12" t="n">
        <v>65</v>
      </c>
      <c r="AA14" s="12" t="n">
        <v>30</v>
      </c>
      <c r="AB14" s="13" t="n">
        <f aca="false">AB13+1</f>
        <v>5</v>
      </c>
      <c r="AC14" s="0" t="n">
        <v>1157</v>
      </c>
      <c r="AD14" s="29" t="n">
        <v>3444</v>
      </c>
    </row>
    <row r="15" customFormat="false" ht="11.1" hidden="false" customHeight="true" outlineLevel="0" collapsed="false">
      <c r="A15" s="13" t="n">
        <f aca="false">A14+1</f>
        <v>6</v>
      </c>
      <c r="B15" s="27" t="n">
        <v>6907.9</v>
      </c>
      <c r="C15" s="8" t="n">
        <v>313664</v>
      </c>
      <c r="D15" s="12" t="n">
        <f aca="false">C15-C14</f>
        <v>117</v>
      </c>
      <c r="E15" s="8" t="n">
        <f aca="false">C15-152000</f>
        <v>161664</v>
      </c>
      <c r="F15" s="7" t="n">
        <f aca="false">D15/$D$2</f>
        <v>59.0015128593041</v>
      </c>
      <c r="G15" s="7" t="n">
        <v>104.8</v>
      </c>
      <c r="H15" s="9" t="n">
        <v>0</v>
      </c>
      <c r="I15" s="7" t="n">
        <f aca="false">G15+H15</f>
        <v>104.8</v>
      </c>
      <c r="J15" s="38"/>
      <c r="K15" s="7" t="n">
        <f aca="false">I15+J15</f>
        <v>104.8</v>
      </c>
      <c r="L15" s="7" t="n">
        <f aca="false">F15-(I15-V15)</f>
        <v>-0.0484871406959186</v>
      </c>
      <c r="M15" s="7" t="n">
        <v>5.48</v>
      </c>
      <c r="N15" s="7" t="n">
        <v>0</v>
      </c>
      <c r="O15" s="7"/>
      <c r="P15" s="7" t="n">
        <f aca="false">SUM(M15:O15)</f>
        <v>5.48</v>
      </c>
      <c r="Q15" s="8"/>
      <c r="R15" s="7"/>
      <c r="S15" s="7"/>
      <c r="T15" s="7" t="n">
        <v>40.27</v>
      </c>
      <c r="U15" s="8" t="n">
        <f aca="false">U14-T15</f>
        <v>10655.0433148475</v>
      </c>
      <c r="V15" s="7" t="n">
        <f aca="false">P15+R15+S15+T15</f>
        <v>45.75</v>
      </c>
      <c r="W15" s="7"/>
      <c r="X15" s="7" t="n">
        <f aca="false">V15+W15</f>
        <v>45.75</v>
      </c>
      <c r="Y15" s="11" t="n">
        <v>0</v>
      </c>
      <c r="Z15" s="12" t="n">
        <v>62</v>
      </c>
      <c r="AA15" s="12" t="n">
        <v>34</v>
      </c>
      <c r="AB15" s="13" t="n">
        <f aca="false">AB14+1</f>
        <v>6</v>
      </c>
      <c r="AC15" s="0" t="n">
        <v>1173</v>
      </c>
      <c r="AD15" s="29" t="n">
        <v>3541</v>
      </c>
      <c r="AE15" s="0" t="n">
        <v>132.9</v>
      </c>
    </row>
    <row r="16" customFormat="false" ht="11.1" hidden="false" customHeight="true" outlineLevel="0" collapsed="false">
      <c r="A16" s="13" t="n">
        <f aca="false">A15+1</f>
        <v>7</v>
      </c>
      <c r="B16" s="27" t="n">
        <v>6908</v>
      </c>
      <c r="C16" s="8" t="n">
        <v>314056</v>
      </c>
      <c r="D16" s="12" t="n">
        <f aca="false">C16-C15</f>
        <v>392</v>
      </c>
      <c r="E16" s="8" t="n">
        <f aca="false">C16-152000</f>
        <v>162056</v>
      </c>
      <c r="F16" s="7" t="n">
        <f aca="false">D16/$D$2</f>
        <v>197.680282400403</v>
      </c>
      <c r="G16" s="7" t="n">
        <v>243.5</v>
      </c>
      <c r="H16" s="9" t="n">
        <v>0</v>
      </c>
      <c r="I16" s="7" t="n">
        <f aca="false">G16+H16</f>
        <v>243.5</v>
      </c>
      <c r="J16" s="38"/>
      <c r="K16" s="7" t="n">
        <f aca="false">I16+J16</f>
        <v>243.5</v>
      </c>
      <c r="L16" s="7" t="n">
        <f aca="false">F16-(I16-V16)</f>
        <v>0.000282400403420979</v>
      </c>
      <c r="M16" s="7" t="n">
        <v>5.59</v>
      </c>
      <c r="N16" s="7" t="n">
        <v>0</v>
      </c>
      <c r="O16" s="7"/>
      <c r="P16" s="7" t="n">
        <f aca="false">SUM(M16:O16)</f>
        <v>5.59</v>
      </c>
      <c r="Q16" s="8"/>
      <c r="R16" s="7"/>
      <c r="S16" s="7"/>
      <c r="T16" s="7" t="n">
        <v>40.23</v>
      </c>
      <c r="U16" s="8" t="n">
        <f aca="false">U15-T16</f>
        <v>10614.8133148475</v>
      </c>
      <c r="V16" s="7" t="n">
        <f aca="false">P16+R16+S16+T16</f>
        <v>45.82</v>
      </c>
      <c r="W16" s="7"/>
      <c r="X16" s="7" t="n">
        <f aca="false">V16+W16</f>
        <v>45.82</v>
      </c>
      <c r="Y16" s="11" t="n">
        <v>0</v>
      </c>
      <c r="Z16" s="12" t="n">
        <v>60</v>
      </c>
      <c r="AA16" s="12" t="n">
        <v>28</v>
      </c>
      <c r="AB16" s="13" t="n">
        <f aca="false">AB15+1</f>
        <v>7</v>
      </c>
      <c r="AC16" s="14" t="n">
        <v>1173</v>
      </c>
      <c r="AD16" s="29" t="n">
        <v>3628</v>
      </c>
      <c r="AE16" s="0" t="n">
        <v>138.06</v>
      </c>
    </row>
    <row r="17" customFormat="false" ht="11.1" hidden="false" customHeight="true" outlineLevel="0" collapsed="false">
      <c r="A17" s="13" t="n">
        <f aca="false">A16+1</f>
        <v>8</v>
      </c>
      <c r="B17" s="27" t="n">
        <v>6908.04</v>
      </c>
      <c r="C17" s="8" t="n">
        <v>314214</v>
      </c>
      <c r="D17" s="12" t="n">
        <f aca="false">C17-C16</f>
        <v>158</v>
      </c>
      <c r="E17" s="8" t="n">
        <f aca="false">C17-152000</f>
        <v>162214</v>
      </c>
      <c r="F17" s="7" t="n">
        <f aca="false">D17/$D$2</f>
        <v>79.6772566817953</v>
      </c>
      <c r="G17" s="7" t="n">
        <v>125.6</v>
      </c>
      <c r="H17" s="9" t="n">
        <v>0</v>
      </c>
      <c r="I17" s="7" t="n">
        <f aca="false">G17+H17</f>
        <v>125.6</v>
      </c>
      <c r="J17" s="38"/>
      <c r="K17" s="7" t="n">
        <f aca="false">I17+J17</f>
        <v>125.6</v>
      </c>
      <c r="L17" s="7" t="n">
        <f aca="false">F17-(I17-V17)</f>
        <v>0.0372566817952702</v>
      </c>
      <c r="M17" s="7" t="n">
        <v>5.46</v>
      </c>
      <c r="N17" s="7" t="n">
        <v>0</v>
      </c>
      <c r="O17" s="7"/>
      <c r="P17" s="7" t="n">
        <f aca="false">SUM(M17:O17)</f>
        <v>5.46</v>
      </c>
      <c r="Q17" s="8"/>
      <c r="R17" s="7"/>
      <c r="S17" s="7"/>
      <c r="T17" s="7" t="n">
        <v>40.5</v>
      </c>
      <c r="U17" s="8" t="n">
        <f aca="false">U16-T17</f>
        <v>10574.3133148475</v>
      </c>
      <c r="V17" s="7" t="n">
        <f aca="false">P17+R17+S17+T17</f>
        <v>45.96</v>
      </c>
      <c r="W17" s="7"/>
      <c r="X17" s="7" t="n">
        <f aca="false">V17+W17</f>
        <v>45.96</v>
      </c>
      <c r="Y17" s="11" t="n">
        <v>0.24</v>
      </c>
      <c r="Z17" s="12" t="n">
        <v>49</v>
      </c>
      <c r="AA17" s="12" t="n">
        <v>28</v>
      </c>
      <c r="AB17" s="13" t="n">
        <f aca="false">AB16+1</f>
        <v>8</v>
      </c>
      <c r="AC17" s="14" t="n">
        <v>1184</v>
      </c>
      <c r="AD17" s="29" t="n">
        <v>3708</v>
      </c>
      <c r="AE17" s="0" t="n">
        <v>124.16</v>
      </c>
    </row>
    <row r="18" customFormat="false" ht="11.1" hidden="false" customHeight="true" outlineLevel="0" collapsed="false">
      <c r="A18" s="13" t="n">
        <f aca="false">A17+1</f>
        <v>9</v>
      </c>
      <c r="B18" s="27" t="n">
        <v>6908.07</v>
      </c>
      <c r="C18" s="8" t="n">
        <v>314332</v>
      </c>
      <c r="D18" s="12" t="n">
        <f aca="false">C18-C17</f>
        <v>118</v>
      </c>
      <c r="E18" s="8" t="n">
        <f aca="false">C18-152000</f>
        <v>162332</v>
      </c>
      <c r="F18" s="7" t="n">
        <f aca="false">D18/$D$2</f>
        <v>59.505799293999</v>
      </c>
      <c r="G18" s="7" t="n">
        <v>105.2</v>
      </c>
      <c r="H18" s="9" t="n">
        <v>0</v>
      </c>
      <c r="I18" s="7" t="n">
        <f aca="false">G18+H18</f>
        <v>105.2</v>
      </c>
      <c r="J18" s="38"/>
      <c r="K18" s="7" t="n">
        <f aca="false">I18+J18</f>
        <v>105.2</v>
      </c>
      <c r="L18" s="7" t="n">
        <f aca="false">F18-(I18-V18)</f>
        <v>0.0257992939989862</v>
      </c>
      <c r="M18" s="7" t="n">
        <v>5.57</v>
      </c>
      <c r="N18" s="7" t="n">
        <v>0</v>
      </c>
      <c r="O18" s="7"/>
      <c r="P18" s="7" t="n">
        <f aca="false">SUM(M18:O18)</f>
        <v>5.57</v>
      </c>
      <c r="Q18" s="8"/>
      <c r="R18" s="7"/>
      <c r="S18" s="7"/>
      <c r="T18" s="7" t="n">
        <v>40.15</v>
      </c>
      <c r="U18" s="8" t="n">
        <f aca="false">U17-T18</f>
        <v>10534.1633148475</v>
      </c>
      <c r="V18" s="7" t="n">
        <f aca="false">P18+R18+S18+T18</f>
        <v>45.72</v>
      </c>
      <c r="W18" s="7"/>
      <c r="X18" s="7" t="n">
        <f aca="false">V18+W18</f>
        <v>45.72</v>
      </c>
      <c r="Y18" s="11" t="n">
        <v>0</v>
      </c>
      <c r="Z18" s="38" t="n">
        <v>56</v>
      </c>
      <c r="AA18" s="12" t="n">
        <v>32</v>
      </c>
      <c r="AB18" s="13" t="n">
        <f aca="false">AB17+1</f>
        <v>9</v>
      </c>
      <c r="AC18" s="14" t="n">
        <v>19</v>
      </c>
      <c r="AD18" s="29" t="n">
        <v>3787</v>
      </c>
      <c r="AE18" s="0" t="n">
        <v>91</v>
      </c>
    </row>
    <row r="19" customFormat="false" ht="11.1" hidden="false" customHeight="true" outlineLevel="0" collapsed="false">
      <c r="A19" s="13" t="n">
        <f aca="false">A18+1</f>
        <v>10</v>
      </c>
      <c r="B19" s="27" t="n">
        <v>6908.1</v>
      </c>
      <c r="C19" s="8" t="n">
        <v>314451</v>
      </c>
      <c r="D19" s="12" t="n">
        <f aca="false">C19-C18</f>
        <v>119</v>
      </c>
      <c r="E19" s="8" t="n">
        <f aca="false">C19-152000</f>
        <v>162451</v>
      </c>
      <c r="F19" s="7" t="n">
        <f aca="false">D19/$D$2</f>
        <v>60.0100857286939</v>
      </c>
      <c r="G19" s="7" t="n">
        <v>110.7</v>
      </c>
      <c r="H19" s="9" t="n">
        <v>0</v>
      </c>
      <c r="I19" s="7" t="n">
        <f aca="false">G19+H19</f>
        <v>110.7</v>
      </c>
      <c r="J19" s="38"/>
      <c r="K19" s="7" t="n">
        <f aca="false">I19+J19</f>
        <v>110.7</v>
      </c>
      <c r="L19" s="7" t="n">
        <f aca="false">F19-(I19-V19)</f>
        <v>0.0100857286938876</v>
      </c>
      <c r="M19" s="7" t="n">
        <v>10.83</v>
      </c>
      <c r="N19" s="7" t="n">
        <v>0</v>
      </c>
      <c r="O19" s="7"/>
      <c r="P19" s="7" t="n">
        <f aca="false">SUM(M19:O19)</f>
        <v>10.83</v>
      </c>
      <c r="Q19" s="8"/>
      <c r="R19" s="7"/>
      <c r="S19" s="7"/>
      <c r="T19" s="7" t="n">
        <v>39.87</v>
      </c>
      <c r="U19" s="8" t="n">
        <f aca="false">U18-T19</f>
        <v>10494.2933148475</v>
      </c>
      <c r="V19" s="7" t="n">
        <f aca="false">P19+R19+S19+T19</f>
        <v>50.7</v>
      </c>
      <c r="W19" s="7"/>
      <c r="X19" s="7" t="n">
        <f aca="false">V19+W19</f>
        <v>50.7</v>
      </c>
      <c r="Y19" s="11" t="n">
        <v>0</v>
      </c>
      <c r="Z19" s="12" t="n">
        <v>54</v>
      </c>
      <c r="AA19" s="12" t="n">
        <v>22</v>
      </c>
      <c r="AB19" s="13" t="n">
        <f aca="false">AB18+1</f>
        <v>10</v>
      </c>
      <c r="AC19" s="14" t="n">
        <v>29</v>
      </c>
      <c r="AD19" s="29" t="n">
        <v>3867</v>
      </c>
      <c r="AE19" s="0" t="n">
        <v>88.73</v>
      </c>
    </row>
    <row r="20" customFormat="false" ht="11.1" hidden="false" customHeight="true" outlineLevel="0" collapsed="false">
      <c r="A20" s="13" t="n">
        <f aca="false">A19+1</f>
        <v>11</v>
      </c>
      <c r="B20" s="27" t="n">
        <v>6908.17</v>
      </c>
      <c r="C20" s="8" t="n">
        <v>314727</v>
      </c>
      <c r="D20" s="12" t="n">
        <f aca="false">C20-C19</f>
        <v>276</v>
      </c>
      <c r="E20" s="8" t="n">
        <f aca="false">C20-152000</f>
        <v>162727</v>
      </c>
      <c r="F20" s="7" t="n">
        <f aca="false">D20/$D$2</f>
        <v>139.183055975794</v>
      </c>
      <c r="G20" s="7" t="n">
        <v>185.7</v>
      </c>
      <c r="H20" s="9" t="n">
        <v>0</v>
      </c>
      <c r="I20" s="7" t="n">
        <f aca="false">G20+H20</f>
        <v>185.7</v>
      </c>
      <c r="J20" s="38"/>
      <c r="K20" s="7" t="n">
        <f aca="false">I20+J20</f>
        <v>185.7</v>
      </c>
      <c r="L20" s="7" t="n">
        <f aca="false">F20-(I20-V20)</f>
        <v>0.0230559757942501</v>
      </c>
      <c r="M20" s="7" t="n">
        <v>6.74</v>
      </c>
      <c r="N20" s="7" t="n">
        <v>0</v>
      </c>
      <c r="O20" s="7"/>
      <c r="P20" s="7" t="n">
        <f aca="false">SUM(M20:O20)</f>
        <v>6.74</v>
      </c>
      <c r="Q20" s="8"/>
      <c r="R20" s="7"/>
      <c r="S20" s="7"/>
      <c r="T20" s="7" t="n">
        <v>39.8</v>
      </c>
      <c r="U20" s="8" t="n">
        <f aca="false">U19-T20</f>
        <v>10454.4933148475</v>
      </c>
      <c r="V20" s="7" t="n">
        <f aca="false">P20+R20+S20+T20</f>
        <v>46.54</v>
      </c>
      <c r="W20" s="7"/>
      <c r="X20" s="7" t="n">
        <f aca="false">V20+W20</f>
        <v>46.54</v>
      </c>
      <c r="Y20" s="11" t="n">
        <v>0</v>
      </c>
      <c r="Z20" s="12" t="n">
        <v>50</v>
      </c>
      <c r="AA20" s="12" t="n">
        <v>21</v>
      </c>
      <c r="AB20" s="13" t="n">
        <f aca="false">AB19+1</f>
        <v>11</v>
      </c>
      <c r="AC20" s="14" t="n">
        <v>29</v>
      </c>
      <c r="AD20" s="29" t="n">
        <v>3933</v>
      </c>
      <c r="AE20" s="0" t="n">
        <v>85.97</v>
      </c>
    </row>
    <row r="21" customFormat="false" ht="11.1" hidden="false" customHeight="true" outlineLevel="0" collapsed="false">
      <c r="A21" s="13" t="n">
        <f aca="false">A20+1</f>
        <v>12</v>
      </c>
      <c r="B21" s="27" t="n">
        <v>6908.2</v>
      </c>
      <c r="C21" s="8" t="n">
        <v>314847</v>
      </c>
      <c r="D21" s="12" t="n">
        <f aca="false">C21-C20</f>
        <v>120</v>
      </c>
      <c r="E21" s="8" t="n">
        <f aca="false">C21-152000</f>
        <v>162847</v>
      </c>
      <c r="F21" s="7" t="n">
        <f aca="false">D21/$D$2</f>
        <v>60.5143721633888</v>
      </c>
      <c r="G21" s="7" t="n">
        <v>107.3</v>
      </c>
      <c r="H21" s="9" t="n">
        <v>0</v>
      </c>
      <c r="I21" s="7" t="n">
        <f aca="false">G21+H21</f>
        <v>107.3</v>
      </c>
      <c r="J21" s="38"/>
      <c r="K21" s="7" t="n">
        <f aca="false">I21+J21</f>
        <v>107.3</v>
      </c>
      <c r="L21" s="7" t="n">
        <f aca="false">F21-(I21-V21)</f>
        <v>0.0243721633888043</v>
      </c>
      <c r="M21" s="7" t="n">
        <v>6.7</v>
      </c>
      <c r="N21" s="7" t="n">
        <v>0</v>
      </c>
      <c r="O21" s="7"/>
      <c r="P21" s="7" t="n">
        <f aca="false">SUM(M21:O21)</f>
        <v>6.7</v>
      </c>
      <c r="Q21" s="8"/>
      <c r="R21" s="7"/>
      <c r="S21" s="7"/>
      <c r="T21" s="7" t="n">
        <v>40.11</v>
      </c>
      <c r="U21" s="8" t="n">
        <f aca="false">U20-T21</f>
        <v>10414.3833148475</v>
      </c>
      <c r="V21" s="7" t="n">
        <f aca="false">P21+R21+S21+T21</f>
        <v>46.81</v>
      </c>
      <c r="W21" s="7"/>
      <c r="X21" s="7" t="n">
        <f aca="false">V21+W21</f>
        <v>46.81</v>
      </c>
      <c r="Y21" s="11" t="n">
        <v>0</v>
      </c>
      <c r="Z21" s="12" t="n">
        <v>56</v>
      </c>
      <c r="AA21" s="12" t="n">
        <v>28</v>
      </c>
      <c r="AB21" s="13" t="n">
        <f aca="false">AB20+1</f>
        <v>12</v>
      </c>
      <c r="AC21" s="14" t="n">
        <v>39</v>
      </c>
      <c r="AD21" s="29" t="n">
        <v>3983</v>
      </c>
      <c r="AE21" s="0" t="n">
        <v>62.24</v>
      </c>
    </row>
    <row r="22" customFormat="false" ht="11.1" hidden="false" customHeight="true" outlineLevel="0" collapsed="false">
      <c r="A22" s="13" t="n">
        <f aca="false">A21+1</f>
        <v>13</v>
      </c>
      <c r="B22" s="27" t="n">
        <v>6908.24</v>
      </c>
      <c r="C22" s="8" t="n">
        <v>315005</v>
      </c>
      <c r="D22" s="12" t="n">
        <f aca="false">C22-C21</f>
        <v>158</v>
      </c>
      <c r="E22" s="8" t="n">
        <f aca="false">C22-152000</f>
        <v>163005</v>
      </c>
      <c r="F22" s="7" t="n">
        <f aca="false">D22/$D$2</f>
        <v>79.6772566817953</v>
      </c>
      <c r="G22" s="7" t="n">
        <v>126.4</v>
      </c>
      <c r="H22" s="9" t="n">
        <v>0</v>
      </c>
      <c r="I22" s="7" t="n">
        <f aca="false">G22+H22</f>
        <v>126.4</v>
      </c>
      <c r="J22" s="38"/>
      <c r="K22" s="7" t="n">
        <f aca="false">I22+J22</f>
        <v>126.4</v>
      </c>
      <c r="L22" s="7" t="n">
        <f aca="false">F22-(I22-V22)</f>
        <v>0.0472566817952611</v>
      </c>
      <c r="M22" s="7" t="n">
        <v>6.7</v>
      </c>
      <c r="N22" s="7" t="n">
        <v>0</v>
      </c>
      <c r="O22" s="7"/>
      <c r="P22" s="7" t="n">
        <f aca="false">SUM(M22:O22)</f>
        <v>6.7</v>
      </c>
      <c r="Q22" s="8"/>
      <c r="R22" s="7"/>
      <c r="S22" s="7"/>
      <c r="T22" s="7" t="n">
        <v>40.07</v>
      </c>
      <c r="U22" s="8" t="n">
        <f aca="false">U21-T22</f>
        <v>10374.3133148475</v>
      </c>
      <c r="V22" s="7" t="n">
        <f aca="false">P22+R22+S22+T22</f>
        <v>46.77</v>
      </c>
      <c r="W22" s="7"/>
      <c r="X22" s="7" t="n">
        <f aca="false">V22+W22</f>
        <v>46.77</v>
      </c>
      <c r="Y22" s="11" t="n">
        <v>0</v>
      </c>
      <c r="Z22" s="12" t="n">
        <v>58</v>
      </c>
      <c r="AA22" s="12" t="n">
        <v>31</v>
      </c>
      <c r="AB22" s="13" t="n">
        <f aca="false">AB21+1</f>
        <v>13</v>
      </c>
      <c r="AC22" s="14" t="n">
        <v>49</v>
      </c>
      <c r="AD22" s="29" t="n">
        <v>4033</v>
      </c>
      <c r="AE22" s="0" t="n">
        <v>64.92</v>
      </c>
    </row>
    <row r="23" customFormat="false" ht="11.1" hidden="false" customHeight="true" outlineLevel="0" collapsed="false">
      <c r="A23" s="13" t="n">
        <f aca="false">A22+1</f>
        <v>14</v>
      </c>
      <c r="B23" s="27" t="n">
        <v>6908.29</v>
      </c>
      <c r="C23" s="8" t="n">
        <v>315201</v>
      </c>
      <c r="D23" s="12" t="n">
        <f aca="false">C23-C22</f>
        <v>196</v>
      </c>
      <c r="E23" s="8" t="n">
        <f aca="false">C23-152000</f>
        <v>163201</v>
      </c>
      <c r="F23" s="7" t="n">
        <f aca="false">D23/$D$2</f>
        <v>98.8401412002017</v>
      </c>
      <c r="G23" s="7" t="n">
        <v>144.2</v>
      </c>
      <c r="H23" s="9" t="n">
        <v>0</v>
      </c>
      <c r="I23" s="7" t="n">
        <f aca="false">G23+H23</f>
        <v>144.2</v>
      </c>
      <c r="J23" s="38"/>
      <c r="K23" s="7" t="n">
        <f aca="false">I23+J23</f>
        <v>144.2</v>
      </c>
      <c r="L23" s="7" t="n">
        <f aca="false">F23-(I23-V23)</f>
        <v>-0.00985879979828042</v>
      </c>
      <c r="M23" s="7" t="n">
        <v>5.16</v>
      </c>
      <c r="N23" s="7" t="n">
        <v>0</v>
      </c>
      <c r="O23" s="7"/>
      <c r="P23" s="7" t="n">
        <f aca="false">SUM(M23:O23)</f>
        <v>5.16</v>
      </c>
      <c r="Q23" s="8"/>
      <c r="R23" s="7"/>
      <c r="S23" s="7"/>
      <c r="T23" s="7" t="n">
        <v>40.19</v>
      </c>
      <c r="U23" s="8" t="n">
        <f aca="false">U22-T23</f>
        <v>10334.1233148475</v>
      </c>
      <c r="V23" s="7" t="n">
        <f aca="false">P23+R23+S23+T23</f>
        <v>45.35</v>
      </c>
      <c r="W23" s="7"/>
      <c r="X23" s="7" t="n">
        <f aca="false">V23+W23</f>
        <v>45.35</v>
      </c>
      <c r="Y23" s="11" t="n">
        <v>0</v>
      </c>
      <c r="Z23" s="38" t="n">
        <v>62</v>
      </c>
      <c r="AA23" s="12" t="n">
        <v>30</v>
      </c>
      <c r="AB23" s="13" t="n">
        <f aca="false">AB22+1</f>
        <v>14</v>
      </c>
      <c r="AC23" s="14" t="n">
        <v>49</v>
      </c>
      <c r="AD23" s="29" t="n">
        <v>4080</v>
      </c>
      <c r="AE23" s="0" t="n">
        <v>59.81</v>
      </c>
    </row>
    <row r="24" customFormat="false" ht="11.1" hidden="false" customHeight="true" outlineLevel="0" collapsed="false">
      <c r="A24" s="13" t="n">
        <f aca="false">A23+1</f>
        <v>15</v>
      </c>
      <c r="B24" s="27" t="n">
        <v>6908.4</v>
      </c>
      <c r="C24" s="8" t="n">
        <v>315635</v>
      </c>
      <c r="D24" s="12" t="n">
        <f aca="false">C24-C23</f>
        <v>434</v>
      </c>
      <c r="E24" s="8" t="n">
        <f aca="false">C24-152000</f>
        <v>163635</v>
      </c>
      <c r="F24" s="7" t="n">
        <f aca="false">D24/$D$2</f>
        <v>218.86031265759</v>
      </c>
      <c r="G24" s="7" t="n">
        <v>262.7</v>
      </c>
      <c r="H24" s="9" t="n">
        <v>0</v>
      </c>
      <c r="I24" s="7" t="n">
        <f aca="false">G24+H24</f>
        <v>262.7</v>
      </c>
      <c r="J24" s="38"/>
      <c r="K24" s="7" t="n">
        <f aca="false">I24+J24</f>
        <v>262.7</v>
      </c>
      <c r="L24" s="7" t="n">
        <f aca="false">F24-(I24-V24)</f>
        <v>-0.0496873424104933</v>
      </c>
      <c r="M24" s="7" t="n">
        <v>3.68</v>
      </c>
      <c r="N24" s="7" t="n">
        <v>0</v>
      </c>
      <c r="O24" s="7"/>
      <c r="P24" s="7" t="n">
        <f aca="false">SUM(M24:O24)</f>
        <v>3.68</v>
      </c>
      <c r="Q24" s="8"/>
      <c r="R24" s="7"/>
      <c r="S24" s="7"/>
      <c r="T24" s="7" t="n">
        <v>40.11</v>
      </c>
      <c r="U24" s="8" t="n">
        <f aca="false">U23-T24</f>
        <v>10294.0133148475</v>
      </c>
      <c r="V24" s="7" t="n">
        <f aca="false">P24+R24+S24+T24</f>
        <v>43.79</v>
      </c>
      <c r="W24" s="7"/>
      <c r="X24" s="7" t="n">
        <f aca="false">V24+W24</f>
        <v>43.79</v>
      </c>
      <c r="Y24" s="11" t="n">
        <v>0</v>
      </c>
      <c r="Z24" s="38" t="n">
        <v>68</v>
      </c>
      <c r="AA24" s="12" t="n">
        <v>34</v>
      </c>
      <c r="AB24" s="13" t="n">
        <f aca="false">AB23+1</f>
        <v>15</v>
      </c>
      <c r="AC24" s="14" t="n">
        <v>49</v>
      </c>
      <c r="AD24" s="29" t="n">
        <v>4110</v>
      </c>
      <c r="AE24" s="0" t="n">
        <v>29.1</v>
      </c>
    </row>
    <row r="25" customFormat="false" ht="11.1" hidden="false" customHeight="true" outlineLevel="0" collapsed="false">
      <c r="A25" s="13" t="n">
        <f aca="false">A24+1</f>
        <v>16</v>
      </c>
      <c r="B25" s="27" t="n">
        <v>6908.54</v>
      </c>
      <c r="C25" s="8" t="n">
        <v>316189</v>
      </c>
      <c r="D25" s="12" t="n">
        <f aca="false">C25-C24</f>
        <v>554</v>
      </c>
      <c r="E25" s="8" t="n">
        <f aca="false">C25-152000</f>
        <v>164189</v>
      </c>
      <c r="F25" s="7" t="n">
        <f aca="false">D25/$D$2</f>
        <v>279.374684820978</v>
      </c>
      <c r="G25" s="7" t="n">
        <v>324.4</v>
      </c>
      <c r="H25" s="9" t="n">
        <v>0</v>
      </c>
      <c r="I25" s="7" t="n">
        <f aca="false">G25+H25</f>
        <v>324.4</v>
      </c>
      <c r="J25" s="38"/>
      <c r="K25" s="7" t="n">
        <f aca="false">I25+J25</f>
        <v>324.4</v>
      </c>
      <c r="L25" s="7" t="n">
        <f aca="false">F25-(I25-V25)</f>
        <v>-0.0353151790216657</v>
      </c>
      <c r="M25" s="7" t="n">
        <v>4.88</v>
      </c>
      <c r="N25" s="7" t="n">
        <v>0</v>
      </c>
      <c r="O25" s="7"/>
      <c r="P25" s="7" t="n">
        <f aca="false">SUM(M25:O25)</f>
        <v>4.88</v>
      </c>
      <c r="Q25" s="8"/>
      <c r="R25" s="7"/>
      <c r="S25" s="7"/>
      <c r="T25" s="7" t="n">
        <v>40.11</v>
      </c>
      <c r="U25" s="8" t="n">
        <f aca="false">U24-T25</f>
        <v>10253.9033148475</v>
      </c>
      <c r="V25" s="7" t="n">
        <f aca="false">P25+R25+S25+T25</f>
        <v>44.99</v>
      </c>
      <c r="W25" s="7"/>
      <c r="X25" s="7" t="n">
        <f aca="false">V25+W25</f>
        <v>44.99</v>
      </c>
      <c r="Y25" s="11" t="n">
        <v>0</v>
      </c>
      <c r="Z25" s="38" t="n">
        <v>66</v>
      </c>
      <c r="AA25" s="12" t="n">
        <v>33</v>
      </c>
      <c r="AB25" s="13" t="n">
        <f aca="false">AB24+1</f>
        <v>16</v>
      </c>
      <c r="AC25" s="14" t="n">
        <v>49</v>
      </c>
      <c r="AD25" s="29" t="n">
        <v>4140</v>
      </c>
      <c r="AE25" s="0" t="n">
        <v>26.14</v>
      </c>
    </row>
    <row r="26" customFormat="false" ht="11.1" hidden="false" customHeight="true" outlineLevel="0" collapsed="false">
      <c r="A26" s="13" t="n">
        <f aca="false">A25+1</f>
        <v>17</v>
      </c>
      <c r="B26" s="27" t="n">
        <v>6908.67</v>
      </c>
      <c r="C26" s="8" t="n">
        <v>316702</v>
      </c>
      <c r="D26" s="12" t="n">
        <f aca="false">C26-C25</f>
        <v>513</v>
      </c>
      <c r="E26" s="8" t="n">
        <f aca="false">C26-152000</f>
        <v>164702</v>
      </c>
      <c r="F26" s="7" t="n">
        <f aca="false">D26/$D$2</f>
        <v>258.698940998487</v>
      </c>
      <c r="G26" s="7" t="n">
        <v>303.1</v>
      </c>
      <c r="H26" s="9" t="n">
        <v>0</v>
      </c>
      <c r="I26" s="7" t="n">
        <f aca="false">G26+H26</f>
        <v>303.1</v>
      </c>
      <c r="J26" s="38"/>
      <c r="K26" s="7" t="n">
        <f aca="false">I26+J26</f>
        <v>303.1</v>
      </c>
      <c r="L26" s="7" t="n">
        <f aca="false">F26-(I26-V26)</f>
        <v>0.00894099848704855</v>
      </c>
      <c r="M26" s="7" t="n">
        <v>4.26</v>
      </c>
      <c r="N26" s="7" t="n">
        <v>0</v>
      </c>
      <c r="O26" s="7"/>
      <c r="P26" s="7" t="n">
        <f aca="false">SUM(M26:O26)</f>
        <v>4.26</v>
      </c>
      <c r="Q26" s="8"/>
      <c r="R26" s="7"/>
      <c r="S26" s="7"/>
      <c r="T26" s="7" t="n">
        <v>40.15</v>
      </c>
      <c r="U26" s="8" t="n">
        <f aca="false">U25-T26</f>
        <v>10213.7533148475</v>
      </c>
      <c r="V26" s="7" t="n">
        <f aca="false">P26+R26+S26+T26</f>
        <v>44.41</v>
      </c>
      <c r="W26" s="7"/>
      <c r="X26" s="7" t="n">
        <f aca="false">V26+W26</f>
        <v>44.41</v>
      </c>
      <c r="Y26" s="11" t="n">
        <v>0</v>
      </c>
      <c r="Z26" s="38" t="n">
        <v>64</v>
      </c>
      <c r="AA26" s="12" t="n">
        <v>35</v>
      </c>
      <c r="AB26" s="13" t="n">
        <f aca="false">AB25+1</f>
        <v>17</v>
      </c>
      <c r="AC26" s="14" t="n">
        <v>49</v>
      </c>
      <c r="AD26" s="44" t="n">
        <v>4170</v>
      </c>
      <c r="AE26" s="0" t="n">
        <v>26.41</v>
      </c>
    </row>
    <row r="27" customFormat="false" ht="11.1" hidden="false" customHeight="true" outlineLevel="0" collapsed="false">
      <c r="A27" s="13" t="n">
        <f aca="false">A26+1</f>
        <v>18</v>
      </c>
      <c r="B27" s="27" t="n">
        <v>6908.75</v>
      </c>
      <c r="C27" s="8" t="n">
        <v>317018</v>
      </c>
      <c r="D27" s="12" t="n">
        <f aca="false">C27-C26</f>
        <v>316</v>
      </c>
      <c r="E27" s="8" t="n">
        <f aca="false">C27-152000</f>
        <v>165018</v>
      </c>
      <c r="F27" s="7" t="n">
        <f aca="false">D27/$D$2</f>
        <v>159.354513363591</v>
      </c>
      <c r="G27" s="7" t="n">
        <v>203.9</v>
      </c>
      <c r="H27" s="9" t="n">
        <v>0</v>
      </c>
      <c r="I27" s="7" t="n">
        <f aca="false">G27+H27</f>
        <v>203.9</v>
      </c>
      <c r="J27" s="38"/>
      <c r="K27" s="7" t="n">
        <f aca="false">I27+J27</f>
        <v>203.9</v>
      </c>
      <c r="L27" s="7" t="n">
        <f aca="false">F27-(I27-V27)</f>
        <v>0.0145133635905097</v>
      </c>
      <c r="M27" s="7" t="n">
        <v>4.3</v>
      </c>
      <c r="N27" s="7" t="n">
        <v>0</v>
      </c>
      <c r="O27" s="7"/>
      <c r="P27" s="7" t="n">
        <f aca="false">SUM(M27:O27)</f>
        <v>4.3</v>
      </c>
      <c r="Q27" s="8"/>
      <c r="R27" s="7"/>
      <c r="S27" s="7"/>
      <c r="T27" s="7" t="n">
        <v>40.26</v>
      </c>
      <c r="U27" s="8" t="n">
        <f aca="false">U26-T27</f>
        <v>10173.4933148475</v>
      </c>
      <c r="V27" s="7" t="n">
        <f aca="false">P27+R27+S27+T27</f>
        <v>44.56</v>
      </c>
      <c r="W27" s="7"/>
      <c r="X27" s="7" t="n">
        <f aca="false">V27+W27</f>
        <v>44.56</v>
      </c>
      <c r="Y27" s="11" t="n">
        <v>0.39</v>
      </c>
      <c r="Z27" s="38" t="n">
        <v>66</v>
      </c>
      <c r="AA27" s="12" t="n">
        <v>34</v>
      </c>
      <c r="AB27" s="13" t="n">
        <f aca="false">AB26+1</f>
        <v>18</v>
      </c>
      <c r="AC27" s="14" t="n">
        <v>49</v>
      </c>
      <c r="AD27" s="29" t="n">
        <v>4195</v>
      </c>
      <c r="AE27" s="0" t="n">
        <v>25.38</v>
      </c>
    </row>
    <row r="28" customFormat="false" ht="11.1" hidden="false" customHeight="true" outlineLevel="0" collapsed="false">
      <c r="A28" s="13" t="n">
        <f aca="false">A27+1</f>
        <v>19</v>
      </c>
      <c r="B28" s="27" t="n">
        <v>6909.05</v>
      </c>
      <c r="C28" s="8" t="n">
        <v>318203</v>
      </c>
      <c r="D28" s="12" t="n">
        <f aca="false">C28-C27</f>
        <v>1185</v>
      </c>
      <c r="E28" s="8" t="n">
        <f aca="false">C28-152000</f>
        <v>166203</v>
      </c>
      <c r="F28" s="7" t="n">
        <f aca="false">D28/$D$2</f>
        <v>597.579425113464</v>
      </c>
      <c r="G28" s="7" t="n">
        <v>642.4</v>
      </c>
      <c r="H28" s="9" t="n">
        <v>0</v>
      </c>
      <c r="I28" s="7" t="n">
        <f aca="false">G28+H28</f>
        <v>642.4</v>
      </c>
      <c r="J28" s="38"/>
      <c r="K28" s="7" t="n">
        <f aca="false">I28+J28</f>
        <v>642.4</v>
      </c>
      <c r="L28" s="7" t="n">
        <f aca="false">F28-(I28-V28)</f>
        <v>0.0494251134643946</v>
      </c>
      <c r="M28" s="7" t="n">
        <v>4.46</v>
      </c>
      <c r="N28" s="7" t="n">
        <v>0</v>
      </c>
      <c r="O28" s="7"/>
      <c r="P28" s="7" t="n">
        <f aca="false">SUM(M28:O28)</f>
        <v>4.46</v>
      </c>
      <c r="Q28" s="8"/>
      <c r="R28" s="7"/>
      <c r="S28" s="7"/>
      <c r="T28" s="7" t="n">
        <v>40.41</v>
      </c>
      <c r="U28" s="8" t="n">
        <f aca="false">U27-T28</f>
        <v>10133.0833148475</v>
      </c>
      <c r="V28" s="7" t="n">
        <f aca="false">P28+R28+S28+T28</f>
        <v>44.87</v>
      </c>
      <c r="W28" s="7"/>
      <c r="X28" s="7" t="n">
        <f aca="false">V28+W28</f>
        <v>44.87</v>
      </c>
      <c r="Y28" s="11" t="n">
        <v>0.4</v>
      </c>
      <c r="Z28" s="38" t="n">
        <v>62</v>
      </c>
      <c r="AA28" s="12" t="n">
        <v>36</v>
      </c>
      <c r="AB28" s="13" t="n">
        <f aca="false">AB27+1</f>
        <v>19</v>
      </c>
      <c r="AC28" s="14" t="n">
        <v>49</v>
      </c>
      <c r="AD28" s="29" t="n">
        <v>4218</v>
      </c>
      <c r="AE28" s="0" t="n">
        <v>23.79</v>
      </c>
    </row>
    <row r="29" customFormat="false" ht="11.1" hidden="false" customHeight="true" outlineLevel="0" collapsed="false">
      <c r="A29" s="13" t="n">
        <f aca="false">A28+1</f>
        <v>20</v>
      </c>
      <c r="B29" s="27" t="n">
        <v>6909.42</v>
      </c>
      <c r="C29" s="46" t="n">
        <v>319667</v>
      </c>
      <c r="D29" s="12" t="n">
        <f aca="false">C29-C28</f>
        <v>1464</v>
      </c>
      <c r="E29" s="8" t="n">
        <f aca="false">C29-152000</f>
        <v>167667</v>
      </c>
      <c r="F29" s="7" t="n">
        <f aca="false">D29/$D$2</f>
        <v>738.275340393343</v>
      </c>
      <c r="G29" s="7" t="n">
        <v>783.2</v>
      </c>
      <c r="H29" s="9" t="n">
        <v>0</v>
      </c>
      <c r="I29" s="7" t="n">
        <f aca="false">G29+H29</f>
        <v>783.2</v>
      </c>
      <c r="J29" s="38"/>
      <c r="K29" s="7" t="n">
        <f aca="false">I29+J29</f>
        <v>783.2</v>
      </c>
      <c r="L29" s="7" t="n">
        <f aca="false">F29-(I29-V29)</f>
        <v>-0.0346596066566462</v>
      </c>
      <c r="M29" s="7" t="n">
        <v>4.56</v>
      </c>
      <c r="N29" s="7" t="n">
        <v>0</v>
      </c>
      <c r="O29" s="7"/>
      <c r="P29" s="7" t="n">
        <f aca="false">SUM(M29:O29)</f>
        <v>4.56</v>
      </c>
      <c r="Q29" s="8"/>
      <c r="R29" s="7"/>
      <c r="S29" s="7"/>
      <c r="T29" s="7" t="n">
        <v>40.33</v>
      </c>
      <c r="U29" s="8" t="n">
        <f aca="false">U28-T29</f>
        <v>10092.7533148475</v>
      </c>
      <c r="V29" s="7" t="n">
        <f aca="false">P29+R29+S29+T29</f>
        <v>44.89</v>
      </c>
      <c r="W29" s="7"/>
      <c r="X29" s="7" t="n">
        <f aca="false">V29+W29</f>
        <v>44.89</v>
      </c>
      <c r="Y29" s="11" t="n">
        <v>0</v>
      </c>
      <c r="Z29" s="38" t="n">
        <v>53</v>
      </c>
      <c r="AA29" s="12" t="n">
        <v>33</v>
      </c>
      <c r="AB29" s="13" t="n">
        <f aca="false">AB28+1</f>
        <v>20</v>
      </c>
      <c r="AC29" s="14" t="n">
        <v>49</v>
      </c>
      <c r="AD29" s="29" t="n">
        <v>4275</v>
      </c>
      <c r="AE29" s="0" t="n">
        <v>23.99</v>
      </c>
    </row>
    <row r="30" customFormat="false" ht="11.1" hidden="false" customHeight="true" outlineLevel="0" collapsed="false">
      <c r="A30" s="13" t="n">
        <f aca="false">A29+1</f>
        <v>21</v>
      </c>
      <c r="B30" s="27" t="n">
        <v>6909.65</v>
      </c>
      <c r="C30" s="8" t="n">
        <v>320592</v>
      </c>
      <c r="D30" s="12" t="n">
        <f aca="false">C30-C29</f>
        <v>925</v>
      </c>
      <c r="E30" s="8" t="n">
        <f aca="false">C30-152000</f>
        <v>168592</v>
      </c>
      <c r="F30" s="7" t="n">
        <f aca="false">D30/$D$2</f>
        <v>466.464952092789</v>
      </c>
      <c r="G30" s="7" t="n">
        <v>502.714952092789</v>
      </c>
      <c r="H30" s="9" t="n">
        <v>0</v>
      </c>
      <c r="I30" s="7" t="n">
        <f aca="false">G30+H30</f>
        <v>502.714952092789</v>
      </c>
      <c r="J30" s="38"/>
      <c r="K30" s="7" t="n">
        <f aca="false">I30+J30</f>
        <v>502.714952092789</v>
      </c>
      <c r="L30" s="7" t="s">
        <v>60</v>
      </c>
      <c r="M30" s="7" t="n">
        <v>4.4</v>
      </c>
      <c r="N30" s="7" t="n">
        <v>0</v>
      </c>
      <c r="O30" s="7"/>
      <c r="P30" s="7" t="n">
        <f aca="false">SUM(M30:O30)</f>
        <v>4.4</v>
      </c>
      <c r="Q30" s="8"/>
      <c r="R30" s="7"/>
      <c r="S30" s="7"/>
      <c r="T30" s="7" t="n">
        <v>39.18</v>
      </c>
      <c r="U30" s="8" t="n">
        <f aca="false">U29-T30</f>
        <v>10053.5733148475</v>
      </c>
      <c r="V30" s="7" t="n">
        <f aca="false">P30+R30+S30+T30</f>
        <v>43.58</v>
      </c>
      <c r="W30" s="7"/>
      <c r="X30" s="7" t="n">
        <f aca="false">V30+W30</f>
        <v>43.58</v>
      </c>
      <c r="Y30" s="11" t="n">
        <v>0</v>
      </c>
      <c r="Z30" s="12" t="n">
        <v>54</v>
      </c>
      <c r="AA30" s="12" t="n">
        <v>26</v>
      </c>
      <c r="AB30" s="13" t="n">
        <f aca="false">AB29+1</f>
        <v>21</v>
      </c>
      <c r="AC30" s="14" t="n">
        <v>49</v>
      </c>
      <c r="AD30" s="29" t="n">
        <v>4290</v>
      </c>
      <c r="AE30" s="0" t="n">
        <v>21.64</v>
      </c>
    </row>
    <row r="31" customFormat="false" ht="11.1" hidden="false" customHeight="true" outlineLevel="0" collapsed="false">
      <c r="A31" s="13" t="n">
        <f aca="false">A30+1</f>
        <v>22</v>
      </c>
      <c r="B31" s="27" t="n">
        <v>6909.9</v>
      </c>
      <c r="C31" s="8" t="n">
        <v>321588</v>
      </c>
      <c r="D31" s="12" t="n">
        <f aca="false">C31-C30</f>
        <v>996</v>
      </c>
      <c r="E31" s="8" t="n">
        <f aca="false">C31-152000</f>
        <v>169588</v>
      </c>
      <c r="F31" s="7" t="n">
        <f aca="false">D31/$D$2</f>
        <v>502.269288956127</v>
      </c>
      <c r="G31" s="7" t="n">
        <v>186.97</v>
      </c>
      <c r="H31" s="9" t="n">
        <v>0</v>
      </c>
      <c r="I31" s="7" t="n">
        <f aca="false">G31+H31</f>
        <v>186.97</v>
      </c>
      <c r="J31" s="38" t="n">
        <v>358.389288956127</v>
      </c>
      <c r="K31" s="7" t="n">
        <f aca="false">I31+J31</f>
        <v>545.359288956127</v>
      </c>
      <c r="L31" s="7" t="n">
        <f aca="false">F31-(I31-V31)</f>
        <v>358.389288956127</v>
      </c>
      <c r="M31" s="7" t="n">
        <v>4.29</v>
      </c>
      <c r="N31" s="7" t="n">
        <v>0</v>
      </c>
      <c r="O31" s="7"/>
      <c r="P31" s="7" t="n">
        <f aca="false">SUM(M31:O31)</f>
        <v>4.29</v>
      </c>
      <c r="Q31" s="8"/>
      <c r="R31" s="7"/>
      <c r="S31" s="7"/>
      <c r="T31" s="7" t="n">
        <v>38.8</v>
      </c>
      <c r="U31" s="8" t="n">
        <f aca="false">U30-T31</f>
        <v>10014.7733148475</v>
      </c>
      <c r="V31" s="7" t="n">
        <f aca="false">P31+R31+S31+T31</f>
        <v>43.09</v>
      </c>
      <c r="W31" s="7"/>
      <c r="X31" s="7" t="n">
        <f aca="false">V31+W31</f>
        <v>43.09</v>
      </c>
      <c r="Y31" s="11" t="n">
        <v>0</v>
      </c>
      <c r="Z31" s="12" t="n">
        <v>56</v>
      </c>
      <c r="AA31" s="12" t="n">
        <v>34</v>
      </c>
      <c r="AB31" s="13" t="n">
        <f aca="false">AB30+1</f>
        <v>22</v>
      </c>
      <c r="AC31" s="14" t="n">
        <v>49</v>
      </c>
      <c r="AD31" s="29" t="n">
        <v>4305</v>
      </c>
      <c r="AE31" s="0" t="n">
        <v>25.53</v>
      </c>
    </row>
    <row r="32" customFormat="false" ht="11.1" hidden="false" customHeight="true" outlineLevel="0" collapsed="false">
      <c r="A32" s="13" t="n">
        <f aca="false">A31+1</f>
        <v>23</v>
      </c>
      <c r="B32" s="27" t="n">
        <v>6910.1</v>
      </c>
      <c r="C32" s="8" t="n">
        <v>322388</v>
      </c>
      <c r="D32" s="12" t="n">
        <f aca="false">C32-C31</f>
        <v>800</v>
      </c>
      <c r="E32" s="8" t="n">
        <f aca="false">C32-152000</f>
        <v>170388</v>
      </c>
      <c r="F32" s="7" t="n">
        <f aca="false">D32/$D$2</f>
        <v>403.429147755925</v>
      </c>
      <c r="G32" s="7" t="n">
        <v>189.6</v>
      </c>
      <c r="H32" s="9" t="n">
        <v>0</v>
      </c>
      <c r="I32" s="7" t="n">
        <f aca="false">G32+H32</f>
        <v>189.6</v>
      </c>
      <c r="J32" s="38" t="n">
        <v>258.239147755925</v>
      </c>
      <c r="K32" s="7" t="n">
        <f aca="false">I32+J32</f>
        <v>447.839147755925</v>
      </c>
      <c r="L32" s="7" t="n">
        <f aca="false">F32-(I32-V32)</f>
        <v>258.239147755925</v>
      </c>
      <c r="M32" s="7" t="n">
        <v>4.8</v>
      </c>
      <c r="N32" s="7" t="n">
        <v>0</v>
      </c>
      <c r="O32" s="7"/>
      <c r="P32" s="7" t="n">
        <f aca="false">SUM(M32:O32)</f>
        <v>4.8</v>
      </c>
      <c r="Q32" s="8"/>
      <c r="R32" s="7"/>
      <c r="S32" s="7"/>
      <c r="T32" s="7" t="n">
        <v>39.61</v>
      </c>
      <c r="U32" s="8" t="n">
        <f aca="false">U31-T32</f>
        <v>9975.16331484748</v>
      </c>
      <c r="V32" s="7" t="n">
        <f aca="false">P32+R32+S32+T32</f>
        <v>44.41</v>
      </c>
      <c r="W32" s="7"/>
      <c r="X32" s="7" t="n">
        <f aca="false">V32+W32</f>
        <v>44.41</v>
      </c>
      <c r="Y32" s="11" t="n">
        <v>0</v>
      </c>
      <c r="Z32" s="12" t="n">
        <v>58</v>
      </c>
      <c r="AA32" s="38" t="n">
        <v>32</v>
      </c>
      <c r="AB32" s="13" t="n">
        <f aca="false">AB31+1</f>
        <v>23</v>
      </c>
      <c r="AC32" s="14" t="n">
        <v>49</v>
      </c>
      <c r="AD32" s="29" t="n">
        <v>4320</v>
      </c>
      <c r="AE32" s="0" t="n">
        <v>20.66</v>
      </c>
    </row>
    <row r="33" customFormat="false" ht="11.1" hidden="false" customHeight="true" outlineLevel="0" collapsed="false">
      <c r="A33" s="13" t="n">
        <f aca="false">A32+1</f>
        <v>24</v>
      </c>
      <c r="B33" s="27" t="n">
        <v>6910.28</v>
      </c>
      <c r="C33" s="8" t="n">
        <v>323109</v>
      </c>
      <c r="D33" s="12" t="n">
        <f aca="false">C33-C32</f>
        <v>721</v>
      </c>
      <c r="E33" s="8" t="n">
        <f aca="false">C33-152000</f>
        <v>171109</v>
      </c>
      <c r="F33" s="7" t="n">
        <f aca="false">D33/$D$2</f>
        <v>363.590519415028</v>
      </c>
      <c r="G33" s="7" t="n">
        <v>175.59</v>
      </c>
      <c r="H33" s="9" t="n">
        <v>0</v>
      </c>
      <c r="I33" s="7" t="n">
        <f aca="false">G33+H33</f>
        <v>175.59</v>
      </c>
      <c r="J33" s="38" t="n">
        <v>237.430519415028</v>
      </c>
      <c r="K33" s="7" t="n">
        <f aca="false">I33+J33</f>
        <v>413.020519415028</v>
      </c>
      <c r="L33" s="7" t="n">
        <f aca="false">F33-(I33-V33)</f>
        <v>237.430519415028</v>
      </c>
      <c r="M33" s="7" t="n">
        <v>9.2</v>
      </c>
      <c r="N33" s="7" t="n">
        <v>0</v>
      </c>
      <c r="O33" s="7"/>
      <c r="P33" s="7" t="n">
        <f aca="false">SUM(M33:O33)</f>
        <v>9.2</v>
      </c>
      <c r="Q33" s="8"/>
      <c r="R33" s="7"/>
      <c r="S33" s="7"/>
      <c r="T33" s="7" t="n">
        <v>40.23</v>
      </c>
      <c r="U33" s="8" t="n">
        <f aca="false">U32-T33</f>
        <v>9934.93331484748</v>
      </c>
      <c r="V33" s="7" t="n">
        <f aca="false">P33+R33+S33+T33</f>
        <v>49.43</v>
      </c>
      <c r="W33" s="7"/>
      <c r="X33" s="7" t="n">
        <f aca="false">V33+W33</f>
        <v>49.43</v>
      </c>
      <c r="Y33" s="11" t="n">
        <v>0.08</v>
      </c>
      <c r="Z33" s="12" t="n">
        <v>52</v>
      </c>
      <c r="AA33" s="38" t="n">
        <v>32</v>
      </c>
      <c r="AB33" s="13" t="n">
        <f aca="false">AB32+1</f>
        <v>24</v>
      </c>
      <c r="AC33" s="14" t="n">
        <v>49</v>
      </c>
      <c r="AD33" s="29" t="n">
        <v>4335</v>
      </c>
      <c r="AE33" s="0" t="n">
        <v>20.3</v>
      </c>
    </row>
    <row r="34" customFormat="false" ht="11.1" hidden="false" customHeight="true" outlineLevel="0" collapsed="false">
      <c r="A34" s="13" t="n">
        <f aca="false">A33+1</f>
        <v>25</v>
      </c>
      <c r="B34" s="27" t="n">
        <v>6910.45</v>
      </c>
      <c r="C34" s="8" t="n">
        <v>323793</v>
      </c>
      <c r="D34" s="12" t="n">
        <f aca="false">C34-C33</f>
        <v>684</v>
      </c>
      <c r="E34" s="8" t="n">
        <f aca="false">C34-152000</f>
        <v>171793</v>
      </c>
      <c r="F34" s="7" t="n">
        <f aca="false">D34/$D$2</f>
        <v>344.931921331316</v>
      </c>
      <c r="G34" s="7" t="n">
        <v>163.58</v>
      </c>
      <c r="H34" s="9" t="n">
        <v>0</v>
      </c>
      <c r="I34" s="7" t="n">
        <f aca="false">G34+H34</f>
        <v>163.58</v>
      </c>
      <c r="J34" s="38" t="n">
        <v>233.731921331316</v>
      </c>
      <c r="K34" s="7" t="n">
        <f aca="false">I34+J34</f>
        <v>397.311921331316</v>
      </c>
      <c r="L34" s="7" t="n">
        <f aca="false">F34-(I34-V34)</f>
        <v>233.731921331316</v>
      </c>
      <c r="M34" s="7" t="n">
        <v>12.51</v>
      </c>
      <c r="N34" s="7" t="n">
        <v>0</v>
      </c>
      <c r="O34" s="7"/>
      <c r="P34" s="7" t="n">
        <f aca="false">SUM(M34:O34)</f>
        <v>12.51</v>
      </c>
      <c r="Q34" s="8"/>
      <c r="R34" s="7"/>
      <c r="S34" s="7"/>
      <c r="T34" s="7" t="n">
        <v>39.87</v>
      </c>
      <c r="U34" s="8" t="n">
        <f aca="false">U33-T34</f>
        <v>9895.06331484748</v>
      </c>
      <c r="V34" s="7" t="n">
        <f aca="false">P34+R34+S34+T34</f>
        <v>52.38</v>
      </c>
      <c r="W34" s="7"/>
      <c r="X34" s="7" t="n">
        <f aca="false">V34+W34</f>
        <v>52.38</v>
      </c>
      <c r="Y34" s="11" t="n">
        <v>0</v>
      </c>
      <c r="Z34" s="12" t="n">
        <v>54</v>
      </c>
      <c r="AA34" s="38" t="n">
        <v>32</v>
      </c>
      <c r="AB34" s="13" t="n">
        <f aca="false">AB33+1</f>
        <v>25</v>
      </c>
      <c r="AC34" s="14" t="n">
        <v>49</v>
      </c>
      <c r="AD34" s="29" t="n">
        <v>4360</v>
      </c>
      <c r="AE34" s="0" t="n">
        <v>19.78</v>
      </c>
    </row>
    <row r="35" customFormat="false" ht="11.1" hidden="false" customHeight="true" outlineLevel="0" collapsed="false">
      <c r="A35" s="13" t="n">
        <f aca="false">A34+1</f>
        <v>26</v>
      </c>
      <c r="B35" s="27" t="n">
        <v>6910.57</v>
      </c>
      <c r="C35" s="8" t="n">
        <v>324273</v>
      </c>
      <c r="D35" s="12" t="n">
        <f aca="false">C35-C34</f>
        <v>480</v>
      </c>
      <c r="E35" s="8" t="n">
        <f aca="false">C35-152000</f>
        <v>172273</v>
      </c>
      <c r="F35" s="7" t="n">
        <f aca="false">D35/$D$2</f>
        <v>242.057488653555</v>
      </c>
      <c r="G35" s="7" t="n">
        <v>156.11</v>
      </c>
      <c r="H35" s="9" t="n">
        <v>0</v>
      </c>
      <c r="I35" s="7" t="n">
        <f aca="false">G35+H35</f>
        <v>156.11</v>
      </c>
      <c r="J35" s="38" t="n">
        <v>131.167488653555</v>
      </c>
      <c r="K35" s="7" t="n">
        <f aca="false">I35+J35</f>
        <v>287.277488653555</v>
      </c>
      <c r="L35" s="7" t="n">
        <f aca="false">F35-(I35-V35)</f>
        <v>131.167488653555</v>
      </c>
      <c r="M35" s="7" t="n">
        <v>4.76</v>
      </c>
      <c r="N35" s="7" t="n">
        <v>0</v>
      </c>
      <c r="O35" s="7"/>
      <c r="P35" s="7" t="n">
        <f aca="false">SUM(M35:O35)</f>
        <v>4.76</v>
      </c>
      <c r="Q35" s="8"/>
      <c r="R35" s="7"/>
      <c r="S35" s="7"/>
      <c r="T35" s="7" t="n">
        <v>40.46</v>
      </c>
      <c r="U35" s="8" t="n">
        <f aca="false">U34-T35</f>
        <v>9854.60331484748</v>
      </c>
      <c r="V35" s="7" t="n">
        <f aca="false">P35+R35+S35+T35</f>
        <v>45.22</v>
      </c>
      <c r="W35" s="7"/>
      <c r="X35" s="7" t="n">
        <f aca="false">V35+W35</f>
        <v>45.22</v>
      </c>
      <c r="Y35" s="11" t="n">
        <v>0</v>
      </c>
      <c r="Z35" s="12" t="n">
        <v>48</v>
      </c>
      <c r="AA35" s="12" t="n">
        <v>29</v>
      </c>
      <c r="AB35" s="13" t="n">
        <f aca="false">AB34+1</f>
        <v>26</v>
      </c>
      <c r="AC35" s="14" t="n">
        <v>49</v>
      </c>
      <c r="AD35" s="29" t="n">
        <v>4385</v>
      </c>
      <c r="AE35" s="0" t="n">
        <v>20.79</v>
      </c>
    </row>
    <row r="36" customFormat="false" ht="11.1" hidden="false" customHeight="true" outlineLevel="0" collapsed="false">
      <c r="A36" s="13" t="n">
        <f aca="false">A35+1</f>
        <v>27</v>
      </c>
      <c r="B36" s="27" t="n">
        <v>6910.68</v>
      </c>
      <c r="C36" s="8" t="n">
        <v>324716</v>
      </c>
      <c r="D36" s="12" t="n">
        <f aca="false">C36-C35</f>
        <v>443</v>
      </c>
      <c r="E36" s="8" t="n">
        <f aca="false">C36-152000</f>
        <v>172716</v>
      </c>
      <c r="F36" s="7" t="n">
        <f aca="false">D36/$D$2</f>
        <v>223.398890569844</v>
      </c>
      <c r="G36" s="7" t="n">
        <v>153.66</v>
      </c>
      <c r="H36" s="9" t="n">
        <v>0</v>
      </c>
      <c r="I36" s="7" t="n">
        <f aca="false">G36+H36</f>
        <v>153.66</v>
      </c>
      <c r="J36" s="38" t="n">
        <v>116.468890569844</v>
      </c>
      <c r="K36" s="7" t="n">
        <f aca="false">I36+J36</f>
        <v>270.128890569844</v>
      </c>
      <c r="L36" s="7" t="n">
        <f aca="false">F36-(I36-V36)</f>
        <v>116.468890569844</v>
      </c>
      <c r="M36" s="7" t="n">
        <v>6.23</v>
      </c>
      <c r="N36" s="7" t="n">
        <v>0</v>
      </c>
      <c r="O36" s="7"/>
      <c r="P36" s="7" t="n">
        <f aca="false">SUM(M36:O36)</f>
        <v>6.23</v>
      </c>
      <c r="Q36" s="8"/>
      <c r="R36" s="7"/>
      <c r="S36" s="7"/>
      <c r="T36" s="7" t="n">
        <v>40.5</v>
      </c>
      <c r="U36" s="8" t="n">
        <f aca="false">U35-T36</f>
        <v>9814.10331484748</v>
      </c>
      <c r="V36" s="7" t="n">
        <f aca="false">P36+R36+S36+T36</f>
        <v>46.73</v>
      </c>
      <c r="W36" s="7"/>
      <c r="X36" s="7" t="n">
        <f aca="false">V36+W36</f>
        <v>46.73</v>
      </c>
      <c r="Y36" s="11" t="n">
        <v>0</v>
      </c>
      <c r="Z36" s="12" t="n">
        <v>46</v>
      </c>
      <c r="AA36" s="12" t="n">
        <v>26</v>
      </c>
      <c r="AB36" s="13" t="n">
        <f aca="false">AB35+1</f>
        <v>27</v>
      </c>
      <c r="AC36" s="14" t="n">
        <v>49</v>
      </c>
      <c r="AD36" s="29" t="n">
        <v>4410</v>
      </c>
      <c r="AE36" s="0" t="n">
        <v>21.41</v>
      </c>
    </row>
    <row r="37" customFormat="false" ht="11.1" hidden="false" customHeight="true" outlineLevel="0" collapsed="false">
      <c r="A37" s="13" t="n">
        <f aca="false">A36+1</f>
        <v>28</v>
      </c>
      <c r="B37" s="27" t="n">
        <v>6910.75</v>
      </c>
      <c r="C37" s="8" t="n">
        <v>324996</v>
      </c>
      <c r="D37" s="12" t="n">
        <f aca="false">C37-C36</f>
        <v>280</v>
      </c>
      <c r="E37" s="8" t="n">
        <f aca="false">C37-152000</f>
        <v>172996</v>
      </c>
      <c r="F37" s="7" t="n">
        <f aca="false">D37/$D$2</f>
        <v>141.200201714574</v>
      </c>
      <c r="G37" s="7" t="n">
        <v>120.94</v>
      </c>
      <c r="H37" s="9" t="n">
        <v>0</v>
      </c>
      <c r="I37" s="7" t="n">
        <f aca="false">G37+H37</f>
        <v>120.94</v>
      </c>
      <c r="J37" s="38" t="n">
        <v>66.2702017145739</v>
      </c>
      <c r="K37" s="7" t="n">
        <f aca="false">I37+J37</f>
        <v>187.210201714574</v>
      </c>
      <c r="L37" s="7" t="n">
        <f aca="false">F37-(I37-V37)</f>
        <v>66.2702017145739</v>
      </c>
      <c r="M37" s="7" t="n">
        <v>5.51</v>
      </c>
      <c r="N37" s="7" t="n">
        <v>0</v>
      </c>
      <c r="O37" s="7"/>
      <c r="P37" s="7" t="n">
        <f aca="false">SUM(M37:O37)</f>
        <v>5.51</v>
      </c>
      <c r="Q37" s="8"/>
      <c r="R37" s="7"/>
      <c r="S37" s="7"/>
      <c r="T37" s="7" t="n">
        <v>40.5</v>
      </c>
      <c r="U37" s="8" t="n">
        <f aca="false">U36-T37</f>
        <v>9773.60331484748</v>
      </c>
      <c r="V37" s="7" t="n">
        <f aca="false">P37+R37+S37+T37</f>
        <v>46.01</v>
      </c>
      <c r="W37" s="7"/>
      <c r="X37" s="7" t="n">
        <f aca="false">V37+W37</f>
        <v>46.01</v>
      </c>
      <c r="Y37" s="11" t="n">
        <v>0</v>
      </c>
      <c r="Z37" s="12" t="n">
        <v>50</v>
      </c>
      <c r="AA37" s="12" t="n">
        <v>10</v>
      </c>
      <c r="AB37" s="13" t="n">
        <f aca="false">AB36+1</f>
        <v>28</v>
      </c>
      <c r="AC37" s="14" t="n">
        <v>49</v>
      </c>
      <c r="AD37" s="29" t="n">
        <v>4435</v>
      </c>
      <c r="AE37" s="0" t="n">
        <v>21.23</v>
      </c>
    </row>
    <row r="38" customFormat="false" ht="11.1" hidden="false" customHeight="true" outlineLevel="0" collapsed="false">
      <c r="A38" s="13" t="n">
        <f aca="false">A37+1</f>
        <v>29</v>
      </c>
      <c r="B38" s="27" t="n">
        <v>6910.88</v>
      </c>
      <c r="C38" s="8" t="n">
        <v>325517</v>
      </c>
      <c r="D38" s="12" t="n">
        <f aca="false">C38-C37</f>
        <v>521</v>
      </c>
      <c r="E38" s="8" t="n">
        <f aca="false">C38-152000</f>
        <v>173517</v>
      </c>
      <c r="F38" s="7" t="n">
        <f aca="false">D38/$D$2</f>
        <v>262.733232476046</v>
      </c>
      <c r="G38" s="7" t="n">
        <v>138.27</v>
      </c>
      <c r="H38" s="9" t="n">
        <v>0</v>
      </c>
      <c r="I38" s="7" t="n">
        <f aca="false">G38+H38</f>
        <v>138.27</v>
      </c>
      <c r="J38" s="38" t="n">
        <v>170.093232476046</v>
      </c>
      <c r="K38" s="7" t="n">
        <f aca="false">I38+J38</f>
        <v>308.363232476046</v>
      </c>
      <c r="L38" s="7" t="n">
        <f aca="false">F38-(I38-V38)</f>
        <v>170.093232476046</v>
      </c>
      <c r="M38" s="7" t="n">
        <v>5.17</v>
      </c>
      <c r="N38" s="7" t="n">
        <v>0</v>
      </c>
      <c r="O38" s="7"/>
      <c r="P38" s="7" t="n">
        <f aca="false">SUM(M38:O38)</f>
        <v>5.17</v>
      </c>
      <c r="Q38" s="8"/>
      <c r="R38" s="7"/>
      <c r="S38" s="7"/>
      <c r="T38" s="7" t="n">
        <v>40.46</v>
      </c>
      <c r="U38" s="8" t="n">
        <f aca="false">U37-T38</f>
        <v>9733.14331484748</v>
      </c>
      <c r="V38" s="7" t="n">
        <f aca="false">P38+R38+S38+T38</f>
        <v>45.63</v>
      </c>
      <c r="W38" s="7"/>
      <c r="X38" s="7" t="n">
        <f aca="false">V38+W38</f>
        <v>45.63</v>
      </c>
      <c r="Y38" s="11" t="n">
        <v>0</v>
      </c>
      <c r="Z38" s="38" t="n">
        <v>56</v>
      </c>
      <c r="AA38" s="12" t="n">
        <v>22</v>
      </c>
      <c r="AB38" s="13" t="n">
        <f aca="false">AB37+1</f>
        <v>29</v>
      </c>
      <c r="AC38" s="14" t="n">
        <v>49</v>
      </c>
      <c r="AD38" s="29" t="n">
        <v>0</v>
      </c>
      <c r="AE38" s="0" t="n">
        <v>21.6</v>
      </c>
    </row>
    <row r="39" customFormat="false" ht="11.1" hidden="false" customHeight="true" outlineLevel="0" collapsed="false">
      <c r="A39" s="13" t="n">
        <v>30</v>
      </c>
      <c r="B39" s="27" t="n">
        <v>6910.98</v>
      </c>
      <c r="C39" s="8" t="n">
        <v>325919</v>
      </c>
      <c r="D39" s="12" t="n">
        <f aca="false">C39-C38</f>
        <v>402</v>
      </c>
      <c r="E39" s="8" t="n">
        <f aca="false">C39-152000</f>
        <v>173919</v>
      </c>
      <c r="F39" s="7" t="n">
        <f aca="false">D39/$D$2</f>
        <v>202.723146747352</v>
      </c>
      <c r="G39" s="7" t="n">
        <v>140.21</v>
      </c>
      <c r="H39" s="9" t="n">
        <v>0</v>
      </c>
      <c r="I39" s="7" t="n">
        <f aca="false">G39+H39</f>
        <v>140.21</v>
      </c>
      <c r="J39" s="38" t="n">
        <v>119.763146747352</v>
      </c>
      <c r="K39" s="7" t="n">
        <f aca="false">I39+J39</f>
        <v>259.973146747352</v>
      </c>
      <c r="L39" s="7" t="n">
        <f aca="false">F39-(I39-V39)</f>
        <v>119.763146747352</v>
      </c>
      <c r="M39" s="7" t="n">
        <v>16.75</v>
      </c>
      <c r="N39" s="7" t="n">
        <v>0</v>
      </c>
      <c r="O39" s="7"/>
      <c r="P39" s="7" t="n">
        <f aca="false">SUM(M39:O39)</f>
        <v>16.75</v>
      </c>
      <c r="Q39" s="8"/>
      <c r="R39" s="7"/>
      <c r="S39" s="7"/>
      <c r="T39" s="7" t="n">
        <v>40.5</v>
      </c>
      <c r="U39" s="8" t="n">
        <f aca="false">U38-T39</f>
        <v>9692.64331484748</v>
      </c>
      <c r="V39" s="7" t="n">
        <f aca="false">P39+R39+S39+T39</f>
        <v>57.25</v>
      </c>
      <c r="W39" s="7"/>
      <c r="X39" s="7" t="n">
        <f aca="false">V39+W39</f>
        <v>57.25</v>
      </c>
      <c r="Y39" s="11" t="n">
        <v>0</v>
      </c>
      <c r="Z39" s="38" t="n">
        <v>55</v>
      </c>
      <c r="AA39" s="12" t="n">
        <v>20</v>
      </c>
      <c r="AB39" s="13" t="n">
        <v>30</v>
      </c>
      <c r="AC39" s="14" t="n">
        <v>49</v>
      </c>
      <c r="AD39" s="29" t="n">
        <v>17819</v>
      </c>
      <c r="AE39" s="0" t="n">
        <v>21.6</v>
      </c>
    </row>
    <row r="40" customFormat="false" ht="11.1" hidden="false" customHeight="true" outlineLevel="0" collapsed="false">
      <c r="A40" s="13" t="n">
        <v>31</v>
      </c>
      <c r="B40" s="27" t="n">
        <v>6911.13</v>
      </c>
      <c r="C40" s="8" t="n">
        <v>326524</v>
      </c>
      <c r="D40" s="12" t="n">
        <f aca="false">C40-C39</f>
        <v>605</v>
      </c>
      <c r="E40" s="8" t="n">
        <f aca="false">C40-152000</f>
        <v>174524</v>
      </c>
      <c r="F40" s="7" t="n">
        <f aca="false">D40/$D$2</f>
        <v>305.093292990419</v>
      </c>
      <c r="G40" s="7" t="n">
        <v>156.52</v>
      </c>
      <c r="H40" s="9" t="n">
        <v>0</v>
      </c>
      <c r="I40" s="7" t="n">
        <f aca="false">G40+H40</f>
        <v>156.52</v>
      </c>
      <c r="J40" s="38" t="n">
        <v>232.863292990419</v>
      </c>
      <c r="K40" s="7" t="n">
        <f aca="false">I40+J40</f>
        <v>389.383292990419</v>
      </c>
      <c r="L40" s="7" t="n">
        <f aca="false">F40-(I40-V40)</f>
        <v>232.863292990419</v>
      </c>
      <c r="M40" s="7" t="n">
        <v>43.79</v>
      </c>
      <c r="N40" s="7" t="n">
        <v>0</v>
      </c>
      <c r="O40" s="7"/>
      <c r="P40" s="7" t="n">
        <f aca="false">SUM(M40:O40)</f>
        <v>43.79</v>
      </c>
      <c r="Q40" s="8"/>
      <c r="R40" s="7"/>
      <c r="S40" s="7"/>
      <c r="T40" s="7" t="n">
        <v>40.5</v>
      </c>
      <c r="U40" s="8" t="n">
        <f aca="false">U39-T40</f>
        <v>9652.14331484748</v>
      </c>
      <c r="V40" s="7" t="n">
        <f aca="false">P40+R40+S40+T40</f>
        <v>84.29</v>
      </c>
      <c r="W40" s="7"/>
      <c r="X40" s="7" t="n">
        <f aca="false">V40+W40</f>
        <v>84.29</v>
      </c>
      <c r="Y40" s="11" t="n">
        <v>0</v>
      </c>
      <c r="Z40" s="38" t="n">
        <v>61</v>
      </c>
      <c r="AA40" s="12" t="n">
        <v>25</v>
      </c>
      <c r="AB40" s="13" t="n">
        <v>31</v>
      </c>
      <c r="AC40" s="14" t="n">
        <v>49</v>
      </c>
      <c r="AD40" s="29" t="n">
        <v>17902</v>
      </c>
      <c r="AE40" s="0" t="n">
        <v>21.6</v>
      </c>
    </row>
    <row r="41" customFormat="false" ht="3" hidden="false" customHeight="true" outlineLevel="0" collapsed="false">
      <c r="A41" s="30"/>
      <c r="B41" s="30"/>
      <c r="C41" s="32"/>
      <c r="D41" s="30"/>
      <c r="E41" s="32"/>
      <c r="F41" s="30"/>
      <c r="G41" s="30"/>
      <c r="H41" s="33"/>
      <c r="I41" s="30"/>
      <c r="J41" s="30"/>
      <c r="K41" s="30"/>
      <c r="L41" s="30"/>
      <c r="M41" s="30"/>
      <c r="N41" s="30"/>
      <c r="O41" s="30"/>
      <c r="P41" s="30"/>
      <c r="Q41" s="32"/>
      <c r="R41" s="30"/>
      <c r="S41" s="30"/>
      <c r="T41" s="30"/>
      <c r="U41" s="30"/>
      <c r="V41" s="30"/>
      <c r="W41" s="30"/>
      <c r="X41" s="30"/>
      <c r="Y41" s="34"/>
      <c r="Z41" s="35" t="n">
        <v>73</v>
      </c>
      <c r="AA41" s="35"/>
      <c r="AB41" s="36"/>
      <c r="AC41" s="14"/>
      <c r="AD41" s="14"/>
    </row>
    <row r="42" customFormat="false" ht="11.1" hidden="false" customHeight="true" outlineLevel="0" collapsed="false">
      <c r="A42" s="7" t="s">
        <v>44</v>
      </c>
      <c r="B42" s="7"/>
      <c r="C42" s="8"/>
      <c r="D42" s="8"/>
      <c r="E42" s="8"/>
      <c r="F42" s="8" t="n">
        <f aca="false">SUM(F10:F40)</f>
        <v>6741.80534543621</v>
      </c>
      <c r="G42" s="8" t="n">
        <f aca="false">SUM(G10:G40)</f>
        <v>6287.06495209279</v>
      </c>
      <c r="H42" s="8" t="n">
        <f aca="false">SUM(H10:H40)</f>
        <v>0</v>
      </c>
      <c r="I42" s="8" t="n">
        <f aca="false">SUM(I10:I40)</f>
        <v>6287.06495209279</v>
      </c>
      <c r="J42" s="8" t="n">
        <f aca="false">SUM(J10:J40)</f>
        <v>1924.41713061019</v>
      </c>
      <c r="K42" s="8" t="n">
        <f aca="false">SUM(K10:K40)</f>
        <v>8211.48208270297</v>
      </c>
      <c r="L42" s="8" t="n">
        <f aca="false">SUM(L10:L40)</f>
        <v>1924.58039334342</v>
      </c>
      <c r="M42" s="8" t="n">
        <f aca="false">SUM(M10:M40)</f>
        <v>233.09</v>
      </c>
      <c r="N42" s="8" t="n">
        <f aca="false">SUM(N10:N40)</f>
        <v>0</v>
      </c>
      <c r="O42" s="8" t="n">
        <f aca="false">SUM(O10:O40)</f>
        <v>0</v>
      </c>
      <c r="P42" s="8" t="n">
        <f aca="false">SUM(P10:P40)</f>
        <v>233.09</v>
      </c>
      <c r="Q42" s="8"/>
      <c r="R42" s="8" t="n">
        <f aca="false">SUM(R10:R40)</f>
        <v>0</v>
      </c>
      <c r="S42" s="8" t="n">
        <f aca="false">SUM(S10:S40)</f>
        <v>0</v>
      </c>
      <c r="T42" s="8" t="n">
        <f aca="false">SUM(T10:T40)</f>
        <v>1244.08</v>
      </c>
      <c r="U42" s="8" t="n">
        <f aca="false">U40</f>
        <v>9652.14331484748</v>
      </c>
      <c r="V42" s="8" t="n">
        <f aca="false">SUM(V10:V40)</f>
        <v>1477.17</v>
      </c>
      <c r="W42" s="8" t="n">
        <f aca="false">SUM(W10:W40)</f>
        <v>0</v>
      </c>
      <c r="X42" s="8" t="n">
        <f aca="false">SUM(X10:X40)</f>
        <v>1477.17</v>
      </c>
      <c r="Y42" s="11" t="n">
        <f aca="false">SUM(Y10:Y40)</f>
        <v>1.11</v>
      </c>
      <c r="Z42" s="12" t="n">
        <f aca="false">AVERAGE(Z10:Z40)</f>
        <v>57.0967741935484</v>
      </c>
      <c r="AA42" s="12" t="n">
        <f aca="false">AVERAGE(AA10:AA40)</f>
        <v>28.3548387096774</v>
      </c>
      <c r="AB42" s="13"/>
      <c r="AC42" s="14"/>
      <c r="AD42" s="14"/>
    </row>
    <row r="43" customFormat="false" ht="11.1" hidden="false" customHeight="true" outlineLevel="0" collapsed="false">
      <c r="A43" s="7" t="s">
        <v>45</v>
      </c>
      <c r="B43" s="7"/>
      <c r="C43" s="8"/>
      <c r="D43" s="8" t="n">
        <f aca="false">SUM(D10:D40)</f>
        <v>13369</v>
      </c>
      <c r="E43" s="8"/>
      <c r="F43" s="8" t="n">
        <f aca="false">F42*$D$2</f>
        <v>13369</v>
      </c>
      <c r="G43" s="8" t="n">
        <f aca="false">G42*$D$2</f>
        <v>12467.2498</v>
      </c>
      <c r="H43" s="8" t="n">
        <f aca="false">H42*$D$2</f>
        <v>0</v>
      </c>
      <c r="I43" s="8" t="n">
        <f aca="false">I42*$D$2</f>
        <v>12467.2498</v>
      </c>
      <c r="J43" s="8" t="n">
        <f aca="false">J42*$D$2</f>
        <v>3816.11917</v>
      </c>
      <c r="K43" s="8" t="n">
        <f aca="false">K42*$D$2</f>
        <v>16283.36897</v>
      </c>
      <c r="L43" s="8" t="n">
        <f aca="false">L42*$D$2</f>
        <v>3816.44292</v>
      </c>
      <c r="M43" s="8" t="n">
        <f aca="false">M42*$D$2</f>
        <v>462.21747</v>
      </c>
      <c r="N43" s="8" t="n">
        <f aca="false">N42*$D$2</f>
        <v>0</v>
      </c>
      <c r="O43" s="8" t="n">
        <f aca="false">O42*$D$2</f>
        <v>0</v>
      </c>
      <c r="P43" s="8" t="n">
        <f aca="false">P42*$D$2</f>
        <v>462.21747</v>
      </c>
      <c r="Q43" s="8"/>
      <c r="R43" s="8" t="n">
        <f aca="false">R42*$D$2</f>
        <v>0</v>
      </c>
      <c r="S43" s="8" t="n">
        <f aca="false">S42*$D$2</f>
        <v>0</v>
      </c>
      <c r="T43" s="8" t="n">
        <f aca="false">T42*$D$2</f>
        <v>2467.01064</v>
      </c>
      <c r="U43" s="8" t="n">
        <f aca="false">U42*$D$2</f>
        <v>19140.2001933426</v>
      </c>
      <c r="V43" s="8" t="n">
        <f aca="false">V42*$D$2</f>
        <v>2929.22811</v>
      </c>
      <c r="W43" s="8" t="n">
        <f aca="false">W42*$D$2</f>
        <v>0</v>
      </c>
      <c r="X43" s="8" t="n">
        <f aca="false">X42*$D$2</f>
        <v>2929.22811</v>
      </c>
      <c r="Y43" s="11"/>
      <c r="Z43" s="12" t="n">
        <f aca="false">MAX(Z10:Z40)</f>
        <v>68</v>
      </c>
      <c r="AA43" s="12" t="n">
        <f aca="false">MAX(AA10:AA40)</f>
        <v>36</v>
      </c>
      <c r="AB43" s="13" t="s">
        <v>46</v>
      </c>
      <c r="AC43" s="14"/>
      <c r="AD43" s="14"/>
    </row>
    <row r="44" customFormat="false" ht="3" hidden="false" customHeight="true" outlineLevel="0" collapsed="false">
      <c r="A44" s="30"/>
      <c r="B44" s="30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0"/>
      <c r="V44" s="32"/>
      <c r="W44" s="32"/>
      <c r="X44" s="32"/>
      <c r="Y44" s="11"/>
      <c r="Z44" s="12"/>
      <c r="AA44" s="12"/>
      <c r="AB44" s="13"/>
      <c r="AC44" s="14"/>
      <c r="AD44" s="14"/>
    </row>
    <row r="45" customFormat="false" ht="11.1" hidden="false" customHeight="true" outlineLevel="0" collapsed="false">
      <c r="A45" s="7" t="s">
        <v>47</v>
      </c>
      <c r="B45" s="7"/>
      <c r="C45" s="8"/>
      <c r="D45" s="8"/>
      <c r="E45" s="8"/>
      <c r="F45" s="8"/>
      <c r="G45" s="8"/>
      <c r="H45" s="1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11"/>
      <c r="Z45" s="12" t="n">
        <f aca="false">MIN(Z10:Z40)</f>
        <v>46</v>
      </c>
      <c r="AA45" s="12" t="n">
        <f aca="false">MIN(AA10:AA40)</f>
        <v>10</v>
      </c>
      <c r="AB45" s="13" t="s">
        <v>48</v>
      </c>
      <c r="AC45" s="14"/>
      <c r="AD45" s="14"/>
    </row>
    <row r="46" customFormat="false" ht="11.1" hidden="false" customHeight="true" outlineLevel="0" collapsed="false">
      <c r="A46" s="7" t="s">
        <v>49</v>
      </c>
      <c r="B46" s="7"/>
      <c r="C46" s="8"/>
      <c r="D46" s="8"/>
      <c r="E46" s="8"/>
      <c r="F46" s="8"/>
      <c r="G46" s="8"/>
      <c r="H46" s="12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11"/>
      <c r="Z46" s="12"/>
      <c r="AA46" s="12"/>
      <c r="AB46" s="13"/>
      <c r="AC46" s="14"/>
      <c r="AD46" s="14"/>
    </row>
    <row r="47" customFormat="false" ht="3" hidden="false" customHeight="true" outlineLevel="0" collapsed="false">
      <c r="A47" s="30"/>
      <c r="B47" s="30"/>
      <c r="C47" s="32"/>
      <c r="D47" s="32"/>
      <c r="E47" s="32"/>
      <c r="F47" s="32"/>
      <c r="G47" s="32"/>
      <c r="H47" s="35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4"/>
      <c r="Z47" s="12"/>
      <c r="AA47" s="12"/>
      <c r="AB47" s="13"/>
      <c r="AC47" s="14"/>
      <c r="AD47" s="14"/>
    </row>
    <row r="48" customFormat="false" ht="11.1" hidden="false" customHeight="true" outlineLevel="0" collapsed="false">
      <c r="A48" s="7" t="s">
        <v>50</v>
      </c>
      <c r="B48" s="7"/>
      <c r="C48" s="8"/>
      <c r="D48" s="8"/>
      <c r="E48" s="8"/>
      <c r="F48" s="8" t="n">
        <f aca="false">F8+F42</f>
        <v>7986.38426626324</v>
      </c>
      <c r="G48" s="8" t="n">
        <f aca="false">G8+G42</f>
        <v>12649.4764498235</v>
      </c>
      <c r="H48" s="12" t="n">
        <f aca="false">H8+H42</f>
        <v>0</v>
      </c>
      <c r="I48" s="8" t="n">
        <f aca="false">I8+I42</f>
        <v>12648.6678769541</v>
      </c>
      <c r="J48" s="8" t="n">
        <f aca="false">J8+J42</f>
        <v>1973.712899647</v>
      </c>
      <c r="K48" s="8" t="n">
        <f aca="false">K8+K42</f>
        <v>14622.3807766011</v>
      </c>
      <c r="L48" s="8" t="n">
        <f aca="false">L8+L42</f>
        <v>1506.03638930913</v>
      </c>
      <c r="M48" s="8" t="n">
        <f aca="false">M8+M42</f>
        <v>912.24</v>
      </c>
      <c r="N48" s="8" t="n">
        <f aca="false">N8+N42</f>
        <v>0</v>
      </c>
      <c r="O48" s="8" t="n">
        <f aca="false">O8+O42</f>
        <v>0</v>
      </c>
      <c r="P48" s="8" t="n">
        <f aca="false">P8+P42</f>
        <v>912.24</v>
      </c>
      <c r="Q48" s="8"/>
      <c r="R48" s="8" t="n">
        <f aca="false">R8+R42</f>
        <v>0</v>
      </c>
      <c r="S48" s="8" t="n">
        <f aca="false">S8+S42</f>
        <v>0</v>
      </c>
      <c r="T48" s="8" t="n">
        <f aca="false">T8+T42</f>
        <v>5263.41</v>
      </c>
      <c r="U48" s="8" t="n">
        <f aca="false">U40</f>
        <v>9652.14331484748</v>
      </c>
      <c r="V48" s="8" t="n">
        <f aca="false">V8+V42</f>
        <v>6175.65</v>
      </c>
      <c r="W48" s="8" t="n">
        <f aca="false">W8+W42</f>
        <v>489.78776096823</v>
      </c>
      <c r="X48" s="8" t="n">
        <f aca="false">X8+X42</f>
        <v>6665.43776096823</v>
      </c>
      <c r="Y48" s="28" t="n">
        <f aca="false">Y8+Y42</f>
        <v>6.56</v>
      </c>
      <c r="Z48" s="12"/>
      <c r="AA48" s="12"/>
      <c r="AB48" s="13"/>
      <c r="AC48" s="14"/>
      <c r="AD48" s="14"/>
    </row>
    <row r="49" customFormat="false" ht="11.1" hidden="false" customHeight="true" outlineLevel="0" collapsed="false">
      <c r="A49" s="7" t="s">
        <v>51</v>
      </c>
      <c r="B49" s="7"/>
      <c r="C49" s="8"/>
      <c r="D49" s="8" t="n">
        <f aca="false">D8+D43</f>
        <v>15837</v>
      </c>
      <c r="E49" s="8" t="n">
        <f aca="false">E40</f>
        <v>174524</v>
      </c>
      <c r="F49" s="8" t="n">
        <f aca="false">F48*$D$2</f>
        <v>15837</v>
      </c>
      <c r="G49" s="8" t="n">
        <f aca="false">G48*$D$2</f>
        <v>25083.9118</v>
      </c>
      <c r="H49" s="12" t="n">
        <f aca="false">H48*$D$2</f>
        <v>0</v>
      </c>
      <c r="I49" s="8" t="n">
        <f aca="false">I48*$D$2</f>
        <v>25082.3084</v>
      </c>
      <c r="J49" s="8" t="n">
        <f aca="false">J48*$D$2</f>
        <v>3913.87268</v>
      </c>
      <c r="K49" s="8" t="n">
        <f aca="false">K48*$D$2</f>
        <v>28996.18108</v>
      </c>
      <c r="L49" s="8" t="n">
        <f aca="false">L48*$D$2</f>
        <v>2986.47016</v>
      </c>
      <c r="M49" s="8" t="n">
        <f aca="false">M48*$D$2</f>
        <v>1808.97192</v>
      </c>
      <c r="N49" s="8" t="n">
        <f aca="false">N48*$D$2</f>
        <v>0</v>
      </c>
      <c r="O49" s="8" t="n">
        <f aca="false">O48*$D$2</f>
        <v>0</v>
      </c>
      <c r="P49" s="8" t="n">
        <f aca="false">P48*$D$2</f>
        <v>1808.97192</v>
      </c>
      <c r="Q49" s="8" t="n">
        <f aca="false">Q48*$D$2</f>
        <v>0</v>
      </c>
      <c r="R49" s="8" t="n">
        <f aca="false">R48*$D$2</f>
        <v>0</v>
      </c>
      <c r="S49" s="8" t="n">
        <f aca="false">S48*$D$2</f>
        <v>0</v>
      </c>
      <c r="T49" s="8" t="n">
        <f aca="false">T48*$D$2</f>
        <v>10437.34203</v>
      </c>
      <c r="U49" s="8" t="n">
        <f aca="false">U40*$D$2</f>
        <v>19140.2001933426</v>
      </c>
      <c r="V49" s="8" t="n">
        <f aca="false">V48*$D$2</f>
        <v>12246.31395</v>
      </c>
      <c r="W49" s="8" t="n">
        <f aca="false">W48*$D$2</f>
        <v>971.24913</v>
      </c>
      <c r="X49" s="8" t="n">
        <f aca="false">X48*$D$2</f>
        <v>13217.56308</v>
      </c>
      <c r="Y49" s="11"/>
      <c r="Z49" s="12"/>
      <c r="AA49" s="12"/>
      <c r="AB49" s="13"/>
      <c r="AC49" s="14"/>
      <c r="AD49" s="14"/>
    </row>
    <row r="50" customFormat="false" ht="3" hidden="false" customHeight="true" outlineLevel="0" collapsed="false">
      <c r="A50" s="30"/>
      <c r="B50" s="30"/>
      <c r="C50" s="32"/>
      <c r="D50" s="30"/>
      <c r="E50" s="32"/>
      <c r="F50" s="30"/>
      <c r="G50" s="30"/>
      <c r="H50" s="33"/>
      <c r="I50" s="30"/>
      <c r="J50" s="30"/>
      <c r="K50" s="30"/>
      <c r="L50" s="30"/>
      <c r="M50" s="30"/>
      <c r="N50" s="30"/>
      <c r="O50" s="30"/>
      <c r="P50" s="30"/>
      <c r="Q50" s="32"/>
      <c r="R50" s="30"/>
      <c r="S50" s="30"/>
      <c r="T50" s="30"/>
      <c r="U50" s="32"/>
      <c r="V50" s="30"/>
      <c r="W50" s="30"/>
      <c r="X50" s="30"/>
      <c r="Y50" s="11"/>
      <c r="Z50" s="12"/>
      <c r="AA50" s="12"/>
      <c r="AB50" s="13"/>
      <c r="AC50" s="14"/>
      <c r="AD50" s="14"/>
    </row>
    <row r="51" customFormat="false" ht="11.1" hidden="false" customHeight="true" outlineLevel="0" collapsed="false">
      <c r="A51" s="7"/>
      <c r="B51" s="40"/>
      <c r="C51" s="8"/>
      <c r="D51" s="7"/>
      <c r="E51" s="8"/>
      <c r="F51" s="7"/>
      <c r="G51" s="7"/>
      <c r="H51" s="9"/>
      <c r="I51" s="7"/>
      <c r="J51" s="7"/>
      <c r="K51" s="7"/>
      <c r="L51" s="7"/>
      <c r="M51" s="7"/>
      <c r="N51" s="7"/>
      <c r="O51" s="7"/>
      <c r="P51" s="7"/>
      <c r="Q51" s="8"/>
      <c r="R51" s="7"/>
      <c r="S51" s="7"/>
      <c r="T51" s="7"/>
      <c r="U51" s="8"/>
      <c r="V51" s="7"/>
      <c r="W51" s="7"/>
      <c r="X51" s="7"/>
      <c r="Y51" s="11"/>
      <c r="Z51" s="12"/>
      <c r="AA51" s="12"/>
      <c r="AB51" s="13"/>
      <c r="AC51" s="14"/>
      <c r="AD51" s="14"/>
    </row>
    <row r="52" customFormat="false" ht="11.1" hidden="false" customHeight="true" outlineLevel="0" collapsed="false">
      <c r="A52" s="7"/>
      <c r="B52" s="27"/>
      <c r="C52" s="8"/>
      <c r="D52" s="38"/>
      <c r="E52" s="8"/>
      <c r="F52" s="7"/>
      <c r="G52" s="7"/>
      <c r="H52" s="38"/>
      <c r="I52" s="9"/>
      <c r="J52" s="7"/>
      <c r="K52" s="41"/>
      <c r="L52" s="7"/>
      <c r="M52" s="7"/>
      <c r="N52" s="7"/>
      <c r="O52" s="7"/>
      <c r="P52" s="7"/>
      <c r="Q52" s="8"/>
      <c r="R52" s="7"/>
      <c r="S52" s="7"/>
      <c r="T52" s="7"/>
      <c r="U52" s="8"/>
      <c r="V52" s="7"/>
      <c r="W52" s="7"/>
      <c r="X52" s="7"/>
      <c r="Y52" s="11"/>
      <c r="Z52" s="12"/>
      <c r="AA52" s="12"/>
      <c r="AB52" s="13"/>
      <c r="AC52" s="14"/>
      <c r="AD52" s="14"/>
    </row>
    <row r="53" customFormat="false" ht="11.1" hidden="false" customHeight="true" outlineLevel="0" collapsed="false">
      <c r="A53" s="38"/>
      <c r="B53" s="38"/>
      <c r="C53" s="8"/>
      <c r="D53" s="8"/>
      <c r="E53" s="8"/>
      <c r="F53" s="38"/>
      <c r="G53" s="38"/>
      <c r="H53" s="9"/>
      <c r="I53" s="38"/>
      <c r="J53" s="38"/>
      <c r="K53" s="38"/>
      <c r="L53" s="38"/>
      <c r="M53" s="28"/>
      <c r="N53" s="38"/>
      <c r="O53" s="38"/>
      <c r="P53" s="38"/>
      <c r="Q53" s="8"/>
      <c r="R53" s="38"/>
      <c r="S53" s="38"/>
      <c r="T53" s="38"/>
      <c r="U53" s="8"/>
      <c r="V53" s="38"/>
      <c r="W53" s="38"/>
      <c r="X53" s="38"/>
      <c r="Y53" s="11"/>
      <c r="Z53" s="12"/>
      <c r="AA53" s="12"/>
      <c r="AB53" s="13"/>
      <c r="AC53" s="42"/>
      <c r="AD53" s="42"/>
    </row>
    <row r="54" customFormat="false" ht="11.1" hidden="false" customHeight="true" outlineLevel="0" collapsed="false">
      <c r="A54" s="38"/>
      <c r="B54" s="11"/>
      <c r="C54" s="8"/>
      <c r="D54" s="8"/>
      <c r="E54" s="8"/>
      <c r="F54" s="38"/>
      <c r="G54" s="38"/>
      <c r="H54" s="9"/>
      <c r="I54" s="38"/>
      <c r="J54" s="38"/>
      <c r="K54" s="38"/>
      <c r="L54" s="38"/>
      <c r="M54" s="28"/>
      <c r="N54" s="38"/>
      <c r="O54" s="38"/>
      <c r="P54" s="38"/>
      <c r="Q54" s="8"/>
      <c r="R54" s="38"/>
      <c r="S54" s="38"/>
      <c r="T54" s="38"/>
      <c r="U54" s="8"/>
      <c r="V54" s="38"/>
      <c r="W54" s="38"/>
      <c r="X54" s="38"/>
      <c r="Y54" s="11"/>
      <c r="Z54" s="12"/>
      <c r="AA54" s="12"/>
      <c r="AB54" s="13"/>
      <c r="AC54" s="42"/>
      <c r="AD54" s="42"/>
    </row>
    <row r="55" customFormat="false" ht="11.1" hidden="false" customHeight="true" outlineLevel="0" collapsed="false">
      <c r="A55" s="38"/>
      <c r="B55" s="38"/>
      <c r="C55" s="8"/>
      <c r="D55" s="38"/>
      <c r="E55" s="8"/>
      <c r="F55" s="38"/>
      <c r="G55" s="43"/>
      <c r="H55" s="9"/>
      <c r="I55" s="38"/>
      <c r="J55" s="38"/>
      <c r="K55" s="38"/>
      <c r="L55" s="38"/>
      <c r="M55" s="28"/>
      <c r="N55" s="38"/>
      <c r="O55" s="38"/>
      <c r="P55" s="38"/>
      <c r="Q55" s="8"/>
      <c r="R55" s="38"/>
      <c r="S55" s="38"/>
      <c r="T55" s="38"/>
      <c r="U55" s="8"/>
      <c r="V55" s="38"/>
      <c r="W55" s="38"/>
      <c r="X55" s="38"/>
      <c r="Y55" s="11"/>
      <c r="Z55" s="12"/>
      <c r="AA55" s="12"/>
      <c r="AB55" s="13"/>
      <c r="AC55" s="42"/>
      <c r="AD55" s="42"/>
    </row>
  </sheetData>
  <mergeCells count="1">
    <mergeCell ref="K2:S2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C22" activePane="bottomRight" state="frozen"/>
      <selection pane="topLeft" activeCell="A1" activeCellId="0" sqref="A1"/>
      <selection pane="topRight" activeCell="C1" activeCellId="0" sqref="C1"/>
      <selection pane="bottomLeft" activeCell="A22" activeCellId="0" sqref="A22"/>
      <selection pane="bottomRight" activeCell="K40" activeCellId="0" sqref="K4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66"/>
    <col collapsed="false" customWidth="true" hidden="false" outlineLevel="0" max="4" min="4" style="0" width="6.82"/>
    <col collapsed="false" customWidth="true" hidden="false" outlineLevel="0" max="5" min="5" style="1" width="7.66"/>
    <col collapsed="false" customWidth="true" hidden="false" outlineLevel="0" max="7" min="6" style="0" width="7.66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0" min="10" style="0" width="6.32"/>
    <col collapsed="false" customWidth="true" hidden="false" outlineLevel="0" max="12" min="11" style="0" width="7.66"/>
    <col collapsed="false" customWidth="true" hidden="false" outlineLevel="0" max="13" min="13" style="3" width="7.49"/>
    <col collapsed="false" customWidth="false" hidden="false" outlineLevel="0" max="15" min="14" style="3" width="9.32"/>
    <col collapsed="false" customWidth="true" hidden="false" outlineLevel="0" max="16" min="16" style="0" width="5.82"/>
    <col collapsed="false" customWidth="true" hidden="false" outlineLevel="0" max="17" min="17" style="0" width="7.16"/>
    <col collapsed="false" customWidth="true" hidden="false" outlineLevel="0" max="18" min="18" style="0" width="6.66"/>
    <col collapsed="false" customWidth="true" hidden="false" outlineLevel="0" max="19" min="19" style="1" width="6.66"/>
    <col collapsed="false" customWidth="true" hidden="false" outlineLevel="0" max="20" min="20" style="0" width="5.82"/>
    <col collapsed="false" customWidth="true" hidden="false" outlineLevel="0" max="21" min="21" style="0" width="7.49"/>
    <col collapsed="false" customWidth="true" hidden="false" outlineLevel="0" max="22" min="22" style="1" width="6.32"/>
    <col collapsed="false" customWidth="true" hidden="false" outlineLevel="0" max="25" min="23" style="0" width="7.82"/>
    <col collapsed="false" customWidth="true" hidden="false" outlineLevel="0" max="26" min="26" style="4" width="5.66"/>
    <col collapsed="false" customWidth="true" hidden="false" outlineLevel="0" max="28" min="27" style="5" width="5.66"/>
    <col collapsed="false" customWidth="true" hidden="false" outlineLevel="0" max="29" min="29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7"/>
      <c r="R1" s="7"/>
      <c r="S1" s="8"/>
      <c r="T1" s="7"/>
      <c r="U1" s="7"/>
      <c r="V1" s="8"/>
      <c r="W1" s="7"/>
      <c r="X1" s="7"/>
      <c r="Y1" s="7"/>
      <c r="Z1" s="11"/>
      <c r="AA1" s="12"/>
      <c r="AB1" s="12"/>
      <c r="AC1" s="13"/>
      <c r="AD1" s="14"/>
      <c r="AE1" s="14"/>
    </row>
    <row r="2" customFormat="false" ht="14.1" hidden="false" customHeight="true" outlineLevel="0" collapsed="false">
      <c r="A2" s="7" t="s">
        <v>1</v>
      </c>
      <c r="B2" s="7"/>
      <c r="C2" s="8"/>
      <c r="D2" s="15" t="n">
        <v>1.983</v>
      </c>
      <c r="E2" s="8"/>
      <c r="F2" s="7"/>
      <c r="G2" s="7"/>
      <c r="H2" s="9"/>
      <c r="I2" s="7"/>
      <c r="J2" s="7"/>
      <c r="K2" s="47" t="s">
        <v>61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7"/>
      <c r="X2" s="7"/>
      <c r="Y2" s="7"/>
      <c r="Z2" s="11"/>
      <c r="AA2" s="12"/>
      <c r="AB2" s="12"/>
      <c r="AC2" s="13"/>
      <c r="AD2" s="14"/>
      <c r="AE2" s="14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8"/>
      <c r="W3" s="7"/>
      <c r="X3" s="7"/>
      <c r="Y3" s="7"/>
      <c r="Z3" s="11"/>
      <c r="AA3" s="12"/>
      <c r="AB3" s="12"/>
      <c r="AC3" s="13"/>
      <c r="AD3" s="14"/>
      <c r="AE3" s="14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48" t="s">
        <v>62</v>
      </c>
      <c r="N4" s="48"/>
      <c r="O4" s="48"/>
      <c r="P4" s="16" t="s">
        <v>13</v>
      </c>
      <c r="Q4" s="16" t="s">
        <v>14</v>
      </c>
      <c r="R4" s="16" t="s">
        <v>12</v>
      </c>
      <c r="S4" s="17" t="s">
        <v>13</v>
      </c>
      <c r="T4" s="16" t="s">
        <v>15</v>
      </c>
      <c r="U4" s="16" t="s">
        <v>17</v>
      </c>
      <c r="V4" s="17" t="s">
        <v>18</v>
      </c>
      <c r="W4" s="16" t="s">
        <v>10</v>
      </c>
      <c r="X4" s="16" t="s">
        <v>11</v>
      </c>
      <c r="Y4" s="16" t="s">
        <v>12</v>
      </c>
      <c r="Z4" s="19" t="s">
        <v>19</v>
      </c>
      <c r="AA4" s="20" t="s">
        <v>20</v>
      </c>
      <c r="AB4" s="20" t="s">
        <v>21</v>
      </c>
      <c r="AC4" s="20" t="s">
        <v>3</v>
      </c>
      <c r="AD4" s="14"/>
      <c r="AE4" s="14"/>
    </row>
    <row r="5" customFormat="false" ht="11.1" hidden="false" customHeight="true" outlineLevel="0" collapsed="false">
      <c r="A5" s="21" t="s">
        <v>63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64</v>
      </c>
      <c r="N5" s="16" t="s">
        <v>65</v>
      </c>
      <c r="O5" s="16" t="s">
        <v>66</v>
      </c>
      <c r="P5" s="16" t="s">
        <v>32</v>
      </c>
      <c r="Q5" s="16" t="s">
        <v>33</v>
      </c>
      <c r="R5" s="16" t="s">
        <v>13</v>
      </c>
      <c r="S5" s="17" t="s">
        <v>34</v>
      </c>
      <c r="T5" s="16" t="s">
        <v>35</v>
      </c>
      <c r="U5" s="16" t="s">
        <v>37</v>
      </c>
      <c r="V5" s="17" t="s">
        <v>38</v>
      </c>
      <c r="W5" s="16" t="s">
        <v>39</v>
      </c>
      <c r="X5" s="16" t="s">
        <v>39</v>
      </c>
      <c r="Y5" s="16" t="s">
        <v>39</v>
      </c>
      <c r="Z5" s="22"/>
      <c r="AA5" s="20" t="s">
        <v>40</v>
      </c>
      <c r="AB5" s="20" t="s">
        <v>40</v>
      </c>
      <c r="AC5" s="23" t="s">
        <v>63</v>
      </c>
      <c r="AD5" s="14"/>
      <c r="AE5" s="14"/>
    </row>
    <row r="6" customFormat="false" ht="11.1" hidden="false" customHeight="true" outlineLevel="0" collapsed="false">
      <c r="A6" s="24"/>
      <c r="B6" s="24"/>
      <c r="C6" s="25"/>
      <c r="D6" s="24"/>
      <c r="E6" s="25"/>
      <c r="F6" s="24"/>
      <c r="G6" s="24"/>
      <c r="H6" s="26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  <c r="T6" s="24"/>
      <c r="U6" s="24"/>
      <c r="V6" s="25"/>
      <c r="W6" s="24"/>
      <c r="X6" s="24"/>
      <c r="Y6" s="24"/>
      <c r="Z6" s="11"/>
      <c r="AA6" s="13"/>
      <c r="AB6" s="13"/>
      <c r="AC6" s="13"/>
      <c r="AD6" s="14"/>
      <c r="AE6" s="14"/>
    </row>
    <row r="7" customFormat="false" ht="11.1" hidden="false" customHeight="true" outlineLevel="0" collapsed="false">
      <c r="A7" s="7" t="s">
        <v>41</v>
      </c>
      <c r="B7" s="7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11"/>
      <c r="AA7" s="12"/>
      <c r="AB7" s="12"/>
      <c r="AC7" s="13"/>
      <c r="AD7" s="14"/>
    </row>
    <row r="8" s="1" customFormat="true" ht="11.1" hidden="false" customHeight="true" outlineLevel="0" collapsed="false">
      <c r="A8" s="8" t="s">
        <v>42</v>
      </c>
      <c r="B8" s="27" t="n">
        <f aca="false" t="array" ref="B8:C8">[4]RIVER034!$B$40:$C$40</f>
        <v>6911.13</v>
      </c>
      <c r="C8" s="8" t="n">
        <v>326524</v>
      </c>
      <c r="D8" s="8" t="n">
        <f aca="false" t="array" ref="D8:E8">[4]RIVER034!$D$49:$E$49</f>
        <v>15837</v>
      </c>
      <c r="E8" s="8" t="n">
        <v>174524</v>
      </c>
      <c r="F8" s="8" t="n">
        <f aca="false" t="array" ref="F8:M8">[4]RIVER034!$F$48:$M$48</f>
        <v>7986.38426626324</v>
      </c>
      <c r="G8" s="8" t="n">
        <v>12649.4764498235</v>
      </c>
      <c r="H8" s="12" t="n">
        <v>0</v>
      </c>
      <c r="I8" s="8" t="n">
        <v>12648.6678769541</v>
      </c>
      <c r="J8" s="8" t="n">
        <v>1973.712899647</v>
      </c>
      <c r="K8" s="8" t="n">
        <v>14622.3807766011</v>
      </c>
      <c r="L8" s="8" t="n">
        <v>1506.03638930913</v>
      </c>
      <c r="M8" s="8" t="n">
        <v>912.24</v>
      </c>
      <c r="N8" s="8" t="n">
        <v>0</v>
      </c>
      <c r="O8" s="8" t="n">
        <f aca="false">[4]RIVER034!$P$48</f>
        <v>912.24</v>
      </c>
      <c r="P8" s="8"/>
      <c r="Q8" s="8"/>
      <c r="R8" s="8" t="n">
        <f aca="false">[4]RIVER034!$P$48</f>
        <v>912.24</v>
      </c>
      <c r="S8" s="8"/>
      <c r="T8" s="8"/>
      <c r="U8" s="8" t="n">
        <f aca="false" t="array" ref="U8:Z8">[4]RIVER034!$T$48:$Y$48</f>
        <v>5263.41</v>
      </c>
      <c r="V8" s="8" t="n">
        <v>9652.14331484748</v>
      </c>
      <c r="W8" s="8" t="n">
        <v>6175.65</v>
      </c>
      <c r="X8" s="8" t="n">
        <v>489.78776096823</v>
      </c>
      <c r="Y8" s="8" t="n">
        <v>6665.43776096823</v>
      </c>
      <c r="Z8" s="28" t="n">
        <v>6.56</v>
      </c>
      <c r="AA8" s="12"/>
      <c r="AB8" s="12"/>
      <c r="AC8" s="13"/>
      <c r="AD8" s="29" t="n">
        <v>13149</v>
      </c>
      <c r="AE8" s="14" t="n">
        <v>17902</v>
      </c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33"/>
      <c r="I9" s="30"/>
      <c r="J9" s="30"/>
      <c r="K9" s="30"/>
      <c r="L9" s="30"/>
      <c r="M9" s="30"/>
      <c r="N9" s="30"/>
      <c r="O9" s="30"/>
      <c r="P9" s="30"/>
      <c r="Q9" s="30"/>
      <c r="R9" s="30"/>
      <c r="S9" s="32"/>
      <c r="T9" s="30"/>
      <c r="U9" s="30"/>
      <c r="V9" s="32"/>
      <c r="W9" s="30"/>
      <c r="X9" s="30"/>
      <c r="Y9" s="30"/>
      <c r="Z9" s="34"/>
      <c r="AA9" s="35"/>
      <c r="AB9" s="35"/>
      <c r="AC9" s="36"/>
      <c r="AD9" s="14"/>
      <c r="AE9" s="14"/>
    </row>
    <row r="10" customFormat="false" ht="11.1" hidden="false" customHeight="true" outlineLevel="0" collapsed="false">
      <c r="A10" s="13" t="n">
        <v>1</v>
      </c>
      <c r="B10" s="27" t="n">
        <v>6911.32</v>
      </c>
      <c r="C10" s="8" t="n">
        <v>327293</v>
      </c>
      <c r="D10" s="12" t="n">
        <f aca="false">C10-C8</f>
        <v>769</v>
      </c>
      <c r="E10" s="8" t="n">
        <f aca="false">C10-152000</f>
        <v>175293</v>
      </c>
      <c r="F10" s="7" t="n">
        <f aca="false">D10/$D$2</f>
        <v>387.796268280383</v>
      </c>
      <c r="G10" s="7" t="n">
        <v>182.57</v>
      </c>
      <c r="H10" s="9" t="n">
        <v>34.16</v>
      </c>
      <c r="I10" s="7" t="n">
        <f aca="false">G10+H10</f>
        <v>216.73</v>
      </c>
      <c r="J10" s="49" t="n">
        <v>240.656268280383</v>
      </c>
      <c r="K10" s="7" t="n">
        <f aca="false">I10+J10</f>
        <v>457.386268280383</v>
      </c>
      <c r="L10" s="7" t="n">
        <f aca="false">F10-(I10-W10)</f>
        <v>240.656268280383</v>
      </c>
      <c r="M10" s="7" t="n">
        <v>28.99</v>
      </c>
      <c r="N10" s="7" t="n">
        <f aca="false">AG10*1.05</f>
        <v>0</v>
      </c>
      <c r="O10" s="7" t="n">
        <f aca="false">M10-N10</f>
        <v>28.99</v>
      </c>
      <c r="P10" s="7" t="n">
        <v>0</v>
      </c>
      <c r="Q10" s="7" t="n">
        <v>0</v>
      </c>
      <c r="R10" s="7" t="n">
        <f aca="false">SUM(O10:Q10)</f>
        <v>28.99</v>
      </c>
      <c r="S10" s="8"/>
      <c r="T10" s="7"/>
      <c r="U10" s="7" t="n">
        <v>40.6</v>
      </c>
      <c r="V10" s="8" t="n">
        <f aca="false">V8-U10</f>
        <v>9611.54331484748</v>
      </c>
      <c r="W10" s="7" t="n">
        <f aca="false">N10+R10+T10+U10</f>
        <v>69.59</v>
      </c>
      <c r="X10" s="7"/>
      <c r="Y10" s="7" t="n">
        <f aca="false">W10+X10</f>
        <v>69.59</v>
      </c>
      <c r="Z10" s="11" t="n">
        <v>0</v>
      </c>
      <c r="AA10" s="12" t="n">
        <v>62</v>
      </c>
      <c r="AB10" s="12" t="n">
        <v>22</v>
      </c>
      <c r="AC10" s="13" t="n">
        <v>1</v>
      </c>
      <c r="AD10" s="12" t="n">
        <v>13243</v>
      </c>
      <c r="AE10" s="12"/>
      <c r="AF10" s="0" t="n">
        <v>7883</v>
      </c>
      <c r="AG10" s="7" t="n">
        <v>0</v>
      </c>
    </row>
    <row r="11" customFormat="false" ht="11.1" hidden="false" customHeight="true" outlineLevel="0" collapsed="false">
      <c r="A11" s="13" t="n">
        <f aca="false">A10+1</f>
        <v>2</v>
      </c>
      <c r="B11" s="27" t="n">
        <v>6911.58</v>
      </c>
      <c r="C11" s="8" t="n">
        <v>328345</v>
      </c>
      <c r="D11" s="12" t="n">
        <f aca="false">C11-C10</f>
        <v>1052</v>
      </c>
      <c r="E11" s="8" t="n">
        <f aca="false">C11-152000</f>
        <v>176345</v>
      </c>
      <c r="F11" s="7" t="n">
        <f aca="false">D11/$D$2</f>
        <v>530.509329299042</v>
      </c>
      <c r="G11" s="7" t="n">
        <v>218.15</v>
      </c>
      <c r="H11" s="9" t="n">
        <v>46.13</v>
      </c>
      <c r="I11" s="7" t="n">
        <f aca="false">G11+H11</f>
        <v>264.28</v>
      </c>
      <c r="J11" s="49" t="n">
        <v>321.119329299042</v>
      </c>
      <c r="K11" s="7" t="n">
        <f aca="false">I11+J11</f>
        <v>585.399329299042</v>
      </c>
      <c r="L11" s="7" t="n">
        <f aca="false">F11-(I11-W11)</f>
        <v>321.119329299042</v>
      </c>
      <c r="M11" s="7" t="n">
        <v>13.9</v>
      </c>
      <c r="N11" s="7" t="n">
        <f aca="false">AG11*1.05</f>
        <v>0</v>
      </c>
      <c r="O11" s="7" t="n">
        <f aca="false">M11-N11</f>
        <v>13.9</v>
      </c>
      <c r="P11" s="7" t="n">
        <v>0</v>
      </c>
      <c r="Q11" s="7" t="n">
        <v>0</v>
      </c>
      <c r="R11" s="7" t="n">
        <f aca="false">SUM(O11:Q11)</f>
        <v>13.9</v>
      </c>
      <c r="S11" s="8"/>
      <c r="T11" s="7"/>
      <c r="U11" s="7" t="n">
        <v>40.99</v>
      </c>
      <c r="V11" s="8" t="n">
        <f aca="false">V10-U11</f>
        <v>9570.55331484748</v>
      </c>
      <c r="W11" s="7" t="n">
        <f aca="false">N11+R11+T11+U11</f>
        <v>54.89</v>
      </c>
      <c r="X11" s="7"/>
      <c r="Y11" s="7" t="n">
        <f aca="false">W11+X11</f>
        <v>54.89</v>
      </c>
      <c r="Z11" s="11" t="n">
        <v>0</v>
      </c>
      <c r="AA11" s="12" t="n">
        <v>58</v>
      </c>
      <c r="AB11" s="12" t="n">
        <v>28</v>
      </c>
      <c r="AC11" s="13" t="n">
        <f aca="false">AC10+1</f>
        <v>2</v>
      </c>
      <c r="AD11" s="12" t="n">
        <v>13333</v>
      </c>
      <c r="AE11" s="12" t="n">
        <v>62</v>
      </c>
      <c r="AG11" s="7" t="n">
        <v>0</v>
      </c>
    </row>
    <row r="12" customFormat="false" ht="11.1" hidden="false" customHeight="true" outlineLevel="0" collapsed="false">
      <c r="A12" s="13" t="n">
        <f aca="false">A11+1</f>
        <v>3</v>
      </c>
      <c r="B12" s="27" t="n">
        <v>6911.81</v>
      </c>
      <c r="C12" s="8" t="n">
        <v>329276</v>
      </c>
      <c r="D12" s="12" t="n">
        <f aca="false">C12-C11</f>
        <v>931</v>
      </c>
      <c r="E12" s="8" t="n">
        <f aca="false">C12-152000</f>
        <v>177276</v>
      </c>
      <c r="F12" s="7" t="n">
        <f aca="false">D12/$D$2</f>
        <v>469.490670700958</v>
      </c>
      <c r="G12" s="7" t="n">
        <v>247.24</v>
      </c>
      <c r="H12" s="9" t="n">
        <v>64.25</v>
      </c>
      <c r="I12" s="7" t="n">
        <f aca="false">G12+H12</f>
        <v>311.49</v>
      </c>
      <c r="J12" s="49" t="n">
        <v>215.780670700958</v>
      </c>
      <c r="K12" s="7" t="n">
        <f aca="false">I12+J12</f>
        <v>527.270670700958</v>
      </c>
      <c r="L12" s="7" t="n">
        <f aca="false">F12-(I12-W12)</f>
        <v>215.780670700958</v>
      </c>
      <c r="M12" s="7" t="n">
        <v>19.31</v>
      </c>
      <c r="N12" s="7" t="n">
        <f aca="false">AG12*1.05</f>
        <v>0</v>
      </c>
      <c r="O12" s="7" t="n">
        <f aca="false">M12-N12</f>
        <v>19.31</v>
      </c>
      <c r="P12" s="7" t="n">
        <v>0</v>
      </c>
      <c r="Q12" s="7" t="n">
        <v>0</v>
      </c>
      <c r="R12" s="7" t="n">
        <f aca="false">SUM(O12:Q12)</f>
        <v>19.31</v>
      </c>
      <c r="S12" s="8"/>
      <c r="T12" s="7"/>
      <c r="U12" s="7" t="n">
        <v>38.47</v>
      </c>
      <c r="V12" s="8" t="n">
        <f aca="false">V11-U12</f>
        <v>9532.08331484748</v>
      </c>
      <c r="W12" s="7" t="n">
        <f aca="false">N12+R12+T12+U12</f>
        <v>57.78</v>
      </c>
      <c r="X12" s="7"/>
      <c r="Y12" s="7" t="n">
        <f aca="false">W12+X12</f>
        <v>57.78</v>
      </c>
      <c r="Z12" s="11" t="n">
        <v>0</v>
      </c>
      <c r="AA12" s="12" t="n">
        <v>59</v>
      </c>
      <c r="AB12" s="12" t="n">
        <v>29</v>
      </c>
      <c r="AC12" s="13" t="n">
        <f aca="false">AC11+1</f>
        <v>3</v>
      </c>
      <c r="AD12" s="12" t="n">
        <v>13456</v>
      </c>
      <c r="AE12" s="12" t="n">
        <v>159</v>
      </c>
      <c r="AG12" s="7" t="n">
        <v>0</v>
      </c>
    </row>
    <row r="13" customFormat="false" ht="11.1" hidden="false" customHeight="true" outlineLevel="0" collapsed="false">
      <c r="A13" s="13" t="n">
        <f aca="false">A12+1</f>
        <v>4</v>
      </c>
      <c r="B13" s="27" t="n">
        <v>6912.06</v>
      </c>
      <c r="C13" s="8" t="n">
        <v>330289</v>
      </c>
      <c r="D13" s="12" t="n">
        <f aca="false">C13-C12</f>
        <v>1013</v>
      </c>
      <c r="E13" s="8" t="n">
        <f aca="false">C13-152000</f>
        <v>178289</v>
      </c>
      <c r="F13" s="7" t="n">
        <f aca="false">D13/$D$2</f>
        <v>510.84215834594</v>
      </c>
      <c r="G13" s="7" t="n">
        <v>281.07</v>
      </c>
      <c r="H13" s="9" t="n">
        <v>75.83</v>
      </c>
      <c r="I13" s="7" t="n">
        <f aca="false">G13+H13</f>
        <v>356.9</v>
      </c>
      <c r="J13" s="49" t="n">
        <v>238.08215834594</v>
      </c>
      <c r="K13" s="7" t="n">
        <f aca="false">I13+J13</f>
        <v>594.98215834594</v>
      </c>
      <c r="L13" s="7" t="n">
        <f aca="false">F13-(I13-W13)</f>
        <v>238.10215834594</v>
      </c>
      <c r="M13" s="7" t="n">
        <v>45.12</v>
      </c>
      <c r="N13" s="7" t="n">
        <f aca="false">AG13*1.05</f>
        <v>13.65</v>
      </c>
      <c r="O13" s="7" t="n">
        <f aca="false">M13-N13</f>
        <v>31.47</v>
      </c>
      <c r="P13" s="7" t="n">
        <v>0</v>
      </c>
      <c r="Q13" s="7" t="n">
        <v>0</v>
      </c>
      <c r="R13" s="7" t="n">
        <f aca="false">SUM(O13:Q13)</f>
        <v>31.47</v>
      </c>
      <c r="S13" s="8"/>
      <c r="T13" s="7"/>
      <c r="U13" s="7" t="n">
        <v>39.04</v>
      </c>
      <c r="V13" s="8" t="n">
        <f aca="false">V12-U13</f>
        <v>9493.04331484748</v>
      </c>
      <c r="W13" s="7" t="n">
        <f aca="false">N13+R13+T13+U13</f>
        <v>84.16</v>
      </c>
      <c r="X13" s="7"/>
      <c r="Y13" s="7" t="n">
        <f aca="false">W13+X13</f>
        <v>84.16</v>
      </c>
      <c r="Z13" s="11" t="n">
        <v>0</v>
      </c>
      <c r="AA13" s="12" t="n">
        <v>62</v>
      </c>
      <c r="AB13" s="12" t="n">
        <v>32</v>
      </c>
      <c r="AC13" s="13" t="n">
        <f aca="false">AC12+1</f>
        <v>4</v>
      </c>
      <c r="AD13" s="12" t="n">
        <v>13563</v>
      </c>
      <c r="AE13" s="12" t="n">
        <v>263</v>
      </c>
      <c r="AG13" s="7" t="n">
        <v>13</v>
      </c>
    </row>
    <row r="14" customFormat="false" ht="11.1" hidden="false" customHeight="true" outlineLevel="0" collapsed="false">
      <c r="A14" s="13" t="n">
        <f aca="false">A13+1</f>
        <v>5</v>
      </c>
      <c r="B14" s="27" t="n">
        <v>6912.21</v>
      </c>
      <c r="C14" s="8" t="n">
        <v>330900</v>
      </c>
      <c r="D14" s="12" t="n">
        <f aca="false">C14-C13</f>
        <v>611</v>
      </c>
      <c r="E14" s="8" t="n">
        <f aca="false">C14-152000</f>
        <v>178900</v>
      </c>
      <c r="F14" s="7" t="n">
        <f aca="false">D14/$D$2</f>
        <v>308.119011598588</v>
      </c>
      <c r="G14" s="7" t="n">
        <v>266.64</v>
      </c>
      <c r="H14" s="9" t="n">
        <v>43.63</v>
      </c>
      <c r="I14" s="7" t="n">
        <f aca="false">G14+H14</f>
        <v>310.27</v>
      </c>
      <c r="J14" s="49" t="n">
        <v>89.579011598588</v>
      </c>
      <c r="K14" s="7" t="n">
        <f aca="false">I14+J14</f>
        <v>399.849011598588</v>
      </c>
      <c r="L14" s="7" t="n">
        <f aca="false">F14-(I14-W14)</f>
        <v>89.559011598588</v>
      </c>
      <c r="M14" s="7" t="n">
        <v>51.48</v>
      </c>
      <c r="N14" s="7" t="n">
        <f aca="false">AG14*1.05</f>
        <v>13.65</v>
      </c>
      <c r="O14" s="7" t="n">
        <f aca="false">M14-N14</f>
        <v>37.83</v>
      </c>
      <c r="P14" s="7" t="n">
        <v>0</v>
      </c>
      <c r="Q14" s="7" t="n">
        <v>0</v>
      </c>
      <c r="R14" s="7" t="n">
        <f aca="false">SUM(O14:Q14)</f>
        <v>37.83</v>
      </c>
      <c r="S14" s="8"/>
      <c r="T14" s="7"/>
      <c r="U14" s="7" t="n">
        <v>40.23</v>
      </c>
      <c r="V14" s="8" t="n">
        <f aca="false">V13-U14</f>
        <v>9452.81331484748</v>
      </c>
      <c r="W14" s="7" t="n">
        <f aca="false">N14+R14+T14+U14</f>
        <v>91.71</v>
      </c>
      <c r="X14" s="7"/>
      <c r="Y14" s="7" t="n">
        <f aca="false">W14+X14</f>
        <v>91.71</v>
      </c>
      <c r="Z14" s="11" t="n">
        <v>0</v>
      </c>
      <c r="AA14" s="12" t="n">
        <v>48</v>
      </c>
      <c r="AB14" s="12" t="n">
        <v>34</v>
      </c>
      <c r="AC14" s="13" t="n">
        <f aca="false">AC13+1</f>
        <v>5</v>
      </c>
      <c r="AD14" s="12" t="n">
        <v>13678</v>
      </c>
      <c r="AE14" s="12" t="n">
        <v>367</v>
      </c>
      <c r="AG14" s="7" t="n">
        <v>13</v>
      </c>
    </row>
    <row r="15" customFormat="false" ht="11.1" hidden="false" customHeight="true" outlineLevel="0" collapsed="false">
      <c r="A15" s="13" t="n">
        <f aca="false">A14+1</f>
        <v>6</v>
      </c>
      <c r="B15" s="27" t="n">
        <v>6912.35</v>
      </c>
      <c r="C15" s="8" t="n">
        <v>331471</v>
      </c>
      <c r="D15" s="12" t="n">
        <f aca="false">C15-C14</f>
        <v>571</v>
      </c>
      <c r="E15" s="8" t="n">
        <f aca="false">C15-152000</f>
        <v>179471</v>
      </c>
      <c r="F15" s="7" t="n">
        <f aca="false">D15/$D$2</f>
        <v>287.947554210792</v>
      </c>
      <c r="G15" s="7" t="n">
        <v>219.64</v>
      </c>
      <c r="H15" s="9" t="n">
        <v>29.69</v>
      </c>
      <c r="I15" s="7" t="n">
        <f aca="false">G15+H15</f>
        <v>249.33</v>
      </c>
      <c r="J15" s="49" t="n">
        <v>131.217554210792</v>
      </c>
      <c r="K15" s="7" t="n">
        <f aca="false">I15+J15</f>
        <v>380.547554210792</v>
      </c>
      <c r="L15" s="7" t="n">
        <f aca="false">F15-(I15-W15)</f>
        <v>131.217554210792</v>
      </c>
      <c r="M15" s="7" t="n">
        <v>52.1</v>
      </c>
      <c r="N15" s="7" t="n">
        <f aca="false">AG15*1.05</f>
        <v>15.75</v>
      </c>
      <c r="O15" s="7" t="n">
        <f aca="false">M15-N15</f>
        <v>36.35</v>
      </c>
      <c r="P15" s="7" t="n">
        <v>0</v>
      </c>
      <c r="Q15" s="7" t="n">
        <v>0</v>
      </c>
      <c r="R15" s="7" t="n">
        <f aca="false">SUM(O15:Q15)</f>
        <v>36.35</v>
      </c>
      <c r="S15" s="8"/>
      <c r="T15" s="7"/>
      <c r="U15" s="7" t="n">
        <v>40.5</v>
      </c>
      <c r="V15" s="8" t="n">
        <f aca="false">V14-U15</f>
        <v>9412.31331484748</v>
      </c>
      <c r="W15" s="7" t="n">
        <f aca="false">N15+R15+T15+U15</f>
        <v>92.6</v>
      </c>
      <c r="X15" s="7"/>
      <c r="Y15" s="7" t="n">
        <f aca="false">W15+X15</f>
        <v>92.6</v>
      </c>
      <c r="Z15" s="11" t="n">
        <v>0</v>
      </c>
      <c r="AA15" s="12" t="n">
        <v>54</v>
      </c>
      <c r="AB15" s="12" t="n">
        <v>22</v>
      </c>
      <c r="AC15" s="13" t="n">
        <f aca="false">AC14+1</f>
        <v>6</v>
      </c>
      <c r="AD15" s="12" t="n">
        <v>13812</v>
      </c>
      <c r="AE15" s="12" t="n">
        <v>469</v>
      </c>
      <c r="AG15" s="7" t="n">
        <v>15</v>
      </c>
    </row>
    <row r="16" customFormat="false" ht="11.1" hidden="false" customHeight="true" outlineLevel="0" collapsed="false">
      <c r="A16" s="13" t="n">
        <f aca="false">A15+1</f>
        <v>7</v>
      </c>
      <c r="B16" s="27" t="n">
        <v>6912.51</v>
      </c>
      <c r="C16" s="8" t="n">
        <v>332122</v>
      </c>
      <c r="D16" s="12" t="n">
        <f aca="false">C16-C15</f>
        <v>651</v>
      </c>
      <c r="E16" s="8" t="n">
        <f aca="false">C16-152000</f>
        <v>180122</v>
      </c>
      <c r="F16" s="7" t="n">
        <f aca="false">D16/$D$2</f>
        <v>328.290468986384</v>
      </c>
      <c r="G16" s="7" t="n">
        <v>225.55</v>
      </c>
      <c r="H16" s="9" t="n">
        <v>20.53</v>
      </c>
      <c r="I16" s="7" t="n">
        <f aca="false">G16+H16</f>
        <v>246.08</v>
      </c>
      <c r="J16" s="49" t="n">
        <v>172.010468986384</v>
      </c>
      <c r="K16" s="7" t="n">
        <f aca="false">I16+J16</f>
        <v>418.090468986384</v>
      </c>
      <c r="L16" s="7" t="n">
        <f aca="false">F16-(I16-W16)</f>
        <v>172.010468986384</v>
      </c>
      <c r="M16" s="7" t="n">
        <v>49.3</v>
      </c>
      <c r="N16" s="7" t="n">
        <f aca="false">AG16*1.05</f>
        <v>15.75</v>
      </c>
      <c r="O16" s="7" t="n">
        <f aca="false">M16-N16</f>
        <v>33.55</v>
      </c>
      <c r="P16" s="7" t="n">
        <v>0</v>
      </c>
      <c r="Q16" s="7" t="n">
        <v>0</v>
      </c>
      <c r="R16" s="7" t="n">
        <f aca="false">SUM(O16:Q16)</f>
        <v>33.55</v>
      </c>
      <c r="S16" s="8"/>
      <c r="T16" s="7"/>
      <c r="U16" s="7" t="n">
        <v>40.5</v>
      </c>
      <c r="V16" s="8" t="n">
        <f aca="false">V15-U16</f>
        <v>9371.81331484748</v>
      </c>
      <c r="W16" s="7" t="n">
        <f aca="false">N16+R16+T16+U16</f>
        <v>89.8</v>
      </c>
      <c r="X16" s="7"/>
      <c r="Y16" s="7" t="n">
        <f aca="false">W16+X16</f>
        <v>89.8</v>
      </c>
      <c r="Z16" s="11" t="n">
        <v>0</v>
      </c>
      <c r="AA16" s="12" t="n">
        <v>55</v>
      </c>
      <c r="AB16" s="12" t="n">
        <v>32</v>
      </c>
      <c r="AC16" s="13" t="n">
        <f aca="false">AC15+1</f>
        <v>7</v>
      </c>
      <c r="AD16" s="12" t="n">
        <v>13968</v>
      </c>
      <c r="AE16" s="12" t="n">
        <v>587</v>
      </c>
      <c r="AG16" s="7" t="n">
        <v>15</v>
      </c>
    </row>
    <row r="17" customFormat="false" ht="11.1" hidden="false" customHeight="true" outlineLevel="0" collapsed="false">
      <c r="A17" s="13" t="n">
        <f aca="false">A16+1</f>
        <v>8</v>
      </c>
      <c r="B17" s="27" t="n">
        <v>6912.68</v>
      </c>
      <c r="C17" s="8" t="n">
        <v>332817</v>
      </c>
      <c r="D17" s="12" t="n">
        <f aca="false">C17-C16</f>
        <v>695</v>
      </c>
      <c r="E17" s="8" t="n">
        <f aca="false">C17-152000</f>
        <v>180817</v>
      </c>
      <c r="F17" s="7" t="n">
        <f aca="false">D17/$D$2</f>
        <v>350.47907211296</v>
      </c>
      <c r="G17" s="7" t="n">
        <v>206.27</v>
      </c>
      <c r="H17" s="9" t="n">
        <v>20.87</v>
      </c>
      <c r="I17" s="7" t="n">
        <f aca="false">G17+H17</f>
        <v>227.14</v>
      </c>
      <c r="J17" s="49" t="n">
        <v>212.93907211296</v>
      </c>
      <c r="K17" s="7" t="n">
        <f aca="false">I17+J17</f>
        <v>440.07907211296</v>
      </c>
      <c r="L17" s="7" t="n">
        <f aca="false">F17-(I17-W17)</f>
        <v>212.89907211296</v>
      </c>
      <c r="M17" s="7" t="n">
        <v>49.06</v>
      </c>
      <c r="N17" s="7" t="n">
        <f aca="false">AG17*1.05</f>
        <v>15.75</v>
      </c>
      <c r="O17" s="7" t="n">
        <f aca="false">M17-N17</f>
        <v>33.31</v>
      </c>
      <c r="P17" s="7" t="n">
        <v>0</v>
      </c>
      <c r="Q17" s="7" t="n">
        <v>0</v>
      </c>
      <c r="R17" s="7" t="n">
        <f aca="false">SUM(O17:Q17)</f>
        <v>33.31</v>
      </c>
      <c r="S17" s="8"/>
      <c r="T17" s="7"/>
      <c r="U17" s="7" t="n">
        <v>40.5</v>
      </c>
      <c r="V17" s="8" t="n">
        <f aca="false">V16-U17</f>
        <v>9331.31331484748</v>
      </c>
      <c r="W17" s="7" t="n">
        <f aca="false">N17+R17+T17+U17</f>
        <v>89.56</v>
      </c>
      <c r="X17" s="7"/>
      <c r="Y17" s="7" t="n">
        <f aca="false">W17+X17</f>
        <v>89.56</v>
      </c>
      <c r="Z17" s="11" t="n">
        <v>0</v>
      </c>
      <c r="AA17" s="12" t="n">
        <v>53</v>
      </c>
      <c r="AB17" s="12" t="n">
        <v>29</v>
      </c>
      <c r="AC17" s="13" t="n">
        <f aca="false">AC16+1</f>
        <v>8</v>
      </c>
      <c r="AD17" s="12" t="n">
        <v>14117</v>
      </c>
      <c r="AE17" s="12" t="n">
        <v>707</v>
      </c>
      <c r="AG17" s="7" t="n">
        <v>15</v>
      </c>
    </row>
    <row r="18" customFormat="false" ht="11.1" hidden="false" customHeight="true" outlineLevel="0" collapsed="false">
      <c r="A18" s="13" t="n">
        <f aca="false">A17+1</f>
        <v>9</v>
      </c>
      <c r="B18" s="27" t="n">
        <v>6912.85</v>
      </c>
      <c r="C18" s="8" t="n">
        <v>333510</v>
      </c>
      <c r="D18" s="12" t="n">
        <f aca="false">C18-C17</f>
        <v>693</v>
      </c>
      <c r="E18" s="8" t="n">
        <f aca="false">C18-152000</f>
        <v>181510</v>
      </c>
      <c r="F18" s="7" t="n">
        <f aca="false">D18/$D$2</f>
        <v>349.47049924357</v>
      </c>
      <c r="G18" s="7" t="n">
        <v>202.21</v>
      </c>
      <c r="H18" s="9" t="n">
        <v>20.35</v>
      </c>
      <c r="I18" s="7" t="n">
        <f aca="false">G18+H18</f>
        <v>222.56</v>
      </c>
      <c r="J18" s="49" t="n">
        <v>207.98049924357</v>
      </c>
      <c r="K18" s="7" t="n">
        <f aca="false">I18+J18</f>
        <v>430.54049924357</v>
      </c>
      <c r="L18" s="7" t="n">
        <f aca="false">F18-(I18-W18)</f>
        <v>207.98049924357</v>
      </c>
      <c r="M18" s="7" t="n">
        <v>40.5</v>
      </c>
      <c r="N18" s="7" t="n">
        <f aca="false">AG18*1.05</f>
        <v>25.2</v>
      </c>
      <c r="O18" s="7" t="n">
        <f aca="false">M18-N18</f>
        <v>15.3</v>
      </c>
      <c r="P18" s="7" t="n">
        <v>0</v>
      </c>
      <c r="Q18" s="7" t="n">
        <v>0</v>
      </c>
      <c r="R18" s="7" t="n">
        <f aca="false">SUM(O18:Q18)</f>
        <v>15.3</v>
      </c>
      <c r="S18" s="8"/>
      <c r="T18" s="7"/>
      <c r="U18" s="7" t="n">
        <v>40.57</v>
      </c>
      <c r="V18" s="8" t="n">
        <f aca="false">V17-U18</f>
        <v>9290.74331484748</v>
      </c>
      <c r="W18" s="7" t="n">
        <f aca="false">N18+R18+T18+U18</f>
        <v>81.07</v>
      </c>
      <c r="X18" s="7"/>
      <c r="Y18" s="7" t="n">
        <f aca="false">W18+X18</f>
        <v>81.07</v>
      </c>
      <c r="Z18" s="11" t="n">
        <v>0.06</v>
      </c>
      <c r="AA18" s="38" t="n">
        <v>48</v>
      </c>
      <c r="AB18" s="12" t="n">
        <v>31</v>
      </c>
      <c r="AC18" s="13" t="n">
        <f aca="false">AC17+1</f>
        <v>9</v>
      </c>
      <c r="AD18" s="12" t="n">
        <v>14264</v>
      </c>
      <c r="AE18" s="12" t="n">
        <v>826</v>
      </c>
      <c r="AG18" s="7" t="n">
        <v>24</v>
      </c>
    </row>
    <row r="19" customFormat="false" ht="11.1" hidden="false" customHeight="true" outlineLevel="0" collapsed="false">
      <c r="A19" s="13" t="n">
        <f aca="false">A18+1</f>
        <v>10</v>
      </c>
      <c r="B19" s="27" t="n">
        <v>6912.98</v>
      </c>
      <c r="C19" s="8" t="n">
        <v>334039</v>
      </c>
      <c r="D19" s="12" t="n">
        <f aca="false">C19-C18</f>
        <v>529</v>
      </c>
      <c r="E19" s="8" t="n">
        <f aca="false">C19-152000</f>
        <v>182039</v>
      </c>
      <c r="F19" s="7" t="n">
        <f aca="false">D19/$D$2</f>
        <v>266.767523953606</v>
      </c>
      <c r="G19" s="7" t="n">
        <v>186.94</v>
      </c>
      <c r="H19" s="9" t="n">
        <v>19.07</v>
      </c>
      <c r="I19" s="7" t="n">
        <f aca="false">G19+H19</f>
        <v>206.01</v>
      </c>
      <c r="J19" s="49" t="n">
        <v>132.527523953606</v>
      </c>
      <c r="K19" s="7" t="n">
        <f aca="false">I19+J19</f>
        <v>338.537523953606</v>
      </c>
      <c r="L19" s="7" t="n">
        <f aca="false">F19-(I19-W19)</f>
        <v>132.537523953606</v>
      </c>
      <c r="M19" s="7" t="n">
        <v>31.21</v>
      </c>
      <c r="N19" s="7" t="n">
        <f aca="false">AG19*1.05</f>
        <v>24.15</v>
      </c>
      <c r="O19" s="7" t="n">
        <f aca="false">M19-N19</f>
        <v>7.06</v>
      </c>
      <c r="P19" s="7" t="n">
        <v>0</v>
      </c>
      <c r="Q19" s="7" t="n">
        <v>0</v>
      </c>
      <c r="R19" s="7" t="n">
        <f aca="false">SUM(O19:Q19)</f>
        <v>7.06</v>
      </c>
      <c r="S19" s="8"/>
      <c r="T19" s="7"/>
      <c r="U19" s="7" t="n">
        <v>40.57</v>
      </c>
      <c r="V19" s="8" t="n">
        <f aca="false">V18-U19</f>
        <v>9250.17331484748</v>
      </c>
      <c r="W19" s="7" t="n">
        <f aca="false">N19+R19+T19+U19</f>
        <v>71.78</v>
      </c>
      <c r="X19" s="7"/>
      <c r="Y19" s="7" t="n">
        <f aca="false">W19+X19</f>
        <v>71.78</v>
      </c>
      <c r="Z19" s="11" t="n">
        <v>0.05</v>
      </c>
      <c r="AA19" s="12" t="n">
        <v>44</v>
      </c>
      <c r="AB19" s="12" t="n">
        <v>30</v>
      </c>
      <c r="AC19" s="13" t="n">
        <f aca="false">AC18+1</f>
        <v>10</v>
      </c>
      <c r="AD19" s="12" t="n">
        <v>14413</v>
      </c>
      <c r="AE19" s="12" t="n">
        <v>964</v>
      </c>
      <c r="AG19" s="7" t="n">
        <v>23</v>
      </c>
    </row>
    <row r="20" customFormat="false" ht="11.1" hidden="false" customHeight="true" outlineLevel="0" collapsed="false">
      <c r="A20" s="13" t="n">
        <f aca="false">A19+1</f>
        <v>11</v>
      </c>
      <c r="B20" s="27" t="n">
        <v>6913.13</v>
      </c>
      <c r="C20" s="8" t="n">
        <v>334655</v>
      </c>
      <c r="D20" s="12" t="n">
        <f aca="false">C20-C19</f>
        <v>616</v>
      </c>
      <c r="E20" s="8" t="n">
        <f aca="false">C20-152000</f>
        <v>182655</v>
      </c>
      <c r="F20" s="7" t="n">
        <f aca="false">D20/$D$2</f>
        <v>310.640443772062</v>
      </c>
      <c r="G20" s="7" t="n">
        <v>171.16</v>
      </c>
      <c r="H20" s="9" t="n">
        <v>18.22</v>
      </c>
      <c r="I20" s="7" t="n">
        <f aca="false">G20+H20</f>
        <v>189.38</v>
      </c>
      <c r="J20" s="49" t="n">
        <v>202.220443772062</v>
      </c>
      <c r="K20" s="7" t="n">
        <f aca="false">I20+J20</f>
        <v>391.600443772062</v>
      </c>
      <c r="L20" s="7" t="n">
        <f aca="false">F20-(I20-W20)</f>
        <v>202.220443772062</v>
      </c>
      <c r="M20" s="7" t="n">
        <v>40.46</v>
      </c>
      <c r="N20" s="7" t="n">
        <f aca="false">AG20*1.05</f>
        <v>24.15</v>
      </c>
      <c r="O20" s="7" t="n">
        <f aca="false">M20-N20</f>
        <v>16.31</v>
      </c>
      <c r="P20" s="7" t="n">
        <v>0</v>
      </c>
      <c r="Q20" s="7" t="n">
        <v>0</v>
      </c>
      <c r="R20" s="7" t="n">
        <f aca="false">SUM(O20:Q20)</f>
        <v>16.31</v>
      </c>
      <c r="S20" s="8"/>
      <c r="T20" s="7"/>
      <c r="U20" s="7" t="n">
        <v>40.5</v>
      </c>
      <c r="V20" s="8" t="n">
        <f aca="false">V19-U20</f>
        <v>9209.67331484748</v>
      </c>
      <c r="W20" s="7" t="n">
        <f aca="false">N20+R20+T20+U20</f>
        <v>80.96</v>
      </c>
      <c r="X20" s="7"/>
      <c r="Y20" s="7" t="n">
        <f aca="false">W20+X20</f>
        <v>80.96</v>
      </c>
      <c r="Z20" s="11" t="n">
        <v>0</v>
      </c>
      <c r="AA20" s="12" t="n">
        <v>46</v>
      </c>
      <c r="AB20" s="12" t="n">
        <v>27</v>
      </c>
      <c r="AC20" s="13" t="n">
        <f aca="false">AC19+1</f>
        <v>11</v>
      </c>
      <c r="AD20" s="12" t="n">
        <v>14571</v>
      </c>
      <c r="AE20" s="12" t="n">
        <v>1065</v>
      </c>
      <c r="AG20" s="7" t="n">
        <v>23</v>
      </c>
    </row>
    <row r="21" customFormat="false" ht="11.1" hidden="false" customHeight="true" outlineLevel="0" collapsed="false">
      <c r="A21" s="13" t="n">
        <f aca="false">A20+1</f>
        <v>12</v>
      </c>
      <c r="B21" s="27" t="n">
        <v>6913.31</v>
      </c>
      <c r="C21" s="8" t="n">
        <v>335395</v>
      </c>
      <c r="D21" s="12" t="n">
        <f aca="false">C21-C20</f>
        <v>740</v>
      </c>
      <c r="E21" s="8" t="n">
        <f aca="false">C21-152000</f>
        <v>183395</v>
      </c>
      <c r="F21" s="7" t="n">
        <f aca="false">D21/$D$2</f>
        <v>373.171961674231</v>
      </c>
      <c r="G21" s="7" t="n">
        <v>190.96</v>
      </c>
      <c r="H21" s="9" t="n">
        <v>39.29</v>
      </c>
      <c r="I21" s="7" t="n">
        <f aca="false">G21+H21</f>
        <v>230.25</v>
      </c>
      <c r="J21" s="49" t="n">
        <v>238.901961674231</v>
      </c>
      <c r="K21" s="7" t="n">
        <f aca="false">I21+J21</f>
        <v>469.151961674231</v>
      </c>
      <c r="L21" s="7" t="n">
        <f aca="false">F21-(I21-W21)</f>
        <v>238.901961674231</v>
      </c>
      <c r="M21" s="7" t="n">
        <v>55.48</v>
      </c>
      <c r="N21" s="7" t="n">
        <f aca="false">AG21*1.05</f>
        <v>24.15</v>
      </c>
      <c r="O21" s="7" t="n">
        <f aca="false">M21-N21</f>
        <v>31.33</v>
      </c>
      <c r="P21" s="7" t="n">
        <v>0</v>
      </c>
      <c r="Q21" s="7" t="n">
        <v>0</v>
      </c>
      <c r="R21" s="7" t="n">
        <f aca="false">SUM(O21:Q21)</f>
        <v>31.33</v>
      </c>
      <c r="S21" s="8"/>
      <c r="T21" s="7"/>
      <c r="U21" s="7" t="n">
        <v>40.5</v>
      </c>
      <c r="V21" s="8" t="n">
        <f aca="false">V20-U21</f>
        <v>9169.17331484748</v>
      </c>
      <c r="W21" s="7" t="n">
        <f aca="false">N21+R21+T21+U21</f>
        <v>95.98</v>
      </c>
      <c r="X21" s="7"/>
      <c r="Y21" s="7" t="n">
        <f aca="false">W21+X21</f>
        <v>95.98</v>
      </c>
      <c r="Z21" s="11" t="n">
        <v>0</v>
      </c>
      <c r="AA21" s="12" t="n">
        <v>64</v>
      </c>
      <c r="AB21" s="12" t="n">
        <v>27</v>
      </c>
      <c r="AC21" s="13" t="n">
        <f aca="false">AC20+1</f>
        <v>12</v>
      </c>
      <c r="AD21" s="12" t="n">
        <v>14696</v>
      </c>
      <c r="AE21" s="12" t="n">
        <v>1185</v>
      </c>
      <c r="AG21" s="7" t="n">
        <v>23</v>
      </c>
    </row>
    <row r="22" customFormat="false" ht="11.1" hidden="false" customHeight="true" outlineLevel="0" collapsed="false">
      <c r="A22" s="13" t="n">
        <f aca="false">A21+1</f>
        <v>13</v>
      </c>
      <c r="B22" s="27" t="n">
        <v>6913.61</v>
      </c>
      <c r="C22" s="8" t="n">
        <v>336628</v>
      </c>
      <c r="D22" s="12" t="n">
        <f aca="false">C22-C21</f>
        <v>1233</v>
      </c>
      <c r="E22" s="8" t="n">
        <f aca="false">C22-152000</f>
        <v>184628</v>
      </c>
      <c r="F22" s="7" t="n">
        <f aca="false">D22/$D$2</f>
        <v>621.78517397882</v>
      </c>
      <c r="G22" s="7" t="n">
        <v>261.46</v>
      </c>
      <c r="H22" s="9" t="n">
        <v>79.65</v>
      </c>
      <c r="I22" s="7" t="n">
        <f aca="false">G22+H22</f>
        <v>341.11</v>
      </c>
      <c r="J22" s="49" t="n">
        <v>377.52517397882</v>
      </c>
      <c r="K22" s="7" t="n">
        <f aca="false">I22+J22</f>
        <v>718.63517397882</v>
      </c>
      <c r="L22" s="7" t="n">
        <f aca="false">F22-(I22-W22)</f>
        <v>377.52517397882</v>
      </c>
      <c r="M22" s="7" t="n">
        <v>56.46</v>
      </c>
      <c r="N22" s="7" t="n">
        <f aca="false">AG22*1.05</f>
        <v>29.4</v>
      </c>
      <c r="O22" s="7" t="n">
        <f aca="false">M22-N22</f>
        <v>27.06</v>
      </c>
      <c r="P22" s="7" t="n">
        <v>0</v>
      </c>
      <c r="Q22" s="7" t="n">
        <v>0</v>
      </c>
      <c r="R22" s="7" t="n">
        <f aca="false">SUM(O22:Q22)</f>
        <v>27.06</v>
      </c>
      <c r="S22" s="8"/>
      <c r="T22" s="7"/>
      <c r="U22" s="7" t="n">
        <v>40.39</v>
      </c>
      <c r="V22" s="8" t="n">
        <f aca="false">V21-U22</f>
        <v>9128.78331484748</v>
      </c>
      <c r="W22" s="7" t="n">
        <f aca="false">N22+R22+T22+U22</f>
        <v>96.85</v>
      </c>
      <c r="X22" s="7"/>
      <c r="Y22" s="7" t="n">
        <f aca="false">W22+X22</f>
        <v>96.85</v>
      </c>
      <c r="Z22" s="11" t="n">
        <v>0</v>
      </c>
      <c r="AA22" s="12" t="n">
        <v>62</v>
      </c>
      <c r="AB22" s="12" t="n">
        <v>30</v>
      </c>
      <c r="AC22" s="13" t="n">
        <f aca="false">AC21+1</f>
        <v>13</v>
      </c>
      <c r="AD22" s="12" t="n">
        <v>14771</v>
      </c>
      <c r="AE22" s="12" t="n">
        <v>1299</v>
      </c>
      <c r="AG22" s="7" t="n">
        <v>28</v>
      </c>
    </row>
    <row r="23" customFormat="false" ht="11.1" hidden="false" customHeight="true" outlineLevel="0" collapsed="false">
      <c r="A23" s="13" t="n">
        <f aca="false">A22+1</f>
        <v>14</v>
      </c>
      <c r="B23" s="27" t="n">
        <v>6913.93</v>
      </c>
      <c r="C23" s="8" t="n">
        <v>337944</v>
      </c>
      <c r="D23" s="12" t="n">
        <f aca="false">C23-C22</f>
        <v>1316</v>
      </c>
      <c r="E23" s="8" t="n">
        <f aca="false">C23-152000</f>
        <v>185944</v>
      </c>
      <c r="F23" s="7" t="n">
        <f aca="false">D23/$D$2</f>
        <v>663.640948058497</v>
      </c>
      <c r="G23" s="7" t="n">
        <v>329.54</v>
      </c>
      <c r="H23" s="9" t="n">
        <v>118.28</v>
      </c>
      <c r="I23" s="7" t="n">
        <f aca="false">G23+H23</f>
        <v>447.82</v>
      </c>
      <c r="J23" s="49" t="n">
        <v>312.780948058497</v>
      </c>
      <c r="K23" s="7" t="n">
        <f aca="false">I23+J23</f>
        <v>760.600948058497</v>
      </c>
      <c r="L23" s="7" t="n">
        <f aca="false">F23-(I23-W23)</f>
        <v>312.780948058497</v>
      </c>
      <c r="M23" s="7" t="n">
        <v>56.46</v>
      </c>
      <c r="N23" s="7" t="n">
        <f aca="false">AG23*1.05</f>
        <v>30.45</v>
      </c>
      <c r="O23" s="7" t="n">
        <f aca="false">M23-N23</f>
        <v>26.01</v>
      </c>
      <c r="P23" s="7" t="n">
        <v>0</v>
      </c>
      <c r="Q23" s="7" t="n">
        <v>0</v>
      </c>
      <c r="R23" s="7" t="n">
        <f aca="false">SUM(O23:Q23)</f>
        <v>26.01</v>
      </c>
      <c r="S23" s="8"/>
      <c r="T23" s="7"/>
      <c r="U23" s="7" t="n">
        <v>40.5</v>
      </c>
      <c r="V23" s="8" t="n">
        <f aca="false">V22-U23</f>
        <v>9088.28331484748</v>
      </c>
      <c r="W23" s="7" t="n">
        <f aca="false">N23+R23+T23+U23</f>
        <v>96.96</v>
      </c>
      <c r="X23" s="7"/>
      <c r="Y23" s="7" t="n">
        <f aca="false">W23+X23</f>
        <v>96.96</v>
      </c>
      <c r="Z23" s="11" t="n">
        <v>0</v>
      </c>
      <c r="AA23" s="38" t="n">
        <v>64</v>
      </c>
      <c r="AB23" s="12" t="n">
        <v>32</v>
      </c>
      <c r="AC23" s="13" t="n">
        <f aca="false">AC22+1</f>
        <v>14</v>
      </c>
      <c r="AD23" s="12" t="n">
        <v>14842</v>
      </c>
      <c r="AE23" s="12" t="n">
        <v>1407</v>
      </c>
      <c r="AG23" s="7" t="n">
        <v>29</v>
      </c>
    </row>
    <row r="24" customFormat="false" ht="11.1" hidden="false" customHeight="true" outlineLevel="0" collapsed="false">
      <c r="A24" s="13" t="n">
        <f aca="false">A23+1</f>
        <v>15</v>
      </c>
      <c r="B24" s="27" t="n">
        <v>6914.21</v>
      </c>
      <c r="C24" s="8" t="n">
        <v>339100</v>
      </c>
      <c r="D24" s="12" t="n">
        <f aca="false">C24-C23</f>
        <v>1156</v>
      </c>
      <c r="E24" s="8" t="n">
        <f aca="false">C24-152000</f>
        <v>187100</v>
      </c>
      <c r="F24" s="7" t="n">
        <f aca="false">D24/$D$2</f>
        <v>582.955118507312</v>
      </c>
      <c r="G24" s="7" t="n">
        <v>348.28</v>
      </c>
      <c r="H24" s="9" t="n">
        <v>106.31</v>
      </c>
      <c r="I24" s="7" t="n">
        <f aca="false">G24+H24</f>
        <v>454.59</v>
      </c>
      <c r="J24" s="49" t="n">
        <v>231.495118507312</v>
      </c>
      <c r="K24" s="7" t="n">
        <f aca="false">I24+J24</f>
        <v>686.085118507312</v>
      </c>
      <c r="L24" s="7" t="n">
        <f aca="false">F24-(I24-W24)</f>
        <v>231.495118507312</v>
      </c>
      <c r="M24" s="7" t="n">
        <v>62.63</v>
      </c>
      <c r="N24" s="7" t="n">
        <f aca="false">AG24*1.05</f>
        <v>29.4</v>
      </c>
      <c r="O24" s="7" t="n">
        <f aca="false">M24-N24</f>
        <v>33.23</v>
      </c>
      <c r="P24" s="7" t="n">
        <v>0</v>
      </c>
      <c r="Q24" s="7" t="n">
        <v>0</v>
      </c>
      <c r="R24" s="7" t="n">
        <f aca="false">SUM(O24:Q24)</f>
        <v>33.23</v>
      </c>
      <c r="S24" s="8"/>
      <c r="T24" s="7"/>
      <c r="U24" s="7" t="n">
        <v>40.5</v>
      </c>
      <c r="V24" s="8" t="n">
        <f aca="false">V23-U24</f>
        <v>9047.78331484748</v>
      </c>
      <c r="W24" s="7" t="n">
        <f aca="false">N24+R24+T24+U24</f>
        <v>103.13</v>
      </c>
      <c r="X24" s="7"/>
      <c r="Y24" s="7" t="n">
        <f aca="false">W24+X24</f>
        <v>103.13</v>
      </c>
      <c r="Z24" s="11" t="n">
        <v>0</v>
      </c>
      <c r="AA24" s="38" t="n">
        <v>68</v>
      </c>
      <c r="AB24" s="12" t="n">
        <v>30</v>
      </c>
      <c r="AC24" s="13" t="n">
        <f aca="false">AC23+1</f>
        <v>15</v>
      </c>
      <c r="AD24" s="12" t="n">
        <v>14927</v>
      </c>
      <c r="AE24" s="12" t="n">
        <v>1516</v>
      </c>
      <c r="AG24" s="7" t="n">
        <v>28</v>
      </c>
    </row>
    <row r="25" customFormat="false" ht="11.1" hidden="false" customHeight="true" outlineLevel="0" collapsed="false">
      <c r="A25" s="13" t="n">
        <f aca="false">A24+1</f>
        <v>16</v>
      </c>
      <c r="B25" s="27" t="n">
        <v>6914.56</v>
      </c>
      <c r="C25" s="8" t="n">
        <v>340550</v>
      </c>
      <c r="D25" s="12" t="n">
        <f aca="false">C25-C24</f>
        <v>1450</v>
      </c>
      <c r="E25" s="8" t="n">
        <f aca="false">C25-152000</f>
        <v>188550</v>
      </c>
      <c r="F25" s="7" t="n">
        <f aca="false">D25/$D$2</f>
        <v>731.215330307615</v>
      </c>
      <c r="G25" s="7" t="n">
        <v>406.29</v>
      </c>
      <c r="H25" s="9" t="n">
        <v>131</v>
      </c>
      <c r="I25" s="7" t="n">
        <f aca="false">G25+H25</f>
        <v>537.29</v>
      </c>
      <c r="J25" s="49" t="n">
        <v>302.855330307615</v>
      </c>
      <c r="K25" s="7" t="n">
        <f aca="false">I25+J25</f>
        <v>840.145330307615</v>
      </c>
      <c r="L25" s="7" t="n">
        <f aca="false">F25-(I25-W25)</f>
        <v>302.855330307615</v>
      </c>
      <c r="M25" s="7" t="n">
        <v>68.43</v>
      </c>
      <c r="N25" s="7" t="n">
        <f aca="false">AG25*1.05</f>
        <v>29.4</v>
      </c>
      <c r="O25" s="7" t="n">
        <f aca="false">M25-N25</f>
        <v>39.03</v>
      </c>
      <c r="P25" s="7" t="n">
        <v>0</v>
      </c>
      <c r="Q25" s="7" t="n">
        <v>0</v>
      </c>
      <c r="R25" s="7" t="n">
        <f aca="false">SUM(O25:Q25)</f>
        <v>39.03</v>
      </c>
      <c r="S25" s="8"/>
      <c r="T25" s="7"/>
      <c r="U25" s="7" t="n">
        <v>40.5</v>
      </c>
      <c r="V25" s="8" t="n">
        <f aca="false">V24-U25</f>
        <v>9007.28331484748</v>
      </c>
      <c r="W25" s="7" t="n">
        <f aca="false">N25+R25+T25+U25</f>
        <v>108.93</v>
      </c>
      <c r="X25" s="7"/>
      <c r="Y25" s="7" t="n">
        <f aca="false">W25+X25</f>
        <v>108.93</v>
      </c>
      <c r="Z25" s="11" t="n">
        <v>0</v>
      </c>
      <c r="AA25" s="38" t="n">
        <v>71</v>
      </c>
      <c r="AB25" s="12" t="n">
        <v>32</v>
      </c>
      <c r="AC25" s="13" t="n">
        <f aca="false">AC24+1</f>
        <v>16</v>
      </c>
      <c r="AD25" s="12" t="n">
        <v>15009</v>
      </c>
      <c r="AE25" s="12" t="n">
        <v>1615</v>
      </c>
      <c r="AG25" s="7" t="n">
        <v>28</v>
      </c>
    </row>
    <row r="26" customFormat="false" ht="11.1" hidden="false" customHeight="true" outlineLevel="0" collapsed="false">
      <c r="A26" s="13" t="n">
        <f aca="false">A25+1</f>
        <v>17</v>
      </c>
      <c r="B26" s="27" t="n">
        <v>6915.01</v>
      </c>
      <c r="C26" s="8" t="n">
        <v>342413</v>
      </c>
      <c r="D26" s="12" t="n">
        <f aca="false">C26-C25</f>
        <v>1863</v>
      </c>
      <c r="E26" s="8" t="n">
        <f aca="false">C26-152000</f>
        <v>190413</v>
      </c>
      <c r="F26" s="7" t="n">
        <f aca="false">D26/$D$2</f>
        <v>939.485627836611</v>
      </c>
      <c r="G26" s="7" t="n">
        <v>523.92</v>
      </c>
      <c r="H26" s="9" t="n">
        <v>184.34</v>
      </c>
      <c r="I26" s="7" t="n">
        <f aca="false">G26+H26</f>
        <v>708.26</v>
      </c>
      <c r="J26" s="49" t="n">
        <v>334.085627836611</v>
      </c>
      <c r="K26" s="7" t="n">
        <f aca="false">I26+J26</f>
        <v>1042.34562783661</v>
      </c>
      <c r="L26" s="7" t="n">
        <f aca="false">F26-(I26-W26)</f>
        <v>334.085627836611</v>
      </c>
      <c r="M26" s="7" t="n">
        <v>62.36</v>
      </c>
      <c r="N26" s="7" t="n">
        <f aca="false">AG26*1.05</f>
        <v>12.6</v>
      </c>
      <c r="O26" s="7" t="n">
        <f aca="false">M26-N26</f>
        <v>49.76</v>
      </c>
      <c r="P26" s="7" t="n">
        <v>0</v>
      </c>
      <c r="Q26" s="7" t="n">
        <v>0</v>
      </c>
      <c r="R26" s="7" t="n">
        <f aca="false">SUM(O26:Q26)</f>
        <v>49.76</v>
      </c>
      <c r="S26" s="8"/>
      <c r="T26" s="7"/>
      <c r="U26" s="7" t="n">
        <v>40.5</v>
      </c>
      <c r="V26" s="8" t="n">
        <f aca="false">V25-U26</f>
        <v>8966.78331484748</v>
      </c>
      <c r="W26" s="7" t="n">
        <f aca="false">N26+R26+T26+U26</f>
        <v>102.86</v>
      </c>
      <c r="X26" s="7"/>
      <c r="Y26" s="7" t="n">
        <f aca="false">W26+X26</f>
        <v>102.86</v>
      </c>
      <c r="Z26" s="11" t="n">
        <v>0</v>
      </c>
      <c r="AA26" s="38" t="n">
        <v>74</v>
      </c>
      <c r="AB26" s="12" t="n">
        <v>40</v>
      </c>
      <c r="AC26" s="13" t="n">
        <f aca="false">AC25+1</f>
        <v>17</v>
      </c>
      <c r="AD26" s="12" t="n">
        <v>15112</v>
      </c>
      <c r="AE26" s="12" t="n">
        <v>1714</v>
      </c>
      <c r="AG26" s="7" t="n">
        <v>12</v>
      </c>
    </row>
    <row r="27" customFormat="false" ht="11.1" hidden="false" customHeight="true" outlineLevel="0" collapsed="false">
      <c r="A27" s="13" t="n">
        <f aca="false">A26+1</f>
        <v>18</v>
      </c>
      <c r="B27" s="27" t="n">
        <v>6915.53</v>
      </c>
      <c r="C27" s="8" t="n">
        <v>344584</v>
      </c>
      <c r="D27" s="12" t="n">
        <f aca="false">C27-C26</f>
        <v>2171</v>
      </c>
      <c r="E27" s="8" t="n">
        <f aca="false">C27-152000</f>
        <v>192584</v>
      </c>
      <c r="F27" s="7" t="n">
        <f aca="false">D27/$D$2</f>
        <v>1094.80584972264</v>
      </c>
      <c r="G27" s="7" t="n">
        <v>637.6</v>
      </c>
      <c r="H27" s="9" t="n">
        <v>218.36</v>
      </c>
      <c r="I27" s="7" t="n">
        <f aca="false">G27+H27</f>
        <v>855.96</v>
      </c>
      <c r="J27" s="49" t="n">
        <v>351.155849722642</v>
      </c>
      <c r="K27" s="7" t="n">
        <f aca="false">I27+J27</f>
        <v>1207.11584972264</v>
      </c>
      <c r="L27" s="7" t="n">
        <f aca="false">F27-(I27-W27)</f>
        <v>351.155849722642</v>
      </c>
      <c r="M27" s="7" t="n">
        <v>69.17</v>
      </c>
      <c r="N27" s="7" t="n">
        <f aca="false">AG27*1.05</f>
        <v>11.55</v>
      </c>
      <c r="O27" s="7" t="n">
        <f aca="false">M27-N27</f>
        <v>57.62</v>
      </c>
      <c r="P27" s="7" t="n">
        <v>0</v>
      </c>
      <c r="Q27" s="7" t="n">
        <v>2.64</v>
      </c>
      <c r="R27" s="7" t="n">
        <f aca="false">SUM(O27:Q27)</f>
        <v>60.26</v>
      </c>
      <c r="S27" s="8"/>
      <c r="T27" s="7"/>
      <c r="U27" s="7" t="n">
        <v>40.5</v>
      </c>
      <c r="V27" s="8" t="n">
        <f aca="false">V26-U27</f>
        <v>8926.28331484748</v>
      </c>
      <c r="W27" s="7" t="n">
        <f aca="false">N27+R27+T27+U27</f>
        <v>112.31</v>
      </c>
      <c r="X27" s="7"/>
      <c r="Y27" s="7" t="n">
        <f aca="false">W27+X27</f>
        <v>112.31</v>
      </c>
      <c r="Z27" s="11" t="n">
        <v>0</v>
      </c>
      <c r="AA27" s="38" t="n">
        <v>76</v>
      </c>
      <c r="AB27" s="12" t="n">
        <v>42</v>
      </c>
      <c r="AC27" s="13" t="n">
        <f aca="false">AC26+1</f>
        <v>18</v>
      </c>
      <c r="AD27" s="12" t="n">
        <v>15213</v>
      </c>
      <c r="AE27" s="12" t="n">
        <v>1812</v>
      </c>
      <c r="AG27" s="7" t="n">
        <v>11</v>
      </c>
    </row>
    <row r="28" customFormat="false" ht="11.1" hidden="false" customHeight="true" outlineLevel="0" collapsed="false">
      <c r="A28" s="13" t="n">
        <f aca="false">A27+1</f>
        <v>19</v>
      </c>
      <c r="B28" s="27" t="n">
        <v>6916.03</v>
      </c>
      <c r="C28" s="8" t="n">
        <v>346672</v>
      </c>
      <c r="D28" s="12" t="n">
        <f aca="false">C28-C27</f>
        <v>2088</v>
      </c>
      <c r="E28" s="8" t="n">
        <f aca="false">C28-152000</f>
        <v>194672</v>
      </c>
      <c r="F28" s="7" t="n">
        <f aca="false">D28/$D$2</f>
        <v>1052.95007564297</v>
      </c>
      <c r="G28" s="7" t="n">
        <v>719.38</v>
      </c>
      <c r="H28" s="9" t="n">
        <v>292.66</v>
      </c>
      <c r="I28" s="7" t="n">
        <f aca="false">G28+H28</f>
        <v>1012.04</v>
      </c>
      <c r="J28" s="49" t="n">
        <v>167.940075642965</v>
      </c>
      <c r="K28" s="7" t="n">
        <f aca="false">I28+J28</f>
        <v>1179.98007564297</v>
      </c>
      <c r="L28" s="7" t="n">
        <f aca="false">F28-(I28-W28)</f>
        <v>167.940075642965</v>
      </c>
      <c r="M28" s="7" t="n">
        <v>84.26</v>
      </c>
      <c r="N28" s="7" t="n">
        <f aca="false">AG28*1.05</f>
        <v>27.3</v>
      </c>
      <c r="O28" s="7" t="n">
        <f aca="false">M28-N28</f>
        <v>56.96</v>
      </c>
      <c r="P28" s="7" t="n">
        <v>0</v>
      </c>
      <c r="Q28" s="7" t="n">
        <v>2.27</v>
      </c>
      <c r="R28" s="7" t="n">
        <f aca="false">SUM(O28:Q28)</f>
        <v>59.23</v>
      </c>
      <c r="S28" s="8"/>
      <c r="T28" s="7"/>
      <c r="U28" s="7" t="n">
        <v>40.5</v>
      </c>
      <c r="V28" s="8" t="n">
        <f aca="false">V27-U28</f>
        <v>8885.78331484748</v>
      </c>
      <c r="W28" s="7" t="n">
        <f aca="false">N28+R28+T28+U28</f>
        <v>127.03</v>
      </c>
      <c r="X28" s="7"/>
      <c r="Y28" s="7" t="n">
        <f aca="false">W28+X28</f>
        <v>127.03</v>
      </c>
      <c r="Z28" s="11" t="n">
        <v>0</v>
      </c>
      <c r="AA28" s="38" t="n">
        <v>74</v>
      </c>
      <c r="AB28" s="12" t="n">
        <v>44</v>
      </c>
      <c r="AC28" s="13" t="n">
        <f aca="false">AC27+1</f>
        <v>19</v>
      </c>
      <c r="AD28" s="12" t="n">
        <v>15295</v>
      </c>
      <c r="AE28" s="12" t="n">
        <v>1909</v>
      </c>
      <c r="AG28" s="7" t="n">
        <v>26</v>
      </c>
    </row>
    <row r="29" customFormat="false" ht="11.1" hidden="false" customHeight="true" outlineLevel="0" collapsed="false">
      <c r="A29" s="13" t="n">
        <f aca="false">A28+1</f>
        <v>20</v>
      </c>
      <c r="B29" s="27" t="n">
        <v>6916.62</v>
      </c>
      <c r="C29" s="8" t="n">
        <v>349156</v>
      </c>
      <c r="D29" s="12" t="n">
        <f aca="false">C29-C28</f>
        <v>2484</v>
      </c>
      <c r="E29" s="8" t="n">
        <f aca="false">C29-152000</f>
        <v>197156</v>
      </c>
      <c r="F29" s="7" t="n">
        <f aca="false">D29/$D$2</f>
        <v>1252.64750378215</v>
      </c>
      <c r="G29" s="7" t="n">
        <v>755.84</v>
      </c>
      <c r="H29" s="9" t="n">
        <v>274.86</v>
      </c>
      <c r="I29" s="7" t="n">
        <f aca="false">G29+H29</f>
        <v>1030.7</v>
      </c>
      <c r="J29" s="49" t="n">
        <v>382.247503782148</v>
      </c>
      <c r="K29" s="7" t="n">
        <f aca="false">I29+J29</f>
        <v>1412.94750378215</v>
      </c>
      <c r="L29" s="7" t="n">
        <f aca="false">F29-(I29-W29)</f>
        <v>382.247503782148</v>
      </c>
      <c r="M29" s="7" t="n">
        <v>86.91</v>
      </c>
      <c r="N29" s="7" t="n">
        <f aca="false">AG29*1.05</f>
        <v>29.4</v>
      </c>
      <c r="O29" s="7" t="n">
        <f aca="false">M29-N29</f>
        <v>57.51</v>
      </c>
      <c r="P29" s="7" t="n">
        <v>0</v>
      </c>
      <c r="Q29" s="7" t="n">
        <v>8.89</v>
      </c>
      <c r="R29" s="7" t="n">
        <f aca="false">SUM(O29:Q29)</f>
        <v>66.4</v>
      </c>
      <c r="S29" s="8"/>
      <c r="T29" s="7" t="n">
        <v>24</v>
      </c>
      <c r="U29" s="7" t="n">
        <v>40.5</v>
      </c>
      <c r="V29" s="8" t="n">
        <f aca="false">V28-U29</f>
        <v>8845.28331484748</v>
      </c>
      <c r="W29" s="7" t="n">
        <f aca="false">N29+R29+T29+U29</f>
        <v>160.3</v>
      </c>
      <c r="X29" s="7"/>
      <c r="Y29" s="7" t="n">
        <f aca="false">W29+X29</f>
        <v>160.3</v>
      </c>
      <c r="Z29" s="11" t="n">
        <v>0</v>
      </c>
      <c r="AA29" s="38" t="n">
        <v>73</v>
      </c>
      <c r="AB29" s="12" t="n">
        <v>47</v>
      </c>
      <c r="AC29" s="13" t="n">
        <f aca="false">AC28+1</f>
        <v>20</v>
      </c>
      <c r="AD29" s="12" t="n">
        <v>15367</v>
      </c>
      <c r="AE29" s="12" t="n">
        <v>2006</v>
      </c>
      <c r="AG29" s="7" t="n">
        <v>28</v>
      </c>
    </row>
    <row r="30" customFormat="false" ht="11.1" hidden="false" customHeight="true" outlineLevel="0" collapsed="false">
      <c r="A30" s="13" t="n">
        <f aca="false">A29+1</f>
        <v>21</v>
      </c>
      <c r="B30" s="27" t="n">
        <v>6917.21</v>
      </c>
      <c r="C30" s="8" t="n">
        <v>351644</v>
      </c>
      <c r="D30" s="12" t="n">
        <f aca="false">C30-C29</f>
        <v>2488</v>
      </c>
      <c r="E30" s="8" t="n">
        <f aca="false">C30-152000</f>
        <v>199644</v>
      </c>
      <c r="F30" s="7" t="n">
        <f aca="false">D30/$D$2</f>
        <v>1254.66464952093</v>
      </c>
      <c r="G30" s="7" t="n">
        <v>751.38</v>
      </c>
      <c r="H30" s="9" t="n">
        <v>252.89</v>
      </c>
      <c r="I30" s="7" t="n">
        <f aca="false">G30+H30</f>
        <v>1004.27</v>
      </c>
      <c r="J30" s="49" t="n">
        <v>400.164649520928</v>
      </c>
      <c r="K30" s="7" t="n">
        <f aca="false">I30+J30</f>
        <v>1404.43464952093</v>
      </c>
      <c r="L30" s="7" t="n">
        <f aca="false">F30-(I30-W30)</f>
        <v>400.164649520928</v>
      </c>
      <c r="M30" s="7" t="n">
        <v>93.8</v>
      </c>
      <c r="N30" s="7" t="n">
        <f aca="false">AG30*1.05</f>
        <v>30.45</v>
      </c>
      <c r="O30" s="7" t="n">
        <f aca="false">M30-N30</f>
        <v>63.35</v>
      </c>
      <c r="P30" s="7" t="n">
        <v>0</v>
      </c>
      <c r="Q30" s="7" t="n">
        <v>11.44</v>
      </c>
      <c r="R30" s="7" t="n">
        <f aca="false">SUM(O30:Q30)</f>
        <v>74.79</v>
      </c>
      <c r="S30" s="8"/>
      <c r="T30" s="7" t="n">
        <v>4</v>
      </c>
      <c r="U30" s="7" t="n">
        <v>40.53</v>
      </c>
      <c r="V30" s="8" t="n">
        <f aca="false">V29-U30</f>
        <v>8804.75331484748</v>
      </c>
      <c r="W30" s="7" t="n">
        <f aca="false">N30+R30+T30+U30</f>
        <v>149.77</v>
      </c>
      <c r="X30" s="7"/>
      <c r="Y30" s="7" t="n">
        <f aca="false">W30+X30</f>
        <v>149.77</v>
      </c>
      <c r="Z30" s="11" t="n">
        <v>0.15</v>
      </c>
      <c r="AA30" s="12" t="n">
        <v>73</v>
      </c>
      <c r="AB30" s="12" t="n">
        <v>37</v>
      </c>
      <c r="AC30" s="13" t="n">
        <f aca="false">AC29+1</f>
        <v>21</v>
      </c>
      <c r="AD30" s="12" t="n">
        <v>15445</v>
      </c>
      <c r="AE30" s="12" t="n">
        <v>2106</v>
      </c>
      <c r="AF30" s="0" t="n">
        <v>273.4</v>
      </c>
      <c r="AG30" s="7" t="n">
        <v>29</v>
      </c>
    </row>
    <row r="31" customFormat="false" ht="11.1" hidden="false" customHeight="true" outlineLevel="0" collapsed="false">
      <c r="A31" s="13" t="n">
        <f aca="false">A30+1</f>
        <v>22</v>
      </c>
      <c r="B31" s="27" t="n">
        <v>6917.86</v>
      </c>
      <c r="C31" s="8" t="n">
        <v>354400</v>
      </c>
      <c r="D31" s="12" t="n">
        <f aca="false">C31-C30</f>
        <v>2756</v>
      </c>
      <c r="E31" s="8" t="n">
        <f aca="false">C31-152000</f>
        <v>202400</v>
      </c>
      <c r="F31" s="7" t="n">
        <f aca="false">D31/$D$2</f>
        <v>1389.81341401916</v>
      </c>
      <c r="G31" s="7" t="n">
        <v>929.31</v>
      </c>
      <c r="H31" s="9" t="n">
        <v>263.99</v>
      </c>
      <c r="I31" s="7" t="n">
        <f aca="false">G31+H31</f>
        <v>1193.3</v>
      </c>
      <c r="J31" s="49" t="n">
        <v>391.473414019163</v>
      </c>
      <c r="K31" s="7" t="n">
        <f aca="false">I31+J31</f>
        <v>1584.77341401916</v>
      </c>
      <c r="L31" s="7" t="n">
        <f aca="false">F31-(I31-W31)</f>
        <v>391.473414019163</v>
      </c>
      <c r="M31" s="7" t="n">
        <v>120.01</v>
      </c>
      <c r="N31" s="7" t="n">
        <f aca="false">AG31*1.05</f>
        <v>29.4</v>
      </c>
      <c r="O31" s="7" t="n">
        <f aca="false">M31-N31</f>
        <v>90.61</v>
      </c>
      <c r="P31" s="7" t="n">
        <v>0</v>
      </c>
      <c r="Q31" s="7" t="n">
        <v>12.45</v>
      </c>
      <c r="R31" s="7" t="n">
        <f aca="false">SUM(O31:Q31)</f>
        <v>103.06</v>
      </c>
      <c r="S31" s="8"/>
      <c r="T31" s="7" t="n">
        <v>22</v>
      </c>
      <c r="U31" s="7" t="n">
        <v>40.5</v>
      </c>
      <c r="V31" s="8" t="n">
        <f aca="false">V30-U31</f>
        <v>8764.25331484748</v>
      </c>
      <c r="W31" s="7" t="n">
        <f aca="false">N31+R31+T31+U31</f>
        <v>194.96</v>
      </c>
      <c r="X31" s="7"/>
      <c r="Y31" s="7" t="n">
        <f aca="false">W31+X31</f>
        <v>194.96</v>
      </c>
      <c r="Z31" s="11" t="n">
        <v>0</v>
      </c>
      <c r="AA31" s="12" t="n">
        <v>74</v>
      </c>
      <c r="AB31" s="12" t="n">
        <v>43</v>
      </c>
      <c r="AC31" s="13" t="n">
        <f aca="false">AC30+1</f>
        <v>22</v>
      </c>
      <c r="AD31" s="12" t="n">
        <v>15524</v>
      </c>
      <c r="AE31" s="12" t="n">
        <v>2203</v>
      </c>
      <c r="AF31" s="0" t="n">
        <v>249.63</v>
      </c>
      <c r="AG31" s="7" t="n">
        <v>28</v>
      </c>
    </row>
    <row r="32" customFormat="false" ht="11.1" hidden="false" customHeight="true" outlineLevel="0" collapsed="false">
      <c r="A32" s="13" t="n">
        <f aca="false">A31+1</f>
        <v>23</v>
      </c>
      <c r="B32" s="27" t="n">
        <v>6918.57</v>
      </c>
      <c r="C32" s="8" t="n">
        <v>357429</v>
      </c>
      <c r="D32" s="12" t="n">
        <f aca="false">C32-C31</f>
        <v>3029</v>
      </c>
      <c r="E32" s="8" t="n">
        <f aca="false">C32-152000</f>
        <v>205429</v>
      </c>
      <c r="F32" s="7" t="n">
        <f aca="false">D32/$D$2</f>
        <v>1527.48361069087</v>
      </c>
      <c r="G32" s="7" t="n">
        <v>1069.64</v>
      </c>
      <c r="H32" s="9" t="n">
        <v>254.38</v>
      </c>
      <c r="I32" s="7" t="n">
        <f aca="false">G32+H32</f>
        <v>1324.02</v>
      </c>
      <c r="J32" s="49" t="n">
        <v>385.053610690872</v>
      </c>
      <c r="K32" s="7" t="n">
        <f aca="false">I32+J32</f>
        <v>1709.07361069087</v>
      </c>
      <c r="L32" s="7" t="n">
        <f aca="false">F32-(I32-W32)</f>
        <v>385.053610690872</v>
      </c>
      <c r="M32" s="7" t="n">
        <v>128.59</v>
      </c>
      <c r="N32" s="7" t="n">
        <f aca="false">AG32*1.05</f>
        <v>32.55</v>
      </c>
      <c r="O32" s="7" t="n">
        <f aca="false">M32-N32</f>
        <v>96.04</v>
      </c>
      <c r="P32" s="7" t="n">
        <v>0</v>
      </c>
      <c r="Q32" s="7" t="n">
        <v>12.47</v>
      </c>
      <c r="R32" s="7" t="n">
        <f aca="false">SUM(O32:Q32)</f>
        <v>108.51</v>
      </c>
      <c r="S32" s="8"/>
      <c r="T32" s="7" t="n">
        <v>0</v>
      </c>
      <c r="U32" s="7" t="n">
        <v>40.53</v>
      </c>
      <c r="V32" s="8" t="n">
        <f aca="false">V31-U32</f>
        <v>8723.72331484748</v>
      </c>
      <c r="W32" s="7" t="n">
        <f aca="false">N32+R32+T32+U32</f>
        <v>181.59</v>
      </c>
      <c r="X32" s="7"/>
      <c r="Y32" s="7" t="n">
        <f aca="false">W32+X32</f>
        <v>181.59</v>
      </c>
      <c r="Z32" s="11" t="n">
        <v>0.03</v>
      </c>
      <c r="AA32" s="12" t="n">
        <v>70</v>
      </c>
      <c r="AB32" s="38" t="n">
        <v>43</v>
      </c>
      <c r="AC32" s="13" t="n">
        <f aca="false">AC31+1</f>
        <v>23</v>
      </c>
      <c r="AD32" s="12" t="n">
        <v>15607</v>
      </c>
      <c r="AE32" s="12" t="n">
        <v>2299</v>
      </c>
      <c r="AF32" s="0" t="n">
        <v>243.94</v>
      </c>
      <c r="AG32" s="7" t="n">
        <v>31</v>
      </c>
    </row>
    <row r="33" customFormat="false" ht="11.1" hidden="false" customHeight="true" outlineLevel="0" collapsed="false">
      <c r="A33" s="13" t="n">
        <f aca="false">A32+1</f>
        <v>24</v>
      </c>
      <c r="B33" s="27" t="n">
        <v>6919.19</v>
      </c>
      <c r="C33" s="8" t="n">
        <v>360085</v>
      </c>
      <c r="D33" s="12" t="n">
        <f aca="false">C33-C32</f>
        <v>2656</v>
      </c>
      <c r="E33" s="8" t="n">
        <f aca="false">C33-152000</f>
        <v>208085</v>
      </c>
      <c r="F33" s="7" t="n">
        <f aca="false">D33/$D$2</f>
        <v>1339.38477054967</v>
      </c>
      <c r="G33" s="7" t="n">
        <v>1054.69</v>
      </c>
      <c r="H33" s="9" t="n">
        <v>229.03</v>
      </c>
      <c r="I33" s="7" t="n">
        <f aca="false">G33+H33</f>
        <v>1283.72</v>
      </c>
      <c r="J33" s="49" t="n">
        <v>237.594770549672</v>
      </c>
      <c r="K33" s="7" t="n">
        <f aca="false">I33+J33</f>
        <v>1521.31477054967</v>
      </c>
      <c r="L33" s="7" t="n">
        <f aca="false">F33-(I33-W33)</f>
        <v>237.594770549672</v>
      </c>
      <c r="M33" s="7" t="n">
        <v>128.9</v>
      </c>
      <c r="N33" s="7" t="n">
        <f aca="false">AG33*1.05</f>
        <v>32.55</v>
      </c>
      <c r="O33" s="7" t="n">
        <f aca="false">M33-N33</f>
        <v>96.35</v>
      </c>
      <c r="P33" s="7" t="n">
        <v>0</v>
      </c>
      <c r="Q33" s="7" t="n">
        <v>12.43</v>
      </c>
      <c r="R33" s="7" t="n">
        <f aca="false">SUM(O33:Q33)</f>
        <v>108.78</v>
      </c>
      <c r="S33" s="8"/>
      <c r="T33" s="7" t="n">
        <v>0</v>
      </c>
      <c r="U33" s="7" t="n">
        <v>40.6</v>
      </c>
      <c r="V33" s="8" t="n">
        <f aca="false">V32-U33</f>
        <v>8683.12331484748</v>
      </c>
      <c r="W33" s="7" t="n">
        <f aca="false">N33+R33+T33+U33</f>
        <v>181.93</v>
      </c>
      <c r="X33" s="7"/>
      <c r="Y33" s="7" t="n">
        <f aca="false">W33+X33</f>
        <v>181.93</v>
      </c>
      <c r="Z33" s="11" t="n">
        <v>0</v>
      </c>
      <c r="AA33" s="12" t="n">
        <v>63</v>
      </c>
      <c r="AB33" s="38" t="n">
        <v>45</v>
      </c>
      <c r="AC33" s="13" t="n">
        <f aca="false">AC32+1</f>
        <v>24</v>
      </c>
      <c r="AD33" s="12" t="n">
        <v>15666</v>
      </c>
      <c r="AE33" s="12" t="n">
        <v>2395</v>
      </c>
      <c r="AF33" s="0" t="n">
        <v>243.15</v>
      </c>
      <c r="AG33" s="7" t="n">
        <v>31</v>
      </c>
    </row>
    <row r="34" customFormat="false" ht="11.1" hidden="false" customHeight="true" outlineLevel="0" collapsed="false">
      <c r="A34" s="13" t="n">
        <f aca="false">A33+1</f>
        <v>25</v>
      </c>
      <c r="B34" s="27" t="n">
        <v>6919.79</v>
      </c>
      <c r="C34" s="8" t="n">
        <v>362669</v>
      </c>
      <c r="D34" s="12" t="n">
        <f aca="false">C34-C33</f>
        <v>2584</v>
      </c>
      <c r="E34" s="8" t="n">
        <f aca="false">C34-152000</f>
        <v>210669</v>
      </c>
      <c r="F34" s="7" t="n">
        <f aca="false">D34/$D$2</f>
        <v>1303.07614725164</v>
      </c>
      <c r="G34" s="7" t="n">
        <v>861.52</v>
      </c>
      <c r="H34" s="9" t="n">
        <v>133.66</v>
      </c>
      <c r="I34" s="7" t="n">
        <f aca="false">G34+H34</f>
        <v>995.18</v>
      </c>
      <c r="J34" s="49" t="n">
        <v>498.306147251639</v>
      </c>
      <c r="K34" s="7" t="n">
        <f aca="false">I34+J34</f>
        <v>1493.48614725164</v>
      </c>
      <c r="L34" s="7" t="n">
        <f aca="false">F34-(I34-W34)</f>
        <v>498.306147251639</v>
      </c>
      <c r="M34" s="7" t="n">
        <v>118.06</v>
      </c>
      <c r="N34" s="7" t="n">
        <f aca="false">AG34*1.05</f>
        <v>32.55</v>
      </c>
      <c r="O34" s="7" t="n">
        <f aca="false">M34-N34</f>
        <v>85.51</v>
      </c>
      <c r="P34" s="7" t="n">
        <v>0</v>
      </c>
      <c r="Q34" s="7" t="n">
        <v>12.4</v>
      </c>
      <c r="R34" s="7" t="n">
        <f aca="false">SUM(O34:Q34)</f>
        <v>97.91</v>
      </c>
      <c r="S34" s="8"/>
      <c r="T34" s="7" t="n">
        <v>19</v>
      </c>
      <c r="U34" s="7" t="n">
        <v>40.95</v>
      </c>
      <c r="V34" s="8" t="n">
        <f aca="false">V33-U34</f>
        <v>8642.17331484748</v>
      </c>
      <c r="W34" s="7" t="n">
        <f aca="false">N34+R34+T34+U34</f>
        <v>190.41</v>
      </c>
      <c r="X34" s="7"/>
      <c r="Y34" s="7" t="n">
        <f aca="false">W34+X34</f>
        <v>190.41</v>
      </c>
      <c r="Z34" s="11" t="n">
        <v>0.13</v>
      </c>
      <c r="AA34" s="12" t="n">
        <v>49</v>
      </c>
      <c r="AB34" s="38" t="n">
        <v>30</v>
      </c>
      <c r="AC34" s="13" t="n">
        <f aca="false">AC33+1</f>
        <v>25</v>
      </c>
      <c r="AD34" s="12" t="n">
        <v>15726</v>
      </c>
      <c r="AE34" s="12" t="n">
        <v>2491</v>
      </c>
      <c r="AF34" s="0" t="n">
        <v>242.11</v>
      </c>
      <c r="AG34" s="7" t="n">
        <v>31</v>
      </c>
    </row>
    <row r="35" customFormat="false" ht="11.1" hidden="false" customHeight="true" outlineLevel="0" collapsed="false">
      <c r="A35" s="13" t="n">
        <f aca="false">A34+1</f>
        <v>26</v>
      </c>
      <c r="B35" s="27" t="n">
        <v>6920.57</v>
      </c>
      <c r="C35" s="8" t="n">
        <v>366047</v>
      </c>
      <c r="D35" s="12" t="n">
        <f aca="false">C35-C34</f>
        <v>3378</v>
      </c>
      <c r="E35" s="8" t="n">
        <f aca="false">C35-152000</f>
        <v>214047</v>
      </c>
      <c r="F35" s="7" t="n">
        <f aca="false">D35/$D$2</f>
        <v>1703.47957639939</v>
      </c>
      <c r="G35" s="7" t="n">
        <v>684.22</v>
      </c>
      <c r="H35" s="9" t="n">
        <v>81.11</v>
      </c>
      <c r="I35" s="7" t="n">
        <f aca="false">G35+H35</f>
        <v>765.33</v>
      </c>
      <c r="J35" s="46" t="n">
        <v>1115.30957639939</v>
      </c>
      <c r="K35" s="7" t="n">
        <f aca="false">I35+J35</f>
        <v>1880.63957639939</v>
      </c>
      <c r="L35" s="7" t="n">
        <f aca="false">F35-(I35-W35)</f>
        <v>1115.30957639939</v>
      </c>
      <c r="M35" s="7" t="n">
        <v>104.56</v>
      </c>
      <c r="N35" s="7" t="n">
        <f aca="false">AG35*1.05</f>
        <v>28.35</v>
      </c>
      <c r="O35" s="7" t="n">
        <f aca="false">M35-N35</f>
        <v>76.21</v>
      </c>
      <c r="P35" s="7" t="n">
        <v>0</v>
      </c>
      <c r="Q35" s="7" t="n">
        <v>12.4</v>
      </c>
      <c r="R35" s="7" t="n">
        <f aca="false">SUM(O35:Q35)</f>
        <v>88.61</v>
      </c>
      <c r="S35" s="8"/>
      <c r="T35" s="7" t="n">
        <v>19</v>
      </c>
      <c r="U35" s="7" t="n">
        <v>41.2</v>
      </c>
      <c r="V35" s="8" t="n">
        <f aca="false">V34-U35</f>
        <v>8600.97331484748</v>
      </c>
      <c r="W35" s="7" t="n">
        <f aca="false">N35+R35+T35+U35</f>
        <v>177.16</v>
      </c>
      <c r="X35" s="7"/>
      <c r="Y35" s="7" t="n">
        <f aca="false">W35+X35</f>
        <v>177.16</v>
      </c>
      <c r="Z35" s="11" t="n">
        <v>0.58</v>
      </c>
      <c r="AA35" s="12" t="n">
        <v>40</v>
      </c>
      <c r="AB35" s="12" t="n">
        <v>30</v>
      </c>
      <c r="AC35" s="13" t="n">
        <f aca="false">AC34+1</f>
        <v>26</v>
      </c>
      <c r="AD35" s="12" t="n">
        <v>15781</v>
      </c>
      <c r="AE35" s="12" t="n">
        <v>2589</v>
      </c>
      <c r="AF35" s="0" t="n">
        <v>244.72</v>
      </c>
      <c r="AG35" s="3" t="n">
        <v>27</v>
      </c>
    </row>
    <row r="36" customFormat="false" ht="11.1" hidden="false" customHeight="true" outlineLevel="0" collapsed="false">
      <c r="A36" s="13" t="n">
        <f aca="false">A35+1</f>
        <v>27</v>
      </c>
      <c r="B36" s="27" t="n">
        <v>6920.85</v>
      </c>
      <c r="C36" s="8" t="n">
        <v>367264</v>
      </c>
      <c r="D36" s="12" t="n">
        <f aca="false">C36-C35</f>
        <v>1217</v>
      </c>
      <c r="E36" s="8" t="n">
        <f aca="false">C36-152000</f>
        <v>215264</v>
      </c>
      <c r="F36" s="7" t="n">
        <f aca="false">D36/$D$2</f>
        <v>613.716591023701</v>
      </c>
      <c r="G36" s="7" t="n">
        <v>572.23</v>
      </c>
      <c r="H36" s="9" t="n">
        <v>61.65</v>
      </c>
      <c r="I36" s="7" t="n">
        <f aca="false">G36+H36</f>
        <v>633.88</v>
      </c>
      <c r="J36" s="49" t="n">
        <v>141.756591023701</v>
      </c>
      <c r="K36" s="7" t="n">
        <f aca="false">I36+J36</f>
        <v>775.636591023701</v>
      </c>
      <c r="L36" s="7" t="n">
        <f aca="false">F36-(I36-W36)</f>
        <v>141.756591023701</v>
      </c>
      <c r="M36" s="7" t="n">
        <v>88.15</v>
      </c>
      <c r="N36" s="7" t="n">
        <f aca="false">AG36*1.05</f>
        <v>0</v>
      </c>
      <c r="O36" s="7" t="n">
        <f aca="false">M36-N36</f>
        <v>88.15</v>
      </c>
      <c r="P36" s="7" t="n">
        <v>0</v>
      </c>
      <c r="Q36" s="7" t="n">
        <v>12.5</v>
      </c>
      <c r="R36" s="7" t="n">
        <f aca="false">SUM(O36:Q36)</f>
        <v>100.65</v>
      </c>
      <c r="S36" s="8"/>
      <c r="T36" s="7" t="n">
        <v>20</v>
      </c>
      <c r="U36" s="7" t="n">
        <v>41.27</v>
      </c>
      <c r="V36" s="8" t="n">
        <f aca="false">V35-U36</f>
        <v>8559.70331484748</v>
      </c>
      <c r="W36" s="7" t="n">
        <f aca="false">N36+R36+T36+U36</f>
        <v>161.92</v>
      </c>
      <c r="X36" s="7"/>
      <c r="Y36" s="7" t="n">
        <f aca="false">W36+X36</f>
        <v>161.92</v>
      </c>
      <c r="Z36" s="11" t="n">
        <v>0.19</v>
      </c>
      <c r="AA36" s="12" t="n">
        <v>52</v>
      </c>
      <c r="AB36" s="12" t="n">
        <v>28</v>
      </c>
      <c r="AC36" s="13" t="n">
        <f aca="false">AC35+1</f>
        <v>27</v>
      </c>
      <c r="AD36" s="12" t="n">
        <v>15841</v>
      </c>
      <c r="AE36" s="12" t="n">
        <v>2686</v>
      </c>
      <c r="AF36" s="0" t="n">
        <v>252.4</v>
      </c>
      <c r="AG36" s="7" t="n">
        <v>0</v>
      </c>
    </row>
    <row r="37" customFormat="false" ht="11.1" hidden="false" customHeight="true" outlineLevel="0" collapsed="false">
      <c r="A37" s="13" t="n">
        <f aca="false">A36+1</f>
        <v>28</v>
      </c>
      <c r="B37" s="27" t="n">
        <v>6920.85</v>
      </c>
      <c r="C37" s="8" t="n">
        <v>367264</v>
      </c>
      <c r="D37" s="12" t="n">
        <f aca="false">C37-C36</f>
        <v>0</v>
      </c>
      <c r="E37" s="8" t="n">
        <f aca="false">C37-152000</f>
        <v>215264</v>
      </c>
      <c r="F37" s="7" t="n">
        <f aca="false">D37/$D$2</f>
        <v>0</v>
      </c>
      <c r="G37" s="7" t="n">
        <v>487.01</v>
      </c>
      <c r="H37" s="9" t="n">
        <v>44.55</v>
      </c>
      <c r="I37" s="7" t="n">
        <f aca="false">G37+H37</f>
        <v>531.56</v>
      </c>
      <c r="J37" s="49"/>
      <c r="K37" s="7" t="n">
        <f aca="false">I37+J37</f>
        <v>531.56</v>
      </c>
      <c r="L37" s="7" t="n">
        <f aca="false">F37-(I37-W37)</f>
        <v>-329.15</v>
      </c>
      <c r="M37" s="7" t="n">
        <v>61.69</v>
      </c>
      <c r="N37" s="7" t="n">
        <f aca="false">AG37*1.05</f>
        <v>0</v>
      </c>
      <c r="O37" s="7" t="n">
        <f aca="false">M37-N37</f>
        <v>61.69</v>
      </c>
      <c r="P37" s="7" t="n">
        <v>0</v>
      </c>
      <c r="Q37" s="7" t="n">
        <v>11.39</v>
      </c>
      <c r="R37" s="7" t="n">
        <f aca="false">SUM(O37:Q37)</f>
        <v>73.08</v>
      </c>
      <c r="S37" s="8"/>
      <c r="T37" s="7" t="n">
        <v>20</v>
      </c>
      <c r="U37" s="7" t="n">
        <v>109.33</v>
      </c>
      <c r="V37" s="8" t="n">
        <v>8560</v>
      </c>
      <c r="W37" s="7" t="n">
        <f aca="false">N37+R37+T37+U37</f>
        <v>202.41</v>
      </c>
      <c r="X37" s="7" t="n">
        <v>329.2</v>
      </c>
      <c r="Y37" s="7" t="n">
        <f aca="false">W37+X37</f>
        <v>531.61</v>
      </c>
      <c r="Z37" s="11" t="n">
        <v>0.19</v>
      </c>
      <c r="AA37" s="12" t="n">
        <v>52</v>
      </c>
      <c r="AB37" s="12" t="n">
        <v>28</v>
      </c>
      <c r="AC37" s="13" t="n">
        <f aca="false">AC36+1</f>
        <v>28</v>
      </c>
      <c r="AD37" s="12" t="n">
        <v>804</v>
      </c>
      <c r="AE37" s="12" t="n">
        <v>2779</v>
      </c>
      <c r="AF37" s="0" t="n">
        <v>254.14</v>
      </c>
      <c r="AG37" s="7" t="n">
        <v>0</v>
      </c>
    </row>
    <row r="38" customFormat="false" ht="11.1" hidden="false" customHeight="true" outlineLevel="0" collapsed="false">
      <c r="A38" s="13" t="n">
        <f aca="false">A37+1</f>
        <v>29</v>
      </c>
      <c r="B38" s="27" t="n">
        <v>6921.12</v>
      </c>
      <c r="C38" s="8" t="n">
        <v>368441</v>
      </c>
      <c r="D38" s="12" t="n">
        <f aca="false">C38-C37</f>
        <v>1177</v>
      </c>
      <c r="E38" s="8" t="n">
        <f aca="false">C38-152000</f>
        <v>216441</v>
      </c>
      <c r="F38" s="7" t="n">
        <f aca="false">D38/$D$2</f>
        <v>593.545133635905</v>
      </c>
      <c r="G38" s="7" t="n">
        <v>461.92</v>
      </c>
      <c r="H38" s="9" t="n">
        <v>44.2</v>
      </c>
      <c r="I38" s="7" t="n">
        <f aca="false">G38+H38</f>
        <v>506.12</v>
      </c>
      <c r="J38" s="49" t="n">
        <v>416.895133635905</v>
      </c>
      <c r="K38" s="7" t="n">
        <f aca="false">I38+J38</f>
        <v>923.015133635905</v>
      </c>
      <c r="L38" s="7" t="n">
        <f aca="false">F38-(I38-W38)</f>
        <v>416.895133635905</v>
      </c>
      <c r="M38" s="7" t="n">
        <v>73.99</v>
      </c>
      <c r="N38" s="7" t="n">
        <f aca="false">AG38*1.05</f>
        <v>22.05</v>
      </c>
      <c r="O38" s="7" t="n">
        <f aca="false">M38-N38</f>
        <v>51.94</v>
      </c>
      <c r="P38" s="7" t="n">
        <v>0</v>
      </c>
      <c r="Q38" s="7" t="n">
        <v>10.6</v>
      </c>
      <c r="R38" s="7" t="n">
        <f aca="false">SUM(O38:Q38)</f>
        <v>62.54</v>
      </c>
      <c r="S38" s="8"/>
      <c r="T38" s="7" t="n">
        <v>29</v>
      </c>
      <c r="U38" s="7" t="n">
        <v>215.88</v>
      </c>
      <c r="V38" s="8" t="n">
        <v>8560</v>
      </c>
      <c r="W38" s="7" t="n">
        <f aca="false">N38+R38+T38+U38</f>
        <v>329.47</v>
      </c>
      <c r="X38" s="7"/>
      <c r="Y38" s="7" t="n">
        <f aca="false">W38+X38</f>
        <v>329.47</v>
      </c>
      <c r="Z38" s="11" t="n">
        <v>0.18</v>
      </c>
      <c r="AA38" s="38" t="n">
        <v>51</v>
      </c>
      <c r="AB38" s="12" t="n">
        <v>31</v>
      </c>
      <c r="AC38" s="13" t="n">
        <f aca="false">AC37+1</f>
        <v>29</v>
      </c>
      <c r="AD38" s="12" t="n">
        <v>862</v>
      </c>
      <c r="AE38" s="12" t="n">
        <v>2872</v>
      </c>
      <c r="AF38" s="0" t="n">
        <v>256.51</v>
      </c>
      <c r="AG38" s="7" t="n">
        <v>21</v>
      </c>
    </row>
    <row r="39" customFormat="false" ht="11.1" hidden="false" customHeight="true" outlineLevel="0" collapsed="false">
      <c r="A39" s="13" t="n">
        <v>30</v>
      </c>
      <c r="B39" s="27" t="n">
        <v>6921.33</v>
      </c>
      <c r="C39" s="8" t="n">
        <v>369360</v>
      </c>
      <c r="D39" s="12" t="n">
        <f aca="false">C39-C38</f>
        <v>919</v>
      </c>
      <c r="E39" s="8" t="n">
        <f aca="false">C39-152000</f>
        <v>217360</v>
      </c>
      <c r="F39" s="7" t="n">
        <f aca="false">D39/$D$2</f>
        <v>463.439233484619</v>
      </c>
      <c r="G39" s="7" t="n">
        <v>425.54</v>
      </c>
      <c r="H39" s="9" t="n">
        <v>39.4</v>
      </c>
      <c r="I39" s="7" t="n">
        <f aca="false">G39+H39</f>
        <v>464.94</v>
      </c>
      <c r="J39" s="49" t="n">
        <v>391.979233484619</v>
      </c>
      <c r="K39" s="7" t="n">
        <f aca="false">I39+J39</f>
        <v>856.919233484619</v>
      </c>
      <c r="L39" s="7" t="n">
        <f aca="false">F39-(I39-W39)</f>
        <v>391.979233484619</v>
      </c>
      <c r="M39" s="7" t="n">
        <v>91.82</v>
      </c>
      <c r="N39" s="7" t="n">
        <f aca="false">AG39*1.05</f>
        <v>25.2</v>
      </c>
      <c r="O39" s="7" t="n">
        <f aca="false">M39-N39</f>
        <v>66.62</v>
      </c>
      <c r="P39" s="7" t="n">
        <v>0</v>
      </c>
      <c r="Q39" s="7" t="n">
        <v>10.6</v>
      </c>
      <c r="R39" s="7" t="n">
        <f aca="false">SUM(O39:Q39)</f>
        <v>77.22</v>
      </c>
      <c r="S39" s="8"/>
      <c r="T39" s="7" t="n">
        <v>15</v>
      </c>
      <c r="U39" s="7" t="n">
        <v>276.06</v>
      </c>
      <c r="V39" s="8" t="n">
        <v>8560</v>
      </c>
      <c r="W39" s="7" t="n">
        <f aca="false">N39+R39+T39+U39</f>
        <v>393.48</v>
      </c>
      <c r="X39" s="7"/>
      <c r="Y39" s="7" t="n">
        <f aca="false">W39+X39</f>
        <v>393.48</v>
      </c>
      <c r="Z39" s="11" t="n">
        <v>0</v>
      </c>
      <c r="AA39" s="38" t="n">
        <v>56</v>
      </c>
      <c r="AB39" s="12" t="n">
        <v>27</v>
      </c>
      <c r="AC39" s="13" t="n">
        <v>30</v>
      </c>
      <c r="AD39" s="12" t="n">
        <v>927</v>
      </c>
      <c r="AE39" s="12" t="n">
        <v>2965</v>
      </c>
      <c r="AF39" s="0" t="n">
        <v>248.45</v>
      </c>
      <c r="AG39" s="7" t="n">
        <v>24</v>
      </c>
    </row>
    <row r="40" customFormat="false" ht="3" hidden="false" customHeight="true" outlineLevel="0" collapsed="false">
      <c r="A40" s="30"/>
      <c r="B40" s="30"/>
      <c r="C40" s="32"/>
      <c r="D40" s="30"/>
      <c r="E40" s="32"/>
      <c r="F40" s="30"/>
      <c r="G40" s="30"/>
      <c r="H40" s="33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2"/>
      <c r="T40" s="30"/>
      <c r="U40" s="30"/>
      <c r="V40" s="30"/>
      <c r="W40" s="30"/>
      <c r="X40" s="30"/>
      <c r="Y40" s="30"/>
      <c r="Z40" s="34"/>
      <c r="AA40" s="35" t="n">
        <v>73</v>
      </c>
      <c r="AB40" s="35"/>
      <c r="AC40" s="36"/>
      <c r="AD40" s="14"/>
      <c r="AE40" s="14"/>
    </row>
    <row r="41" customFormat="false" ht="11.1" hidden="false" customHeight="true" outlineLevel="0" collapsed="false">
      <c r="A41" s="7" t="s">
        <v>44</v>
      </c>
      <c r="B41" s="7"/>
      <c r="C41" s="8"/>
      <c r="D41" s="8"/>
      <c r="E41" s="8"/>
      <c r="F41" s="8" t="n">
        <f aca="false">SUM(F10:F39)</f>
        <v>21601.613716591</v>
      </c>
      <c r="G41" s="8" t="n">
        <f aca="false">SUM(G10:G39)</f>
        <v>13878.17</v>
      </c>
      <c r="H41" s="8" t="n">
        <f aca="false">SUM(H10:H39)</f>
        <v>3242.34</v>
      </c>
      <c r="I41" s="8" t="n">
        <f aca="false">SUM(I10:I39)</f>
        <v>17120.51</v>
      </c>
      <c r="J41" s="8" t="n">
        <f aca="false">SUM(J10:J39)</f>
        <v>8841.63371659102</v>
      </c>
      <c r="K41" s="8" t="n">
        <f aca="false">SUM(K10:K39)</f>
        <v>25962.143716591</v>
      </c>
      <c r="L41" s="8" t="n">
        <f aca="false">SUM(L10:L39)</f>
        <v>8512.45371659102</v>
      </c>
      <c r="M41" s="8" t="n">
        <f aca="false">SUM(M10:M39)</f>
        <v>2033.16</v>
      </c>
      <c r="N41" s="8" t="n">
        <f aca="false">SUM(N10:N39)</f>
        <v>604.8</v>
      </c>
      <c r="O41" s="8" t="n">
        <f aca="false">SUM(O10:O39)</f>
        <v>1428.36</v>
      </c>
      <c r="P41" s="8" t="n">
        <f aca="false">SUM(P10:P39)</f>
        <v>0</v>
      </c>
      <c r="Q41" s="8" t="n">
        <f aca="false">SUM(Q10:Q39)</f>
        <v>132.48</v>
      </c>
      <c r="R41" s="8" t="n">
        <f aca="false">SUM(R10:R39)</f>
        <v>1560.84</v>
      </c>
      <c r="S41" s="8"/>
      <c r="T41" s="8" t="n">
        <f aca="false">SUM(T10:T39)</f>
        <v>172</v>
      </c>
      <c r="U41" s="8" t="n">
        <f aca="false">SUM(U10:U39)</f>
        <v>1693.71</v>
      </c>
      <c r="V41" s="8"/>
      <c r="W41" s="8" t="n">
        <f aca="false">SUM(W10:W39)</f>
        <v>4031.35</v>
      </c>
      <c r="X41" s="8" t="n">
        <f aca="false">SUM(X10:X39)</f>
        <v>329.2</v>
      </c>
      <c r="Y41" s="8" t="n">
        <f aca="false">SUM(Y10:Y39)</f>
        <v>4360.55</v>
      </c>
      <c r="Z41" s="11" t="n">
        <f aca="false">SUM(Z10:Z39)</f>
        <v>1.56</v>
      </c>
      <c r="AA41" s="12" t="n">
        <f aca="false">AVERAGE(AA10:AA39)</f>
        <v>59.8333333333333</v>
      </c>
      <c r="AB41" s="12" t="n">
        <f aca="false">AVERAGE(AB10:AB39)</f>
        <v>32.7333333333333</v>
      </c>
      <c r="AC41" s="13"/>
      <c r="AD41" s="14"/>
      <c r="AE41" s="14"/>
    </row>
    <row r="42" customFormat="false" ht="11.1" hidden="false" customHeight="true" outlineLevel="0" collapsed="false">
      <c r="A42" s="7" t="s">
        <v>45</v>
      </c>
      <c r="B42" s="7"/>
      <c r="C42" s="8"/>
      <c r="D42" s="8" t="n">
        <f aca="false">SUM(D10:D39)</f>
        <v>42836</v>
      </c>
      <c r="E42" s="8"/>
      <c r="F42" s="8" t="n">
        <f aca="false">F41*$D$2</f>
        <v>42836</v>
      </c>
      <c r="G42" s="8" t="n">
        <f aca="false">G41*$D$2</f>
        <v>27520.41111</v>
      </c>
      <c r="H42" s="8" t="n">
        <f aca="false">H41*$D$2</f>
        <v>6429.56022</v>
      </c>
      <c r="I42" s="8" t="n">
        <f aca="false">I41*$D$2</f>
        <v>33949.97133</v>
      </c>
      <c r="J42" s="8" t="n">
        <f aca="false">J41*$D$2</f>
        <v>17532.95966</v>
      </c>
      <c r="K42" s="8" t="n">
        <f aca="false">K41*$D$2</f>
        <v>51482.93099</v>
      </c>
      <c r="L42" s="8" t="n">
        <f aca="false">L41*$D$2</f>
        <v>16880.19572</v>
      </c>
      <c r="M42" s="8" t="n">
        <f aca="false">M41*$D$2</f>
        <v>4031.75628</v>
      </c>
      <c r="N42" s="8" t="n">
        <f aca="false">N41*$D$2</f>
        <v>1199.3184</v>
      </c>
      <c r="O42" s="8" t="n">
        <f aca="false">O41*$D$2</f>
        <v>2832.43788</v>
      </c>
      <c r="P42" s="8" t="n">
        <f aca="false">P41*$D$2</f>
        <v>0</v>
      </c>
      <c r="Q42" s="8" t="n">
        <f aca="false">Q41*$D$2</f>
        <v>262.70784</v>
      </c>
      <c r="R42" s="8" t="n">
        <f aca="false">R41*$D$2</f>
        <v>3095.14572</v>
      </c>
      <c r="S42" s="8"/>
      <c r="T42" s="8" t="n">
        <f aca="false">T41*$D$2</f>
        <v>341.076</v>
      </c>
      <c r="U42" s="8" t="n">
        <f aca="false">U41*$D$2</f>
        <v>3358.62693</v>
      </c>
      <c r="V42" s="8"/>
      <c r="W42" s="8" t="n">
        <f aca="false">W41*$D$2</f>
        <v>7994.16705</v>
      </c>
      <c r="X42" s="8" t="n">
        <f aca="false">X41*$D$2</f>
        <v>652.8036</v>
      </c>
      <c r="Y42" s="8" t="n">
        <f aca="false">Y41*$D$2</f>
        <v>8646.97065</v>
      </c>
      <c r="Z42" s="11"/>
      <c r="AA42" s="12" t="n">
        <f aca="false">MAX(AA10:AA39)</f>
        <v>76</v>
      </c>
      <c r="AB42" s="12" t="n">
        <f aca="false">MAX(AB10:AB39)</f>
        <v>47</v>
      </c>
      <c r="AC42" s="13" t="s">
        <v>46</v>
      </c>
      <c r="AD42" s="14"/>
      <c r="AE42" s="14"/>
    </row>
    <row r="43" customFormat="false" ht="3" hidden="false" customHeight="true" outlineLevel="0" collapsed="false">
      <c r="A43" s="30"/>
      <c r="B43" s="30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0"/>
      <c r="W43" s="32"/>
      <c r="X43" s="32"/>
      <c r="Y43" s="32"/>
      <c r="Z43" s="11"/>
      <c r="AA43" s="12"/>
      <c r="AB43" s="12"/>
      <c r="AC43" s="13"/>
      <c r="AD43" s="14"/>
      <c r="AE43" s="14"/>
    </row>
    <row r="44" customFormat="false" ht="11.1" hidden="false" customHeight="true" outlineLevel="0" collapsed="false">
      <c r="A44" s="7" t="s">
        <v>47</v>
      </c>
      <c r="B44" s="7"/>
      <c r="C44" s="8"/>
      <c r="D44" s="8"/>
      <c r="E44" s="8"/>
      <c r="F44" s="8" t="n">
        <f aca="false">F7+F41</f>
        <v>21601.613716591</v>
      </c>
      <c r="G44" s="8" t="n">
        <f aca="false">G7+G41</f>
        <v>13878.17</v>
      </c>
      <c r="H44" s="12" t="n">
        <f aca="false">H7+H41</f>
        <v>3242.34</v>
      </c>
      <c r="I44" s="8" t="n">
        <f aca="false">I7+I41</f>
        <v>17120.51</v>
      </c>
      <c r="J44" s="8" t="n">
        <f aca="false">J7+J41</f>
        <v>8841.63371659102</v>
      </c>
      <c r="K44" s="8" t="n">
        <f aca="false">K7+K41</f>
        <v>25962.143716591</v>
      </c>
      <c r="L44" s="8" t="n">
        <f aca="false">L7+L41</f>
        <v>8512.45371659102</v>
      </c>
      <c r="M44" s="8" t="n">
        <f aca="false">M7+M41</f>
        <v>2033.16</v>
      </c>
      <c r="N44" s="8" t="n">
        <f aca="false">N7+N41</f>
        <v>604.8</v>
      </c>
      <c r="O44" s="8" t="n">
        <f aca="false">O7+O41</f>
        <v>1428.36</v>
      </c>
      <c r="P44" s="8" t="n">
        <f aca="false">P7+P41</f>
        <v>0</v>
      </c>
      <c r="Q44" s="8" t="n">
        <f aca="false">Q7+Q41</f>
        <v>132.48</v>
      </c>
      <c r="R44" s="8" t="n">
        <f aca="false">R7+R41</f>
        <v>1560.84</v>
      </c>
      <c r="S44" s="8" t="n">
        <f aca="false">S39</f>
        <v>0</v>
      </c>
      <c r="T44" s="8" t="n">
        <f aca="false">T7+T41</f>
        <v>172</v>
      </c>
      <c r="U44" s="8" t="n">
        <f aca="false">U7+U41</f>
        <v>1693.71</v>
      </c>
      <c r="V44" s="8" t="n">
        <v>0</v>
      </c>
      <c r="W44" s="8" t="n">
        <f aca="false">W7+W41</f>
        <v>4031.35</v>
      </c>
      <c r="X44" s="8" t="n">
        <f aca="false">X7+X41</f>
        <v>329.2</v>
      </c>
      <c r="Y44" s="8" t="n">
        <f aca="false">Y7+Y41</f>
        <v>4360.55</v>
      </c>
      <c r="Z44" s="11"/>
      <c r="AA44" s="12" t="n">
        <f aca="false">MIN(AA10:AA39)</f>
        <v>40</v>
      </c>
      <c r="AB44" s="12" t="n">
        <f aca="false">MIN(AB10:AB39)</f>
        <v>22</v>
      </c>
      <c r="AC44" s="13" t="s">
        <v>48</v>
      </c>
      <c r="AD44" s="14"/>
      <c r="AE44" s="14"/>
    </row>
    <row r="45" customFormat="false" ht="11.1" hidden="false" customHeight="true" outlineLevel="0" collapsed="false">
      <c r="A45" s="7" t="s">
        <v>49</v>
      </c>
      <c r="B45" s="7"/>
      <c r="C45" s="8"/>
      <c r="D45" s="8" t="n">
        <f aca="false">D7+D42</f>
        <v>42836</v>
      </c>
      <c r="E45" s="8"/>
      <c r="F45" s="8" t="n">
        <f aca="false">F44*$D$2</f>
        <v>42836</v>
      </c>
      <c r="G45" s="8" t="n">
        <f aca="false">G44*$D$2</f>
        <v>27520.41111</v>
      </c>
      <c r="H45" s="12" t="n">
        <f aca="false">H44*$D$2</f>
        <v>6429.56022</v>
      </c>
      <c r="I45" s="8" t="n">
        <f aca="false">I44*$D$2</f>
        <v>33949.97133</v>
      </c>
      <c r="J45" s="8" t="n">
        <f aca="false">J44*$D$2</f>
        <v>17532.95966</v>
      </c>
      <c r="K45" s="8" t="n">
        <f aca="false">K44*$D$2</f>
        <v>51482.93099</v>
      </c>
      <c r="L45" s="8" t="n">
        <f aca="false">L44*$D$2</f>
        <v>16880.19572</v>
      </c>
      <c r="M45" s="8" t="n">
        <f aca="false">M44*$D$2</f>
        <v>4031.75628</v>
      </c>
      <c r="N45" s="8" t="n">
        <f aca="false">N44*$D$2</f>
        <v>1199.3184</v>
      </c>
      <c r="O45" s="8" t="n">
        <f aca="false">O44*$D$2</f>
        <v>2832.43788</v>
      </c>
      <c r="P45" s="8" t="n">
        <f aca="false">P44*$D$2</f>
        <v>0</v>
      </c>
      <c r="Q45" s="8" t="n">
        <f aca="false">Q44*$D$2</f>
        <v>262.70784</v>
      </c>
      <c r="R45" s="8" t="n">
        <f aca="false">R44*$D$2</f>
        <v>3095.14572</v>
      </c>
      <c r="S45" s="8" t="n">
        <f aca="false">S44*$D$2</f>
        <v>0</v>
      </c>
      <c r="T45" s="8" t="n">
        <f aca="false">T44*$D$2</f>
        <v>341.076</v>
      </c>
      <c r="U45" s="8" t="n">
        <f aca="false">U44*$D$2</f>
        <v>3358.62693</v>
      </c>
      <c r="V45" s="8" t="n">
        <v>0</v>
      </c>
      <c r="W45" s="8" t="n">
        <f aca="false">W44*$D$2</f>
        <v>7994.16705</v>
      </c>
      <c r="X45" s="8" t="n">
        <f aca="false">X44*$D$2</f>
        <v>652.8036</v>
      </c>
      <c r="Y45" s="8" t="n">
        <f aca="false">Y44*$D$2</f>
        <v>8646.97065</v>
      </c>
      <c r="Z45" s="11"/>
      <c r="AA45" s="12"/>
      <c r="AB45" s="12"/>
      <c r="AC45" s="13"/>
      <c r="AD45" s="14"/>
      <c r="AE45" s="14"/>
    </row>
    <row r="46" customFormat="false" ht="3" hidden="false" customHeight="true" outlineLevel="0" collapsed="false">
      <c r="A46" s="30"/>
      <c r="B46" s="30"/>
      <c r="C46" s="32"/>
      <c r="D46" s="32"/>
      <c r="E46" s="32"/>
      <c r="F46" s="32"/>
      <c r="G46" s="32"/>
      <c r="H46" s="3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4"/>
      <c r="AA46" s="12"/>
      <c r="AB46" s="12"/>
      <c r="AC46" s="13"/>
      <c r="AD46" s="14"/>
      <c r="AE46" s="14"/>
    </row>
    <row r="47" customFormat="false" ht="11.1" hidden="false" customHeight="true" outlineLevel="0" collapsed="false">
      <c r="A47" s="7" t="s">
        <v>50</v>
      </c>
      <c r="B47" s="7"/>
      <c r="C47" s="8"/>
      <c r="D47" s="8"/>
      <c r="E47" s="8"/>
      <c r="F47" s="8" t="n">
        <f aca="false">F8+F41</f>
        <v>29587.9979828543</v>
      </c>
      <c r="G47" s="8" t="n">
        <f aca="false">G8+G41</f>
        <v>26527.6464498235</v>
      </c>
      <c r="H47" s="12" t="n">
        <f aca="false">H8+H41</f>
        <v>3242.34</v>
      </c>
      <c r="I47" s="8" t="n">
        <f aca="false">I8+I41</f>
        <v>29769.1778769541</v>
      </c>
      <c r="J47" s="8" t="n">
        <f aca="false">J8+J41</f>
        <v>10815.346616238</v>
      </c>
      <c r="K47" s="8" t="n">
        <f aca="false">K8+K41</f>
        <v>40584.5244931921</v>
      </c>
      <c r="L47" s="8" t="n">
        <f aca="false">L8+L41</f>
        <v>10018.4901059001</v>
      </c>
      <c r="M47" s="8" t="n">
        <f aca="false">M8+M41</f>
        <v>2945.4</v>
      </c>
      <c r="N47" s="8" t="n">
        <f aca="false">N8+N41</f>
        <v>604.8</v>
      </c>
      <c r="O47" s="8" t="n">
        <f aca="false">O8+O41</f>
        <v>2340.6</v>
      </c>
      <c r="P47" s="8" t="n">
        <f aca="false">P8+P41</f>
        <v>0</v>
      </c>
      <c r="Q47" s="8" t="n">
        <f aca="false">Q8+Q41</f>
        <v>132.48</v>
      </c>
      <c r="R47" s="8" t="n">
        <f aca="false">R8+R41</f>
        <v>2473.08</v>
      </c>
      <c r="S47" s="8"/>
      <c r="T47" s="8" t="n">
        <f aca="false">T8+T41</f>
        <v>172</v>
      </c>
      <c r="U47" s="8" t="n">
        <f aca="false">U8+U41</f>
        <v>6957.12</v>
      </c>
      <c r="V47" s="8" t="n">
        <f aca="false">V39</f>
        <v>8560</v>
      </c>
      <c r="W47" s="8" t="n">
        <f aca="false">W8+W41</f>
        <v>10207</v>
      </c>
      <c r="X47" s="8" t="n">
        <f aca="false">X8+X41</f>
        <v>818.98776096823</v>
      </c>
      <c r="Y47" s="8" t="n">
        <f aca="false">Y8+Y41</f>
        <v>11025.9877609682</v>
      </c>
      <c r="Z47" s="28" t="n">
        <f aca="false">Z8+Z41</f>
        <v>8.12</v>
      </c>
      <c r="AA47" s="12"/>
      <c r="AB47" s="12"/>
      <c r="AC47" s="13"/>
      <c r="AD47" s="14"/>
      <c r="AE47" s="14"/>
    </row>
    <row r="48" customFormat="false" ht="11.1" hidden="false" customHeight="true" outlineLevel="0" collapsed="false">
      <c r="A48" s="7" t="s">
        <v>51</v>
      </c>
      <c r="B48" s="7"/>
      <c r="C48" s="8"/>
      <c r="D48" s="8" t="n">
        <f aca="false">D8+D42</f>
        <v>58673</v>
      </c>
      <c r="E48" s="8" t="n">
        <f aca="false">E39</f>
        <v>217360</v>
      </c>
      <c r="F48" s="8" t="n">
        <f aca="false">F47*$D$2</f>
        <v>58673</v>
      </c>
      <c r="G48" s="8" t="n">
        <f aca="false">G47*$D$2</f>
        <v>52604.32291</v>
      </c>
      <c r="H48" s="12" t="n">
        <f aca="false">H47*$D$2</f>
        <v>6429.56022</v>
      </c>
      <c r="I48" s="8" t="n">
        <f aca="false">I47*$D$2</f>
        <v>59032.27973</v>
      </c>
      <c r="J48" s="8" t="n">
        <f aca="false">J47*$D$2</f>
        <v>21446.83234</v>
      </c>
      <c r="K48" s="8" t="n">
        <f aca="false">K47*$D$2</f>
        <v>80479.11207</v>
      </c>
      <c r="L48" s="8" t="n">
        <f aca="false">L47*$D$2</f>
        <v>19866.66588</v>
      </c>
      <c r="M48" s="8" t="n">
        <f aca="false">M47*$D$2</f>
        <v>5840.7282</v>
      </c>
      <c r="N48" s="8" t="n">
        <f aca="false">N47*$D$2</f>
        <v>1199.3184</v>
      </c>
      <c r="O48" s="8" t="n">
        <f aca="false">O47*$D$2</f>
        <v>4641.4098</v>
      </c>
      <c r="P48" s="8" t="n">
        <f aca="false">P47*$D$2</f>
        <v>0</v>
      </c>
      <c r="Q48" s="8" t="n">
        <f aca="false">Q47*$D$2</f>
        <v>262.70784</v>
      </c>
      <c r="R48" s="8" t="n">
        <f aca="false">R47*$D$2</f>
        <v>4904.11764</v>
      </c>
      <c r="S48" s="8" t="n">
        <f aca="false">S47*$D$2</f>
        <v>0</v>
      </c>
      <c r="T48" s="8" t="n">
        <f aca="false">T47*$D$2</f>
        <v>341.076</v>
      </c>
      <c r="U48" s="8" t="n">
        <f aca="false">U47*$D$2</f>
        <v>13795.96896</v>
      </c>
      <c r="V48" s="8" t="n">
        <f aca="false">V47*$D$2</f>
        <v>16974.48</v>
      </c>
      <c r="W48" s="8" t="n">
        <f aca="false">W47*$D$2</f>
        <v>20240.481</v>
      </c>
      <c r="X48" s="8" t="n">
        <f aca="false">X47*$D$2</f>
        <v>1624.05273</v>
      </c>
      <c r="Y48" s="8" t="n">
        <f aca="false">Y47*$D$2</f>
        <v>21864.53373</v>
      </c>
      <c r="Z48" s="11"/>
      <c r="AA48" s="12"/>
      <c r="AB48" s="12"/>
      <c r="AC48" s="13"/>
      <c r="AD48" s="14"/>
      <c r="AE48" s="14"/>
    </row>
    <row r="49" customFormat="false" ht="3" hidden="false" customHeight="true" outlineLevel="0" collapsed="false">
      <c r="A49" s="30"/>
      <c r="B49" s="30"/>
      <c r="C49" s="32"/>
      <c r="D49" s="30"/>
      <c r="E49" s="32"/>
      <c r="F49" s="30"/>
      <c r="G49" s="30"/>
      <c r="H49" s="33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2"/>
      <c r="T49" s="30"/>
      <c r="U49" s="30"/>
      <c r="V49" s="32"/>
      <c r="W49" s="30"/>
      <c r="X49" s="30"/>
      <c r="Y49" s="30"/>
      <c r="Z49" s="11"/>
      <c r="AA49" s="12"/>
      <c r="AB49" s="12"/>
      <c r="AC49" s="13"/>
      <c r="AD49" s="14"/>
      <c r="AE49" s="14"/>
    </row>
    <row r="50" customFormat="false" ht="14.1" hidden="false" customHeight="true" outlineLevel="0" collapsed="false">
      <c r="A50" s="39" t="str">
        <f aca="false">"4/14/94 thru 5/12/94"</f>
        <v>4/14/94 thru 5/12/94</v>
      </c>
      <c r="B50" s="40"/>
      <c r="C50" s="8"/>
      <c r="D50" s="7"/>
      <c r="E50" s="8"/>
      <c r="F50" s="7"/>
      <c r="G50" s="7"/>
      <c r="H50" s="9"/>
      <c r="I50" s="7"/>
      <c r="J50" s="7"/>
      <c r="K50" s="7"/>
      <c r="L50" s="7"/>
      <c r="M50" s="7"/>
      <c r="N50" s="7"/>
      <c r="O50" s="7"/>
      <c r="P50" s="7"/>
      <c r="Q50" s="7"/>
      <c r="R50" s="7"/>
      <c r="S50" s="8"/>
      <c r="T50" s="7"/>
      <c r="U50" s="7"/>
      <c r="V50" s="8"/>
      <c r="W50" s="7"/>
      <c r="X50" s="7"/>
      <c r="Y50" s="7"/>
      <c r="Z50" s="11"/>
      <c r="AA50" s="12"/>
      <c r="AB50" s="12"/>
      <c r="AC50" s="13"/>
      <c r="AD50" s="14"/>
      <c r="AE50" s="14"/>
    </row>
    <row r="51" customFormat="false" ht="11.1" hidden="false" customHeight="true" outlineLevel="0" collapsed="false">
      <c r="A51" s="7"/>
      <c r="B51" s="27" t="n">
        <v>6922.6</v>
      </c>
      <c r="C51" s="8" t="n">
        <v>374943</v>
      </c>
      <c r="D51" s="38"/>
      <c r="E51" s="8" t="n">
        <f aca="false">C51-152000</f>
        <v>222943</v>
      </c>
      <c r="F51" s="7"/>
      <c r="G51" s="7"/>
      <c r="H51" s="38"/>
      <c r="I51" s="9"/>
      <c r="J51" s="7"/>
      <c r="K51" s="41"/>
      <c r="L51" s="7"/>
      <c r="M51" s="7"/>
      <c r="N51" s="7"/>
      <c r="O51" s="7"/>
      <c r="P51" s="7"/>
      <c r="Q51" s="7"/>
      <c r="R51" s="7"/>
      <c r="S51" s="8"/>
      <c r="T51" s="7"/>
      <c r="U51" s="7"/>
      <c r="V51" s="8"/>
      <c r="W51" s="7"/>
      <c r="X51" s="7"/>
      <c r="Y51" s="7"/>
      <c r="Z51" s="11"/>
      <c r="AA51" s="12"/>
      <c r="AB51" s="12"/>
      <c r="AC51" s="13"/>
      <c r="AD51" s="14"/>
      <c r="AE51" s="14"/>
    </row>
    <row r="52" customFormat="false" ht="11.1" hidden="false" customHeight="true" outlineLevel="0" collapsed="false">
      <c r="B52" s="38"/>
      <c r="C52" s="8"/>
      <c r="D52" s="8"/>
      <c r="E52" s="8"/>
      <c r="F52" s="38"/>
      <c r="G52" s="38"/>
      <c r="H52" s="9"/>
      <c r="I52" s="38"/>
      <c r="J52" s="38"/>
      <c r="K52" s="38"/>
      <c r="L52" s="38"/>
      <c r="M52" s="28"/>
      <c r="N52" s="28"/>
      <c r="O52" s="28"/>
      <c r="P52" s="38"/>
      <c r="Q52" s="38"/>
      <c r="R52" s="38"/>
      <c r="S52" s="8"/>
      <c r="T52" s="38"/>
      <c r="U52" s="38"/>
      <c r="V52" s="8"/>
      <c r="W52" s="38"/>
      <c r="X52" s="38"/>
      <c r="Y52" s="38"/>
      <c r="Z52" s="11"/>
      <c r="AA52" s="12"/>
      <c r="AB52" s="12"/>
      <c r="AC52" s="13"/>
      <c r="AD52" s="42"/>
      <c r="AE52" s="42"/>
    </row>
    <row r="53" customFormat="false" ht="11.1" hidden="false" customHeight="true" outlineLevel="0" collapsed="false">
      <c r="A53" s="38"/>
      <c r="B53" s="11" t="n">
        <f aca="false">B51-B18</f>
        <v>9.75</v>
      </c>
      <c r="C53" s="8"/>
      <c r="D53" s="8" t="n">
        <f aca="false">C51-C18</f>
        <v>41433</v>
      </c>
      <c r="E53" s="8"/>
      <c r="F53" s="38"/>
      <c r="G53" s="38"/>
      <c r="H53" s="9"/>
      <c r="I53" s="38"/>
      <c r="J53" s="38"/>
      <c r="K53" s="38"/>
      <c r="L53" s="38"/>
      <c r="M53" s="28"/>
      <c r="N53" s="28"/>
      <c r="O53" s="28"/>
      <c r="P53" s="38"/>
      <c r="Q53" s="38"/>
      <c r="R53" s="38"/>
      <c r="S53" s="8"/>
      <c r="T53" s="38"/>
      <c r="U53" s="38"/>
      <c r="V53" s="8"/>
      <c r="W53" s="38"/>
      <c r="X53" s="38"/>
      <c r="Y53" s="38"/>
      <c r="Z53" s="11"/>
      <c r="AA53" s="12"/>
      <c r="AB53" s="12"/>
      <c r="AC53" s="13"/>
      <c r="AD53" s="42"/>
      <c r="AE53" s="42"/>
    </row>
    <row r="54" customFormat="false" ht="11.1" hidden="false" customHeight="true" outlineLevel="0" collapsed="false">
      <c r="A54" s="38"/>
      <c r="B54" s="38"/>
      <c r="C54" s="8"/>
      <c r="D54" s="38"/>
      <c r="E54" s="8"/>
      <c r="F54" s="38"/>
      <c r="G54" s="43"/>
      <c r="H54" s="9"/>
      <c r="I54" s="38"/>
      <c r="J54" s="38"/>
      <c r="K54" s="38"/>
      <c r="L54" s="38"/>
      <c r="M54" s="28"/>
      <c r="N54" s="28"/>
      <c r="O54" s="28"/>
      <c r="P54" s="38"/>
      <c r="Q54" s="38"/>
      <c r="R54" s="38"/>
      <c r="S54" s="8"/>
      <c r="T54" s="38"/>
      <c r="U54" s="38"/>
      <c r="V54" s="8"/>
      <c r="W54" s="38"/>
      <c r="X54" s="38"/>
      <c r="Y54" s="38"/>
      <c r="Z54" s="11"/>
      <c r="AA54" s="12"/>
      <c r="AB54" s="12"/>
      <c r="AC54" s="13"/>
      <c r="AD54" s="42"/>
      <c r="AE54" s="42"/>
    </row>
  </sheetData>
  <mergeCells count="2">
    <mergeCell ref="K2:V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K9" activeCellId="0" sqref="K9"/>
    </sheetView>
  </sheetViews>
  <sheetFormatPr defaultColWidth="9.328125" defaultRowHeight="11.1" zeroHeight="false" outlineLevelRow="0" outlineLevelCol="0"/>
  <cols>
    <col collapsed="false" customWidth="true" hidden="false" outlineLevel="0" max="1" min="1" style="50" width="5.66"/>
    <col collapsed="false" customWidth="false" hidden="false" outlineLevel="0" max="2" min="2" style="50" width="9.32"/>
    <col collapsed="false" customWidth="true" hidden="false" outlineLevel="0" max="3" min="3" style="51" width="7.66"/>
    <col collapsed="false" customWidth="true" hidden="false" outlineLevel="0" max="4" min="4" style="50" width="6.82"/>
    <col collapsed="false" customWidth="true" hidden="false" outlineLevel="0" max="5" min="5" style="51" width="7.66"/>
    <col collapsed="false" customWidth="true" hidden="false" outlineLevel="0" max="7" min="6" style="50" width="7.66"/>
    <col collapsed="false" customWidth="true" hidden="false" outlineLevel="0" max="8" min="8" style="52" width="7.16"/>
    <col collapsed="false" customWidth="true" hidden="false" outlineLevel="0" max="9" min="9" style="50" width="8.82"/>
    <col collapsed="false" customWidth="true" hidden="false" outlineLevel="0" max="11" min="10" style="50" width="7.66"/>
    <col collapsed="false" customWidth="true" hidden="false" outlineLevel="0" max="12" min="12" style="50" width="6.49"/>
    <col collapsed="false" customWidth="true" hidden="false" outlineLevel="0" max="15" min="13" style="53" width="7.49"/>
    <col collapsed="false" customWidth="true" hidden="false" outlineLevel="0" max="16" min="16" style="50" width="7.66"/>
    <col collapsed="false" customWidth="true" hidden="false" outlineLevel="0" max="17" min="17" style="50" width="7.16"/>
    <col collapsed="false" customWidth="true" hidden="false" outlineLevel="0" max="18" min="18" style="50" width="6.66"/>
    <col collapsed="false" customWidth="true" hidden="false" outlineLevel="0" max="19" min="19" style="51" width="6.66"/>
    <col collapsed="false" customWidth="true" hidden="false" outlineLevel="0" max="20" min="20" style="50" width="5.82"/>
    <col collapsed="false" customWidth="true" hidden="false" outlineLevel="0" max="21" min="21" style="50" width="7.49"/>
    <col collapsed="false" customWidth="true" hidden="false" outlineLevel="0" max="22" min="22" style="51" width="6.32"/>
    <col collapsed="false" customWidth="true" hidden="false" outlineLevel="0" max="25" min="23" style="50" width="7.82"/>
    <col collapsed="false" customWidth="true" hidden="false" outlineLevel="0" max="26" min="26" style="54" width="5.66"/>
    <col collapsed="false" customWidth="true" hidden="false" outlineLevel="0" max="28" min="27" style="55" width="5.66"/>
    <col collapsed="false" customWidth="true" hidden="false" outlineLevel="0" max="29" min="29" style="56" width="5.66"/>
    <col collapsed="false" customWidth="false" hidden="false" outlineLevel="0" max="257" min="30" style="50" width="9.32"/>
  </cols>
  <sheetData>
    <row r="1" customFormat="false" ht="14.1" hidden="false" customHeight="true" outlineLevel="0" collapsed="false">
      <c r="A1" s="57"/>
      <c r="B1" s="57"/>
      <c r="C1" s="58"/>
      <c r="D1" s="57"/>
      <c r="E1" s="58"/>
      <c r="F1" s="57"/>
      <c r="G1" s="57"/>
      <c r="H1" s="59"/>
      <c r="I1" s="57"/>
      <c r="J1" s="57"/>
      <c r="K1" s="60" t="s">
        <v>0</v>
      </c>
      <c r="L1" s="57"/>
      <c r="M1" s="57"/>
      <c r="N1" s="57"/>
      <c r="O1" s="57"/>
      <c r="P1" s="57"/>
      <c r="Q1" s="57"/>
      <c r="R1" s="57"/>
      <c r="S1" s="58"/>
      <c r="T1" s="57"/>
      <c r="U1" s="57"/>
      <c r="V1" s="58"/>
      <c r="W1" s="57"/>
      <c r="X1" s="57"/>
      <c r="Y1" s="57"/>
      <c r="Z1" s="61"/>
      <c r="AA1" s="62"/>
      <c r="AB1" s="62"/>
      <c r="AC1" s="63"/>
      <c r="AD1" s="64"/>
      <c r="AE1" s="64"/>
    </row>
    <row r="2" customFormat="false" ht="14.1" hidden="false" customHeight="true" outlineLevel="0" collapsed="false">
      <c r="A2" s="57" t="s">
        <v>1</v>
      </c>
      <c r="B2" s="57"/>
      <c r="C2" s="58"/>
      <c r="D2" s="65" t="n">
        <v>1.983</v>
      </c>
      <c r="E2" s="58"/>
      <c r="F2" s="57"/>
      <c r="G2" s="57"/>
      <c r="H2" s="59"/>
      <c r="I2" s="57"/>
      <c r="J2" s="57"/>
      <c r="K2" s="66" t="s">
        <v>67</v>
      </c>
      <c r="L2" s="66"/>
      <c r="M2" s="66"/>
      <c r="N2" s="66"/>
      <c r="O2" s="66"/>
      <c r="P2" s="66"/>
      <c r="Q2" s="66"/>
      <c r="R2" s="66"/>
      <c r="S2" s="66"/>
      <c r="T2" s="66"/>
      <c r="U2" s="57"/>
      <c r="V2" s="58"/>
      <c r="W2" s="57"/>
      <c r="X2" s="57"/>
      <c r="Y2" s="57"/>
      <c r="Z2" s="61"/>
      <c r="AA2" s="62"/>
      <c r="AB2" s="62"/>
      <c r="AC2" s="63"/>
      <c r="AD2" s="64"/>
      <c r="AE2" s="64"/>
    </row>
    <row r="3" customFormat="false" ht="11.1" hidden="false" customHeight="true" outlineLevel="0" collapsed="false">
      <c r="A3" s="57"/>
      <c r="B3" s="57"/>
      <c r="C3" s="58"/>
      <c r="D3" s="65"/>
      <c r="E3" s="58"/>
      <c r="F3" s="57"/>
      <c r="G3" s="57"/>
      <c r="H3" s="59"/>
      <c r="I3" s="57"/>
      <c r="J3" s="57"/>
      <c r="K3" s="57"/>
      <c r="L3" s="57"/>
      <c r="M3" s="57"/>
      <c r="N3" s="57"/>
      <c r="O3" s="57"/>
      <c r="P3" s="57"/>
      <c r="Q3" s="57"/>
      <c r="R3" s="57"/>
      <c r="S3" s="58"/>
      <c r="T3" s="57"/>
      <c r="U3" s="57"/>
      <c r="V3" s="58"/>
      <c r="W3" s="57"/>
      <c r="X3" s="57"/>
      <c r="Y3" s="57"/>
      <c r="Z3" s="61"/>
      <c r="AA3" s="62"/>
      <c r="AB3" s="62"/>
      <c r="AC3" s="63"/>
      <c r="AD3" s="64"/>
      <c r="AE3" s="64"/>
    </row>
    <row r="4" customFormat="false" ht="11.1" hidden="false" customHeight="true" outlineLevel="0" collapsed="false">
      <c r="A4" s="67" t="s">
        <v>3</v>
      </c>
      <c r="B4" s="67" t="s">
        <v>4</v>
      </c>
      <c r="C4" s="68" t="s">
        <v>4</v>
      </c>
      <c r="D4" s="67" t="s">
        <v>5</v>
      </c>
      <c r="E4" s="68" t="s">
        <v>6</v>
      </c>
      <c r="F4" s="67" t="s">
        <v>7</v>
      </c>
      <c r="G4" s="67" t="s">
        <v>8</v>
      </c>
      <c r="H4" s="69" t="s">
        <v>9</v>
      </c>
      <c r="I4" s="67" t="s">
        <v>10</v>
      </c>
      <c r="J4" s="67" t="s">
        <v>11</v>
      </c>
      <c r="K4" s="67" t="s">
        <v>12</v>
      </c>
      <c r="L4" s="67" t="s">
        <v>11</v>
      </c>
      <c r="M4" s="67" t="s">
        <v>62</v>
      </c>
      <c r="N4" s="67"/>
      <c r="O4" s="67"/>
      <c r="P4" s="67" t="s">
        <v>68</v>
      </c>
      <c r="Q4" s="67" t="s">
        <v>14</v>
      </c>
      <c r="R4" s="67" t="s">
        <v>12</v>
      </c>
      <c r="S4" s="68" t="s">
        <v>13</v>
      </c>
      <c r="T4" s="67" t="s">
        <v>15</v>
      </c>
      <c r="U4" s="67" t="s">
        <v>17</v>
      </c>
      <c r="V4" s="68" t="s">
        <v>18</v>
      </c>
      <c r="W4" s="67" t="s">
        <v>10</v>
      </c>
      <c r="X4" s="67" t="s">
        <v>11</v>
      </c>
      <c r="Y4" s="67" t="s">
        <v>12</v>
      </c>
      <c r="Z4" s="70" t="s">
        <v>19</v>
      </c>
      <c r="AA4" s="71" t="s">
        <v>20</v>
      </c>
      <c r="AB4" s="71" t="s">
        <v>21</v>
      </c>
      <c r="AC4" s="71" t="s">
        <v>3</v>
      </c>
      <c r="AD4" s="64"/>
      <c r="AE4" s="64"/>
    </row>
    <row r="5" customFormat="false" ht="11.1" hidden="false" customHeight="true" outlineLevel="0" collapsed="false">
      <c r="A5" s="72" t="s">
        <v>69</v>
      </c>
      <c r="B5" s="67" t="s">
        <v>23</v>
      </c>
      <c r="C5" s="68" t="s">
        <v>5</v>
      </c>
      <c r="D5" s="67" t="s">
        <v>24</v>
      </c>
      <c r="E5" s="68" t="s">
        <v>25</v>
      </c>
      <c r="F5" s="67" t="s">
        <v>26</v>
      </c>
      <c r="G5" s="67" t="s">
        <v>27</v>
      </c>
      <c r="H5" s="69" t="s">
        <v>28</v>
      </c>
      <c r="I5" s="67" t="s">
        <v>29</v>
      </c>
      <c r="J5" s="67" t="s">
        <v>29</v>
      </c>
      <c r="K5" s="67" t="s">
        <v>29</v>
      </c>
      <c r="L5" s="67" t="s">
        <v>30</v>
      </c>
      <c r="M5" s="67" t="s">
        <v>64</v>
      </c>
      <c r="N5" s="67" t="s">
        <v>65</v>
      </c>
      <c r="O5" s="67" t="s">
        <v>70</v>
      </c>
      <c r="P5" s="67" t="s">
        <v>71</v>
      </c>
      <c r="Q5" s="67" t="s">
        <v>33</v>
      </c>
      <c r="R5" s="67" t="s">
        <v>13</v>
      </c>
      <c r="S5" s="68" t="s">
        <v>34</v>
      </c>
      <c r="T5" s="67" t="s">
        <v>35</v>
      </c>
      <c r="U5" s="67" t="s">
        <v>37</v>
      </c>
      <c r="V5" s="68" t="s">
        <v>38</v>
      </c>
      <c r="W5" s="67" t="s">
        <v>39</v>
      </c>
      <c r="X5" s="67" t="s">
        <v>39</v>
      </c>
      <c r="Y5" s="67" t="s">
        <v>39</v>
      </c>
      <c r="Z5" s="73"/>
      <c r="AA5" s="71" t="s">
        <v>40</v>
      </c>
      <c r="AB5" s="71" t="s">
        <v>40</v>
      </c>
      <c r="AC5" s="74" t="s">
        <v>69</v>
      </c>
      <c r="AD5" s="64"/>
      <c r="AE5" s="64"/>
    </row>
    <row r="6" customFormat="false" ht="11.1" hidden="false" customHeight="true" outlineLevel="0" collapsed="false">
      <c r="A6" s="75"/>
      <c r="B6" s="75"/>
      <c r="C6" s="76"/>
      <c r="D6" s="75"/>
      <c r="E6" s="76"/>
      <c r="F6" s="75"/>
      <c r="G6" s="75"/>
      <c r="H6" s="77"/>
      <c r="I6" s="75"/>
      <c r="J6" s="75"/>
      <c r="K6" s="75"/>
      <c r="L6" s="75"/>
      <c r="M6" s="75"/>
      <c r="N6" s="75"/>
      <c r="O6" s="75"/>
      <c r="P6" s="75"/>
      <c r="Q6" s="75"/>
      <c r="R6" s="75"/>
      <c r="S6" s="76"/>
      <c r="T6" s="75"/>
      <c r="U6" s="75"/>
      <c r="V6" s="76"/>
      <c r="W6" s="75"/>
      <c r="X6" s="75"/>
      <c r="Y6" s="75"/>
      <c r="Z6" s="61"/>
      <c r="AA6" s="63"/>
      <c r="AB6" s="63"/>
      <c r="AC6" s="63"/>
      <c r="AD6" s="78" t="n">
        <v>741</v>
      </c>
      <c r="AE6" s="78" t="n">
        <v>742</v>
      </c>
      <c r="AF6" s="79"/>
    </row>
    <row r="7" customFormat="false" ht="11.1" hidden="false" customHeight="true" outlineLevel="0" collapsed="false">
      <c r="A7" s="57" t="s">
        <v>41</v>
      </c>
      <c r="B7" s="57"/>
      <c r="C7" s="58"/>
      <c r="D7" s="58"/>
      <c r="E7" s="58"/>
      <c r="F7" s="58" t="n">
        <f aca="false" t="array" ref="F7:Y7">[5]RIVER044!$F$44:$Y$44</f>
        <v>21601.613716591</v>
      </c>
      <c r="G7" s="58" t="n">
        <v>13878.17</v>
      </c>
      <c r="H7" s="62" t="n">
        <v>3242.34</v>
      </c>
      <c r="I7" s="58" t="n">
        <v>17120.51</v>
      </c>
      <c r="J7" s="58" t="n">
        <v>8841.63371659102</v>
      </c>
      <c r="K7" s="58" t="n">
        <v>25962.143716591</v>
      </c>
      <c r="L7" s="58" t="n">
        <v>8512.45371659102</v>
      </c>
      <c r="M7" s="58" t="n">
        <v>2033.16</v>
      </c>
      <c r="N7" s="58" t="n">
        <v>604.8</v>
      </c>
      <c r="O7" s="58" t="n">
        <v>1428.36</v>
      </c>
      <c r="P7" s="58" t="n">
        <v>0</v>
      </c>
      <c r="Q7" s="58" t="n">
        <v>132.48</v>
      </c>
      <c r="R7" s="58" t="n">
        <v>1560.84</v>
      </c>
      <c r="S7" s="58" t="n">
        <v>0</v>
      </c>
      <c r="T7" s="58" t="n">
        <v>172</v>
      </c>
      <c r="U7" s="58" t="n">
        <v>1693.71</v>
      </c>
      <c r="V7" s="58" t="n">
        <v>0</v>
      </c>
      <c r="W7" s="58" t="n">
        <v>4031.35</v>
      </c>
      <c r="X7" s="58" t="n">
        <v>329.2</v>
      </c>
      <c r="Y7" s="58" t="n">
        <v>4360.55</v>
      </c>
      <c r="Z7" s="61"/>
      <c r="AA7" s="62"/>
      <c r="AB7" s="62"/>
      <c r="AC7" s="63"/>
      <c r="AD7" s="78"/>
      <c r="AE7" s="79"/>
      <c r="AF7" s="79"/>
    </row>
    <row r="8" s="51" customFormat="true" ht="11.1" hidden="false" customHeight="true" outlineLevel="0" collapsed="false">
      <c r="A8" s="58" t="s">
        <v>42</v>
      </c>
      <c r="B8" s="80" t="n">
        <f aca="false" t="array" ref="B8:C8">[5]RIVER044!$B$39:$C$39</f>
        <v>6921.33</v>
      </c>
      <c r="C8" s="58" t="n">
        <v>369360</v>
      </c>
      <c r="D8" s="58" t="n">
        <f aca="false" t="array" ref="D8:E8">[5]RIVER044!$D$48:$E$48</f>
        <v>58673</v>
      </c>
      <c r="E8" s="58" t="n">
        <v>217360</v>
      </c>
      <c r="F8" s="58" t="n">
        <f aca="false" t="array" ref="F8:Z8">[5]RIVER044!$F$47:$Z$47</f>
        <v>29587.9979828543</v>
      </c>
      <c r="G8" s="58" t="n">
        <v>26527.6464498235</v>
      </c>
      <c r="H8" s="62" t="n">
        <v>3242.34</v>
      </c>
      <c r="I8" s="58" t="n">
        <v>29769.1778769541</v>
      </c>
      <c r="J8" s="58" t="n">
        <v>10815.346616238</v>
      </c>
      <c r="K8" s="58" t="n">
        <v>40584.5244931921</v>
      </c>
      <c r="L8" s="58" t="n">
        <v>10018.4901059001</v>
      </c>
      <c r="M8" s="58" t="n">
        <v>2945.4</v>
      </c>
      <c r="N8" s="58" t="n">
        <v>604.8</v>
      </c>
      <c r="O8" s="58" t="n">
        <v>2340.6</v>
      </c>
      <c r="P8" s="58" t="n">
        <v>0</v>
      </c>
      <c r="Q8" s="58" t="n">
        <v>132.48</v>
      </c>
      <c r="R8" s="58" t="n">
        <v>2473.08</v>
      </c>
      <c r="S8" s="58" t="n">
        <v>0</v>
      </c>
      <c r="T8" s="58" t="n">
        <v>172</v>
      </c>
      <c r="U8" s="58" t="n">
        <v>6957.12</v>
      </c>
      <c r="V8" s="58" t="n">
        <v>8560</v>
      </c>
      <c r="W8" s="58" t="n">
        <v>10207</v>
      </c>
      <c r="X8" s="58" t="n">
        <v>818.98776096823</v>
      </c>
      <c r="Y8" s="58" t="n">
        <v>11025.9877609682</v>
      </c>
      <c r="Z8" s="81" t="n">
        <v>8.12</v>
      </c>
      <c r="AA8" s="62"/>
      <c r="AB8" s="62"/>
      <c r="AC8" s="63"/>
      <c r="AD8" s="82" t="n">
        <v>285</v>
      </c>
      <c r="AE8" s="78" t="n">
        <v>251</v>
      </c>
      <c r="AF8" s="82" t="n">
        <v>1207.63</v>
      </c>
    </row>
    <row r="9" customFormat="false" ht="3" hidden="false" customHeight="true" outlineLevel="0" collapsed="false">
      <c r="A9" s="83"/>
      <c r="B9" s="84"/>
      <c r="C9" s="85"/>
      <c r="D9" s="83"/>
      <c r="E9" s="85"/>
      <c r="F9" s="83"/>
      <c r="G9" s="83"/>
      <c r="H9" s="86"/>
      <c r="I9" s="83"/>
      <c r="J9" s="83"/>
      <c r="K9" s="83"/>
      <c r="L9" s="83"/>
      <c r="M9" s="83"/>
      <c r="N9" s="83"/>
      <c r="O9" s="83"/>
      <c r="P9" s="83"/>
      <c r="Q9" s="83"/>
      <c r="R9" s="83"/>
      <c r="S9" s="85"/>
      <c r="T9" s="83"/>
      <c r="U9" s="83"/>
      <c r="V9" s="85"/>
      <c r="W9" s="83"/>
      <c r="X9" s="83"/>
      <c r="Y9" s="83"/>
      <c r="Z9" s="87"/>
      <c r="AA9" s="88"/>
      <c r="AB9" s="88"/>
      <c r="AC9" s="89"/>
      <c r="AD9" s="78"/>
      <c r="AE9" s="78"/>
      <c r="AF9" s="79"/>
    </row>
    <row r="10" customFormat="false" ht="11.1" hidden="false" customHeight="true" outlineLevel="0" collapsed="false">
      <c r="A10" s="63" t="n">
        <v>1</v>
      </c>
      <c r="B10" s="80" t="n">
        <v>6921.63</v>
      </c>
      <c r="C10" s="58" t="n">
        <v>370673</v>
      </c>
      <c r="D10" s="62" t="n">
        <f aca="false">C10-C8</f>
        <v>1313</v>
      </c>
      <c r="E10" s="58" t="n">
        <f aca="false">C10-152000</f>
        <v>218673</v>
      </c>
      <c r="F10" s="57" t="n">
        <f aca="false">D10/$D$2</f>
        <v>662.128088754413</v>
      </c>
      <c r="G10" s="57" t="n">
        <v>515.55</v>
      </c>
      <c r="H10" s="59" t="n">
        <v>68.05</v>
      </c>
      <c r="I10" s="57" t="n">
        <f aca="false">G10+H10</f>
        <v>583.6</v>
      </c>
      <c r="J10" s="81" t="n">
        <f aca="false">IF(L10&gt;0,L10)</f>
        <v>587.589546142209</v>
      </c>
      <c r="K10" s="57" t="n">
        <f aca="false">I10+J10</f>
        <v>1171.18954614221</v>
      </c>
      <c r="L10" s="57" t="n">
        <f aca="false">F10-(I10-W10)</f>
        <v>587.589546142209</v>
      </c>
      <c r="M10" s="57" t="n">
        <v>84.84</v>
      </c>
      <c r="N10" s="57" t="n">
        <f aca="false">((AF10-AF8)*1.05)/$D$2</f>
        <v>26.0673222390317</v>
      </c>
      <c r="O10" s="57" t="n">
        <f aca="false">M10-N10</f>
        <v>58.7726777609683</v>
      </c>
      <c r="P10" s="57" t="n">
        <v>0</v>
      </c>
      <c r="Q10" s="57" t="n">
        <f aca="false">(AE10-AE8)/$D$2</f>
        <v>11.0943015632879</v>
      </c>
      <c r="R10" s="57" t="n">
        <f aca="false">SUM(O10:Q10)</f>
        <v>69.8669793242563</v>
      </c>
      <c r="S10" s="58"/>
      <c r="T10" s="57" t="n">
        <f aca="false">(AD10-AD8)/$D$2</f>
        <v>9.07715582450832</v>
      </c>
      <c r="U10" s="57" t="n">
        <v>404.05</v>
      </c>
      <c r="V10" s="58" t="n">
        <v>8560</v>
      </c>
      <c r="W10" s="57" t="n">
        <f aca="false">R10+T10+N10+U10</f>
        <v>509.061457387796</v>
      </c>
      <c r="X10" s="57"/>
      <c r="Y10" s="57" t="n">
        <f aca="false">W10+X10</f>
        <v>509.061457387796</v>
      </c>
      <c r="Z10" s="61" t="n">
        <v>0</v>
      </c>
      <c r="AA10" s="62" t="n">
        <v>54</v>
      </c>
      <c r="AB10" s="62" t="n">
        <v>36</v>
      </c>
      <c r="AC10" s="63" t="n">
        <v>1</v>
      </c>
      <c r="AD10" s="79" t="n">
        <v>303</v>
      </c>
      <c r="AE10" s="82" t="n">
        <v>273</v>
      </c>
      <c r="AF10" s="79" t="n">
        <v>1256.86</v>
      </c>
    </row>
    <row r="11" customFormat="false" ht="11.1" hidden="false" customHeight="true" outlineLevel="0" collapsed="false">
      <c r="A11" s="63" t="n">
        <f aca="false">A10+1</f>
        <v>2</v>
      </c>
      <c r="B11" s="80" t="n">
        <v>6921.75</v>
      </c>
      <c r="C11" s="58" t="n">
        <v>371199</v>
      </c>
      <c r="D11" s="62" t="n">
        <f aca="false">C11-C10</f>
        <v>526</v>
      </c>
      <c r="E11" s="58" t="n">
        <f aca="false">C11-152000</f>
        <v>219199</v>
      </c>
      <c r="F11" s="57" t="n">
        <f aca="false">D11/$D$2</f>
        <v>265.254664649521</v>
      </c>
      <c r="G11" s="57" t="n">
        <v>563.72</v>
      </c>
      <c r="H11" s="59" t="n">
        <v>80.66</v>
      </c>
      <c r="I11" s="57" t="n">
        <f aca="false">G11+H11</f>
        <v>644.38</v>
      </c>
      <c r="J11" s="81" t="n">
        <f aca="false">IF(L11&gt;0,L11)</f>
        <v>443.923257690368</v>
      </c>
      <c r="K11" s="57" t="n">
        <f aca="false">I11+J11</f>
        <v>1088.30325769037</v>
      </c>
      <c r="L11" s="57" t="n">
        <f aca="false">F11-(I11-W11)</f>
        <v>443.923257690368</v>
      </c>
      <c r="M11" s="57" t="n">
        <v>77.75</v>
      </c>
      <c r="N11" s="57" t="n">
        <f aca="false">((AF11-AF10)*1.05)/$D$2</f>
        <v>26.2420574886536</v>
      </c>
      <c r="O11" s="57" t="n">
        <f aca="false">M11-N11</f>
        <v>51.5079425113464</v>
      </c>
      <c r="P11" s="57" t="n">
        <v>0</v>
      </c>
      <c r="Q11" s="57" t="n">
        <f aca="false">(AE11-AE10)/$D$2</f>
        <v>13.6157337367625</v>
      </c>
      <c r="R11" s="57" t="n">
        <f aca="false">SUM(O11:Q11)</f>
        <v>65.1236762481088</v>
      </c>
      <c r="S11" s="58"/>
      <c r="T11" s="57" t="n">
        <f aca="false">(AD11-AD10)/$D$2</f>
        <v>1.51285930408472</v>
      </c>
      <c r="U11" s="57" t="n">
        <v>730.17</v>
      </c>
      <c r="V11" s="58" t="n">
        <v>8560</v>
      </c>
      <c r="W11" s="57" t="n">
        <f aca="false">R11+T11+N11+U11</f>
        <v>823.048593040847</v>
      </c>
      <c r="X11" s="57"/>
      <c r="Y11" s="57" t="n">
        <f aca="false">W11+X11</f>
        <v>823.048593040847</v>
      </c>
      <c r="Z11" s="61" t="n">
        <v>0</v>
      </c>
      <c r="AA11" s="62" t="n">
        <v>61</v>
      </c>
      <c r="AB11" s="62" t="n">
        <v>36</v>
      </c>
      <c r="AC11" s="63" t="n">
        <f aca="false">AC10+1</f>
        <v>2</v>
      </c>
      <c r="AD11" s="79" t="n">
        <v>306</v>
      </c>
      <c r="AE11" s="82" t="n">
        <v>300</v>
      </c>
      <c r="AF11" s="79" t="n">
        <v>1306.42</v>
      </c>
    </row>
    <row r="12" customFormat="false" ht="11.1" hidden="false" customHeight="true" outlineLevel="0" collapsed="false">
      <c r="A12" s="63" t="n">
        <f aca="false">A11+1</f>
        <v>3</v>
      </c>
      <c r="B12" s="80" t="n">
        <v>6921.83</v>
      </c>
      <c r="C12" s="58" t="n">
        <v>371550</v>
      </c>
      <c r="D12" s="62" t="n">
        <f aca="false">C12-C11</f>
        <v>351</v>
      </c>
      <c r="E12" s="58" t="n">
        <f aca="false">C12-152000</f>
        <v>219550</v>
      </c>
      <c r="F12" s="57" t="n">
        <f aca="false">D12/$D$2</f>
        <v>177.004538577912</v>
      </c>
      <c r="G12" s="57" t="n">
        <v>608.36</v>
      </c>
      <c r="H12" s="59" t="n">
        <v>115.1</v>
      </c>
      <c r="I12" s="57" t="n">
        <f aca="false">G12+H12</f>
        <v>723.46</v>
      </c>
      <c r="J12" s="81" t="n">
        <f aca="false">IF(L12&gt;0,L12)</f>
        <v>433.363146747353</v>
      </c>
      <c r="K12" s="57" t="n">
        <f aca="false">I12+J12</f>
        <v>1156.82314674735</v>
      </c>
      <c r="L12" s="57" t="n">
        <f aca="false">F12-(I12-W12)</f>
        <v>433.363146747353</v>
      </c>
      <c r="M12" s="57" t="n">
        <v>85.87</v>
      </c>
      <c r="N12" s="57" t="n">
        <f aca="false">((AF12-AF11)*1.05)/$D$2</f>
        <v>26.1149773071104</v>
      </c>
      <c r="O12" s="57" t="n">
        <f aca="false">M12-N12</f>
        <v>59.7550226928896</v>
      </c>
      <c r="P12" s="57" t="n">
        <v>9.41</v>
      </c>
      <c r="Q12" s="57" t="n">
        <f aca="false">(AE12-AE11)/$D$2</f>
        <v>20.6757438224912</v>
      </c>
      <c r="R12" s="57" t="n">
        <f aca="false">SUM(O12:Q12)</f>
        <v>89.8407665153808</v>
      </c>
      <c r="S12" s="58"/>
      <c r="T12" s="57" t="n">
        <f aca="false">(AD12-AD11)/$D$2</f>
        <v>5.04286434694907</v>
      </c>
      <c r="U12" s="57" t="n">
        <v>858.82</v>
      </c>
      <c r="V12" s="58" t="n">
        <v>8560</v>
      </c>
      <c r="W12" s="57" t="n">
        <f aca="false">R12+T12+N12+U12</f>
        <v>979.81860816944</v>
      </c>
      <c r="X12" s="57"/>
      <c r="Y12" s="57" t="n">
        <f aca="false">W12+X12</f>
        <v>979.81860816944</v>
      </c>
      <c r="Z12" s="61" t="n">
        <v>0</v>
      </c>
      <c r="AA12" s="62" t="n">
        <v>62</v>
      </c>
      <c r="AB12" s="62" t="n">
        <v>38</v>
      </c>
      <c r="AC12" s="63" t="n">
        <f aca="false">AC11+1</f>
        <v>3</v>
      </c>
      <c r="AD12" s="79" t="n">
        <v>316</v>
      </c>
      <c r="AE12" s="82" t="n">
        <v>341</v>
      </c>
      <c r="AF12" s="79" t="n">
        <v>1355.74</v>
      </c>
    </row>
    <row r="13" customFormat="false" ht="11.1" hidden="false" customHeight="true" outlineLevel="0" collapsed="false">
      <c r="A13" s="63" t="n">
        <f aca="false">A12+1</f>
        <v>4</v>
      </c>
      <c r="B13" s="80" t="n">
        <v>6921.85</v>
      </c>
      <c r="C13" s="58" t="n">
        <v>371638</v>
      </c>
      <c r="D13" s="62" t="n">
        <f aca="false">C13-C12</f>
        <v>88</v>
      </c>
      <c r="E13" s="58" t="n">
        <f aca="false">C13-152000</f>
        <v>219638</v>
      </c>
      <c r="F13" s="57" t="n">
        <f aca="false">D13/$D$2</f>
        <v>44.3772062531518</v>
      </c>
      <c r="G13" s="57" t="n">
        <v>552.79</v>
      </c>
      <c r="H13" s="59" t="n">
        <v>94.14</v>
      </c>
      <c r="I13" s="57" t="n">
        <f aca="false">G13+H13</f>
        <v>646.93</v>
      </c>
      <c r="J13" s="81" t="n">
        <f aca="false">IF(L13&gt;0,L13)</f>
        <v>377.368673726677</v>
      </c>
      <c r="K13" s="57" t="n">
        <f aca="false">I13+J13</f>
        <v>1024.29867372668</v>
      </c>
      <c r="L13" s="57" t="n">
        <f aca="false">F13-(I13-W13)</f>
        <v>377.368673726677</v>
      </c>
      <c r="M13" s="57" t="n">
        <v>100.08</v>
      </c>
      <c r="N13" s="57" t="n">
        <f aca="false">((AF13-AF12)*1.05)/$D$2</f>
        <v>26.2473524962178</v>
      </c>
      <c r="O13" s="57" t="n">
        <f aca="false">M13-N13</f>
        <v>73.8326475037822</v>
      </c>
      <c r="P13" s="57" t="n">
        <v>21.21</v>
      </c>
      <c r="Q13" s="57" t="n">
        <f aca="false">(AE13-AE12)/$D$2</f>
        <v>27.231467473525</v>
      </c>
      <c r="R13" s="57" t="n">
        <f aca="false">SUM(O13:Q13)</f>
        <v>122.274114977307</v>
      </c>
      <c r="S13" s="58"/>
      <c r="T13" s="57" t="n">
        <f aca="false">(AD13-AD12)/$D$2</f>
        <v>0</v>
      </c>
      <c r="U13" s="57" t="n">
        <v>831.4</v>
      </c>
      <c r="V13" s="58" t="n">
        <v>8560</v>
      </c>
      <c r="W13" s="57" t="n">
        <f aca="false">R13+T13+N13+U13</f>
        <v>979.921467473525</v>
      </c>
      <c r="X13" s="57"/>
      <c r="Y13" s="57" t="n">
        <f aca="false">W13+X13</f>
        <v>979.921467473525</v>
      </c>
      <c r="Z13" s="61" t="n">
        <v>0</v>
      </c>
      <c r="AA13" s="62" t="n">
        <v>70</v>
      </c>
      <c r="AB13" s="62" t="n">
        <v>39</v>
      </c>
      <c r="AC13" s="63" t="n">
        <f aca="false">AC12+1</f>
        <v>4</v>
      </c>
      <c r="AD13" s="79" t="n">
        <v>316</v>
      </c>
      <c r="AE13" s="82" t="n">
        <v>395</v>
      </c>
      <c r="AF13" s="79" t="n">
        <v>1405.31</v>
      </c>
    </row>
    <row r="14" customFormat="false" ht="11.1" hidden="false" customHeight="true" outlineLevel="0" collapsed="false">
      <c r="A14" s="63" t="n">
        <f aca="false">A13+1</f>
        <v>5</v>
      </c>
      <c r="B14" s="80" t="n">
        <v>6922.07</v>
      </c>
      <c r="C14" s="58" t="n">
        <v>372602</v>
      </c>
      <c r="D14" s="62" t="n">
        <f aca="false">C14-C13</f>
        <v>964</v>
      </c>
      <c r="E14" s="58" t="n">
        <f aca="false">C14-152000</f>
        <v>220602</v>
      </c>
      <c r="F14" s="57" t="n">
        <f aca="false">D14/$D$2</f>
        <v>486.13212304589</v>
      </c>
      <c r="G14" s="57" t="n">
        <v>762.4</v>
      </c>
      <c r="H14" s="59" t="n">
        <v>150.42</v>
      </c>
      <c r="I14" s="57" t="n">
        <f aca="false">G14+H14</f>
        <v>912.82</v>
      </c>
      <c r="J14" s="81" t="n">
        <f aca="false">IF(L14&gt;0,L14)</f>
        <v>547.826459909229</v>
      </c>
      <c r="K14" s="57" t="n">
        <f aca="false">I14+J14</f>
        <v>1460.64645990923</v>
      </c>
      <c r="L14" s="57" t="n">
        <f aca="false">F14-(I14-W14)</f>
        <v>547.826459909229</v>
      </c>
      <c r="M14" s="57" t="n">
        <v>107.09</v>
      </c>
      <c r="N14" s="57" t="n">
        <f aca="false">((AF14-AF13)*1.05)/$D$2</f>
        <v>16.8645990922845</v>
      </c>
      <c r="O14" s="57" t="n">
        <f aca="false">M14-N14</f>
        <v>90.2254009077155</v>
      </c>
      <c r="P14" s="57" t="n">
        <v>31.01</v>
      </c>
      <c r="Q14" s="57" t="n">
        <f aca="false">(AE14-AE13)/$D$2</f>
        <v>35.8043368633384</v>
      </c>
      <c r="R14" s="57" t="n">
        <f aca="false">SUM(O14:Q14)</f>
        <v>157.039737771054</v>
      </c>
      <c r="S14" s="58"/>
      <c r="T14" s="57" t="n">
        <f aca="false">(AD14-AD13)/$D$2</f>
        <v>0</v>
      </c>
      <c r="U14" s="57" t="n">
        <v>800.61</v>
      </c>
      <c r="V14" s="58" t="n">
        <v>8560</v>
      </c>
      <c r="W14" s="57" t="n">
        <f aca="false">R14+T14+N14+U14</f>
        <v>974.514336863338</v>
      </c>
      <c r="X14" s="57"/>
      <c r="Y14" s="57" t="n">
        <f aca="false">W14+X14</f>
        <v>974.514336863338</v>
      </c>
      <c r="Z14" s="61" t="n">
        <v>0</v>
      </c>
      <c r="AA14" s="62" t="n">
        <v>76</v>
      </c>
      <c r="AB14" s="62" t="n">
        <v>43</v>
      </c>
      <c r="AC14" s="63" t="n">
        <f aca="false">AC13+1</f>
        <v>5</v>
      </c>
      <c r="AD14" s="79" t="n">
        <v>316</v>
      </c>
      <c r="AE14" s="82" t="n">
        <v>466</v>
      </c>
      <c r="AF14" s="79" t="n">
        <v>1437.16</v>
      </c>
    </row>
    <row r="15" customFormat="false" ht="11.1" hidden="false" customHeight="true" outlineLevel="0" collapsed="false">
      <c r="A15" s="63" t="n">
        <f aca="false">A14+1</f>
        <v>6</v>
      </c>
      <c r="B15" s="80" t="n">
        <v>6922.33</v>
      </c>
      <c r="C15" s="58" t="n">
        <v>373751</v>
      </c>
      <c r="D15" s="62" t="n">
        <f aca="false">C15-C14</f>
        <v>1149</v>
      </c>
      <c r="E15" s="58" t="n">
        <f aca="false">C15-152000</f>
        <v>221751</v>
      </c>
      <c r="F15" s="57" t="n">
        <f aca="false">D15/$D$2</f>
        <v>579.425113464448</v>
      </c>
      <c r="G15" s="57" t="n">
        <v>1099.91</v>
      </c>
      <c r="H15" s="59" t="n">
        <v>218.89</v>
      </c>
      <c r="I15" s="57" t="n">
        <f aca="false">G15+H15</f>
        <v>1318.8</v>
      </c>
      <c r="J15" s="81" t="n">
        <f aca="false">IF(L15&gt;0,L15)</f>
        <v>419.982314674735</v>
      </c>
      <c r="K15" s="57" t="n">
        <f aca="false">I15+J15</f>
        <v>1738.78231467474</v>
      </c>
      <c r="L15" s="57" t="n">
        <f aca="false">F15-(I15-W15)</f>
        <v>419.982314674735</v>
      </c>
      <c r="M15" s="57" t="n">
        <v>103.43</v>
      </c>
      <c r="N15" s="57" t="n">
        <f aca="false">((AF15-AF14)*1.05)/$D$2</f>
        <v>15.8055975794251</v>
      </c>
      <c r="O15" s="57" t="n">
        <f aca="false">M15-N15</f>
        <v>87.6244024205749</v>
      </c>
      <c r="P15" s="57" t="n">
        <v>40.52</v>
      </c>
      <c r="Q15" s="57" t="n">
        <f aca="false">(AE15-AE14)/$D$2</f>
        <v>36.3086232980333</v>
      </c>
      <c r="R15" s="57" t="n">
        <f aca="false">SUM(O15:Q15)</f>
        <v>164.453025718608</v>
      </c>
      <c r="S15" s="58"/>
      <c r="T15" s="57" t="n">
        <f aca="false">(AD15-AD14)/$D$2</f>
        <v>4.53857791225416</v>
      </c>
      <c r="U15" s="57" t="n">
        <v>974.56</v>
      </c>
      <c r="V15" s="58" t="n">
        <v>8560</v>
      </c>
      <c r="W15" s="57" t="n">
        <f aca="false">R15+T15+N15+U15</f>
        <v>1159.35720121029</v>
      </c>
      <c r="X15" s="57"/>
      <c r="Y15" s="57" t="n">
        <f aca="false">W15+X15</f>
        <v>1159.35720121029</v>
      </c>
      <c r="Z15" s="61" t="n">
        <v>0</v>
      </c>
      <c r="AA15" s="62" t="n">
        <v>73</v>
      </c>
      <c r="AB15" s="62" t="n">
        <v>39</v>
      </c>
      <c r="AC15" s="63" t="n">
        <f aca="false">AC14+1</f>
        <v>6</v>
      </c>
      <c r="AD15" s="78" t="n">
        <v>325</v>
      </c>
      <c r="AE15" s="82" t="n">
        <v>538</v>
      </c>
      <c r="AF15" s="79" t="n">
        <v>1467.01</v>
      </c>
    </row>
    <row r="16" customFormat="false" ht="11.1" hidden="false" customHeight="true" outlineLevel="0" collapsed="false">
      <c r="A16" s="63" t="n">
        <f aca="false">A15+1</f>
        <v>7</v>
      </c>
      <c r="B16" s="80" t="n">
        <v>6922.53</v>
      </c>
      <c r="C16" s="58" t="n">
        <v>374633</v>
      </c>
      <c r="D16" s="62" t="n">
        <f aca="false">C16-C15</f>
        <v>882</v>
      </c>
      <c r="E16" s="58" t="n">
        <f aca="false">C16-152000</f>
        <v>222633</v>
      </c>
      <c r="F16" s="57" t="n">
        <f aca="false">D16/$D$2</f>
        <v>444.780635400908</v>
      </c>
      <c r="G16" s="57" t="n">
        <v>1324.94</v>
      </c>
      <c r="H16" s="59" t="n">
        <v>241.7</v>
      </c>
      <c r="I16" s="57" t="n">
        <f aca="false">G16+H16</f>
        <v>1566.64</v>
      </c>
      <c r="J16" s="81" t="n">
        <f aca="false">IF(L16&gt;0,L16)</f>
        <v>286.426419566314</v>
      </c>
      <c r="K16" s="57" t="n">
        <f aca="false">I16+J16</f>
        <v>1853.06641956631</v>
      </c>
      <c r="L16" s="57" t="n">
        <f aca="false">F16-(I16-W16)</f>
        <v>286.426419566314</v>
      </c>
      <c r="M16" s="57" t="n">
        <v>124.11</v>
      </c>
      <c r="N16" s="57" t="n">
        <f aca="false">((AF16-AF15)*1.05)/$D$2</f>
        <v>15.6891074130106</v>
      </c>
      <c r="O16" s="57" t="n">
        <f aca="false">M16-N16</f>
        <v>108.420892586989</v>
      </c>
      <c r="P16" s="57" t="n">
        <v>53.12</v>
      </c>
      <c r="Q16" s="57" t="n">
        <f aca="false">(AE16-AE15)/$D$2</f>
        <v>40.3429147755925</v>
      </c>
      <c r="R16" s="57" t="n">
        <f aca="false">SUM(O16:Q16)</f>
        <v>201.883807362582</v>
      </c>
      <c r="S16" s="58"/>
      <c r="T16" s="57" t="n">
        <f aca="false">(AD16-AD15)/$D$2</f>
        <v>8.57286938981341</v>
      </c>
      <c r="U16" s="57" t="n">
        <v>1182.14</v>
      </c>
      <c r="V16" s="58" t="n">
        <v>8560</v>
      </c>
      <c r="W16" s="57" t="n">
        <f aca="false">R16+T16+N16+U16</f>
        <v>1408.28578416541</v>
      </c>
      <c r="X16" s="57"/>
      <c r="Y16" s="57" t="n">
        <f aca="false">W16+X16</f>
        <v>1408.28578416541</v>
      </c>
      <c r="Z16" s="61" t="n">
        <v>0</v>
      </c>
      <c r="AA16" s="62" t="n">
        <v>74</v>
      </c>
      <c r="AB16" s="62" t="n">
        <v>37</v>
      </c>
      <c r="AC16" s="63" t="n">
        <f aca="false">AC15+1</f>
        <v>7</v>
      </c>
      <c r="AD16" s="78" t="n">
        <v>342</v>
      </c>
      <c r="AE16" s="82" t="n">
        <v>618</v>
      </c>
      <c r="AF16" s="79" t="n">
        <v>1496.64</v>
      </c>
    </row>
    <row r="17" customFormat="false" ht="11.1" hidden="false" customHeight="true" outlineLevel="0" collapsed="false">
      <c r="A17" s="63" t="n">
        <f aca="false">A16+1</f>
        <v>8</v>
      </c>
      <c r="B17" s="80" t="n">
        <v>6922.68</v>
      </c>
      <c r="C17" s="58" t="n">
        <v>375297</v>
      </c>
      <c r="D17" s="62" t="n">
        <f aca="false">C17-C16</f>
        <v>664</v>
      </c>
      <c r="E17" s="58" t="n">
        <f aca="false">C17-152000</f>
        <v>223297</v>
      </c>
      <c r="F17" s="57" t="n">
        <f aca="false">D17/$D$2</f>
        <v>334.846192637418</v>
      </c>
      <c r="G17" s="57" t="n">
        <v>1278.08</v>
      </c>
      <c r="H17" s="59" t="n">
        <v>202.35</v>
      </c>
      <c r="I17" s="57" t="n">
        <f aca="false">G17+H17</f>
        <v>1480.43</v>
      </c>
      <c r="J17" s="81" t="n">
        <f aca="false">IF(L17&gt;0,L17)</f>
        <v>311.831986888553</v>
      </c>
      <c r="K17" s="57" t="n">
        <f aca="false">I17+J17</f>
        <v>1792.26198688855</v>
      </c>
      <c r="L17" s="57" t="n">
        <f aca="false">F17-(I17-W17)</f>
        <v>311.831986888553</v>
      </c>
      <c r="M17" s="57" t="n">
        <v>154.84</v>
      </c>
      <c r="N17" s="57" t="n">
        <f aca="false">((AF17-AF16)*1.05)/$D$2</f>
        <v>15.8161875945537</v>
      </c>
      <c r="O17" s="57" t="n">
        <f aca="false">M17-N17</f>
        <v>139.023812405446</v>
      </c>
      <c r="P17" s="57" t="n">
        <v>57</v>
      </c>
      <c r="Q17" s="57" t="n">
        <f aca="false">(AE17-AE16)/$D$2</f>
        <v>43.368633383762</v>
      </c>
      <c r="R17" s="57" t="n">
        <f aca="false">SUM(O17:Q17)</f>
        <v>239.392445789208</v>
      </c>
      <c r="S17" s="58"/>
      <c r="T17" s="57" t="n">
        <f aca="false">(AD17-AD16)/$D$2</f>
        <v>12.6071608673727</v>
      </c>
      <c r="U17" s="57" t="n">
        <v>1189.6</v>
      </c>
      <c r="V17" s="58" t="n">
        <v>8560</v>
      </c>
      <c r="W17" s="57" t="n">
        <f aca="false">R17+T17+N17+U17</f>
        <v>1457.41579425113</v>
      </c>
      <c r="X17" s="57"/>
      <c r="Y17" s="57" t="n">
        <f aca="false">W17+X17</f>
        <v>1457.41579425113</v>
      </c>
      <c r="Z17" s="61" t="n">
        <v>0</v>
      </c>
      <c r="AA17" s="62" t="n">
        <v>69</v>
      </c>
      <c r="AB17" s="62" t="n">
        <v>34</v>
      </c>
      <c r="AC17" s="63" t="n">
        <f aca="false">AC16+1</f>
        <v>8</v>
      </c>
      <c r="AD17" s="78" t="n">
        <v>367</v>
      </c>
      <c r="AE17" s="82" t="n">
        <v>704</v>
      </c>
      <c r="AF17" s="79" t="n">
        <v>1526.51</v>
      </c>
    </row>
    <row r="18" customFormat="false" ht="11.1" hidden="false" customHeight="true" outlineLevel="0" collapsed="false">
      <c r="A18" s="63" t="n">
        <f aca="false">A17+1</f>
        <v>9</v>
      </c>
      <c r="B18" s="80" t="n">
        <v>6922.78</v>
      </c>
      <c r="C18" s="58" t="n">
        <v>375737</v>
      </c>
      <c r="D18" s="62" t="n">
        <f aca="false">C18-C17</f>
        <v>440</v>
      </c>
      <c r="E18" s="58" t="n">
        <f aca="false">C18-152000</f>
        <v>223737</v>
      </c>
      <c r="F18" s="57" t="n">
        <f aca="false">D18/$D$2</f>
        <v>221.886031265759</v>
      </c>
      <c r="G18" s="57" t="n">
        <v>1312.24</v>
      </c>
      <c r="H18" s="59" t="n">
        <v>193.36</v>
      </c>
      <c r="I18" s="57" t="n">
        <f aca="false">G18+H18</f>
        <v>1505.6</v>
      </c>
      <c r="J18" s="81" t="n">
        <f aca="false">IF(L18&gt;0,L18)</f>
        <v>216.407549167928</v>
      </c>
      <c r="K18" s="57" t="n">
        <f aca="false">I18+J18</f>
        <v>1722.00754916793</v>
      </c>
      <c r="L18" s="57" t="n">
        <f aca="false">F18-(I18-W18)</f>
        <v>216.407549167928</v>
      </c>
      <c r="M18" s="57" t="n">
        <v>185.48</v>
      </c>
      <c r="N18" s="57" t="n">
        <f aca="false">((AF18-AF17)*1.05)/$D$2</f>
        <v>18.3895612708018</v>
      </c>
      <c r="O18" s="57" t="n">
        <f aca="false">M18-N18</f>
        <v>167.090438729198</v>
      </c>
      <c r="P18" s="57" t="n">
        <v>57.68</v>
      </c>
      <c r="Q18" s="57" t="n">
        <f aca="false">(AE18-AE17)/$D$2</f>
        <v>50.9329299041856</v>
      </c>
      <c r="R18" s="57" t="n">
        <f aca="false">SUM(O18:Q18)</f>
        <v>275.703368633384</v>
      </c>
      <c r="S18" s="58"/>
      <c r="T18" s="57" t="n">
        <f aca="false">(AD18-AD17)/$D$2</f>
        <v>11.5985879979829</v>
      </c>
      <c r="U18" s="57" t="n">
        <v>1194.43</v>
      </c>
      <c r="V18" s="58" t="n">
        <v>8560</v>
      </c>
      <c r="W18" s="57" t="n">
        <f aca="false">R18+T18+N18+U18</f>
        <v>1500.12151790217</v>
      </c>
      <c r="X18" s="57"/>
      <c r="Y18" s="57" t="n">
        <f aca="false">W18+X18</f>
        <v>1500.12151790217</v>
      </c>
      <c r="Z18" s="61" t="n">
        <v>0.06</v>
      </c>
      <c r="AA18" s="90" t="n">
        <v>66</v>
      </c>
      <c r="AB18" s="62" t="n">
        <v>44</v>
      </c>
      <c r="AC18" s="63" t="n">
        <f aca="false">AC17+1</f>
        <v>9</v>
      </c>
      <c r="AD18" s="78" t="n">
        <v>390</v>
      </c>
      <c r="AE18" s="82" t="n">
        <v>805</v>
      </c>
      <c r="AF18" s="79" t="n">
        <v>1561.24</v>
      </c>
    </row>
    <row r="19" customFormat="false" ht="11.1" hidden="false" customHeight="true" outlineLevel="0" collapsed="false">
      <c r="A19" s="63" t="n">
        <f aca="false">A18+1</f>
        <v>10</v>
      </c>
      <c r="B19" s="80" t="n">
        <v>6922.68</v>
      </c>
      <c r="C19" s="58" t="n">
        <v>375297</v>
      </c>
      <c r="D19" s="62" t="n">
        <f aca="false">C19-C18</f>
        <v>-440</v>
      </c>
      <c r="E19" s="58" t="n">
        <f aca="false">C19-152000</f>
        <v>223297</v>
      </c>
      <c r="F19" s="57" t="n">
        <f aca="false">D19/$D$2</f>
        <v>-221.886031265759</v>
      </c>
      <c r="G19" s="57" t="n">
        <v>992.8</v>
      </c>
      <c r="H19" s="59" t="n">
        <v>100.27</v>
      </c>
      <c r="I19" s="57" t="n">
        <f aca="false">G19+H19</f>
        <v>1093.07</v>
      </c>
      <c r="J19" s="81" t="n">
        <f aca="false">IF(L19&gt;0,L19)</f>
        <v>199.118371154816</v>
      </c>
      <c r="K19" s="57" t="n">
        <f aca="false">I19+J19</f>
        <v>1292.18837115482</v>
      </c>
      <c r="L19" s="57" t="n">
        <f aca="false">F19-(I19-W19)</f>
        <v>199.118371154816</v>
      </c>
      <c r="M19" s="57" t="n">
        <v>165.39</v>
      </c>
      <c r="N19" s="57" t="n">
        <f aca="false">((AF19-AF18)*1.05)/$D$2</f>
        <v>20.7299546142209</v>
      </c>
      <c r="O19" s="57" t="n">
        <f aca="false">M19-N19</f>
        <v>144.660045385779</v>
      </c>
      <c r="P19" s="57" t="n">
        <v>69.53</v>
      </c>
      <c r="Q19" s="57" t="n">
        <f aca="false">(AE19-AE18)/$D$2</f>
        <v>57.9929399899143</v>
      </c>
      <c r="R19" s="57" t="n">
        <f aca="false">SUM(O19:Q19)</f>
        <v>272.182985375693</v>
      </c>
      <c r="S19" s="58"/>
      <c r="T19" s="57" t="n">
        <f aca="false">(AD19-AD18)/$D$2</f>
        <v>23.7014624306606</v>
      </c>
      <c r="U19" s="57" t="n">
        <v>1197.46</v>
      </c>
      <c r="V19" s="58" t="n">
        <v>8560</v>
      </c>
      <c r="W19" s="57" t="n">
        <f aca="false">R19+T19+N19+U19</f>
        <v>1514.07440242057</v>
      </c>
      <c r="X19" s="57"/>
      <c r="Y19" s="57" t="n">
        <f aca="false">W19+X19</f>
        <v>1514.07440242057</v>
      </c>
      <c r="Z19" s="61" t="n">
        <v>0</v>
      </c>
      <c r="AA19" s="62" t="n">
        <v>66</v>
      </c>
      <c r="AB19" s="62" t="n">
        <v>36</v>
      </c>
      <c r="AC19" s="63" t="n">
        <f aca="false">AC18+1</f>
        <v>10</v>
      </c>
      <c r="AD19" s="78" t="n">
        <v>437</v>
      </c>
      <c r="AE19" s="82" t="n">
        <v>920</v>
      </c>
      <c r="AF19" s="79" t="n">
        <v>1600.39</v>
      </c>
    </row>
    <row r="20" customFormat="false" ht="11.1" hidden="false" customHeight="true" outlineLevel="0" collapsed="false">
      <c r="A20" s="63" t="n">
        <f aca="false">A19+1</f>
        <v>11</v>
      </c>
      <c r="B20" s="80" t="n">
        <v>6922.58</v>
      </c>
      <c r="C20" s="58" t="n">
        <v>374855</v>
      </c>
      <c r="D20" s="62" t="n">
        <f aca="false">C20-C19</f>
        <v>-442</v>
      </c>
      <c r="E20" s="58" t="n">
        <f aca="false">C20-152000</f>
        <v>222855</v>
      </c>
      <c r="F20" s="57" t="n">
        <f aca="false">D20/$D$2</f>
        <v>-222.894604135149</v>
      </c>
      <c r="G20" s="57" t="n">
        <v>910.85</v>
      </c>
      <c r="H20" s="59" t="n">
        <v>54.59</v>
      </c>
      <c r="I20" s="57" t="n">
        <f aca="false">G20+H20</f>
        <v>965.44</v>
      </c>
      <c r="J20" s="81" t="n">
        <f aca="false">IF(L20&gt;0,L20)</f>
        <v>366.055532022188</v>
      </c>
      <c r="K20" s="57" t="n">
        <f aca="false">I20+J20</f>
        <v>1331.49553202219</v>
      </c>
      <c r="L20" s="57" t="n">
        <f aca="false">F20-(I20-W20)</f>
        <v>366.055532022188</v>
      </c>
      <c r="M20" s="57" t="n">
        <v>192.05</v>
      </c>
      <c r="N20" s="57" t="n">
        <f aca="false">((AF20-AF19)*1.05)/$D$2</f>
        <v>22.0325264750378</v>
      </c>
      <c r="O20" s="57" t="n">
        <f aca="false">M20-N20</f>
        <v>170.017473524962</v>
      </c>
      <c r="P20" s="57" t="n">
        <v>68.34</v>
      </c>
      <c r="Q20" s="57" t="n">
        <f aca="false">(AE20-AE19)/$D$2</f>
        <v>64.5486636409481</v>
      </c>
      <c r="R20" s="57" t="n">
        <f aca="false">SUM(O20:Q20)</f>
        <v>302.90613716591</v>
      </c>
      <c r="S20" s="58"/>
      <c r="T20" s="57" t="n">
        <f aca="false">(AD20-AD19)/$D$2</f>
        <v>30.7614725163893</v>
      </c>
      <c r="U20" s="57" t="n">
        <v>1198.69</v>
      </c>
      <c r="V20" s="58" t="n">
        <v>8560</v>
      </c>
      <c r="W20" s="57" t="n">
        <f aca="false">R20+T20+N20+U20</f>
        <v>1554.39013615734</v>
      </c>
      <c r="X20" s="57"/>
      <c r="Y20" s="57" t="n">
        <f aca="false">W20+X20</f>
        <v>1554.39013615734</v>
      </c>
      <c r="Z20" s="61" t="n">
        <v>0</v>
      </c>
      <c r="AA20" s="62" t="n">
        <v>68</v>
      </c>
      <c r="AB20" s="62" t="n">
        <v>40</v>
      </c>
      <c r="AC20" s="63" t="n">
        <f aca="false">AC19+1</f>
        <v>11</v>
      </c>
      <c r="AD20" s="78" t="n">
        <v>498</v>
      </c>
      <c r="AE20" s="82" t="n">
        <v>1048</v>
      </c>
      <c r="AF20" s="79" t="n">
        <v>1642</v>
      </c>
    </row>
    <row r="21" customFormat="false" ht="11.1" hidden="false" customHeight="true" outlineLevel="0" collapsed="false">
      <c r="A21" s="63" t="n">
        <f aca="false">A20+1</f>
        <v>12</v>
      </c>
      <c r="B21" s="80" t="n">
        <v>6922.77</v>
      </c>
      <c r="C21" s="58" t="n">
        <v>375694</v>
      </c>
      <c r="D21" s="62" t="n">
        <f aca="false">C21-C20</f>
        <v>839</v>
      </c>
      <c r="E21" s="58" t="n">
        <f aca="false">C21-152000</f>
        <v>223694</v>
      </c>
      <c r="F21" s="57" t="n">
        <f aca="false">D21/$D$2</f>
        <v>423.096318709027</v>
      </c>
      <c r="G21" s="57" t="n">
        <v>1263.69</v>
      </c>
      <c r="H21" s="59" t="n">
        <v>114.92</v>
      </c>
      <c r="I21" s="57" t="n">
        <f aca="false">G21+H21</f>
        <v>1378.61</v>
      </c>
      <c r="J21" s="81" t="n">
        <f aca="false">IF(L21&gt;0,L21)</f>
        <v>606.927897125567</v>
      </c>
      <c r="K21" s="57" t="n">
        <f aca="false">I21+J21</f>
        <v>1985.53789712557</v>
      </c>
      <c r="L21" s="57" t="n">
        <f aca="false">F21-(I21-W21)</f>
        <v>606.927897125567</v>
      </c>
      <c r="M21" s="57" t="n">
        <v>193.96</v>
      </c>
      <c r="N21" s="57" t="n">
        <f aca="false">((AF21-AF20)*1.05)/$D$2</f>
        <v>21.9319213313162</v>
      </c>
      <c r="O21" s="57" t="n">
        <f aca="false">M21-N21</f>
        <v>172.028078668684</v>
      </c>
      <c r="P21" s="57" t="n">
        <v>68.34</v>
      </c>
      <c r="Q21" s="57" t="n">
        <f aca="false">(AE21-AE20)/$D$2</f>
        <v>67.5743822491175</v>
      </c>
      <c r="R21" s="57" t="n">
        <f aca="false">SUM(O21:Q21)</f>
        <v>307.942460917801</v>
      </c>
      <c r="S21" s="58"/>
      <c r="T21" s="57" t="n">
        <f aca="false">(AD21-AD20)/$D$2</f>
        <v>37.3171961674231</v>
      </c>
      <c r="U21" s="57" t="n">
        <v>1195.25</v>
      </c>
      <c r="V21" s="58" t="n">
        <v>8560</v>
      </c>
      <c r="W21" s="57" t="n">
        <f aca="false">R21+T21+N21+U21</f>
        <v>1562.44157841654</v>
      </c>
      <c r="X21" s="57"/>
      <c r="Y21" s="57" t="n">
        <f aca="false">W21+X21</f>
        <v>1562.44157841654</v>
      </c>
      <c r="Z21" s="61" t="n">
        <v>0.06</v>
      </c>
      <c r="AA21" s="62" t="n">
        <v>68</v>
      </c>
      <c r="AB21" s="62" t="n">
        <v>42</v>
      </c>
      <c r="AC21" s="63" t="n">
        <f aca="false">AC20+1</f>
        <v>12</v>
      </c>
      <c r="AD21" s="78" t="n">
        <v>572</v>
      </c>
      <c r="AE21" s="82" t="n">
        <v>1182</v>
      </c>
      <c r="AF21" s="79" t="n">
        <v>1683.42</v>
      </c>
    </row>
    <row r="22" customFormat="false" ht="11.1" hidden="false" customHeight="true" outlineLevel="0" collapsed="false">
      <c r="A22" s="63" t="n">
        <f aca="false">A21+1</f>
        <v>13</v>
      </c>
      <c r="B22" s="80" t="n">
        <v>6922.77</v>
      </c>
      <c r="C22" s="58" t="n">
        <v>375694</v>
      </c>
      <c r="D22" s="62" t="n">
        <f aca="false">C22-C21</f>
        <v>0</v>
      </c>
      <c r="E22" s="58" t="n">
        <f aca="false">C22-152000</f>
        <v>223694</v>
      </c>
      <c r="F22" s="57" t="n">
        <f aca="false">D22/$D$2</f>
        <v>0</v>
      </c>
      <c r="G22" s="57" t="n">
        <v>1582.84</v>
      </c>
      <c r="H22" s="59" t="n">
        <v>11.06</v>
      </c>
      <c r="I22" s="57" t="n">
        <f aca="false">G22+H22</f>
        <v>1593.9</v>
      </c>
      <c r="J22" s="81" t="n">
        <f aca="false">IF(L22&gt;0,L22)</f>
        <v>287.680216843167</v>
      </c>
      <c r="K22" s="57" t="n">
        <f aca="false">I22+J22</f>
        <v>1881.58021684317</v>
      </c>
      <c r="L22" s="57" t="n">
        <f aca="false">F22-(I22-W22)</f>
        <v>287.680216843167</v>
      </c>
      <c r="M22" s="57" t="n">
        <v>192.74</v>
      </c>
      <c r="N22" s="57" t="n">
        <f aca="false">((AF22-AF21)*1.05)/$D$2</f>
        <v>22.0695915279878</v>
      </c>
      <c r="O22" s="57" t="n">
        <f aca="false">M22-N22</f>
        <v>170.670408472012</v>
      </c>
      <c r="P22" s="57" t="n">
        <v>79.02</v>
      </c>
      <c r="Q22" s="57" t="n">
        <f aca="false">(AE22-AE21)/$D$2</f>
        <v>79.1729702471004</v>
      </c>
      <c r="R22" s="57" t="n">
        <f aca="false">SUM(O22:Q22)</f>
        <v>328.863378719112</v>
      </c>
      <c r="S22" s="58"/>
      <c r="T22" s="57" t="n">
        <f aca="false">(AD22-AD21)/$D$2</f>
        <v>72.6172465960666</v>
      </c>
      <c r="U22" s="57" t="n">
        <v>1458.03</v>
      </c>
      <c r="V22" s="58" t="n">
        <v>8560</v>
      </c>
      <c r="W22" s="57" t="n">
        <f aca="false">R22+T22+N22+U22</f>
        <v>1881.58021684317</v>
      </c>
      <c r="X22" s="57"/>
      <c r="Y22" s="57" t="n">
        <f aca="false">W22+X22</f>
        <v>1881.58021684317</v>
      </c>
      <c r="Z22" s="61" t="n">
        <v>0.04</v>
      </c>
      <c r="AA22" s="62" t="n">
        <v>63</v>
      </c>
      <c r="AB22" s="62" t="n">
        <v>38</v>
      </c>
      <c r="AC22" s="63" t="n">
        <f aca="false">AC21+1</f>
        <v>13</v>
      </c>
      <c r="AD22" s="78" t="n">
        <v>716</v>
      </c>
      <c r="AE22" s="82" t="n">
        <v>1339</v>
      </c>
      <c r="AF22" s="79" t="n">
        <v>1725.1</v>
      </c>
    </row>
    <row r="23" customFormat="false" ht="11.1" hidden="false" customHeight="true" outlineLevel="0" collapsed="false">
      <c r="A23" s="63" t="n">
        <f aca="false">A22+1</f>
        <v>14</v>
      </c>
      <c r="B23" s="80" t="n">
        <v>6922.77</v>
      </c>
      <c r="C23" s="58" t="n">
        <v>375694</v>
      </c>
      <c r="D23" s="62" t="n">
        <f aca="false">C23-C22</f>
        <v>0</v>
      </c>
      <c r="E23" s="58" t="n">
        <f aca="false">C23-152000</f>
        <v>223694</v>
      </c>
      <c r="F23" s="57" t="n">
        <f aca="false">D23/$D$2</f>
        <v>0</v>
      </c>
      <c r="G23" s="57" t="n">
        <v>1493.9</v>
      </c>
      <c r="H23" s="59" t="n">
        <v>95.15</v>
      </c>
      <c r="I23" s="57" t="n">
        <f aca="false">G23+H23</f>
        <v>1589.05</v>
      </c>
      <c r="J23" s="81" t="n">
        <f aca="false">IF(L23&gt;0,L23)</f>
        <v>472.843106404438</v>
      </c>
      <c r="K23" s="57" t="n">
        <f aca="false">I23+J23</f>
        <v>2061.89310640444</v>
      </c>
      <c r="L23" s="57" t="n">
        <f aca="false">F23-(I23-W23)</f>
        <v>472.843106404438</v>
      </c>
      <c r="M23" s="57" t="n">
        <v>203.38</v>
      </c>
      <c r="N23" s="57" t="n">
        <f aca="false">((AF23-AF22)*1.05)/$D$2</f>
        <v>21.7730711043874</v>
      </c>
      <c r="O23" s="57" t="n">
        <f aca="false">M23-N23</f>
        <v>181.606928895613</v>
      </c>
      <c r="P23" s="57" t="n">
        <v>82.36</v>
      </c>
      <c r="Q23" s="57" t="n">
        <f aca="false">(AE23-AE22)/$D$2</f>
        <v>81.19011598588</v>
      </c>
      <c r="R23" s="57" t="n">
        <f aca="false">SUM(O23:Q23)</f>
        <v>345.157044881493</v>
      </c>
      <c r="S23" s="58"/>
      <c r="T23" s="57" t="n">
        <f aca="false">(AD23-AD22)/$D$2</f>
        <v>93.2929904185577</v>
      </c>
      <c r="U23" s="57" t="n">
        <v>1601.67</v>
      </c>
      <c r="V23" s="58" t="n">
        <v>8560</v>
      </c>
      <c r="W23" s="57" t="n">
        <f aca="false">R23+T23+N23+U23</f>
        <v>2061.89310640444</v>
      </c>
      <c r="X23" s="57"/>
      <c r="Y23" s="57" t="n">
        <f aca="false">W23+X23</f>
        <v>2061.89310640444</v>
      </c>
      <c r="Z23" s="61" t="n">
        <v>0</v>
      </c>
      <c r="AA23" s="90" t="n">
        <v>70</v>
      </c>
      <c r="AB23" s="62" t="n">
        <v>38</v>
      </c>
      <c r="AC23" s="63" t="n">
        <f aca="false">AC22+1</f>
        <v>14</v>
      </c>
      <c r="AD23" s="78" t="n">
        <v>901</v>
      </c>
      <c r="AE23" s="82" t="n">
        <v>1500</v>
      </c>
      <c r="AF23" s="79" t="n">
        <v>1766.22</v>
      </c>
    </row>
    <row r="24" customFormat="false" ht="11.1" hidden="false" customHeight="true" outlineLevel="0" collapsed="false">
      <c r="A24" s="63" t="n">
        <f aca="false">A23+1</f>
        <v>15</v>
      </c>
      <c r="B24" s="80" t="n">
        <v>6922.81</v>
      </c>
      <c r="C24" s="58" t="n">
        <v>375870</v>
      </c>
      <c r="D24" s="62" t="n">
        <f aca="false">C24-C23</f>
        <v>176</v>
      </c>
      <c r="E24" s="58" t="n">
        <f aca="false">C24-152000</f>
        <v>223870</v>
      </c>
      <c r="F24" s="57" t="n">
        <f aca="false">D24/$D$2</f>
        <v>88.7544125063036</v>
      </c>
      <c r="G24" s="57" t="n">
        <v>1714.99</v>
      </c>
      <c r="H24" s="59" t="n">
        <v>117.02</v>
      </c>
      <c r="I24" s="57" t="n">
        <f aca="false">G24+H24</f>
        <v>1832.01</v>
      </c>
      <c r="J24" s="81" t="n">
        <f aca="false">IF(L24&gt;0,L24)</f>
        <v>320.324654563792</v>
      </c>
      <c r="K24" s="57" t="n">
        <f aca="false">I24+J24</f>
        <v>2152.33465456379</v>
      </c>
      <c r="L24" s="57" t="n">
        <f aca="false">F24-(I24-W24)</f>
        <v>320.324654563792</v>
      </c>
      <c r="M24" s="57" t="n">
        <v>209.41</v>
      </c>
      <c r="N24" s="57" t="n">
        <f aca="false">((AF24-AF23)*1.05)/$D$2</f>
        <v>21.8789712556732</v>
      </c>
      <c r="O24" s="57" t="n">
        <f aca="false">M24-N24</f>
        <v>187.531028744327</v>
      </c>
      <c r="P24" s="57" t="n">
        <v>82.12</v>
      </c>
      <c r="Q24" s="57" t="n">
        <f aca="false">(AE24-AE23)/$D$2</f>
        <v>81.6944024205749</v>
      </c>
      <c r="R24" s="57" t="n">
        <f aca="false">SUM(O24:Q24)</f>
        <v>351.345431164902</v>
      </c>
      <c r="S24" s="58"/>
      <c r="T24" s="57" t="n">
        <f aca="false">(AD24-AD23)/$D$2</f>
        <v>87.7458396369138</v>
      </c>
      <c r="U24" s="57" t="n">
        <v>1602.61</v>
      </c>
      <c r="V24" s="58" t="n">
        <v>8560</v>
      </c>
      <c r="W24" s="57" t="n">
        <f aca="false">R24+T24+N24+U24</f>
        <v>2063.58024205749</v>
      </c>
      <c r="X24" s="57"/>
      <c r="Y24" s="57" t="n">
        <f aca="false">W24+X24</f>
        <v>2063.58024205749</v>
      </c>
      <c r="Z24" s="61" t="n">
        <v>0.02</v>
      </c>
      <c r="AA24" s="90" t="n">
        <v>72</v>
      </c>
      <c r="AB24" s="62" t="n">
        <v>44</v>
      </c>
      <c r="AC24" s="63" t="n">
        <f aca="false">AC23+1</f>
        <v>15</v>
      </c>
      <c r="AD24" s="78" t="n">
        <v>1075</v>
      </c>
      <c r="AE24" s="82" t="n">
        <v>1662</v>
      </c>
      <c r="AF24" s="79" t="n">
        <v>1807.54</v>
      </c>
    </row>
    <row r="25" customFormat="false" ht="11.1" hidden="false" customHeight="true" outlineLevel="0" collapsed="false">
      <c r="A25" s="63" t="n">
        <f aca="false">A24+1</f>
        <v>16</v>
      </c>
      <c r="B25" s="80" t="n">
        <v>6923</v>
      </c>
      <c r="C25" s="58" t="n">
        <v>376709</v>
      </c>
      <c r="D25" s="62" t="n">
        <f aca="false">C25-C24</f>
        <v>839</v>
      </c>
      <c r="E25" s="58" t="n">
        <f aca="false">C25-152000</f>
        <v>224709</v>
      </c>
      <c r="F25" s="57" t="n">
        <f aca="false">D25/$D$2</f>
        <v>423.096318709027</v>
      </c>
      <c r="G25" s="57" t="n">
        <v>1743.6</v>
      </c>
      <c r="H25" s="59" t="n">
        <v>127.57</v>
      </c>
      <c r="I25" s="57" t="n">
        <f aca="false">G25+H25</f>
        <v>1871.17</v>
      </c>
      <c r="J25" s="81" t="n">
        <f aca="false">IF(L25&gt;0,L25)</f>
        <v>661.578038325769</v>
      </c>
      <c r="K25" s="57" t="n">
        <f aca="false">I25+J25</f>
        <v>2532.74803832577</v>
      </c>
      <c r="L25" s="57" t="n">
        <f aca="false">F25-(I25-W25)</f>
        <v>661.578038325769</v>
      </c>
      <c r="M25" s="57" t="n">
        <v>217.64</v>
      </c>
      <c r="N25" s="57" t="n">
        <f aca="false">((AF25-AF24)*1.05)/$D$2</f>
        <v>27.1051437216339</v>
      </c>
      <c r="O25" s="57" t="n">
        <f aca="false">M25-N25</f>
        <v>190.534856278366</v>
      </c>
      <c r="P25" s="57" t="n">
        <v>81.76</v>
      </c>
      <c r="Q25" s="57" t="n">
        <f aca="false">(AE25-AE24)/$D$2</f>
        <v>83.7115481593545</v>
      </c>
      <c r="R25" s="57" t="n">
        <f aca="false">SUM(O25:Q25)</f>
        <v>356.006404437721</v>
      </c>
      <c r="S25" s="58"/>
      <c r="T25" s="57" t="n">
        <f aca="false">(AD25-AD24)/$D$2</f>
        <v>120.020171457388</v>
      </c>
      <c r="U25" s="57" t="n">
        <v>1606.52</v>
      </c>
      <c r="V25" s="58" t="n">
        <v>8560</v>
      </c>
      <c r="W25" s="57" t="n">
        <f aca="false">R25+T25+N25+U25</f>
        <v>2109.65171961674</v>
      </c>
      <c r="X25" s="57"/>
      <c r="Y25" s="57" t="n">
        <f aca="false">W25+X25</f>
        <v>2109.65171961674</v>
      </c>
      <c r="Z25" s="61" t="n">
        <v>0</v>
      </c>
      <c r="AA25" s="90" t="n">
        <v>76</v>
      </c>
      <c r="AB25" s="62" t="n">
        <v>44</v>
      </c>
      <c r="AC25" s="63" t="n">
        <f aca="false">AC24+1</f>
        <v>16</v>
      </c>
      <c r="AD25" s="78" t="n">
        <v>1313</v>
      </c>
      <c r="AE25" s="91" t="n">
        <v>1828</v>
      </c>
      <c r="AF25" s="79" t="n">
        <v>1858.73</v>
      </c>
    </row>
    <row r="26" customFormat="false" ht="11.1" hidden="false" customHeight="true" outlineLevel="0" collapsed="false">
      <c r="A26" s="63" t="n">
        <f aca="false">A25+1</f>
        <v>17</v>
      </c>
      <c r="B26" s="80" t="n">
        <v>6923.2</v>
      </c>
      <c r="C26" s="58" t="n">
        <v>377600</v>
      </c>
      <c r="D26" s="62" t="n">
        <f aca="false">C26-C25</f>
        <v>891</v>
      </c>
      <c r="E26" s="58" t="n">
        <f aca="false">C26-152000</f>
        <v>225600</v>
      </c>
      <c r="F26" s="57" t="n">
        <f aca="false">D26/$D$2</f>
        <v>449.319213313162</v>
      </c>
      <c r="G26" s="57" t="n">
        <v>2036.52</v>
      </c>
      <c r="H26" s="59" t="n">
        <v>210.81</v>
      </c>
      <c r="I26" s="57" t="n">
        <f aca="false">G26+H26</f>
        <v>2247.33</v>
      </c>
      <c r="J26" s="81" t="n">
        <f aca="false">IF(L26&gt;0,L26)</f>
        <v>360.363777105396</v>
      </c>
      <c r="K26" s="57" t="n">
        <f aca="false">I26+J26</f>
        <v>2607.6937771054</v>
      </c>
      <c r="L26" s="57" t="n">
        <f aca="false">F26-(I26-W26)</f>
        <v>360.363777105396</v>
      </c>
      <c r="M26" s="57" t="n">
        <v>236.87</v>
      </c>
      <c r="N26" s="57" t="n">
        <f aca="false">((AF26-AF25)*1.05)/$D$2</f>
        <v>33.019667170953</v>
      </c>
      <c r="O26" s="57" t="n">
        <f aca="false">M26-N26</f>
        <v>203.850332829047</v>
      </c>
      <c r="P26" s="57" t="n">
        <v>89.49</v>
      </c>
      <c r="Q26" s="57" t="n">
        <f aca="false">(AE26-AE25)/$D$2</f>
        <v>70.6001008572869</v>
      </c>
      <c r="R26" s="57" t="n">
        <f aca="false">SUM(O26:Q26)</f>
        <v>363.940433686334</v>
      </c>
      <c r="S26" s="58"/>
      <c r="T26" s="57" t="n">
        <f aca="false">(AD26-AD25)/$D$2</f>
        <v>124.054462934947</v>
      </c>
      <c r="U26" s="57" t="n">
        <v>1637.36</v>
      </c>
      <c r="V26" s="58" t="n">
        <v>8560</v>
      </c>
      <c r="W26" s="57" t="n">
        <f aca="false">R26+T26+N26+U26</f>
        <v>2158.37456379223</v>
      </c>
      <c r="X26" s="57"/>
      <c r="Y26" s="57" t="n">
        <f aca="false">W26+X26</f>
        <v>2158.37456379223</v>
      </c>
      <c r="Z26" s="61" t="n">
        <v>0</v>
      </c>
      <c r="AA26" s="90" t="n">
        <v>75</v>
      </c>
      <c r="AB26" s="62" t="n">
        <v>43</v>
      </c>
      <c r="AC26" s="63" t="n">
        <f aca="false">AC25+1</f>
        <v>17</v>
      </c>
      <c r="AD26" s="78" t="n">
        <v>1559</v>
      </c>
      <c r="AE26" s="82" t="n">
        <v>1968</v>
      </c>
      <c r="AF26" s="79" t="n">
        <v>1921.09</v>
      </c>
    </row>
    <row r="27" customFormat="false" ht="11.1" hidden="false" customHeight="true" outlineLevel="0" collapsed="false">
      <c r="A27" s="63" t="n">
        <f aca="false">A26+1</f>
        <v>18</v>
      </c>
      <c r="B27" s="80" t="n">
        <v>6923.17</v>
      </c>
      <c r="C27" s="58" t="n">
        <v>377465</v>
      </c>
      <c r="D27" s="62" t="n">
        <f aca="false">C27-C26</f>
        <v>-135</v>
      </c>
      <c r="E27" s="58" t="n">
        <f aca="false">C27-152000</f>
        <v>225465</v>
      </c>
      <c r="F27" s="57" t="n">
        <f aca="false">D27/$D$2</f>
        <v>-68.0786686838124</v>
      </c>
      <c r="G27" s="57" t="n">
        <v>1993.72</v>
      </c>
      <c r="H27" s="59" t="n">
        <v>200</v>
      </c>
      <c r="I27" s="57" t="n">
        <f aca="false">G27+H27</f>
        <v>2193.72</v>
      </c>
      <c r="J27" s="81" t="n">
        <f aca="false">IF(L27&gt;0,L27)</f>
        <v>272.058814926878</v>
      </c>
      <c r="K27" s="57" t="n">
        <f aca="false">I27+J27</f>
        <v>2465.77881492688</v>
      </c>
      <c r="L27" s="57" t="n">
        <f aca="false">F27-(I27-W27)</f>
        <v>272.058814926878</v>
      </c>
      <c r="M27" s="57" t="n">
        <v>242.56</v>
      </c>
      <c r="N27" s="57" t="n">
        <f aca="false">((AF27-AF26)*1.05)/$D$2</f>
        <v>36.9273827534039</v>
      </c>
      <c r="O27" s="57" t="n">
        <f aca="false">M27-N27</f>
        <v>205.632617246596</v>
      </c>
      <c r="P27" s="57" t="n">
        <v>99.62</v>
      </c>
      <c r="Q27" s="57" t="n">
        <f aca="false">(AE27-AE26)/$D$2</f>
        <v>83.2072617246596</v>
      </c>
      <c r="R27" s="57" t="n">
        <f aca="false">SUM(O27:Q27)</f>
        <v>388.459878971256</v>
      </c>
      <c r="S27" s="58"/>
      <c r="T27" s="57" t="n">
        <f aca="false">(AD27-AD26)/$D$2</f>
        <v>155.320221886031</v>
      </c>
      <c r="U27" s="57" t="n">
        <v>1953.15</v>
      </c>
      <c r="V27" s="58" t="n">
        <v>8560</v>
      </c>
      <c r="W27" s="57" t="n">
        <f aca="false">R27+T27+N27+U27</f>
        <v>2533.85748361069</v>
      </c>
      <c r="X27" s="57"/>
      <c r="Y27" s="57" t="n">
        <f aca="false">W27+X27</f>
        <v>2533.85748361069</v>
      </c>
      <c r="Z27" s="61" t="n">
        <v>0</v>
      </c>
      <c r="AA27" s="90" t="n">
        <v>74</v>
      </c>
      <c r="AB27" s="62" t="n">
        <v>40</v>
      </c>
      <c r="AC27" s="63" t="n">
        <f aca="false">AC26+1</f>
        <v>18</v>
      </c>
      <c r="AD27" s="78" t="n">
        <v>1867</v>
      </c>
      <c r="AE27" s="82" t="n">
        <v>2133</v>
      </c>
      <c r="AF27" s="79" t="n">
        <v>1990.83</v>
      </c>
    </row>
    <row r="28" customFormat="false" ht="11.1" hidden="false" customHeight="true" outlineLevel="0" collapsed="false">
      <c r="A28" s="63" t="n">
        <f aca="false">A27+1</f>
        <v>19</v>
      </c>
      <c r="B28" s="80" t="n">
        <v>6923.15</v>
      </c>
      <c r="C28" s="46" t="n">
        <v>377376</v>
      </c>
      <c r="D28" s="62" t="n">
        <f aca="false">C28-C27</f>
        <v>-89</v>
      </c>
      <c r="E28" s="58" t="n">
        <f aca="false">C28-152000</f>
        <v>225376</v>
      </c>
      <c r="F28" s="57" t="n">
        <f aca="false">D28/$D$2</f>
        <v>-44.8814926878467</v>
      </c>
      <c r="G28" s="57" t="n">
        <v>1943.54</v>
      </c>
      <c r="H28" s="59" t="n">
        <v>103.36</v>
      </c>
      <c r="I28" s="57" t="n">
        <f aca="false">G28+H28</f>
        <v>2046.9</v>
      </c>
      <c r="J28" s="81" t="n">
        <f aca="false">IF(L28&gt;0,L28)</f>
        <v>504.374553706505</v>
      </c>
      <c r="K28" s="57" t="n">
        <f aca="false">I28+J28</f>
        <v>2551.27455370651</v>
      </c>
      <c r="L28" s="57" t="n">
        <f aca="false">F28-(I28-W28)</f>
        <v>504.374553706505</v>
      </c>
      <c r="M28" s="57" t="n">
        <v>254.93</v>
      </c>
      <c r="N28" s="57" t="n">
        <f aca="false">((AF28-AF27)*1.05)/$D$2</f>
        <v>38.7912254160364</v>
      </c>
      <c r="O28" s="57" t="n">
        <f aca="false">M28-N28</f>
        <v>216.138774583964</v>
      </c>
      <c r="P28" s="57" t="n">
        <v>108.25</v>
      </c>
      <c r="Q28" s="57" t="n">
        <f aca="false">(AE28-AE27)/$D$2</f>
        <v>86.232980332829</v>
      </c>
      <c r="R28" s="57" t="n">
        <f aca="false">SUM(O28:Q28)</f>
        <v>410.621754916793</v>
      </c>
      <c r="S28" s="58"/>
      <c r="T28" s="57" t="n">
        <f aca="false">(AD28-AD27)/$D$2</f>
        <v>146.243066061523</v>
      </c>
      <c r="U28" s="57" t="n">
        <v>2000.5</v>
      </c>
      <c r="V28" s="58" t="n">
        <v>8560</v>
      </c>
      <c r="W28" s="57" t="n">
        <f aca="false">R28+T28+N28+U28</f>
        <v>2596.15604639435</v>
      </c>
      <c r="X28" s="57"/>
      <c r="Y28" s="57" t="n">
        <f aca="false">W28+X28</f>
        <v>2596.15604639435</v>
      </c>
      <c r="Z28" s="61" t="n">
        <v>0</v>
      </c>
      <c r="AA28" s="90" t="n">
        <v>75</v>
      </c>
      <c r="AB28" s="62" t="n">
        <v>39</v>
      </c>
      <c r="AC28" s="63" t="n">
        <f aca="false">AC27+1</f>
        <v>19</v>
      </c>
      <c r="AD28" s="78" t="n">
        <v>2157</v>
      </c>
      <c r="AE28" s="82" t="n">
        <v>2304</v>
      </c>
      <c r="AF28" s="79" t="n">
        <v>2064.09</v>
      </c>
    </row>
    <row r="29" customFormat="false" ht="11.1" hidden="false" customHeight="true" outlineLevel="0" collapsed="false">
      <c r="A29" s="63" t="n">
        <f aca="false">A28+1</f>
        <v>20</v>
      </c>
      <c r="B29" s="80" t="n">
        <v>6923.03</v>
      </c>
      <c r="C29" s="58" t="n">
        <v>376842</v>
      </c>
      <c r="D29" s="62" t="n">
        <f aca="false">C29-C28</f>
        <v>-534</v>
      </c>
      <c r="E29" s="58" t="n">
        <f aca="false">C29-152000</f>
        <v>224842</v>
      </c>
      <c r="F29" s="57" t="n">
        <f aca="false">D29/$D$2</f>
        <v>-269.28895612708</v>
      </c>
      <c r="G29" s="57" t="n">
        <v>1953.19</v>
      </c>
      <c r="H29" s="59" t="n">
        <v>90.95</v>
      </c>
      <c r="I29" s="57" t="n">
        <f aca="false">G29+H29</f>
        <v>2044.14</v>
      </c>
      <c r="J29" s="81" t="n">
        <f aca="false">IF(L29&gt;0,L29)</f>
        <v>284.795658093798</v>
      </c>
      <c r="K29" s="57" t="n">
        <f aca="false">I29+J29</f>
        <v>2328.9356580938</v>
      </c>
      <c r="L29" s="57" t="n">
        <f aca="false">F29-(I29-W29)</f>
        <v>284.795658093798</v>
      </c>
      <c r="M29" s="57" t="n">
        <v>253.28</v>
      </c>
      <c r="N29" s="57" t="n">
        <f aca="false">((AF29-AF28)*1.05)/$D$2</f>
        <v>37.7957639939484</v>
      </c>
      <c r="O29" s="57" t="n">
        <f aca="false">M29-N29</f>
        <v>215.484236006052</v>
      </c>
      <c r="P29" s="57" t="n">
        <v>109</v>
      </c>
      <c r="Q29" s="57" t="n">
        <f aca="false">(AE29-AE28)/$D$2</f>
        <v>85.7286938981341</v>
      </c>
      <c r="R29" s="57" t="n">
        <f aca="false">SUM(O29:Q29)</f>
        <v>410.212929904186</v>
      </c>
      <c r="S29" s="58"/>
      <c r="T29" s="57" t="n">
        <f aca="false">(AD29-AD28)/$D$2</f>
        <v>144.225920322743</v>
      </c>
      <c r="U29" s="57" t="n">
        <v>2005.99</v>
      </c>
      <c r="V29" s="58" t="n">
        <v>8560</v>
      </c>
      <c r="W29" s="57" t="n">
        <f aca="false">R29+T29+N29+U29</f>
        <v>2598.22461422088</v>
      </c>
      <c r="X29" s="57"/>
      <c r="Y29" s="57" t="n">
        <f aca="false">W29+X29</f>
        <v>2598.22461422088</v>
      </c>
      <c r="Z29" s="61" t="n">
        <v>0</v>
      </c>
      <c r="AA29" s="90" t="n">
        <v>72</v>
      </c>
      <c r="AB29" s="62" t="n">
        <v>30</v>
      </c>
      <c r="AC29" s="63" t="n">
        <f aca="false">AC28+1</f>
        <v>20</v>
      </c>
      <c r="AD29" s="78" t="n">
        <v>2443</v>
      </c>
      <c r="AE29" s="82" t="n">
        <v>2474</v>
      </c>
      <c r="AF29" s="79" t="n">
        <v>2135.47</v>
      </c>
    </row>
    <row r="30" customFormat="false" ht="11.1" hidden="false" customHeight="true" outlineLevel="0" collapsed="false">
      <c r="A30" s="63" t="n">
        <f aca="false">A29+1</f>
        <v>21</v>
      </c>
      <c r="B30" s="80" t="n">
        <v>6922.83</v>
      </c>
      <c r="C30" s="58" t="n">
        <v>375959</v>
      </c>
      <c r="D30" s="62" t="n">
        <f aca="false">C30-C29</f>
        <v>-883</v>
      </c>
      <c r="E30" s="58" t="n">
        <f aca="false">C30-152000</f>
        <v>223959</v>
      </c>
      <c r="F30" s="57" t="n">
        <f aca="false">D30/$D$2</f>
        <v>-445.284921835603</v>
      </c>
      <c r="G30" s="57" t="n">
        <v>1691.82</v>
      </c>
      <c r="H30" s="59" t="n">
        <v>57.06</v>
      </c>
      <c r="I30" s="57" t="n">
        <f aca="false">G30+H30</f>
        <v>1748.88</v>
      </c>
      <c r="J30" s="81" t="n">
        <f aca="false">IF(L30&gt;0,L30)</f>
        <v>418.366858295512</v>
      </c>
      <c r="K30" s="57" t="n">
        <f aca="false">I30+J30</f>
        <v>2167.24685829551</v>
      </c>
      <c r="L30" s="57" t="n">
        <f aca="false">F30-(I30-W30)</f>
        <v>418.366858295512</v>
      </c>
      <c r="M30" s="57" t="n">
        <v>248.63</v>
      </c>
      <c r="N30" s="57" t="n">
        <f aca="false">((AF30-AF29)*1.05)/$D$2</f>
        <v>35.4236006051438</v>
      </c>
      <c r="O30" s="57" t="n">
        <f aca="false">M30-N30</f>
        <v>213.206399394856</v>
      </c>
      <c r="P30" s="57" t="n">
        <v>109.02</v>
      </c>
      <c r="Q30" s="57" t="n">
        <f aca="false">(AE30-AE29)/$D$2</f>
        <v>86.232980332829</v>
      </c>
      <c r="R30" s="57" t="n">
        <f aca="false">SUM(O30:Q30)</f>
        <v>408.459379727685</v>
      </c>
      <c r="S30" s="58"/>
      <c r="T30" s="57" t="n">
        <f aca="false">(AD30-AD29)/$D$2</f>
        <v>159.858799798285</v>
      </c>
      <c r="U30" s="57" t="n">
        <v>2008.79</v>
      </c>
      <c r="V30" s="58" t="n">
        <v>8560</v>
      </c>
      <c r="W30" s="57" t="n">
        <f aca="false">R30+T30+N30+U30</f>
        <v>2612.53178013111</v>
      </c>
      <c r="X30" s="57"/>
      <c r="Y30" s="57" t="n">
        <f aca="false">W30+X30</f>
        <v>2612.53178013111</v>
      </c>
      <c r="Z30" s="61" t="n">
        <v>0</v>
      </c>
      <c r="AA30" s="62" t="n">
        <v>73</v>
      </c>
      <c r="AB30" s="62" t="n">
        <v>35</v>
      </c>
      <c r="AC30" s="63" t="n">
        <f aca="false">AC29+1</f>
        <v>21</v>
      </c>
      <c r="AD30" s="78" t="n">
        <v>2760</v>
      </c>
      <c r="AE30" s="82" t="n">
        <v>2645</v>
      </c>
      <c r="AF30" s="79" t="n">
        <v>2202.37</v>
      </c>
    </row>
    <row r="31" customFormat="false" ht="11.1" hidden="false" customHeight="true" outlineLevel="0" collapsed="false">
      <c r="A31" s="63" t="n">
        <f aca="false">A30+1</f>
        <v>22</v>
      </c>
      <c r="B31" s="80" t="n">
        <v>6922.75</v>
      </c>
      <c r="C31" s="58" t="n">
        <v>375605</v>
      </c>
      <c r="D31" s="62" t="n">
        <f aca="false">C31-C30</f>
        <v>-354</v>
      </c>
      <c r="E31" s="58" t="n">
        <f aca="false">C31-152000</f>
        <v>223605</v>
      </c>
      <c r="F31" s="57" t="n">
        <f aca="false">D31/$D$2</f>
        <v>-178.517397881997</v>
      </c>
      <c r="G31" s="57" t="n">
        <v>1666.11</v>
      </c>
      <c r="H31" s="59" t="n">
        <v>47.74</v>
      </c>
      <c r="I31" s="57" t="n">
        <f aca="false">G31+H31</f>
        <v>1713.85</v>
      </c>
      <c r="J31" s="81" t="n">
        <f aca="false">IF(L31&gt;0,L31)</f>
        <v>471.461527987897</v>
      </c>
      <c r="K31" s="57" t="n">
        <f aca="false">I31+J31</f>
        <v>2185.3115279879</v>
      </c>
      <c r="L31" s="57" t="n">
        <f aca="false">F31-(I31-W31)</f>
        <v>471.461527987897</v>
      </c>
      <c r="M31" s="57" t="n">
        <v>251.43</v>
      </c>
      <c r="N31" s="57" t="n">
        <f aca="false">((AF31-AF30)*1.05)/$D$2</f>
        <v>29.2231467473525</v>
      </c>
      <c r="O31" s="57" t="n">
        <f aca="false">M31-N31</f>
        <v>222.206853252647</v>
      </c>
      <c r="P31" s="57" t="n">
        <v>109.15</v>
      </c>
      <c r="Q31" s="57" t="n">
        <f aca="false">(AE31-AE30)/$D$2</f>
        <v>88.2501260716087</v>
      </c>
      <c r="R31" s="57" t="n">
        <f aca="false">SUM(O31:Q31)</f>
        <v>419.606979324256</v>
      </c>
      <c r="S31" s="58"/>
      <c r="T31" s="57" t="n">
        <f aca="false">(AD31-AD30)/$D$2</f>
        <v>159.858799798285</v>
      </c>
      <c r="U31" s="57" t="n">
        <v>1755.14</v>
      </c>
      <c r="V31" s="58" t="n">
        <v>8560</v>
      </c>
      <c r="W31" s="57" t="n">
        <f aca="false">R31+T31+N31+U31</f>
        <v>2363.82892586989</v>
      </c>
      <c r="X31" s="57"/>
      <c r="Y31" s="57" t="n">
        <f aca="false">W31+X31</f>
        <v>2363.82892586989</v>
      </c>
      <c r="Z31" s="61" t="n">
        <v>0</v>
      </c>
      <c r="AA31" s="62" t="n">
        <v>79</v>
      </c>
      <c r="AB31" s="62" t="n">
        <v>40</v>
      </c>
      <c r="AC31" s="63" t="n">
        <f aca="false">AC30+1</f>
        <v>22</v>
      </c>
      <c r="AD31" s="78" t="n">
        <v>3077</v>
      </c>
      <c r="AE31" s="82" t="n">
        <v>2820</v>
      </c>
      <c r="AF31" s="79" t="n">
        <v>2257.56</v>
      </c>
    </row>
    <row r="32" customFormat="false" ht="11.1" hidden="false" customHeight="true" outlineLevel="0" collapsed="false">
      <c r="A32" s="63" t="n">
        <f aca="false">A31+1</f>
        <v>23</v>
      </c>
      <c r="B32" s="80" t="n">
        <v>6922.72</v>
      </c>
      <c r="C32" s="58" t="n">
        <v>375474</v>
      </c>
      <c r="D32" s="62" t="n">
        <f aca="false">C32-C31</f>
        <v>-131</v>
      </c>
      <c r="E32" s="58" t="n">
        <f aca="false">C32-152000</f>
        <v>223474</v>
      </c>
      <c r="F32" s="57" t="n">
        <f aca="false">D32/$D$2</f>
        <v>-66.0615229450328</v>
      </c>
      <c r="G32" s="57" t="n">
        <v>1760</v>
      </c>
      <c r="H32" s="59" t="n">
        <v>47.38</v>
      </c>
      <c r="I32" s="57" t="n">
        <f aca="false">G32+H32</f>
        <v>1807.38</v>
      </c>
      <c r="J32" s="81" t="n">
        <f aca="false">IF(L32&gt;0,L32)</f>
        <v>354.547423096319</v>
      </c>
      <c r="K32" s="57" t="n">
        <f aca="false">I32+J32</f>
        <v>2161.92742309632</v>
      </c>
      <c r="L32" s="57" t="n">
        <f aca="false">F32-(I32-W32)</f>
        <v>354.547423096319</v>
      </c>
      <c r="M32" s="57" t="n">
        <v>256.29</v>
      </c>
      <c r="N32" s="57" t="n">
        <f aca="false">((AF32-AF31)*1.05)/$D$2</f>
        <v>25.5537065052951</v>
      </c>
      <c r="O32" s="57" t="n">
        <f aca="false">M32-N32</f>
        <v>230.736293494705</v>
      </c>
      <c r="P32" s="57" t="n">
        <v>328.69</v>
      </c>
      <c r="Q32" s="57" t="n">
        <f aca="false">(AE32-AE31)/$D$2</f>
        <v>83.7115481593545</v>
      </c>
      <c r="R32" s="57" t="n">
        <f aca="false">SUM(O32:Q32)</f>
        <v>643.137841654059</v>
      </c>
      <c r="S32" s="58"/>
      <c r="T32" s="57" t="n">
        <f aca="false">(AD32-AD31)/$D$2</f>
        <v>178.517397881997</v>
      </c>
      <c r="U32" s="57" t="n">
        <v>1380.78</v>
      </c>
      <c r="V32" s="58" t="n">
        <v>8560</v>
      </c>
      <c r="W32" s="57" t="n">
        <f aca="false">R32+T32+N32+U32</f>
        <v>2227.98894604135</v>
      </c>
      <c r="X32" s="57"/>
      <c r="Y32" s="57" t="n">
        <f aca="false">W32+X32</f>
        <v>2227.98894604135</v>
      </c>
      <c r="Z32" s="61" t="n">
        <v>0</v>
      </c>
      <c r="AA32" s="62" t="n">
        <v>80</v>
      </c>
      <c r="AB32" s="90" t="n">
        <v>46</v>
      </c>
      <c r="AC32" s="63" t="n">
        <f aca="false">AC31+1</f>
        <v>23</v>
      </c>
      <c r="AD32" s="78" t="n">
        <v>3431</v>
      </c>
      <c r="AE32" s="82" t="n">
        <v>2986</v>
      </c>
      <c r="AF32" s="79" t="n">
        <v>2305.82</v>
      </c>
    </row>
    <row r="33" customFormat="false" ht="11.1" hidden="false" customHeight="true" outlineLevel="0" collapsed="false">
      <c r="A33" s="63" t="n">
        <f aca="false">A32+1</f>
        <v>24</v>
      </c>
      <c r="B33" s="80" t="n">
        <v>6922.72</v>
      </c>
      <c r="C33" s="58" t="n">
        <v>375474</v>
      </c>
      <c r="D33" s="62" t="n">
        <f aca="false">C33-C32</f>
        <v>0</v>
      </c>
      <c r="E33" s="58" t="n">
        <f aca="false">C33-152000</f>
        <v>223474</v>
      </c>
      <c r="F33" s="57" t="n">
        <f aca="false">D33/$D$2</f>
        <v>0</v>
      </c>
      <c r="G33" s="57" t="n">
        <v>1637.6</v>
      </c>
      <c r="H33" s="59" t="n">
        <v>40.64</v>
      </c>
      <c r="I33" s="57" t="n">
        <f aca="false">G33+H33</f>
        <v>1678.24</v>
      </c>
      <c r="J33" s="81" t="n">
        <f aca="false">IF(L33&gt;0,L33)</f>
        <v>359.368946041352</v>
      </c>
      <c r="K33" s="57" t="n">
        <f aca="false">I33+J33</f>
        <v>2037.60894604135</v>
      </c>
      <c r="L33" s="57" t="n">
        <f aca="false">F33-(I33-W33)</f>
        <v>359.368946041352</v>
      </c>
      <c r="M33" s="57" t="n">
        <v>341.29</v>
      </c>
      <c r="N33" s="57" t="n">
        <f aca="false">((AF33-AF32)*1.05)/$D$2</f>
        <v>24.0816944024206</v>
      </c>
      <c r="O33" s="57" t="n">
        <f aca="false">M33-N33</f>
        <v>317.208305597579</v>
      </c>
      <c r="P33" s="57" t="n">
        <v>450.32</v>
      </c>
      <c r="Q33" s="57" t="n">
        <f aca="false">(AE33-AE32)/$D$2</f>
        <v>87.2415532022189</v>
      </c>
      <c r="R33" s="57" t="n">
        <f aca="false">SUM(O33:Q33)</f>
        <v>854.769858799798</v>
      </c>
      <c r="S33" s="58"/>
      <c r="T33" s="57" t="n">
        <f aca="false">(AD33-AD32)/$D$2</f>
        <v>174.987392839133</v>
      </c>
      <c r="U33" s="57" t="n">
        <v>983.77</v>
      </c>
      <c r="V33" s="58" t="n">
        <v>8560</v>
      </c>
      <c r="W33" s="57" t="n">
        <f aca="false">R33+T33+N33+U33</f>
        <v>2037.60894604135</v>
      </c>
      <c r="X33" s="57"/>
      <c r="Y33" s="57" t="n">
        <f aca="false">W33+X33</f>
        <v>2037.60894604135</v>
      </c>
      <c r="Z33" s="61" t="n">
        <v>0</v>
      </c>
      <c r="AA33" s="62" t="n">
        <v>76</v>
      </c>
      <c r="AB33" s="90" t="n">
        <v>48</v>
      </c>
      <c r="AC33" s="63" t="n">
        <f aca="false">AC32+1</f>
        <v>24</v>
      </c>
      <c r="AD33" s="78" t="n">
        <v>3778</v>
      </c>
      <c r="AE33" s="82" t="n">
        <v>3159</v>
      </c>
      <c r="AF33" s="79" t="n">
        <v>2351.3</v>
      </c>
    </row>
    <row r="34" customFormat="false" ht="11.1" hidden="false" customHeight="true" outlineLevel="0" collapsed="false">
      <c r="A34" s="63" t="n">
        <f aca="false">A33+1</f>
        <v>25</v>
      </c>
      <c r="B34" s="80" t="n">
        <v>6922.87</v>
      </c>
      <c r="C34" s="58" t="n">
        <v>376136</v>
      </c>
      <c r="D34" s="62" t="n">
        <f aca="false">C34-C33</f>
        <v>662</v>
      </c>
      <c r="E34" s="58" t="n">
        <f aca="false">C34-152000</f>
        <v>224136</v>
      </c>
      <c r="F34" s="57" t="n">
        <f aca="false">D34/$D$2</f>
        <v>333.837619768028</v>
      </c>
      <c r="G34" s="57" t="n">
        <v>1629.4</v>
      </c>
      <c r="H34" s="59" t="n">
        <v>38.6</v>
      </c>
      <c r="I34" s="57" t="n">
        <f aca="false">G34+H34</f>
        <v>1668</v>
      </c>
      <c r="J34" s="81" t="n">
        <f aca="false">IF(L34&gt;0,L34)</f>
        <v>429.316510337872</v>
      </c>
      <c r="K34" s="57" t="n">
        <f aca="false">I34+J34</f>
        <v>2097.31651033787</v>
      </c>
      <c r="L34" s="57" t="n">
        <f aca="false">F34-(I34-W34)</f>
        <v>429.316510337872</v>
      </c>
      <c r="M34" s="57" t="n">
        <v>265.71</v>
      </c>
      <c r="N34" s="57" t="n">
        <f aca="false">((AF34-AF33)*1.05)/$D$2</f>
        <v>6.10514372163375</v>
      </c>
      <c r="O34" s="57" t="n">
        <f aca="false">M34-N34</f>
        <v>259.604856278366</v>
      </c>
      <c r="P34" s="57" t="n">
        <v>449.36</v>
      </c>
      <c r="Q34" s="57" t="n">
        <f aca="false">(AE34-AE33)/$D$2</f>
        <v>87.2415532022189</v>
      </c>
      <c r="R34" s="57" t="n">
        <f aca="false">SUM(O34:Q34)</f>
        <v>796.206409480585</v>
      </c>
      <c r="S34" s="58"/>
      <c r="T34" s="57" t="n">
        <f aca="false">(AD34-AD33)/$D$2</f>
        <v>136.157337367625</v>
      </c>
      <c r="U34" s="57" t="n">
        <v>825.01</v>
      </c>
      <c r="V34" s="58" t="n">
        <v>8560</v>
      </c>
      <c r="W34" s="57" t="n">
        <f aca="false">R34+T34+N34+U34</f>
        <v>1763.47889056984</v>
      </c>
      <c r="X34" s="57"/>
      <c r="Y34" s="57" t="n">
        <f aca="false">W34+X34</f>
        <v>1763.47889056984</v>
      </c>
      <c r="Z34" s="61" t="n">
        <v>0.72</v>
      </c>
      <c r="AA34" s="62" t="n">
        <v>71</v>
      </c>
      <c r="AB34" s="90" t="n">
        <v>40</v>
      </c>
      <c r="AC34" s="63" t="n">
        <f aca="false">AC33+1</f>
        <v>25</v>
      </c>
      <c r="AD34" s="78" t="n">
        <v>4048</v>
      </c>
      <c r="AE34" s="82" t="n">
        <v>3332</v>
      </c>
      <c r="AF34" s="79" t="n">
        <v>2362.83</v>
      </c>
    </row>
    <row r="35" customFormat="false" ht="11.1" hidden="false" customHeight="true" outlineLevel="0" collapsed="false">
      <c r="A35" s="63" t="n">
        <f aca="false">A34+1</f>
        <v>26</v>
      </c>
      <c r="B35" s="80" t="n">
        <v>6922.85</v>
      </c>
      <c r="C35" s="58" t="n">
        <v>376047</v>
      </c>
      <c r="D35" s="62" t="n">
        <f aca="false">C35-C34</f>
        <v>-89</v>
      </c>
      <c r="E35" s="58" t="n">
        <f aca="false">C35-152000</f>
        <v>224047</v>
      </c>
      <c r="F35" s="57" t="n">
        <f aca="false">D35/$D$2</f>
        <v>-44.8814926878467</v>
      </c>
      <c r="G35" s="57" t="n">
        <v>1448.85</v>
      </c>
      <c r="H35" s="59" t="n">
        <v>50.07</v>
      </c>
      <c r="I35" s="57" t="n">
        <f aca="false">G35+H35</f>
        <v>1498.92</v>
      </c>
      <c r="J35" s="81" t="n">
        <f aca="false">IF(L35&gt;0,L35)</f>
        <v>130.143081190116</v>
      </c>
      <c r="K35" s="57" t="n">
        <f aca="false">I35+J35</f>
        <v>1629.06308119012</v>
      </c>
      <c r="L35" s="57" t="n">
        <f aca="false">F35-(I35-W35)</f>
        <v>130.143081190116</v>
      </c>
      <c r="M35" s="57" t="n">
        <v>192.27</v>
      </c>
      <c r="N35" s="57" t="n">
        <f aca="false">((AF35-AF34)*1.05)/$D$2</f>
        <v>0</v>
      </c>
      <c r="O35" s="57" t="n">
        <f aca="false">M35-N35</f>
        <v>192.27</v>
      </c>
      <c r="P35" s="57" t="n">
        <v>448.92</v>
      </c>
      <c r="Q35" s="57" t="n">
        <f aca="false">(AE35-AE34)/$D$2</f>
        <v>87.7458396369138</v>
      </c>
      <c r="R35" s="57" t="n">
        <f aca="false">SUM(O35:Q35)</f>
        <v>728.935839636914</v>
      </c>
      <c r="S35" s="58"/>
      <c r="T35" s="57" t="n">
        <f aca="false">(AD35-AD34)/$D$2</f>
        <v>113.968734241049</v>
      </c>
      <c r="U35" s="57" t="n">
        <v>831.04</v>
      </c>
      <c r="V35" s="58" t="n">
        <v>8560</v>
      </c>
      <c r="W35" s="57" t="n">
        <f aca="false">R35+T35+N35+U35</f>
        <v>1673.94457387796</v>
      </c>
      <c r="X35" s="57"/>
      <c r="Y35" s="57" t="n">
        <f aca="false">W35+X35</f>
        <v>1673.94457387796</v>
      </c>
      <c r="Z35" s="61" t="n">
        <v>0</v>
      </c>
      <c r="AA35" s="62" t="n">
        <v>63</v>
      </c>
      <c r="AB35" s="62" t="n">
        <v>35</v>
      </c>
      <c r="AC35" s="63" t="n">
        <f aca="false">AC34+1</f>
        <v>26</v>
      </c>
      <c r="AD35" s="78" t="n">
        <v>4274</v>
      </c>
      <c r="AE35" s="82" t="n">
        <v>3506</v>
      </c>
      <c r="AF35" s="79" t="n">
        <v>2362.83</v>
      </c>
    </row>
    <row r="36" customFormat="false" ht="11.1" hidden="false" customHeight="true" outlineLevel="0" collapsed="false">
      <c r="A36" s="63" t="n">
        <f aca="false">A35+1</f>
        <v>27</v>
      </c>
      <c r="B36" s="80" t="n">
        <v>6922.65</v>
      </c>
      <c r="C36" s="58" t="n">
        <v>375163</v>
      </c>
      <c r="D36" s="62" t="n">
        <f aca="false">C36-C35</f>
        <v>-884</v>
      </c>
      <c r="E36" s="58" t="n">
        <f aca="false">C36-152000</f>
        <v>223163</v>
      </c>
      <c r="F36" s="57" t="n">
        <f aca="false">D36/$D$2</f>
        <v>-445.789208270298</v>
      </c>
      <c r="G36" s="57" t="n">
        <v>1367.44</v>
      </c>
      <c r="H36" s="59" t="n">
        <v>33.54</v>
      </c>
      <c r="I36" s="57" t="n">
        <f aca="false">G36+H36</f>
        <v>1400.98</v>
      </c>
      <c r="J36" s="81" t="n">
        <f aca="false">IF(L36&gt;0,L36)</f>
        <v>249.331074130106</v>
      </c>
      <c r="K36" s="57" t="n">
        <f aca="false">I36+J36</f>
        <v>1650.31107413011</v>
      </c>
      <c r="L36" s="57" t="n">
        <f aca="false">F36-(I36-W36)</f>
        <v>249.331074130106</v>
      </c>
      <c r="M36" s="57" t="n">
        <v>225.29</v>
      </c>
      <c r="N36" s="57" t="n">
        <f aca="false">((AF36-AF35)*1.05)/$D$2</f>
        <v>0</v>
      </c>
      <c r="O36" s="57" t="n">
        <f aca="false">M36-N36</f>
        <v>225.29</v>
      </c>
      <c r="P36" s="57" t="n">
        <v>472.51</v>
      </c>
      <c r="Q36" s="57" t="n">
        <f aca="false">(AE36-AE35)/$D$2</f>
        <v>83.2072617246596</v>
      </c>
      <c r="R36" s="57" t="n">
        <f aca="false">SUM(O36:Q36)</f>
        <v>781.00726172466</v>
      </c>
      <c r="S36" s="58"/>
      <c r="T36" s="57" t="n">
        <f aca="false">(AD36-AD35)/$D$2</f>
        <v>114.473020675744</v>
      </c>
      <c r="U36" s="57" t="n">
        <v>1200.62</v>
      </c>
      <c r="V36" s="58" t="n">
        <v>8560</v>
      </c>
      <c r="W36" s="57" t="n">
        <f aca="false">R36+T36+N36+U36</f>
        <v>2096.1002824004</v>
      </c>
      <c r="X36" s="57"/>
      <c r="Y36" s="57" t="n">
        <f aca="false">W36+X36</f>
        <v>2096.1002824004</v>
      </c>
      <c r="Z36" s="61" t="n">
        <v>0</v>
      </c>
      <c r="AA36" s="62" t="n">
        <v>67</v>
      </c>
      <c r="AB36" s="62" t="n">
        <v>40</v>
      </c>
      <c r="AC36" s="63" t="n">
        <f aca="false">AC35+1</f>
        <v>27</v>
      </c>
      <c r="AD36" s="78" t="n">
        <v>4501</v>
      </c>
      <c r="AE36" s="82" t="n">
        <v>3671</v>
      </c>
      <c r="AF36" s="79" t="n">
        <v>2362.83</v>
      </c>
    </row>
    <row r="37" customFormat="false" ht="11.1" hidden="false" customHeight="true" outlineLevel="0" collapsed="false">
      <c r="A37" s="63" t="n">
        <f aca="false">A36+1</f>
        <v>28</v>
      </c>
      <c r="B37" s="80" t="n">
        <v>6922.6</v>
      </c>
      <c r="C37" s="58" t="n">
        <v>374943</v>
      </c>
      <c r="D37" s="62" t="n">
        <f aca="false">C37-C36</f>
        <v>-220</v>
      </c>
      <c r="E37" s="58" t="n">
        <f aca="false">C37-152000</f>
        <v>222943</v>
      </c>
      <c r="F37" s="57" t="n">
        <f aca="false">D37/$D$2</f>
        <v>-110.943015632879</v>
      </c>
      <c r="G37" s="57" t="n">
        <v>1451.4</v>
      </c>
      <c r="H37" s="59" t="n">
        <v>23.19</v>
      </c>
      <c r="I37" s="57" t="n">
        <f aca="false">G37+H37</f>
        <v>1474.59</v>
      </c>
      <c r="J37" s="81" t="n">
        <f aca="false">IF(L37&gt;0,L37)</f>
        <v>506.885834594049</v>
      </c>
      <c r="K37" s="57" t="n">
        <f aca="false">I37+J37</f>
        <v>1981.47583459405</v>
      </c>
      <c r="L37" s="57" t="n">
        <f aca="false">F37-(I37-W37)</f>
        <v>506.885834594049</v>
      </c>
      <c r="M37" s="57" t="n">
        <v>221.19</v>
      </c>
      <c r="N37" s="57" t="n">
        <f aca="false">((AF37-AF36)*1.05)/$D$2</f>
        <v>0</v>
      </c>
      <c r="O37" s="57" t="n">
        <f aca="false">M37-N37</f>
        <v>221.19</v>
      </c>
      <c r="P37" s="57" t="n">
        <v>475.9</v>
      </c>
      <c r="Q37" s="57" t="n">
        <f aca="false">(AE37-AE36)/$D$2</f>
        <v>83.2072617246596</v>
      </c>
      <c r="R37" s="57" t="n">
        <f aca="false">SUM(O37:Q37)</f>
        <v>780.29726172466</v>
      </c>
      <c r="S37" s="58"/>
      <c r="T37" s="57" t="n">
        <f aca="false">(AD37-AD36)/$D$2</f>
        <v>111.951588502269</v>
      </c>
      <c r="U37" s="57" t="n">
        <v>1200.17</v>
      </c>
      <c r="V37" s="58" t="n">
        <v>8560</v>
      </c>
      <c r="W37" s="57" t="n">
        <f aca="false">R37+T37+N37+U37</f>
        <v>2092.41885022693</v>
      </c>
      <c r="X37" s="57"/>
      <c r="Y37" s="57" t="n">
        <f aca="false">W37+X37</f>
        <v>2092.41885022693</v>
      </c>
      <c r="Z37" s="61" t="n">
        <v>0</v>
      </c>
      <c r="AA37" s="62" t="n">
        <v>78</v>
      </c>
      <c r="AB37" s="62" t="n">
        <v>45</v>
      </c>
      <c r="AC37" s="63" t="n">
        <f aca="false">AC36+1</f>
        <v>28</v>
      </c>
      <c r="AD37" s="78" t="n">
        <v>4723</v>
      </c>
      <c r="AE37" s="82" t="n">
        <v>3836</v>
      </c>
      <c r="AF37" s="79" t="n">
        <v>2362.83</v>
      </c>
    </row>
    <row r="38" customFormat="false" ht="11.1" hidden="false" customHeight="true" outlineLevel="0" collapsed="false">
      <c r="A38" s="63" t="n">
        <f aca="false">A37+1</f>
        <v>29</v>
      </c>
      <c r="B38" s="80" t="n">
        <v>6922.67</v>
      </c>
      <c r="C38" s="58" t="n">
        <v>375252</v>
      </c>
      <c r="D38" s="62" t="n">
        <f aca="false">C38-C37</f>
        <v>309</v>
      </c>
      <c r="E38" s="58" t="n">
        <f aca="false">C38-152000</f>
        <v>223252</v>
      </c>
      <c r="F38" s="57" t="n">
        <f aca="false">D38/$D$2</f>
        <v>155.824508320726</v>
      </c>
      <c r="G38" s="57" t="n">
        <v>1752.73</v>
      </c>
      <c r="H38" s="59" t="n">
        <v>19.79</v>
      </c>
      <c r="I38" s="57" t="n">
        <f aca="false">G38+H38</f>
        <v>1772.52</v>
      </c>
      <c r="J38" s="81" t="n">
        <f aca="false">IF(L38&gt;0,L38)</f>
        <v>439.616227937468</v>
      </c>
      <c r="K38" s="57" t="n">
        <f aca="false">I38+J38</f>
        <v>2212.13622793747</v>
      </c>
      <c r="L38" s="57" t="n">
        <f aca="false">F38-(I38-W38)</f>
        <v>439.616227937468</v>
      </c>
      <c r="M38" s="57" t="n">
        <v>184.65</v>
      </c>
      <c r="N38" s="57" t="n">
        <f aca="false">((AF38-AF37)*1.05)/$D$2</f>
        <v>0</v>
      </c>
      <c r="O38" s="57" t="n">
        <f aca="false">M38-N38</f>
        <v>184.65</v>
      </c>
      <c r="P38" s="57" t="n">
        <v>466.12</v>
      </c>
      <c r="Q38" s="57" t="n">
        <f aca="false">(AE38-AE37)/$D$2</f>
        <v>82.7029752899647</v>
      </c>
      <c r="R38" s="57" t="n">
        <f aca="false">SUM(O38:Q38)</f>
        <v>733.472975289965</v>
      </c>
      <c r="S38" s="58"/>
      <c r="T38" s="57" t="n">
        <f aca="false">(AD38-AD37)/$D$2</f>
        <v>121.028744326778</v>
      </c>
      <c r="U38" s="57" t="n">
        <v>1201.81</v>
      </c>
      <c r="V38" s="58" t="n">
        <v>8560</v>
      </c>
      <c r="W38" s="57" t="n">
        <f aca="false">R38+T38+N38+U38</f>
        <v>2056.31171961674</v>
      </c>
      <c r="X38" s="57"/>
      <c r="Y38" s="57" t="n">
        <f aca="false">W38+X38</f>
        <v>2056.31171961674</v>
      </c>
      <c r="Z38" s="61" t="n">
        <v>0</v>
      </c>
      <c r="AA38" s="90" t="n">
        <v>78</v>
      </c>
      <c r="AB38" s="62" t="n">
        <v>44</v>
      </c>
      <c r="AC38" s="63" t="n">
        <f aca="false">AC37+1</f>
        <v>29</v>
      </c>
      <c r="AD38" s="78" t="n">
        <v>4963</v>
      </c>
      <c r="AE38" s="82" t="n">
        <v>4000</v>
      </c>
      <c r="AF38" s="79" t="n">
        <v>2362.83</v>
      </c>
    </row>
    <row r="39" customFormat="false" ht="11.1" hidden="false" customHeight="true" outlineLevel="0" collapsed="false">
      <c r="A39" s="63" t="n">
        <v>30</v>
      </c>
      <c r="B39" s="80" t="n">
        <v>6922.95</v>
      </c>
      <c r="C39" s="58" t="n">
        <v>376489</v>
      </c>
      <c r="D39" s="62" t="n">
        <f aca="false">C39-C38</f>
        <v>1237</v>
      </c>
      <c r="E39" s="58" t="n">
        <f aca="false">C39-152000</f>
        <v>224489</v>
      </c>
      <c r="F39" s="57" t="n">
        <f aca="false">D39/$D$2</f>
        <v>623.8023197176</v>
      </c>
      <c r="G39" s="57" t="n">
        <v>1936.4</v>
      </c>
      <c r="H39" s="59" t="n">
        <v>14.14</v>
      </c>
      <c r="I39" s="57" t="n">
        <f aca="false">G39+H39</f>
        <v>1950.54</v>
      </c>
      <c r="J39" s="81" t="n">
        <f aca="false">IF(L39&gt;0,L39)</f>
        <v>521.712617246596</v>
      </c>
      <c r="K39" s="57" t="n">
        <f aca="false">I39+J39</f>
        <v>2472.2526172466</v>
      </c>
      <c r="L39" s="57" t="n">
        <f aca="false">F39-(I39-W39)</f>
        <v>521.712617246596</v>
      </c>
      <c r="M39" s="57" t="n">
        <v>200.21</v>
      </c>
      <c r="N39" s="57" t="n">
        <f aca="false">((AF39-AF38)*1.05)/$D$2</f>
        <v>0</v>
      </c>
      <c r="O39" s="57" t="n">
        <f aca="false">M39-N39</f>
        <v>200.21</v>
      </c>
      <c r="P39" s="57" t="n">
        <v>426.35</v>
      </c>
      <c r="Q39" s="57" t="n">
        <f aca="false">(AE39-AE38)/$D$2</f>
        <v>83.7115481593545</v>
      </c>
      <c r="R39" s="57" t="n">
        <f aca="false">SUM(O39:Q39)</f>
        <v>710.271548159355</v>
      </c>
      <c r="S39" s="58"/>
      <c r="T39" s="57" t="n">
        <f aca="false">(AD39-AD38)/$D$2</f>
        <v>124.558749369642</v>
      </c>
      <c r="U39" s="57" t="n">
        <v>1013.62</v>
      </c>
      <c r="V39" s="58" t="n">
        <v>8560</v>
      </c>
      <c r="W39" s="57" t="n">
        <f aca="false">R39+T39+N39+U39</f>
        <v>1848.450297529</v>
      </c>
      <c r="X39" s="57"/>
      <c r="Y39" s="57" t="n">
        <f aca="false">W39+X39</f>
        <v>1848.450297529</v>
      </c>
      <c r="Z39" s="61" t="n">
        <v>0</v>
      </c>
      <c r="AA39" s="90" t="n">
        <v>84</v>
      </c>
      <c r="AB39" s="62" t="n">
        <v>46</v>
      </c>
      <c r="AC39" s="63" t="n">
        <v>30</v>
      </c>
      <c r="AD39" s="78" t="n">
        <v>5210</v>
      </c>
      <c r="AE39" s="82" t="n">
        <v>4166</v>
      </c>
      <c r="AF39" s="79" t="n">
        <v>2362.83</v>
      </c>
    </row>
    <row r="40" customFormat="false" ht="11.1" hidden="false" customHeight="true" outlineLevel="0" collapsed="false">
      <c r="A40" s="63" t="n">
        <v>31</v>
      </c>
      <c r="B40" s="80" t="n">
        <v>6923.4</v>
      </c>
      <c r="C40" s="58" t="n">
        <v>378489</v>
      </c>
      <c r="D40" s="62" t="n">
        <f aca="false">C40-C39</f>
        <v>2000</v>
      </c>
      <c r="E40" s="58" t="n">
        <f aca="false">C40-152000</f>
        <v>226489</v>
      </c>
      <c r="F40" s="57" t="n">
        <f aca="false">D40/$D$2</f>
        <v>1008.57286938981</v>
      </c>
      <c r="G40" s="57" t="n">
        <v>2033.31</v>
      </c>
      <c r="H40" s="59" t="n">
        <v>15.52</v>
      </c>
      <c r="I40" s="57" t="n">
        <f aca="false">G40+H40</f>
        <v>2048.83</v>
      </c>
      <c r="J40" s="81" t="n">
        <f aca="false">IF(L40&gt;0,L40)</f>
        <v>418.14316691881</v>
      </c>
      <c r="K40" s="57" t="n">
        <f aca="false">I40+J40</f>
        <v>2466.97316691881</v>
      </c>
      <c r="L40" s="57" t="n">
        <f aca="false">F40-(I40-W40)</f>
        <v>418.14316691881</v>
      </c>
      <c r="M40" s="57" t="n">
        <v>218.82</v>
      </c>
      <c r="N40" s="57" t="n">
        <f aca="false">((AF40-AF39)*1.05)/$D$2</f>
        <v>21.4659606656581</v>
      </c>
      <c r="O40" s="57" t="n">
        <f aca="false">M40-N40</f>
        <v>197.354039334342</v>
      </c>
      <c r="P40" s="57" t="n">
        <v>202.34</v>
      </c>
      <c r="Q40" s="57" t="n">
        <f aca="false">(AE40-AE39)/$D$2</f>
        <v>84.7201210287443</v>
      </c>
      <c r="R40" s="57" t="n">
        <f aca="false">SUM(O40:Q40)</f>
        <v>484.414160363086</v>
      </c>
      <c r="S40" s="58"/>
      <c r="T40" s="57" t="n">
        <f aca="false">(AD40-AD39)/$D$2</f>
        <v>123.550176500252</v>
      </c>
      <c r="U40" s="57" t="n">
        <v>828.97</v>
      </c>
      <c r="V40" s="58" t="n">
        <v>8560</v>
      </c>
      <c r="W40" s="57" t="n">
        <f aca="false">R40+T40+N40+U40</f>
        <v>1458.400297529</v>
      </c>
      <c r="X40" s="57"/>
      <c r="Y40" s="57" t="n">
        <f aca="false">W40+X40</f>
        <v>1458.400297529</v>
      </c>
      <c r="Z40" s="61" t="n">
        <v>0</v>
      </c>
      <c r="AA40" s="90" t="n">
        <v>82</v>
      </c>
      <c r="AB40" s="62" t="n">
        <v>46</v>
      </c>
      <c r="AC40" s="63" t="n">
        <v>31</v>
      </c>
      <c r="AD40" s="78" t="n">
        <v>5455</v>
      </c>
      <c r="AE40" s="78" t="n">
        <v>4334</v>
      </c>
      <c r="AF40" s="79" t="n">
        <v>2403.37</v>
      </c>
    </row>
    <row r="41" customFormat="false" ht="3" hidden="false" customHeight="true" outlineLevel="0" collapsed="false">
      <c r="A41" s="83"/>
      <c r="B41" s="83"/>
      <c r="C41" s="85"/>
      <c r="D41" s="83"/>
      <c r="E41" s="85"/>
      <c r="F41" s="83"/>
      <c r="G41" s="83"/>
      <c r="H41" s="86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5"/>
      <c r="T41" s="83"/>
      <c r="U41" s="83"/>
      <c r="V41" s="83"/>
      <c r="W41" s="83"/>
      <c r="X41" s="83"/>
      <c r="Y41" s="83"/>
      <c r="Z41" s="87"/>
      <c r="AA41" s="88" t="n">
        <v>73</v>
      </c>
      <c r="AB41" s="88"/>
      <c r="AC41" s="89"/>
      <c r="AD41" s="78"/>
      <c r="AE41" s="78"/>
      <c r="AF41" s="79"/>
    </row>
    <row r="42" customFormat="false" ht="11.1" hidden="false" customHeight="true" outlineLevel="0" collapsed="false">
      <c r="A42" s="57" t="s">
        <v>44</v>
      </c>
      <c r="B42" s="57"/>
      <c r="C42" s="58"/>
      <c r="D42" s="58"/>
      <c r="E42" s="58"/>
      <c r="F42" s="58" t="n">
        <f aca="false">SUM(F10:F40)</f>
        <v>4603.6308623298</v>
      </c>
      <c r="G42" s="58" t="n">
        <f aca="false">SUM(G10:G40)</f>
        <v>44022.69</v>
      </c>
      <c r="H42" s="58" t="n">
        <f aca="false">SUM(H10:H40)</f>
        <v>2978.04</v>
      </c>
      <c r="I42" s="58" t="n">
        <f aca="false">SUM(I10:I40)</f>
        <v>47000.73</v>
      </c>
      <c r="J42" s="58" t="n">
        <f aca="false">SUM(J10:J40)</f>
        <v>12259.7332425618</v>
      </c>
      <c r="K42" s="58" t="n">
        <f aca="false">SUM(K10:K40)</f>
        <v>59260.4632425618</v>
      </c>
      <c r="L42" s="58" t="n">
        <f aca="false">SUM(L10:L40)</f>
        <v>12259.7332425618</v>
      </c>
      <c r="M42" s="58" t="n">
        <f aca="false">SUM(M10:M40)</f>
        <v>5991.48</v>
      </c>
      <c r="N42" s="58" t="n">
        <f aca="false">SUM(N10:N40)</f>
        <v>633.145234493192</v>
      </c>
      <c r="O42" s="58" t="n">
        <f aca="false">SUM(O10:O40)</f>
        <v>5358.33476550681</v>
      </c>
      <c r="P42" s="58" t="n">
        <f aca="false">SUM(P10:P40)</f>
        <v>5146.46</v>
      </c>
      <c r="Q42" s="58" t="n">
        <f aca="false">SUM(Q10:Q40)</f>
        <v>2059.0015128593</v>
      </c>
      <c r="R42" s="58" t="n">
        <f aca="false">SUM(R10:R40)</f>
        <v>12563.7962783661</v>
      </c>
      <c r="S42" s="58"/>
      <c r="T42" s="58" t="n">
        <f aca="false">SUM(T10:T40)</f>
        <v>2607.16086737267</v>
      </c>
      <c r="U42" s="58" t="n">
        <f aca="false">SUM(U10:U40)</f>
        <v>38852.73</v>
      </c>
      <c r="V42" s="58" t="n">
        <f aca="false">V40</f>
        <v>8560</v>
      </c>
      <c r="W42" s="58" t="n">
        <f aca="false">SUM(W10:W40)</f>
        <v>54656.832380232</v>
      </c>
      <c r="X42" s="58" t="n">
        <f aca="false">SUM(X10:X40)</f>
        <v>0</v>
      </c>
      <c r="Y42" s="58" t="n">
        <f aca="false">SUM(Y10:Y40)</f>
        <v>54656.832380232</v>
      </c>
      <c r="Z42" s="61" t="n">
        <f aca="false">SUM(Z10:Z40)</f>
        <v>0.9</v>
      </c>
      <c r="AA42" s="62" t="n">
        <f aca="false">AVERAGE(AA10:AA40)</f>
        <v>71.4516129032258</v>
      </c>
      <c r="AB42" s="62" t="n">
        <f aca="false">AVERAGE(AB10:AB40)</f>
        <v>40.1612903225807</v>
      </c>
      <c r="AC42" s="63"/>
      <c r="AD42" s="78"/>
      <c r="AE42" s="78"/>
      <c r="AF42" s="79"/>
    </row>
    <row r="43" customFormat="false" ht="11.1" hidden="false" customHeight="true" outlineLevel="0" collapsed="false">
      <c r="A43" s="57" t="s">
        <v>45</v>
      </c>
      <c r="B43" s="57"/>
      <c r="C43" s="58"/>
      <c r="D43" s="58" t="n">
        <f aca="false">SUM(D10:D40)</f>
        <v>9129</v>
      </c>
      <c r="E43" s="58"/>
      <c r="F43" s="58" t="n">
        <f aca="false">F42*$D$2</f>
        <v>9129</v>
      </c>
      <c r="G43" s="58" t="n">
        <f aca="false">G42*$D$2</f>
        <v>87296.99427</v>
      </c>
      <c r="H43" s="58" t="n">
        <f aca="false">H42*$D$2</f>
        <v>5905.45332</v>
      </c>
      <c r="I43" s="58" t="n">
        <f aca="false">I42*$D$2</f>
        <v>93202.44759</v>
      </c>
      <c r="J43" s="58" t="n">
        <f aca="false">J42*$D$2</f>
        <v>24311.05102</v>
      </c>
      <c r="K43" s="58" t="n">
        <f aca="false">K42*$D$2</f>
        <v>117513.49861</v>
      </c>
      <c r="L43" s="58" t="n">
        <f aca="false">L42*$D$2</f>
        <v>24311.05102</v>
      </c>
      <c r="M43" s="58" t="n">
        <f aca="false">M42*$D$2</f>
        <v>11881.10484</v>
      </c>
      <c r="N43" s="58" t="n">
        <f aca="false">N42*$D$2</f>
        <v>1255.527</v>
      </c>
      <c r="O43" s="58" t="n">
        <f aca="false">O42*$D$2</f>
        <v>10625.57784</v>
      </c>
      <c r="P43" s="58" t="n">
        <f aca="false">P42*$D$2</f>
        <v>10205.43018</v>
      </c>
      <c r="Q43" s="58" t="n">
        <f aca="false">Q42*$D$2</f>
        <v>4083</v>
      </c>
      <c r="R43" s="58" t="n">
        <f aca="false">R42*$D$2</f>
        <v>24914.00802</v>
      </c>
      <c r="S43" s="58"/>
      <c r="T43" s="58" t="n">
        <f aca="false">T42*$D$2</f>
        <v>5170</v>
      </c>
      <c r="U43" s="58" t="n">
        <f aca="false">U42*$D$2</f>
        <v>77044.96359</v>
      </c>
      <c r="V43" s="58" t="n">
        <f aca="false">V42*$D$2</f>
        <v>16974.48</v>
      </c>
      <c r="W43" s="58" t="n">
        <f aca="false">W42*$D$2</f>
        <v>108384.49861</v>
      </c>
      <c r="X43" s="58" t="n">
        <f aca="false">X42*$D$2</f>
        <v>0</v>
      </c>
      <c r="Y43" s="58" t="n">
        <f aca="false">Y42*$D$2</f>
        <v>108384.49861</v>
      </c>
      <c r="Z43" s="61"/>
      <c r="AA43" s="62" t="n">
        <f aca="false">MAX(AA10:AA40)</f>
        <v>84</v>
      </c>
      <c r="AB43" s="62" t="n">
        <f aca="false">MAX(AB10:AB40)</f>
        <v>48</v>
      </c>
      <c r="AC43" s="63" t="s">
        <v>46</v>
      </c>
      <c r="AD43" s="78"/>
      <c r="AE43" s="78"/>
      <c r="AF43" s="79"/>
    </row>
    <row r="44" customFormat="false" ht="3" hidden="false" customHeight="true" outlineLevel="0" collapsed="false">
      <c r="A44" s="83"/>
      <c r="B44" s="83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3"/>
      <c r="W44" s="85"/>
      <c r="X44" s="85"/>
      <c r="Y44" s="85"/>
      <c r="Z44" s="61"/>
      <c r="AA44" s="62"/>
      <c r="AB44" s="62"/>
      <c r="AC44" s="63"/>
      <c r="AD44" s="78"/>
      <c r="AE44" s="78"/>
      <c r="AF44" s="79"/>
    </row>
    <row r="45" customFormat="false" ht="11.1" hidden="false" customHeight="true" outlineLevel="0" collapsed="false">
      <c r="A45" s="57" t="s">
        <v>47</v>
      </c>
      <c r="B45" s="57"/>
      <c r="C45" s="58"/>
      <c r="D45" s="58"/>
      <c r="E45" s="58"/>
      <c r="F45" s="58" t="n">
        <f aca="false">F7+F42</f>
        <v>26205.2445789208</v>
      </c>
      <c r="G45" s="58" t="n">
        <f aca="false">G7+G42</f>
        <v>57900.86</v>
      </c>
      <c r="H45" s="58" t="n">
        <f aca="false">H7+H42</f>
        <v>6220.38</v>
      </c>
      <c r="I45" s="58" t="n">
        <f aca="false">I7+I42</f>
        <v>64121.24</v>
      </c>
      <c r="J45" s="58" t="n">
        <f aca="false">J7+J42</f>
        <v>21101.3669591528</v>
      </c>
      <c r="K45" s="58" t="n">
        <f aca="false">K7+K42</f>
        <v>85222.6069591528</v>
      </c>
      <c r="L45" s="58" t="n">
        <f aca="false">L7+L42</f>
        <v>20772.1869591528</v>
      </c>
      <c r="M45" s="58" t="n">
        <f aca="false">M7+M42</f>
        <v>8024.64</v>
      </c>
      <c r="N45" s="58" t="n">
        <f aca="false">N7+N42</f>
        <v>1237.94523449319</v>
      </c>
      <c r="O45" s="58" t="n">
        <f aca="false">O7+O42</f>
        <v>6786.69476550681</v>
      </c>
      <c r="P45" s="58" t="n">
        <f aca="false">P7+P42</f>
        <v>5146.46</v>
      </c>
      <c r="Q45" s="58" t="n">
        <f aca="false">Q7+Q42</f>
        <v>2191.4815128593</v>
      </c>
      <c r="R45" s="58" t="n">
        <f aca="false">R7+R42</f>
        <v>14124.6362783661</v>
      </c>
      <c r="S45" s="58" t="n">
        <f aca="false">S7+S42</f>
        <v>0</v>
      </c>
      <c r="T45" s="58" t="n">
        <f aca="false">T7+T42</f>
        <v>2779.16086737267</v>
      </c>
      <c r="U45" s="58" t="n">
        <f aca="false">U7+U42</f>
        <v>40546.44</v>
      </c>
      <c r="V45" s="58" t="n">
        <f aca="false">V7+V42</f>
        <v>8560</v>
      </c>
      <c r="W45" s="58" t="n">
        <f aca="false">W7+W42</f>
        <v>58688.182380232</v>
      </c>
      <c r="X45" s="58" t="n">
        <f aca="false">X7+X42</f>
        <v>329.2</v>
      </c>
      <c r="Y45" s="58" t="n">
        <f aca="false">Y7+Y42</f>
        <v>59017.382380232</v>
      </c>
      <c r="Z45" s="61"/>
      <c r="AA45" s="62" t="n">
        <f aca="false">MIN(AA10:AA40)</f>
        <v>54</v>
      </c>
      <c r="AB45" s="62" t="n">
        <f aca="false">MIN(AB10:AB40)</f>
        <v>30</v>
      </c>
      <c r="AC45" s="63" t="s">
        <v>48</v>
      </c>
      <c r="AD45" s="78"/>
      <c r="AE45" s="78"/>
      <c r="AF45" s="79"/>
    </row>
    <row r="46" customFormat="false" ht="11.1" hidden="false" customHeight="true" outlineLevel="0" collapsed="false">
      <c r="A46" s="57" t="s">
        <v>49</v>
      </c>
      <c r="B46" s="57"/>
      <c r="C46" s="58"/>
      <c r="D46" s="58"/>
      <c r="E46" s="58"/>
      <c r="F46" s="58" t="n">
        <f aca="false">F45*$D$2</f>
        <v>51965</v>
      </c>
      <c r="G46" s="58" t="n">
        <f aca="false">G45*$D$2</f>
        <v>114817.40538</v>
      </c>
      <c r="H46" s="58" t="n">
        <f aca="false">H45*$D$2</f>
        <v>12335.01354</v>
      </c>
      <c r="I46" s="58" t="n">
        <f aca="false">I45*$D$2</f>
        <v>127152.41892</v>
      </c>
      <c r="J46" s="58" t="n">
        <f aca="false">J45*$D$2</f>
        <v>41844.01068</v>
      </c>
      <c r="K46" s="58" t="n">
        <f aca="false">K45*$D$2</f>
        <v>168996.4296</v>
      </c>
      <c r="L46" s="58" t="n">
        <f aca="false">L45*$D$2</f>
        <v>41191.24674</v>
      </c>
      <c r="M46" s="58" t="n">
        <f aca="false">M45*$D$2</f>
        <v>15912.86112</v>
      </c>
      <c r="N46" s="58" t="n">
        <f aca="false">N45*$D$2</f>
        <v>2454.8454</v>
      </c>
      <c r="O46" s="58" t="n">
        <f aca="false">O45*$D$2</f>
        <v>13458.01572</v>
      </c>
      <c r="P46" s="58" t="n">
        <f aca="false">P45*$D$2</f>
        <v>10205.43018</v>
      </c>
      <c r="Q46" s="58" t="n">
        <f aca="false">Q45*$D$2</f>
        <v>4345.70784</v>
      </c>
      <c r="R46" s="58" t="n">
        <f aca="false">R45*$D$2</f>
        <v>28009.15374</v>
      </c>
      <c r="S46" s="58" t="n">
        <f aca="false">S45*$D$2</f>
        <v>0</v>
      </c>
      <c r="T46" s="58" t="n">
        <f aca="false">T45*$D$2</f>
        <v>5511.076</v>
      </c>
      <c r="U46" s="58" t="n">
        <f aca="false">U45*$D$2</f>
        <v>80403.59052</v>
      </c>
      <c r="V46" s="58" t="n">
        <f aca="false">V45*$D$2</f>
        <v>16974.48</v>
      </c>
      <c r="W46" s="58" t="n">
        <f aca="false">W45*$D$2</f>
        <v>116378.66566</v>
      </c>
      <c r="X46" s="58" t="n">
        <f aca="false">X45*$D$2</f>
        <v>652.8036</v>
      </c>
      <c r="Y46" s="58" t="n">
        <f aca="false">Y45*$D$2</f>
        <v>117031.46926</v>
      </c>
      <c r="Z46" s="61"/>
      <c r="AA46" s="62"/>
      <c r="AB46" s="62"/>
      <c r="AC46" s="63"/>
      <c r="AD46" s="78"/>
      <c r="AE46" s="78"/>
      <c r="AF46" s="79"/>
    </row>
    <row r="47" customFormat="false" ht="3" hidden="false" customHeight="true" outlineLevel="0" collapsed="false">
      <c r="A47" s="83"/>
      <c r="B47" s="83"/>
      <c r="C47" s="85"/>
      <c r="D47" s="85"/>
      <c r="E47" s="85"/>
      <c r="F47" s="85"/>
      <c r="G47" s="85"/>
      <c r="H47" s="88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7"/>
      <c r="AA47" s="62"/>
      <c r="AB47" s="62"/>
      <c r="AC47" s="63"/>
      <c r="AD47" s="78"/>
      <c r="AE47" s="78"/>
      <c r="AF47" s="79"/>
    </row>
    <row r="48" customFormat="false" ht="11.1" hidden="false" customHeight="true" outlineLevel="0" collapsed="false">
      <c r="A48" s="57" t="s">
        <v>50</v>
      </c>
      <c r="B48" s="57"/>
      <c r="C48" s="58"/>
      <c r="D48" s="58"/>
      <c r="E48" s="58"/>
      <c r="F48" s="58" t="n">
        <f aca="false">F8+F42</f>
        <v>34191.6288451841</v>
      </c>
      <c r="G48" s="58" t="n">
        <f aca="false">G8+G42</f>
        <v>70550.3364498235</v>
      </c>
      <c r="H48" s="62" t="n">
        <f aca="false">H8+H42</f>
        <v>6220.38</v>
      </c>
      <c r="I48" s="58" t="n">
        <f aca="false">I8+I42</f>
        <v>76769.9078769541</v>
      </c>
      <c r="J48" s="58" t="n">
        <f aca="false">J8+J42</f>
        <v>23075.0798587998</v>
      </c>
      <c r="K48" s="58" t="n">
        <f aca="false">K8+K42</f>
        <v>99844.9877357539</v>
      </c>
      <c r="L48" s="58" t="n">
        <f aca="false">L8+L42</f>
        <v>22278.2233484619</v>
      </c>
      <c r="M48" s="58" t="n">
        <f aca="false">M8+M42</f>
        <v>8936.88</v>
      </c>
      <c r="N48" s="58" t="n">
        <f aca="false">N8+N42</f>
        <v>1237.94523449319</v>
      </c>
      <c r="O48" s="58" t="n">
        <f aca="false">O8+O42</f>
        <v>7698.93476550681</v>
      </c>
      <c r="P48" s="58" t="n">
        <f aca="false">P8+P42</f>
        <v>5146.46</v>
      </c>
      <c r="Q48" s="58" t="n">
        <f aca="false">Q8+Q42</f>
        <v>2191.4815128593</v>
      </c>
      <c r="R48" s="58" t="n">
        <f aca="false">R8+R42</f>
        <v>15036.8762783661</v>
      </c>
      <c r="S48" s="58"/>
      <c r="T48" s="58" t="n">
        <f aca="false">T8+T42</f>
        <v>2779.16086737267</v>
      </c>
      <c r="U48" s="58" t="n">
        <f aca="false">U8+U42</f>
        <v>45809.85</v>
      </c>
      <c r="V48" s="58" t="n">
        <f aca="false">V40</f>
        <v>8560</v>
      </c>
      <c r="W48" s="58" t="n">
        <f aca="false">W8+W42</f>
        <v>64863.832380232</v>
      </c>
      <c r="X48" s="58" t="n">
        <f aca="false">X8+X42</f>
        <v>818.98776096823</v>
      </c>
      <c r="Y48" s="58" t="n">
        <f aca="false">Y8+Y42</f>
        <v>65682.8201412002</v>
      </c>
      <c r="Z48" s="81" t="n">
        <f aca="false">Z8+Z42</f>
        <v>9.02</v>
      </c>
      <c r="AA48" s="62"/>
      <c r="AB48" s="62"/>
      <c r="AC48" s="63"/>
      <c r="AD48" s="78"/>
      <c r="AE48" s="78"/>
      <c r="AF48" s="79"/>
    </row>
    <row r="49" customFormat="false" ht="11.1" hidden="false" customHeight="true" outlineLevel="0" collapsed="false">
      <c r="A49" s="57" t="s">
        <v>51</v>
      </c>
      <c r="B49" s="57"/>
      <c r="C49" s="58"/>
      <c r="D49" s="58" t="n">
        <f aca="false">D8+D43</f>
        <v>67802</v>
      </c>
      <c r="E49" s="58" t="n">
        <f aca="false">E40</f>
        <v>226489</v>
      </c>
      <c r="F49" s="58" t="n">
        <f aca="false">F48*$D$2</f>
        <v>67802</v>
      </c>
      <c r="G49" s="58" t="n">
        <f aca="false">G48*$D$2</f>
        <v>139901.31718</v>
      </c>
      <c r="H49" s="62" t="n">
        <f aca="false">H48*$D$2</f>
        <v>12335.01354</v>
      </c>
      <c r="I49" s="58" t="n">
        <f aca="false">I48*$D$2</f>
        <v>152234.72732</v>
      </c>
      <c r="J49" s="58" t="n">
        <f aca="false">J48*$D$2</f>
        <v>45757.88336</v>
      </c>
      <c r="K49" s="58" t="n">
        <f aca="false">K48*$D$2</f>
        <v>197992.61068</v>
      </c>
      <c r="L49" s="58" t="n">
        <f aca="false">L48*$D$2</f>
        <v>44177.7169</v>
      </c>
      <c r="M49" s="58" t="n">
        <f aca="false">M48*$D$2</f>
        <v>17721.83304</v>
      </c>
      <c r="N49" s="58" t="n">
        <f aca="false">N48*$D$2</f>
        <v>2454.8454</v>
      </c>
      <c r="O49" s="58" t="n">
        <f aca="false">O48*$D$2</f>
        <v>15266.98764</v>
      </c>
      <c r="P49" s="58" t="n">
        <f aca="false">P48*$D$2</f>
        <v>10205.43018</v>
      </c>
      <c r="Q49" s="58" t="n">
        <f aca="false">Q48*$D$2</f>
        <v>4345.70784</v>
      </c>
      <c r="R49" s="58" t="n">
        <f aca="false">R48*$D$2</f>
        <v>29818.12566</v>
      </c>
      <c r="S49" s="58" t="n">
        <f aca="false">S48*$D$2</f>
        <v>0</v>
      </c>
      <c r="T49" s="58" t="n">
        <f aca="false">T48*$D$2</f>
        <v>5511.076</v>
      </c>
      <c r="U49" s="58" t="n">
        <f aca="false">U48*$D$2</f>
        <v>90840.93255</v>
      </c>
      <c r="V49" s="58" t="n">
        <f aca="false">V40*$D$2</f>
        <v>16974.48</v>
      </c>
      <c r="W49" s="58" t="n">
        <f aca="false">W48*$D$2</f>
        <v>128624.97961</v>
      </c>
      <c r="X49" s="58" t="n">
        <f aca="false">X48*$D$2</f>
        <v>1624.05273</v>
      </c>
      <c r="Y49" s="58" t="n">
        <f aca="false">Y48*$D$2</f>
        <v>130249.03234</v>
      </c>
      <c r="Z49" s="61"/>
      <c r="AA49" s="62"/>
      <c r="AB49" s="62"/>
      <c r="AC49" s="63"/>
      <c r="AD49" s="78"/>
      <c r="AE49" s="78"/>
      <c r="AF49" s="79"/>
    </row>
    <row r="50" customFormat="false" ht="3" hidden="false" customHeight="true" outlineLevel="0" collapsed="false">
      <c r="A50" s="83"/>
      <c r="B50" s="83"/>
      <c r="C50" s="85"/>
      <c r="D50" s="83"/>
      <c r="E50" s="85"/>
      <c r="F50" s="83"/>
      <c r="G50" s="83"/>
      <c r="H50" s="86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5"/>
      <c r="T50" s="83"/>
      <c r="U50" s="83"/>
      <c r="V50" s="85"/>
      <c r="W50" s="83"/>
      <c r="X50" s="83"/>
      <c r="Y50" s="83"/>
      <c r="Z50" s="61"/>
      <c r="AA50" s="62"/>
      <c r="AB50" s="62"/>
      <c r="AC50" s="63"/>
      <c r="AD50" s="78"/>
      <c r="AE50" s="78"/>
      <c r="AF50" s="79"/>
    </row>
    <row r="51" customFormat="false" ht="11.1" hidden="false" customHeight="true" outlineLevel="0" collapsed="false">
      <c r="A51" s="57" t="str">
        <f aca="false">"JUN /9"</f>
        <v>JUN /9</v>
      </c>
      <c r="B51" s="92"/>
      <c r="C51" s="58"/>
      <c r="D51" s="57"/>
      <c r="E51" s="58"/>
      <c r="F51" s="57"/>
      <c r="G51" s="57"/>
      <c r="H51" s="59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8"/>
      <c r="T51" s="57"/>
      <c r="U51" s="57"/>
      <c r="V51" s="58"/>
      <c r="W51" s="57"/>
      <c r="X51" s="57"/>
      <c r="Y51" s="57"/>
      <c r="Z51" s="61"/>
      <c r="AA51" s="62"/>
      <c r="AB51" s="62"/>
      <c r="AC51" s="63"/>
      <c r="AD51" s="64"/>
      <c r="AE51" s="64"/>
    </row>
    <row r="52" customFormat="false" ht="11.1" hidden="false" customHeight="true" outlineLevel="0" collapsed="false">
      <c r="A52" s="57"/>
      <c r="B52" s="80" t="n">
        <v>6924.15</v>
      </c>
      <c r="C52" s="58" t="n">
        <v>381833</v>
      </c>
      <c r="D52" s="90"/>
      <c r="E52" s="58" t="n">
        <f aca="false">C52-152000</f>
        <v>229833</v>
      </c>
      <c r="F52" s="57"/>
      <c r="G52" s="57"/>
      <c r="H52" s="90"/>
      <c r="I52" s="59"/>
      <c r="J52" s="57"/>
      <c r="K52" s="41"/>
      <c r="L52" s="57"/>
      <c r="M52" s="57"/>
      <c r="N52" s="57"/>
      <c r="O52" s="57"/>
      <c r="P52" s="57"/>
      <c r="Q52" s="57"/>
      <c r="R52" s="57"/>
      <c r="S52" s="58"/>
      <c r="T52" s="57"/>
      <c r="U52" s="57"/>
      <c r="V52" s="58"/>
      <c r="W52" s="57"/>
      <c r="X52" s="57"/>
      <c r="Y52" s="57"/>
      <c r="Z52" s="61"/>
      <c r="AA52" s="62"/>
      <c r="AB52" s="62"/>
      <c r="AC52" s="63"/>
      <c r="AD52" s="64"/>
      <c r="AE52" s="64"/>
    </row>
    <row r="53" customFormat="false" ht="11.1" hidden="false" customHeight="true" outlineLevel="0" collapsed="false">
      <c r="A53" s="90" t="str">
        <f aca="false">"5/12/94 thru 6/9/94"</f>
        <v>5/12/94 thru 6/9/94</v>
      </c>
      <c r="B53" s="90"/>
      <c r="C53" s="58"/>
      <c r="D53" s="58"/>
      <c r="E53" s="58"/>
      <c r="F53" s="90"/>
      <c r="G53" s="90"/>
      <c r="H53" s="59"/>
      <c r="I53" s="90"/>
      <c r="J53" s="90"/>
      <c r="K53" s="90"/>
      <c r="L53" s="90"/>
      <c r="M53" s="81"/>
      <c r="N53" s="81"/>
      <c r="O53" s="81"/>
      <c r="P53" s="90"/>
      <c r="Q53" s="90"/>
      <c r="R53" s="90"/>
      <c r="S53" s="58"/>
      <c r="T53" s="90"/>
      <c r="U53" s="90"/>
      <c r="V53" s="58"/>
      <c r="W53" s="90"/>
      <c r="X53" s="90"/>
      <c r="Y53" s="90"/>
      <c r="Z53" s="61"/>
      <c r="AA53" s="62"/>
      <c r="AB53" s="62"/>
      <c r="AC53" s="63"/>
      <c r="AD53" s="93"/>
      <c r="AE53" s="93"/>
    </row>
    <row r="54" customFormat="false" ht="11.1" hidden="false" customHeight="true" outlineLevel="0" collapsed="false">
      <c r="A54" s="90"/>
      <c r="B54" s="61" t="n">
        <f aca="false">B52-B21</f>
        <v>1.3799999999992</v>
      </c>
      <c r="C54" s="58"/>
      <c r="D54" s="58" t="n">
        <f aca="false">C52-C22</f>
        <v>6139</v>
      </c>
      <c r="E54" s="58"/>
      <c r="F54" s="90"/>
      <c r="G54" s="90"/>
      <c r="H54" s="59"/>
      <c r="I54" s="90"/>
      <c r="J54" s="90"/>
      <c r="K54" s="90"/>
      <c r="L54" s="90"/>
      <c r="M54" s="81"/>
      <c r="N54" s="81"/>
      <c r="O54" s="81"/>
      <c r="P54" s="90"/>
      <c r="Q54" s="90"/>
      <c r="R54" s="90"/>
      <c r="S54" s="58"/>
      <c r="T54" s="90"/>
      <c r="U54" s="90"/>
      <c r="V54" s="58"/>
      <c r="W54" s="90"/>
      <c r="X54" s="90"/>
      <c r="Y54" s="90"/>
      <c r="Z54" s="61"/>
      <c r="AA54" s="62"/>
      <c r="AB54" s="62"/>
      <c r="AC54" s="63"/>
      <c r="AD54" s="93"/>
      <c r="AE54" s="93"/>
    </row>
    <row r="55" customFormat="false" ht="11.1" hidden="false" customHeight="true" outlineLevel="0" collapsed="false">
      <c r="A55" s="90"/>
      <c r="B55" s="90"/>
      <c r="C55" s="58"/>
      <c r="D55" s="90"/>
      <c r="E55" s="58"/>
      <c r="F55" s="90"/>
      <c r="G55" s="94"/>
      <c r="H55" s="59"/>
      <c r="I55" s="90"/>
      <c r="J55" s="90"/>
      <c r="K55" s="90"/>
      <c r="L55" s="90"/>
      <c r="M55" s="81"/>
      <c r="N55" s="81"/>
      <c r="O55" s="81"/>
      <c r="P55" s="90"/>
      <c r="Q55" s="90"/>
      <c r="R55" s="90"/>
      <c r="S55" s="58"/>
      <c r="T55" s="90"/>
      <c r="U55" s="90"/>
      <c r="V55" s="58"/>
      <c r="W55" s="90"/>
      <c r="X55" s="90"/>
      <c r="Y55" s="90"/>
      <c r="Z55" s="61"/>
      <c r="AA55" s="62"/>
      <c r="AB55" s="62"/>
      <c r="AC55" s="63"/>
      <c r="AD55" s="93"/>
      <c r="AE55" s="93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4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K40" activeCellId="0" sqref="K4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66"/>
    <col collapsed="false" customWidth="true" hidden="false" outlineLevel="0" max="4" min="4" style="0" width="7.66"/>
    <col collapsed="false" customWidth="true" hidden="false" outlineLevel="0" max="5" min="5" style="1" width="7.66"/>
    <col collapsed="false" customWidth="true" hidden="false" outlineLevel="0" max="7" min="6" style="0" width="7.66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0" min="10" style="0" width="6.32"/>
    <col collapsed="false" customWidth="true" hidden="false" outlineLevel="0" max="12" min="11" style="0" width="7.66"/>
    <col collapsed="false" customWidth="true" hidden="false" outlineLevel="0" max="13" min="13" style="3" width="7.49"/>
    <col collapsed="false" customWidth="false" hidden="false" outlineLevel="0" max="15" min="14" style="3" width="9.32"/>
    <col collapsed="false" customWidth="true" hidden="false" outlineLevel="0" max="16" min="16" style="0" width="6.66"/>
    <col collapsed="false" customWidth="true" hidden="false" outlineLevel="0" max="17" min="17" style="0" width="7.16"/>
    <col collapsed="false" customWidth="true" hidden="false" outlineLevel="0" max="18" min="18" style="0" width="6.66"/>
    <col collapsed="false" customWidth="true" hidden="false" outlineLevel="0" max="19" min="19" style="1" width="6.66"/>
    <col collapsed="false" customWidth="true" hidden="false" outlineLevel="0" max="20" min="20" style="0" width="6.66"/>
    <col collapsed="false" customWidth="true" hidden="false" outlineLevel="0" max="21" min="21" style="0" width="7.49"/>
    <col collapsed="false" customWidth="true" hidden="false" outlineLevel="0" max="22" min="22" style="1" width="6.32"/>
    <col collapsed="false" customWidth="true" hidden="false" outlineLevel="0" max="25" min="23" style="0" width="7.82"/>
    <col collapsed="false" customWidth="true" hidden="false" outlineLevel="0" max="26" min="26" style="4" width="5.66"/>
    <col collapsed="false" customWidth="true" hidden="false" outlineLevel="0" max="28" min="27" style="5" width="5.66"/>
    <col collapsed="false" customWidth="true" hidden="false" outlineLevel="0" max="29" min="29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7"/>
      <c r="R1" s="7"/>
      <c r="S1" s="8"/>
      <c r="T1" s="7"/>
      <c r="U1" s="7"/>
      <c r="V1" s="8"/>
      <c r="W1" s="7"/>
      <c r="X1" s="7"/>
      <c r="Y1" s="7"/>
      <c r="Z1" s="11"/>
      <c r="AA1" s="12"/>
      <c r="AB1" s="12"/>
      <c r="AC1" s="13"/>
      <c r="AD1" s="14"/>
      <c r="AE1" s="14"/>
    </row>
    <row r="2" customFormat="false" ht="14.1" hidden="false" customHeight="true" outlineLevel="0" collapsed="false">
      <c r="A2" s="7" t="s">
        <v>1</v>
      </c>
      <c r="B2" s="7"/>
      <c r="C2" s="8"/>
      <c r="D2" s="15" t="n">
        <v>1.983</v>
      </c>
      <c r="E2" s="8"/>
      <c r="F2" s="7"/>
      <c r="G2" s="7"/>
      <c r="H2" s="9"/>
      <c r="I2" s="7"/>
      <c r="J2" s="7"/>
      <c r="K2" s="47" t="s">
        <v>72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7"/>
      <c r="X2" s="7"/>
      <c r="Y2" s="7"/>
      <c r="Z2" s="11"/>
      <c r="AA2" s="12"/>
      <c r="AB2" s="12"/>
      <c r="AC2" s="13"/>
      <c r="AD2" s="14"/>
      <c r="AE2" s="14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8"/>
      <c r="W3" s="7"/>
      <c r="X3" s="7"/>
      <c r="Y3" s="7"/>
      <c r="Z3" s="11"/>
      <c r="AA3" s="12"/>
      <c r="AB3" s="12"/>
      <c r="AC3" s="13"/>
      <c r="AD3" s="14"/>
      <c r="AE3" s="14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48" t="s">
        <v>62</v>
      </c>
      <c r="N4" s="48"/>
      <c r="O4" s="48"/>
      <c r="P4" s="16" t="s">
        <v>13</v>
      </c>
      <c r="Q4" s="16" t="s">
        <v>14</v>
      </c>
      <c r="R4" s="16" t="s">
        <v>12</v>
      </c>
      <c r="S4" s="17" t="s">
        <v>13</v>
      </c>
      <c r="T4" s="16" t="s">
        <v>15</v>
      </c>
      <c r="U4" s="16" t="s">
        <v>17</v>
      </c>
      <c r="V4" s="17" t="s">
        <v>18</v>
      </c>
      <c r="W4" s="16" t="s">
        <v>10</v>
      </c>
      <c r="X4" s="16" t="s">
        <v>11</v>
      </c>
      <c r="Y4" s="16" t="s">
        <v>12</v>
      </c>
      <c r="Z4" s="19" t="s">
        <v>19</v>
      </c>
      <c r="AA4" s="20" t="s">
        <v>20</v>
      </c>
      <c r="AB4" s="20" t="s">
        <v>21</v>
      </c>
      <c r="AC4" s="20" t="s">
        <v>3</v>
      </c>
      <c r="AD4" s="14"/>
      <c r="AE4" s="14"/>
    </row>
    <row r="5" customFormat="false" ht="11.1" hidden="false" customHeight="true" outlineLevel="0" collapsed="false">
      <c r="A5" s="21" t="s">
        <v>73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64</v>
      </c>
      <c r="N5" s="16" t="s">
        <v>65</v>
      </c>
      <c r="O5" s="16" t="s">
        <v>66</v>
      </c>
      <c r="P5" s="16" t="s">
        <v>32</v>
      </c>
      <c r="Q5" s="16" t="s">
        <v>33</v>
      </c>
      <c r="R5" s="16" t="s">
        <v>13</v>
      </c>
      <c r="S5" s="17" t="s">
        <v>34</v>
      </c>
      <c r="T5" s="16" t="s">
        <v>35</v>
      </c>
      <c r="U5" s="16" t="s">
        <v>37</v>
      </c>
      <c r="V5" s="17" t="s">
        <v>38</v>
      </c>
      <c r="W5" s="16" t="s">
        <v>39</v>
      </c>
      <c r="X5" s="16" t="s">
        <v>39</v>
      </c>
      <c r="Y5" s="16" t="s">
        <v>39</v>
      </c>
      <c r="Z5" s="22"/>
      <c r="AA5" s="20" t="s">
        <v>40</v>
      </c>
      <c r="AB5" s="20" t="s">
        <v>40</v>
      </c>
      <c r="AC5" s="23" t="s">
        <v>73</v>
      </c>
      <c r="AD5" s="14"/>
      <c r="AE5" s="14"/>
    </row>
    <row r="6" customFormat="false" ht="11.1" hidden="false" customHeight="true" outlineLevel="0" collapsed="false">
      <c r="A6" s="24"/>
      <c r="B6" s="24"/>
      <c r="C6" s="25"/>
      <c r="D6" s="24"/>
      <c r="E6" s="25"/>
      <c r="F6" s="24"/>
      <c r="G6" s="24"/>
      <c r="H6" s="26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  <c r="T6" s="24"/>
      <c r="U6" s="24"/>
      <c r="V6" s="25"/>
      <c r="W6" s="24"/>
      <c r="X6" s="24"/>
      <c r="Y6" s="24"/>
      <c r="Z6" s="11"/>
      <c r="AA6" s="13"/>
      <c r="AB6" s="13"/>
      <c r="AC6" s="13"/>
      <c r="AF6" s="95"/>
    </row>
    <row r="7" customFormat="false" ht="11.1" hidden="false" customHeight="true" outlineLevel="0" collapsed="false">
      <c r="A7" s="7" t="s">
        <v>41</v>
      </c>
      <c r="B7" s="7"/>
      <c r="C7" s="8"/>
      <c r="D7" s="8"/>
      <c r="E7" s="8"/>
      <c r="F7" s="8" t="n">
        <f aca="false" t="array" ref="F7:Y7">[6]RIVER054!$F$45:$Y$45</f>
        <v>26205.2445789208</v>
      </c>
      <c r="G7" s="8" t="n">
        <v>57900.86</v>
      </c>
      <c r="H7" s="12" t="n">
        <v>6220.38</v>
      </c>
      <c r="I7" s="8" t="n">
        <v>64101.45</v>
      </c>
      <c r="J7" s="8" t="n">
        <v>21121.1569591528</v>
      </c>
      <c r="K7" s="8" t="n">
        <v>85222.6069591528</v>
      </c>
      <c r="L7" s="8" t="n">
        <v>20791.9769591528</v>
      </c>
      <c r="M7" s="8" t="n">
        <v>8024.64</v>
      </c>
      <c r="N7" s="8" t="n">
        <v>1237.94523449319</v>
      </c>
      <c r="O7" s="8" t="n">
        <v>6786.69476550681</v>
      </c>
      <c r="P7" s="8" t="n">
        <v>5146.46</v>
      </c>
      <c r="Q7" s="8" t="n">
        <v>2191.4815128593</v>
      </c>
      <c r="R7" s="8" t="n">
        <v>14124.6362783661</v>
      </c>
      <c r="S7" s="8" t="n">
        <v>0</v>
      </c>
      <c r="T7" s="8" t="n">
        <v>2779.16086737267</v>
      </c>
      <c r="U7" s="8" t="n">
        <v>40546.44</v>
      </c>
      <c r="V7" s="8" t="n">
        <v>8560</v>
      </c>
      <c r="W7" s="8" t="n">
        <v>58688.182380232</v>
      </c>
      <c r="X7" s="8" t="n">
        <v>329.2</v>
      </c>
      <c r="Y7" s="8" t="n">
        <v>59017.382380232</v>
      </c>
      <c r="Z7" s="11"/>
      <c r="AA7" s="12"/>
      <c r="AB7" s="12"/>
      <c r="AC7" s="13"/>
      <c r="AD7" s="29" t="n">
        <v>741</v>
      </c>
      <c r="AE7" s="0" t="n">
        <v>742</v>
      </c>
      <c r="AF7" s="96" t="s">
        <v>16</v>
      </c>
    </row>
    <row r="8" s="1" customFormat="true" ht="11.1" hidden="false" customHeight="true" outlineLevel="0" collapsed="false">
      <c r="A8" s="8" t="s">
        <v>42</v>
      </c>
      <c r="B8" s="27" t="n">
        <f aca="false" t="array" ref="B8:C8">[6]RIVER054!$B$40:$C$40</f>
        <v>6923.4</v>
      </c>
      <c r="C8" s="8" t="n">
        <v>378489</v>
      </c>
      <c r="D8" s="8" t="n">
        <f aca="false" t="array" ref="D8:E8">[6]RIVER054!$D$49:$E$49</f>
        <v>67802</v>
      </c>
      <c r="E8" s="8" t="n">
        <v>226489</v>
      </c>
      <c r="F8" s="8" t="n">
        <f aca="false" t="array" ref="F8:Z8">[6]RIVER054!$F$48:$Z$48</f>
        <v>34191.6288451841</v>
      </c>
      <c r="G8" s="8" t="n">
        <v>70550.3364498235</v>
      </c>
      <c r="H8" s="12" t="n">
        <v>6220.38</v>
      </c>
      <c r="I8" s="8" t="n">
        <v>76750.1178769541</v>
      </c>
      <c r="J8" s="8" t="n">
        <v>23094.8698587998</v>
      </c>
      <c r="K8" s="8" t="n">
        <v>99844.9877357539</v>
      </c>
      <c r="L8" s="8" t="n">
        <v>22298.0133484619</v>
      </c>
      <c r="M8" s="8" t="n">
        <v>8936.88</v>
      </c>
      <c r="N8" s="8" t="n">
        <v>1237.94523449319</v>
      </c>
      <c r="O8" s="8" t="n">
        <v>7698.93476550681</v>
      </c>
      <c r="P8" s="8" t="n">
        <v>5146.46</v>
      </c>
      <c r="Q8" s="8" t="n">
        <v>2191.4815128593</v>
      </c>
      <c r="R8" s="8" t="n">
        <v>15036.8762783661</v>
      </c>
      <c r="S8" s="8" t="n">
        <v>0</v>
      </c>
      <c r="T8" s="8" t="n">
        <v>2779.16086737267</v>
      </c>
      <c r="U8" s="8" t="n">
        <v>45809.85</v>
      </c>
      <c r="V8" s="8" t="n">
        <v>8560</v>
      </c>
      <c r="W8" s="8" t="n">
        <v>64863.832380232</v>
      </c>
      <c r="X8" s="8" t="n">
        <v>818.98776096823</v>
      </c>
      <c r="Y8" s="8" t="n">
        <v>65682.8201412002</v>
      </c>
      <c r="Z8" s="28" t="n">
        <v>9.02</v>
      </c>
      <c r="AA8" s="12"/>
      <c r="AB8" s="12"/>
      <c r="AC8" s="13"/>
      <c r="AD8" s="97" t="n">
        <v>5455</v>
      </c>
      <c r="AE8" s="97" t="n">
        <v>4334</v>
      </c>
      <c r="AF8" s="1" t="n">
        <v>-16</v>
      </c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33"/>
      <c r="I9" s="30"/>
      <c r="J9" s="30"/>
      <c r="K9" s="30"/>
      <c r="L9" s="30"/>
      <c r="M9" s="30"/>
      <c r="N9" s="30"/>
      <c r="O9" s="30"/>
      <c r="P9" s="30"/>
      <c r="Q9" s="30"/>
      <c r="R9" s="30"/>
      <c r="S9" s="32"/>
      <c r="T9" s="30"/>
      <c r="U9" s="30"/>
      <c r="V9" s="32"/>
      <c r="W9" s="30"/>
      <c r="X9" s="30"/>
      <c r="Y9" s="30"/>
      <c r="Z9" s="34"/>
      <c r="AA9" s="35"/>
      <c r="AB9" s="35"/>
      <c r="AC9" s="36"/>
      <c r="AD9" s="14"/>
      <c r="AE9" s="14"/>
    </row>
    <row r="10" customFormat="false" ht="11.1" hidden="false" customHeight="true" outlineLevel="0" collapsed="false">
      <c r="A10" s="13" t="n">
        <v>1</v>
      </c>
      <c r="B10" s="27" t="n">
        <v>6923.86</v>
      </c>
      <c r="C10" s="8" t="n">
        <v>380536</v>
      </c>
      <c r="D10" s="12" t="n">
        <f aca="false">C10-C8</f>
        <v>2047</v>
      </c>
      <c r="E10" s="8" t="n">
        <f aca="false">C10-152000</f>
        <v>228536</v>
      </c>
      <c r="F10" s="7" t="n">
        <f aca="false">D10/$D$2</f>
        <v>1032.27433182047</v>
      </c>
      <c r="G10" s="7" t="n">
        <v>2060.64</v>
      </c>
      <c r="H10" s="9" t="n">
        <v>30.5</v>
      </c>
      <c r="I10" s="7" t="n">
        <f aca="false">G10+H10</f>
        <v>2091.14</v>
      </c>
      <c r="J10" s="49" t="n">
        <f aca="false">IF(L10&gt;0,L10,0)</f>
        <v>317.116036308623</v>
      </c>
      <c r="K10" s="7" t="n">
        <f aca="false">I10+J10</f>
        <v>2408.25603630862</v>
      </c>
      <c r="L10" s="7" t="n">
        <f aca="false">F10-(I10-W10)</f>
        <v>317.116036308623</v>
      </c>
      <c r="M10" s="7" t="n">
        <v>250.18</v>
      </c>
      <c r="N10" s="7" t="n">
        <f aca="false">((AF10-AF8)*1.05)/$D$2</f>
        <v>29.1225416036309</v>
      </c>
      <c r="O10" s="7" t="n">
        <f aca="false">M10-N10</f>
        <v>221.057458396369</v>
      </c>
      <c r="P10" s="7" t="n">
        <v>113.45</v>
      </c>
      <c r="Q10" s="7" t="n">
        <f aca="false">(AE10-AE8)/$D$2</f>
        <v>79.6772566817953</v>
      </c>
      <c r="R10" s="7" t="n">
        <f aca="false">SUM(O10:Q10)</f>
        <v>414.184715078164</v>
      </c>
      <c r="S10" s="8"/>
      <c r="T10" s="7" t="n">
        <f aca="false">(AD10-AD8)/$D$2</f>
        <v>113.464447806354</v>
      </c>
      <c r="U10" s="7" t="n">
        <v>819.21</v>
      </c>
      <c r="V10" s="8" t="n">
        <v>8560</v>
      </c>
      <c r="W10" s="7" t="n">
        <f aca="false">N10+R10+T10+U10</f>
        <v>1375.98170448815</v>
      </c>
      <c r="X10" s="7" t="n">
        <f aca="false">IF(L10&lt;0,L10*-1,0)</f>
        <v>0</v>
      </c>
      <c r="Y10" s="7" t="n">
        <f aca="false">W10+X10</f>
        <v>1375.98170448815</v>
      </c>
      <c r="Z10" s="11" t="n">
        <v>0</v>
      </c>
      <c r="AA10" s="12" t="n">
        <v>80</v>
      </c>
      <c r="AB10" s="12" t="n">
        <v>42</v>
      </c>
      <c r="AC10" s="13" t="n">
        <v>1</v>
      </c>
      <c r="AD10" s="12" t="n">
        <v>5680</v>
      </c>
      <c r="AE10" s="12" t="n">
        <v>4492</v>
      </c>
      <c r="AF10" s="98" t="n">
        <v>39</v>
      </c>
      <c r="AG10" s="7" t="n">
        <v>0</v>
      </c>
    </row>
    <row r="11" customFormat="false" ht="11.1" hidden="false" customHeight="true" outlineLevel="0" collapsed="false">
      <c r="A11" s="13" t="n">
        <f aca="false">A10+1</f>
        <v>2</v>
      </c>
      <c r="B11" s="27" t="n">
        <v>6924.11</v>
      </c>
      <c r="C11" s="8" t="n">
        <v>381653</v>
      </c>
      <c r="D11" s="12" t="n">
        <f aca="false">C11-C10</f>
        <v>1117</v>
      </c>
      <c r="E11" s="8" t="n">
        <f aca="false">C11-152000</f>
        <v>229653</v>
      </c>
      <c r="F11" s="7" t="n">
        <f aca="false">D11/$D$2</f>
        <v>563.287947554211</v>
      </c>
      <c r="G11" s="7" t="n">
        <v>1874.66</v>
      </c>
      <c r="H11" s="9" t="n">
        <v>4.3</v>
      </c>
      <c r="I11" s="7" t="n">
        <f aca="false">G11+H11</f>
        <v>1878.96</v>
      </c>
      <c r="J11" s="49" t="n">
        <f aca="false">IF(L11&gt;0,L11,0)</f>
        <v>309.826802824004</v>
      </c>
      <c r="K11" s="7" t="n">
        <f aca="false">I11+J11</f>
        <v>2188.786802824</v>
      </c>
      <c r="L11" s="7" t="n">
        <f aca="false">F11-(I11-W11)</f>
        <v>309.826802824004</v>
      </c>
      <c r="M11" s="7" t="n">
        <v>248.25</v>
      </c>
      <c r="N11" s="7" t="n">
        <f aca="false">((AF11-AF10)*1.05)/$D$2</f>
        <v>36.821482602118</v>
      </c>
      <c r="O11" s="7" t="n">
        <f aca="false">M11-N11</f>
        <v>211.428517397882</v>
      </c>
      <c r="P11" s="7" t="n">
        <v>113.45</v>
      </c>
      <c r="Q11" s="7" t="n">
        <f aca="false">(AE11-AE10)/$D$2</f>
        <v>83.7115481593545</v>
      </c>
      <c r="R11" s="7" t="n">
        <f aca="false">SUM(O11:Q11)</f>
        <v>408.590065557237</v>
      </c>
      <c r="S11" s="8"/>
      <c r="T11" s="7" t="n">
        <f aca="false">(AD11-AD10)/$D$2</f>
        <v>114.977307110439</v>
      </c>
      <c r="U11" s="7" t="n">
        <v>1065.11</v>
      </c>
      <c r="V11" s="8" t="n">
        <v>8560</v>
      </c>
      <c r="W11" s="7" t="n">
        <f aca="false">N11+R11+T11+U11</f>
        <v>1625.49885526979</v>
      </c>
      <c r="X11" s="7" t="n">
        <f aca="false">IF(L11&lt;0,L11*-1,0)</f>
        <v>0</v>
      </c>
      <c r="Y11" s="7" t="n">
        <f aca="false">W11+X11</f>
        <v>1625.49885526979</v>
      </c>
      <c r="Z11" s="11" t="n">
        <v>0</v>
      </c>
      <c r="AA11" s="12" t="n">
        <v>81</v>
      </c>
      <c r="AB11" s="12" t="n">
        <v>47</v>
      </c>
      <c r="AC11" s="13" t="n">
        <f aca="false">AC10+1</f>
        <v>2</v>
      </c>
      <c r="AD11" s="12" t="n">
        <v>5908</v>
      </c>
      <c r="AE11" s="12" t="n">
        <v>4658</v>
      </c>
      <c r="AF11" s="0" t="n">
        <v>108.54</v>
      </c>
      <c r="AG11" s="7" t="n">
        <v>0</v>
      </c>
    </row>
    <row r="12" customFormat="false" ht="11.1" hidden="false" customHeight="true" outlineLevel="0" collapsed="false">
      <c r="A12" s="13" t="n">
        <f aca="false">A11+1</f>
        <v>3</v>
      </c>
      <c r="B12" s="27" t="n">
        <v>6924.32</v>
      </c>
      <c r="C12" s="8" t="n">
        <v>382595</v>
      </c>
      <c r="D12" s="12" t="n">
        <f aca="false">C12-C11</f>
        <v>942</v>
      </c>
      <c r="E12" s="8" t="n">
        <f aca="false">C12-152000</f>
        <v>230595</v>
      </c>
      <c r="F12" s="7" t="n">
        <f aca="false">D12/$D$2</f>
        <v>475.037821482602</v>
      </c>
      <c r="G12" s="7" t="n">
        <v>1792.85</v>
      </c>
      <c r="H12" s="9" t="n">
        <v>1.7</v>
      </c>
      <c r="I12" s="7" t="n">
        <f aca="false">G12+H12</f>
        <v>1794.55</v>
      </c>
      <c r="J12" s="49" t="n">
        <f aca="false">IF(L12&gt;0,L12,0)</f>
        <v>610.750943015633</v>
      </c>
      <c r="K12" s="7" t="n">
        <f aca="false">I12+J12</f>
        <v>2405.30094301563</v>
      </c>
      <c r="L12" s="7" t="n">
        <f aca="false">F12-(I12-W12)</f>
        <v>610.750943015633</v>
      </c>
      <c r="M12" s="7" t="n">
        <v>258.43</v>
      </c>
      <c r="N12" s="7" t="n">
        <f aca="false">((AF12-AF11)*1.05)/$D$2</f>
        <v>35.6036308623298</v>
      </c>
      <c r="O12" s="7" t="n">
        <f aca="false">M12-N12</f>
        <v>222.82636913767</v>
      </c>
      <c r="P12" s="7" t="n">
        <v>113.97</v>
      </c>
      <c r="Q12" s="7" t="n">
        <f aca="false">(AE12-AE11)/$D$2</f>
        <v>79.1729702471004</v>
      </c>
      <c r="R12" s="7" t="n">
        <f aca="false">SUM(O12:Q12)</f>
        <v>415.969339384771</v>
      </c>
      <c r="S12" s="8"/>
      <c r="T12" s="7" t="n">
        <f aca="false">(AD12-AD11)/$D$2</f>
        <v>105.90015128593</v>
      </c>
      <c r="U12" s="7" t="n">
        <v>1372.79</v>
      </c>
      <c r="V12" s="8" t="n">
        <v>8560</v>
      </c>
      <c r="W12" s="7" t="n">
        <f aca="false">N12+R12+T12+U12</f>
        <v>1930.26312153303</v>
      </c>
      <c r="X12" s="7" t="n">
        <f aca="false">IF(L12&lt;0,L12*-1,0)</f>
        <v>0</v>
      </c>
      <c r="Y12" s="7" t="n">
        <f aca="false">W12+X12</f>
        <v>1930.26312153303</v>
      </c>
      <c r="Z12" s="11" t="n">
        <v>0</v>
      </c>
      <c r="AA12" s="12" t="n">
        <v>82</v>
      </c>
      <c r="AB12" s="12" t="n">
        <v>56</v>
      </c>
      <c r="AC12" s="13" t="n">
        <f aca="false">AC11+1</f>
        <v>3</v>
      </c>
      <c r="AD12" s="12" t="n">
        <v>6118</v>
      </c>
      <c r="AE12" s="12" t="n">
        <v>4815</v>
      </c>
      <c r="AF12" s="0" t="n">
        <v>175.78</v>
      </c>
      <c r="AG12" s="7" t="n">
        <v>0</v>
      </c>
    </row>
    <row r="13" customFormat="false" ht="11.1" hidden="false" customHeight="true" outlineLevel="0" collapsed="false">
      <c r="A13" s="13" t="n">
        <f aca="false">A12+1</f>
        <v>4</v>
      </c>
      <c r="B13" s="27" t="n">
        <v>6924.26</v>
      </c>
      <c r="C13" s="8" t="n">
        <v>382325</v>
      </c>
      <c r="D13" s="12" t="n">
        <f aca="false">C13-C12</f>
        <v>-270</v>
      </c>
      <c r="E13" s="8" t="n">
        <f aca="false">C13-152000</f>
        <v>230325</v>
      </c>
      <c r="F13" s="7" t="n">
        <f aca="false">D13/$D$2</f>
        <v>-136.157337367625</v>
      </c>
      <c r="G13" s="7" t="n">
        <v>1810.55</v>
      </c>
      <c r="H13" s="9" t="n">
        <v>0</v>
      </c>
      <c r="I13" s="7" t="n">
        <f aca="false">G13+H13</f>
        <v>1810.55</v>
      </c>
      <c r="J13" s="49" t="n">
        <f aca="false">IF(L13&gt;0,L13,0)</f>
        <v>45.8043469490673</v>
      </c>
      <c r="K13" s="7" t="n">
        <f aca="false">I13+J13</f>
        <v>1856.35434694907</v>
      </c>
      <c r="L13" s="7" t="n">
        <f aca="false">F13-(I13-W13)</f>
        <v>45.8043469490673</v>
      </c>
      <c r="M13" s="7" t="n">
        <v>247.54</v>
      </c>
      <c r="N13" s="7" t="n">
        <f aca="false">((AF13-AF12)*1.05)/$D$2</f>
        <v>41.3540090771558</v>
      </c>
      <c r="O13" s="7" t="n">
        <f aca="false">M13-N13</f>
        <v>206.185990922844</v>
      </c>
      <c r="P13" s="7" t="n">
        <v>114.5</v>
      </c>
      <c r="Q13" s="7" t="n">
        <f aca="false">(AE13-AE12)/$D$2</f>
        <v>78.6686838124055</v>
      </c>
      <c r="R13" s="7" t="n">
        <f aca="false">SUM(O13:Q13)</f>
        <v>399.35467473525</v>
      </c>
      <c r="S13" s="8"/>
      <c r="T13" s="7" t="n">
        <f aca="false">(AD13-AD12)/$D$2</f>
        <v>100.353000504286</v>
      </c>
      <c r="U13" s="7" t="n">
        <v>1451.45</v>
      </c>
      <c r="V13" s="8" t="n">
        <v>8560</v>
      </c>
      <c r="W13" s="7" t="n">
        <f aca="false">N13+R13+T13+U13</f>
        <v>1992.51168431669</v>
      </c>
      <c r="X13" s="7" t="n">
        <f aca="false">IF(L13&lt;0,L13*-1,0)</f>
        <v>0</v>
      </c>
      <c r="Y13" s="7" t="n">
        <f aca="false">W13+X13</f>
        <v>1992.51168431669</v>
      </c>
      <c r="Z13" s="11" t="n">
        <v>0</v>
      </c>
      <c r="AA13" s="12" t="n">
        <v>83</v>
      </c>
      <c r="AB13" s="12" t="n">
        <v>53</v>
      </c>
      <c r="AC13" s="13" t="n">
        <f aca="false">AC12+1</f>
        <v>4</v>
      </c>
      <c r="AD13" s="12" t="n">
        <v>6317</v>
      </c>
      <c r="AE13" s="12" t="n">
        <v>4971</v>
      </c>
      <c r="AF13" s="0" t="n">
        <v>253.88</v>
      </c>
      <c r="AG13" s="7" t="n">
        <v>13</v>
      </c>
    </row>
    <row r="14" customFormat="false" ht="11.1" hidden="false" customHeight="true" outlineLevel="0" collapsed="false">
      <c r="A14" s="13" t="n">
        <f aca="false">A13+1</f>
        <v>5</v>
      </c>
      <c r="B14" s="27" t="n">
        <v>6924.2</v>
      </c>
      <c r="C14" s="8" t="n">
        <v>382058</v>
      </c>
      <c r="D14" s="12" t="n">
        <f aca="false">C14-C13</f>
        <v>-267</v>
      </c>
      <c r="E14" s="8" t="n">
        <f aca="false">C14-152000</f>
        <v>230058</v>
      </c>
      <c r="F14" s="7" t="n">
        <f aca="false">D14/$D$2</f>
        <v>-134.64447806354</v>
      </c>
      <c r="G14" s="7" t="n">
        <v>1612.23</v>
      </c>
      <c r="H14" s="9" t="n">
        <v>0</v>
      </c>
      <c r="I14" s="7" t="n">
        <f aca="false">G14+H14</f>
        <v>1612.23</v>
      </c>
      <c r="J14" s="49" t="n">
        <f aca="false">IF(L14&gt;0,L14,0)</f>
        <v>249.401492687847</v>
      </c>
      <c r="K14" s="7" t="n">
        <f aca="false">I14+J14</f>
        <v>1861.63149268785</v>
      </c>
      <c r="L14" s="7" t="n">
        <f aca="false">F14-(I14-W14)</f>
        <v>249.401492687847</v>
      </c>
      <c r="M14" s="7" t="n">
        <v>250.21</v>
      </c>
      <c r="N14" s="7" t="n">
        <f aca="false">((AF14-AF13)*1.05)/$D$2</f>
        <v>26.1361573373676</v>
      </c>
      <c r="O14" s="7" t="n">
        <f aca="false">M14-N14</f>
        <v>224.073842662632</v>
      </c>
      <c r="P14" s="7" t="n">
        <v>114.4</v>
      </c>
      <c r="Q14" s="7" t="n">
        <f aca="false">(AE14-AE13)/$D$2</f>
        <v>79.6772566817953</v>
      </c>
      <c r="R14" s="7" t="n">
        <f aca="false">SUM(O14:Q14)</f>
        <v>418.151099344428</v>
      </c>
      <c r="S14" s="8"/>
      <c r="T14" s="7" t="n">
        <f aca="false">(AD14-AD13)/$D$2</f>
        <v>99.8487140695915</v>
      </c>
      <c r="U14" s="7" t="n">
        <v>1452.14</v>
      </c>
      <c r="V14" s="8" t="n">
        <v>8560</v>
      </c>
      <c r="W14" s="7" t="n">
        <f aca="false">N14+R14+T14+U14</f>
        <v>1996.27597075139</v>
      </c>
      <c r="X14" s="7" t="n">
        <f aca="false">IF(L14&lt;0,L14*-1,0)</f>
        <v>0</v>
      </c>
      <c r="Y14" s="7" t="n">
        <f aca="false">W14+X14</f>
        <v>1996.27597075139</v>
      </c>
      <c r="Z14" s="11" t="n">
        <v>0</v>
      </c>
      <c r="AA14" s="12" t="n">
        <v>83</v>
      </c>
      <c r="AB14" s="12" t="n">
        <v>44</v>
      </c>
      <c r="AC14" s="13" t="n">
        <f aca="false">AC13+1</f>
        <v>5</v>
      </c>
      <c r="AD14" s="12" t="n">
        <v>6515</v>
      </c>
      <c r="AE14" s="12" t="n">
        <v>5129</v>
      </c>
      <c r="AF14" s="0" t="n">
        <v>303.24</v>
      </c>
      <c r="AG14" s="7" t="n">
        <v>13</v>
      </c>
    </row>
    <row r="15" customFormat="false" ht="11.1" hidden="false" customHeight="true" outlineLevel="0" collapsed="false">
      <c r="A15" s="13" t="n">
        <f aca="false">A14+1</f>
        <v>6</v>
      </c>
      <c r="B15" s="27" t="n">
        <v>6924.18</v>
      </c>
      <c r="C15" s="8" t="n">
        <v>381968</v>
      </c>
      <c r="D15" s="12" t="n">
        <f aca="false">C15-C14</f>
        <v>-90</v>
      </c>
      <c r="E15" s="8" t="n">
        <f aca="false">C15-152000</f>
        <v>229968</v>
      </c>
      <c r="F15" s="7" t="n">
        <f aca="false">D15/$D$2</f>
        <v>-45.3857791225416</v>
      </c>
      <c r="G15" s="7" t="n">
        <v>1467.65</v>
      </c>
      <c r="H15" s="9" t="n">
        <v>0</v>
      </c>
      <c r="I15" s="7" t="n">
        <f aca="false">G15+H15</f>
        <v>1467.65</v>
      </c>
      <c r="J15" s="49" t="n">
        <f aca="false">IF(L15&gt;0,L15,0)</f>
        <v>317.321598587998</v>
      </c>
      <c r="K15" s="7" t="n">
        <f aca="false">I15+J15</f>
        <v>1784.971598588</v>
      </c>
      <c r="L15" s="7" t="n">
        <f aca="false">F15-(I15-W15)</f>
        <v>317.321598587998</v>
      </c>
      <c r="M15" s="7" t="n">
        <v>239.7</v>
      </c>
      <c r="N15" s="7" t="n">
        <f aca="false">((AF15-AF14)*1.05)/$D$2</f>
        <v>31.5</v>
      </c>
      <c r="O15" s="7" t="n">
        <f aca="false">M15-N15</f>
        <v>208.2</v>
      </c>
      <c r="P15" s="7" t="n">
        <v>114.16</v>
      </c>
      <c r="Q15" s="7" t="n">
        <f aca="false">(AE15-AE14)/$D$2</f>
        <v>81.19011598588</v>
      </c>
      <c r="R15" s="7" t="n">
        <f aca="false">SUM(O15:Q15)</f>
        <v>403.55011598588</v>
      </c>
      <c r="S15" s="8"/>
      <c r="T15" s="7" t="n">
        <f aca="false">(AD15-AD14)/$D$2</f>
        <v>83.2072617246596</v>
      </c>
      <c r="U15" s="7" t="n">
        <v>1312.1</v>
      </c>
      <c r="V15" s="8" t="n">
        <v>8560</v>
      </c>
      <c r="W15" s="7" t="n">
        <f aca="false">N15+R15+T15+U15</f>
        <v>1830.35737771054</v>
      </c>
      <c r="X15" s="7" t="n">
        <f aca="false">IF(L15&lt;0,L15*-1,0)</f>
        <v>0</v>
      </c>
      <c r="Y15" s="7" t="n">
        <f aca="false">W15+X15</f>
        <v>1830.35737771054</v>
      </c>
      <c r="Z15" s="11" t="n">
        <v>0</v>
      </c>
      <c r="AA15" s="12" t="n">
        <v>80</v>
      </c>
      <c r="AB15" s="12" t="n">
        <v>44</v>
      </c>
      <c r="AC15" s="13" t="n">
        <f aca="false">AC14+1</f>
        <v>6</v>
      </c>
      <c r="AD15" s="12" t="n">
        <v>6680</v>
      </c>
      <c r="AE15" s="12" t="n">
        <v>5290</v>
      </c>
      <c r="AF15" s="0" t="n">
        <v>362.73</v>
      </c>
      <c r="AG15" s="7" t="n">
        <v>15</v>
      </c>
    </row>
    <row r="16" customFormat="false" ht="11.1" hidden="false" customHeight="true" outlineLevel="0" collapsed="false">
      <c r="A16" s="13" t="n">
        <f aca="false">A15+1</f>
        <v>7</v>
      </c>
      <c r="B16" s="27" t="n">
        <v>6924.16</v>
      </c>
      <c r="C16" s="8" t="n">
        <v>381879</v>
      </c>
      <c r="D16" s="12" t="n">
        <f aca="false">C16-C15</f>
        <v>-89</v>
      </c>
      <c r="E16" s="8" t="n">
        <f aca="false">C16-152000</f>
        <v>229879</v>
      </c>
      <c r="F16" s="7" t="n">
        <f aca="false">D16/$D$2</f>
        <v>-44.8814926878467</v>
      </c>
      <c r="G16" s="7" t="n">
        <v>1317.82</v>
      </c>
      <c r="H16" s="9" t="n">
        <v>0</v>
      </c>
      <c r="I16" s="7" t="n">
        <f aca="false">G16+H16</f>
        <v>1317.82</v>
      </c>
      <c r="J16" s="49" t="n">
        <f aca="false">IF(L16&gt;0,L16,0)</f>
        <v>283.41447806354</v>
      </c>
      <c r="K16" s="7" t="n">
        <f aca="false">I16+J16</f>
        <v>1601.23447806354</v>
      </c>
      <c r="L16" s="7" t="n">
        <f aca="false">F16-(I16-W16)</f>
        <v>283.41447806354</v>
      </c>
      <c r="M16" s="7" t="n">
        <v>244.55</v>
      </c>
      <c r="N16" s="7" t="n">
        <f aca="false">((AF16-AF15)*1.05)/$D$2</f>
        <v>28.7571860816944</v>
      </c>
      <c r="O16" s="7" t="n">
        <f aca="false">M16-N16</f>
        <v>215.792813918306</v>
      </c>
      <c r="P16" s="7" t="n">
        <v>114.55</v>
      </c>
      <c r="Q16" s="7" t="n">
        <f aca="false">(AE16-AE15)/$D$2</f>
        <v>80.6858295511851</v>
      </c>
      <c r="R16" s="7" t="n">
        <f aca="false">SUM(O16:Q16)</f>
        <v>411.028643469491</v>
      </c>
      <c r="S16" s="8"/>
      <c r="T16" s="7" t="n">
        <f aca="false">(AD16-AD15)/$D$2</f>
        <v>98.8401412002017</v>
      </c>
      <c r="U16" s="7" t="n">
        <v>1107.49</v>
      </c>
      <c r="V16" s="8" t="n">
        <v>8560</v>
      </c>
      <c r="W16" s="7" t="n">
        <f aca="false">N16+R16+T16+U16</f>
        <v>1646.11597075139</v>
      </c>
      <c r="X16" s="7" t="n">
        <f aca="false">IF(L16&lt;0,L16*-1,0)</f>
        <v>0</v>
      </c>
      <c r="Y16" s="7" t="n">
        <f aca="false">W16+X16</f>
        <v>1646.11597075139</v>
      </c>
      <c r="Z16" s="11" t="n">
        <v>0</v>
      </c>
      <c r="AA16" s="12" t="n">
        <v>76</v>
      </c>
      <c r="AB16" s="12" t="n">
        <v>44</v>
      </c>
      <c r="AC16" s="13" t="n">
        <f aca="false">AC15+1</f>
        <v>7</v>
      </c>
      <c r="AD16" s="12" t="n">
        <v>6876</v>
      </c>
      <c r="AE16" s="12" t="n">
        <v>5450</v>
      </c>
      <c r="AF16" s="0" t="n">
        <v>417.04</v>
      </c>
      <c r="AG16" s="7" t="n">
        <v>15</v>
      </c>
    </row>
    <row r="17" customFormat="false" ht="11.1" hidden="false" customHeight="true" outlineLevel="0" collapsed="false">
      <c r="A17" s="13" t="n">
        <f aca="false">A16+1</f>
        <v>8</v>
      </c>
      <c r="B17" s="27" t="n">
        <v>6924.16</v>
      </c>
      <c r="C17" s="8" t="n">
        <v>381879</v>
      </c>
      <c r="D17" s="12" t="n">
        <f aca="false">C17-C16</f>
        <v>0</v>
      </c>
      <c r="E17" s="8" t="n">
        <f aca="false">C17-152000</f>
        <v>229879</v>
      </c>
      <c r="F17" s="7" t="n">
        <f aca="false">D17/$D$2</f>
        <v>0</v>
      </c>
      <c r="G17" s="7" t="n">
        <v>1208.36</v>
      </c>
      <c r="H17" s="9" t="n">
        <v>0</v>
      </c>
      <c r="I17" s="7" t="n">
        <f aca="false">G17+H17</f>
        <v>1208.36</v>
      </c>
      <c r="J17" s="49" t="n">
        <f aca="false">IF(L17&gt;0,L17,0)</f>
        <v>163.850176500252</v>
      </c>
      <c r="K17" s="7" t="n">
        <f aca="false">I17+J17</f>
        <v>1372.21017650025</v>
      </c>
      <c r="L17" s="7" t="n">
        <f aca="false">F17-(I17-W17)</f>
        <v>163.850176500252</v>
      </c>
      <c r="M17" s="7" t="n">
        <v>243.41</v>
      </c>
      <c r="N17" s="7" t="n">
        <f aca="false">((AF17-AF16)*1.05)/$D$2</f>
        <v>31.9553706505295</v>
      </c>
      <c r="O17" s="7" t="n">
        <f aca="false">M17-N17</f>
        <v>211.454629349471</v>
      </c>
      <c r="P17" s="7" t="n">
        <v>114.36</v>
      </c>
      <c r="Q17" s="7" t="n">
        <f aca="false">(AE17-AE16)/$D$2</f>
        <v>80.6858295511851</v>
      </c>
      <c r="R17" s="7" t="n">
        <f aca="false">SUM(O17:Q17)</f>
        <v>406.500458900656</v>
      </c>
      <c r="S17" s="8"/>
      <c r="T17" s="7" t="n">
        <f aca="false">(AD17-AD16)/$D$2</f>
        <v>42.8643469490671</v>
      </c>
      <c r="U17" s="7" t="n">
        <v>890.89</v>
      </c>
      <c r="V17" s="8" t="n">
        <v>8560</v>
      </c>
      <c r="W17" s="7" t="n">
        <f aca="false">N17+R17+T17+U17</f>
        <v>1372.21017650025</v>
      </c>
      <c r="X17" s="7" t="n">
        <f aca="false">IF(L17&lt;0,L17*-1,0)</f>
        <v>0</v>
      </c>
      <c r="Y17" s="7" t="n">
        <f aca="false">W17+X17</f>
        <v>1372.21017650025</v>
      </c>
      <c r="Z17" s="11" t="n">
        <v>0</v>
      </c>
      <c r="AA17" s="12" t="n">
        <v>83</v>
      </c>
      <c r="AB17" s="12" t="n">
        <v>41</v>
      </c>
      <c r="AC17" s="13" t="n">
        <f aca="false">AC16+1</f>
        <v>8</v>
      </c>
      <c r="AD17" s="12" t="n">
        <v>6961</v>
      </c>
      <c r="AE17" s="12" t="n">
        <v>5610</v>
      </c>
      <c r="AF17" s="0" t="n">
        <v>477.39</v>
      </c>
      <c r="AG17" s="7" t="n">
        <v>15</v>
      </c>
    </row>
    <row r="18" customFormat="false" ht="11.1" hidden="false" customHeight="true" outlineLevel="0" collapsed="false">
      <c r="A18" s="13" t="n">
        <f aca="false">A17+1</f>
        <v>9</v>
      </c>
      <c r="B18" s="27" t="n">
        <v>6924.15</v>
      </c>
      <c r="C18" s="8" t="n">
        <v>381833</v>
      </c>
      <c r="D18" s="12" t="n">
        <f aca="false">C18-C17</f>
        <v>-46</v>
      </c>
      <c r="E18" s="8" t="n">
        <f aca="false">C18-152000</f>
        <v>229833</v>
      </c>
      <c r="F18" s="7" t="n">
        <f aca="false">D18/$D$2</f>
        <v>-23.1971759959657</v>
      </c>
      <c r="G18" s="7" t="n">
        <v>1091.56</v>
      </c>
      <c r="H18" s="9" t="n">
        <v>0</v>
      </c>
      <c r="I18" s="7" t="n">
        <f aca="false">G18+H18</f>
        <v>1091.56</v>
      </c>
      <c r="J18" s="49" t="n">
        <f aca="false">IF(L18&gt;0,L18,0)</f>
        <v>206.843035804337</v>
      </c>
      <c r="K18" s="7" t="n">
        <f aca="false">I18+J18</f>
        <v>1298.40303580434</v>
      </c>
      <c r="L18" s="7" t="n">
        <f aca="false">F18-(I18-W18)</f>
        <v>206.843035804337</v>
      </c>
      <c r="M18" s="7" t="n">
        <v>241.92</v>
      </c>
      <c r="N18" s="7" t="n">
        <f aca="false">((AF18-AF17)*1.05)/$D$2</f>
        <v>21.9319213313162</v>
      </c>
      <c r="O18" s="7" t="n">
        <f aca="false">M18-N18</f>
        <v>219.988078668684</v>
      </c>
      <c r="P18" s="7" t="n">
        <v>114.64</v>
      </c>
      <c r="Q18" s="7" t="n">
        <f aca="false">(AE18-AE17)/$D$2</f>
        <v>81.6944024205749</v>
      </c>
      <c r="R18" s="7" t="n">
        <f aca="false">SUM(O18:Q18)</f>
        <v>416.322481089259</v>
      </c>
      <c r="S18" s="8"/>
      <c r="T18" s="7" t="n">
        <f aca="false">(AD18-AD17)/$D$2</f>
        <v>66.5658093797277</v>
      </c>
      <c r="U18" s="7" t="n">
        <v>816.78</v>
      </c>
      <c r="V18" s="8" t="n">
        <v>8560</v>
      </c>
      <c r="W18" s="7" t="n">
        <f aca="false">N18+R18+T18+U18</f>
        <v>1321.6002118003</v>
      </c>
      <c r="X18" s="7" t="n">
        <f aca="false">IF(L18&lt;0,L18*-1,0)</f>
        <v>0</v>
      </c>
      <c r="Y18" s="7" t="n">
        <f aca="false">W18+X18</f>
        <v>1321.6002118003</v>
      </c>
      <c r="Z18" s="11" t="n">
        <v>0</v>
      </c>
      <c r="AA18" s="38" t="n">
        <v>79</v>
      </c>
      <c r="AB18" s="12" t="n">
        <v>46</v>
      </c>
      <c r="AC18" s="13" t="n">
        <f aca="false">AC17+1</f>
        <v>9</v>
      </c>
      <c r="AD18" s="12" t="n">
        <v>7093</v>
      </c>
      <c r="AE18" s="12" t="n">
        <v>5772</v>
      </c>
      <c r="AF18" s="0" t="n">
        <v>518.81</v>
      </c>
      <c r="AG18" s="7" t="n">
        <v>24</v>
      </c>
    </row>
    <row r="19" customFormat="false" ht="11.1" hidden="false" customHeight="true" outlineLevel="0" collapsed="false">
      <c r="A19" s="13" t="n">
        <f aca="false">A18+1</f>
        <v>10</v>
      </c>
      <c r="B19" s="27" t="n">
        <v>6924.08</v>
      </c>
      <c r="C19" s="8" t="n">
        <v>381519</v>
      </c>
      <c r="D19" s="12" t="n">
        <f aca="false">C19-C18</f>
        <v>-314</v>
      </c>
      <c r="E19" s="8" t="n">
        <f aca="false">C19-152000</f>
        <v>229519</v>
      </c>
      <c r="F19" s="7" t="n">
        <f aca="false">D19/$D$2</f>
        <v>-158.345940494201</v>
      </c>
      <c r="G19" s="7" t="n">
        <v>1002.73</v>
      </c>
      <c r="H19" s="9"/>
      <c r="I19" s="7" t="n">
        <f aca="false">G19+H19</f>
        <v>1002.73</v>
      </c>
      <c r="J19" s="49" t="n">
        <f aca="false">IF(L19&gt;0,L19,0)</f>
        <v>164.848557740797</v>
      </c>
      <c r="K19" s="7" t="n">
        <f aca="false">I19+J19</f>
        <v>1167.5785577408</v>
      </c>
      <c r="L19" s="7" t="n">
        <f aca="false">F19-(I19-W19)</f>
        <v>164.848557740797</v>
      </c>
      <c r="M19" s="7" t="n">
        <v>246.05</v>
      </c>
      <c r="N19" s="7" t="n">
        <f aca="false">((AF19-AF18)*1.05)/$D$2</f>
        <v>25.3048411497731</v>
      </c>
      <c r="O19" s="7" t="n">
        <f aca="false">M19-N19</f>
        <v>220.745158850227</v>
      </c>
      <c r="P19" s="7" t="n">
        <v>114.02</v>
      </c>
      <c r="Q19" s="7" t="n">
        <f aca="false">(AE19-AE18)/$D$2</f>
        <v>80.6858295511851</v>
      </c>
      <c r="R19" s="7" t="n">
        <f aca="false">SUM(O19:Q19)</f>
        <v>415.450988401412</v>
      </c>
      <c r="S19" s="8"/>
      <c r="T19" s="7" t="n">
        <f aca="false">(AD19-AD18)/$D$2</f>
        <v>68.0786686838124</v>
      </c>
      <c r="U19" s="7" t="n">
        <v>817.09</v>
      </c>
      <c r="V19" s="8" t="n">
        <v>8560</v>
      </c>
      <c r="W19" s="7" t="n">
        <f aca="false">N19+R19+T19+U19</f>
        <v>1325.924498235</v>
      </c>
      <c r="X19" s="7" t="n">
        <f aca="false">IF(L19&lt;0,L19*-1,0)</f>
        <v>0</v>
      </c>
      <c r="Y19" s="7" t="n">
        <f aca="false">W19+X19</f>
        <v>1325.924498235</v>
      </c>
      <c r="Z19" s="11" t="n">
        <v>0</v>
      </c>
      <c r="AA19" s="12" t="n">
        <v>81</v>
      </c>
      <c r="AB19" s="12" t="n">
        <v>46</v>
      </c>
      <c r="AC19" s="13" t="n">
        <f aca="false">AC18+1</f>
        <v>10</v>
      </c>
      <c r="AD19" s="12" t="n">
        <v>7228</v>
      </c>
      <c r="AE19" s="12" t="n">
        <v>5932</v>
      </c>
      <c r="AF19" s="0" t="n">
        <v>566.6</v>
      </c>
      <c r="AG19" s="7" t="n">
        <v>23</v>
      </c>
    </row>
    <row r="20" customFormat="false" ht="11.1" hidden="false" customHeight="true" outlineLevel="0" collapsed="false">
      <c r="A20" s="13" t="n">
        <f aca="false">A19+1</f>
        <v>11</v>
      </c>
      <c r="B20" s="27" t="n">
        <v>6924</v>
      </c>
      <c r="C20" s="8" t="n">
        <v>381160</v>
      </c>
      <c r="D20" s="12" t="n">
        <f aca="false">C20-C19</f>
        <v>-359</v>
      </c>
      <c r="E20" s="8" t="n">
        <f aca="false">C20-152000</f>
        <v>229160</v>
      </c>
      <c r="F20" s="7" t="n">
        <f aca="false">D20/$D$2</f>
        <v>-181.038830055472</v>
      </c>
      <c r="G20" s="7" t="n">
        <v>973.68</v>
      </c>
      <c r="H20" s="9"/>
      <c r="I20" s="7" t="n">
        <f aca="false">G20+H20</f>
        <v>973.68</v>
      </c>
      <c r="J20" s="49" t="n">
        <f aca="false">IF(L20&gt;0,L20,0)</f>
        <v>179.598532526475</v>
      </c>
      <c r="K20" s="7" t="n">
        <f aca="false">I20+J20</f>
        <v>1153.27853252648</v>
      </c>
      <c r="L20" s="7" t="n">
        <f aca="false">F20-(I20-W20)</f>
        <v>179.598532526475</v>
      </c>
      <c r="M20" s="7" t="n">
        <v>246.87</v>
      </c>
      <c r="N20" s="7" t="n">
        <f aca="false">((AF20-AF19)*1.05)/$D$2</f>
        <v>25.0030257186082</v>
      </c>
      <c r="O20" s="7" t="n">
        <f aca="false">M20-N20</f>
        <v>221.866974281392</v>
      </c>
      <c r="P20" s="7" t="n">
        <v>114.12</v>
      </c>
      <c r="Q20" s="7" t="n">
        <f aca="false">(AE20-AE19)/$D$2</f>
        <v>82.7029752899647</v>
      </c>
      <c r="R20" s="7" t="n">
        <f aca="false">SUM(O20:Q20)</f>
        <v>418.689949571357</v>
      </c>
      <c r="S20" s="8"/>
      <c r="T20" s="7" t="n">
        <f aca="false">(AD20-AD19)/$D$2</f>
        <v>71.1043872919818</v>
      </c>
      <c r="U20" s="7" t="n">
        <v>819.52</v>
      </c>
      <c r="V20" s="8" t="n">
        <v>8560</v>
      </c>
      <c r="W20" s="7" t="n">
        <f aca="false">N20+R20+T20+U20</f>
        <v>1334.31736258195</v>
      </c>
      <c r="X20" s="7" t="n">
        <f aca="false">IF(L20&lt;0,L20*-1,0)</f>
        <v>0</v>
      </c>
      <c r="Y20" s="7" t="n">
        <f aca="false">W20+X20</f>
        <v>1334.31736258195</v>
      </c>
      <c r="Z20" s="11" t="n">
        <v>0</v>
      </c>
      <c r="AA20" s="12" t="n">
        <v>83</v>
      </c>
      <c r="AB20" s="12" t="n">
        <v>50</v>
      </c>
      <c r="AC20" s="13" t="n">
        <f aca="false">AC19+1</f>
        <v>11</v>
      </c>
      <c r="AD20" s="12" t="n">
        <v>7369</v>
      </c>
      <c r="AE20" s="12" t="n">
        <v>6096</v>
      </c>
      <c r="AF20" s="0" t="n">
        <v>613.82</v>
      </c>
      <c r="AG20" s="7" t="n">
        <v>23</v>
      </c>
    </row>
    <row r="21" customFormat="false" ht="11.1" hidden="false" customHeight="true" outlineLevel="0" collapsed="false">
      <c r="A21" s="13" t="n">
        <f aca="false">A20+1</f>
        <v>12</v>
      </c>
      <c r="B21" s="27" t="n">
        <v>6923.96</v>
      </c>
      <c r="C21" s="8" t="n">
        <v>380982</v>
      </c>
      <c r="D21" s="12" t="n">
        <f aca="false">C21-C20</f>
        <v>-178</v>
      </c>
      <c r="E21" s="8" t="n">
        <f aca="false">C21-152000</f>
        <v>228982</v>
      </c>
      <c r="F21" s="7" t="n">
        <f aca="false">D21/$D$2</f>
        <v>-89.7629853756934</v>
      </c>
      <c r="G21" s="7" t="n">
        <v>840.78</v>
      </c>
      <c r="H21" s="9"/>
      <c r="I21" s="7" t="n">
        <f aca="false">G21+H21</f>
        <v>840.78</v>
      </c>
      <c r="J21" s="49" t="n">
        <f aca="false">IF(L21&gt;0,L21,0)</f>
        <v>266.250085728694</v>
      </c>
      <c r="K21" s="7" t="n">
        <f aca="false">I21+J21</f>
        <v>1107.03008572869</v>
      </c>
      <c r="L21" s="7" t="n">
        <f aca="false">F21-(I21-W21)</f>
        <v>266.250085728694</v>
      </c>
      <c r="M21" s="7" t="n">
        <v>254.59</v>
      </c>
      <c r="N21" s="7" t="n">
        <f aca="false">((AF21-AF20)*1.05)/$D$2</f>
        <v>25.0824508320726</v>
      </c>
      <c r="O21" s="7" t="n">
        <f aca="false">M21-N21</f>
        <v>229.507549167927</v>
      </c>
      <c r="P21" s="7" t="n">
        <v>113.83</v>
      </c>
      <c r="Q21" s="7" t="n">
        <f aca="false">(AE21-AE20)/$D$2</f>
        <v>80.6858295511851</v>
      </c>
      <c r="R21" s="7" t="n">
        <f aca="false">SUM(O21:Q21)</f>
        <v>424.023378719112</v>
      </c>
      <c r="S21" s="8"/>
      <c r="T21" s="7" t="n">
        <f aca="false">(AD21-AD20)/$D$2</f>
        <v>69.0872415532022</v>
      </c>
      <c r="U21" s="7" t="n">
        <v>678.6</v>
      </c>
      <c r="V21" s="8" t="n">
        <v>8560</v>
      </c>
      <c r="W21" s="7" t="n">
        <f aca="false">N21+R21+T21+U21</f>
        <v>1196.79307110439</v>
      </c>
      <c r="X21" s="7" t="n">
        <f aca="false">IF(L21&lt;0,L21*-1,0)</f>
        <v>0</v>
      </c>
      <c r="Y21" s="7" t="n">
        <f aca="false">W21+X21</f>
        <v>1196.79307110439</v>
      </c>
      <c r="Z21" s="11" t="n">
        <v>0</v>
      </c>
      <c r="AA21" s="12" t="n">
        <v>85</v>
      </c>
      <c r="AB21" s="12" t="n">
        <v>52</v>
      </c>
      <c r="AC21" s="13" t="n">
        <f aca="false">AC20+1</f>
        <v>12</v>
      </c>
      <c r="AD21" s="12" t="n">
        <v>7506</v>
      </c>
      <c r="AE21" s="12" t="n">
        <v>6256</v>
      </c>
      <c r="AF21" s="0" t="n">
        <v>661.19</v>
      </c>
      <c r="AG21" s="7" t="n">
        <v>23</v>
      </c>
    </row>
    <row r="22" customFormat="false" ht="11.1" hidden="false" customHeight="true" outlineLevel="0" collapsed="false">
      <c r="A22" s="13" t="n">
        <f aca="false">A21+1</f>
        <v>13</v>
      </c>
      <c r="B22" s="27" t="n">
        <v>6923.91</v>
      </c>
      <c r="C22" s="8" t="n">
        <v>380760</v>
      </c>
      <c r="D22" s="12" t="n">
        <f aca="false">C22-C21</f>
        <v>-222</v>
      </c>
      <c r="E22" s="8" t="n">
        <f aca="false">C22-152000</f>
        <v>228760</v>
      </c>
      <c r="F22" s="7" t="n">
        <f aca="false">D22/$D$2</f>
        <v>-111.951588502269</v>
      </c>
      <c r="G22" s="7" t="n">
        <v>816.78</v>
      </c>
      <c r="H22" s="9"/>
      <c r="I22" s="7" t="n">
        <f aca="false">G22+H22</f>
        <v>816.78</v>
      </c>
      <c r="J22" s="49" t="n">
        <f aca="false">IF(L22&gt;0,L22,0)</f>
        <v>203.038648512355</v>
      </c>
      <c r="K22" s="7" t="n">
        <f aca="false">I22+J22</f>
        <v>1019.81864851236</v>
      </c>
      <c r="L22" s="7" t="n">
        <f aca="false">F22-(I22-W22)</f>
        <v>203.038648512355</v>
      </c>
      <c r="M22" s="7" t="n">
        <v>245.09</v>
      </c>
      <c r="N22" s="7" t="n">
        <f aca="false">((AF22-AF21)*1.05)/$D$2</f>
        <v>25.6490166414523</v>
      </c>
      <c r="O22" s="7" t="n">
        <f aca="false">M22-N22</f>
        <v>219.440983358548</v>
      </c>
      <c r="P22" s="7" t="n">
        <v>113.64</v>
      </c>
      <c r="Q22" s="7" t="n">
        <f aca="false">(AE22-AE21)/$D$2</f>
        <v>81.6944024205749</v>
      </c>
      <c r="R22" s="7" t="n">
        <f aca="false">SUM(O22:Q22)</f>
        <v>414.775385779123</v>
      </c>
      <c r="S22" s="8"/>
      <c r="T22" s="7" t="n">
        <f aca="false">(AD22-AD21)/$D$2</f>
        <v>84.2158345940494</v>
      </c>
      <c r="U22" s="7" t="n">
        <v>607.13</v>
      </c>
      <c r="V22" s="8" t="n">
        <v>8560</v>
      </c>
      <c r="W22" s="7" t="n">
        <f aca="false">N22+R22+T22+U22</f>
        <v>1131.77023701462</v>
      </c>
      <c r="X22" s="7" t="n">
        <f aca="false">IF(L22&lt;0,L22*-1,0)</f>
        <v>0</v>
      </c>
      <c r="Y22" s="7" t="n">
        <f aca="false">W22+X22</f>
        <v>1131.77023701462</v>
      </c>
      <c r="Z22" s="11" t="n">
        <v>0</v>
      </c>
      <c r="AA22" s="12" t="n">
        <v>86</v>
      </c>
      <c r="AB22" s="12" t="n">
        <v>50</v>
      </c>
      <c r="AC22" s="13" t="n">
        <f aca="false">AC21+1</f>
        <v>13</v>
      </c>
      <c r="AD22" s="12" t="n">
        <v>7673</v>
      </c>
      <c r="AE22" s="12" t="n">
        <v>6418</v>
      </c>
      <c r="AF22" s="0" t="n">
        <v>709.63</v>
      </c>
      <c r="AG22" s="7" t="n">
        <v>28</v>
      </c>
    </row>
    <row r="23" customFormat="false" ht="11.1" hidden="false" customHeight="true" outlineLevel="0" collapsed="false">
      <c r="A23" s="13" t="n">
        <f aca="false">A22+1</f>
        <v>14</v>
      </c>
      <c r="B23" s="27" t="n">
        <v>6923.83</v>
      </c>
      <c r="C23" s="8" t="n">
        <v>380404</v>
      </c>
      <c r="D23" s="12" t="n">
        <f aca="false">C23-C22</f>
        <v>-356</v>
      </c>
      <c r="E23" s="8" t="n">
        <f aca="false">C23-152000</f>
        <v>228404</v>
      </c>
      <c r="F23" s="7" t="n">
        <f aca="false">D23/$D$2</f>
        <v>-179.525970751387</v>
      </c>
      <c r="G23" s="7" t="n">
        <v>786.49</v>
      </c>
      <c r="H23" s="9"/>
      <c r="I23" s="7" t="n">
        <f aca="false">G23+H23</f>
        <v>786.49</v>
      </c>
      <c r="J23" s="49" t="n">
        <f aca="false">IF(L23&gt;0,L23,0)</f>
        <v>59.2585577407967</v>
      </c>
      <c r="K23" s="7" t="n">
        <f aca="false">I23+J23</f>
        <v>845.748557740797</v>
      </c>
      <c r="L23" s="7" t="n">
        <f aca="false">F23-(I23-W23)</f>
        <v>59.2585577407967</v>
      </c>
      <c r="M23" s="7" t="n">
        <v>256.95</v>
      </c>
      <c r="N23" s="7" t="n">
        <f aca="false">((AF23-AF22)*1.05)/$D$2</f>
        <v>29.4349470499244</v>
      </c>
      <c r="O23" s="7" t="n">
        <f aca="false">M23-N23</f>
        <v>227.515052950076</v>
      </c>
      <c r="P23" s="7" t="n">
        <v>113.54</v>
      </c>
      <c r="Q23" s="7" t="n">
        <f aca="false">(AE23-AE22)/$D$2</f>
        <v>80.1815431164902</v>
      </c>
      <c r="R23" s="7" t="n">
        <f aca="false">SUM(O23:Q23)</f>
        <v>421.236596066566</v>
      </c>
      <c r="S23" s="8"/>
      <c r="T23" s="7" t="n">
        <f aca="false">(AD23-AD22)/$D$2</f>
        <v>89.7629853756934</v>
      </c>
      <c r="U23" s="7" t="n">
        <v>484.84</v>
      </c>
      <c r="V23" s="8" t="n">
        <v>8560</v>
      </c>
      <c r="W23" s="7" t="n">
        <f aca="false">N23+R23+T23+U23</f>
        <v>1025.27452849218</v>
      </c>
      <c r="X23" s="7" t="n">
        <f aca="false">IF(L23&lt;0,L23*-1,0)</f>
        <v>0</v>
      </c>
      <c r="Y23" s="7" t="n">
        <f aca="false">W23+X23</f>
        <v>1025.27452849218</v>
      </c>
      <c r="Z23" s="11" t="n">
        <v>0</v>
      </c>
      <c r="AA23" s="38" t="n">
        <v>84</v>
      </c>
      <c r="AB23" s="12" t="n">
        <v>48</v>
      </c>
      <c r="AC23" s="13" t="n">
        <f aca="false">AC22+1</f>
        <v>14</v>
      </c>
      <c r="AD23" s="12" t="n">
        <v>7851</v>
      </c>
      <c r="AE23" s="12" t="n">
        <v>6577</v>
      </c>
      <c r="AF23" s="0" t="n">
        <v>765.22</v>
      </c>
      <c r="AG23" s="7" t="n">
        <v>29</v>
      </c>
    </row>
    <row r="24" customFormat="false" ht="11.1" hidden="false" customHeight="true" outlineLevel="0" collapsed="false">
      <c r="A24" s="13" t="n">
        <f aca="false">A23+1</f>
        <v>15</v>
      </c>
      <c r="B24" s="27" t="n">
        <v>6923.81</v>
      </c>
      <c r="C24" s="8" t="n">
        <v>380315</v>
      </c>
      <c r="D24" s="12" t="n">
        <f aca="false">C24-C23</f>
        <v>-89</v>
      </c>
      <c r="E24" s="8" t="n">
        <f aca="false">C24-152000</f>
        <v>228315</v>
      </c>
      <c r="F24" s="7" t="n">
        <f aca="false">D24/$D$2</f>
        <v>-44.8814926878467</v>
      </c>
      <c r="G24" s="7" t="n">
        <v>698.53</v>
      </c>
      <c r="H24" s="9"/>
      <c r="I24" s="7" t="n">
        <f aca="false">G24+H24</f>
        <v>698.53</v>
      </c>
      <c r="J24" s="49" t="n">
        <f aca="false">IF(L24&gt;0,L24,0)</f>
        <v>75.5916439737771</v>
      </c>
      <c r="K24" s="7" t="n">
        <f aca="false">I24+J24</f>
        <v>774.121643973777</v>
      </c>
      <c r="L24" s="7" t="n">
        <f aca="false">F24-(I24-W24)</f>
        <v>75.5916439737771</v>
      </c>
      <c r="M24" s="7" t="n">
        <v>273.89</v>
      </c>
      <c r="N24" s="7" t="n">
        <f aca="false">((AF24-AF23)*1.05)/$D$2</f>
        <v>35.2170953101362</v>
      </c>
      <c r="O24" s="7" t="n">
        <f aca="false">M24-N24</f>
        <v>238.672904689864</v>
      </c>
      <c r="P24" s="7" t="n">
        <v>113.45</v>
      </c>
      <c r="Q24" s="7" t="n">
        <f aca="false">(AE24-AE23)/$D$2</f>
        <v>81.6944024205749</v>
      </c>
      <c r="R24" s="7" t="n">
        <f aca="false">SUM(O24:Q24)</f>
        <v>433.817307110439</v>
      </c>
      <c r="S24" s="8"/>
      <c r="T24" s="7" t="n">
        <f aca="false">(AD24-AD23)/$D$2</f>
        <v>113.968734241049</v>
      </c>
      <c r="U24" s="7" t="n">
        <v>236</v>
      </c>
      <c r="V24" s="8" t="n">
        <v>8560</v>
      </c>
      <c r="W24" s="7" t="n">
        <f aca="false">N24+R24+T24+U24</f>
        <v>819.003136661624</v>
      </c>
      <c r="X24" s="7" t="n">
        <f aca="false">IF(L24&lt;0,L24*-1,0)</f>
        <v>0</v>
      </c>
      <c r="Y24" s="7" t="n">
        <f aca="false">W24+X24</f>
        <v>819.003136661624</v>
      </c>
      <c r="Z24" s="11" t="n">
        <v>0</v>
      </c>
      <c r="AA24" s="38" t="n">
        <v>84</v>
      </c>
      <c r="AB24" s="12" t="n">
        <v>50</v>
      </c>
      <c r="AC24" s="13" t="n">
        <f aca="false">AC23+1</f>
        <v>15</v>
      </c>
      <c r="AD24" s="12" t="n">
        <v>8077</v>
      </c>
      <c r="AE24" s="12" t="n">
        <v>6739</v>
      </c>
      <c r="AF24" s="0" t="n">
        <v>831.73</v>
      </c>
      <c r="AG24" s="7" t="n">
        <v>28</v>
      </c>
    </row>
    <row r="25" customFormat="false" ht="11.1" hidden="false" customHeight="true" outlineLevel="0" collapsed="false">
      <c r="A25" s="13" t="n">
        <f aca="false">A24+1</f>
        <v>16</v>
      </c>
      <c r="B25" s="27" t="n">
        <v>6923.81</v>
      </c>
      <c r="C25" s="8" t="n">
        <v>380315</v>
      </c>
      <c r="D25" s="12" t="n">
        <f aca="false">C25-C24</f>
        <v>0</v>
      </c>
      <c r="E25" s="8" t="n">
        <f aca="false">C25-152000</f>
        <v>228315</v>
      </c>
      <c r="F25" s="7" t="n">
        <f aca="false">D25/$D$2</f>
        <v>0</v>
      </c>
      <c r="G25" s="7" t="n">
        <v>600.08</v>
      </c>
      <c r="H25" s="9"/>
      <c r="I25" s="7" t="n">
        <f aca="false">G25+H25</f>
        <v>600.08</v>
      </c>
      <c r="J25" s="49" t="n">
        <f aca="false">IF(L25&gt;0,L25,0)</f>
        <v>75.9945587493696</v>
      </c>
      <c r="K25" s="7" t="n">
        <f aca="false">I25+J25</f>
        <v>676.07455874937</v>
      </c>
      <c r="L25" s="7" t="n">
        <f aca="false">F25-(I25-W25)</f>
        <v>75.9945587493696</v>
      </c>
      <c r="M25" s="7" t="n">
        <v>258.97</v>
      </c>
      <c r="N25" s="7" t="n">
        <f aca="false">((AF25-AF24)*1.05)/$D$2</f>
        <v>35.9160363086233</v>
      </c>
      <c r="O25" s="7" t="n">
        <f aca="false">M25-N25</f>
        <v>223.053963691377</v>
      </c>
      <c r="P25" s="7" t="n">
        <v>115.98</v>
      </c>
      <c r="Q25" s="7" t="n">
        <f aca="false">(AE25-AE24)/$D$2</f>
        <v>79.6772566817953</v>
      </c>
      <c r="R25" s="7" t="n">
        <f aca="false">SUM(O25:Q25)</f>
        <v>418.711220373172</v>
      </c>
      <c r="S25" s="8" t="n">
        <f aca="false">I25-R25</f>
        <v>181.368779626828</v>
      </c>
      <c r="T25" s="7" t="n">
        <f aca="false">(AD25-AD24)/$D$2</f>
        <v>111.447302067574</v>
      </c>
      <c r="U25" s="7" t="n">
        <v>110</v>
      </c>
      <c r="V25" s="8" t="n">
        <v>8560</v>
      </c>
      <c r="W25" s="7" t="n">
        <f aca="false">N25+R25+T25+U25</f>
        <v>676.07455874937</v>
      </c>
      <c r="X25" s="7" t="n">
        <f aca="false">IF(L25&lt;0,L25*-1,0)</f>
        <v>0</v>
      </c>
      <c r="Y25" s="7" t="n">
        <f aca="false">W25+X25</f>
        <v>676.07455874937</v>
      </c>
      <c r="Z25" s="11" t="n">
        <v>0</v>
      </c>
      <c r="AA25" s="38" t="n">
        <v>81</v>
      </c>
      <c r="AB25" s="12" t="n">
        <v>44</v>
      </c>
      <c r="AC25" s="13" t="n">
        <f aca="false">AC24+1</f>
        <v>16</v>
      </c>
      <c r="AD25" s="12" t="n">
        <v>8298</v>
      </c>
      <c r="AE25" s="12" t="n">
        <v>6897</v>
      </c>
      <c r="AF25" s="0" t="n">
        <v>899.56</v>
      </c>
      <c r="AG25" s="7" t="n">
        <v>28</v>
      </c>
    </row>
    <row r="26" customFormat="false" ht="11.1" hidden="false" customHeight="true" outlineLevel="0" collapsed="false">
      <c r="A26" s="13" t="n">
        <f aca="false">A25+1</f>
        <v>17</v>
      </c>
      <c r="B26" s="27" t="n">
        <v>6923.78</v>
      </c>
      <c r="C26" s="8" t="n">
        <v>380180</v>
      </c>
      <c r="D26" s="12" t="n">
        <f aca="false">C26-C25</f>
        <v>-135</v>
      </c>
      <c r="E26" s="8" t="n">
        <f aca="false">C26-152000</f>
        <v>228180</v>
      </c>
      <c r="F26" s="7" t="n">
        <f aca="false">D26/$D$2</f>
        <v>-68.0786686838124</v>
      </c>
      <c r="G26" s="7" t="n">
        <v>537.09</v>
      </c>
      <c r="H26" s="9"/>
      <c r="I26" s="7" t="n">
        <f aca="false">G26+H26</f>
        <v>537.09</v>
      </c>
      <c r="J26" s="49" t="n">
        <f aca="false">IF(L26&gt;0,L26,0)</f>
        <v>54.6616238023196</v>
      </c>
      <c r="K26" s="7" t="n">
        <f aca="false">I26+J26</f>
        <v>591.75162380232</v>
      </c>
      <c r="L26" s="7" t="n">
        <f aca="false">F26-(I26-W26)</f>
        <v>54.6616238023196</v>
      </c>
      <c r="M26" s="7" t="n">
        <v>260.39</v>
      </c>
      <c r="N26" s="7" t="n">
        <f aca="false">((AF26-AF25)*1.05)/$D$2</f>
        <v>35.8101361573374</v>
      </c>
      <c r="O26" s="7" t="n">
        <f aca="false">M26-N26</f>
        <v>224.579863842663</v>
      </c>
      <c r="P26" s="7" t="n">
        <v>116.7</v>
      </c>
      <c r="Q26" s="7" t="n">
        <f aca="false">(AE26-AE25)/$D$2</f>
        <v>81.19011598588</v>
      </c>
      <c r="R26" s="7" t="n">
        <f aca="false">SUM(O26:Q26)</f>
        <v>422.469979828543</v>
      </c>
      <c r="S26" s="8" t="n">
        <f aca="false">(I26-R26)+S25</f>
        <v>295.988799798286</v>
      </c>
      <c r="T26" s="7" t="n">
        <f aca="false">(AD26-AD25)/$D$2</f>
        <v>123.550176500252</v>
      </c>
      <c r="U26" s="7" t="n">
        <v>78</v>
      </c>
      <c r="V26" s="8" t="n">
        <f aca="false">V25-U26</f>
        <v>8482</v>
      </c>
      <c r="W26" s="7" t="n">
        <f aca="false">N26+R26+T26+U26</f>
        <v>659.830292486132</v>
      </c>
      <c r="X26" s="7" t="n">
        <f aca="false">IF(L26&lt;0,L26*-1,0)</f>
        <v>0</v>
      </c>
      <c r="Y26" s="7" t="n">
        <f aca="false">W26+X26</f>
        <v>659.830292486132</v>
      </c>
      <c r="Z26" s="11" t="n">
        <v>0</v>
      </c>
      <c r="AA26" s="38" t="n">
        <v>79</v>
      </c>
      <c r="AB26" s="12" t="n">
        <v>46</v>
      </c>
      <c r="AC26" s="13" t="n">
        <f aca="false">AC25+1</f>
        <v>17</v>
      </c>
      <c r="AD26" s="12" t="n">
        <v>8543</v>
      </c>
      <c r="AE26" s="12" t="n">
        <v>7058</v>
      </c>
      <c r="AF26" s="0" t="n">
        <v>967.19</v>
      </c>
      <c r="AG26" s="7" t="n">
        <v>12</v>
      </c>
    </row>
    <row r="27" customFormat="false" ht="11.1" hidden="false" customHeight="true" outlineLevel="0" collapsed="false">
      <c r="A27" s="13" t="n">
        <f aca="false">A26+1</f>
        <v>18</v>
      </c>
      <c r="B27" s="27" t="n">
        <v>6923.73</v>
      </c>
      <c r="C27" s="8" t="n">
        <v>379958</v>
      </c>
      <c r="D27" s="12" t="n">
        <f aca="false">C27-C26</f>
        <v>-222</v>
      </c>
      <c r="E27" s="8" t="n">
        <f aca="false">C27-152000</f>
        <v>227958</v>
      </c>
      <c r="F27" s="7" t="n">
        <f aca="false">D27/$D$2</f>
        <v>-111.951588502269</v>
      </c>
      <c r="G27" s="7" t="n">
        <v>502.31</v>
      </c>
      <c r="H27" s="9"/>
      <c r="I27" s="7" t="n">
        <f aca="false">G27+H27</f>
        <v>502.31</v>
      </c>
      <c r="J27" s="49" t="n">
        <f aca="false">IF(L27&gt;0,L27,0)</f>
        <v>57.9930005042865</v>
      </c>
      <c r="K27" s="7" t="n">
        <f aca="false">I27+J27</f>
        <v>560.303000504287</v>
      </c>
      <c r="L27" s="7" t="n">
        <f aca="false">F27-(I27-W27)</f>
        <v>57.9930005042865</v>
      </c>
      <c r="M27" s="7" t="n">
        <v>264.58</v>
      </c>
      <c r="N27" s="7" t="n">
        <f aca="false">((AF27-AF26)*1.05)/$D$2</f>
        <v>35.8101361573373</v>
      </c>
      <c r="O27" s="7" t="n">
        <f aca="false">M27-N27</f>
        <v>228.769863842663</v>
      </c>
      <c r="P27" s="7" t="n">
        <v>116.37</v>
      </c>
      <c r="Q27" s="7" t="n">
        <f aca="false">(AE27-AE26)/$D$2</f>
        <v>80.6858295511851</v>
      </c>
      <c r="R27" s="7" t="n">
        <f aca="false">SUM(O27:Q27)</f>
        <v>425.825693393848</v>
      </c>
      <c r="S27" s="8" t="n">
        <f aca="false">(I27-R27)+S26</f>
        <v>372.473106404438</v>
      </c>
      <c r="T27" s="7" t="n">
        <f aca="false">(AD27-AD26)/$D$2</f>
        <v>131.618759455371</v>
      </c>
      <c r="U27" s="7" t="n">
        <v>79</v>
      </c>
      <c r="V27" s="8" t="n">
        <f aca="false">V26-U27</f>
        <v>8403</v>
      </c>
      <c r="W27" s="7" t="n">
        <f aca="false">N27+R27+T27+U27</f>
        <v>672.254589006556</v>
      </c>
      <c r="X27" s="7" t="n">
        <f aca="false">IF(L27&lt;0,L27*-1,0)</f>
        <v>0</v>
      </c>
      <c r="Y27" s="7" t="n">
        <f aca="false">W27+X27</f>
        <v>672.254589006556</v>
      </c>
      <c r="Z27" s="11" t="n">
        <v>0</v>
      </c>
      <c r="AA27" s="38" t="n">
        <v>80</v>
      </c>
      <c r="AB27" s="12" t="n">
        <v>55</v>
      </c>
      <c r="AC27" s="13" t="n">
        <f aca="false">AC26+1</f>
        <v>18</v>
      </c>
      <c r="AD27" s="12" t="n">
        <v>8804</v>
      </c>
      <c r="AE27" s="12" t="n">
        <v>7218</v>
      </c>
      <c r="AF27" s="0" t="n">
        <v>1034.82</v>
      </c>
      <c r="AG27" s="7" t="n">
        <v>11</v>
      </c>
    </row>
    <row r="28" customFormat="false" ht="11.1" hidden="false" customHeight="true" outlineLevel="0" collapsed="false">
      <c r="A28" s="13" t="n">
        <f aca="false">A27+1</f>
        <v>19</v>
      </c>
      <c r="B28" s="27" t="n">
        <v>6923.7</v>
      </c>
      <c r="C28" s="8" t="n">
        <v>379826</v>
      </c>
      <c r="D28" s="12" t="n">
        <f aca="false">C28-C27</f>
        <v>-132</v>
      </c>
      <c r="E28" s="8" t="n">
        <f aca="false">C28-152000</f>
        <v>227826</v>
      </c>
      <c r="F28" s="7" t="n">
        <f aca="false">D28/$D$2</f>
        <v>-66.5658093797277</v>
      </c>
      <c r="G28" s="7" t="n">
        <v>495.79</v>
      </c>
      <c r="H28" s="9"/>
      <c r="I28" s="7" t="n">
        <f aca="false">G28+H28</f>
        <v>495.79</v>
      </c>
      <c r="J28" s="49" t="n">
        <f aca="false">IF(L28&gt;0,L28,0)</f>
        <v>118.741654059506</v>
      </c>
      <c r="K28" s="7" t="n">
        <f aca="false">I28+J28</f>
        <v>614.531654059506</v>
      </c>
      <c r="L28" s="7" t="n">
        <f aca="false">F28-(I28-W28)</f>
        <v>118.741654059506</v>
      </c>
      <c r="M28" s="7" t="n">
        <v>260.56</v>
      </c>
      <c r="N28" s="7" t="n">
        <f aca="false">((AF28-AF27)*1.05)/$D$2</f>
        <v>35.9795763993949</v>
      </c>
      <c r="O28" s="7" t="n">
        <f aca="false">M28-N28</f>
        <v>224.580423600605</v>
      </c>
      <c r="P28" s="7" t="n">
        <v>116.13</v>
      </c>
      <c r="Q28" s="7" t="n">
        <f aca="false">(AE28-AE27)/$D$2</f>
        <v>81.19011598588</v>
      </c>
      <c r="R28" s="7" t="n">
        <f aca="false">SUM(O28:Q28)</f>
        <v>421.900539586485</v>
      </c>
      <c r="S28" s="8" t="n">
        <f aca="false">(I28-R28)+S27</f>
        <v>446.362566817953</v>
      </c>
      <c r="T28" s="7" t="n">
        <f aca="false">(AD28-AD27)/$D$2</f>
        <v>143.217347453354</v>
      </c>
      <c r="U28" s="7" t="n">
        <v>80</v>
      </c>
      <c r="V28" s="8" t="n">
        <f aca="false">V27-U28</f>
        <v>8323</v>
      </c>
      <c r="W28" s="7" t="n">
        <f aca="false">N28+R28+T28+U28</f>
        <v>681.097463439234</v>
      </c>
      <c r="X28" s="7" t="n">
        <f aca="false">IF(L28&lt;0,L28*-1,0)</f>
        <v>0</v>
      </c>
      <c r="Y28" s="7" t="n">
        <f aca="false">W28+X28</f>
        <v>681.097463439234</v>
      </c>
      <c r="Z28" s="11" t="n">
        <v>0</v>
      </c>
      <c r="AA28" s="38" t="n">
        <v>81</v>
      </c>
      <c r="AB28" s="12" t="n">
        <v>54</v>
      </c>
      <c r="AC28" s="13" t="n">
        <f aca="false">AC27+1</f>
        <v>19</v>
      </c>
      <c r="AD28" s="12" t="n">
        <v>9088</v>
      </c>
      <c r="AE28" s="12" t="n">
        <v>7379</v>
      </c>
      <c r="AF28" s="0" t="n">
        <v>1102.77</v>
      </c>
      <c r="AG28" s="7" t="n">
        <v>26</v>
      </c>
    </row>
    <row r="29" customFormat="false" ht="11.1" hidden="false" customHeight="true" outlineLevel="0" collapsed="false">
      <c r="A29" s="13" t="n">
        <f aca="false">A28+1</f>
        <v>20</v>
      </c>
      <c r="B29" s="27" t="n">
        <v>6923.68</v>
      </c>
      <c r="C29" s="8" t="n">
        <v>379737</v>
      </c>
      <c r="D29" s="12" t="n">
        <f aca="false">C29-C28</f>
        <v>-89</v>
      </c>
      <c r="E29" s="8" t="n">
        <f aca="false">C29-152000</f>
        <v>227737</v>
      </c>
      <c r="F29" s="7" t="n">
        <f aca="false">D29/$D$2</f>
        <v>-44.8814926878467</v>
      </c>
      <c r="G29" s="7" t="n">
        <v>554.18</v>
      </c>
      <c r="H29" s="9"/>
      <c r="I29" s="7" t="n">
        <f aca="false">G29+H29</f>
        <v>554.18</v>
      </c>
      <c r="J29" s="49" t="n">
        <f aca="false">IF(L29&gt;0,L29,0)</f>
        <v>105.701719616742</v>
      </c>
      <c r="K29" s="7" t="n">
        <f aca="false">I29+J29</f>
        <v>659.881719616742</v>
      </c>
      <c r="L29" s="7" t="n">
        <f aca="false">F29-(I29-W29)</f>
        <v>105.701719616742</v>
      </c>
      <c r="M29" s="7" t="n">
        <v>258.98</v>
      </c>
      <c r="N29" s="7" t="n">
        <f aca="false">((AF29-AF28)*1.05)/$D$2</f>
        <v>33.9515885022693</v>
      </c>
      <c r="O29" s="7" t="n">
        <f aca="false">M29-N29</f>
        <v>225.028411497731</v>
      </c>
      <c r="P29" s="7" t="n">
        <v>116.17</v>
      </c>
      <c r="Q29" s="7" t="n">
        <f aca="false">(AE29-AE28)/$D$2</f>
        <v>81.19011598588</v>
      </c>
      <c r="R29" s="7" t="n">
        <f aca="false">SUM(O29:Q29)</f>
        <v>422.388527483611</v>
      </c>
      <c r="S29" s="8" t="n">
        <f aca="false">(I29-R29)+S28</f>
        <v>578.154039334342</v>
      </c>
      <c r="T29" s="7" t="n">
        <f aca="false">(AD29-AD28)/$D$2</f>
        <v>167.423096318709</v>
      </c>
      <c r="U29" s="7" t="n">
        <v>81</v>
      </c>
      <c r="V29" s="8" t="n">
        <f aca="false">V28-U29</f>
        <v>8242</v>
      </c>
      <c r="W29" s="7" t="n">
        <f aca="false">N29+R29+T29+U29</f>
        <v>704.763212304589</v>
      </c>
      <c r="X29" s="7" t="n">
        <f aca="false">IF(L29&lt;0,L29*-1,0)</f>
        <v>0</v>
      </c>
      <c r="Y29" s="7" t="n">
        <f aca="false">W29+X29</f>
        <v>704.763212304589</v>
      </c>
      <c r="Z29" s="11" t="n">
        <v>0.02</v>
      </c>
      <c r="AA29" s="38" t="n">
        <v>82</v>
      </c>
      <c r="AB29" s="12" t="n">
        <v>52</v>
      </c>
      <c r="AC29" s="13" t="n">
        <f aca="false">AC28+1</f>
        <v>20</v>
      </c>
      <c r="AD29" s="12" t="n">
        <v>9420</v>
      </c>
      <c r="AE29" s="12" t="n">
        <v>7540</v>
      </c>
      <c r="AF29" s="0" t="n">
        <v>1166.89</v>
      </c>
      <c r="AG29" s="7" t="n">
        <v>28</v>
      </c>
    </row>
    <row r="30" customFormat="false" ht="11.1" hidden="false" customHeight="true" outlineLevel="0" collapsed="false">
      <c r="A30" s="13" t="n">
        <f aca="false">A29+1</f>
        <v>21</v>
      </c>
      <c r="B30" s="27" t="n">
        <v>6923.68</v>
      </c>
      <c r="C30" s="8" t="n">
        <v>379737</v>
      </c>
      <c r="D30" s="12" t="n">
        <f aca="false">C30-C29</f>
        <v>0</v>
      </c>
      <c r="E30" s="8" t="n">
        <f aca="false">C30-152000</f>
        <v>227737</v>
      </c>
      <c r="F30" s="7" t="n">
        <f aca="false">D30/$D$2</f>
        <v>0</v>
      </c>
      <c r="G30" s="7" t="n">
        <v>557.48</v>
      </c>
      <c r="H30" s="9"/>
      <c r="I30" s="7" t="n">
        <f aca="false">G30+H30</f>
        <v>557.48</v>
      </c>
      <c r="J30" s="49" t="n">
        <f aca="false">IF(L30&gt;0,L30,0)</f>
        <v>130.087483610691</v>
      </c>
      <c r="K30" s="7" t="n">
        <f aca="false">I30+J30</f>
        <v>687.567483610691</v>
      </c>
      <c r="L30" s="7" t="n">
        <f aca="false">F30-(I30-W30)</f>
        <v>130.087483610691</v>
      </c>
      <c r="M30" s="7" t="n">
        <v>259.77</v>
      </c>
      <c r="N30" s="7" t="n">
        <f aca="false">((AF30-AF29)*1.05)/$D$2</f>
        <v>34.3434190620272</v>
      </c>
      <c r="O30" s="7" t="n">
        <f aca="false">M30-N30</f>
        <v>225.426580937973</v>
      </c>
      <c r="P30" s="7" t="n">
        <v>116.27</v>
      </c>
      <c r="Q30" s="7" t="n">
        <f aca="false">(AE30-AE29)/$D$2</f>
        <v>80.6858295511851</v>
      </c>
      <c r="R30" s="7" t="n">
        <f aca="false">SUM(O30:Q30)</f>
        <v>422.382410489158</v>
      </c>
      <c r="S30" s="8" t="n">
        <f aca="false">(I30-R30)+S29</f>
        <v>713.251628845184</v>
      </c>
      <c r="T30" s="7" t="n">
        <f aca="false">(AD30-AD29)/$D$2</f>
        <v>157.841654059506</v>
      </c>
      <c r="U30" s="7" t="n">
        <v>73</v>
      </c>
      <c r="V30" s="8" t="n">
        <f aca="false">V29-U30</f>
        <v>8169</v>
      </c>
      <c r="W30" s="7" t="n">
        <f aca="false">N30+R30+T30+U30</f>
        <v>687.567483610691</v>
      </c>
      <c r="X30" s="7" t="n">
        <f aca="false">IF(L30&lt;0,L30*-1,0)</f>
        <v>0</v>
      </c>
      <c r="Y30" s="7" t="n">
        <f aca="false">W30+X30</f>
        <v>687.567483610691</v>
      </c>
      <c r="Z30" s="11" t="n">
        <v>0.24</v>
      </c>
      <c r="AA30" s="12" t="n">
        <v>82</v>
      </c>
      <c r="AB30" s="12" t="n">
        <v>54</v>
      </c>
      <c r="AC30" s="13" t="n">
        <f aca="false">AC29+1</f>
        <v>21</v>
      </c>
      <c r="AD30" s="12" t="n">
        <v>9733</v>
      </c>
      <c r="AE30" s="12" t="n">
        <v>7700</v>
      </c>
      <c r="AF30" s="0" t="n">
        <v>1231.75</v>
      </c>
      <c r="AG30" s="7" t="n">
        <v>29</v>
      </c>
    </row>
    <row r="31" customFormat="false" ht="11.1" hidden="false" customHeight="true" outlineLevel="0" collapsed="false">
      <c r="A31" s="13" t="n">
        <f aca="false">A30+1</f>
        <v>22</v>
      </c>
      <c r="B31" s="27" t="n">
        <v>6923.66</v>
      </c>
      <c r="C31" s="8" t="n">
        <v>379647</v>
      </c>
      <c r="D31" s="12" t="n">
        <f aca="false">C31-C30</f>
        <v>-90</v>
      </c>
      <c r="E31" s="8" t="n">
        <f aca="false">C31-152000</f>
        <v>227647</v>
      </c>
      <c r="F31" s="7" t="n">
        <f aca="false">D31/$D$2</f>
        <v>-45.3857791225416</v>
      </c>
      <c r="G31" s="7" t="n">
        <v>611.22</v>
      </c>
      <c r="H31" s="9"/>
      <c r="I31" s="7" t="n">
        <f aca="false">G31+H31</f>
        <v>611.22</v>
      </c>
      <c r="J31" s="49" t="n">
        <f aca="false">IF(L31&gt;0,L31,0)</f>
        <v>74.2517448310639</v>
      </c>
      <c r="K31" s="7" t="n">
        <f aca="false">I31+J31</f>
        <v>685.471744831064</v>
      </c>
      <c r="L31" s="7" t="n">
        <f aca="false">F31-(I31-W31)</f>
        <v>74.2517448310639</v>
      </c>
      <c r="M31" s="7" t="n">
        <v>280.82</v>
      </c>
      <c r="N31" s="7" t="n">
        <f aca="false">((AF31-AF30)*1.05)/$D$2</f>
        <v>33.1149773071104</v>
      </c>
      <c r="O31" s="7" t="n">
        <f aca="false">M31-N31</f>
        <v>247.70502269289</v>
      </c>
      <c r="P31" s="7" t="n">
        <v>116.27</v>
      </c>
      <c r="Q31" s="7" t="n">
        <f aca="false">(AE31-AE30)/$D$2</f>
        <v>79.6772566817953</v>
      </c>
      <c r="R31" s="7" t="n">
        <f aca="false">SUM(O31:Q31)</f>
        <v>443.652279374685</v>
      </c>
      <c r="S31" s="8" t="n">
        <f aca="false">(I31-R31)+S30</f>
        <v>880.819349470499</v>
      </c>
      <c r="T31" s="7" t="n">
        <f aca="false">(AD31-AD30)/$D$2</f>
        <v>187.09026727181</v>
      </c>
      <c r="U31" s="7" t="n">
        <v>67</v>
      </c>
      <c r="V31" s="8" t="n">
        <f aca="false">V30-U31</f>
        <v>8102</v>
      </c>
      <c r="W31" s="7" t="n">
        <f aca="false">N31+R31+T31+U31</f>
        <v>730.857523953606</v>
      </c>
      <c r="X31" s="7" t="n">
        <f aca="false">IF(L31&lt;0,L31*-1,0)</f>
        <v>0</v>
      </c>
      <c r="Y31" s="7" t="n">
        <f aca="false">W31+X31</f>
        <v>730.857523953606</v>
      </c>
      <c r="Z31" s="11" t="n">
        <v>0</v>
      </c>
      <c r="AA31" s="12" t="n">
        <v>80</v>
      </c>
      <c r="AB31" s="12" t="n">
        <v>56</v>
      </c>
      <c r="AC31" s="13" t="n">
        <f aca="false">AC30+1</f>
        <v>22</v>
      </c>
      <c r="AD31" s="12" t="n">
        <v>10104</v>
      </c>
      <c r="AE31" s="12" t="n">
        <v>7858</v>
      </c>
      <c r="AF31" s="0" t="n">
        <v>1294.29</v>
      </c>
      <c r="AG31" s="7" t="n">
        <v>28</v>
      </c>
    </row>
    <row r="32" customFormat="false" ht="11.1" hidden="false" customHeight="true" outlineLevel="0" collapsed="false">
      <c r="A32" s="13" t="n">
        <f aca="false">A31+1</f>
        <v>23</v>
      </c>
      <c r="B32" s="27" t="n">
        <v>6923.58</v>
      </c>
      <c r="C32" s="8" t="n">
        <v>379291</v>
      </c>
      <c r="D32" s="12" t="n">
        <f aca="false">C32-C31</f>
        <v>-356</v>
      </c>
      <c r="E32" s="8" t="n">
        <f aca="false">C32-152000</f>
        <v>227291</v>
      </c>
      <c r="F32" s="7" t="n">
        <f aca="false">D32/$D$2</f>
        <v>-179.525970751387</v>
      </c>
      <c r="G32" s="7" t="n">
        <v>502.12</v>
      </c>
      <c r="H32" s="9"/>
      <c r="I32" s="7" t="n">
        <f aca="false">G32+H32</f>
        <v>502.12</v>
      </c>
      <c r="J32" s="49" t="n">
        <f aca="false">IF(L32&gt;0,L32,0)</f>
        <v>61.4187241553202</v>
      </c>
      <c r="K32" s="7" t="n">
        <f aca="false">I32+J32</f>
        <v>563.53872415532</v>
      </c>
      <c r="L32" s="7" t="n">
        <f aca="false">F32-(I32-W32)</f>
        <v>61.4187241553202</v>
      </c>
      <c r="M32" s="7" t="n">
        <v>272.74</v>
      </c>
      <c r="N32" s="7" t="n">
        <f aca="false">((AF32-AF31)*1.05)/$D$2</f>
        <v>33.6603630862329</v>
      </c>
      <c r="O32" s="7" t="n">
        <f aca="false">M32-N32</f>
        <v>239.079636913767</v>
      </c>
      <c r="P32" s="7" t="n">
        <v>115.89</v>
      </c>
      <c r="Q32" s="7" t="n">
        <f aca="false">(AE32-AE31)/$D$2</f>
        <v>85.2244074634392</v>
      </c>
      <c r="R32" s="7" t="n">
        <f aca="false">SUM(O32:Q32)</f>
        <v>440.194044377206</v>
      </c>
      <c r="S32" s="8" t="n">
        <f aca="false">(I32-R32)+S31</f>
        <v>942.745305093293</v>
      </c>
      <c r="T32" s="7" t="n">
        <f aca="false">(AD32-AD31)/$D$2</f>
        <v>201.210287443268</v>
      </c>
      <c r="U32" s="7" t="n">
        <v>68</v>
      </c>
      <c r="V32" s="8" t="n">
        <f aca="false">V31-U32</f>
        <v>8034</v>
      </c>
      <c r="W32" s="7" t="n">
        <f aca="false">N32+R32+T32+U32</f>
        <v>743.064694906707</v>
      </c>
      <c r="X32" s="7" t="n">
        <f aca="false">IF(L32&lt;0,L32*-1,0)</f>
        <v>0</v>
      </c>
      <c r="Y32" s="7" t="n">
        <f aca="false">W32+X32</f>
        <v>743.064694906707</v>
      </c>
      <c r="Z32" s="11" t="n">
        <v>0</v>
      </c>
      <c r="AA32" s="12" t="n">
        <v>86</v>
      </c>
      <c r="AB32" s="38" t="n">
        <v>51</v>
      </c>
      <c r="AC32" s="13" t="n">
        <f aca="false">AC31+1</f>
        <v>23</v>
      </c>
      <c r="AD32" s="12" t="n">
        <v>10503</v>
      </c>
      <c r="AE32" s="12" t="n">
        <v>8027</v>
      </c>
      <c r="AF32" s="0" t="n">
        <v>1357.86</v>
      </c>
      <c r="AG32" s="7" t="n">
        <v>31</v>
      </c>
    </row>
    <row r="33" customFormat="false" ht="11.1" hidden="false" customHeight="true" outlineLevel="0" collapsed="false">
      <c r="A33" s="13" t="n">
        <f aca="false">A32+1</f>
        <v>24</v>
      </c>
      <c r="B33" s="27" t="n">
        <v>6923.47</v>
      </c>
      <c r="C33" s="8" t="n">
        <v>378802</v>
      </c>
      <c r="D33" s="12" t="n">
        <f aca="false">C33-C32</f>
        <v>-489</v>
      </c>
      <c r="E33" s="8" t="n">
        <f aca="false">C33-152000</f>
        <v>226802</v>
      </c>
      <c r="F33" s="7" t="n">
        <f aca="false">D33/$D$2</f>
        <v>-246.596066565809</v>
      </c>
      <c r="G33" s="7" t="n">
        <v>444.13</v>
      </c>
      <c r="H33" s="9"/>
      <c r="I33" s="7" t="n">
        <f aca="false">G33+H33</f>
        <v>444.13</v>
      </c>
      <c r="J33" s="49" t="n">
        <f aca="false">IF(L33&gt;0,L33,0)</f>
        <v>50.7371911245587</v>
      </c>
      <c r="K33" s="7" t="n">
        <f aca="false">I33+J33</f>
        <v>494.867191124559</v>
      </c>
      <c r="L33" s="7" t="n">
        <f aca="false">F33-(I33-W33)</f>
        <v>50.7371911245587</v>
      </c>
      <c r="M33" s="7" t="n">
        <v>275.62</v>
      </c>
      <c r="N33" s="7" t="n">
        <f aca="false">((AF33-AF32)*1.05)/$D$2</f>
        <v>34.0786686838125</v>
      </c>
      <c r="O33" s="7" t="n">
        <f aca="false">M33-N33</f>
        <v>241.541331316188</v>
      </c>
      <c r="P33" s="7" t="n">
        <v>116.46</v>
      </c>
      <c r="Q33" s="7" t="n">
        <f aca="false">(AE33-AE32)/$D$2</f>
        <v>76.1472516389309</v>
      </c>
      <c r="R33" s="7" t="n">
        <f aca="false">SUM(O33:Q33)</f>
        <v>434.148582955119</v>
      </c>
      <c r="S33" s="8" t="n">
        <f aca="false">(I33-R33)+S32</f>
        <v>952.726722138175</v>
      </c>
      <c r="T33" s="7" t="n">
        <f aca="false">(AD33-AD32)/$D$2</f>
        <v>204.236006051437</v>
      </c>
      <c r="U33" s="7" t="n">
        <v>69</v>
      </c>
      <c r="V33" s="8" t="n">
        <f aca="false">V32-U33</f>
        <v>7965</v>
      </c>
      <c r="W33" s="7" t="n">
        <f aca="false">N33+R33+T33+U33</f>
        <v>741.463257690368</v>
      </c>
      <c r="X33" s="7" t="n">
        <f aca="false">IF(L33&lt;0,L33*-1,0)</f>
        <v>0</v>
      </c>
      <c r="Y33" s="7" t="n">
        <f aca="false">W33+X33</f>
        <v>741.463257690368</v>
      </c>
      <c r="Z33" s="11" t="n">
        <v>0</v>
      </c>
      <c r="AA33" s="12" t="n">
        <v>92</v>
      </c>
      <c r="AB33" s="38" t="n">
        <v>55</v>
      </c>
      <c r="AC33" s="13" t="n">
        <f aca="false">AC32+1</f>
        <v>24</v>
      </c>
      <c r="AD33" s="12" t="n">
        <v>10908</v>
      </c>
      <c r="AE33" s="12" t="n">
        <v>8178</v>
      </c>
      <c r="AF33" s="0" t="n">
        <v>1422.22</v>
      </c>
      <c r="AG33" s="7" t="n">
        <v>31</v>
      </c>
    </row>
    <row r="34" customFormat="false" ht="11.1" hidden="false" customHeight="true" outlineLevel="0" collapsed="false">
      <c r="A34" s="13" t="n">
        <f aca="false">A33+1</f>
        <v>25</v>
      </c>
      <c r="B34" s="27" t="n">
        <v>6923.28</v>
      </c>
      <c r="C34" s="8" t="n">
        <v>377954</v>
      </c>
      <c r="D34" s="12" t="n">
        <f aca="false">C34-C33</f>
        <v>-848</v>
      </c>
      <c r="E34" s="8" t="n">
        <f aca="false">C34-152000</f>
        <v>225954</v>
      </c>
      <c r="F34" s="7" t="n">
        <f aca="false">D34/$D$2</f>
        <v>-427.634896621281</v>
      </c>
      <c r="G34" s="7" t="n">
        <v>407.8</v>
      </c>
      <c r="H34" s="9"/>
      <c r="I34" s="7" t="n">
        <f aca="false">G34+H34</f>
        <v>407.8</v>
      </c>
      <c r="J34" s="49" t="n">
        <f aca="false">IF(L34&gt;0,L34,0)</f>
        <v>0</v>
      </c>
      <c r="K34" s="7" t="n">
        <f aca="false">I34+J34</f>
        <v>407.8</v>
      </c>
      <c r="L34" s="7" t="n">
        <f aca="false">F34-(I34-W34)</f>
        <v>-64.8958900655571</v>
      </c>
      <c r="M34" s="7" t="n">
        <v>281.3</v>
      </c>
      <c r="N34" s="7" t="n">
        <f aca="false">((AF34-AF33)*1.05)/$D$2</f>
        <v>34.3487140695915</v>
      </c>
      <c r="O34" s="7" t="n">
        <f aca="false">M34-N34</f>
        <v>246.951285930409</v>
      </c>
      <c r="P34" s="7" t="n">
        <v>115.65</v>
      </c>
      <c r="Q34" s="7" t="n">
        <f aca="false">(AE34-AE33)/$D$2</f>
        <v>80.6858295511851</v>
      </c>
      <c r="R34" s="7" t="n">
        <f aca="false">SUM(O34:Q34)</f>
        <v>443.287115481594</v>
      </c>
      <c r="S34" s="8" t="n">
        <f aca="false">(I34-R34)+S33</f>
        <v>917.239606656581</v>
      </c>
      <c r="T34" s="7" t="n">
        <f aca="false">(AD34-AD33)/$D$2</f>
        <v>223.903177004539</v>
      </c>
      <c r="U34" s="7" t="n">
        <v>69</v>
      </c>
      <c r="V34" s="8" t="n">
        <f aca="false">V33-U34</f>
        <v>7896</v>
      </c>
      <c r="W34" s="7" t="n">
        <f aca="false">N34+R34+T34+U34</f>
        <v>770.539006555724</v>
      </c>
      <c r="X34" s="7" t="n">
        <f aca="false">IF(L34&lt;0,L34*-1,0)</f>
        <v>64.8958900655571</v>
      </c>
      <c r="Y34" s="7" t="n">
        <f aca="false">W34+X34</f>
        <v>835.434896621281</v>
      </c>
      <c r="Z34" s="11" t="n">
        <v>0</v>
      </c>
      <c r="AA34" s="12" t="n">
        <v>90</v>
      </c>
      <c r="AB34" s="38" t="n">
        <v>52</v>
      </c>
      <c r="AC34" s="13" t="n">
        <f aca="false">AC33+1</f>
        <v>25</v>
      </c>
      <c r="AD34" s="12" t="n">
        <v>11352</v>
      </c>
      <c r="AE34" s="12" t="n">
        <v>8338</v>
      </c>
      <c r="AF34" s="0" t="n">
        <v>1487.09</v>
      </c>
      <c r="AG34" s="7" t="n">
        <v>31</v>
      </c>
    </row>
    <row r="35" customFormat="false" ht="11.1" hidden="false" customHeight="true" outlineLevel="0" collapsed="false">
      <c r="A35" s="13" t="n">
        <f aca="false">A34+1</f>
        <v>26</v>
      </c>
      <c r="B35" s="27" t="n">
        <v>6923.06</v>
      </c>
      <c r="C35" s="8" t="n">
        <v>376976</v>
      </c>
      <c r="D35" s="12" t="n">
        <f aca="false">C35-C34</f>
        <v>-978</v>
      </c>
      <c r="E35" s="8" t="n">
        <f aca="false">C35-152000</f>
        <v>224976</v>
      </c>
      <c r="F35" s="7" t="n">
        <f aca="false">D35/$D$2</f>
        <v>-493.192133131619</v>
      </c>
      <c r="G35" s="7" t="n">
        <v>376.69</v>
      </c>
      <c r="H35" s="9"/>
      <c r="I35" s="7" t="n">
        <f aca="false">G35+H35</f>
        <v>376.69</v>
      </c>
      <c r="J35" s="49" t="n">
        <f aca="false">IF(L35&gt;0,L35,0)</f>
        <v>0</v>
      </c>
      <c r="K35" s="7" t="n">
        <f aca="false">I35+J35</f>
        <v>376.69</v>
      </c>
      <c r="L35" s="7" t="n">
        <f aca="false">F35-(I35-W35)</f>
        <v>-93.3402723146747</v>
      </c>
      <c r="M35" s="7" t="n">
        <v>288.23</v>
      </c>
      <c r="N35" s="7" t="n">
        <f aca="false">((AF35-AF34)*1.05)/$D$2</f>
        <v>32.9931921331317</v>
      </c>
      <c r="O35" s="7" t="n">
        <f aca="false">M35-N35</f>
        <v>255.236807866868</v>
      </c>
      <c r="P35" s="7" t="n">
        <v>115.74</v>
      </c>
      <c r="Q35" s="7" t="n">
        <f aca="false">(AE35-AE34)/$D$2</f>
        <v>80.6858295511851</v>
      </c>
      <c r="R35" s="7" t="n">
        <f aca="false">SUM(O35:Q35)</f>
        <v>451.662637418053</v>
      </c>
      <c r="S35" s="8" t="n">
        <f aca="false">(I35-R35)+S34</f>
        <v>842.266969238528</v>
      </c>
      <c r="T35" s="7" t="n">
        <f aca="false">(AD35-AD34)/$D$2</f>
        <v>221.886031265759</v>
      </c>
      <c r="U35" s="7" t="n">
        <v>70</v>
      </c>
      <c r="V35" s="8" t="n">
        <f aca="false">V34-U35</f>
        <v>7826</v>
      </c>
      <c r="W35" s="7" t="n">
        <f aca="false">N35+R35+T35+U35</f>
        <v>776.541860816944</v>
      </c>
      <c r="X35" s="7" t="n">
        <f aca="false">IF(L35&lt;0,L35*-1,0)</f>
        <v>93.3402723146747</v>
      </c>
      <c r="Y35" s="7" t="n">
        <f aca="false">W35+X35</f>
        <v>869.882133131619</v>
      </c>
      <c r="Z35" s="11" t="n">
        <v>0</v>
      </c>
      <c r="AA35" s="12" t="n">
        <v>92</v>
      </c>
      <c r="AB35" s="12" t="n">
        <v>52</v>
      </c>
      <c r="AC35" s="13" t="n">
        <f aca="false">AC34+1</f>
        <v>26</v>
      </c>
      <c r="AD35" s="12" t="n">
        <v>11792</v>
      </c>
      <c r="AE35" s="12" t="n">
        <f aca="false">AE34+160</f>
        <v>8498</v>
      </c>
      <c r="AF35" s="0" t="n">
        <v>1549.4</v>
      </c>
      <c r="AG35" s="3" t="n">
        <v>27</v>
      </c>
    </row>
    <row r="36" customFormat="false" ht="11.1" hidden="false" customHeight="true" outlineLevel="0" collapsed="false">
      <c r="A36" s="13" t="n">
        <f aca="false">A35+1</f>
        <v>27</v>
      </c>
      <c r="B36" s="27" t="n">
        <v>6922.85</v>
      </c>
      <c r="C36" s="8" t="n">
        <v>376047</v>
      </c>
      <c r="D36" s="12" t="n">
        <f aca="false">C36-C35</f>
        <v>-929</v>
      </c>
      <c r="E36" s="8" t="n">
        <f aca="false">C36-152000</f>
        <v>224047</v>
      </c>
      <c r="F36" s="7" t="n">
        <f aca="false">D36/$D$2</f>
        <v>-468.482097831568</v>
      </c>
      <c r="G36" s="7" t="n">
        <v>347.56</v>
      </c>
      <c r="H36" s="9"/>
      <c r="I36" s="7" t="n">
        <f aca="false">G36+H36</f>
        <v>347.56</v>
      </c>
      <c r="J36" s="49" t="n">
        <f aca="false">IF(L36&gt;0,L36,0)</f>
        <v>0</v>
      </c>
      <c r="K36" s="7" t="n">
        <f aca="false">I36+J36</f>
        <v>347.56</v>
      </c>
      <c r="L36" s="7" t="n">
        <f aca="false">F36-(I36-W36)</f>
        <v>-42.0773827534039</v>
      </c>
      <c r="M36" s="7" t="n">
        <v>286.67</v>
      </c>
      <c r="N36" s="7" t="n">
        <f aca="false">((AF36-AF35)*1.05)/$D$2</f>
        <v>35.6724659606656</v>
      </c>
      <c r="O36" s="7" t="n">
        <f aca="false">M36-N36</f>
        <v>250.997534039334</v>
      </c>
      <c r="P36" s="7" t="n">
        <v>115.74</v>
      </c>
      <c r="Q36" s="7" t="n">
        <f aca="false">(AE36-AE35)/$D$2</f>
        <v>80.6858295511851</v>
      </c>
      <c r="R36" s="7" t="n">
        <f aca="false">SUM(O36:Q36)</f>
        <v>447.42336359052</v>
      </c>
      <c r="S36" s="8" t="n">
        <f aca="false">(I36-R36)+S35</f>
        <v>742.403605648008</v>
      </c>
      <c r="T36" s="7" t="n">
        <f aca="false">(AD36-AD35)/$D$2</f>
        <v>219.868885526979</v>
      </c>
      <c r="U36" s="7" t="n">
        <v>71</v>
      </c>
      <c r="V36" s="8" t="n">
        <f aca="false">V35-U36</f>
        <v>7755</v>
      </c>
      <c r="W36" s="7" t="n">
        <f aca="false">N36+R36+T36+U36</f>
        <v>773.964715078164</v>
      </c>
      <c r="X36" s="7" t="n">
        <f aca="false">IF(L36&lt;0,L36*-1,0)</f>
        <v>42.0773827534039</v>
      </c>
      <c r="Y36" s="7" t="n">
        <f aca="false">W36+X36</f>
        <v>816.042097831568</v>
      </c>
      <c r="Z36" s="11" t="n">
        <v>0</v>
      </c>
      <c r="AA36" s="12" t="n">
        <v>91</v>
      </c>
      <c r="AB36" s="12" t="n">
        <v>52</v>
      </c>
      <c r="AC36" s="13" t="n">
        <f aca="false">AC35+1</f>
        <v>27</v>
      </c>
      <c r="AD36" s="12" t="n">
        <v>12228</v>
      </c>
      <c r="AE36" s="12" t="n">
        <f aca="false">AE35+160</f>
        <v>8658</v>
      </c>
      <c r="AF36" s="0" t="n">
        <v>1616.77</v>
      </c>
      <c r="AG36" s="7" t="n">
        <v>0</v>
      </c>
    </row>
    <row r="37" customFormat="false" ht="11.1" hidden="false" customHeight="true" outlineLevel="0" collapsed="false">
      <c r="A37" s="13" t="n">
        <f aca="false">A36+1</f>
        <v>28</v>
      </c>
      <c r="B37" s="27" t="n">
        <v>6922.62</v>
      </c>
      <c r="C37" s="8" t="n">
        <v>375032</v>
      </c>
      <c r="D37" s="12" t="n">
        <f aca="false">C37-C36</f>
        <v>-1015</v>
      </c>
      <c r="E37" s="8" t="n">
        <f aca="false">C37-152000</f>
        <v>223032</v>
      </c>
      <c r="F37" s="7" t="n">
        <f aca="false">D37/$D$2</f>
        <v>-511.85073121533</v>
      </c>
      <c r="G37" s="7" t="n">
        <v>320.74</v>
      </c>
      <c r="H37" s="9"/>
      <c r="I37" s="7" t="n">
        <f aca="false">G37+H37</f>
        <v>320.74</v>
      </c>
      <c r="J37" s="49" t="n">
        <f aca="false">IF(L37&gt;0,L37,0)</f>
        <v>0</v>
      </c>
      <c r="K37" s="7" t="n">
        <f aca="false">I37+J37</f>
        <v>320.74</v>
      </c>
      <c r="L37" s="7" t="n">
        <f aca="false">F37-(I37-W37)</f>
        <v>-28.6131316187594</v>
      </c>
      <c r="M37" s="7" t="n">
        <v>295.38</v>
      </c>
      <c r="N37" s="7" t="n">
        <f aca="false">((AF37-AF36)*1.05)/$D$2</f>
        <v>19.6338880484115</v>
      </c>
      <c r="O37" s="7" t="n">
        <f aca="false">M37-N37</f>
        <v>275.746111951589</v>
      </c>
      <c r="P37" s="7" t="n">
        <v>114.88</v>
      </c>
      <c r="Q37" s="7" t="n">
        <f aca="false">(AE37-AE36)/$D$2</f>
        <v>82.1986888552698</v>
      </c>
      <c r="R37" s="7" t="n">
        <f aca="false">SUM(O37:Q37)</f>
        <v>472.824800806858</v>
      </c>
      <c r="S37" s="8" t="n">
        <f aca="false">(I37-R37)+S36</f>
        <v>590.31880484115</v>
      </c>
      <c r="T37" s="7" t="n">
        <f aca="false">(AD37-AD36)/$D$2</f>
        <v>237.518910741301</v>
      </c>
      <c r="U37" s="7" t="n">
        <v>74</v>
      </c>
      <c r="V37" s="8" t="n">
        <f aca="false">V36-U37</f>
        <v>7681</v>
      </c>
      <c r="W37" s="7" t="n">
        <f aca="false">N37+R37+T37+U37</f>
        <v>803.977599596571</v>
      </c>
      <c r="X37" s="7" t="n">
        <f aca="false">IF(L37&lt;0,L37*-1,0)</f>
        <v>28.6131316187594</v>
      </c>
      <c r="Y37" s="7" t="n">
        <f aca="false">W37+X37</f>
        <v>832.59073121533</v>
      </c>
      <c r="Z37" s="11" t="n">
        <v>0</v>
      </c>
      <c r="AA37" s="12" t="n">
        <v>93</v>
      </c>
      <c r="AB37" s="12" t="n">
        <v>56</v>
      </c>
      <c r="AC37" s="13" t="n">
        <f aca="false">AC36+1</f>
        <v>28</v>
      </c>
      <c r="AD37" s="12" t="n">
        <v>12699</v>
      </c>
      <c r="AE37" s="12" t="n">
        <v>8821</v>
      </c>
      <c r="AF37" s="0" t="n">
        <v>1653.85</v>
      </c>
      <c r="AG37" s="7" t="n">
        <v>0</v>
      </c>
    </row>
    <row r="38" customFormat="false" ht="11.1" hidden="false" customHeight="true" outlineLevel="0" collapsed="false">
      <c r="A38" s="13" t="n">
        <f aca="false">A37+1</f>
        <v>29</v>
      </c>
      <c r="B38" s="27" t="n">
        <v>6922.38</v>
      </c>
      <c r="C38" s="8" t="n">
        <v>373971</v>
      </c>
      <c r="D38" s="12" t="n">
        <f aca="false">C38-C37</f>
        <v>-1061</v>
      </c>
      <c r="E38" s="8" t="n">
        <f aca="false">C38-152000</f>
        <v>221971</v>
      </c>
      <c r="F38" s="7" t="n">
        <f aca="false">D38/$D$2</f>
        <v>-535.047907211296</v>
      </c>
      <c r="G38" s="7" t="n">
        <v>288.53</v>
      </c>
      <c r="H38" s="9"/>
      <c r="I38" s="7" t="n">
        <f aca="false">G38+H38</f>
        <v>288.53</v>
      </c>
      <c r="J38" s="49" t="n">
        <f aca="false">IF(L38&gt;0,L38,0)</f>
        <v>0</v>
      </c>
      <c r="K38" s="7" t="n">
        <f aca="false">I38+J38</f>
        <v>288.53</v>
      </c>
      <c r="L38" s="7" t="n">
        <f aca="false">F38-(I38-W38)</f>
        <v>-35.3588905698437</v>
      </c>
      <c r="M38" s="7" t="n">
        <v>284.45</v>
      </c>
      <c r="N38" s="7" t="n">
        <f aca="false">((AF38-AF37)*1.05)/$D$2</f>
        <v>19.9886535552194</v>
      </c>
      <c r="O38" s="7" t="n">
        <f aca="false">M38-N38</f>
        <v>264.461346444781</v>
      </c>
      <c r="P38" s="7" t="n">
        <v>115.12</v>
      </c>
      <c r="Q38" s="7" t="n">
        <f aca="false">(AE38-AE37)/$D$2</f>
        <v>79.6772566817953</v>
      </c>
      <c r="R38" s="7" t="n">
        <f aca="false">SUM(O38:Q38)</f>
        <v>459.258603126576</v>
      </c>
      <c r="S38" s="8" t="n">
        <f aca="false">(I38-R38)+S37</f>
        <v>419.590201714574</v>
      </c>
      <c r="T38" s="7" t="n">
        <f aca="false">(AD38-AD37)/$D$2</f>
        <v>231.971759959657</v>
      </c>
      <c r="U38" s="7" t="n">
        <v>77</v>
      </c>
      <c r="V38" s="8" t="n">
        <f aca="false">V37-U38</f>
        <v>7604</v>
      </c>
      <c r="W38" s="7" t="n">
        <f aca="false">N38+R38+T38+U38</f>
        <v>788.219016641452</v>
      </c>
      <c r="X38" s="7" t="n">
        <f aca="false">IF(L38&lt;0,L38*-1,0)</f>
        <v>35.3588905698437</v>
      </c>
      <c r="Y38" s="7" t="n">
        <f aca="false">W38+X38</f>
        <v>823.577907211296</v>
      </c>
      <c r="Z38" s="11" t="n">
        <v>0</v>
      </c>
      <c r="AA38" s="38" t="n">
        <v>94</v>
      </c>
      <c r="AB38" s="12" t="n">
        <v>56</v>
      </c>
      <c r="AC38" s="13" t="n">
        <f aca="false">AC37+1</f>
        <v>29</v>
      </c>
      <c r="AD38" s="12" t="n">
        <v>13159</v>
      </c>
      <c r="AE38" s="12" t="n">
        <v>8979</v>
      </c>
      <c r="AF38" s="0" t="n">
        <v>1691.6</v>
      </c>
      <c r="AG38" s="7" t="n">
        <v>21</v>
      </c>
    </row>
    <row r="39" customFormat="false" ht="11.1" hidden="false" customHeight="true" outlineLevel="0" collapsed="false">
      <c r="A39" s="13" t="n">
        <v>30</v>
      </c>
      <c r="B39" s="27" t="n">
        <v>6922.13</v>
      </c>
      <c r="C39" s="8" t="n">
        <v>372867</v>
      </c>
      <c r="D39" s="12" t="n">
        <f aca="false">C39-C38</f>
        <v>-1104</v>
      </c>
      <c r="E39" s="8" t="n">
        <f aca="false">C39-152000</f>
        <v>220867</v>
      </c>
      <c r="F39" s="7" t="n">
        <f aca="false">D39/$D$2</f>
        <v>-556.732223903177</v>
      </c>
      <c r="G39" s="7" t="n">
        <v>267.94</v>
      </c>
      <c r="H39" s="9"/>
      <c r="I39" s="7" t="n">
        <f aca="false">G39+H39</f>
        <v>267.94</v>
      </c>
      <c r="J39" s="49" t="n">
        <f aca="false">IF(L39&gt;0,L39,0)</f>
        <v>0</v>
      </c>
      <c r="K39" s="7" t="n">
        <f aca="false">I39+J39</f>
        <v>267.94</v>
      </c>
      <c r="L39" s="7" t="n">
        <f aca="false">F39-(I39-W39)</f>
        <v>-17.946046394352</v>
      </c>
      <c r="M39" s="7" t="n">
        <v>290.01</v>
      </c>
      <c r="N39" s="7" t="n">
        <f aca="false">((AF39-AF38)*1.05)/$D$2</f>
        <v>19.7927382753405</v>
      </c>
      <c r="O39" s="7" t="n">
        <f aca="false">M39-N39</f>
        <v>270.21726172466</v>
      </c>
      <c r="P39" s="7" t="n">
        <v>115.46</v>
      </c>
      <c r="Q39" s="7" t="n">
        <f aca="false">(AE39-AE38)/$D$2</f>
        <v>84.7201210287443</v>
      </c>
      <c r="R39" s="7" t="n">
        <f aca="false">SUM(O39:Q39)</f>
        <v>470.397382753404</v>
      </c>
      <c r="S39" s="8" t="n">
        <f aca="false">(I39-R39)+S38</f>
        <v>217.13281896117</v>
      </c>
      <c r="T39" s="7" t="n">
        <f aca="false">(AD39-AD38)/$D$2</f>
        <v>239.536056480081</v>
      </c>
      <c r="U39" s="7" t="n">
        <v>77</v>
      </c>
      <c r="V39" s="8" t="n">
        <f aca="false">V38-U39</f>
        <v>7527</v>
      </c>
      <c r="W39" s="7" t="n">
        <f aca="false">N39+R39+T39+U39</f>
        <v>806.726177508825</v>
      </c>
      <c r="X39" s="7" t="n">
        <f aca="false">IF(L39&lt;0,L39*-1,0)</f>
        <v>17.946046394352</v>
      </c>
      <c r="Y39" s="7" t="n">
        <f aca="false">W39+X39</f>
        <v>824.672223903177</v>
      </c>
      <c r="Z39" s="11" t="n">
        <v>0</v>
      </c>
      <c r="AA39" s="38" t="n">
        <v>93</v>
      </c>
      <c r="AB39" s="12" t="n">
        <v>55</v>
      </c>
      <c r="AC39" s="13" t="n">
        <v>30</v>
      </c>
      <c r="AD39" s="12" t="n">
        <v>13634</v>
      </c>
      <c r="AE39" s="12" t="n">
        <v>9147</v>
      </c>
      <c r="AF39" s="0" t="n">
        <v>1728.98</v>
      </c>
      <c r="AG39" s="7" t="n">
        <v>24</v>
      </c>
    </row>
    <row r="40" customFormat="false" ht="3" hidden="false" customHeight="true" outlineLevel="0" collapsed="false">
      <c r="A40" s="30"/>
      <c r="B40" s="30"/>
      <c r="C40" s="32"/>
      <c r="D40" s="30"/>
      <c r="E40" s="32"/>
      <c r="F40" s="30"/>
      <c r="G40" s="30"/>
      <c r="H40" s="33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2"/>
      <c r="T40" s="30"/>
      <c r="U40" s="30"/>
      <c r="V40" s="30"/>
      <c r="W40" s="30"/>
      <c r="X40" s="30"/>
      <c r="Y40" s="30"/>
      <c r="Z40" s="34"/>
      <c r="AA40" s="35" t="n">
        <v>73</v>
      </c>
      <c r="AB40" s="35"/>
      <c r="AC40" s="36"/>
      <c r="AD40" s="14"/>
      <c r="AE40" s="14"/>
    </row>
    <row r="41" customFormat="false" ht="11.1" hidden="false" customHeight="true" outlineLevel="0" collapsed="false">
      <c r="A41" s="7" t="s">
        <v>44</v>
      </c>
      <c r="B41" s="7"/>
      <c r="C41" s="8"/>
      <c r="D41" s="8"/>
      <c r="E41" s="8"/>
      <c r="F41" s="8" t="n">
        <f aca="false">SUM(F10:F39)</f>
        <v>-2835.09833585477</v>
      </c>
      <c r="G41" s="8" t="n">
        <f aca="false">SUM(G10:G39)</f>
        <v>26168.97</v>
      </c>
      <c r="H41" s="8" t="n">
        <f aca="false">SUM(H10:H39)</f>
        <v>36.5</v>
      </c>
      <c r="I41" s="8" t="n">
        <f aca="false">SUM(I10:I39)</f>
        <v>26205.47</v>
      </c>
      <c r="J41" s="8" t="n">
        <f aca="false">SUM(J10:J39)</f>
        <v>4182.50263741805</v>
      </c>
      <c r="K41" s="8" t="n">
        <f aca="false">SUM(K10:K39)</f>
        <v>30387.9726374181</v>
      </c>
      <c r="L41" s="8" t="n">
        <f aca="false">SUM(L10:L39)</f>
        <v>3900.27102370146</v>
      </c>
      <c r="M41" s="8" t="n">
        <f aca="false">SUM(M10:M39)</f>
        <v>7866.1</v>
      </c>
      <c r="N41" s="8" t="n">
        <f aca="false">SUM(N10:N39)</f>
        <v>923.968229954614</v>
      </c>
      <c r="O41" s="8" t="n">
        <f aca="false">SUM(O10:O39)</f>
        <v>6942.13177004539</v>
      </c>
      <c r="P41" s="8" t="n">
        <f aca="false">SUM(P10:P39)</f>
        <v>3448.91</v>
      </c>
      <c r="Q41" s="8" t="n">
        <f aca="false">SUM(Q10:Q39)</f>
        <v>2427.13061018659</v>
      </c>
      <c r="R41" s="8" t="n">
        <f aca="false">SUM(R10:R39)</f>
        <v>12818.172380232</v>
      </c>
      <c r="S41" s="8"/>
      <c r="T41" s="8" t="n">
        <f aca="false">SUM(T10:T39)</f>
        <v>4124.55874936964</v>
      </c>
      <c r="U41" s="8" t="n">
        <f aca="false">SUM(U10:U39)</f>
        <v>15074.14</v>
      </c>
      <c r="V41" s="8"/>
      <c r="W41" s="8" t="n">
        <f aca="false">SUM(W10:W39)</f>
        <v>32940.8393595562</v>
      </c>
      <c r="X41" s="8" t="n">
        <f aca="false">SUM(X10:X39)</f>
        <v>282.231613716591</v>
      </c>
      <c r="Y41" s="8" t="n">
        <f aca="false">SUM(Y10:Y39)</f>
        <v>33223.0709732728</v>
      </c>
      <c r="Z41" s="11" t="n">
        <f aca="false">SUM(Z10:Z39)</f>
        <v>0.26</v>
      </c>
      <c r="AA41" s="12" t="n">
        <f aca="false">AVERAGE(AA10:AA39)</f>
        <v>84.2</v>
      </c>
      <c r="AB41" s="12" t="n">
        <f aca="false">AVERAGE(AB10:AB39)</f>
        <v>50.1</v>
      </c>
      <c r="AC41" s="13"/>
      <c r="AD41" s="14"/>
      <c r="AE41" s="14"/>
    </row>
    <row r="42" customFormat="false" ht="11.1" hidden="false" customHeight="true" outlineLevel="0" collapsed="false">
      <c r="A42" s="7" t="s">
        <v>45</v>
      </c>
      <c r="B42" s="7"/>
      <c r="C42" s="8"/>
      <c r="D42" s="8" t="n">
        <f aca="false">SUM(D10:D39)</f>
        <v>-5622</v>
      </c>
      <c r="E42" s="8"/>
      <c r="F42" s="8" t="n">
        <f aca="false">F41*$D$2</f>
        <v>-5622</v>
      </c>
      <c r="G42" s="8" t="n">
        <f aca="false">G41*$D$2</f>
        <v>51893.06751</v>
      </c>
      <c r="H42" s="8" t="n">
        <f aca="false">H41*$D$2</f>
        <v>72.3795</v>
      </c>
      <c r="I42" s="8" t="n">
        <f aca="false">I41*$D$2</f>
        <v>51965.44701</v>
      </c>
      <c r="J42" s="8" t="n">
        <f aca="false">J41*$D$2</f>
        <v>8293.90273</v>
      </c>
      <c r="K42" s="8" t="n">
        <f aca="false">K41*$D$2</f>
        <v>60259.34974</v>
      </c>
      <c r="L42" s="8" t="n">
        <f aca="false">L41*$D$2</f>
        <v>7734.23744</v>
      </c>
      <c r="M42" s="8" t="n">
        <f aca="false">M41*$D$2</f>
        <v>15598.4763</v>
      </c>
      <c r="N42" s="8" t="n">
        <f aca="false">N41*$D$2</f>
        <v>1832.229</v>
      </c>
      <c r="O42" s="8" t="n">
        <f aca="false">O41*$D$2</f>
        <v>13766.2473</v>
      </c>
      <c r="P42" s="8" t="n">
        <f aca="false">P41*$D$2</f>
        <v>6839.18853</v>
      </c>
      <c r="Q42" s="8" t="n">
        <f aca="false">Q41*$D$2</f>
        <v>4813</v>
      </c>
      <c r="R42" s="8" t="n">
        <f aca="false">R41*$D$2</f>
        <v>25418.43583</v>
      </c>
      <c r="S42" s="8"/>
      <c r="T42" s="8" t="n">
        <f aca="false">T41*$D$2</f>
        <v>8179</v>
      </c>
      <c r="U42" s="8" t="n">
        <f aca="false">U41*$D$2</f>
        <v>29892.01962</v>
      </c>
      <c r="V42" s="8"/>
      <c r="W42" s="8" t="n">
        <f aca="false">W41*$D$2</f>
        <v>65321.68445</v>
      </c>
      <c r="X42" s="8" t="n">
        <f aca="false">X41*$D$2</f>
        <v>559.66529</v>
      </c>
      <c r="Y42" s="8" t="n">
        <f aca="false">Y41*$D$2</f>
        <v>65881.34974</v>
      </c>
      <c r="Z42" s="11"/>
      <c r="AA42" s="12" t="n">
        <f aca="false">MAX(AA10:AA39)</f>
        <v>94</v>
      </c>
      <c r="AB42" s="12" t="n">
        <f aca="false">MAX(AB10:AB39)</f>
        <v>56</v>
      </c>
      <c r="AC42" s="13" t="s">
        <v>46</v>
      </c>
      <c r="AD42" s="14"/>
      <c r="AE42" s="14"/>
    </row>
    <row r="43" customFormat="false" ht="3" hidden="false" customHeight="true" outlineLevel="0" collapsed="false">
      <c r="A43" s="30"/>
      <c r="B43" s="30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0"/>
      <c r="W43" s="32"/>
      <c r="X43" s="32"/>
      <c r="Y43" s="32"/>
      <c r="Z43" s="11"/>
      <c r="AA43" s="12"/>
      <c r="AB43" s="12"/>
      <c r="AC43" s="13"/>
      <c r="AD43" s="14"/>
      <c r="AE43" s="14"/>
    </row>
    <row r="44" customFormat="false" ht="11.1" hidden="false" customHeight="true" outlineLevel="0" collapsed="false">
      <c r="A44" s="7" t="s">
        <v>47</v>
      </c>
      <c r="B44" s="7"/>
      <c r="C44" s="8"/>
      <c r="D44" s="8"/>
      <c r="E44" s="8"/>
      <c r="F44" s="8" t="n">
        <f aca="false">F7+F41</f>
        <v>23370.1462430661</v>
      </c>
      <c r="G44" s="8" t="n">
        <f aca="false">G7+G41</f>
        <v>84069.83</v>
      </c>
      <c r="H44" s="12" t="n">
        <f aca="false">H7+H41</f>
        <v>6256.88</v>
      </c>
      <c r="I44" s="8" t="n">
        <f aca="false">I7+I41</f>
        <v>90306.92</v>
      </c>
      <c r="J44" s="8" t="n">
        <f aca="false">J7+J41</f>
        <v>25303.6595965708</v>
      </c>
      <c r="K44" s="8" t="n">
        <f aca="false">K7+K41</f>
        <v>115610.579596571</v>
      </c>
      <c r="L44" s="8" t="n">
        <f aca="false">L7+L41</f>
        <v>24692.2479828543</v>
      </c>
      <c r="M44" s="8" t="n">
        <f aca="false">M7+M41</f>
        <v>15890.74</v>
      </c>
      <c r="N44" s="8" t="n">
        <f aca="false">N7+N41</f>
        <v>2161.91346444781</v>
      </c>
      <c r="O44" s="8" t="n">
        <f aca="false">O7+O41</f>
        <v>13728.8265355522</v>
      </c>
      <c r="P44" s="8" t="n">
        <f aca="false">P7+P41</f>
        <v>8595.37</v>
      </c>
      <c r="Q44" s="8" t="n">
        <f aca="false">Q7+Q41</f>
        <v>4618.61212304589</v>
      </c>
      <c r="R44" s="8" t="n">
        <f aca="false">R7+R41</f>
        <v>26942.8086585981</v>
      </c>
      <c r="S44" s="8" t="n">
        <f aca="false">S39+S54</f>
        <v>3701.75208270298</v>
      </c>
      <c r="T44" s="8" t="n">
        <f aca="false">T7+T41</f>
        <v>6903.71961674231</v>
      </c>
      <c r="U44" s="8" t="n">
        <f aca="false">U7+U41</f>
        <v>55620.58</v>
      </c>
      <c r="V44" s="8" t="n">
        <v>0</v>
      </c>
      <c r="W44" s="8" t="n">
        <f aca="false">W7+W41</f>
        <v>91629.0217397882</v>
      </c>
      <c r="X44" s="8" t="n">
        <f aca="false">X7+X41</f>
        <v>611.431613716591</v>
      </c>
      <c r="Y44" s="8" t="n">
        <f aca="false">Y7+Y41</f>
        <v>92240.4533535048</v>
      </c>
      <c r="Z44" s="11"/>
      <c r="AA44" s="12" t="n">
        <f aca="false">MIN(AA10:AA39)</f>
        <v>76</v>
      </c>
      <c r="AB44" s="12" t="n">
        <f aca="false">MIN(AB10:AB39)</f>
        <v>41</v>
      </c>
      <c r="AC44" s="13" t="s">
        <v>48</v>
      </c>
      <c r="AD44" s="14"/>
      <c r="AE44" s="14"/>
    </row>
    <row r="45" customFormat="false" ht="11.1" hidden="false" customHeight="true" outlineLevel="0" collapsed="false">
      <c r="A45" s="7" t="s">
        <v>49</v>
      </c>
      <c r="B45" s="7"/>
      <c r="C45" s="8"/>
      <c r="D45" s="8" t="n">
        <f aca="false">D7+D42</f>
        <v>-5622</v>
      </c>
      <c r="E45" s="8"/>
      <c r="F45" s="8" t="n">
        <f aca="false">F44*$D$2</f>
        <v>46343</v>
      </c>
      <c r="G45" s="8" t="n">
        <f aca="false">G44*$D$2</f>
        <v>166710.47289</v>
      </c>
      <c r="H45" s="12" t="n">
        <f aca="false">H44*$D$2</f>
        <v>12407.39304</v>
      </c>
      <c r="I45" s="8" t="n">
        <f aca="false">I44*$D$2</f>
        <v>179078.62236</v>
      </c>
      <c r="J45" s="8" t="n">
        <f aca="false">J44*$D$2</f>
        <v>50177.15698</v>
      </c>
      <c r="K45" s="8" t="n">
        <f aca="false">K44*$D$2</f>
        <v>229255.77934</v>
      </c>
      <c r="L45" s="8" t="n">
        <f aca="false">L44*$D$2</f>
        <v>48964.72775</v>
      </c>
      <c r="M45" s="8" t="n">
        <f aca="false">M44*$D$2</f>
        <v>31511.33742</v>
      </c>
      <c r="N45" s="8" t="n">
        <f aca="false">N44*$D$2</f>
        <v>4287.0744</v>
      </c>
      <c r="O45" s="8" t="n">
        <f aca="false">O44*$D$2</f>
        <v>27224.26302</v>
      </c>
      <c r="P45" s="8" t="n">
        <f aca="false">P44*$D$2</f>
        <v>17044.61871</v>
      </c>
      <c r="Q45" s="8" t="n">
        <f aca="false">Q44*$D$2</f>
        <v>9158.70784</v>
      </c>
      <c r="R45" s="8" t="n">
        <f aca="false">R44*$D$2</f>
        <v>53427.58957</v>
      </c>
      <c r="S45" s="8" t="n">
        <f aca="false">S44*$D$2</f>
        <v>7340.57438</v>
      </c>
      <c r="T45" s="8" t="n">
        <f aca="false">T44*$D$2</f>
        <v>13690.076</v>
      </c>
      <c r="U45" s="8" t="n">
        <f aca="false">U44*$D$2</f>
        <v>110295.61014</v>
      </c>
      <c r="V45" s="8" t="n">
        <v>0</v>
      </c>
      <c r="W45" s="8" t="n">
        <f aca="false">W44*$D$2</f>
        <v>181700.35011</v>
      </c>
      <c r="X45" s="8" t="n">
        <f aca="false">X44*$D$2</f>
        <v>1212.46889</v>
      </c>
      <c r="Y45" s="8" t="n">
        <f aca="false">Y44*$D$2</f>
        <v>182912.819</v>
      </c>
      <c r="Z45" s="11"/>
      <c r="AA45" s="12"/>
      <c r="AB45" s="12"/>
      <c r="AC45" s="13"/>
      <c r="AD45" s="14"/>
      <c r="AE45" s="14"/>
    </row>
    <row r="46" customFormat="false" ht="3" hidden="false" customHeight="true" outlineLevel="0" collapsed="false">
      <c r="A46" s="30"/>
      <c r="B46" s="30"/>
      <c r="C46" s="32"/>
      <c r="D46" s="32"/>
      <c r="E46" s="32"/>
      <c r="F46" s="32"/>
      <c r="G46" s="32"/>
      <c r="H46" s="3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4"/>
      <c r="AA46" s="12"/>
      <c r="AB46" s="12"/>
      <c r="AC46" s="13"/>
      <c r="AD46" s="14"/>
      <c r="AE46" s="14"/>
    </row>
    <row r="47" customFormat="false" ht="11.1" hidden="false" customHeight="true" outlineLevel="0" collapsed="false">
      <c r="A47" s="7" t="s">
        <v>50</v>
      </c>
      <c r="B47" s="7"/>
      <c r="C47" s="8"/>
      <c r="D47" s="8"/>
      <c r="E47" s="8"/>
      <c r="F47" s="8" t="n">
        <f aca="false">F8+F41</f>
        <v>31356.5305093293</v>
      </c>
      <c r="G47" s="8" t="n">
        <f aca="false">G8+G41</f>
        <v>96719.3064498235</v>
      </c>
      <c r="H47" s="12" t="n">
        <f aca="false">H8+H41</f>
        <v>6256.88</v>
      </c>
      <c r="I47" s="8" t="n">
        <f aca="false">I8+I41</f>
        <v>102955.587876954</v>
      </c>
      <c r="J47" s="8" t="n">
        <f aca="false">J8+J41</f>
        <v>27277.3724962179</v>
      </c>
      <c r="K47" s="8" t="n">
        <f aca="false">K8+K41</f>
        <v>130232.960373172</v>
      </c>
      <c r="L47" s="8" t="n">
        <f aca="false">L8+L41</f>
        <v>26198.2843721634</v>
      </c>
      <c r="M47" s="8" t="n">
        <f aca="false">M8+M41</f>
        <v>16802.98</v>
      </c>
      <c r="N47" s="8" t="n">
        <f aca="false">N8+N41</f>
        <v>2161.91346444781</v>
      </c>
      <c r="O47" s="8" t="n">
        <f aca="false">O8+O41</f>
        <v>14641.0665355522</v>
      </c>
      <c r="P47" s="8" t="n">
        <f aca="false">P8+P41</f>
        <v>8595.37</v>
      </c>
      <c r="Q47" s="8" t="n">
        <f aca="false">Q8+Q41</f>
        <v>4618.61212304589</v>
      </c>
      <c r="R47" s="8" t="n">
        <f aca="false">R8+R41</f>
        <v>27855.0486585981</v>
      </c>
      <c r="S47" s="8"/>
      <c r="T47" s="8" t="n">
        <f aca="false">T8+T41</f>
        <v>6903.71961674231</v>
      </c>
      <c r="U47" s="8" t="n">
        <f aca="false">U8+U41</f>
        <v>60883.99</v>
      </c>
      <c r="V47" s="8" t="n">
        <f aca="false">V39</f>
        <v>7527</v>
      </c>
      <c r="W47" s="8" t="n">
        <f aca="false">W8+W41</f>
        <v>97804.6717397882</v>
      </c>
      <c r="X47" s="8" t="n">
        <f aca="false">X8+X41</f>
        <v>1101.21937468482</v>
      </c>
      <c r="Y47" s="8" t="n">
        <f aca="false">Y8+Y41</f>
        <v>98905.891114473</v>
      </c>
      <c r="Z47" s="28" t="n">
        <f aca="false">Z8+Z41</f>
        <v>9.28</v>
      </c>
      <c r="AA47" s="12"/>
      <c r="AB47" s="12"/>
      <c r="AC47" s="13"/>
      <c r="AD47" s="14"/>
      <c r="AE47" s="14"/>
    </row>
    <row r="48" customFormat="false" ht="11.1" hidden="false" customHeight="true" outlineLevel="0" collapsed="false">
      <c r="A48" s="7" t="s">
        <v>51</v>
      </c>
      <c r="B48" s="7"/>
      <c r="C48" s="8"/>
      <c r="D48" s="8" t="n">
        <f aca="false">D8+D42</f>
        <v>62180</v>
      </c>
      <c r="E48" s="8" t="n">
        <f aca="false">E39</f>
        <v>220867</v>
      </c>
      <c r="F48" s="8" t="n">
        <f aca="false">F47*$D$2</f>
        <v>62180</v>
      </c>
      <c r="G48" s="8" t="n">
        <f aca="false">G47*$D$2</f>
        <v>191794.38469</v>
      </c>
      <c r="H48" s="12" t="n">
        <f aca="false">H47*$D$2</f>
        <v>12407.39304</v>
      </c>
      <c r="I48" s="8" t="n">
        <f aca="false">I47*$D$2</f>
        <v>204160.93076</v>
      </c>
      <c r="J48" s="8" t="n">
        <f aca="false">J47*$D$2</f>
        <v>54091.02966</v>
      </c>
      <c r="K48" s="8" t="n">
        <f aca="false">K47*$D$2</f>
        <v>258251.96042</v>
      </c>
      <c r="L48" s="8" t="n">
        <f aca="false">L47*$D$2</f>
        <v>51951.19791</v>
      </c>
      <c r="M48" s="8" t="n">
        <f aca="false">M47*$D$2</f>
        <v>33320.30934</v>
      </c>
      <c r="N48" s="8" t="n">
        <f aca="false">N47*$D$2</f>
        <v>4287.0744</v>
      </c>
      <c r="O48" s="8" t="n">
        <f aca="false">O47*$D$2</f>
        <v>29033.23494</v>
      </c>
      <c r="P48" s="8" t="n">
        <f aca="false">P47*$D$2</f>
        <v>17044.61871</v>
      </c>
      <c r="Q48" s="8" t="n">
        <f aca="false">Q47*$D$2</f>
        <v>9158.70784</v>
      </c>
      <c r="R48" s="8" t="n">
        <f aca="false">R47*$D$2</f>
        <v>55236.56149</v>
      </c>
      <c r="S48" s="8" t="n">
        <f aca="false">S47*$D$2</f>
        <v>0</v>
      </c>
      <c r="T48" s="8" t="n">
        <f aca="false">T47*$D$2</f>
        <v>13690.076</v>
      </c>
      <c r="U48" s="8" t="n">
        <f aca="false">U47*$D$2</f>
        <v>120732.95217</v>
      </c>
      <c r="V48" s="8" t="n">
        <f aca="false">V47*$D$2</f>
        <v>14926.041</v>
      </c>
      <c r="W48" s="8" t="n">
        <f aca="false">W47*$D$2</f>
        <v>193946.66406</v>
      </c>
      <c r="X48" s="8" t="n">
        <f aca="false">X47*$D$2</f>
        <v>2183.71802</v>
      </c>
      <c r="Y48" s="8" t="n">
        <f aca="false">Y47*$D$2</f>
        <v>196130.38208</v>
      </c>
      <c r="Z48" s="11"/>
      <c r="AA48" s="12"/>
      <c r="AB48" s="12"/>
      <c r="AC48" s="13"/>
      <c r="AD48" s="14"/>
      <c r="AE48" s="14"/>
    </row>
    <row r="49" customFormat="false" ht="3" hidden="false" customHeight="true" outlineLevel="0" collapsed="false">
      <c r="A49" s="30"/>
      <c r="B49" s="30"/>
      <c r="C49" s="32"/>
      <c r="D49" s="30"/>
      <c r="E49" s="32"/>
      <c r="F49" s="30"/>
      <c r="G49" s="30"/>
      <c r="H49" s="33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2"/>
      <c r="T49" s="30"/>
      <c r="U49" s="30"/>
      <c r="V49" s="32"/>
      <c r="W49" s="30"/>
      <c r="X49" s="30"/>
      <c r="Y49" s="30"/>
      <c r="Z49" s="11"/>
      <c r="AA49" s="12"/>
      <c r="AB49" s="12"/>
      <c r="AC49" s="13"/>
      <c r="AD49" s="14"/>
      <c r="AE49" s="14"/>
    </row>
    <row r="50" customFormat="false" ht="14.1" hidden="false" customHeight="true" outlineLevel="0" collapsed="false">
      <c r="A50" s="39" t="str">
        <f aca="false">"6/7/94 thru 7/12/94"</f>
        <v>6/7/94 thru 7/12/94</v>
      </c>
      <c r="B50" s="40"/>
      <c r="C50" s="8"/>
      <c r="D50" s="7"/>
      <c r="E50" s="8"/>
      <c r="F50" s="7"/>
      <c r="G50" s="7"/>
      <c r="H50" s="9"/>
      <c r="I50" s="7"/>
      <c r="J50" s="7"/>
      <c r="K50" s="7"/>
      <c r="L50" s="7"/>
      <c r="M50" s="7"/>
      <c r="N50" s="7"/>
      <c r="O50" s="7"/>
      <c r="P50" s="7"/>
      <c r="Q50" s="7"/>
      <c r="R50" s="7" t="s">
        <v>74</v>
      </c>
      <c r="S50" s="8" t="n">
        <v>1210</v>
      </c>
      <c r="T50" s="7"/>
      <c r="U50" s="7"/>
      <c r="V50" s="8"/>
      <c r="W50" s="7"/>
      <c r="X50" s="7"/>
      <c r="Y50" s="7"/>
      <c r="Z50" s="11"/>
      <c r="AA50" s="12"/>
      <c r="AB50" s="12"/>
      <c r="AC50" s="13"/>
      <c r="AD50" s="14"/>
      <c r="AE50" s="14"/>
    </row>
    <row r="51" customFormat="false" ht="11.1" hidden="false" customHeight="true" outlineLevel="0" collapsed="false">
      <c r="A51" s="7"/>
      <c r="B51" s="27" t="n">
        <v>6918.56</v>
      </c>
      <c r="C51" s="8" t="n">
        <v>357387</v>
      </c>
      <c r="D51" s="38"/>
      <c r="E51" s="8" t="n">
        <f aca="false">C51-152000</f>
        <v>205387</v>
      </c>
      <c r="F51" s="7"/>
      <c r="G51" s="7" t="str">
        <f aca="false">"89%  RUNOFF APR - JUN"</f>
        <v>89%  RUNOFF APR - JUN</v>
      </c>
      <c r="H51" s="38"/>
      <c r="I51" s="9"/>
      <c r="J51" s="7"/>
      <c r="K51" s="41"/>
      <c r="L51" s="7"/>
      <c r="M51" s="7"/>
      <c r="N51" s="7"/>
      <c r="O51" s="7"/>
      <c r="P51" s="7" t="s">
        <v>75</v>
      </c>
      <c r="Q51" s="7"/>
      <c r="R51" s="7" t="s">
        <v>76</v>
      </c>
      <c r="S51" s="8" t="n">
        <v>3400</v>
      </c>
      <c r="T51" s="7"/>
      <c r="U51" s="7"/>
      <c r="V51" s="8"/>
      <c r="W51" s="7"/>
      <c r="X51" s="7"/>
      <c r="Y51" s="7"/>
      <c r="Z51" s="11"/>
      <c r="AA51" s="12"/>
      <c r="AB51" s="12"/>
      <c r="AC51" s="13"/>
      <c r="AD51" s="14"/>
      <c r="AE51" s="14"/>
    </row>
    <row r="52" customFormat="false" ht="11.1" hidden="false" customHeight="true" outlineLevel="0" collapsed="false">
      <c r="B52" s="38"/>
      <c r="C52" s="8"/>
      <c r="D52" s="8"/>
      <c r="E52" s="8"/>
      <c r="F52" s="38"/>
      <c r="G52" s="38"/>
      <c r="H52" s="9"/>
      <c r="I52" s="38"/>
      <c r="J52" s="38"/>
      <c r="K52" s="38"/>
      <c r="L52" s="38"/>
      <c r="M52" s="28"/>
      <c r="N52" s="28"/>
      <c r="O52" s="28"/>
      <c r="P52" s="38"/>
      <c r="Q52" s="38"/>
      <c r="R52" s="38" t="s">
        <v>77</v>
      </c>
      <c r="S52" s="8" t="n">
        <v>2300</v>
      </c>
      <c r="T52" s="38"/>
      <c r="U52" s="38"/>
      <c r="V52" s="8"/>
      <c r="W52" s="38"/>
      <c r="X52" s="38"/>
      <c r="Y52" s="38"/>
      <c r="Z52" s="11"/>
      <c r="AA52" s="12"/>
      <c r="AB52" s="12"/>
      <c r="AC52" s="13"/>
      <c r="AD52" s="42"/>
      <c r="AE52" s="42"/>
    </row>
    <row r="53" customFormat="false" ht="11.1" hidden="false" customHeight="true" outlineLevel="0" collapsed="false">
      <c r="A53" s="38"/>
      <c r="B53" s="11" t="n">
        <f aca="false">B51-B17</f>
        <v>-5.59999999999945</v>
      </c>
      <c r="C53" s="8"/>
      <c r="D53" s="8" t="n">
        <f aca="false">C51-C17</f>
        <v>-24492</v>
      </c>
      <c r="E53" s="8"/>
      <c r="F53" s="38"/>
      <c r="G53" s="38"/>
      <c r="H53" s="9"/>
      <c r="I53" s="38"/>
      <c r="J53" s="38"/>
      <c r="K53" s="38"/>
      <c r="L53" s="38"/>
      <c r="M53" s="28"/>
      <c r="N53" s="28"/>
      <c r="O53" s="28"/>
      <c r="P53" s="38"/>
      <c r="Q53" s="38"/>
      <c r="R53" s="38" t="s">
        <v>78</v>
      </c>
      <c r="S53" s="8" t="n">
        <f aca="false">SUM(S50:S52)</f>
        <v>6910</v>
      </c>
      <c r="T53" s="38"/>
      <c r="U53" s="38"/>
      <c r="V53" s="8"/>
      <c r="W53" s="38"/>
      <c r="X53" s="38"/>
      <c r="Y53" s="38"/>
      <c r="Z53" s="11"/>
      <c r="AA53" s="12"/>
      <c r="AB53" s="12"/>
      <c r="AC53" s="13"/>
      <c r="AD53" s="42"/>
      <c r="AE53" s="42"/>
    </row>
    <row r="54" customFormat="false" ht="11.1" hidden="false" customHeight="true" outlineLevel="0" collapsed="false">
      <c r="A54" s="38"/>
      <c r="B54" s="38"/>
      <c r="C54" s="8"/>
      <c r="D54" s="38"/>
      <c r="E54" s="8"/>
      <c r="F54" s="38"/>
      <c r="G54" s="43"/>
      <c r="H54" s="9"/>
      <c r="I54" s="38"/>
      <c r="J54" s="38"/>
      <c r="K54" s="38"/>
      <c r="L54" s="38"/>
      <c r="M54" s="28"/>
      <c r="N54" s="28"/>
      <c r="O54" s="28"/>
      <c r="P54" s="38"/>
      <c r="Q54" s="38"/>
      <c r="R54" s="38" t="s">
        <v>79</v>
      </c>
      <c r="S54" s="8" t="n">
        <f aca="false">S53/$D$2</f>
        <v>3484.61926374181</v>
      </c>
      <c r="T54" s="38"/>
      <c r="U54" s="38"/>
      <c r="V54" s="8"/>
      <c r="W54" s="38"/>
      <c r="X54" s="38"/>
      <c r="Y54" s="38"/>
      <c r="Z54" s="11"/>
      <c r="AA54" s="12"/>
      <c r="AB54" s="12"/>
      <c r="AC54" s="13"/>
      <c r="AD54" s="42"/>
      <c r="AE54" s="42"/>
    </row>
  </sheetData>
  <mergeCells count="2">
    <mergeCell ref="K2:V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5"/>
  <sheetViews>
    <sheetView showFormulas="false" showGridLines="true" showRowColHeaders="true" showZeros="true" rightToLeft="false" tabSelected="false" showOutlineSymbols="true" defaultGridColor="true" view="normal" topLeftCell="D17" colorId="64" zoomScale="100" zoomScaleNormal="100" zoomScalePageLayoutView="100" workbookViewId="0">
      <selection pane="topLeft" activeCell="K44" activeCellId="0" sqref="K44"/>
    </sheetView>
  </sheetViews>
  <sheetFormatPr defaultColWidth="9.328125" defaultRowHeight="11.1" zeroHeight="false" outlineLevelRow="0" outlineLevelCol="0"/>
  <cols>
    <col collapsed="false" customWidth="true" hidden="false" outlineLevel="0" max="1" min="1" style="99" width="5.66"/>
    <col collapsed="false" customWidth="false" hidden="false" outlineLevel="0" max="2" min="2" style="99" width="9.32"/>
    <col collapsed="false" customWidth="true" hidden="false" outlineLevel="0" max="3" min="3" style="100" width="7.66"/>
    <col collapsed="false" customWidth="true" hidden="false" outlineLevel="0" max="4" min="4" style="99" width="7.66"/>
    <col collapsed="false" customWidth="true" hidden="false" outlineLevel="0" max="5" min="5" style="100" width="7.66"/>
    <col collapsed="false" customWidth="true" hidden="false" outlineLevel="0" max="7" min="6" style="99" width="7.66"/>
    <col collapsed="false" customWidth="true" hidden="false" outlineLevel="0" max="8" min="8" style="101" width="7.16"/>
    <col collapsed="false" customWidth="true" hidden="false" outlineLevel="0" max="9" min="9" style="99" width="8.82"/>
    <col collapsed="false" customWidth="true" hidden="false" outlineLevel="0" max="11" min="10" style="99" width="7.66"/>
    <col collapsed="false" customWidth="true" hidden="false" outlineLevel="0" max="12" min="12" style="99" width="6.49"/>
    <col collapsed="false" customWidth="true" hidden="false" outlineLevel="0" max="15" min="13" style="102" width="7.49"/>
    <col collapsed="false" customWidth="true" hidden="false" outlineLevel="0" max="16" min="16" style="99" width="7.66"/>
    <col collapsed="false" customWidth="true" hidden="false" outlineLevel="0" max="17" min="17" style="99" width="7.16"/>
    <col collapsed="false" customWidth="true" hidden="false" outlineLevel="0" max="18" min="18" style="99" width="6.66"/>
    <col collapsed="false" customWidth="true" hidden="false" outlineLevel="0" max="19" min="19" style="100" width="7.66"/>
    <col collapsed="false" customWidth="true" hidden="false" outlineLevel="0" max="20" min="20" style="99" width="7.66"/>
    <col collapsed="false" customWidth="true" hidden="false" outlineLevel="0" max="21" min="21" style="99" width="7.49"/>
    <col collapsed="false" customWidth="true" hidden="false" outlineLevel="0" max="22" min="22" style="100" width="6.32"/>
    <col collapsed="false" customWidth="true" hidden="false" outlineLevel="0" max="25" min="23" style="99" width="7.82"/>
    <col collapsed="false" customWidth="true" hidden="false" outlineLevel="0" max="26" min="26" style="103" width="5.66"/>
    <col collapsed="false" customWidth="true" hidden="false" outlineLevel="0" max="28" min="27" style="104" width="5.66"/>
    <col collapsed="false" customWidth="true" hidden="false" outlineLevel="0" max="29" min="29" style="105" width="5.66"/>
    <col collapsed="false" customWidth="false" hidden="false" outlineLevel="0" max="257" min="30" style="99" width="9.32"/>
  </cols>
  <sheetData>
    <row r="1" customFormat="false" ht="14.1" hidden="false" customHeight="true" outlineLevel="0" collapsed="false">
      <c r="A1" s="106"/>
      <c r="B1" s="106"/>
      <c r="C1" s="107"/>
      <c r="D1" s="106"/>
      <c r="E1" s="107"/>
      <c r="F1" s="106"/>
      <c r="G1" s="106"/>
      <c r="H1" s="108"/>
      <c r="I1" s="106"/>
      <c r="J1" s="106"/>
      <c r="K1" s="109" t="s">
        <v>0</v>
      </c>
      <c r="L1" s="106"/>
      <c r="M1" s="106"/>
      <c r="N1" s="106"/>
      <c r="O1" s="106"/>
      <c r="P1" s="106"/>
      <c r="Q1" s="106"/>
      <c r="R1" s="106"/>
      <c r="S1" s="107"/>
      <c r="T1" s="106"/>
      <c r="U1" s="106"/>
      <c r="V1" s="107"/>
      <c r="W1" s="106"/>
      <c r="X1" s="106"/>
      <c r="Y1" s="106"/>
      <c r="Z1" s="110"/>
      <c r="AA1" s="111"/>
      <c r="AB1" s="111"/>
      <c r="AC1" s="112"/>
      <c r="AD1" s="113"/>
      <c r="AE1" s="113"/>
    </row>
    <row r="2" customFormat="false" ht="14.1" hidden="false" customHeight="true" outlineLevel="0" collapsed="false">
      <c r="A2" s="106" t="s">
        <v>1</v>
      </c>
      <c r="B2" s="106"/>
      <c r="C2" s="107"/>
      <c r="D2" s="114" t="n">
        <v>1.983</v>
      </c>
      <c r="E2" s="107"/>
      <c r="F2" s="106"/>
      <c r="G2" s="106"/>
      <c r="H2" s="108"/>
      <c r="I2" s="106"/>
      <c r="J2" s="106"/>
      <c r="K2" s="115" t="s">
        <v>80</v>
      </c>
      <c r="L2" s="115"/>
      <c r="M2" s="115"/>
      <c r="N2" s="115"/>
      <c r="O2" s="115"/>
      <c r="P2" s="115"/>
      <c r="Q2" s="115"/>
      <c r="R2" s="115"/>
      <c r="S2" s="115"/>
      <c r="T2" s="115"/>
      <c r="U2" s="106"/>
      <c r="V2" s="107"/>
      <c r="W2" s="106"/>
      <c r="X2" s="106"/>
      <c r="Y2" s="106"/>
      <c r="Z2" s="110"/>
      <c r="AA2" s="111"/>
      <c r="AB2" s="111"/>
      <c r="AC2" s="112"/>
      <c r="AD2" s="113"/>
      <c r="AE2" s="113"/>
    </row>
    <row r="3" customFormat="false" ht="11.1" hidden="false" customHeight="true" outlineLevel="0" collapsed="false">
      <c r="A3" s="106"/>
      <c r="B3" s="106"/>
      <c r="C3" s="107"/>
      <c r="D3" s="114"/>
      <c r="E3" s="107"/>
      <c r="F3" s="106"/>
      <c r="G3" s="106"/>
      <c r="H3" s="108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7"/>
      <c r="T3" s="106"/>
      <c r="U3" s="106"/>
      <c r="V3" s="107"/>
      <c r="W3" s="106"/>
      <c r="X3" s="106"/>
      <c r="Y3" s="106"/>
      <c r="Z3" s="110"/>
      <c r="AA3" s="111"/>
      <c r="AB3" s="111"/>
      <c r="AC3" s="112"/>
      <c r="AD3" s="113"/>
      <c r="AE3" s="113"/>
    </row>
    <row r="4" customFormat="false" ht="11.1" hidden="false" customHeight="true" outlineLevel="0" collapsed="false">
      <c r="A4" s="116" t="s">
        <v>3</v>
      </c>
      <c r="B4" s="116" t="s">
        <v>4</v>
      </c>
      <c r="C4" s="117" t="s">
        <v>4</v>
      </c>
      <c r="D4" s="116" t="s">
        <v>5</v>
      </c>
      <c r="E4" s="117" t="s">
        <v>6</v>
      </c>
      <c r="F4" s="116" t="s">
        <v>7</v>
      </c>
      <c r="G4" s="116" t="s">
        <v>8</v>
      </c>
      <c r="H4" s="118" t="s">
        <v>9</v>
      </c>
      <c r="I4" s="116" t="s">
        <v>10</v>
      </c>
      <c r="J4" s="116" t="s">
        <v>11</v>
      </c>
      <c r="K4" s="116" t="s">
        <v>12</v>
      </c>
      <c r="L4" s="116" t="s">
        <v>11</v>
      </c>
      <c r="M4" s="116" t="s">
        <v>62</v>
      </c>
      <c r="N4" s="116"/>
      <c r="O4" s="116"/>
      <c r="P4" s="116" t="s">
        <v>68</v>
      </c>
      <c r="Q4" s="116" t="s">
        <v>14</v>
      </c>
      <c r="R4" s="116" t="s">
        <v>12</v>
      </c>
      <c r="S4" s="117" t="s">
        <v>13</v>
      </c>
      <c r="T4" s="116" t="s">
        <v>15</v>
      </c>
      <c r="U4" s="116" t="s">
        <v>17</v>
      </c>
      <c r="V4" s="117" t="s">
        <v>18</v>
      </c>
      <c r="W4" s="116" t="s">
        <v>10</v>
      </c>
      <c r="X4" s="116" t="s">
        <v>11</v>
      </c>
      <c r="Y4" s="116" t="s">
        <v>12</v>
      </c>
      <c r="Z4" s="119" t="s">
        <v>19</v>
      </c>
      <c r="AA4" s="120" t="s">
        <v>20</v>
      </c>
      <c r="AB4" s="120" t="s">
        <v>21</v>
      </c>
      <c r="AC4" s="120" t="s">
        <v>3</v>
      </c>
      <c r="AD4" s="113"/>
      <c r="AE4" s="113"/>
    </row>
    <row r="5" customFormat="false" ht="11.1" hidden="false" customHeight="true" outlineLevel="0" collapsed="false">
      <c r="A5" s="121" t="s">
        <v>81</v>
      </c>
      <c r="B5" s="116" t="s">
        <v>23</v>
      </c>
      <c r="C5" s="117" t="s">
        <v>5</v>
      </c>
      <c r="D5" s="116" t="s">
        <v>24</v>
      </c>
      <c r="E5" s="117" t="s">
        <v>25</v>
      </c>
      <c r="F5" s="116" t="s">
        <v>26</v>
      </c>
      <c r="G5" s="116" t="s">
        <v>27</v>
      </c>
      <c r="H5" s="118" t="s">
        <v>28</v>
      </c>
      <c r="I5" s="116" t="s">
        <v>29</v>
      </c>
      <c r="J5" s="116" t="s">
        <v>29</v>
      </c>
      <c r="K5" s="116" t="s">
        <v>29</v>
      </c>
      <c r="L5" s="116" t="s">
        <v>30</v>
      </c>
      <c r="M5" s="116" t="s">
        <v>64</v>
      </c>
      <c r="N5" s="116" t="s">
        <v>65</v>
      </c>
      <c r="O5" s="116" t="s">
        <v>70</v>
      </c>
      <c r="P5" s="116" t="s">
        <v>71</v>
      </c>
      <c r="Q5" s="116" t="s">
        <v>33</v>
      </c>
      <c r="R5" s="116" t="s">
        <v>13</v>
      </c>
      <c r="S5" s="117" t="s">
        <v>34</v>
      </c>
      <c r="T5" s="116" t="s">
        <v>35</v>
      </c>
      <c r="U5" s="116" t="s">
        <v>37</v>
      </c>
      <c r="V5" s="117" t="s">
        <v>38</v>
      </c>
      <c r="W5" s="116" t="s">
        <v>39</v>
      </c>
      <c r="X5" s="116" t="s">
        <v>39</v>
      </c>
      <c r="Y5" s="116" t="s">
        <v>39</v>
      </c>
      <c r="Z5" s="122"/>
      <c r="AA5" s="120" t="s">
        <v>40</v>
      </c>
      <c r="AB5" s="120" t="s">
        <v>40</v>
      </c>
      <c r="AC5" s="123" t="s">
        <v>81</v>
      </c>
      <c r="AD5" s="113"/>
      <c r="AE5" s="113"/>
    </row>
    <row r="6" customFormat="false" ht="11.1" hidden="false" customHeight="true" outlineLevel="0" collapsed="false">
      <c r="A6" s="124"/>
      <c r="B6" s="124"/>
      <c r="C6" s="125"/>
      <c r="D6" s="124"/>
      <c r="E6" s="125"/>
      <c r="F6" s="124"/>
      <c r="G6" s="124"/>
      <c r="H6" s="126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5"/>
      <c r="T6" s="124"/>
      <c r="U6" s="124"/>
      <c r="V6" s="125"/>
      <c r="W6" s="124"/>
      <c r="X6" s="124"/>
      <c r="Y6" s="124"/>
      <c r="Z6" s="110"/>
      <c r="AA6" s="112"/>
      <c r="AB6" s="112"/>
      <c r="AC6" s="112"/>
      <c r="AD6" s="127" t="n">
        <v>741</v>
      </c>
      <c r="AE6" s="127" t="n">
        <v>742</v>
      </c>
      <c r="AF6" s="128"/>
    </row>
    <row r="7" customFormat="false" ht="11.1" hidden="false" customHeight="true" outlineLevel="0" collapsed="false">
      <c r="A7" s="106" t="s">
        <v>41</v>
      </c>
      <c r="B7" s="106"/>
      <c r="C7" s="107"/>
      <c r="D7" s="107"/>
      <c r="E7" s="107"/>
      <c r="F7" s="107" t="n">
        <f aca="false" t="array" ref="F7:Y7">[7]RIVER064!$F$44:$Y$44</f>
        <v>23370.1462430661</v>
      </c>
      <c r="G7" s="107" t="n">
        <v>84069.83</v>
      </c>
      <c r="H7" s="111" t="n">
        <v>6256.88</v>
      </c>
      <c r="I7" s="107" t="n">
        <v>90306.92</v>
      </c>
      <c r="J7" s="107" t="n">
        <v>25303.6595965708</v>
      </c>
      <c r="K7" s="107" t="n">
        <v>115610.579596571</v>
      </c>
      <c r="L7" s="107" t="n">
        <v>24692.2479828543</v>
      </c>
      <c r="M7" s="107" t="n">
        <v>15890.74</v>
      </c>
      <c r="N7" s="107" t="n">
        <v>2161.91346444781</v>
      </c>
      <c r="O7" s="107" t="n">
        <v>13728.8265355522</v>
      </c>
      <c r="P7" s="107" t="n">
        <v>8595.37</v>
      </c>
      <c r="Q7" s="107" t="n">
        <v>4618.61212304589</v>
      </c>
      <c r="R7" s="107" t="n">
        <v>26942.8086585981</v>
      </c>
      <c r="S7" s="107" t="n">
        <v>3701.75208270298</v>
      </c>
      <c r="T7" s="107" t="n">
        <v>6903.71961674231</v>
      </c>
      <c r="U7" s="107" t="n">
        <v>55620.58</v>
      </c>
      <c r="V7" s="107" t="n">
        <v>0</v>
      </c>
      <c r="W7" s="107" t="n">
        <v>91629.0217397882</v>
      </c>
      <c r="X7" s="107" t="n">
        <v>611.431613716591</v>
      </c>
      <c r="Y7" s="107" t="n">
        <v>92240.4533535048</v>
      </c>
      <c r="Z7" s="110"/>
      <c r="AA7" s="111"/>
      <c r="AB7" s="111"/>
      <c r="AC7" s="112"/>
      <c r="AD7" s="127"/>
      <c r="AE7" s="128"/>
      <c r="AF7" s="128"/>
    </row>
    <row r="8" s="100" customFormat="true" ht="11.1" hidden="false" customHeight="true" outlineLevel="0" collapsed="false">
      <c r="A8" s="107" t="s">
        <v>42</v>
      </c>
      <c r="B8" s="129" t="n">
        <f aca="false" t="array" ref="B8:C8">[7]RIVER064!$B$39:$C$39</f>
        <v>6922.13</v>
      </c>
      <c r="C8" s="107" t="n">
        <v>372867</v>
      </c>
      <c r="D8" s="107" t="n">
        <f aca="false" t="array" ref="D8:E8">[7]RIVER064!$D$48:$E$48</f>
        <v>62180</v>
      </c>
      <c r="E8" s="107" t="n">
        <v>220867</v>
      </c>
      <c r="F8" s="107" t="n">
        <f aca="false" t="array" ref="F8:Z8">[7]RIVER064!$F$47:$Z$47</f>
        <v>31356.5305093293</v>
      </c>
      <c r="G8" s="107" t="n">
        <v>96719.3064498235</v>
      </c>
      <c r="H8" s="111" t="n">
        <v>6256.88</v>
      </c>
      <c r="I8" s="107" t="n">
        <v>102955.587876954</v>
      </c>
      <c r="J8" s="107" t="n">
        <v>27277.3724962179</v>
      </c>
      <c r="K8" s="107" t="n">
        <v>130232.960373172</v>
      </c>
      <c r="L8" s="107" t="n">
        <v>26198.2843721634</v>
      </c>
      <c r="M8" s="107" t="n">
        <v>16802.98</v>
      </c>
      <c r="N8" s="107" t="n">
        <v>2161.91346444781</v>
      </c>
      <c r="O8" s="107" t="n">
        <v>14641.0665355522</v>
      </c>
      <c r="P8" s="107" t="n">
        <v>8595.37</v>
      </c>
      <c r="Q8" s="107" t="n">
        <v>4618.61212304589</v>
      </c>
      <c r="R8" s="107" t="n">
        <v>27855.0486585981</v>
      </c>
      <c r="S8" s="107" t="n">
        <v>0</v>
      </c>
      <c r="T8" s="107" t="n">
        <v>6903.71961674231</v>
      </c>
      <c r="U8" s="107" t="n">
        <v>60883.99</v>
      </c>
      <c r="V8" s="107" t="n">
        <v>7527</v>
      </c>
      <c r="W8" s="107" t="n">
        <v>97804.6717397882</v>
      </c>
      <c r="X8" s="107" t="n">
        <v>1101.21937468482</v>
      </c>
      <c r="Y8" s="107" t="n">
        <v>98905.891114473</v>
      </c>
      <c r="Z8" s="130" t="n">
        <v>9.28</v>
      </c>
      <c r="AA8" s="111"/>
      <c r="AB8" s="111"/>
      <c r="AC8" s="112"/>
      <c r="AD8" s="131" t="n">
        <v>13634</v>
      </c>
      <c r="AE8" s="127" t="n">
        <v>9147</v>
      </c>
      <c r="AF8" s="131" t="n">
        <v>1728.98</v>
      </c>
    </row>
    <row r="9" customFormat="false" ht="3" hidden="false" customHeight="true" outlineLevel="0" collapsed="false">
      <c r="A9" s="132"/>
      <c r="B9" s="133"/>
      <c r="C9" s="134"/>
      <c r="D9" s="132"/>
      <c r="E9" s="134"/>
      <c r="F9" s="132"/>
      <c r="G9" s="132"/>
      <c r="H9" s="135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4"/>
      <c r="T9" s="132"/>
      <c r="U9" s="132"/>
      <c r="V9" s="134"/>
      <c r="W9" s="132"/>
      <c r="X9" s="132"/>
      <c r="Y9" s="132"/>
      <c r="Z9" s="136"/>
      <c r="AA9" s="137"/>
      <c r="AB9" s="137"/>
      <c r="AC9" s="138"/>
      <c r="AD9" s="127"/>
      <c r="AE9" s="127"/>
      <c r="AF9" s="128"/>
    </row>
    <row r="10" customFormat="false" ht="11.1" hidden="false" customHeight="true" outlineLevel="0" collapsed="false">
      <c r="A10" s="112" t="n">
        <v>1</v>
      </c>
      <c r="B10" s="129" t="n">
        <v>6921.86</v>
      </c>
      <c r="C10" s="107" t="n">
        <v>371861</v>
      </c>
      <c r="D10" s="111" t="n">
        <f aca="false">C10-C8</f>
        <v>-1006</v>
      </c>
      <c r="E10" s="107" t="n">
        <f aca="false">C10-152000</f>
        <v>219861</v>
      </c>
      <c r="F10" s="106" t="n">
        <f aca="false">D10/$D$2</f>
        <v>-507.312153303076</v>
      </c>
      <c r="G10" s="106" t="n">
        <v>248.16</v>
      </c>
      <c r="H10" s="108" t="n">
        <v>0</v>
      </c>
      <c r="I10" s="106" t="n">
        <f aca="false">G10+H10</f>
        <v>248.16</v>
      </c>
      <c r="J10" s="130" t="n">
        <f aca="false">IF(L10&gt;0,L10,0)</f>
        <v>50.8283207261726</v>
      </c>
      <c r="K10" s="106" t="n">
        <f aca="false">I10+J10</f>
        <v>298.988320726173</v>
      </c>
      <c r="L10" s="106" t="n">
        <f aca="false">F10-(I10-W10)</f>
        <v>50.8283207261726</v>
      </c>
      <c r="M10" s="106" t="n">
        <v>284.31</v>
      </c>
      <c r="N10" s="106" t="n">
        <f aca="false">((AF10-AF8)*1.05)/$D$2</f>
        <v>20.0310136157337</v>
      </c>
      <c r="O10" s="106" t="n">
        <f aca="false">M10-N10</f>
        <v>264.278986384266</v>
      </c>
      <c r="P10" s="106" t="n">
        <v>115.17</v>
      </c>
      <c r="Q10" s="106" t="n">
        <f aca="false">(AE10-AE8)/$D$2</f>
        <v>88.2501260716087</v>
      </c>
      <c r="R10" s="106" t="n">
        <f aca="false">SUM(O10:Q10)</f>
        <v>467.699112455875</v>
      </c>
      <c r="S10" s="107" t="n">
        <f aca="false">(I10-R10)+S7</f>
        <v>3482.2129702471</v>
      </c>
      <c r="T10" s="106" t="n">
        <f aca="false">(AD10-AD8)/$D$2</f>
        <v>243.57034795764</v>
      </c>
      <c r="U10" s="106" t="n">
        <v>75</v>
      </c>
      <c r="V10" s="107" t="n">
        <f aca="false">V8-U10</f>
        <v>7452</v>
      </c>
      <c r="W10" s="106" t="n">
        <f aca="false">R10+T10+N10+U10</f>
        <v>806.300474029249</v>
      </c>
      <c r="X10" s="106" t="n">
        <f aca="false">IF(L10&lt;0,L10*-1,0)</f>
        <v>0</v>
      </c>
      <c r="Y10" s="106" t="n">
        <f aca="false">W10+X10</f>
        <v>806.300474029249</v>
      </c>
      <c r="Z10" s="110" t="n">
        <v>0</v>
      </c>
      <c r="AA10" s="111" t="n">
        <v>87</v>
      </c>
      <c r="AB10" s="111" t="n">
        <v>58</v>
      </c>
      <c r="AC10" s="112" t="n">
        <v>1</v>
      </c>
      <c r="AD10" s="128" t="n">
        <v>14117</v>
      </c>
      <c r="AE10" s="131" t="n">
        <v>9322</v>
      </c>
      <c r="AF10" s="128" t="n">
        <v>1766.81</v>
      </c>
    </row>
    <row r="11" customFormat="false" ht="11.1" hidden="false" customHeight="true" outlineLevel="0" collapsed="false">
      <c r="A11" s="112" t="n">
        <f aca="false">A10+1</f>
        <v>2</v>
      </c>
      <c r="B11" s="129" t="n">
        <v>6921.6</v>
      </c>
      <c r="C11" s="107" t="n">
        <v>370542</v>
      </c>
      <c r="D11" s="111" t="n">
        <f aca="false">C11-C10</f>
        <v>-1319</v>
      </c>
      <c r="E11" s="107" t="n">
        <f aca="false">C11-152000</f>
        <v>218542</v>
      </c>
      <c r="F11" s="106" t="n">
        <f aca="false">D11/$D$2</f>
        <v>-665.153807362582</v>
      </c>
      <c r="G11" s="106" t="n">
        <v>232.23</v>
      </c>
      <c r="H11" s="108" t="n">
        <v>0</v>
      </c>
      <c r="I11" s="106" t="n">
        <f aca="false">G11+H11</f>
        <v>232.23</v>
      </c>
      <c r="J11" s="130" t="n">
        <f aca="false">IF(L11&gt;0,L11,0)</f>
        <v>0</v>
      </c>
      <c r="K11" s="106" t="n">
        <f aca="false">I11+J11</f>
        <v>232.23</v>
      </c>
      <c r="L11" s="106" t="n">
        <f aca="false">F11-(I11-W11)</f>
        <v>-97.1004841149773</v>
      </c>
      <c r="M11" s="106" t="n">
        <v>283.22</v>
      </c>
      <c r="N11" s="106" t="n">
        <f aca="false">((AF11-AF10)*1.05)/$D$2</f>
        <v>19.8456883509834</v>
      </c>
      <c r="O11" s="106" t="n">
        <f aca="false">M11-N11</f>
        <v>263.374311649017</v>
      </c>
      <c r="P11" s="106" t="n">
        <v>115.79</v>
      </c>
      <c r="Q11" s="106" t="n">
        <f aca="false">(AE11-AE10)/$D$2</f>
        <v>91.780131114473</v>
      </c>
      <c r="R11" s="106" t="n">
        <f aca="false">SUM(O11:Q11)</f>
        <v>470.94444276349</v>
      </c>
      <c r="S11" s="107" t="n">
        <f aca="false">(I11-R11)+S10</f>
        <v>3243.49852748361</v>
      </c>
      <c r="T11" s="106" t="n">
        <f aca="false">(AD11-AD10)/$D$2</f>
        <v>234.493192133132</v>
      </c>
      <c r="U11" s="106" t="n">
        <v>75</v>
      </c>
      <c r="V11" s="107" t="n">
        <f aca="false">V10-U11</f>
        <v>7377</v>
      </c>
      <c r="W11" s="106" t="n">
        <f aca="false">R11+T11+N11+U11</f>
        <v>800.283323247605</v>
      </c>
      <c r="X11" s="106" t="n">
        <f aca="false">IF(L11&lt;0,L11*-1,0)</f>
        <v>97.1004841149773</v>
      </c>
      <c r="Y11" s="106" t="n">
        <f aca="false">W11+X11</f>
        <v>897.383807362582</v>
      </c>
      <c r="Z11" s="110" t="n">
        <v>0</v>
      </c>
      <c r="AA11" s="111" t="n">
        <v>85</v>
      </c>
      <c r="AB11" s="111" t="n">
        <v>58</v>
      </c>
      <c r="AC11" s="112" t="n">
        <f aca="false">AC10+1</f>
        <v>2</v>
      </c>
      <c r="AD11" s="128" t="n">
        <v>14582</v>
      </c>
      <c r="AE11" s="131" t="n">
        <v>9504</v>
      </c>
      <c r="AF11" s="128" t="n">
        <v>1804.29</v>
      </c>
    </row>
    <row r="12" customFormat="false" ht="11.1" hidden="false" customHeight="true" outlineLevel="0" collapsed="false">
      <c r="A12" s="112" t="n">
        <f aca="false">A11+1</f>
        <v>3</v>
      </c>
      <c r="B12" s="129" t="n">
        <v>6921.28</v>
      </c>
      <c r="C12" s="107" t="n">
        <v>369141</v>
      </c>
      <c r="D12" s="111" t="n">
        <f aca="false">C12-C11</f>
        <v>-1401</v>
      </c>
      <c r="E12" s="107" t="n">
        <f aca="false">C12-152000</f>
        <v>217141</v>
      </c>
      <c r="F12" s="106" t="n">
        <f aca="false">D12/$D$2</f>
        <v>-706.505295007564</v>
      </c>
      <c r="G12" s="106" t="n">
        <v>219.54</v>
      </c>
      <c r="H12" s="108" t="n">
        <v>0</v>
      </c>
      <c r="I12" s="106" t="n">
        <f aca="false">G12+H12</f>
        <v>219.54</v>
      </c>
      <c r="J12" s="130" t="n">
        <f aca="false">IF(L12&gt;0,L12,0)</f>
        <v>0</v>
      </c>
      <c r="K12" s="106" t="n">
        <f aca="false">I12+J12</f>
        <v>219.54</v>
      </c>
      <c r="L12" s="106" t="n">
        <f aca="false">F12-(I12-W12)</f>
        <v>-95.0747856782654</v>
      </c>
      <c r="M12" s="106" t="n">
        <v>282.93</v>
      </c>
      <c r="N12" s="106" t="n">
        <f aca="false">((AF12-AF11)*1.05)/$D$2</f>
        <v>20.0363086232981</v>
      </c>
      <c r="O12" s="106" t="n">
        <f aca="false">M12-N12</f>
        <v>262.893691376702</v>
      </c>
      <c r="P12" s="106" t="n">
        <v>116.51</v>
      </c>
      <c r="Q12" s="106" t="n">
        <f aca="false">(AE12-AE11)/$D$2</f>
        <v>98.3358547655068</v>
      </c>
      <c r="R12" s="106" t="n">
        <f aca="false">SUM(O12:Q12)</f>
        <v>477.739546142209</v>
      </c>
      <c r="S12" s="107" t="n">
        <f aca="false">(I12-R12)+S11</f>
        <v>2985.2989813414</v>
      </c>
      <c r="T12" s="106" t="n">
        <f aca="false">(AD12-AD11)/$D$2</f>
        <v>258.194654563792</v>
      </c>
      <c r="U12" s="106" t="n">
        <v>75</v>
      </c>
      <c r="V12" s="107" t="n">
        <f aca="false">V11-U12</f>
        <v>7302</v>
      </c>
      <c r="W12" s="106" t="n">
        <f aca="false">R12+T12+N12+U12</f>
        <v>830.970509329299</v>
      </c>
      <c r="X12" s="106" t="n">
        <f aca="false">IF(L12&lt;0,L12*-1,0)</f>
        <v>95.0747856782654</v>
      </c>
      <c r="Y12" s="106" t="n">
        <f aca="false">W12+X12</f>
        <v>926.045295007564</v>
      </c>
      <c r="Z12" s="110" t="n">
        <v>0</v>
      </c>
      <c r="AA12" s="111" t="n">
        <v>84</v>
      </c>
      <c r="AB12" s="111" t="n">
        <v>52</v>
      </c>
      <c r="AC12" s="112" t="n">
        <f aca="false">AC11+1</f>
        <v>3</v>
      </c>
      <c r="AD12" s="128" t="n">
        <v>15094</v>
      </c>
      <c r="AE12" s="131" t="n">
        <v>9699</v>
      </c>
      <c r="AF12" s="128" t="n">
        <v>1842.13</v>
      </c>
    </row>
    <row r="13" customFormat="false" ht="11.1" hidden="false" customHeight="true" outlineLevel="0" collapsed="false">
      <c r="A13" s="112" t="n">
        <f aca="false">A12+1</f>
        <v>4</v>
      </c>
      <c r="B13" s="129" t="n">
        <v>6920.97</v>
      </c>
      <c r="C13" s="107" t="n">
        <v>367785</v>
      </c>
      <c r="D13" s="111" t="n">
        <f aca="false">C13-C12</f>
        <v>-1356</v>
      </c>
      <c r="E13" s="107" t="n">
        <f aca="false">C13-152000</f>
        <v>215785</v>
      </c>
      <c r="F13" s="106" t="n">
        <f aca="false">D13/$D$2</f>
        <v>-683.812405446294</v>
      </c>
      <c r="G13" s="106" t="n">
        <v>203.72</v>
      </c>
      <c r="H13" s="108" t="n">
        <v>0</v>
      </c>
      <c r="I13" s="106" t="n">
        <f aca="false">G13+H13</f>
        <v>203.72</v>
      </c>
      <c r="J13" s="130" t="n">
        <f aca="false">IF(L13&gt;0,L13,0)</f>
        <v>0</v>
      </c>
      <c r="K13" s="106" t="n">
        <f aca="false">I13+J13</f>
        <v>203.72</v>
      </c>
      <c r="L13" s="106" t="n">
        <f aca="false">F13-(I13-W13)</f>
        <v>-92.134795763994</v>
      </c>
      <c r="M13" s="106" t="n">
        <v>277.49</v>
      </c>
      <c r="N13" s="106" t="n">
        <f aca="false">((AF13-AF12)*1.05)/$D$2</f>
        <v>9.35098335854758</v>
      </c>
      <c r="O13" s="106" t="n">
        <f aca="false">M13-N13</f>
        <v>268.139016641452</v>
      </c>
      <c r="P13" s="106" t="n">
        <v>116.13</v>
      </c>
      <c r="Q13" s="106" t="n">
        <f aca="false">(AE13-AE12)/$D$2</f>
        <v>89.2586989409985</v>
      </c>
      <c r="R13" s="106" t="n">
        <f aca="false">SUM(O13:Q13)</f>
        <v>473.527715582451</v>
      </c>
      <c r="S13" s="107" t="n">
        <f aca="false">(I13-R13)+S12</f>
        <v>2715.49126575895</v>
      </c>
      <c r="T13" s="106" t="n">
        <f aca="false">(AD13-AD12)/$D$2</f>
        <v>237.518910741301</v>
      </c>
      <c r="U13" s="106" t="n">
        <v>75</v>
      </c>
      <c r="V13" s="107" t="n">
        <f aca="false">V12-U13</f>
        <v>7227</v>
      </c>
      <c r="W13" s="106" t="n">
        <f aca="false">R13+T13+N13+U13</f>
        <v>795.3976096823</v>
      </c>
      <c r="X13" s="106" t="n">
        <f aca="false">IF(L13&lt;0,L13*-1,0)</f>
        <v>92.134795763994</v>
      </c>
      <c r="Y13" s="106" t="n">
        <f aca="false">W13+X13</f>
        <v>887.532405446293</v>
      </c>
      <c r="Z13" s="110" t="n">
        <v>0</v>
      </c>
      <c r="AA13" s="111" t="n">
        <v>87</v>
      </c>
      <c r="AB13" s="111" t="n">
        <v>51</v>
      </c>
      <c r="AC13" s="112" t="n">
        <f aca="false">AC12+1</f>
        <v>4</v>
      </c>
      <c r="AD13" s="128" t="n">
        <v>15565</v>
      </c>
      <c r="AE13" s="131" t="n">
        <v>9876</v>
      </c>
      <c r="AF13" s="128" t="n">
        <v>1859.79</v>
      </c>
    </row>
    <row r="14" customFormat="false" ht="11.1" hidden="false" customHeight="true" outlineLevel="0" collapsed="false">
      <c r="A14" s="112" t="n">
        <f aca="false">A13+1</f>
        <v>5</v>
      </c>
      <c r="B14" s="129" t="n">
        <v>6920.69</v>
      </c>
      <c r="C14" s="107" t="n">
        <v>366569</v>
      </c>
      <c r="D14" s="111" t="n">
        <f aca="false">C14-C13</f>
        <v>-1216</v>
      </c>
      <c r="E14" s="107" t="n">
        <f aca="false">C14-152000</f>
        <v>214569</v>
      </c>
      <c r="F14" s="106" t="n">
        <f aca="false">D14/$D$2</f>
        <v>-613.212304589007</v>
      </c>
      <c r="G14" s="106" t="n">
        <v>188.27</v>
      </c>
      <c r="H14" s="108" t="n">
        <v>0</v>
      </c>
      <c r="I14" s="106" t="n">
        <f aca="false">G14+H14</f>
        <v>188.27</v>
      </c>
      <c r="J14" s="130" t="n">
        <f aca="false">IF(L14&gt;0,L14,0)</f>
        <v>0</v>
      </c>
      <c r="K14" s="106" t="n">
        <f aca="false">I14+J14</f>
        <v>188.27</v>
      </c>
      <c r="L14" s="106" t="n">
        <f aca="false">F14-(I14-W14)</f>
        <v>-20.6404236006051</v>
      </c>
      <c r="M14" s="106" t="n">
        <v>273.5</v>
      </c>
      <c r="N14" s="106" t="n">
        <f aca="false">((AF14-AF13)*1.05)/$D$2</f>
        <v>30.3456883509833</v>
      </c>
      <c r="O14" s="106" t="n">
        <f aca="false">M14-N14</f>
        <v>243.154311649017</v>
      </c>
      <c r="P14" s="106" t="n">
        <v>115.65</v>
      </c>
      <c r="Q14" s="106" t="n">
        <f aca="false">(AE14-AE13)/$D$2</f>
        <v>83.7115481593545</v>
      </c>
      <c r="R14" s="106" t="n">
        <f aca="false">SUM(O14:Q14)</f>
        <v>442.515859808371</v>
      </c>
      <c r="S14" s="107" t="n">
        <f aca="false">(I14-R14)+S13</f>
        <v>2461.24540595058</v>
      </c>
      <c r="T14" s="106" t="n">
        <f aca="false">(AD14-AD13)/$D$2</f>
        <v>232.980332829047</v>
      </c>
      <c r="U14" s="106" t="n">
        <v>75</v>
      </c>
      <c r="V14" s="107" t="n">
        <f aca="false">V13-U14</f>
        <v>7152</v>
      </c>
      <c r="W14" s="106" t="n">
        <f aca="false">R14+T14+N14+U14</f>
        <v>780.841880988401</v>
      </c>
      <c r="X14" s="106" t="n">
        <f aca="false">IF(L14&lt;0,L14*-1,0)</f>
        <v>20.6404236006051</v>
      </c>
      <c r="Y14" s="106" t="n">
        <f aca="false">W14+X14</f>
        <v>801.482304589007</v>
      </c>
      <c r="Z14" s="110" t="n">
        <v>0</v>
      </c>
      <c r="AA14" s="111" t="n">
        <v>85</v>
      </c>
      <c r="AB14" s="111" t="n">
        <v>54</v>
      </c>
      <c r="AC14" s="112" t="n">
        <f aca="false">AC13+1</f>
        <v>5</v>
      </c>
      <c r="AD14" s="128" t="n">
        <v>16027</v>
      </c>
      <c r="AE14" s="131" t="n">
        <v>10042</v>
      </c>
      <c r="AF14" s="128" t="n">
        <v>1917.1</v>
      </c>
    </row>
    <row r="15" customFormat="false" ht="11.1" hidden="false" customHeight="true" outlineLevel="0" collapsed="false">
      <c r="A15" s="112" t="n">
        <f aca="false">A14+1</f>
        <v>6</v>
      </c>
      <c r="B15" s="129" t="n">
        <v>6920.37</v>
      </c>
      <c r="C15" s="107" t="n">
        <v>365180</v>
      </c>
      <c r="D15" s="111" t="n">
        <f aca="false">C15-C14</f>
        <v>-1389</v>
      </c>
      <c r="E15" s="107" t="n">
        <f aca="false">C15-152000</f>
        <v>213180</v>
      </c>
      <c r="F15" s="106" t="n">
        <f aca="false">D15/$D$2</f>
        <v>-700.453857791225</v>
      </c>
      <c r="G15" s="106" t="n">
        <v>173.29</v>
      </c>
      <c r="H15" s="108" t="n">
        <v>0</v>
      </c>
      <c r="I15" s="106" t="n">
        <f aca="false">G15+H15</f>
        <v>173.29</v>
      </c>
      <c r="J15" s="130" t="n">
        <f aca="false">IF(L15&gt;0,L15,0)</f>
        <v>0</v>
      </c>
      <c r="K15" s="106" t="n">
        <f aca="false">I15+J15</f>
        <v>173.29</v>
      </c>
      <c r="L15" s="106" t="n">
        <f aca="false">F15-(I15-W15)</f>
        <v>-45.3162128088753</v>
      </c>
      <c r="M15" s="106" t="n">
        <v>284.86</v>
      </c>
      <c r="N15" s="106" t="n">
        <f aca="false">((AF15-AF14)*1.05)/$D$2</f>
        <v>19.5544629349471</v>
      </c>
      <c r="O15" s="106" t="n">
        <f aca="false">M15-N15</f>
        <v>265.305537065053</v>
      </c>
      <c r="P15" s="106" t="n">
        <v>117.08</v>
      </c>
      <c r="Q15" s="106" t="n">
        <f aca="false">(AE15-AE14)/$D$2</f>
        <v>91.780131114473</v>
      </c>
      <c r="R15" s="106" t="n">
        <f aca="false">SUM(O15:Q15)</f>
        <v>474.165668179526</v>
      </c>
      <c r="S15" s="107" t="n">
        <f aca="false">(I15-R15)+S14</f>
        <v>2160.36973777105</v>
      </c>
      <c r="T15" s="106" t="n">
        <f aca="false">(AD15-AD14)/$D$2</f>
        <v>259.707513867877</v>
      </c>
      <c r="U15" s="106" t="n">
        <v>75</v>
      </c>
      <c r="V15" s="107" t="n">
        <f aca="false">V14-U15</f>
        <v>7077</v>
      </c>
      <c r="W15" s="106" t="n">
        <f aca="false">R15+T15+N15+U15</f>
        <v>828.42764498235</v>
      </c>
      <c r="X15" s="106" t="n">
        <f aca="false">IF(L15&lt;0,L15*-1,0)</f>
        <v>45.3162128088753</v>
      </c>
      <c r="Y15" s="106" t="n">
        <f aca="false">W15+X15</f>
        <v>873.743857791225</v>
      </c>
      <c r="Z15" s="110" t="n">
        <v>0</v>
      </c>
      <c r="AA15" s="111" t="n">
        <v>84</v>
      </c>
      <c r="AB15" s="111" t="n">
        <v>50</v>
      </c>
      <c r="AC15" s="112" t="n">
        <f aca="false">AC14+1</f>
        <v>6</v>
      </c>
      <c r="AD15" s="127" t="n">
        <v>16542</v>
      </c>
      <c r="AE15" s="131" t="n">
        <v>10224</v>
      </c>
      <c r="AF15" s="128" t="n">
        <v>1954.03</v>
      </c>
    </row>
    <row r="16" customFormat="false" ht="11.1" hidden="false" customHeight="true" outlineLevel="0" collapsed="false">
      <c r="A16" s="112" t="n">
        <f aca="false">A15+1</f>
        <v>7</v>
      </c>
      <c r="B16" s="129" t="n">
        <v>6919.97</v>
      </c>
      <c r="C16" s="107" t="n">
        <v>363444</v>
      </c>
      <c r="D16" s="111" t="n">
        <f aca="false">C16-C15</f>
        <v>-1736</v>
      </c>
      <c r="E16" s="107" t="n">
        <f aca="false">C16-152000</f>
        <v>211444</v>
      </c>
      <c r="F16" s="106" t="n">
        <f aca="false">D16/$D$2</f>
        <v>-875.441250630358</v>
      </c>
      <c r="G16" s="106" t="n">
        <v>162.58</v>
      </c>
      <c r="H16" s="108" t="n">
        <v>0</v>
      </c>
      <c r="I16" s="106" t="n">
        <f aca="false">G16+H16</f>
        <v>162.58</v>
      </c>
      <c r="J16" s="130" t="n">
        <f aca="false">IF(L16&gt;0,L16,0)</f>
        <v>0</v>
      </c>
      <c r="K16" s="106" t="n">
        <f aca="false">I16+J16</f>
        <v>162.58</v>
      </c>
      <c r="L16" s="106" t="n">
        <f aca="false">F16-(I16-W16)</f>
        <v>-187.422158345941</v>
      </c>
      <c r="M16" s="106" t="n">
        <v>294.68</v>
      </c>
      <c r="N16" s="106" t="n">
        <f aca="false">((AF16-AF15)*1.05)/$D$2</f>
        <v>20.5499243570348</v>
      </c>
      <c r="O16" s="106" t="n">
        <f aca="false">M16-N16</f>
        <v>274.130075642965</v>
      </c>
      <c r="P16" s="106" t="n">
        <v>116.32</v>
      </c>
      <c r="Q16" s="106" t="n">
        <f aca="false">(AE16-AE15)/$D$2</f>
        <v>97.327281896117</v>
      </c>
      <c r="R16" s="106" t="n">
        <f aca="false">SUM(O16:Q16)</f>
        <v>487.777357539082</v>
      </c>
      <c r="S16" s="107" t="n">
        <f aca="false">(I16-R16)+S15</f>
        <v>1835.17238023197</v>
      </c>
      <c r="T16" s="106" t="n">
        <f aca="false">(AD16-AD15)/$D$2</f>
        <v>267.271810388301</v>
      </c>
      <c r="U16" s="106" t="n">
        <v>75</v>
      </c>
      <c r="V16" s="107" t="n">
        <f aca="false">V15-U16</f>
        <v>7002</v>
      </c>
      <c r="W16" s="106" t="n">
        <f aca="false">R16+T16+N16+U16</f>
        <v>850.599092284418</v>
      </c>
      <c r="X16" s="106" t="n">
        <f aca="false">IF(L16&lt;0,L16*-1,0)</f>
        <v>187.422158345941</v>
      </c>
      <c r="Y16" s="106" t="n">
        <f aca="false">W16+X16</f>
        <v>1038.02125063036</v>
      </c>
      <c r="Z16" s="110" t="n">
        <v>0</v>
      </c>
      <c r="AA16" s="111" t="n">
        <v>85</v>
      </c>
      <c r="AB16" s="111" t="n">
        <v>49</v>
      </c>
      <c r="AC16" s="112" t="n">
        <f aca="false">AC15+1</f>
        <v>7</v>
      </c>
      <c r="AD16" s="127" t="n">
        <v>17072</v>
      </c>
      <c r="AE16" s="131" t="n">
        <v>10417</v>
      </c>
      <c r="AF16" s="128" t="n">
        <v>1992.84</v>
      </c>
    </row>
    <row r="17" customFormat="false" ht="11.1" hidden="false" customHeight="true" outlineLevel="0" collapsed="false">
      <c r="A17" s="112" t="n">
        <f aca="false">A16+1</f>
        <v>8</v>
      </c>
      <c r="B17" s="129" t="n">
        <v>6919.69</v>
      </c>
      <c r="C17" s="107" t="n">
        <v>362238</v>
      </c>
      <c r="D17" s="111" t="n">
        <f aca="false">C17-C16</f>
        <v>-1206</v>
      </c>
      <c r="E17" s="107" t="n">
        <f aca="false">C17-152000</f>
        <v>210238</v>
      </c>
      <c r="F17" s="106" t="n">
        <f aca="false">D17/$D$2</f>
        <v>-608.169440242058</v>
      </c>
      <c r="G17" s="106" t="n">
        <v>158.08</v>
      </c>
      <c r="H17" s="108" t="n">
        <v>0</v>
      </c>
      <c r="I17" s="106" t="n">
        <f aca="false">G17+H17</f>
        <v>158.08</v>
      </c>
      <c r="J17" s="130" t="n">
        <f aca="false">IF(L17&gt;0,L17,0)</f>
        <v>21.6838477054966</v>
      </c>
      <c r="K17" s="106" t="n">
        <f aca="false">I17+J17</f>
        <v>179.763847705497</v>
      </c>
      <c r="L17" s="106" t="n">
        <f aca="false">F17-(I17-W17)</f>
        <v>21.6838477054966</v>
      </c>
      <c r="M17" s="106" t="n">
        <v>294</v>
      </c>
      <c r="N17" s="106" t="n">
        <f aca="false">((AF17-AF16)*1.05)/$D$2</f>
        <v>14.7360060514373</v>
      </c>
      <c r="O17" s="106" t="n">
        <f aca="false">M17-N17</f>
        <v>279.263993948563</v>
      </c>
      <c r="P17" s="106" t="n">
        <v>117.37</v>
      </c>
      <c r="Q17" s="106" t="n">
        <f aca="false">(AE17-AE16)/$D$2</f>
        <v>83.7115481593545</v>
      </c>
      <c r="R17" s="106" t="n">
        <f aca="false">SUM(O17:Q17)</f>
        <v>480.345542107917</v>
      </c>
      <c r="S17" s="107" t="n">
        <f aca="false">(I17-R17)+S16</f>
        <v>1512.90683812406</v>
      </c>
      <c r="T17" s="106" t="n">
        <f aca="false">(AD17-AD16)/$D$2</f>
        <v>217.8517397882</v>
      </c>
      <c r="U17" s="106" t="n">
        <v>75</v>
      </c>
      <c r="V17" s="107" t="n">
        <f aca="false">V16-U17</f>
        <v>6927</v>
      </c>
      <c r="W17" s="106" t="n">
        <f aca="false">R17+T17+N17+U17</f>
        <v>787.933287947554</v>
      </c>
      <c r="X17" s="106" t="n">
        <f aca="false">IF(L17&lt;0,L17*-1,0)</f>
        <v>0</v>
      </c>
      <c r="Y17" s="106" t="n">
        <f aca="false">W17+X17</f>
        <v>787.933287947554</v>
      </c>
      <c r="Z17" s="110" t="n">
        <v>0</v>
      </c>
      <c r="AA17" s="111" t="n">
        <v>90</v>
      </c>
      <c r="AB17" s="111" t="n">
        <v>51</v>
      </c>
      <c r="AC17" s="112" t="n">
        <f aca="false">AC16+1</f>
        <v>8</v>
      </c>
      <c r="AD17" s="127" t="n">
        <v>17504</v>
      </c>
      <c r="AE17" s="131" t="n">
        <v>10583</v>
      </c>
      <c r="AF17" s="128" t="n">
        <v>2020.67</v>
      </c>
    </row>
    <row r="18" customFormat="false" ht="11.1" hidden="false" customHeight="true" outlineLevel="0" collapsed="false">
      <c r="A18" s="112" t="n">
        <f aca="false">A17+1</f>
        <v>9</v>
      </c>
      <c r="B18" s="129" t="n">
        <v>6919.35</v>
      </c>
      <c r="C18" s="107" t="n">
        <v>360774</v>
      </c>
      <c r="D18" s="111" t="n">
        <f aca="false">C18-C17</f>
        <v>-1464</v>
      </c>
      <c r="E18" s="107" t="n">
        <f aca="false">C18-152000</f>
        <v>208774</v>
      </c>
      <c r="F18" s="106" t="n">
        <f aca="false">D18/$D$2</f>
        <v>-738.275340393343</v>
      </c>
      <c r="G18" s="106" t="n">
        <v>138.31</v>
      </c>
      <c r="H18" s="108" t="n">
        <v>0</v>
      </c>
      <c r="I18" s="106" t="n">
        <f aca="false">G18+H18</f>
        <v>138.31</v>
      </c>
      <c r="J18" s="130" t="n">
        <f aca="false">IF(L18&gt;0,L18,0)</f>
        <v>0</v>
      </c>
      <c r="K18" s="106" t="n">
        <f aca="false">I18+J18</f>
        <v>138.31</v>
      </c>
      <c r="L18" s="106" t="n">
        <f aca="false">F18-(I18-W18)</f>
        <v>-72.9634493192134</v>
      </c>
      <c r="M18" s="106" t="n">
        <v>287.93</v>
      </c>
      <c r="N18" s="106" t="n">
        <f aca="false">((AF18-AF17)*1.05)/$D$2</f>
        <v>14.5189107413011</v>
      </c>
      <c r="O18" s="106" t="n">
        <f aca="false">M18-N18</f>
        <v>273.411089258699</v>
      </c>
      <c r="P18" s="106" t="n">
        <v>116.94</v>
      </c>
      <c r="Q18" s="106" t="n">
        <f aca="false">(AE18-AE17)/$D$2</f>
        <v>90.7715582450832</v>
      </c>
      <c r="R18" s="106" t="n">
        <f aca="false">SUM(O18:Q18)</f>
        <v>481.122647503782</v>
      </c>
      <c r="S18" s="107" t="n">
        <f aca="false">(I18-R18)+S17</f>
        <v>1170.09419062027</v>
      </c>
      <c r="T18" s="106" t="n">
        <f aca="false">(AD18-AD17)/$D$2</f>
        <v>232.980332829047</v>
      </c>
      <c r="U18" s="106" t="n">
        <v>75</v>
      </c>
      <c r="V18" s="107" t="n">
        <f aca="false">V17-U18</f>
        <v>6852</v>
      </c>
      <c r="W18" s="106" t="n">
        <f aca="false">R18+T18+N18+U18</f>
        <v>803.62189107413</v>
      </c>
      <c r="X18" s="106" t="n">
        <f aca="false">IF(L18&lt;0,L18*-1,0)</f>
        <v>72.9634493192134</v>
      </c>
      <c r="Y18" s="106" t="n">
        <f aca="false">W18+X18</f>
        <v>876.585340393343</v>
      </c>
      <c r="Z18" s="110" t="n">
        <v>0</v>
      </c>
      <c r="AA18" s="139" t="n">
        <v>95</v>
      </c>
      <c r="AB18" s="111" t="n">
        <v>43</v>
      </c>
      <c r="AC18" s="112" t="n">
        <f aca="false">AC17+1</f>
        <v>9</v>
      </c>
      <c r="AD18" s="127" t="n">
        <v>17966</v>
      </c>
      <c r="AE18" s="131" t="n">
        <v>10763</v>
      </c>
      <c r="AF18" s="128" t="n">
        <v>2048.09</v>
      </c>
    </row>
    <row r="19" customFormat="false" ht="11.1" hidden="false" customHeight="true" outlineLevel="0" collapsed="false">
      <c r="A19" s="112" t="n">
        <f aca="false">A18+1</f>
        <v>10</v>
      </c>
      <c r="B19" s="129" t="n">
        <v>6919</v>
      </c>
      <c r="C19" s="107" t="n">
        <v>359267</v>
      </c>
      <c r="D19" s="111" t="n">
        <f aca="false">C19-C18</f>
        <v>-1507</v>
      </c>
      <c r="E19" s="107" t="n">
        <f aca="false">C19-152000</f>
        <v>207267</v>
      </c>
      <c r="F19" s="106" t="n">
        <f aca="false">D19/$D$2</f>
        <v>-759.959657085224</v>
      </c>
      <c r="G19" s="106" t="n">
        <v>129.41</v>
      </c>
      <c r="H19" s="108" t="n">
        <v>0</v>
      </c>
      <c r="I19" s="106" t="n">
        <f aca="false">G19+H19</f>
        <v>129.41</v>
      </c>
      <c r="J19" s="130" t="n">
        <f aca="false">IF(L19&gt;0,L19,0)</f>
        <v>0</v>
      </c>
      <c r="K19" s="106" t="n">
        <f aca="false">I19+J19</f>
        <v>129.41</v>
      </c>
      <c r="L19" s="106" t="n">
        <f aca="false">F19-(I19-W19)</f>
        <v>-90.106338880484</v>
      </c>
      <c r="M19" s="106" t="n">
        <v>284.28</v>
      </c>
      <c r="N19" s="106" t="n">
        <f aca="false">((AF19-AF18)*1.05)/$D$2</f>
        <v>10.1134644478063</v>
      </c>
      <c r="O19" s="106" t="n">
        <f aca="false">M19-N19</f>
        <v>274.166535552194</v>
      </c>
      <c r="P19" s="106" t="n">
        <v>117.24</v>
      </c>
      <c r="Q19" s="106" t="n">
        <f aca="false">(AE19-AE18)/$D$2</f>
        <v>89.7629853756934</v>
      </c>
      <c r="R19" s="106" t="n">
        <f aca="false">SUM(O19:Q19)</f>
        <v>481.169520927887</v>
      </c>
      <c r="S19" s="107" t="n">
        <f aca="false">(I19-R19)+S18</f>
        <v>818.334669692386</v>
      </c>
      <c r="T19" s="106" t="n">
        <f aca="false">(AD19-AD18)/$D$2</f>
        <v>232.980332829047</v>
      </c>
      <c r="U19" s="106" t="n">
        <v>75</v>
      </c>
      <c r="V19" s="107" t="n">
        <f aca="false">V18-U19</f>
        <v>6777</v>
      </c>
      <c r="W19" s="106" t="n">
        <f aca="false">R19+T19+N19+U19</f>
        <v>799.26331820474</v>
      </c>
      <c r="X19" s="106" t="n">
        <f aca="false">IF(L19&lt;0,L19*-1,0)</f>
        <v>90.106338880484</v>
      </c>
      <c r="Y19" s="106" t="n">
        <f aca="false">W19+X19</f>
        <v>889.369657085224</v>
      </c>
      <c r="Z19" s="110" t="n">
        <v>0</v>
      </c>
      <c r="AA19" s="111" t="n">
        <v>89</v>
      </c>
      <c r="AB19" s="111" t="n">
        <v>47</v>
      </c>
      <c r="AC19" s="112" t="n">
        <f aca="false">AC18+1</f>
        <v>10</v>
      </c>
      <c r="AD19" s="127" t="n">
        <v>18428</v>
      </c>
      <c r="AE19" s="131" t="n">
        <v>10941</v>
      </c>
      <c r="AF19" s="128" t="n">
        <v>2067.19</v>
      </c>
    </row>
    <row r="20" customFormat="false" ht="11.1" hidden="false" customHeight="true" outlineLevel="0" collapsed="false">
      <c r="A20" s="112" t="n">
        <f aca="false">A19+1</f>
        <v>11</v>
      </c>
      <c r="B20" s="129" t="n">
        <v>6918.67</v>
      </c>
      <c r="C20" s="107" t="n">
        <v>357857</v>
      </c>
      <c r="D20" s="111" t="n">
        <f aca="false">C20-C19</f>
        <v>-1410</v>
      </c>
      <c r="E20" s="107" t="n">
        <f aca="false">C20-152000</f>
        <v>205857</v>
      </c>
      <c r="F20" s="106" t="n">
        <f aca="false">D20/$D$2</f>
        <v>-711.043872919819</v>
      </c>
      <c r="G20" s="106" t="n">
        <v>116.62</v>
      </c>
      <c r="H20" s="108" t="n">
        <v>0</v>
      </c>
      <c r="I20" s="106" t="n">
        <f aca="false">G20+H20</f>
        <v>116.62</v>
      </c>
      <c r="J20" s="130" t="n">
        <f aca="false">IF(L20&gt;0,L20,0)</f>
        <v>0</v>
      </c>
      <c r="K20" s="106" t="n">
        <f aca="false">I20+J20</f>
        <v>116.62</v>
      </c>
      <c r="L20" s="106" t="n">
        <f aca="false">F20-(I20-W20)</f>
        <v>-35.7105648008069</v>
      </c>
      <c r="M20" s="106" t="n">
        <v>285.14</v>
      </c>
      <c r="N20" s="106" t="n">
        <f aca="false">((AF20-AF19)*1.05)/$D$2</f>
        <v>9.36686838124057</v>
      </c>
      <c r="O20" s="106" t="n">
        <f aca="false">M20-N20</f>
        <v>275.773131618759</v>
      </c>
      <c r="P20" s="106" t="n">
        <v>116.13</v>
      </c>
      <c r="Q20" s="106" t="n">
        <f aca="false">(AE20-AE19)/$D$2</f>
        <v>92.7887039838628</v>
      </c>
      <c r="R20" s="106" t="n">
        <f aca="false">SUM(O20:Q20)</f>
        <v>484.691835602622</v>
      </c>
      <c r="S20" s="107" t="n">
        <f aca="false">(I20-R20)+S19</f>
        <v>450.262834089764</v>
      </c>
      <c r="T20" s="106" t="n">
        <f aca="false">(AD20-AD19)/$D$2</f>
        <v>222.894604135149</v>
      </c>
      <c r="U20" s="106" t="n">
        <v>75</v>
      </c>
      <c r="V20" s="107" t="n">
        <f aca="false">V19-U20</f>
        <v>6702</v>
      </c>
      <c r="W20" s="106" t="n">
        <f aca="false">R20+T20+N20+U20</f>
        <v>791.953308119012</v>
      </c>
      <c r="X20" s="106" t="n">
        <f aca="false">IF(L20&lt;0,L20*-1,0)</f>
        <v>35.7105648008069</v>
      </c>
      <c r="Y20" s="106" t="n">
        <f aca="false">W20+X20</f>
        <v>827.663872919818</v>
      </c>
      <c r="Z20" s="110" t="n">
        <v>0</v>
      </c>
      <c r="AA20" s="111" t="n">
        <v>88</v>
      </c>
      <c r="AB20" s="111" t="n">
        <v>52</v>
      </c>
      <c r="AC20" s="112" t="n">
        <f aca="false">AC19+1</f>
        <v>11</v>
      </c>
      <c r="AD20" s="127" t="n">
        <v>18870</v>
      </c>
      <c r="AE20" s="131" t="n">
        <v>11125</v>
      </c>
      <c r="AF20" s="128" t="n">
        <v>2084.88</v>
      </c>
      <c r="AG20" s="140"/>
      <c r="AH20" s="140"/>
      <c r="AI20" s="140"/>
    </row>
    <row r="21" customFormat="false" ht="11.1" hidden="false" customHeight="true" outlineLevel="0" collapsed="false">
      <c r="A21" s="112" t="n">
        <f aca="false">A20+1</f>
        <v>12</v>
      </c>
      <c r="B21" s="129" t="n">
        <v>6918.32</v>
      </c>
      <c r="C21" s="107" t="n">
        <f aca="false">C20-1400</f>
        <v>356457</v>
      </c>
      <c r="D21" s="111" t="n">
        <f aca="false">C21-C20</f>
        <v>-1400</v>
      </c>
      <c r="E21" s="107" t="n">
        <f aca="false">C21-152000</f>
        <v>204457</v>
      </c>
      <c r="F21" s="106" t="n">
        <f aca="false">D21/$D$2</f>
        <v>-706.001008572869</v>
      </c>
      <c r="G21" s="106" t="n">
        <v>109</v>
      </c>
      <c r="H21" s="108" t="n">
        <v>0</v>
      </c>
      <c r="I21" s="106" t="n">
        <f aca="false">G21+H21</f>
        <v>109</v>
      </c>
      <c r="J21" s="130" t="n">
        <f aca="false">IF(L21&gt;0,L21,0)</f>
        <v>0</v>
      </c>
      <c r="K21" s="106" t="n">
        <f aca="false">I21+J21</f>
        <v>109</v>
      </c>
      <c r="L21" s="106" t="n">
        <f aca="false">F21-(I21-W21)</f>
        <v>-34.9162884518406</v>
      </c>
      <c r="M21" s="106" t="n">
        <v>285</v>
      </c>
      <c r="N21" s="106" t="n">
        <f aca="false">((AF21-AF20)*1.05)/$D$2</f>
        <v>11.749621785174</v>
      </c>
      <c r="O21" s="106" t="n">
        <f aca="false">M21-N21</f>
        <v>273.250378214826</v>
      </c>
      <c r="P21" s="106" t="n">
        <v>116</v>
      </c>
      <c r="Q21" s="106" t="n">
        <f aca="false">(AE21-AE20)/$D$2</f>
        <v>90.7715582450832</v>
      </c>
      <c r="R21" s="106" t="n">
        <f aca="false">SUM(O21:Q21)</f>
        <v>480.021936459909</v>
      </c>
      <c r="S21" s="107" t="n">
        <f aca="false">(I21-R21)+S20</f>
        <v>79.2408976298543</v>
      </c>
      <c r="T21" s="106" t="n">
        <f aca="false">(AD21-AD20)/$D$2</f>
        <v>213.313161875946</v>
      </c>
      <c r="U21" s="106" t="n">
        <v>75</v>
      </c>
      <c r="V21" s="107" t="n">
        <f aca="false">V20-U21</f>
        <v>6627</v>
      </c>
      <c r="W21" s="106" t="n">
        <f aca="false">R21+T21+N21+U21</f>
        <v>780.084720121029</v>
      </c>
      <c r="X21" s="106" t="n">
        <f aca="false">IF(L21&lt;0,L21*-1,0)</f>
        <v>34.9162884518406</v>
      </c>
      <c r="Y21" s="106" t="n">
        <f aca="false">W21+X21</f>
        <v>815.001008572869</v>
      </c>
      <c r="Z21" s="110" t="n">
        <v>0</v>
      </c>
      <c r="AA21" s="111" t="n">
        <v>92</v>
      </c>
      <c r="AB21" s="111" t="n">
        <v>54</v>
      </c>
      <c r="AC21" s="112" t="n">
        <f aca="false">AC20+1</f>
        <v>12</v>
      </c>
      <c r="AD21" s="127" t="n">
        <v>19293</v>
      </c>
      <c r="AE21" s="127" t="n">
        <v>11305</v>
      </c>
      <c r="AF21" s="127" t="n">
        <v>2107.07</v>
      </c>
    </row>
    <row r="22" customFormat="false" ht="11.1" hidden="false" customHeight="true" outlineLevel="0" collapsed="false">
      <c r="A22" s="112" t="n">
        <f aca="false">A21+1</f>
        <v>13</v>
      </c>
      <c r="B22" s="129" t="n">
        <v>6917.99</v>
      </c>
      <c r="C22" s="107" t="n">
        <f aca="false">C21-1400</f>
        <v>355057</v>
      </c>
      <c r="D22" s="111" t="n">
        <f aca="false">C22-C21</f>
        <v>-1400</v>
      </c>
      <c r="E22" s="107" t="n">
        <f aca="false">C22-152000</f>
        <v>203057</v>
      </c>
      <c r="F22" s="106" t="n">
        <f aca="false">D22/$D$2</f>
        <v>-706.001008572869</v>
      </c>
      <c r="G22" s="106" t="n">
        <v>101.72</v>
      </c>
      <c r="H22" s="108" t="n">
        <v>0</v>
      </c>
      <c r="I22" s="106" t="n">
        <f aca="false">G22+H22</f>
        <v>101.72</v>
      </c>
      <c r="J22" s="130" t="n">
        <f aca="false">IF(L22&gt;0,L22,0)</f>
        <v>0</v>
      </c>
      <c r="K22" s="106" t="n">
        <f aca="false">I22+J22</f>
        <v>101.72</v>
      </c>
      <c r="L22" s="106" t="n">
        <f aca="false">F22-(I22-W22)</f>
        <v>-17.5862985375694</v>
      </c>
      <c r="M22" s="106" t="n">
        <v>295.77</v>
      </c>
      <c r="N22" s="106" t="n">
        <f aca="false">((AF22-AF21)*1.05)/$D$2</f>
        <v>13.2428139183055</v>
      </c>
      <c r="O22" s="106" t="n">
        <f aca="false">M22-N22</f>
        <v>282.527186081694</v>
      </c>
      <c r="P22" s="106" t="n">
        <v>122.34</v>
      </c>
      <c r="Q22" s="106" t="n">
        <f aca="false">(AE22-AE21)/$D$2</f>
        <v>89.7629853756934</v>
      </c>
      <c r="R22" s="106" t="n">
        <f aca="false">SUM(O22:Q22)</f>
        <v>494.630171457388</v>
      </c>
      <c r="S22" s="107" t="n">
        <f aca="false">(I22-R22)+S21</f>
        <v>-313.669273827534</v>
      </c>
      <c r="T22" s="106" t="n">
        <f aca="false">(AD22-AD21)/$D$2</f>
        <v>207.261724659607</v>
      </c>
      <c r="U22" s="106" t="n">
        <v>75</v>
      </c>
      <c r="V22" s="107" t="n">
        <f aca="false">V21-U22</f>
        <v>6552</v>
      </c>
      <c r="W22" s="106" t="n">
        <f aca="false">R22+T22+N22+U22</f>
        <v>790.1347100353</v>
      </c>
      <c r="X22" s="106" t="n">
        <f aca="false">IF(L22&lt;0,L22*-1,0)</f>
        <v>17.5862985375694</v>
      </c>
      <c r="Y22" s="106" t="n">
        <f aca="false">W22+X22</f>
        <v>807.721008572869</v>
      </c>
      <c r="Z22" s="110" t="n">
        <v>0</v>
      </c>
      <c r="AA22" s="111" t="n">
        <v>87</v>
      </c>
      <c r="AB22" s="111" t="n">
        <v>56</v>
      </c>
      <c r="AC22" s="112" t="n">
        <f aca="false">AC21+1</f>
        <v>13</v>
      </c>
      <c r="AD22" s="127" t="n">
        <v>19704</v>
      </c>
      <c r="AE22" s="127" t="n">
        <v>11483</v>
      </c>
      <c r="AF22" s="127" t="n">
        <v>2132.08</v>
      </c>
    </row>
    <row r="23" customFormat="false" ht="11.1" hidden="false" customHeight="true" outlineLevel="0" collapsed="false">
      <c r="A23" s="112" t="n">
        <f aca="false">A22+1</f>
        <v>14</v>
      </c>
      <c r="B23" s="129" t="n">
        <v>6917.66</v>
      </c>
      <c r="C23" s="107" t="n">
        <f aca="false">C22-1400</f>
        <v>353657</v>
      </c>
      <c r="D23" s="111" t="n">
        <f aca="false">C23-C22</f>
        <v>-1400</v>
      </c>
      <c r="E23" s="107" t="n">
        <f aca="false">C23-152000</f>
        <v>201657</v>
      </c>
      <c r="F23" s="106" t="n">
        <f aca="false">D23/$D$2</f>
        <v>-706.001008572869</v>
      </c>
      <c r="G23" s="106" t="n">
        <v>97.06</v>
      </c>
      <c r="H23" s="108" t="n">
        <v>0</v>
      </c>
      <c r="I23" s="106" t="n">
        <f aca="false">G23+H23</f>
        <v>97.06</v>
      </c>
      <c r="J23" s="130" t="n">
        <f aca="false">IF(L23&gt;0,L23,0)</f>
        <v>0</v>
      </c>
      <c r="K23" s="106" t="n">
        <f aca="false">I23+J23</f>
        <v>97.06</v>
      </c>
      <c r="L23" s="106" t="n">
        <f aca="false">F23-(I23-W23)</f>
        <v>-1.0163035804336</v>
      </c>
      <c r="M23" s="106" t="n">
        <v>297.87</v>
      </c>
      <c r="N23" s="106" t="n">
        <f aca="false">((AF23-AF22)*1.05)/$D$2</f>
        <v>12.2897125567322</v>
      </c>
      <c r="O23" s="106" t="n">
        <f aca="false">M23-N23</f>
        <v>285.580287443268</v>
      </c>
      <c r="P23" s="106" t="n">
        <v>135.68</v>
      </c>
      <c r="Q23" s="106" t="n">
        <f aca="false">(AE23-AE22)/$D$2</f>
        <v>90.2672718103883</v>
      </c>
      <c r="R23" s="106" t="n">
        <f aca="false">SUM(O23:Q23)</f>
        <v>511.527559253656</v>
      </c>
      <c r="S23" s="107" t="n">
        <f aca="false">(I23-R23)+S22</f>
        <v>-728.13683308119</v>
      </c>
      <c r="T23" s="106" t="n">
        <f aca="false">(AD23-AD22)/$D$2</f>
        <v>203.227433182047</v>
      </c>
      <c r="U23" s="106" t="n">
        <v>75</v>
      </c>
      <c r="V23" s="107" t="n">
        <f aca="false">V22-U23</f>
        <v>6477</v>
      </c>
      <c r="W23" s="106" t="n">
        <f aca="false">R23+T23+N23+U23</f>
        <v>802.044704992436</v>
      </c>
      <c r="X23" s="106" t="n">
        <f aca="false">IF(L23&lt;0,L23*-1,0)</f>
        <v>1.0163035804336</v>
      </c>
      <c r="Y23" s="106" t="n">
        <f aca="false">W23+X23</f>
        <v>803.061008572869</v>
      </c>
      <c r="Z23" s="110" t="n">
        <v>0</v>
      </c>
      <c r="AA23" s="139" t="n">
        <v>89</v>
      </c>
      <c r="AB23" s="111" t="n">
        <v>53</v>
      </c>
      <c r="AC23" s="112" t="n">
        <f aca="false">AC22+1</f>
        <v>14</v>
      </c>
      <c r="AD23" s="127" t="n">
        <v>20107</v>
      </c>
      <c r="AE23" s="127" t="n">
        <v>11662</v>
      </c>
      <c r="AF23" s="127" t="n">
        <v>2155.29</v>
      </c>
    </row>
    <row r="24" customFormat="false" ht="11.1" hidden="false" customHeight="true" outlineLevel="0" collapsed="false">
      <c r="A24" s="112" t="n">
        <f aca="false">A23+1</f>
        <v>15</v>
      </c>
      <c r="B24" s="129" t="n">
        <v>6917.31</v>
      </c>
      <c r="C24" s="107" t="n">
        <f aca="false">C23-1400</f>
        <v>352257</v>
      </c>
      <c r="D24" s="111" t="n">
        <f aca="false">C24-C23</f>
        <v>-1400</v>
      </c>
      <c r="E24" s="107" t="n">
        <f aca="false">C24-152000</f>
        <v>200257</v>
      </c>
      <c r="F24" s="106" t="n">
        <f aca="false">D24/$D$2</f>
        <v>-706.001008572869</v>
      </c>
      <c r="G24" s="106" t="n">
        <v>126.4</v>
      </c>
      <c r="H24" s="108" t="n">
        <v>0</v>
      </c>
      <c r="I24" s="106" t="n">
        <f aca="false">G24+H24</f>
        <v>126.4</v>
      </c>
      <c r="J24" s="130" t="n">
        <f aca="false">IF(L24&gt;0,L24,0)</f>
        <v>0</v>
      </c>
      <c r="K24" s="106" t="n">
        <f aca="false">I24+J24</f>
        <v>126.4</v>
      </c>
      <c r="L24" s="106" t="n">
        <f aca="false">F24-(I24-W24)</f>
        <v>-48.2806051437217</v>
      </c>
      <c r="M24" s="106" t="n">
        <v>290.08</v>
      </c>
      <c r="N24" s="106" t="n">
        <f aca="false">((AF24-AF23)*1.05)/$D$2</f>
        <v>14.8630862329804</v>
      </c>
      <c r="O24" s="106" t="n">
        <f aca="false">M24-N24</f>
        <v>275.21691376702</v>
      </c>
      <c r="P24" s="106" t="n">
        <v>136.64</v>
      </c>
      <c r="Q24" s="106" t="n">
        <f aca="false">(AE24-AE23)/$D$2</f>
        <v>89.2586989409985</v>
      </c>
      <c r="R24" s="106" t="n">
        <f aca="false">SUM(O24:Q24)</f>
        <v>501.115612708018</v>
      </c>
      <c r="S24" s="107" t="n">
        <f aca="false">(I24-R24)+S23</f>
        <v>-1102.85244578921</v>
      </c>
      <c r="T24" s="106" t="n">
        <f aca="false">(AD24-AD23)/$D$2</f>
        <v>193.141704488149</v>
      </c>
      <c r="U24" s="106" t="n">
        <v>75</v>
      </c>
      <c r="V24" s="107" t="n">
        <f aca="false">V23-U24</f>
        <v>6402</v>
      </c>
      <c r="W24" s="106" t="n">
        <f aca="false">R24+T24+N24+U24</f>
        <v>784.120403429148</v>
      </c>
      <c r="X24" s="106" t="n">
        <f aca="false">IF(L24&lt;0,L24*-1,0)</f>
        <v>48.2806051437217</v>
      </c>
      <c r="Y24" s="106" t="n">
        <f aca="false">W24+X24</f>
        <v>832.40100857287</v>
      </c>
      <c r="Z24" s="110" t="n">
        <v>0</v>
      </c>
      <c r="AA24" s="139" t="n">
        <v>92</v>
      </c>
      <c r="AB24" s="111" t="n">
        <v>52</v>
      </c>
      <c r="AC24" s="112" t="n">
        <f aca="false">AC23+1</f>
        <v>15</v>
      </c>
      <c r="AD24" s="127" t="n">
        <v>20490</v>
      </c>
      <c r="AE24" s="127" t="n">
        <v>11839</v>
      </c>
      <c r="AF24" s="127" t="n">
        <v>2183.36</v>
      </c>
    </row>
    <row r="25" customFormat="false" ht="11.1" hidden="false" customHeight="true" outlineLevel="0" collapsed="false">
      <c r="A25" s="112" t="n">
        <f aca="false">A24+1</f>
        <v>16</v>
      </c>
      <c r="B25" s="129" t="n">
        <v>6916.99</v>
      </c>
      <c r="C25" s="107" t="n">
        <f aca="false">C24-1400</f>
        <v>350857</v>
      </c>
      <c r="D25" s="111" t="n">
        <f aca="false">C25-C24</f>
        <v>-1400</v>
      </c>
      <c r="E25" s="107" t="n">
        <f aca="false">C25-152000</f>
        <v>198857</v>
      </c>
      <c r="F25" s="106" t="n">
        <f aca="false">D25/$D$2</f>
        <v>-706.001008572869</v>
      </c>
      <c r="G25" s="106" t="n">
        <v>127.32</v>
      </c>
      <c r="H25" s="108" t="n">
        <v>0</v>
      </c>
      <c r="I25" s="106" t="n">
        <f aca="false">G25+H25</f>
        <v>127.32</v>
      </c>
      <c r="J25" s="130" t="n">
        <f aca="false">IF(L25&gt;0,L25,0)</f>
        <v>0</v>
      </c>
      <c r="K25" s="106" t="n">
        <f aca="false">I25+J25</f>
        <v>127.32</v>
      </c>
      <c r="L25" s="106" t="n">
        <f aca="false">F25-(I25-W25)</f>
        <v>-51.8548915784166</v>
      </c>
      <c r="M25" s="106" t="n">
        <v>288.17</v>
      </c>
      <c r="N25" s="106" t="n">
        <f aca="false">((AF25-AF24)*1.05)/$D$2</f>
        <v>19.930408472012</v>
      </c>
      <c r="O25" s="106" t="n">
        <f aca="false">M25-N25</f>
        <v>268.239591527988</v>
      </c>
      <c r="P25" s="106" t="n">
        <v>136.4</v>
      </c>
      <c r="Q25" s="106" t="n">
        <f aca="false">(AE25-AE24)/$D$2</f>
        <v>89.2586989409985</v>
      </c>
      <c r="R25" s="106" t="n">
        <f aca="false">SUM(O25:Q25)</f>
        <v>493.898290468986</v>
      </c>
      <c r="S25" s="107" t="n">
        <f aca="false">(I25-R25)+S24</f>
        <v>-1469.43073625819</v>
      </c>
      <c r="T25" s="106" t="n">
        <f aca="false">(AD25-AD24)/$D$2</f>
        <v>192.637418053454</v>
      </c>
      <c r="U25" s="106" t="n">
        <v>75</v>
      </c>
      <c r="V25" s="107" t="n">
        <f aca="false">V24-U25</f>
        <v>6327</v>
      </c>
      <c r="W25" s="106" t="n">
        <f aca="false">R25+T25+N25+U25</f>
        <v>781.466116994453</v>
      </c>
      <c r="X25" s="106" t="n">
        <f aca="false">IF(L25&lt;0,L25*-1,0)</f>
        <v>51.8548915784166</v>
      </c>
      <c r="Y25" s="106" t="n">
        <f aca="false">W25+X25</f>
        <v>833.321008572869</v>
      </c>
      <c r="Z25" s="110" t="n">
        <v>0</v>
      </c>
      <c r="AA25" s="139" t="n">
        <v>91</v>
      </c>
      <c r="AB25" s="111" t="n">
        <v>46</v>
      </c>
      <c r="AC25" s="112" t="n">
        <f aca="false">AC24+1</f>
        <v>16</v>
      </c>
      <c r="AD25" s="127" t="n">
        <v>20872</v>
      </c>
      <c r="AE25" s="127" t="n">
        <v>12016</v>
      </c>
      <c r="AF25" s="127" t="n">
        <v>2221</v>
      </c>
    </row>
    <row r="26" customFormat="false" ht="11.1" hidden="false" customHeight="true" outlineLevel="0" collapsed="false">
      <c r="A26" s="112" t="n">
        <f aca="false">A25+1</f>
        <v>17</v>
      </c>
      <c r="B26" s="129" t="n">
        <v>6916.66</v>
      </c>
      <c r="C26" s="107" t="n">
        <v>349113</v>
      </c>
      <c r="D26" s="111" t="n">
        <f aca="false">C26-C25</f>
        <v>-1744</v>
      </c>
      <c r="E26" s="107" t="n">
        <f aca="false">C26-152000</f>
        <v>197113</v>
      </c>
      <c r="F26" s="106" t="n">
        <f aca="false">D26/$D$2</f>
        <v>-879.475542107917</v>
      </c>
      <c r="G26" s="106" t="n">
        <v>125.21</v>
      </c>
      <c r="H26" s="108" t="n">
        <v>0</v>
      </c>
      <c r="I26" s="106" t="n">
        <f aca="false">G26+H26</f>
        <v>125.21</v>
      </c>
      <c r="J26" s="130" t="n">
        <f aca="false">IF(L26&gt;0,L26,0)</f>
        <v>0</v>
      </c>
      <c r="K26" s="106" t="n">
        <f aca="false">I26+J26</f>
        <v>125.21</v>
      </c>
      <c r="L26" s="106" t="n">
        <f aca="false">F26-(I26-W26)</f>
        <v>-197.625128593041</v>
      </c>
      <c r="M26" s="106" t="n">
        <v>287.95</v>
      </c>
      <c r="N26" s="106" t="n">
        <f aca="false">((AF26-AF25)*1.05)/$D$2</f>
        <v>23.7057488653555</v>
      </c>
      <c r="O26" s="106" t="n">
        <f aca="false">M26-N26</f>
        <v>264.244251134644</v>
      </c>
      <c r="P26" s="106" t="n">
        <v>154.65</v>
      </c>
      <c r="Q26" s="106" t="n">
        <f aca="false">(AE26-AE25)/$D$2</f>
        <v>91.2758446797781</v>
      </c>
      <c r="R26" s="106" t="n">
        <f aca="false">SUM(O26:Q26)</f>
        <v>510.170095814423</v>
      </c>
      <c r="S26" s="107" t="n">
        <f aca="false">(I26-R26)+S25</f>
        <v>-1854.39083207262</v>
      </c>
      <c r="T26" s="106" t="n">
        <f aca="false">(AD26-AD25)/$D$2</f>
        <v>198.184568835098</v>
      </c>
      <c r="U26" s="106" t="n">
        <v>75</v>
      </c>
      <c r="V26" s="107" t="n">
        <f aca="false">V25-U26</f>
        <v>6252</v>
      </c>
      <c r="W26" s="106" t="n">
        <f aca="false">R26+T26+N26+U26</f>
        <v>807.060413514876</v>
      </c>
      <c r="X26" s="106" t="n">
        <f aca="false">IF(L26&lt;0,L26*-1,0)</f>
        <v>197.625128593041</v>
      </c>
      <c r="Y26" s="106" t="n">
        <f aca="false">W26+X26</f>
        <v>1004.68554210792</v>
      </c>
      <c r="Z26" s="110" t="n">
        <v>0</v>
      </c>
      <c r="AA26" s="139" t="n">
        <v>87</v>
      </c>
      <c r="AB26" s="111" t="n">
        <v>48</v>
      </c>
      <c r="AC26" s="112" t="n">
        <f aca="false">AC25+1</f>
        <v>17</v>
      </c>
      <c r="AD26" s="127" t="n">
        <v>21265</v>
      </c>
      <c r="AE26" s="127" t="n">
        <v>12197</v>
      </c>
      <c r="AF26" s="127" t="n">
        <v>2265.77</v>
      </c>
    </row>
    <row r="27" customFormat="false" ht="11.1" hidden="false" customHeight="true" outlineLevel="0" collapsed="false">
      <c r="A27" s="112" t="n">
        <f aca="false">A26+1</f>
        <v>18</v>
      </c>
      <c r="B27" s="129" t="n">
        <v>6916.33</v>
      </c>
      <c r="C27" s="107" t="n">
        <v>347977</v>
      </c>
      <c r="D27" s="111" t="n">
        <f aca="false">C27-C26</f>
        <v>-1136</v>
      </c>
      <c r="E27" s="107" t="n">
        <f aca="false">C27-152000</f>
        <v>195977</v>
      </c>
      <c r="F27" s="106" t="n">
        <f aca="false">D27/$D$2</f>
        <v>-572.869389813414</v>
      </c>
      <c r="G27" s="106" t="n">
        <v>131.58</v>
      </c>
      <c r="H27" s="108" t="n">
        <v>0</v>
      </c>
      <c r="I27" s="106" t="n">
        <f aca="false">G27+H27</f>
        <v>131.58</v>
      </c>
      <c r="J27" s="130" t="n">
        <f aca="false">IF(L27&gt;0,L27,0)</f>
        <v>96.2138678769541</v>
      </c>
      <c r="K27" s="106" t="n">
        <f aca="false">I27+J27</f>
        <v>227.793867876954</v>
      </c>
      <c r="L27" s="106" t="n">
        <f aca="false">F27-(I27-W27)</f>
        <v>96.2138678769541</v>
      </c>
      <c r="M27" s="106" t="n">
        <v>287.84</v>
      </c>
      <c r="N27" s="106" t="n">
        <f aca="false">((AF27-AF26)*1.05)/$D$2</f>
        <v>27.0627836611196</v>
      </c>
      <c r="O27" s="106" t="n">
        <f aca="false">M27-N27</f>
        <v>260.77721633888</v>
      </c>
      <c r="P27" s="106" t="n">
        <v>157.44</v>
      </c>
      <c r="Q27" s="106" t="n">
        <f aca="false">(AE27-AE26)/$D$2</f>
        <v>90.7715582450832</v>
      </c>
      <c r="R27" s="106" t="n">
        <f aca="false">SUM(O27:Q27)</f>
        <v>508.988774583964</v>
      </c>
      <c r="S27" s="107" t="n">
        <f aca="false">(I27-R27)+S26</f>
        <v>-2231.79960665658</v>
      </c>
      <c r="T27" s="106" t="n">
        <f aca="false">(AD27-AD26)/$D$2</f>
        <v>189.611699445285</v>
      </c>
      <c r="U27" s="106" t="n">
        <v>75</v>
      </c>
      <c r="V27" s="107" t="n">
        <f aca="false">V26-U27</f>
        <v>6177</v>
      </c>
      <c r="W27" s="106" t="n">
        <f aca="false">R27+T27+N27+U27</f>
        <v>800.663257690368</v>
      </c>
      <c r="X27" s="106" t="n">
        <f aca="false">IF(L27&lt;0,L27*-1,0)</f>
        <v>0</v>
      </c>
      <c r="Y27" s="106" t="n">
        <f aca="false">W27+X27</f>
        <v>800.663257690368</v>
      </c>
      <c r="Z27" s="110" t="n">
        <v>0</v>
      </c>
      <c r="AA27" s="139" t="n">
        <v>89</v>
      </c>
      <c r="AB27" s="111" t="n">
        <v>54</v>
      </c>
      <c r="AC27" s="112" t="n">
        <f aca="false">AC26+1</f>
        <v>18</v>
      </c>
      <c r="AD27" s="127" t="n">
        <v>21641</v>
      </c>
      <c r="AE27" s="127" t="n">
        <v>12377</v>
      </c>
      <c r="AF27" s="127" t="n">
        <v>2316.88</v>
      </c>
    </row>
    <row r="28" customFormat="false" ht="11.1" hidden="false" customHeight="true" outlineLevel="0" collapsed="false">
      <c r="A28" s="112" t="n">
        <f aca="false">A27+1</f>
        <v>19</v>
      </c>
      <c r="B28" s="129" t="n">
        <v>6916.01</v>
      </c>
      <c r="C28" s="46" t="n">
        <v>346589</v>
      </c>
      <c r="D28" s="111" t="n">
        <f aca="false">C28-C27</f>
        <v>-1388</v>
      </c>
      <c r="E28" s="107" t="n">
        <f aca="false">C28-152000</f>
        <v>194589</v>
      </c>
      <c r="F28" s="106" t="n">
        <f aca="false">D28/$D$2</f>
        <v>-699.94957135653</v>
      </c>
      <c r="G28" s="106" t="n">
        <v>135.68</v>
      </c>
      <c r="H28" s="108" t="n">
        <v>0</v>
      </c>
      <c r="I28" s="106" t="n">
        <f aca="false">G28+H28</f>
        <v>135.68</v>
      </c>
      <c r="J28" s="130" t="n">
        <f aca="false">IF(L28&gt;0,L28,0)</f>
        <v>0</v>
      </c>
      <c r="K28" s="106" t="n">
        <f aca="false">I28+J28</f>
        <v>135.68</v>
      </c>
      <c r="L28" s="106" t="n">
        <f aca="false">F28-(I28-W28)</f>
        <v>-38.6691679273827</v>
      </c>
      <c r="M28" s="106" t="n">
        <v>286.97</v>
      </c>
      <c r="N28" s="106" t="n">
        <f aca="false">((AF28-AF27)*1.05)/$D$2</f>
        <v>16.536308623298</v>
      </c>
      <c r="O28" s="106" t="n">
        <f aca="false">M28-N28</f>
        <v>270.433691376702</v>
      </c>
      <c r="P28" s="106" t="n">
        <v>157.59</v>
      </c>
      <c r="Q28" s="106" t="n">
        <f aca="false">(AE28-AE27)/$D$2</f>
        <v>90.7715582450832</v>
      </c>
      <c r="R28" s="106" t="n">
        <f aca="false">SUM(O28:Q28)</f>
        <v>518.795249621785</v>
      </c>
      <c r="S28" s="107" t="n">
        <f aca="false">(I28-R28)+S27</f>
        <v>-2614.91485627837</v>
      </c>
      <c r="T28" s="106" t="n">
        <f aca="false">(AD28-AD27)/$D$2</f>
        <v>191.628845184065</v>
      </c>
      <c r="U28" s="106" t="n">
        <v>70</v>
      </c>
      <c r="V28" s="107" t="n">
        <f aca="false">V27-U28</f>
        <v>6107</v>
      </c>
      <c r="W28" s="106" t="n">
        <f aca="false">R28+T28+N28+U28</f>
        <v>796.960403429148</v>
      </c>
      <c r="X28" s="106" t="n">
        <f aca="false">IF(L28&lt;0,L28*-1,0)</f>
        <v>38.6691679273827</v>
      </c>
      <c r="Y28" s="106" t="n">
        <f aca="false">W28+X28</f>
        <v>835.62957135653</v>
      </c>
      <c r="Z28" s="110" t="n">
        <v>0</v>
      </c>
      <c r="AA28" s="139" t="n">
        <v>90</v>
      </c>
      <c r="AB28" s="111" t="n">
        <v>51</v>
      </c>
      <c r="AC28" s="112" t="n">
        <f aca="false">AC27+1</f>
        <v>19</v>
      </c>
      <c r="AD28" s="127" t="n">
        <v>22021</v>
      </c>
      <c r="AE28" s="127" t="n">
        <f aca="false">AE27+$AH$31</f>
        <v>12557</v>
      </c>
      <c r="AF28" s="127" t="n">
        <v>2348.11</v>
      </c>
    </row>
    <row r="29" customFormat="false" ht="11.1" hidden="false" customHeight="true" outlineLevel="0" collapsed="false">
      <c r="A29" s="112" t="n">
        <f aca="false">A28+1</f>
        <v>20</v>
      </c>
      <c r="B29" s="129" t="n">
        <v>6915.66</v>
      </c>
      <c r="C29" s="107" t="n">
        <v>345127</v>
      </c>
      <c r="D29" s="111" t="n">
        <f aca="false">C29-C28</f>
        <v>-1462</v>
      </c>
      <c r="E29" s="107" t="n">
        <f aca="false">C29-152000</f>
        <v>193127</v>
      </c>
      <c r="F29" s="106" t="n">
        <f aca="false">D29/$D$2</f>
        <v>-737.266767523954</v>
      </c>
      <c r="G29" s="106" t="n">
        <v>148.47</v>
      </c>
      <c r="H29" s="108" t="n">
        <v>0</v>
      </c>
      <c r="I29" s="106" t="n">
        <f aca="false">G29+H29</f>
        <v>148.47</v>
      </c>
      <c r="J29" s="130" t="n">
        <f aca="false">IF(L29&gt;0,L29,0)</f>
        <v>0</v>
      </c>
      <c r="K29" s="106" t="n">
        <f aca="false">I29+J29</f>
        <v>148.47</v>
      </c>
      <c r="L29" s="106" t="n">
        <f aca="false">F29-(I29-W29)</f>
        <v>-85.2606454866365</v>
      </c>
      <c r="M29" s="106" t="n">
        <v>286.21</v>
      </c>
      <c r="N29" s="106" t="n">
        <f aca="false">((AF29-AF28)*1.05)/$D$2</f>
        <v>18.9296520423601</v>
      </c>
      <c r="O29" s="106" t="n">
        <f aca="false">M29-N29</f>
        <v>267.28034795764</v>
      </c>
      <c r="P29" s="106" t="n">
        <v>158.84</v>
      </c>
      <c r="Q29" s="106" t="n">
        <f aca="false">(AE29-AE28)/$D$2</f>
        <v>90.7715582450832</v>
      </c>
      <c r="R29" s="106" t="n">
        <f aca="false">SUM(O29:Q29)</f>
        <v>516.891906202723</v>
      </c>
      <c r="S29" s="107" t="n">
        <f aca="false">(I29-R29)+S28</f>
        <v>-2983.33676248109</v>
      </c>
      <c r="T29" s="106" t="n">
        <f aca="false">(AD29-AD28)/$D$2</f>
        <v>194.654563792234</v>
      </c>
      <c r="U29" s="106" t="n">
        <v>70</v>
      </c>
      <c r="V29" s="107" t="n">
        <f aca="false">V28-U29</f>
        <v>6037</v>
      </c>
      <c r="W29" s="106" t="n">
        <f aca="false">R29+T29+N29+U29</f>
        <v>800.476122037317</v>
      </c>
      <c r="X29" s="106" t="n">
        <f aca="false">IF(L29&lt;0,L29*-1,0)</f>
        <v>85.2606454866365</v>
      </c>
      <c r="Y29" s="106" t="n">
        <f aca="false">W29+X29</f>
        <v>885.736767523954</v>
      </c>
      <c r="Z29" s="110" t="n">
        <v>0</v>
      </c>
      <c r="AA29" s="139" t="n">
        <v>95</v>
      </c>
      <c r="AB29" s="111" t="n">
        <v>50</v>
      </c>
      <c r="AC29" s="112" t="n">
        <f aca="false">AC28+1</f>
        <v>20</v>
      </c>
      <c r="AD29" s="127" t="n">
        <v>22407</v>
      </c>
      <c r="AE29" s="127" t="n">
        <f aca="false">AE28+$AH$31</f>
        <v>12737</v>
      </c>
      <c r="AF29" s="127" t="n">
        <v>2383.86</v>
      </c>
    </row>
    <row r="30" customFormat="false" ht="11.1" hidden="false" customHeight="true" outlineLevel="0" collapsed="false">
      <c r="A30" s="112" t="n">
        <f aca="false">A29+1</f>
        <v>21</v>
      </c>
      <c r="B30" s="129" t="n">
        <v>6915.34</v>
      </c>
      <c r="C30" s="107" t="n">
        <v>343792</v>
      </c>
      <c r="D30" s="111" t="n">
        <f aca="false">C30-C29</f>
        <v>-1335</v>
      </c>
      <c r="E30" s="107" t="n">
        <f aca="false">C30-152000</f>
        <v>191792</v>
      </c>
      <c r="F30" s="106" t="n">
        <f aca="false">D30/$D$2</f>
        <v>-673.2223903177</v>
      </c>
      <c r="G30" s="106" t="n">
        <v>163.61</v>
      </c>
      <c r="H30" s="108" t="n">
        <v>0</v>
      </c>
      <c r="I30" s="106" t="n">
        <f aca="false">G30+H30</f>
        <v>163.61</v>
      </c>
      <c r="J30" s="130" t="n">
        <f aca="false">IF(L30&gt;0,L30,0)</f>
        <v>0</v>
      </c>
      <c r="K30" s="106" t="n">
        <f aca="false">I30+J30</f>
        <v>163.61</v>
      </c>
      <c r="L30" s="106" t="n">
        <f aca="false">F30-(I30-W30)</f>
        <v>-47.8562884518407</v>
      </c>
      <c r="M30" s="106" t="n">
        <v>287.16</v>
      </c>
      <c r="N30" s="106" t="n">
        <f aca="false">((AF30-AF29)*1.05)/$D$2</f>
        <v>27.3169440242056</v>
      </c>
      <c r="O30" s="106" t="n">
        <f aca="false">M30-N30</f>
        <v>259.843055975794</v>
      </c>
      <c r="P30" s="106" t="n">
        <v>160.51</v>
      </c>
      <c r="Q30" s="106" t="n">
        <f aca="false">(AE30-AE29)/$D$2</f>
        <v>85.2244074634392</v>
      </c>
      <c r="R30" s="106" t="n">
        <f aca="false">SUM(O30:Q30)</f>
        <v>505.577463439234</v>
      </c>
      <c r="S30" s="107" t="n">
        <f aca="false">(I30-R30)+S29</f>
        <v>-3325.30422592032</v>
      </c>
      <c r="T30" s="106" t="n">
        <f aca="false">(AD30-AD29)/$D$2</f>
        <v>186.081694402421</v>
      </c>
      <c r="U30" s="106" t="n">
        <v>70</v>
      </c>
      <c r="V30" s="107" t="n">
        <f aca="false">V29-U30</f>
        <v>5967</v>
      </c>
      <c r="W30" s="106" t="n">
        <f aca="false">R30+T30+N30+U30</f>
        <v>788.97610186586</v>
      </c>
      <c r="X30" s="106" t="n">
        <f aca="false">IF(L30&lt;0,L30*-1,0)</f>
        <v>47.8562884518407</v>
      </c>
      <c r="Y30" s="106" t="n">
        <f aca="false">W30+X30</f>
        <v>836.8323903177</v>
      </c>
      <c r="Z30" s="110" t="n">
        <v>0</v>
      </c>
      <c r="AA30" s="111" t="n">
        <v>95</v>
      </c>
      <c r="AB30" s="111" t="n">
        <v>59</v>
      </c>
      <c r="AC30" s="112" t="n">
        <f aca="false">AC29+1</f>
        <v>21</v>
      </c>
      <c r="AD30" s="127" t="n">
        <v>22776</v>
      </c>
      <c r="AE30" s="127" t="n">
        <v>12906</v>
      </c>
      <c r="AF30" s="127" t="n">
        <v>2435.45</v>
      </c>
    </row>
    <row r="31" customFormat="false" ht="11.1" hidden="false" customHeight="true" outlineLevel="0" collapsed="false">
      <c r="A31" s="112" t="n">
        <f aca="false">A30+1</f>
        <v>22</v>
      </c>
      <c r="B31" s="129" t="n">
        <v>6915.04</v>
      </c>
      <c r="C31" s="107" t="n">
        <v>342539</v>
      </c>
      <c r="D31" s="111" t="n">
        <f aca="false">C31-C30</f>
        <v>-1253</v>
      </c>
      <c r="E31" s="107" t="n">
        <f aca="false">C31-152000</f>
        <v>190539</v>
      </c>
      <c r="F31" s="106" t="n">
        <f aca="false">D31/$D$2</f>
        <v>-631.870902672718</v>
      </c>
      <c r="G31" s="106" t="n">
        <v>150</v>
      </c>
      <c r="H31" s="108" t="n">
        <v>0</v>
      </c>
      <c r="I31" s="106" t="n">
        <f aca="false">G31+H31</f>
        <v>150</v>
      </c>
      <c r="J31" s="130" t="n">
        <f aca="false">IF(L31&gt;0,L31,0)</f>
        <v>12.2609329299041</v>
      </c>
      <c r="K31" s="106" t="n">
        <f aca="false">I31+J31</f>
        <v>162.260932929904</v>
      </c>
      <c r="L31" s="106" t="n">
        <f aca="false">F31-(I31-W31)</f>
        <v>12.2609329299041</v>
      </c>
      <c r="M31" s="106" t="n">
        <v>279.43</v>
      </c>
      <c r="N31" s="106" t="n">
        <f aca="false">((AF31-AF30)*1.05)/$D$2</f>
        <v>28.4924357034798</v>
      </c>
      <c r="O31" s="106" t="n">
        <f aca="false">M31-N31</f>
        <v>250.93756429652</v>
      </c>
      <c r="P31" s="106" t="n">
        <v>159</v>
      </c>
      <c r="Q31" s="106" t="n">
        <f aca="false">(AE31-AE30)/$D$2</f>
        <v>90.7715582450832</v>
      </c>
      <c r="R31" s="106" t="n">
        <f aca="false">SUM(O31:Q31)</f>
        <v>500.709122541603</v>
      </c>
      <c r="S31" s="107" t="n">
        <f aca="false">(I31-R31)+S30</f>
        <v>-3676.01334846193</v>
      </c>
      <c r="T31" s="106" t="n">
        <f aca="false">(AD31-AD30)/$D$2</f>
        <v>194.150277357539</v>
      </c>
      <c r="U31" s="106" t="n">
        <v>70.78</v>
      </c>
      <c r="V31" s="107" t="n">
        <f aca="false">V30-U31</f>
        <v>5896.22</v>
      </c>
      <c r="W31" s="106" t="n">
        <f aca="false">R31+T31+N31+U31</f>
        <v>794.131835602622</v>
      </c>
      <c r="X31" s="106" t="n">
        <f aca="false">IF(L31&lt;0,L31*-1,0)</f>
        <v>0</v>
      </c>
      <c r="Y31" s="106" t="n">
        <f aca="false">W31+X31</f>
        <v>794.131835602622</v>
      </c>
      <c r="Z31" s="110" t="n">
        <v>0</v>
      </c>
      <c r="AA31" s="111" t="n">
        <v>89</v>
      </c>
      <c r="AB31" s="111" t="n">
        <v>57</v>
      </c>
      <c r="AC31" s="112" t="n">
        <f aca="false">AC30+1</f>
        <v>22</v>
      </c>
      <c r="AD31" s="127" t="n">
        <v>23161</v>
      </c>
      <c r="AE31" s="127" t="n">
        <f aca="false">AE30+$AH$31</f>
        <v>13086</v>
      </c>
      <c r="AF31" s="127" t="n">
        <v>2489.26</v>
      </c>
      <c r="AG31" s="140" t="n">
        <f aca="false">AD30-AD29</f>
        <v>369</v>
      </c>
      <c r="AH31" s="140" t="n">
        <f aca="false">AE27-AE26</f>
        <v>180</v>
      </c>
      <c r="AI31" s="140" t="n">
        <f aca="false">AF30-AF29</f>
        <v>51.5899999999997</v>
      </c>
    </row>
    <row r="32" customFormat="false" ht="11.1" hidden="false" customHeight="true" outlineLevel="0" collapsed="false">
      <c r="A32" s="112" t="n">
        <f aca="false">A31+1</f>
        <v>23</v>
      </c>
      <c r="B32" s="129" t="n">
        <v>6914.74</v>
      </c>
      <c r="C32" s="107" t="n">
        <v>341295</v>
      </c>
      <c r="D32" s="111" t="n">
        <f aca="false">C32-C31</f>
        <v>-1244</v>
      </c>
      <c r="E32" s="107" t="n">
        <f aca="false">C32-152000</f>
        <v>189295</v>
      </c>
      <c r="F32" s="106" t="n">
        <f aca="false">D32/$D$2</f>
        <v>-627.332324760464</v>
      </c>
      <c r="G32" s="106" t="n">
        <v>154.94</v>
      </c>
      <c r="H32" s="108" t="n">
        <v>0</v>
      </c>
      <c r="I32" s="106" t="n">
        <f aca="false">G32+H32</f>
        <v>154.94</v>
      </c>
      <c r="J32" s="130" t="n">
        <f aca="false">IF(L32&gt;0,L32,0)</f>
        <v>0</v>
      </c>
      <c r="K32" s="106" t="n">
        <f aca="false">I32+J32</f>
        <v>154.94</v>
      </c>
      <c r="L32" s="106" t="n">
        <f aca="false">F32-(I32-W32)</f>
        <v>-26.5148260211799</v>
      </c>
      <c r="M32" s="106" t="n">
        <v>278.64</v>
      </c>
      <c r="N32" s="106" t="n">
        <f aca="false">((AF32-AF31)*1.05)/$D$2</f>
        <v>27.5022692889559</v>
      </c>
      <c r="O32" s="106" t="n">
        <f aca="false">M32-N32</f>
        <v>251.137730711044</v>
      </c>
      <c r="P32" s="106" t="n">
        <v>158.64</v>
      </c>
      <c r="Q32" s="106" t="n">
        <f aca="false">(AE32-AE31)/$D$2</f>
        <v>90.7715582450832</v>
      </c>
      <c r="R32" s="106" t="n">
        <f aca="false">SUM(O32:Q32)</f>
        <v>500.549288956127</v>
      </c>
      <c r="S32" s="107" t="n">
        <f aca="false">(I32-R32)+S31</f>
        <v>-4021.62263741805</v>
      </c>
      <c r="T32" s="106" t="n">
        <f aca="false">(AD32-AD31)/$D$2</f>
        <v>158.345940494201</v>
      </c>
      <c r="U32" s="106" t="n">
        <v>69.36</v>
      </c>
      <c r="V32" s="107" t="n">
        <f aca="false">V31-U32</f>
        <v>5826.86</v>
      </c>
      <c r="W32" s="106" t="n">
        <f aca="false">R32+T32+N32+U32</f>
        <v>755.757498739284</v>
      </c>
      <c r="X32" s="106" t="n">
        <f aca="false">IF(L32&lt;0,L32*-1,0)</f>
        <v>26.5148260211799</v>
      </c>
      <c r="Y32" s="106" t="n">
        <f aca="false">W32+X32</f>
        <v>782.272324760464</v>
      </c>
      <c r="Z32" s="110" t="n">
        <v>0</v>
      </c>
      <c r="AA32" s="111" t="n">
        <v>95</v>
      </c>
      <c r="AB32" s="139" t="n">
        <v>59</v>
      </c>
      <c r="AC32" s="112" t="n">
        <f aca="false">AC31+1</f>
        <v>23</v>
      </c>
      <c r="AD32" s="127" t="n">
        <v>23475</v>
      </c>
      <c r="AE32" s="127" t="n">
        <f aca="false">AE31+$AH$31</f>
        <v>13266</v>
      </c>
      <c r="AF32" s="127" t="n">
        <v>2541.2</v>
      </c>
    </row>
    <row r="33" customFormat="false" ht="11.1" hidden="false" customHeight="true" outlineLevel="0" collapsed="false">
      <c r="A33" s="112" t="n">
        <f aca="false">A32+1</f>
        <v>24</v>
      </c>
      <c r="B33" s="129" t="n">
        <v>6914.41</v>
      </c>
      <c r="C33" s="107" t="n">
        <v>339929</v>
      </c>
      <c r="D33" s="111" t="n">
        <f aca="false">C33-C32</f>
        <v>-1366</v>
      </c>
      <c r="E33" s="107" t="n">
        <f aca="false">C33-152000</f>
        <v>187929</v>
      </c>
      <c r="F33" s="106" t="n">
        <f aca="false">D33/$D$2</f>
        <v>-688.855269793243</v>
      </c>
      <c r="G33" s="106" t="n">
        <v>152.8</v>
      </c>
      <c r="H33" s="108" t="n">
        <v>0</v>
      </c>
      <c r="I33" s="106" t="n">
        <f aca="false">G33+H33</f>
        <v>152.8</v>
      </c>
      <c r="J33" s="130" t="n">
        <f aca="false">IF(L33&gt;0,L33,0)</f>
        <v>0</v>
      </c>
      <c r="K33" s="106" t="n">
        <f aca="false">I33+J33</f>
        <v>152.8</v>
      </c>
      <c r="L33" s="106" t="n">
        <f aca="false">F33-(I33-W33)</f>
        <v>-66.9663086232981</v>
      </c>
      <c r="M33" s="106" t="n">
        <v>272.62</v>
      </c>
      <c r="N33" s="106" t="n">
        <f aca="false">((AF33-AF32)*1.05)/$D$2</f>
        <v>28.068835098336</v>
      </c>
      <c r="O33" s="106" t="n">
        <f aca="false">M33-N33</f>
        <v>244.551164901664</v>
      </c>
      <c r="P33" s="106" t="n">
        <v>159.89</v>
      </c>
      <c r="Q33" s="106" t="n">
        <f aca="false">(AE33-AE32)/$D$2</f>
        <v>90.7715582450832</v>
      </c>
      <c r="R33" s="106" t="n">
        <f aca="false">SUM(O33:Q33)</f>
        <v>495.212723146747</v>
      </c>
      <c r="S33" s="107" t="n">
        <f aca="false">(I33-R33)+S32</f>
        <v>-4364.0353605648</v>
      </c>
      <c r="T33" s="106" t="n">
        <f aca="false">(AD33-AD32)/$D$2</f>
        <v>182.047402924861</v>
      </c>
      <c r="U33" s="106" t="n">
        <v>69.36</v>
      </c>
      <c r="V33" s="107" t="n">
        <f aca="false">V32-U33</f>
        <v>5757.5</v>
      </c>
      <c r="W33" s="106" t="n">
        <f aca="false">R33+T33+N33+U33</f>
        <v>774.688961169945</v>
      </c>
      <c r="X33" s="106" t="n">
        <f aca="false">IF(L33&lt;0,L33*-1,0)</f>
        <v>66.9663086232981</v>
      </c>
      <c r="Y33" s="106" t="n">
        <f aca="false">W33+X33</f>
        <v>841.655269793243</v>
      </c>
      <c r="Z33" s="110" t="n">
        <v>0.07</v>
      </c>
      <c r="AA33" s="111" t="n">
        <v>93</v>
      </c>
      <c r="AB33" s="139" t="n">
        <v>60</v>
      </c>
      <c r="AC33" s="112" t="n">
        <f aca="false">AC32+1</f>
        <v>24</v>
      </c>
      <c r="AD33" s="127" t="n">
        <v>23836</v>
      </c>
      <c r="AE33" s="127" t="n">
        <f aca="false">AE32+$AH$31</f>
        <v>13446</v>
      </c>
      <c r="AF33" s="127" t="n">
        <v>2594.21</v>
      </c>
    </row>
    <row r="34" customFormat="false" ht="11.1" hidden="false" customHeight="true" outlineLevel="0" collapsed="false">
      <c r="A34" s="112" t="n">
        <f aca="false">A33+1</f>
        <v>25</v>
      </c>
      <c r="B34" s="129" t="n">
        <v>6914.14</v>
      </c>
      <c r="C34" s="107" t="n">
        <v>338810</v>
      </c>
      <c r="D34" s="111" t="n">
        <f aca="false">C34-C33</f>
        <v>-1119</v>
      </c>
      <c r="E34" s="107" t="n">
        <f aca="false">C34-152000</f>
        <v>186810</v>
      </c>
      <c r="F34" s="106" t="n">
        <f aca="false">D34/$D$2</f>
        <v>-564.296520423601</v>
      </c>
      <c r="G34" s="106" t="n">
        <v>151.59</v>
      </c>
      <c r="H34" s="108" t="n">
        <v>0</v>
      </c>
      <c r="I34" s="106" t="n">
        <f aca="false">G34+H34</f>
        <v>151.59</v>
      </c>
      <c r="J34" s="130" t="n">
        <f aca="false">IF(L34&gt;0,L34,0)</f>
        <v>53.9681543116491</v>
      </c>
      <c r="K34" s="106" t="n">
        <f aca="false">I34+J34</f>
        <v>205.558154311649</v>
      </c>
      <c r="L34" s="106" t="n">
        <f aca="false">F34-(I34-W34)</f>
        <v>53.9681543116491</v>
      </c>
      <c r="M34" s="106" t="n">
        <v>269.69</v>
      </c>
      <c r="N34" s="106" t="n">
        <f aca="false">((AF34-AF33)*1.05)/$D$2</f>
        <v>28.322995461422</v>
      </c>
      <c r="O34" s="106" t="n">
        <f aca="false">M34-N34</f>
        <v>241.367004538578</v>
      </c>
      <c r="P34" s="106" t="n">
        <v>158.48</v>
      </c>
      <c r="Q34" s="106" t="n">
        <f aca="false">(AE34-AE33)/$D$2</f>
        <v>92.2844175491679</v>
      </c>
      <c r="R34" s="106" t="n">
        <f aca="false">SUM(O34:Q34)</f>
        <v>492.131422087746</v>
      </c>
      <c r="S34" s="107" t="n">
        <f aca="false">(I34-R34)+S33</f>
        <v>-4704.57678265255</v>
      </c>
      <c r="T34" s="106" t="n">
        <f aca="false">(AD34-AD33)/$D$2</f>
        <v>180.030257186082</v>
      </c>
      <c r="U34" s="106" t="n">
        <v>69.37</v>
      </c>
      <c r="V34" s="107" t="n">
        <f aca="false">V33-U34</f>
        <v>5688.13</v>
      </c>
      <c r="W34" s="106" t="n">
        <f aca="false">R34+T34+N34+U34</f>
        <v>769.85467473525</v>
      </c>
      <c r="X34" s="106" t="n">
        <f aca="false">IF(L34&lt;0,L34*-1,0)</f>
        <v>0</v>
      </c>
      <c r="Y34" s="106" t="n">
        <f aca="false">W34+X34</f>
        <v>769.85467473525</v>
      </c>
      <c r="Z34" s="110" t="n">
        <v>0</v>
      </c>
      <c r="AA34" s="111" t="n">
        <v>88</v>
      </c>
      <c r="AB34" s="139" t="n">
        <v>56</v>
      </c>
      <c r="AC34" s="112" t="n">
        <f aca="false">AC33+1</f>
        <v>25</v>
      </c>
      <c r="AD34" s="127" t="n">
        <v>24193</v>
      </c>
      <c r="AE34" s="127" t="n">
        <v>13629</v>
      </c>
      <c r="AF34" s="127" t="n">
        <v>2647.7</v>
      </c>
    </row>
    <row r="35" customFormat="false" ht="11.1" hidden="false" customHeight="true" outlineLevel="0" collapsed="false">
      <c r="A35" s="112" t="n">
        <f aca="false">A34+1</f>
        <v>26</v>
      </c>
      <c r="B35" s="129" t="n">
        <v>6913.79</v>
      </c>
      <c r="C35" s="107" t="n">
        <v>337368</v>
      </c>
      <c r="D35" s="111" t="n">
        <f aca="false">C35-C34</f>
        <v>-1442</v>
      </c>
      <c r="E35" s="107" t="n">
        <f aca="false">C35-152000</f>
        <v>185368</v>
      </c>
      <c r="F35" s="106" t="n">
        <f aca="false">D35/$D$2</f>
        <v>-727.181038830055</v>
      </c>
      <c r="G35" s="106" t="n">
        <v>146.76</v>
      </c>
      <c r="H35" s="108" t="n">
        <v>0</v>
      </c>
      <c r="I35" s="106" t="n">
        <f aca="false">G35+H35</f>
        <v>146.76</v>
      </c>
      <c r="J35" s="130" t="n">
        <f aca="false">IF(L35&gt;0,L35,0)</f>
        <v>0</v>
      </c>
      <c r="K35" s="106" t="n">
        <f aca="false">I35+J35</f>
        <v>146.76</v>
      </c>
      <c r="L35" s="106" t="n">
        <f aca="false">F35-(I35-W35)</f>
        <v>-102.746348966213</v>
      </c>
      <c r="M35" s="106" t="n">
        <v>259.81</v>
      </c>
      <c r="N35" s="106" t="n">
        <f aca="false">((AF35-AF34)*1.05)/$D$2</f>
        <v>22.4137670196674</v>
      </c>
      <c r="O35" s="106" t="n">
        <f aca="false">M35-N35</f>
        <v>237.396232980333</v>
      </c>
      <c r="P35" s="106" t="n">
        <v>158.48</v>
      </c>
      <c r="Q35" s="106" t="n">
        <f aca="false">(AE35-AE34)/$D$2</f>
        <v>89.2586989409985</v>
      </c>
      <c r="R35" s="106" t="n">
        <f aca="false">SUM(O35:Q35)</f>
        <v>485.134931921331</v>
      </c>
      <c r="S35" s="107" t="n">
        <f aca="false">(I35-R35)+S34</f>
        <v>-5042.95171457388</v>
      </c>
      <c r="T35" s="106" t="n">
        <f aca="false">(AD35-AD34)/$D$2</f>
        <v>193.645990922844</v>
      </c>
      <c r="U35" s="106" t="n">
        <v>70</v>
      </c>
      <c r="V35" s="107" t="n">
        <f aca="false">V34-U35</f>
        <v>5618.13</v>
      </c>
      <c r="W35" s="106" t="n">
        <f aca="false">R35+T35+N35+U35</f>
        <v>771.194689863843</v>
      </c>
      <c r="X35" s="106" t="n">
        <f aca="false">IF(L35&lt;0,L35*-1,0)</f>
        <v>102.746348966213</v>
      </c>
      <c r="Y35" s="106" t="n">
        <f aca="false">W35+X35</f>
        <v>873.941038830055</v>
      </c>
      <c r="Z35" s="110" t="n">
        <v>0</v>
      </c>
      <c r="AA35" s="111" t="n">
        <v>82</v>
      </c>
      <c r="AB35" s="111" t="n">
        <v>54</v>
      </c>
      <c r="AC35" s="112" t="n">
        <f aca="false">AC34+1</f>
        <v>26</v>
      </c>
      <c r="AD35" s="127" t="n">
        <v>24577</v>
      </c>
      <c r="AE35" s="127" t="n">
        <v>13806</v>
      </c>
      <c r="AF35" s="127" t="n">
        <v>2690.03</v>
      </c>
    </row>
    <row r="36" customFormat="false" ht="11.1" hidden="false" customHeight="true" outlineLevel="0" collapsed="false">
      <c r="A36" s="112" t="n">
        <f aca="false">A35+1</f>
        <v>27</v>
      </c>
      <c r="B36" s="129" t="n">
        <v>6913.5</v>
      </c>
      <c r="C36" s="107" t="n">
        <v>336176</v>
      </c>
      <c r="D36" s="111" t="n">
        <f aca="false">C36-C35</f>
        <v>-1192</v>
      </c>
      <c r="E36" s="107" t="n">
        <f aca="false">C36-152000</f>
        <v>184176</v>
      </c>
      <c r="F36" s="106" t="n">
        <f aca="false">D36/$D$2</f>
        <v>-601.109430156329</v>
      </c>
      <c r="G36" s="106" t="n">
        <v>140.53</v>
      </c>
      <c r="H36" s="108" t="n">
        <v>0</v>
      </c>
      <c r="I36" s="106" t="n">
        <f aca="false">G36+H36</f>
        <v>140.53</v>
      </c>
      <c r="J36" s="130" t="n">
        <f aca="false">IF(L36&gt;0,L36,0)</f>
        <v>16.6666767523953</v>
      </c>
      <c r="K36" s="106" t="n">
        <f aca="false">I36+J36</f>
        <v>157.196676752395</v>
      </c>
      <c r="L36" s="106" t="n">
        <f aca="false">F36-(I36-W36)</f>
        <v>16.6666767523953</v>
      </c>
      <c r="M36" s="106" t="n">
        <v>253.73</v>
      </c>
      <c r="N36" s="106" t="n">
        <f aca="false">((AF36-AF35)*1.05)/$D$2</f>
        <v>25.2042360060514</v>
      </c>
      <c r="O36" s="106" t="n">
        <f aca="false">M36-N36</f>
        <v>228.525763993949</v>
      </c>
      <c r="P36" s="106" t="n">
        <v>158.43</v>
      </c>
      <c r="Q36" s="106" t="n">
        <f aca="false">(AE36-AE35)/$D$2</f>
        <v>90.2672718103883</v>
      </c>
      <c r="R36" s="106" t="n">
        <f aca="false">SUM(O36:Q36)</f>
        <v>477.223035804337</v>
      </c>
      <c r="S36" s="107" t="n">
        <f aca="false">(I36-R36)+S35</f>
        <v>-5379.64475037821</v>
      </c>
      <c r="T36" s="106" t="n">
        <f aca="false">(AD36-AD35)/$D$2</f>
        <v>184.568835098336</v>
      </c>
      <c r="U36" s="106" t="n">
        <v>71.31</v>
      </c>
      <c r="V36" s="107" t="n">
        <f aca="false">V35-U36</f>
        <v>5546.82</v>
      </c>
      <c r="W36" s="106" t="n">
        <f aca="false">R36+T36+N36+U36</f>
        <v>758.306106908724</v>
      </c>
      <c r="X36" s="106" t="n">
        <f aca="false">IF(L36&lt;0,L36*-1,0)</f>
        <v>0</v>
      </c>
      <c r="Y36" s="106" t="n">
        <f aca="false">W36+X36</f>
        <v>758.306106908724</v>
      </c>
      <c r="Z36" s="110" t="n">
        <v>0</v>
      </c>
      <c r="AA36" s="111" t="n">
        <v>88</v>
      </c>
      <c r="AB36" s="111" t="n">
        <v>56</v>
      </c>
      <c r="AC36" s="112" t="n">
        <f aca="false">AC35+1</f>
        <v>27</v>
      </c>
      <c r="AD36" s="127" t="n">
        <v>24943</v>
      </c>
      <c r="AE36" s="127" t="n">
        <v>13985</v>
      </c>
      <c r="AF36" s="127" t="n">
        <v>2737.63</v>
      </c>
    </row>
    <row r="37" customFormat="false" ht="11.1" hidden="false" customHeight="true" outlineLevel="0" collapsed="false">
      <c r="A37" s="112" t="n">
        <f aca="false">A36+1</f>
        <v>28</v>
      </c>
      <c r="B37" s="129" t="n">
        <v>6913.2</v>
      </c>
      <c r="C37" s="107" t="n">
        <v>334943</v>
      </c>
      <c r="D37" s="111" t="n">
        <f aca="false">C37-C36</f>
        <v>-1233</v>
      </c>
      <c r="E37" s="107" t="n">
        <f aca="false">C37-152000</f>
        <v>182943</v>
      </c>
      <c r="F37" s="106" t="n">
        <f aca="false">D37/$D$2</f>
        <v>-621.78517397882</v>
      </c>
      <c r="G37" s="106" t="n">
        <v>124.91</v>
      </c>
      <c r="H37" s="108" t="n">
        <v>0</v>
      </c>
      <c r="I37" s="106" t="n">
        <f aca="false">G37+H37</f>
        <v>124.91</v>
      </c>
      <c r="J37" s="130" t="n">
        <f aca="false">IF(L37&gt;0,L37,0)</f>
        <v>11.5166162380233</v>
      </c>
      <c r="K37" s="106" t="n">
        <f aca="false">I37+J37</f>
        <v>136.426616238023</v>
      </c>
      <c r="L37" s="106" t="n">
        <f aca="false">F37-(I37-W37)</f>
        <v>11.5166162380233</v>
      </c>
      <c r="M37" s="106" t="n">
        <v>274.59</v>
      </c>
      <c r="N37" s="106" t="n">
        <f aca="false">((AF37-AF36)*1.05)/$D$2</f>
        <v>28.0158850226928</v>
      </c>
      <c r="O37" s="106" t="n">
        <f aca="false">M37-N37</f>
        <v>246.574114977307</v>
      </c>
      <c r="P37" s="106" t="n">
        <v>159.26</v>
      </c>
      <c r="Q37" s="106" t="n">
        <f aca="false">(AE37-AE36)/$D$2</f>
        <v>89.7629853756934</v>
      </c>
      <c r="R37" s="106" t="n">
        <f aca="false">SUM(O37:Q37)</f>
        <v>495.597100353001</v>
      </c>
      <c r="S37" s="107" t="n">
        <f aca="false">(I37-R37)+S36</f>
        <v>-5750.33185073121</v>
      </c>
      <c r="T37" s="106" t="n">
        <f aca="false">(AD37-AD36)/$D$2</f>
        <v>163.38880484115</v>
      </c>
      <c r="U37" s="106" t="n">
        <v>71.21</v>
      </c>
      <c r="V37" s="107" t="n">
        <f aca="false">V36-U37</f>
        <v>5475.61</v>
      </c>
      <c r="W37" s="106" t="n">
        <f aca="false">R37+T37+N37+U37</f>
        <v>758.211790216843</v>
      </c>
      <c r="X37" s="106" t="n">
        <f aca="false">IF(L37&lt;0,L37*-1,0)</f>
        <v>0</v>
      </c>
      <c r="Y37" s="106" t="n">
        <f aca="false">W37+X37</f>
        <v>758.211790216843</v>
      </c>
      <c r="Z37" s="110" t="n">
        <v>0.22</v>
      </c>
      <c r="AA37" s="111" t="n">
        <v>89</v>
      </c>
      <c r="AB37" s="111" t="n">
        <v>56</v>
      </c>
      <c r="AC37" s="112" t="n">
        <f aca="false">AC36+1</f>
        <v>28</v>
      </c>
      <c r="AD37" s="127" t="n">
        <v>25267</v>
      </c>
      <c r="AE37" s="127" t="n">
        <v>14163</v>
      </c>
      <c r="AF37" s="127" t="n">
        <v>2790.54</v>
      </c>
    </row>
    <row r="38" customFormat="false" ht="11.1" hidden="false" customHeight="true" outlineLevel="0" collapsed="false">
      <c r="A38" s="112" t="n">
        <f aca="false">A37+1</f>
        <v>29</v>
      </c>
      <c r="B38" s="129" t="n">
        <v>6912.9</v>
      </c>
      <c r="C38" s="107" t="n">
        <v>333714</v>
      </c>
      <c r="D38" s="111" t="n">
        <f aca="false">C38-C37</f>
        <v>-1229</v>
      </c>
      <c r="E38" s="107" t="n">
        <f aca="false">C38-152000</f>
        <v>181714</v>
      </c>
      <c r="F38" s="106" t="n">
        <f aca="false">D38/$D$2</f>
        <v>-619.76802824004</v>
      </c>
      <c r="G38" s="106" t="n">
        <v>105.17</v>
      </c>
      <c r="H38" s="108" t="n">
        <v>0</v>
      </c>
      <c r="I38" s="106" t="n">
        <f aca="false">G38+H38</f>
        <v>105.17</v>
      </c>
      <c r="J38" s="130" t="n">
        <f aca="false">IF(L38&gt;0,L38,0)</f>
        <v>62.9480635400907</v>
      </c>
      <c r="K38" s="106" t="n">
        <f aca="false">I38+J38</f>
        <v>168.118063540091</v>
      </c>
      <c r="L38" s="106" t="n">
        <f aca="false">F38-(I38-W38)</f>
        <v>62.9480635400907</v>
      </c>
      <c r="M38" s="106" t="n">
        <v>294.83</v>
      </c>
      <c r="N38" s="106" t="n">
        <f aca="false">((AF38-AF37)*1.05)/$D$2</f>
        <v>29.5461422087747</v>
      </c>
      <c r="O38" s="106" t="n">
        <f aca="false">M38-N38</f>
        <v>265.283857791225</v>
      </c>
      <c r="P38" s="106" t="n">
        <v>158.74</v>
      </c>
      <c r="Q38" s="106" t="n">
        <f aca="false">(AE38-AE37)/$D$2</f>
        <v>90.7715582450832</v>
      </c>
      <c r="R38" s="106" t="n">
        <f aca="false">SUM(O38:Q38)</f>
        <v>514.795416036308</v>
      </c>
      <c r="S38" s="107" t="n">
        <f aca="false">(I38-R38)+S37</f>
        <v>-6159.95726676752</v>
      </c>
      <c r="T38" s="106" t="n">
        <f aca="false">(AD38-AD37)/$D$2</f>
        <v>173.474533535048</v>
      </c>
      <c r="U38" s="106" t="n">
        <v>70.07</v>
      </c>
      <c r="V38" s="107" t="n">
        <f aca="false">V37-U38</f>
        <v>5405.54</v>
      </c>
      <c r="W38" s="106" t="n">
        <f aca="false">R38+T38+N38+U38</f>
        <v>787.886091780131</v>
      </c>
      <c r="X38" s="106" t="n">
        <f aca="false">IF(L38&lt;0,L38*-1,0)</f>
        <v>0</v>
      </c>
      <c r="Y38" s="106" t="n">
        <f aca="false">W38+X38</f>
        <v>787.886091780131</v>
      </c>
      <c r="Z38" s="110" t="n">
        <v>0</v>
      </c>
      <c r="AA38" s="139" t="n">
        <v>88</v>
      </c>
      <c r="AB38" s="111" t="n">
        <v>55</v>
      </c>
      <c r="AC38" s="112" t="n">
        <f aca="false">AC37+1</f>
        <v>29</v>
      </c>
      <c r="AD38" s="127" t="n">
        <v>25611</v>
      </c>
      <c r="AE38" s="131" t="n">
        <v>14343</v>
      </c>
      <c r="AF38" s="128" t="n">
        <v>2846.34</v>
      </c>
    </row>
    <row r="39" customFormat="false" ht="11.1" hidden="false" customHeight="true" outlineLevel="0" collapsed="false">
      <c r="A39" s="112" t="n">
        <v>30</v>
      </c>
      <c r="B39" s="129" t="n">
        <v>6912.58</v>
      </c>
      <c r="C39" s="107" t="n">
        <v>332409</v>
      </c>
      <c r="D39" s="111" t="n">
        <f aca="false">C39-C38</f>
        <v>-1305</v>
      </c>
      <c r="E39" s="107" t="n">
        <f aca="false">C39-152000</f>
        <v>180409</v>
      </c>
      <c r="F39" s="106" t="n">
        <f aca="false">D39/$D$2</f>
        <v>-658.093797276853</v>
      </c>
      <c r="G39" s="106" t="n">
        <v>101.15</v>
      </c>
      <c r="H39" s="108" t="n">
        <v>0</v>
      </c>
      <c r="I39" s="106" t="n">
        <f aca="false">G39+H39</f>
        <v>101.15</v>
      </c>
      <c r="J39" s="130" t="n">
        <f aca="false">IF(L39&gt;0,L39,0)</f>
        <v>33.205158850227</v>
      </c>
      <c r="K39" s="106" t="n">
        <f aca="false">I39+J39</f>
        <v>134.355158850227</v>
      </c>
      <c r="L39" s="106" t="n">
        <f aca="false">F39-(I39-W39)</f>
        <v>33.205158850227</v>
      </c>
      <c r="M39" s="106" t="n">
        <v>296.31</v>
      </c>
      <c r="N39" s="106" t="n">
        <f aca="false">((AF39-AF38)*1.05)/$D$2</f>
        <v>31.4099848714068</v>
      </c>
      <c r="O39" s="106" t="n">
        <f aca="false">M39-N39</f>
        <v>264.900015128593</v>
      </c>
      <c r="P39" s="106" t="n">
        <v>158.01</v>
      </c>
      <c r="Q39" s="106" t="n">
        <f aca="false">(AE39-AE38)/$D$2</f>
        <v>91.780131114473</v>
      </c>
      <c r="R39" s="106" t="n">
        <f aca="false">SUM(O39:Q39)</f>
        <v>514.690146243066</v>
      </c>
      <c r="S39" s="107" t="n">
        <f aca="false">(I39-R39)+S38</f>
        <v>-6573.49741301059</v>
      </c>
      <c r="T39" s="106" t="n">
        <f aca="false">(AD39-AD38)/$D$2</f>
        <v>177.508825012607</v>
      </c>
      <c r="U39" s="106" t="n">
        <v>68.84</v>
      </c>
      <c r="V39" s="107" t="n">
        <f aca="false">V38-U39</f>
        <v>5336.7</v>
      </c>
      <c r="W39" s="106" t="n">
        <f aca="false">R39+T39+N39+U39</f>
        <v>792.44895612708</v>
      </c>
      <c r="X39" s="106" t="n">
        <f aca="false">IF(L39&lt;0,L39*-1,0)</f>
        <v>0</v>
      </c>
      <c r="Y39" s="106" t="n">
        <f aca="false">W39+X39</f>
        <v>792.44895612708</v>
      </c>
      <c r="Z39" s="110" t="n">
        <v>0</v>
      </c>
      <c r="AA39" s="139" t="n">
        <v>86</v>
      </c>
      <c r="AB39" s="111" t="n">
        <v>58</v>
      </c>
      <c r="AC39" s="112" t="n">
        <v>30</v>
      </c>
      <c r="AD39" s="127" t="n">
        <v>25963</v>
      </c>
      <c r="AE39" s="131" t="n">
        <v>14525</v>
      </c>
      <c r="AF39" s="128" t="n">
        <v>2905.66</v>
      </c>
    </row>
    <row r="40" customFormat="false" ht="11.1" hidden="false" customHeight="true" outlineLevel="0" collapsed="false">
      <c r="A40" s="112" t="n">
        <v>31</v>
      </c>
      <c r="B40" s="129" t="n">
        <v>6912.21</v>
      </c>
      <c r="C40" s="107" t="n">
        <v>330900</v>
      </c>
      <c r="D40" s="111" t="n">
        <f aca="false">C40-C39</f>
        <v>-1509</v>
      </c>
      <c r="E40" s="107" t="n">
        <f aca="false">C40-152000</f>
        <v>178900</v>
      </c>
      <c r="F40" s="106" t="n">
        <f aca="false">D40/$D$2</f>
        <v>-760.968229954614</v>
      </c>
      <c r="G40" s="106" t="n">
        <v>104.58</v>
      </c>
      <c r="H40" s="108" t="n">
        <v>0</v>
      </c>
      <c r="I40" s="106" t="n">
        <f aca="false">G40+H40</f>
        <v>104.58</v>
      </c>
      <c r="J40" s="130" t="n">
        <f aca="false">IF(L40&gt;0,L40,0)</f>
        <v>0</v>
      </c>
      <c r="K40" s="106" t="n">
        <f aca="false">I40+J40</f>
        <v>104.58</v>
      </c>
      <c r="L40" s="106" t="n">
        <f aca="false">F40-(I40-W40)</f>
        <v>-92.3249823499748</v>
      </c>
      <c r="M40" s="106" t="n">
        <v>274.18</v>
      </c>
      <c r="N40" s="106" t="n">
        <f aca="false">((AF40-AF39)*1.05)/$D$2</f>
        <v>30.7004538577912</v>
      </c>
      <c r="O40" s="106" t="n">
        <f aca="false">M40-N40</f>
        <v>243.479546142209</v>
      </c>
      <c r="P40" s="106" t="n">
        <v>157.28</v>
      </c>
      <c r="Q40" s="106" t="n">
        <f aca="false">(AE40-AE39)/$D$2</f>
        <v>89.7629853756934</v>
      </c>
      <c r="R40" s="106" t="n">
        <f aca="false">SUM(O40:Q40)</f>
        <v>490.522531517902</v>
      </c>
      <c r="S40" s="107" t="n">
        <f aca="false">(I40-R40)+S39</f>
        <v>-6959.43994452849</v>
      </c>
      <c r="T40" s="106" t="n">
        <f aca="false">(AD40-AD39)/$D$2</f>
        <v>183.560262228946</v>
      </c>
      <c r="U40" s="106" t="n">
        <v>68.44</v>
      </c>
      <c r="V40" s="107" t="n">
        <f aca="false">V39-U40</f>
        <v>5268.26</v>
      </c>
      <c r="W40" s="106" t="n">
        <f aca="false">R40+T40+N40+U40</f>
        <v>773.22324760464</v>
      </c>
      <c r="X40" s="106" t="n">
        <f aca="false">IF(L40&lt;0,L40*-1,0)</f>
        <v>92.3249823499748</v>
      </c>
      <c r="Y40" s="106" t="n">
        <f aca="false">W40+X40</f>
        <v>865.548229954614</v>
      </c>
      <c r="Z40" s="110" t="n">
        <v>0.01</v>
      </c>
      <c r="AA40" s="139" t="n">
        <v>83</v>
      </c>
      <c r="AB40" s="111" t="n">
        <v>56</v>
      </c>
      <c r="AC40" s="112" t="n">
        <v>31</v>
      </c>
      <c r="AD40" s="127" t="n">
        <v>26327</v>
      </c>
      <c r="AE40" s="127" t="n">
        <v>14703</v>
      </c>
      <c r="AF40" s="128" t="n">
        <v>2963.64</v>
      </c>
    </row>
    <row r="41" customFormat="false" ht="3" hidden="false" customHeight="true" outlineLevel="0" collapsed="false">
      <c r="A41" s="132"/>
      <c r="B41" s="132"/>
      <c r="C41" s="134"/>
      <c r="D41" s="132"/>
      <c r="E41" s="134"/>
      <c r="F41" s="132"/>
      <c r="G41" s="132"/>
      <c r="H41" s="135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4"/>
      <c r="T41" s="132"/>
      <c r="U41" s="132"/>
      <c r="V41" s="132"/>
      <c r="W41" s="132"/>
      <c r="X41" s="132"/>
      <c r="Y41" s="132"/>
      <c r="Z41" s="136"/>
      <c r="AA41" s="137" t="n">
        <v>73</v>
      </c>
      <c r="AB41" s="137"/>
      <c r="AC41" s="138"/>
      <c r="AD41" s="127"/>
      <c r="AE41" s="127"/>
      <c r="AF41" s="128"/>
    </row>
    <row r="42" customFormat="false" ht="11.1" hidden="false" customHeight="true" outlineLevel="0" collapsed="false">
      <c r="A42" s="106" t="s">
        <v>44</v>
      </c>
      <c r="B42" s="106"/>
      <c r="C42" s="107"/>
      <c r="D42" s="107"/>
      <c r="E42" s="107"/>
      <c r="F42" s="107" t="n">
        <f aca="false">SUM(F10:F40)</f>
        <v>-21163.3888048411</v>
      </c>
      <c r="G42" s="107" t="n">
        <f aca="false">SUM(G10:G40)</f>
        <v>4568.69</v>
      </c>
      <c r="H42" s="107" t="n">
        <f aca="false">SUM(H10:H40)</f>
        <v>0</v>
      </c>
      <c r="I42" s="107" t="n">
        <f aca="false">SUM(I10:I40)</f>
        <v>4568.69</v>
      </c>
      <c r="J42" s="107" t="n">
        <f aca="false">SUM(J10:J40)</f>
        <v>359.291638930913</v>
      </c>
      <c r="K42" s="107" t="n">
        <f aca="false">SUM(K10:K40)</f>
        <v>4927.98163893091</v>
      </c>
      <c r="L42" s="107" t="n">
        <f aca="false">SUM(L10:L40)</f>
        <v>-1188.7956580938</v>
      </c>
      <c r="M42" s="107" t="n">
        <f aca="false">SUM(M10:M40)</f>
        <v>8779.19</v>
      </c>
      <c r="N42" s="107" t="n">
        <f aca="false">SUM(N10:N40)</f>
        <v>653.753403933434</v>
      </c>
      <c r="O42" s="107" t="n">
        <f aca="false">SUM(O10:O40)</f>
        <v>8125.43659606657</v>
      </c>
      <c r="P42" s="107" t="n">
        <f aca="false">SUM(P10:P40)</f>
        <v>4302.63</v>
      </c>
      <c r="Q42" s="107" t="n">
        <f aca="false">SUM(Q10:Q40)</f>
        <v>2801.8154311649</v>
      </c>
      <c r="R42" s="107" t="n">
        <f aca="false">SUM(R10:R40)</f>
        <v>15229.8820272315</v>
      </c>
      <c r="S42" s="107"/>
      <c r="T42" s="107" t="n">
        <f aca="false">SUM(T10:T40)</f>
        <v>6400.90771558245</v>
      </c>
      <c r="U42" s="107" t="n">
        <f aca="false">SUM(U10:U40)</f>
        <v>2258.74</v>
      </c>
      <c r="V42" s="107" t="n">
        <f aca="false">V40</f>
        <v>5268.26</v>
      </c>
      <c r="W42" s="107" t="n">
        <f aca="false">SUM(W10:W40)</f>
        <v>24543.2831467473</v>
      </c>
      <c r="X42" s="107" t="n">
        <f aca="false">SUM(X10:X40)</f>
        <v>1548.08729702471</v>
      </c>
      <c r="Y42" s="107" t="n">
        <f aca="false">SUM(Y10:Y40)</f>
        <v>26091.3704437721</v>
      </c>
      <c r="Z42" s="110" t="n">
        <f aca="false">SUM(Z10:Z40)</f>
        <v>0.3</v>
      </c>
      <c r="AA42" s="111" t="n">
        <f aca="false">AVERAGE(AA10:AA40)</f>
        <v>88.6129032258065</v>
      </c>
      <c r="AB42" s="111" t="n">
        <f aca="false">AVERAGE(AB10:AB40)</f>
        <v>53.3870967741936</v>
      </c>
      <c r="AC42" s="112"/>
      <c r="AD42" s="127"/>
      <c r="AE42" s="127"/>
      <c r="AF42" s="128"/>
    </row>
    <row r="43" customFormat="false" ht="11.1" hidden="false" customHeight="true" outlineLevel="0" collapsed="false">
      <c r="A43" s="106" t="s">
        <v>45</v>
      </c>
      <c r="B43" s="106"/>
      <c r="C43" s="107"/>
      <c r="D43" s="107" t="n">
        <f aca="false">SUM(D10:D40)</f>
        <v>-41967</v>
      </c>
      <c r="E43" s="107"/>
      <c r="F43" s="107" t="n">
        <f aca="false">F42*$D$2</f>
        <v>-41967</v>
      </c>
      <c r="G43" s="107" t="n">
        <f aca="false">G42*$D$2</f>
        <v>9059.71227</v>
      </c>
      <c r="H43" s="107" t="n">
        <f aca="false">H42*$D$2</f>
        <v>0</v>
      </c>
      <c r="I43" s="107" t="n">
        <f aca="false">I42*$D$2</f>
        <v>9059.71227</v>
      </c>
      <c r="J43" s="107" t="n">
        <f aca="false">J42*$D$2</f>
        <v>712.47532</v>
      </c>
      <c r="K43" s="107" t="n">
        <f aca="false">K42*$D$2</f>
        <v>9772.18759</v>
      </c>
      <c r="L43" s="107" t="n">
        <f aca="false">L42*$D$2</f>
        <v>-2357.38179</v>
      </c>
      <c r="M43" s="107" t="n">
        <f aca="false">M42*$D$2</f>
        <v>17409.13377</v>
      </c>
      <c r="N43" s="107" t="n">
        <f aca="false">N42*$D$2</f>
        <v>1296.393</v>
      </c>
      <c r="O43" s="107" t="n">
        <f aca="false">O42*$D$2</f>
        <v>16112.74077</v>
      </c>
      <c r="P43" s="107" t="n">
        <f aca="false">P42*$D$2</f>
        <v>8532.11529</v>
      </c>
      <c r="Q43" s="107" t="n">
        <f aca="false">Q42*$D$2</f>
        <v>5556</v>
      </c>
      <c r="R43" s="107" t="n">
        <f aca="false">R42*$D$2</f>
        <v>30200.85606</v>
      </c>
      <c r="S43" s="107"/>
      <c r="T43" s="107" t="n">
        <f aca="false">T42*$D$2</f>
        <v>12693</v>
      </c>
      <c r="U43" s="107" t="n">
        <f aca="false">U42*$D$2</f>
        <v>4479.08142</v>
      </c>
      <c r="V43" s="107" t="n">
        <f aca="false">V42*$D$2</f>
        <v>10446.95958</v>
      </c>
      <c r="W43" s="107" t="n">
        <f aca="false">W42*$D$2</f>
        <v>48669.33048</v>
      </c>
      <c r="X43" s="107" t="n">
        <f aca="false">X42*$D$2</f>
        <v>3069.85711</v>
      </c>
      <c r="Y43" s="107" t="n">
        <f aca="false">Y42*$D$2</f>
        <v>51739.18759</v>
      </c>
      <c r="Z43" s="110"/>
      <c r="AA43" s="111" t="n">
        <f aca="false">MAX(AA10:AA40)</f>
        <v>95</v>
      </c>
      <c r="AB43" s="111" t="n">
        <f aca="false">MAX(AB10:AB40)</f>
        <v>60</v>
      </c>
      <c r="AC43" s="112" t="s">
        <v>46</v>
      </c>
      <c r="AD43" s="127"/>
      <c r="AE43" s="127"/>
      <c r="AF43" s="128"/>
    </row>
    <row r="44" customFormat="false" ht="3" hidden="false" customHeight="true" outlineLevel="0" collapsed="false">
      <c r="A44" s="132"/>
      <c r="B44" s="132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2"/>
      <c r="W44" s="134"/>
      <c r="X44" s="134"/>
      <c r="Y44" s="134"/>
      <c r="Z44" s="110"/>
      <c r="AA44" s="111"/>
      <c r="AB44" s="111"/>
      <c r="AC44" s="112"/>
      <c r="AD44" s="127"/>
      <c r="AE44" s="127"/>
      <c r="AF44" s="128"/>
    </row>
    <row r="45" customFormat="false" ht="11.1" hidden="false" customHeight="true" outlineLevel="0" collapsed="false">
      <c r="A45" s="106" t="s">
        <v>47</v>
      </c>
      <c r="B45" s="106"/>
      <c r="C45" s="107"/>
      <c r="D45" s="107"/>
      <c r="E45" s="107"/>
      <c r="F45" s="107" t="n">
        <f aca="false">F7+F42</f>
        <v>2206.75743822491</v>
      </c>
      <c r="G45" s="107" t="n">
        <f aca="false">G7+G42</f>
        <v>88638.52</v>
      </c>
      <c r="H45" s="107" t="n">
        <f aca="false">H7+H42</f>
        <v>6256.88</v>
      </c>
      <c r="I45" s="107" t="n">
        <f aca="false">I7+I42</f>
        <v>94875.61</v>
      </c>
      <c r="J45" s="107" t="n">
        <f aca="false">J7+J42</f>
        <v>25662.9512355018</v>
      </c>
      <c r="K45" s="107" t="n">
        <f aca="false">K7+K42</f>
        <v>120538.561235502</v>
      </c>
      <c r="L45" s="107" t="n">
        <f aca="false">L7+L42</f>
        <v>23503.4523247605</v>
      </c>
      <c r="M45" s="107" t="n">
        <f aca="false">M7+M42</f>
        <v>24669.93</v>
      </c>
      <c r="N45" s="107" t="n">
        <f aca="false">N7+N42</f>
        <v>2815.66686838124</v>
      </c>
      <c r="O45" s="107" t="n">
        <f aca="false">O7+O42</f>
        <v>21854.2631316188</v>
      </c>
      <c r="P45" s="107" t="n">
        <f aca="false">P7+P42</f>
        <v>12898</v>
      </c>
      <c r="Q45" s="107" t="n">
        <f aca="false">Q7+Q42</f>
        <v>7420.42755421079</v>
      </c>
      <c r="R45" s="107" t="n">
        <f aca="false">R7+R42</f>
        <v>42172.6906858295</v>
      </c>
      <c r="S45" s="107" t="n">
        <f aca="false">S40</f>
        <v>-6959.43994452849</v>
      </c>
      <c r="T45" s="107" t="n">
        <f aca="false">T7+T42</f>
        <v>13304.6273323248</v>
      </c>
      <c r="U45" s="107" t="n">
        <f aca="false">U7+U42</f>
        <v>57879.32</v>
      </c>
      <c r="V45" s="107" t="n">
        <f aca="false">V7+V42</f>
        <v>5268.26</v>
      </c>
      <c r="W45" s="107" t="n">
        <f aca="false">W7+W42</f>
        <v>116172.304886536</v>
      </c>
      <c r="X45" s="107" t="n">
        <f aca="false">X7+X42</f>
        <v>2159.5189107413</v>
      </c>
      <c r="Y45" s="107" t="n">
        <f aca="false">Y7+Y42</f>
        <v>118331.823797277</v>
      </c>
      <c r="Z45" s="110"/>
      <c r="AA45" s="111" t="n">
        <f aca="false">MIN(AA10:AA40)</f>
        <v>82</v>
      </c>
      <c r="AB45" s="111" t="n">
        <f aca="false">MIN(AB10:AB40)</f>
        <v>43</v>
      </c>
      <c r="AC45" s="112" t="s">
        <v>48</v>
      </c>
      <c r="AD45" s="127"/>
      <c r="AE45" s="127"/>
      <c r="AF45" s="128"/>
    </row>
    <row r="46" customFormat="false" ht="11.1" hidden="false" customHeight="true" outlineLevel="0" collapsed="false">
      <c r="A46" s="106" t="s">
        <v>49</v>
      </c>
      <c r="B46" s="106"/>
      <c r="C46" s="107"/>
      <c r="D46" s="107"/>
      <c r="E46" s="107"/>
      <c r="F46" s="107" t="n">
        <f aca="false">F45*$D$2</f>
        <v>4376</v>
      </c>
      <c r="G46" s="107" t="n">
        <f aca="false">G45*$D$2</f>
        <v>175770.18516</v>
      </c>
      <c r="H46" s="107" t="n">
        <f aca="false">H45*$D$2</f>
        <v>12407.39304</v>
      </c>
      <c r="I46" s="107" t="n">
        <f aca="false">I45*$D$2</f>
        <v>188138.33463</v>
      </c>
      <c r="J46" s="107" t="n">
        <f aca="false">J45*$D$2</f>
        <v>50889.6323</v>
      </c>
      <c r="K46" s="107" t="n">
        <f aca="false">K45*$D$2</f>
        <v>239027.96693</v>
      </c>
      <c r="L46" s="107" t="n">
        <f aca="false">L45*$D$2</f>
        <v>46607.34596</v>
      </c>
      <c r="M46" s="107" t="n">
        <f aca="false">M45*$D$2</f>
        <v>48920.47119</v>
      </c>
      <c r="N46" s="107" t="n">
        <f aca="false">N45*$D$2</f>
        <v>5583.4674</v>
      </c>
      <c r="O46" s="107" t="n">
        <f aca="false">O45*$D$2</f>
        <v>43337.00379</v>
      </c>
      <c r="P46" s="107" t="n">
        <f aca="false">P45*$D$2</f>
        <v>25576.734</v>
      </c>
      <c r="Q46" s="107" t="n">
        <f aca="false">Q45*$D$2</f>
        <v>14714.70784</v>
      </c>
      <c r="R46" s="107" t="n">
        <f aca="false">R45*$D$2</f>
        <v>83628.44563</v>
      </c>
      <c r="S46" s="107" t="n">
        <f aca="false">S45*$D$2</f>
        <v>-13800.56941</v>
      </c>
      <c r="T46" s="107" t="n">
        <f aca="false">T45*$D$2</f>
        <v>26383.076</v>
      </c>
      <c r="U46" s="107" t="n">
        <f aca="false">U45*$D$2</f>
        <v>114774.69156</v>
      </c>
      <c r="V46" s="107" t="n">
        <f aca="false">V45*$D$2</f>
        <v>10446.95958</v>
      </c>
      <c r="W46" s="107" t="n">
        <f aca="false">W45*$D$2</f>
        <v>230369.68059</v>
      </c>
      <c r="X46" s="107" t="n">
        <f aca="false">X45*$D$2</f>
        <v>4282.326</v>
      </c>
      <c r="Y46" s="107" t="n">
        <f aca="false">Y45*$D$2</f>
        <v>234652.00659</v>
      </c>
      <c r="Z46" s="110"/>
      <c r="AA46" s="111"/>
      <c r="AB46" s="111"/>
      <c r="AC46" s="112"/>
      <c r="AD46" s="127"/>
      <c r="AE46" s="127"/>
      <c r="AF46" s="128"/>
    </row>
    <row r="47" customFormat="false" ht="3" hidden="false" customHeight="true" outlineLevel="0" collapsed="false">
      <c r="A47" s="132"/>
      <c r="B47" s="132"/>
      <c r="C47" s="134"/>
      <c r="D47" s="134"/>
      <c r="E47" s="134"/>
      <c r="F47" s="134"/>
      <c r="G47" s="134"/>
      <c r="H47" s="137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6"/>
      <c r="AA47" s="111"/>
      <c r="AB47" s="111"/>
      <c r="AC47" s="112"/>
      <c r="AD47" s="127"/>
      <c r="AE47" s="127"/>
      <c r="AF47" s="128"/>
    </row>
    <row r="48" customFormat="false" ht="11.1" hidden="false" customHeight="true" outlineLevel="0" collapsed="false">
      <c r="A48" s="106" t="s">
        <v>50</v>
      </c>
      <c r="B48" s="106"/>
      <c r="C48" s="107"/>
      <c r="D48" s="107"/>
      <c r="E48" s="107"/>
      <c r="F48" s="107" t="n">
        <f aca="false">F8+F42</f>
        <v>10193.1417044882</v>
      </c>
      <c r="G48" s="107" t="n">
        <f aca="false">G8+G42</f>
        <v>101287.996449824</v>
      </c>
      <c r="H48" s="111" t="n">
        <f aca="false">H8+H42</f>
        <v>6256.88</v>
      </c>
      <c r="I48" s="107" t="n">
        <f aca="false">I8+I42</f>
        <v>107524.277876954</v>
      </c>
      <c r="J48" s="107" t="n">
        <f aca="false">J8+J42</f>
        <v>27636.6641351488</v>
      </c>
      <c r="K48" s="107" t="n">
        <f aca="false">K8+K42</f>
        <v>135160.942012103</v>
      </c>
      <c r="L48" s="107" t="n">
        <f aca="false">L8+L42</f>
        <v>25009.4887140696</v>
      </c>
      <c r="M48" s="107" t="n">
        <f aca="false">M8+M42</f>
        <v>25582.17</v>
      </c>
      <c r="N48" s="107" t="n">
        <f aca="false">N8+N42</f>
        <v>2815.66686838124</v>
      </c>
      <c r="O48" s="107" t="n">
        <f aca="false">O8+O42</f>
        <v>22766.5031316188</v>
      </c>
      <c r="P48" s="107" t="n">
        <f aca="false">P8+P42</f>
        <v>12898</v>
      </c>
      <c r="Q48" s="107" t="n">
        <f aca="false">Q8+Q42</f>
        <v>7420.42755421079</v>
      </c>
      <c r="R48" s="107" t="n">
        <f aca="false">R8+R42</f>
        <v>43084.9306858296</v>
      </c>
      <c r="S48" s="107"/>
      <c r="T48" s="107" t="n">
        <f aca="false">T8+T42</f>
        <v>13304.6273323248</v>
      </c>
      <c r="U48" s="107" t="n">
        <f aca="false">U8+U42</f>
        <v>63142.73</v>
      </c>
      <c r="V48" s="107" t="n">
        <f aca="false">V40</f>
        <v>5268.26</v>
      </c>
      <c r="W48" s="107" t="n">
        <f aca="false">W8+W42</f>
        <v>122347.954886536</v>
      </c>
      <c r="X48" s="107" t="n">
        <f aca="false">X8+X42</f>
        <v>2649.30667170953</v>
      </c>
      <c r="Y48" s="107" t="n">
        <f aca="false">Y8+Y42</f>
        <v>124997.261558245</v>
      </c>
      <c r="Z48" s="130" t="n">
        <f aca="false">Z8+Z42</f>
        <v>9.58</v>
      </c>
      <c r="AA48" s="111"/>
      <c r="AB48" s="111"/>
      <c r="AC48" s="112"/>
      <c r="AD48" s="127"/>
      <c r="AE48" s="127"/>
      <c r="AF48" s="128"/>
    </row>
    <row r="49" customFormat="false" ht="11.1" hidden="false" customHeight="true" outlineLevel="0" collapsed="false">
      <c r="A49" s="106" t="s">
        <v>51</v>
      </c>
      <c r="B49" s="106"/>
      <c r="C49" s="107"/>
      <c r="D49" s="107" t="n">
        <f aca="false">D8+D43</f>
        <v>20213</v>
      </c>
      <c r="E49" s="107" t="n">
        <f aca="false">E40</f>
        <v>178900</v>
      </c>
      <c r="F49" s="107" t="n">
        <f aca="false">F48*$D$2</f>
        <v>20213</v>
      </c>
      <c r="G49" s="107" t="n">
        <f aca="false">G48*$D$2</f>
        <v>200854.09696</v>
      </c>
      <c r="H49" s="111" t="n">
        <f aca="false">H48*$D$2</f>
        <v>12407.39304</v>
      </c>
      <c r="I49" s="107" t="n">
        <f aca="false">I48*$D$2</f>
        <v>213220.64303</v>
      </c>
      <c r="J49" s="107" t="n">
        <f aca="false">J48*$D$2</f>
        <v>54803.50498</v>
      </c>
      <c r="K49" s="107" t="n">
        <f aca="false">K48*$D$2</f>
        <v>268024.14801</v>
      </c>
      <c r="L49" s="107" t="n">
        <f aca="false">L48*$D$2</f>
        <v>49593.81612</v>
      </c>
      <c r="M49" s="107" t="n">
        <f aca="false">M48*$D$2</f>
        <v>50729.44311</v>
      </c>
      <c r="N49" s="107" t="n">
        <f aca="false">N48*$D$2</f>
        <v>5583.4674</v>
      </c>
      <c r="O49" s="107" t="n">
        <f aca="false">O48*$D$2</f>
        <v>45145.97571</v>
      </c>
      <c r="P49" s="107" t="n">
        <f aca="false">P48*$D$2</f>
        <v>25576.734</v>
      </c>
      <c r="Q49" s="107" t="n">
        <f aca="false">Q48*$D$2</f>
        <v>14714.70784</v>
      </c>
      <c r="R49" s="107" t="n">
        <f aca="false">R48*$D$2</f>
        <v>85437.41755</v>
      </c>
      <c r="S49" s="107" t="n">
        <f aca="false">S48*$D$2</f>
        <v>0</v>
      </c>
      <c r="T49" s="107" t="n">
        <f aca="false">T48*$D$2</f>
        <v>26383.076</v>
      </c>
      <c r="U49" s="107" t="n">
        <f aca="false">U48*$D$2</f>
        <v>125212.03359</v>
      </c>
      <c r="V49" s="107" t="n">
        <f aca="false">V40*$D$2</f>
        <v>10446.95958</v>
      </c>
      <c r="W49" s="107" t="n">
        <f aca="false">W48*$D$2</f>
        <v>242615.99454</v>
      </c>
      <c r="X49" s="107" t="n">
        <f aca="false">X48*$D$2</f>
        <v>5253.57513</v>
      </c>
      <c r="Y49" s="107" t="n">
        <f aca="false">Y48*$D$2</f>
        <v>247869.56967</v>
      </c>
      <c r="Z49" s="110"/>
      <c r="AA49" s="111"/>
      <c r="AB49" s="111"/>
      <c r="AC49" s="112"/>
      <c r="AD49" s="127"/>
      <c r="AE49" s="127"/>
      <c r="AF49" s="128"/>
    </row>
    <row r="50" customFormat="false" ht="3" hidden="false" customHeight="true" outlineLevel="0" collapsed="false">
      <c r="A50" s="132"/>
      <c r="B50" s="132"/>
      <c r="C50" s="134"/>
      <c r="D50" s="132"/>
      <c r="E50" s="134"/>
      <c r="F50" s="132"/>
      <c r="G50" s="132"/>
      <c r="H50" s="135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4"/>
      <c r="T50" s="132"/>
      <c r="U50" s="132"/>
      <c r="V50" s="134"/>
      <c r="W50" s="132"/>
      <c r="X50" s="132"/>
      <c r="Y50" s="132"/>
      <c r="Z50" s="110"/>
      <c r="AA50" s="111"/>
      <c r="AB50" s="111"/>
      <c r="AC50" s="112"/>
      <c r="AD50" s="127"/>
      <c r="AE50" s="127"/>
      <c r="AF50" s="128"/>
    </row>
    <row r="51" customFormat="false" ht="11.1" hidden="false" customHeight="true" outlineLevel="0" collapsed="false">
      <c r="A51" s="106" t="str">
        <f aca="false">"AUG /9"</f>
        <v>AUG /9</v>
      </c>
      <c r="B51" s="141"/>
      <c r="C51" s="107"/>
      <c r="D51" s="106"/>
      <c r="E51" s="107"/>
      <c r="F51" s="106"/>
      <c r="G51" s="106"/>
      <c r="H51" s="108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7"/>
      <c r="T51" s="106"/>
      <c r="U51" s="106"/>
      <c r="V51" s="107"/>
      <c r="W51" s="106"/>
      <c r="X51" s="106"/>
      <c r="Y51" s="106"/>
      <c r="Z51" s="110"/>
      <c r="AA51" s="111"/>
      <c r="AB51" s="111"/>
      <c r="AC51" s="112"/>
      <c r="AD51" s="113"/>
      <c r="AE51" s="113"/>
    </row>
    <row r="52" customFormat="false" ht="11.1" hidden="false" customHeight="true" outlineLevel="0" collapsed="false">
      <c r="A52" s="106"/>
      <c r="B52" s="129" t="n">
        <v>6909.37</v>
      </c>
      <c r="C52" s="107" t="n">
        <v>319478</v>
      </c>
      <c r="D52" s="139"/>
      <c r="E52" s="107" t="n">
        <f aca="false">C52-152000</f>
        <v>167478</v>
      </c>
      <c r="F52" s="106"/>
      <c r="G52" s="106"/>
      <c r="H52" s="139"/>
      <c r="I52" s="108"/>
      <c r="J52" s="106"/>
      <c r="K52" s="41"/>
      <c r="L52" s="106"/>
      <c r="M52" s="106"/>
      <c r="N52" s="106"/>
      <c r="O52" s="106"/>
      <c r="P52" s="106"/>
      <c r="Q52" s="106"/>
      <c r="R52" s="106"/>
      <c r="S52" s="107"/>
      <c r="T52" s="106"/>
      <c r="U52" s="106"/>
      <c r="V52" s="107"/>
      <c r="W52" s="106"/>
      <c r="X52" s="106"/>
      <c r="Y52" s="106"/>
      <c r="Z52" s="110"/>
      <c r="AA52" s="111"/>
      <c r="AB52" s="111"/>
      <c r="AC52" s="112"/>
      <c r="AD52" s="113"/>
      <c r="AE52" s="113"/>
    </row>
    <row r="53" customFormat="false" ht="11.1" hidden="false" customHeight="true" outlineLevel="0" collapsed="false">
      <c r="A53" s="139" t="str">
        <f aca="false">"7/12/94 thru 8/9/94"</f>
        <v>7/12/94 thru 8/9/94</v>
      </c>
      <c r="B53" s="139"/>
      <c r="C53" s="107"/>
      <c r="D53" s="107"/>
      <c r="E53" s="107"/>
      <c r="F53" s="139"/>
      <c r="G53" s="139"/>
      <c r="H53" s="108"/>
      <c r="I53" s="139"/>
      <c r="J53" s="139"/>
      <c r="K53" s="139"/>
      <c r="L53" s="139"/>
      <c r="M53" s="130" t="s">
        <v>82</v>
      </c>
      <c r="N53" s="130"/>
      <c r="O53" s="130"/>
      <c r="P53" s="139"/>
      <c r="Q53" s="139"/>
      <c r="R53" s="139"/>
      <c r="S53" s="107"/>
      <c r="T53" s="139"/>
      <c r="U53" s="139"/>
      <c r="V53" s="107"/>
      <c r="W53" s="139"/>
      <c r="X53" s="139"/>
      <c r="Y53" s="139"/>
      <c r="Z53" s="110"/>
      <c r="AA53" s="111"/>
      <c r="AB53" s="111"/>
      <c r="AC53" s="112"/>
      <c r="AD53" s="142"/>
      <c r="AE53" s="142"/>
    </row>
    <row r="54" customFormat="false" ht="11.1" hidden="false" customHeight="true" outlineLevel="0" collapsed="false">
      <c r="A54" s="139"/>
      <c r="B54" s="110" t="n">
        <f aca="false">B52-B21</f>
        <v>-8.94999999999982</v>
      </c>
      <c r="C54" s="107"/>
      <c r="D54" s="107" t="n">
        <f aca="false">C52-C22</f>
        <v>-35579</v>
      </c>
      <c r="E54" s="107"/>
      <c r="F54" s="139"/>
      <c r="G54" s="139"/>
      <c r="H54" s="108"/>
      <c r="I54" s="139"/>
      <c r="J54" s="139"/>
      <c r="K54" s="139"/>
      <c r="L54" s="139"/>
      <c r="M54" s="130"/>
      <c r="N54" s="130" t="s">
        <v>83</v>
      </c>
      <c r="O54" s="130"/>
      <c r="P54" s="139"/>
      <c r="Q54" s="139"/>
      <c r="R54" s="139"/>
      <c r="S54" s="107"/>
      <c r="T54" s="139"/>
      <c r="U54" s="139"/>
      <c r="V54" s="107"/>
      <c r="W54" s="139"/>
      <c r="X54" s="139"/>
      <c r="Y54" s="139"/>
      <c r="Z54" s="110"/>
      <c r="AA54" s="111"/>
      <c r="AB54" s="111"/>
      <c r="AC54" s="112"/>
      <c r="AD54" s="142"/>
      <c r="AE54" s="142"/>
    </row>
    <row r="55" customFormat="false" ht="11.1" hidden="false" customHeight="true" outlineLevel="0" collapsed="false">
      <c r="A55" s="139"/>
      <c r="B55" s="139"/>
      <c r="C55" s="107"/>
      <c r="D55" s="139"/>
      <c r="E55" s="107"/>
      <c r="F55" s="139"/>
      <c r="G55" s="143"/>
      <c r="H55" s="108"/>
      <c r="I55" s="139"/>
      <c r="J55" s="139"/>
      <c r="K55" s="139"/>
      <c r="L55" s="139"/>
      <c r="M55" s="130"/>
      <c r="N55" s="130"/>
      <c r="O55" s="130"/>
      <c r="P55" s="139"/>
      <c r="Q55" s="139"/>
      <c r="R55" s="139"/>
      <c r="S55" s="107"/>
      <c r="T55" s="139"/>
      <c r="U55" s="139"/>
      <c r="V55" s="107"/>
      <c r="W55" s="139"/>
      <c r="X55" s="139"/>
      <c r="Y55" s="139"/>
      <c r="Z55" s="110"/>
      <c r="AA55" s="111"/>
      <c r="AB55" s="111"/>
      <c r="AC55" s="112"/>
      <c r="AD55" s="142"/>
      <c r="AE55" s="142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L23" activePane="bottomRight" state="frozen"/>
      <selection pane="topLeft" activeCell="A4" activeCellId="0" sqref="A4"/>
      <selection pane="topRight" activeCell="L4" activeCellId="0" sqref="L4"/>
      <selection pane="bottomLeft" activeCell="A23" activeCellId="0" sqref="A23"/>
      <selection pane="bottomRight" activeCell="Z48" activeCellId="0" sqref="Z48"/>
    </sheetView>
  </sheetViews>
  <sheetFormatPr defaultColWidth="9.328125" defaultRowHeight="11.1" zeroHeight="false" outlineLevelRow="0" outlineLevelCol="0"/>
  <cols>
    <col collapsed="false" customWidth="true" hidden="false" outlineLevel="0" max="1" min="1" style="144" width="5.66"/>
    <col collapsed="false" customWidth="false" hidden="false" outlineLevel="0" max="2" min="2" style="144" width="9.32"/>
    <col collapsed="false" customWidth="true" hidden="false" outlineLevel="0" max="3" min="3" style="145" width="7.66"/>
    <col collapsed="false" customWidth="true" hidden="false" outlineLevel="0" max="4" min="4" style="144" width="7.66"/>
    <col collapsed="false" customWidth="true" hidden="false" outlineLevel="0" max="5" min="5" style="145" width="7.66"/>
    <col collapsed="false" customWidth="true" hidden="false" outlineLevel="0" max="7" min="6" style="144" width="7.66"/>
    <col collapsed="false" customWidth="true" hidden="false" outlineLevel="0" max="8" min="8" style="146" width="7.16"/>
    <col collapsed="false" customWidth="true" hidden="false" outlineLevel="0" max="9" min="9" style="144" width="8.82"/>
    <col collapsed="false" customWidth="true" hidden="false" outlineLevel="0" max="11" min="10" style="144" width="7.66"/>
    <col collapsed="false" customWidth="true" hidden="false" outlineLevel="0" max="12" min="12" style="144" width="6.49"/>
    <col collapsed="false" customWidth="true" hidden="false" outlineLevel="0" max="15" min="13" style="147" width="7.49"/>
    <col collapsed="false" customWidth="true" hidden="false" outlineLevel="0" max="16" min="16" style="144" width="7.66"/>
    <col collapsed="false" customWidth="true" hidden="false" outlineLevel="0" max="17" min="17" style="144" width="7.16"/>
    <col collapsed="false" customWidth="true" hidden="false" outlineLevel="0" max="18" min="18" style="144" width="7.66"/>
    <col collapsed="false" customWidth="true" hidden="false" outlineLevel="0" max="19" min="19" style="145" width="7.66"/>
    <col collapsed="false" customWidth="true" hidden="false" outlineLevel="0" max="20" min="20" style="144" width="7.66"/>
    <col collapsed="false" customWidth="true" hidden="false" outlineLevel="0" max="21" min="21" style="144" width="7.49"/>
    <col collapsed="false" customWidth="true" hidden="false" outlineLevel="0" max="22" min="22" style="145" width="6.32"/>
    <col collapsed="false" customWidth="true" hidden="false" outlineLevel="0" max="25" min="23" style="144" width="7.82"/>
    <col collapsed="false" customWidth="true" hidden="false" outlineLevel="0" max="26" min="26" style="148" width="5.66"/>
    <col collapsed="false" customWidth="true" hidden="false" outlineLevel="0" max="28" min="27" style="149" width="5.66"/>
    <col collapsed="false" customWidth="true" hidden="false" outlineLevel="0" max="29" min="29" style="150" width="5.66"/>
    <col collapsed="false" customWidth="false" hidden="false" outlineLevel="0" max="257" min="30" style="144" width="9.32"/>
  </cols>
  <sheetData>
    <row r="1" customFormat="false" ht="14.1" hidden="false" customHeight="true" outlineLevel="0" collapsed="false">
      <c r="A1" s="151"/>
      <c r="B1" s="151"/>
      <c r="C1" s="152"/>
      <c r="D1" s="151"/>
      <c r="E1" s="152"/>
      <c r="F1" s="151"/>
      <c r="G1" s="151"/>
      <c r="H1" s="153"/>
      <c r="I1" s="151"/>
      <c r="J1" s="151"/>
      <c r="K1" s="154" t="s">
        <v>0</v>
      </c>
      <c r="L1" s="151"/>
      <c r="M1" s="151"/>
      <c r="N1" s="151"/>
      <c r="O1" s="151"/>
      <c r="P1" s="151"/>
      <c r="Q1" s="151"/>
      <c r="R1" s="151"/>
      <c r="S1" s="152"/>
      <c r="T1" s="151"/>
      <c r="U1" s="151"/>
      <c r="V1" s="152"/>
      <c r="W1" s="151"/>
      <c r="X1" s="151"/>
      <c r="Y1" s="151"/>
      <c r="Z1" s="155"/>
      <c r="AA1" s="156"/>
      <c r="AB1" s="156"/>
      <c r="AC1" s="157"/>
      <c r="AD1" s="158"/>
      <c r="AE1" s="158"/>
    </row>
    <row r="2" customFormat="false" ht="14.1" hidden="false" customHeight="true" outlineLevel="0" collapsed="false">
      <c r="A2" s="151" t="s">
        <v>1</v>
      </c>
      <c r="B2" s="151"/>
      <c r="C2" s="152"/>
      <c r="D2" s="159" t="n">
        <v>1.983</v>
      </c>
      <c r="E2" s="152"/>
      <c r="F2" s="151"/>
      <c r="G2" s="151"/>
      <c r="H2" s="153"/>
      <c r="I2" s="151"/>
      <c r="J2" s="151"/>
      <c r="K2" s="160" t="s">
        <v>84</v>
      </c>
      <c r="L2" s="160"/>
      <c r="M2" s="160"/>
      <c r="N2" s="160"/>
      <c r="O2" s="160"/>
      <c r="P2" s="160"/>
      <c r="Q2" s="160"/>
      <c r="R2" s="160"/>
      <c r="S2" s="160"/>
      <c r="T2" s="160"/>
      <c r="U2" s="151"/>
      <c r="V2" s="152"/>
      <c r="W2" s="151"/>
      <c r="X2" s="151"/>
      <c r="Y2" s="151"/>
      <c r="Z2" s="155"/>
      <c r="AA2" s="156"/>
      <c r="AB2" s="156"/>
      <c r="AC2" s="157"/>
      <c r="AD2" s="158"/>
      <c r="AE2" s="158"/>
    </row>
    <row r="3" customFormat="false" ht="11.1" hidden="false" customHeight="true" outlineLevel="0" collapsed="false">
      <c r="A3" s="151"/>
      <c r="B3" s="151"/>
      <c r="C3" s="152"/>
      <c r="D3" s="159"/>
      <c r="E3" s="152"/>
      <c r="F3" s="151"/>
      <c r="G3" s="151"/>
      <c r="H3" s="153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2"/>
      <c r="T3" s="151"/>
      <c r="U3" s="151"/>
      <c r="V3" s="152"/>
      <c r="W3" s="151"/>
      <c r="X3" s="151"/>
      <c r="Y3" s="151"/>
      <c r="Z3" s="155"/>
      <c r="AA3" s="156"/>
      <c r="AB3" s="156"/>
      <c r="AC3" s="157"/>
      <c r="AD3" s="158"/>
      <c r="AE3" s="158"/>
    </row>
    <row r="4" customFormat="false" ht="11.1" hidden="false" customHeight="true" outlineLevel="0" collapsed="false">
      <c r="A4" s="161" t="s">
        <v>3</v>
      </c>
      <c r="B4" s="161" t="s">
        <v>4</v>
      </c>
      <c r="C4" s="162" t="s">
        <v>4</v>
      </c>
      <c r="D4" s="161" t="s">
        <v>5</v>
      </c>
      <c r="E4" s="162" t="s">
        <v>6</v>
      </c>
      <c r="F4" s="161" t="s">
        <v>7</v>
      </c>
      <c r="G4" s="161" t="s">
        <v>8</v>
      </c>
      <c r="H4" s="163" t="s">
        <v>9</v>
      </c>
      <c r="I4" s="161" t="s">
        <v>10</v>
      </c>
      <c r="J4" s="161" t="s">
        <v>11</v>
      </c>
      <c r="K4" s="161" t="s">
        <v>12</v>
      </c>
      <c r="L4" s="161" t="s">
        <v>11</v>
      </c>
      <c r="M4" s="161" t="s">
        <v>62</v>
      </c>
      <c r="N4" s="161"/>
      <c r="O4" s="161"/>
      <c r="P4" s="161" t="s">
        <v>68</v>
      </c>
      <c r="Q4" s="161" t="s">
        <v>14</v>
      </c>
      <c r="R4" s="161" t="s">
        <v>12</v>
      </c>
      <c r="S4" s="162" t="s">
        <v>13</v>
      </c>
      <c r="T4" s="161" t="s">
        <v>15</v>
      </c>
      <c r="U4" s="161" t="s">
        <v>17</v>
      </c>
      <c r="V4" s="162" t="s">
        <v>18</v>
      </c>
      <c r="W4" s="161" t="s">
        <v>10</v>
      </c>
      <c r="X4" s="161" t="s">
        <v>11</v>
      </c>
      <c r="Y4" s="161" t="s">
        <v>12</v>
      </c>
      <c r="Z4" s="164" t="s">
        <v>19</v>
      </c>
      <c r="AA4" s="165" t="s">
        <v>20</v>
      </c>
      <c r="AB4" s="165" t="s">
        <v>21</v>
      </c>
      <c r="AC4" s="165" t="s">
        <v>3</v>
      </c>
      <c r="AD4" s="158"/>
      <c r="AE4" s="158"/>
    </row>
    <row r="5" customFormat="false" ht="11.1" hidden="false" customHeight="true" outlineLevel="0" collapsed="false">
      <c r="A5" s="166" t="s">
        <v>85</v>
      </c>
      <c r="B5" s="161" t="s">
        <v>23</v>
      </c>
      <c r="C5" s="162" t="s">
        <v>5</v>
      </c>
      <c r="D5" s="161" t="s">
        <v>24</v>
      </c>
      <c r="E5" s="162" t="s">
        <v>25</v>
      </c>
      <c r="F5" s="161" t="s">
        <v>26</v>
      </c>
      <c r="G5" s="161" t="s">
        <v>27</v>
      </c>
      <c r="H5" s="163" t="s">
        <v>28</v>
      </c>
      <c r="I5" s="161" t="s">
        <v>29</v>
      </c>
      <c r="J5" s="161" t="s">
        <v>29</v>
      </c>
      <c r="K5" s="161" t="s">
        <v>29</v>
      </c>
      <c r="L5" s="161" t="s">
        <v>30</v>
      </c>
      <c r="M5" s="161" t="s">
        <v>64</v>
      </c>
      <c r="N5" s="161" t="s">
        <v>65</v>
      </c>
      <c r="O5" s="161" t="s">
        <v>70</v>
      </c>
      <c r="P5" s="161" t="s">
        <v>71</v>
      </c>
      <c r="Q5" s="161" t="s">
        <v>33</v>
      </c>
      <c r="R5" s="161" t="s">
        <v>13</v>
      </c>
      <c r="S5" s="162" t="s">
        <v>34</v>
      </c>
      <c r="T5" s="161" t="s">
        <v>35</v>
      </c>
      <c r="U5" s="161" t="s">
        <v>37</v>
      </c>
      <c r="V5" s="162" t="s">
        <v>38</v>
      </c>
      <c r="W5" s="161" t="s">
        <v>39</v>
      </c>
      <c r="X5" s="161" t="s">
        <v>39</v>
      </c>
      <c r="Y5" s="161" t="s">
        <v>39</v>
      </c>
      <c r="Z5" s="167"/>
      <c r="AA5" s="165" t="s">
        <v>40</v>
      </c>
      <c r="AB5" s="165" t="s">
        <v>40</v>
      </c>
      <c r="AC5" s="168" t="s">
        <v>85</v>
      </c>
      <c r="AD5" s="158"/>
      <c r="AE5" s="158"/>
      <c r="AG5" s="169" t="s">
        <v>86</v>
      </c>
      <c r="AH5" s="169"/>
    </row>
    <row r="6" customFormat="false" ht="11.1" hidden="false" customHeight="true" outlineLevel="0" collapsed="false">
      <c r="A6" s="170"/>
      <c r="B6" s="170"/>
      <c r="C6" s="171"/>
      <c r="D6" s="170"/>
      <c r="E6" s="171"/>
      <c r="F6" s="170"/>
      <c r="G6" s="170"/>
      <c r="H6" s="172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1"/>
      <c r="T6" s="170"/>
      <c r="U6" s="170"/>
      <c r="V6" s="171"/>
      <c r="W6" s="170"/>
      <c r="X6" s="170"/>
      <c r="Y6" s="170"/>
      <c r="Z6" s="155"/>
      <c r="AA6" s="157"/>
      <c r="AB6" s="157"/>
      <c r="AC6" s="157"/>
      <c r="AD6" s="173" t="n">
        <v>741</v>
      </c>
      <c r="AE6" s="173" t="n">
        <v>742</v>
      </c>
      <c r="AF6" s="174" t="s">
        <v>78</v>
      </c>
      <c r="AG6" s="169" t="s">
        <v>87</v>
      </c>
      <c r="AH6" s="169" t="s">
        <v>88</v>
      </c>
    </row>
    <row r="7" customFormat="false" ht="11.1" hidden="false" customHeight="true" outlineLevel="0" collapsed="false">
      <c r="A7" s="151" t="s">
        <v>41</v>
      </c>
      <c r="B7" s="151"/>
      <c r="C7" s="152"/>
      <c r="D7" s="152"/>
      <c r="E7" s="152"/>
      <c r="F7" s="152" t="n">
        <f aca="false" t="array" ref="F7:Y7">[8]RIVER054!$F$45:$Y$45</f>
        <v>2206.75743822492</v>
      </c>
      <c r="G7" s="152" t="n">
        <v>88638.52</v>
      </c>
      <c r="H7" s="152" t="n">
        <v>6256.88</v>
      </c>
      <c r="I7" s="152" t="n">
        <v>94841.21</v>
      </c>
      <c r="J7" s="152" t="n">
        <v>25662.9512355018</v>
      </c>
      <c r="K7" s="152" t="n">
        <v>120504.161235502</v>
      </c>
      <c r="L7" s="152" t="n">
        <v>23537.8523247605</v>
      </c>
      <c r="M7" s="152" t="n">
        <v>24669.93</v>
      </c>
      <c r="N7" s="152" t="n">
        <v>2815.66686838124</v>
      </c>
      <c r="O7" s="152" t="n">
        <v>21854.2631316188</v>
      </c>
      <c r="P7" s="152" t="n">
        <v>12898</v>
      </c>
      <c r="Q7" s="152" t="n">
        <v>7420.42755421079</v>
      </c>
      <c r="R7" s="152" t="n">
        <v>42172.6906858295</v>
      </c>
      <c r="S7" s="152" t="n">
        <v>-6993.83994452849</v>
      </c>
      <c r="T7" s="152" t="n">
        <v>13304.6273323248</v>
      </c>
      <c r="U7" s="152" t="n">
        <v>57879.32</v>
      </c>
      <c r="V7" s="152" t="n">
        <v>5268.26</v>
      </c>
      <c r="W7" s="152" t="n">
        <v>116172.304886536</v>
      </c>
      <c r="X7" s="152" t="n">
        <v>2125.1189107413</v>
      </c>
      <c r="Y7" s="152" t="n">
        <v>118297.423797277</v>
      </c>
      <c r="Z7" s="155"/>
      <c r="AA7" s="156"/>
      <c r="AB7" s="156"/>
      <c r="AC7" s="157"/>
      <c r="AD7" s="173"/>
      <c r="AE7" s="174"/>
      <c r="AF7" s="174" t="s">
        <v>89</v>
      </c>
    </row>
    <row r="8" s="145" customFormat="true" ht="11.1" hidden="false" customHeight="true" outlineLevel="0" collapsed="false">
      <c r="A8" s="152" t="s">
        <v>42</v>
      </c>
      <c r="B8" s="175" t="n">
        <f aca="false" t="array" ref="B8:C8">[8]RIVER054!$B$40:$C$40</f>
        <v>6912.21</v>
      </c>
      <c r="C8" s="152" t="n">
        <v>330900</v>
      </c>
      <c r="D8" s="152" t="n">
        <f aca="false" t="array" ref="D8:E8">[8]RIVER054!$D$49:$E$49</f>
        <v>20213</v>
      </c>
      <c r="E8" s="152" t="n">
        <v>178900</v>
      </c>
      <c r="F8" s="152" t="n">
        <f aca="false" t="array" ref="F8:Z8">[8]RIVER054!$F$48:$Z$48</f>
        <v>10193.1417044882</v>
      </c>
      <c r="G8" s="152" t="n">
        <v>101287.996449824</v>
      </c>
      <c r="H8" s="156" t="n">
        <v>6256.88</v>
      </c>
      <c r="I8" s="152" t="n">
        <v>107489.877876954</v>
      </c>
      <c r="J8" s="152" t="n">
        <v>27636.6641351488</v>
      </c>
      <c r="K8" s="152" t="n">
        <v>135126.542012103</v>
      </c>
      <c r="L8" s="152" t="n">
        <v>25043.8887140696</v>
      </c>
      <c r="M8" s="152" t="n">
        <v>25582.17</v>
      </c>
      <c r="N8" s="152" t="n">
        <v>2815.66686838124</v>
      </c>
      <c r="O8" s="152" t="n">
        <v>22766.5031316188</v>
      </c>
      <c r="P8" s="152" t="n">
        <v>12898</v>
      </c>
      <c r="Q8" s="152" t="n">
        <v>7420.42755421079</v>
      </c>
      <c r="R8" s="152" t="n">
        <v>43084.9306858296</v>
      </c>
      <c r="S8" s="152" t="n">
        <v>0</v>
      </c>
      <c r="T8" s="152" t="n">
        <v>13304.6273323248</v>
      </c>
      <c r="U8" s="152" t="n">
        <v>63142.73</v>
      </c>
      <c r="V8" s="152" t="n">
        <v>5268.26</v>
      </c>
      <c r="W8" s="152" t="n">
        <v>122347.954886536</v>
      </c>
      <c r="X8" s="152" t="n">
        <v>2614.90667170953</v>
      </c>
      <c r="Y8" s="152" t="n">
        <v>124962.861558245</v>
      </c>
      <c r="Z8" s="176" t="n">
        <v>9.58</v>
      </c>
      <c r="AA8" s="156"/>
      <c r="AB8" s="156"/>
      <c r="AC8" s="157"/>
      <c r="AD8" s="177" t="n">
        <v>26327</v>
      </c>
      <c r="AE8" s="173" t="n">
        <v>14703</v>
      </c>
      <c r="AF8" s="177" t="n">
        <v>2963.64</v>
      </c>
      <c r="AG8" s="145" t="n">
        <v>2963.64</v>
      </c>
      <c r="AH8" s="145" t="n">
        <v>0</v>
      </c>
    </row>
    <row r="9" customFormat="false" ht="3" hidden="false" customHeight="true" outlineLevel="0" collapsed="false">
      <c r="A9" s="178"/>
      <c r="B9" s="179"/>
      <c r="C9" s="180"/>
      <c r="D9" s="178"/>
      <c r="E9" s="180"/>
      <c r="F9" s="178"/>
      <c r="G9" s="178"/>
      <c r="H9" s="181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80"/>
      <c r="T9" s="178"/>
      <c r="U9" s="178"/>
      <c r="V9" s="180"/>
      <c r="W9" s="178"/>
      <c r="X9" s="178"/>
      <c r="Y9" s="178"/>
      <c r="Z9" s="182"/>
      <c r="AA9" s="183"/>
      <c r="AB9" s="183"/>
      <c r="AC9" s="184"/>
      <c r="AD9" s="173"/>
      <c r="AE9" s="173"/>
      <c r="AF9" s="174"/>
    </row>
    <row r="10" customFormat="false" ht="11.1" hidden="false" customHeight="true" outlineLevel="0" collapsed="false">
      <c r="A10" s="157" t="n">
        <v>1</v>
      </c>
      <c r="B10" s="175" t="n">
        <v>6911.88</v>
      </c>
      <c r="C10" s="152" t="n">
        <v>329559</v>
      </c>
      <c r="D10" s="156" t="n">
        <f aca="false">C10-C8</f>
        <v>-1341</v>
      </c>
      <c r="E10" s="152" t="n">
        <f aca="false">C10-152000</f>
        <v>177559</v>
      </c>
      <c r="F10" s="151" t="n">
        <f aca="false">D10/$D$2</f>
        <v>-676.24810892587</v>
      </c>
      <c r="G10" s="151" t="n">
        <v>104.98</v>
      </c>
      <c r="H10" s="153" t="n">
        <v>0</v>
      </c>
      <c r="I10" s="151" t="n">
        <f aca="false">G10+H10</f>
        <v>104.98</v>
      </c>
      <c r="J10" s="176" t="n">
        <f aca="false">IF(L10&gt;0,L10,0)</f>
        <v>0</v>
      </c>
      <c r="K10" s="151" t="n">
        <f aca="false">I10+J10</f>
        <v>104.98</v>
      </c>
      <c r="L10" s="151" t="n">
        <f aca="false">F10-(I10-W10)</f>
        <v>-6.14057488653555</v>
      </c>
      <c r="M10" s="151" t="n">
        <v>273.87</v>
      </c>
      <c r="N10" s="151" t="n">
        <f aca="false">(AF10*1.05)/$D$2</f>
        <v>31.7382753403936</v>
      </c>
      <c r="O10" s="151" t="n">
        <f aca="false">M10-N10</f>
        <v>242.131724659606</v>
      </c>
      <c r="P10" s="151" t="n">
        <v>157.9</v>
      </c>
      <c r="Q10" s="151" t="n">
        <f aca="false">(AE10-AE8)/$D$2</f>
        <v>90.7715582450832</v>
      </c>
      <c r="R10" s="151" t="n">
        <f aca="false">SUM(O10:Q10)</f>
        <v>490.80328290469</v>
      </c>
      <c r="S10" s="152" t="n">
        <f aca="false">(I10-R10)+S7</f>
        <v>-7379.66322743318</v>
      </c>
      <c r="T10" s="151" t="n">
        <f aca="false">(AD10-AD8)/$D$2</f>
        <v>183.055975794251</v>
      </c>
      <c r="U10" s="151" t="n">
        <v>69.49</v>
      </c>
      <c r="V10" s="152" t="n">
        <f aca="false">V8-U10</f>
        <v>5198.77</v>
      </c>
      <c r="W10" s="151" t="n">
        <f aca="false">R10+T10+N10+U10</f>
        <v>775.087534039334</v>
      </c>
      <c r="X10" s="151" t="n">
        <f aca="false">IF(L10&lt;0,L10*-1,0)</f>
        <v>6.14057488653555</v>
      </c>
      <c r="Y10" s="151" t="n">
        <f aca="false">W10+X10</f>
        <v>781.22810892587</v>
      </c>
      <c r="Z10" s="155" t="n">
        <v>0</v>
      </c>
      <c r="AA10" s="156" t="n">
        <v>80</v>
      </c>
      <c r="AB10" s="156" t="n">
        <v>54</v>
      </c>
      <c r="AC10" s="157" t="n">
        <v>1</v>
      </c>
      <c r="AD10" s="174" t="n">
        <v>26690</v>
      </c>
      <c r="AE10" s="177" t="n">
        <v>14883</v>
      </c>
      <c r="AF10" s="177" t="n">
        <f aca="false">(AG10+AH10)-(AG8+AH8)</f>
        <v>59.9400000000005</v>
      </c>
      <c r="AG10" s="144" t="n">
        <v>3023.32</v>
      </c>
      <c r="AH10" s="144" t="n">
        <v>0.26</v>
      </c>
    </row>
    <row r="11" customFormat="false" ht="11.1" hidden="false" customHeight="true" outlineLevel="0" collapsed="false">
      <c r="A11" s="157" t="n">
        <f aca="false">A10+1</f>
        <v>2</v>
      </c>
      <c r="B11" s="175" t="n">
        <v>6911.51</v>
      </c>
      <c r="C11" s="152" t="n">
        <v>328062</v>
      </c>
      <c r="D11" s="156" t="n">
        <f aca="false">C11-C10</f>
        <v>-1497</v>
      </c>
      <c r="E11" s="152" t="n">
        <f aca="false">C11-152000</f>
        <v>176062</v>
      </c>
      <c r="F11" s="151" t="n">
        <f aca="false">D11/$D$2</f>
        <v>-754.916792738275</v>
      </c>
      <c r="G11" s="151" t="n">
        <v>100.52</v>
      </c>
      <c r="H11" s="153" t="n">
        <v>0</v>
      </c>
      <c r="I11" s="151" t="n">
        <f aca="false">G11+H11</f>
        <v>100.52</v>
      </c>
      <c r="J11" s="176" t="n">
        <f aca="false">IF(L11&gt;0,L11,0)</f>
        <v>0</v>
      </c>
      <c r="K11" s="151" t="n">
        <f aca="false">I11+J11</f>
        <v>100.52</v>
      </c>
      <c r="L11" s="151" t="n">
        <f aca="false">F11-(I11-W11)</f>
        <v>-66.9621028744326</v>
      </c>
      <c r="M11" s="151" t="n">
        <v>277.38</v>
      </c>
      <c r="N11" s="151" t="n">
        <f aca="false">(AF11*1.05)/$D$2</f>
        <v>32.7072617246594</v>
      </c>
      <c r="O11" s="151" t="n">
        <f aca="false">M11-N11</f>
        <v>244.672738275341</v>
      </c>
      <c r="P11" s="151" t="n">
        <v>158.69</v>
      </c>
      <c r="Q11" s="151" t="n">
        <f aca="false">(AE11-AE10)/$D$2</f>
        <v>90.2672718103883</v>
      </c>
      <c r="R11" s="151" t="n">
        <f aca="false">SUM(O11:Q11)</f>
        <v>493.630010085729</v>
      </c>
      <c r="S11" s="152" t="n">
        <f aca="false">(I11-R11)+S10</f>
        <v>-7772.77323751891</v>
      </c>
      <c r="T11" s="151" t="n">
        <f aca="false">(AD11-AD10)/$D$2</f>
        <v>192.637418053454</v>
      </c>
      <c r="U11" s="151" t="n">
        <v>69.5</v>
      </c>
      <c r="V11" s="152" t="n">
        <f aca="false">V10-U11</f>
        <v>5129.27</v>
      </c>
      <c r="W11" s="151" t="n">
        <f aca="false">R11+T11+N11+U11</f>
        <v>788.474689863843</v>
      </c>
      <c r="X11" s="151" t="n">
        <f aca="false">IF(L11&lt;0,L11*-1,0)</f>
        <v>66.9621028744326</v>
      </c>
      <c r="Y11" s="151" t="n">
        <f aca="false">W11+X11</f>
        <v>855.436792738275</v>
      </c>
      <c r="Z11" s="155" t="n">
        <v>0</v>
      </c>
      <c r="AA11" s="156" t="n">
        <v>88</v>
      </c>
      <c r="AB11" s="156" t="n">
        <v>52</v>
      </c>
      <c r="AC11" s="157" t="n">
        <f aca="false">AC10+1</f>
        <v>2</v>
      </c>
      <c r="AD11" s="174" t="n">
        <v>27072</v>
      </c>
      <c r="AE11" s="177" t="n">
        <v>15062</v>
      </c>
      <c r="AF11" s="177" t="n">
        <f aca="false">(AG11+AH11)-(AG10+AH10)</f>
        <v>61.7699999999995</v>
      </c>
      <c r="AG11" s="144" t="n">
        <v>3065.96</v>
      </c>
      <c r="AH11" s="144" t="n">
        <v>19.39</v>
      </c>
    </row>
    <row r="12" customFormat="false" ht="11.1" hidden="false" customHeight="true" outlineLevel="0" collapsed="false">
      <c r="A12" s="157" t="n">
        <f aca="false">A11+1</f>
        <v>3</v>
      </c>
      <c r="B12" s="175" t="n">
        <v>6911.18</v>
      </c>
      <c r="C12" s="152" t="n">
        <v>326727</v>
      </c>
      <c r="D12" s="156" t="n">
        <f aca="false">C12-C11</f>
        <v>-1335</v>
      </c>
      <c r="E12" s="152" t="n">
        <f aca="false">C12-152000</f>
        <v>174727</v>
      </c>
      <c r="F12" s="151" t="n">
        <f aca="false">D12/$D$2</f>
        <v>-673.2223903177</v>
      </c>
      <c r="G12" s="151" t="n">
        <v>91.96</v>
      </c>
      <c r="H12" s="153" t="n">
        <v>0</v>
      </c>
      <c r="I12" s="151" t="n">
        <f aca="false">G12+H12</f>
        <v>91.96</v>
      </c>
      <c r="J12" s="176" t="n">
        <f aca="false">IF(L12&gt;0,L12,0)</f>
        <v>28.5651689359557</v>
      </c>
      <c r="K12" s="151" t="n">
        <f aca="false">I12+J12</f>
        <v>120.525168935956</v>
      </c>
      <c r="L12" s="151" t="n">
        <f aca="false">F12-(I12-W12)</f>
        <v>28.5651689359557</v>
      </c>
      <c r="M12" s="151" t="n">
        <v>274.39</v>
      </c>
      <c r="N12" s="151" t="n">
        <f aca="false">(AF12*1.05)/$D$2</f>
        <v>27.3116490166414</v>
      </c>
      <c r="O12" s="151" t="n">
        <f aca="false">M12-N12</f>
        <v>247.078350983359</v>
      </c>
      <c r="P12" s="151" t="n">
        <v>158.37</v>
      </c>
      <c r="Q12" s="151" t="n">
        <f aca="false">(AE12-AE11)/$D$2</f>
        <v>91.2758446797781</v>
      </c>
      <c r="R12" s="151" t="n">
        <f aca="false">SUM(O12:Q12)</f>
        <v>496.724195663137</v>
      </c>
      <c r="S12" s="152" t="n">
        <f aca="false">(I12-R12)+S11</f>
        <v>-8177.53743318205</v>
      </c>
      <c r="T12" s="151" t="n">
        <f aca="false">(AD12-AD11)/$D$2</f>
        <v>200.201714573878</v>
      </c>
      <c r="U12" s="151" t="n">
        <v>69.51</v>
      </c>
      <c r="V12" s="152" t="n">
        <f aca="false">V11-U12</f>
        <v>5059.76</v>
      </c>
      <c r="W12" s="151" t="n">
        <f aca="false">R12+T12+N12+U12</f>
        <v>793.747559253656</v>
      </c>
      <c r="X12" s="151" t="n">
        <f aca="false">IF(L12&lt;0,L12*-1,0)</f>
        <v>0</v>
      </c>
      <c r="Y12" s="151" t="n">
        <f aca="false">W12+X12</f>
        <v>793.747559253656</v>
      </c>
      <c r="Z12" s="155" t="n">
        <v>0</v>
      </c>
      <c r="AA12" s="156" t="n">
        <v>86</v>
      </c>
      <c r="AB12" s="156" t="n">
        <v>56</v>
      </c>
      <c r="AC12" s="157" t="n">
        <f aca="false">AC11+1</f>
        <v>3</v>
      </c>
      <c r="AD12" s="174" t="n">
        <v>27469</v>
      </c>
      <c r="AE12" s="177" t="n">
        <v>15243</v>
      </c>
      <c r="AF12" s="177" t="n">
        <f aca="false">(AG12+AH12)-(AG11+AH11)</f>
        <v>51.5799999999999</v>
      </c>
      <c r="AG12" s="144" t="n">
        <v>3093.46</v>
      </c>
      <c r="AH12" s="144" t="n">
        <v>43.47</v>
      </c>
    </row>
    <row r="13" customFormat="false" ht="11.1" hidden="false" customHeight="true" outlineLevel="0" collapsed="false">
      <c r="A13" s="157" t="n">
        <f aca="false">A12+1</f>
        <v>4</v>
      </c>
      <c r="B13" s="175" t="n">
        <v>6910.82</v>
      </c>
      <c r="C13" s="152" t="n">
        <v>325277</v>
      </c>
      <c r="D13" s="156" t="n">
        <f aca="false">C13-C12</f>
        <v>-1450</v>
      </c>
      <c r="E13" s="152" t="n">
        <f aca="false">C13-152000</f>
        <v>173277</v>
      </c>
      <c r="F13" s="151" t="n">
        <f aca="false">D13/$D$2</f>
        <v>-731.215330307615</v>
      </c>
      <c r="G13" s="151" t="n">
        <v>86.26</v>
      </c>
      <c r="H13" s="153" t="n">
        <v>0</v>
      </c>
      <c r="I13" s="151" t="n">
        <f aca="false">G13+H13</f>
        <v>86.26</v>
      </c>
      <c r="J13" s="176" t="n">
        <f aca="false">IF(L13&gt;0,L13,0)</f>
        <v>0</v>
      </c>
      <c r="K13" s="151" t="n">
        <f aca="false">I13+J13</f>
        <v>86.26</v>
      </c>
      <c r="L13" s="151" t="n">
        <f aca="false">F13-(I13-W13)</f>
        <v>-27.2363540090771</v>
      </c>
      <c r="M13" s="151" t="n">
        <v>279.05</v>
      </c>
      <c r="N13" s="151" t="n">
        <f aca="false">(AF13*1.05)/$D$2</f>
        <v>30.3509833585477</v>
      </c>
      <c r="O13" s="151" t="n">
        <f aca="false">M13-N13</f>
        <v>248.699016641452</v>
      </c>
      <c r="P13" s="151" t="n">
        <v>158.37</v>
      </c>
      <c r="Q13" s="151" t="n">
        <f aca="false">(AE13-AE12)/$D$2</f>
        <v>87.7458396369138</v>
      </c>
      <c r="R13" s="151" t="n">
        <f aca="false">SUM(O13:Q13)</f>
        <v>494.814856278366</v>
      </c>
      <c r="S13" s="152" t="n">
        <f aca="false">(I13-R13)+S12</f>
        <v>-8586.09228946041</v>
      </c>
      <c r="T13" s="151" t="n">
        <f aca="false">(AD13-AD12)/$D$2</f>
        <v>195.663136661624</v>
      </c>
      <c r="U13" s="151" t="n">
        <v>69.41</v>
      </c>
      <c r="V13" s="152" t="n">
        <f aca="false">V12-U13</f>
        <v>4990.35</v>
      </c>
      <c r="W13" s="151" t="n">
        <f aca="false">R13+T13+N13+U13</f>
        <v>790.238976298538</v>
      </c>
      <c r="X13" s="151" t="n">
        <f aca="false">IF(L13&lt;0,L13*-1,0)</f>
        <v>27.2363540090771</v>
      </c>
      <c r="Y13" s="151" t="n">
        <f aca="false">W13+X13</f>
        <v>817.475330307615</v>
      </c>
      <c r="Z13" s="155" t="n">
        <v>0</v>
      </c>
      <c r="AA13" s="156" t="n">
        <v>91</v>
      </c>
      <c r="AB13" s="156" t="n">
        <v>61</v>
      </c>
      <c r="AC13" s="157" t="n">
        <f aca="false">AC12+1</f>
        <v>4</v>
      </c>
      <c r="AD13" s="174" t="n">
        <v>27857</v>
      </c>
      <c r="AE13" s="177" t="n">
        <v>15417</v>
      </c>
      <c r="AF13" s="177" t="n">
        <f aca="false">(AG13+AH13)-(AG12+AH12)</f>
        <v>57.3200000000002</v>
      </c>
      <c r="AG13" s="144" t="n">
        <v>3121.69</v>
      </c>
      <c r="AH13" s="144" t="n">
        <v>72.56</v>
      </c>
    </row>
    <row r="14" customFormat="false" ht="11.1" hidden="false" customHeight="true" outlineLevel="0" collapsed="false">
      <c r="A14" s="157" t="n">
        <f aca="false">A13+1</f>
        <v>5</v>
      </c>
      <c r="B14" s="175" t="n">
        <v>6910.47</v>
      </c>
      <c r="C14" s="152" t="n">
        <v>323873</v>
      </c>
      <c r="D14" s="156" t="n">
        <f aca="false">C14-C13</f>
        <v>-1404</v>
      </c>
      <c r="E14" s="152" t="n">
        <f aca="false">C14-152000</f>
        <v>171873</v>
      </c>
      <c r="F14" s="151" t="n">
        <f aca="false">D14/$D$2</f>
        <v>-708.018154311649</v>
      </c>
      <c r="G14" s="151" t="n">
        <v>86.43</v>
      </c>
      <c r="H14" s="153" t="n">
        <v>0</v>
      </c>
      <c r="I14" s="151" t="n">
        <f aca="false">G14+H14</f>
        <v>86.43</v>
      </c>
      <c r="J14" s="176" t="n">
        <f aca="false">IF(L14&gt;0,L14,0)</f>
        <v>14.2379778113967</v>
      </c>
      <c r="K14" s="151" t="n">
        <f aca="false">I14+J14</f>
        <v>100.667977811397</v>
      </c>
      <c r="L14" s="151" t="n">
        <f aca="false">F14-(I14-W14)</f>
        <v>14.2379778113967</v>
      </c>
      <c r="M14" s="151" t="n">
        <v>288.75</v>
      </c>
      <c r="N14" s="151" t="n">
        <f aca="false">(AF14*1.05)/$D$2</f>
        <v>27.6187594553706</v>
      </c>
      <c r="O14" s="151" t="n">
        <f aca="false">M14-N14</f>
        <v>261.131240544629</v>
      </c>
      <c r="P14" s="151" t="n">
        <v>157.38</v>
      </c>
      <c r="Q14" s="151" t="n">
        <f aca="false">(AE14-AE13)/$D$2</f>
        <v>89.2586989409985</v>
      </c>
      <c r="R14" s="151" t="n">
        <f aca="false">SUM(O14:Q14)</f>
        <v>507.769939485628</v>
      </c>
      <c r="S14" s="152" t="n">
        <f aca="false">(I14-R14)+S13</f>
        <v>-9007.43222894604</v>
      </c>
      <c r="T14" s="151" t="n">
        <f aca="false">(AD14-AD13)/$D$2</f>
        <v>203.227433182047</v>
      </c>
      <c r="U14" s="151" t="n">
        <v>70.07</v>
      </c>
      <c r="V14" s="152" t="n">
        <f aca="false">V13-U14</f>
        <v>4920.28</v>
      </c>
      <c r="W14" s="151" t="n">
        <f aca="false">R14+T14+N14+U14</f>
        <v>808.686132123046</v>
      </c>
      <c r="X14" s="151" t="n">
        <f aca="false">IF(L14&lt;0,L14*-1,0)</f>
        <v>0</v>
      </c>
      <c r="Y14" s="151" t="n">
        <f aca="false">W14+X14</f>
        <v>808.686132123046</v>
      </c>
      <c r="Z14" s="155" t="n">
        <v>0</v>
      </c>
      <c r="AA14" s="156" t="n">
        <v>90</v>
      </c>
      <c r="AB14" s="156" t="n">
        <v>59</v>
      </c>
      <c r="AC14" s="157" t="n">
        <f aca="false">AC13+1</f>
        <v>5</v>
      </c>
      <c r="AD14" s="174" t="n">
        <v>28260</v>
      </c>
      <c r="AE14" s="177" t="n">
        <v>15594</v>
      </c>
      <c r="AF14" s="177" t="n">
        <f aca="false">(AG14+AH14)-(AG13+AH13)</f>
        <v>52.1599999999999</v>
      </c>
      <c r="AG14" s="144" t="n">
        <v>3147.72</v>
      </c>
      <c r="AH14" s="144" t="n">
        <v>98.69</v>
      </c>
    </row>
    <row r="15" customFormat="false" ht="11.1" hidden="false" customHeight="true" outlineLevel="0" collapsed="false">
      <c r="A15" s="157" t="n">
        <f aca="false">A14+1</f>
        <v>6</v>
      </c>
      <c r="B15" s="175" t="n">
        <v>6910.12</v>
      </c>
      <c r="C15" s="152" t="n">
        <v>322468</v>
      </c>
      <c r="D15" s="156" t="n">
        <f aca="false">C15-C14</f>
        <v>-1405</v>
      </c>
      <c r="E15" s="152" t="n">
        <f aca="false">C15-152000</f>
        <v>170468</v>
      </c>
      <c r="F15" s="151" t="n">
        <f aca="false">D15/$D$2</f>
        <v>-708.522440746344</v>
      </c>
      <c r="G15" s="151" t="n">
        <v>85.65</v>
      </c>
      <c r="H15" s="153" t="n">
        <v>0</v>
      </c>
      <c r="I15" s="151" t="n">
        <f aca="false">G15+H15</f>
        <v>85.65</v>
      </c>
      <c r="J15" s="176" t="n">
        <f aca="false">IF(L15&gt;0,L15,0)</f>
        <v>9.87227433182034</v>
      </c>
      <c r="K15" s="151" t="n">
        <f aca="false">I15+J15</f>
        <v>95.5222743318203</v>
      </c>
      <c r="L15" s="151" t="n">
        <f aca="false">F15-(I15-W15)</f>
        <v>9.87227433182034</v>
      </c>
      <c r="M15" s="151" t="n">
        <v>274.82</v>
      </c>
      <c r="N15" s="151" t="n">
        <f aca="false">(AF15*1.05)/$D$2</f>
        <v>28.9901664145235</v>
      </c>
      <c r="O15" s="151" t="n">
        <f aca="false">M15-N15</f>
        <v>245.829833585477</v>
      </c>
      <c r="P15" s="151" t="n">
        <v>158.74</v>
      </c>
      <c r="Q15" s="151" t="n">
        <f aca="false">(AE15-AE14)/$D$2</f>
        <v>92.2844175491679</v>
      </c>
      <c r="R15" s="151" t="n">
        <f aca="false">SUM(O15:Q15)</f>
        <v>496.854251134644</v>
      </c>
      <c r="S15" s="152" t="n">
        <f aca="false">(I15-R15)+S14</f>
        <v>-9418.63648008069</v>
      </c>
      <c r="T15" s="151" t="n">
        <f aca="false">(AD15-AD14)/$D$2</f>
        <v>208.270297528996</v>
      </c>
      <c r="U15" s="151" t="n">
        <v>69.93</v>
      </c>
      <c r="V15" s="152" t="n">
        <f aca="false">V14-U15</f>
        <v>4850.35</v>
      </c>
      <c r="W15" s="151" t="n">
        <f aca="false">R15+T15+N15+U15</f>
        <v>804.044715078164</v>
      </c>
      <c r="X15" s="151" t="n">
        <f aca="false">IF(L15&lt;0,L15*-1,0)</f>
        <v>0</v>
      </c>
      <c r="Y15" s="151" t="n">
        <f aca="false">W15+X15</f>
        <v>804.044715078164</v>
      </c>
      <c r="Z15" s="155" t="n">
        <v>0</v>
      </c>
      <c r="AA15" s="156" t="n">
        <v>90</v>
      </c>
      <c r="AB15" s="156" t="n">
        <v>60</v>
      </c>
      <c r="AC15" s="157" t="n">
        <f aca="false">AC14+1</f>
        <v>6</v>
      </c>
      <c r="AD15" s="173" t="n">
        <v>28673</v>
      </c>
      <c r="AE15" s="177" t="n">
        <v>15777</v>
      </c>
      <c r="AF15" s="177" t="n">
        <f aca="false">(AG15+AH15)-(AG14+AH14)</f>
        <v>54.75</v>
      </c>
      <c r="AG15" s="144" t="n">
        <v>3174.17</v>
      </c>
      <c r="AH15" s="144" t="n">
        <v>126.99</v>
      </c>
    </row>
    <row r="16" customFormat="false" ht="11.1" hidden="false" customHeight="true" outlineLevel="0" collapsed="false">
      <c r="A16" s="157" t="n">
        <f aca="false">A15+1</f>
        <v>7</v>
      </c>
      <c r="B16" s="175" t="n">
        <v>6909.73</v>
      </c>
      <c r="C16" s="152" t="n">
        <v>320912</v>
      </c>
      <c r="D16" s="156" t="n">
        <f aca="false">C16-C15</f>
        <v>-1556</v>
      </c>
      <c r="E16" s="152" t="n">
        <f aca="false">C16-152000</f>
        <v>168912</v>
      </c>
      <c r="F16" s="151" t="n">
        <f aca="false">D16/$D$2</f>
        <v>-784.669692385275</v>
      </c>
      <c r="G16" s="151" t="n">
        <v>85.06</v>
      </c>
      <c r="H16" s="153" t="n">
        <v>0</v>
      </c>
      <c r="I16" s="151" t="n">
        <f aca="false">G16+H16</f>
        <v>85.06</v>
      </c>
      <c r="J16" s="176" t="n">
        <f aca="false">IF(L16&gt;0,L16,0)</f>
        <v>0</v>
      </c>
      <c r="K16" s="151" t="n">
        <f aca="false">I16+J16</f>
        <v>85.06</v>
      </c>
      <c r="L16" s="151" t="n">
        <f aca="false">F16-(I16-W16)</f>
        <v>-73.662138174483</v>
      </c>
      <c r="M16" s="151" t="n">
        <v>278.62</v>
      </c>
      <c r="N16" s="151" t="n">
        <f aca="false">(AF16*1.05)/$D$2</f>
        <v>39.357791225416</v>
      </c>
      <c r="O16" s="151" t="n">
        <f aca="false">M16-N16</f>
        <v>239.262208774584</v>
      </c>
      <c r="P16" s="151" t="n">
        <v>159.78</v>
      </c>
      <c r="Q16" s="151" t="n">
        <f aca="false">(AE16-AE15)/$D$2</f>
        <v>90.7715582450832</v>
      </c>
      <c r="R16" s="151" t="n">
        <f aca="false">SUM(O16:Q16)</f>
        <v>489.813767019667</v>
      </c>
      <c r="S16" s="152" t="n">
        <f aca="false">(I16-R16)+S15</f>
        <v>-9823.39024710035</v>
      </c>
      <c r="T16" s="151" t="n">
        <f aca="false">(AD16-AD15)/$D$2</f>
        <v>197.175995965709</v>
      </c>
      <c r="U16" s="151" t="n">
        <v>69.72</v>
      </c>
      <c r="V16" s="152" t="n">
        <f aca="false">V15-U16</f>
        <v>4780.63</v>
      </c>
      <c r="W16" s="151" t="n">
        <f aca="false">R16+T16+N16+U16</f>
        <v>796.067554210792</v>
      </c>
      <c r="X16" s="151" t="n">
        <f aca="false">IF(L16&lt;0,L16*-1,0)</f>
        <v>73.662138174483</v>
      </c>
      <c r="Y16" s="151" t="n">
        <f aca="false">W16+X16</f>
        <v>869.729692385275</v>
      </c>
      <c r="Z16" s="155" t="n">
        <v>0</v>
      </c>
      <c r="AA16" s="156" t="n">
        <v>93</v>
      </c>
      <c r="AB16" s="156" t="n">
        <v>54</v>
      </c>
      <c r="AC16" s="157" t="n">
        <f aca="false">AC15+1</f>
        <v>7</v>
      </c>
      <c r="AD16" s="173" t="n">
        <v>29064</v>
      </c>
      <c r="AE16" s="177" t="n">
        <v>15957</v>
      </c>
      <c r="AF16" s="177" t="n">
        <f aca="false">(AG16+AH16)-(AG15+AH15)</f>
        <v>74.3299999999999</v>
      </c>
      <c r="AG16" s="144" t="n">
        <v>3210.45</v>
      </c>
      <c r="AH16" s="144" t="n">
        <v>165.04</v>
      </c>
    </row>
    <row r="17" customFormat="false" ht="11.1" hidden="false" customHeight="true" outlineLevel="0" collapsed="false">
      <c r="A17" s="157" t="n">
        <f aca="false">A16+1</f>
        <v>8</v>
      </c>
      <c r="B17" s="175" t="n">
        <v>6909.37</v>
      </c>
      <c r="C17" s="152" t="n">
        <v>319478</v>
      </c>
      <c r="D17" s="156" t="n">
        <f aca="false">C17-C16</f>
        <v>-1434</v>
      </c>
      <c r="E17" s="152" t="n">
        <f aca="false">C17-152000</f>
        <v>167478</v>
      </c>
      <c r="F17" s="151" t="n">
        <f aca="false">D17/$D$2</f>
        <v>-723.146747352496</v>
      </c>
      <c r="G17" s="151" t="n">
        <v>82.75</v>
      </c>
      <c r="H17" s="153" t="n">
        <v>0</v>
      </c>
      <c r="I17" s="151" t="n">
        <f aca="false">G17+H17</f>
        <v>82.75</v>
      </c>
      <c r="J17" s="176" t="n">
        <f aca="false">IF(L17&gt;0,L17,0)</f>
        <v>18.9993948562785</v>
      </c>
      <c r="K17" s="151" t="n">
        <f aca="false">I17+J17</f>
        <v>101.749394856279</v>
      </c>
      <c r="L17" s="151" t="n">
        <f aca="false">F17-(I17-W17)</f>
        <v>18.9993948562785</v>
      </c>
      <c r="M17" s="151" t="n">
        <v>299.31</v>
      </c>
      <c r="N17" s="151" t="n">
        <f aca="false">(AF17*1.05)/$D$2</f>
        <v>35.2435703479576</v>
      </c>
      <c r="O17" s="151" t="n">
        <f aca="false">M17-N17</f>
        <v>264.066429652042</v>
      </c>
      <c r="P17" s="151" t="n">
        <v>158.9</v>
      </c>
      <c r="Q17" s="151" t="n">
        <f aca="false">(AE17-AE16)/$D$2</f>
        <v>92.7887039838628</v>
      </c>
      <c r="R17" s="151" t="n">
        <f aca="false">SUM(O17:Q17)</f>
        <v>515.755133635905</v>
      </c>
      <c r="S17" s="152" t="n">
        <f aca="false">(I17-R17)+S16</f>
        <v>-10256.3953807363</v>
      </c>
      <c r="T17" s="151" t="n">
        <f aca="false">(AD17-AD16)/$D$2</f>
        <v>206.757438224912</v>
      </c>
      <c r="U17" s="151" t="n">
        <v>67.14</v>
      </c>
      <c r="V17" s="152" t="n">
        <f aca="false">V16-U17</f>
        <v>4713.49</v>
      </c>
      <c r="W17" s="151" t="n">
        <f aca="false">R17+T17+N17+U17</f>
        <v>824.896142208775</v>
      </c>
      <c r="X17" s="151" t="n">
        <f aca="false">IF(L17&lt;0,L17*-1,0)</f>
        <v>0</v>
      </c>
      <c r="Y17" s="151" t="n">
        <f aca="false">W17+X17</f>
        <v>824.896142208775</v>
      </c>
      <c r="Z17" s="155" t="n">
        <v>0.07</v>
      </c>
      <c r="AA17" s="156" t="n">
        <v>86</v>
      </c>
      <c r="AB17" s="156" t="n">
        <v>56</v>
      </c>
      <c r="AC17" s="157" t="n">
        <f aca="false">AC16+1</f>
        <v>8</v>
      </c>
      <c r="AD17" s="173" t="n">
        <v>29474</v>
      </c>
      <c r="AE17" s="177" t="n">
        <v>16141</v>
      </c>
      <c r="AF17" s="177" t="n">
        <f aca="false">(AG17+AH17)-(AG16+AH16)</f>
        <v>66.5599999999999</v>
      </c>
      <c r="AG17" s="144" t="n">
        <v>3243.24</v>
      </c>
      <c r="AH17" s="144" t="n">
        <v>198.81</v>
      </c>
    </row>
    <row r="18" customFormat="false" ht="11.1" hidden="false" customHeight="true" outlineLevel="0" collapsed="false">
      <c r="A18" s="157" t="n">
        <f aca="false">A17+1</f>
        <v>9</v>
      </c>
      <c r="B18" s="175" t="n">
        <v>6909.02</v>
      </c>
      <c r="C18" s="152" t="n">
        <v>318085</v>
      </c>
      <c r="D18" s="156" t="n">
        <f aca="false">C18-C17</f>
        <v>-1393</v>
      </c>
      <c r="E18" s="152" t="n">
        <f aca="false">C18-152000</f>
        <v>166085</v>
      </c>
      <c r="F18" s="151" t="n">
        <f aca="false">D18/$D$2</f>
        <v>-702.471003530005</v>
      </c>
      <c r="G18" s="151" t="n">
        <v>87.36</v>
      </c>
      <c r="H18" s="153" t="n">
        <v>0</v>
      </c>
      <c r="I18" s="151" t="n">
        <f aca="false">G18+H18</f>
        <v>87.36</v>
      </c>
      <c r="J18" s="176" t="n">
        <f aca="false">IF(L18&gt;0,L18,0)</f>
        <v>17.143676248109</v>
      </c>
      <c r="K18" s="151" t="n">
        <f aca="false">I18+J18</f>
        <v>104.503676248109</v>
      </c>
      <c r="L18" s="151" t="n">
        <f aca="false">F18-(I18-W18)</f>
        <v>17.143676248109</v>
      </c>
      <c r="M18" s="151" t="n">
        <v>302.94</v>
      </c>
      <c r="N18" s="151" t="n">
        <f aca="false">(AF18*1.05)/$D$2</f>
        <v>34.5022692889563</v>
      </c>
      <c r="O18" s="151" t="n">
        <f aca="false">M18-N18</f>
        <v>268.437730711044</v>
      </c>
      <c r="P18" s="151" t="n">
        <v>159</v>
      </c>
      <c r="Q18" s="151" t="n">
        <f aca="false">(AE18-AE17)/$D$2</f>
        <v>89.2586989409985</v>
      </c>
      <c r="R18" s="151" t="n">
        <f aca="false">SUM(O18:Q18)</f>
        <v>516.696429652042</v>
      </c>
      <c r="S18" s="152" t="n">
        <f aca="false">(I18-R18)+S17</f>
        <v>-10685.7318103883</v>
      </c>
      <c r="T18" s="151" t="n">
        <f aca="false">(AD18-AD17)/$D$2</f>
        <v>186.585980837115</v>
      </c>
      <c r="U18" s="151" t="n">
        <v>69.19</v>
      </c>
      <c r="V18" s="152" t="n">
        <f aca="false">V17-U18</f>
        <v>4644.3</v>
      </c>
      <c r="W18" s="151" t="n">
        <f aca="false">R18+T18+N18+U18</f>
        <v>806.974679778114</v>
      </c>
      <c r="X18" s="151" t="n">
        <f aca="false">IF(L18&lt;0,L18*-1,0)</f>
        <v>0</v>
      </c>
      <c r="Y18" s="151" t="n">
        <f aca="false">W18+X18</f>
        <v>806.974679778114</v>
      </c>
      <c r="Z18" s="155" t="n">
        <v>0</v>
      </c>
      <c r="AA18" s="185" t="n">
        <v>80</v>
      </c>
      <c r="AB18" s="156" t="n">
        <v>60</v>
      </c>
      <c r="AC18" s="157" t="n">
        <f aca="false">AC17+1</f>
        <v>9</v>
      </c>
      <c r="AD18" s="173" t="n">
        <v>29844</v>
      </c>
      <c r="AE18" s="177" t="n">
        <v>16318</v>
      </c>
      <c r="AF18" s="177" t="n">
        <f aca="false">(AG18+AH18)-(AG17+AH17)</f>
        <v>65.1600000000003</v>
      </c>
      <c r="AG18" s="144" t="n">
        <v>3275.89</v>
      </c>
      <c r="AH18" s="144" t="n">
        <v>231.32</v>
      </c>
    </row>
    <row r="19" customFormat="false" ht="11.1" hidden="false" customHeight="true" outlineLevel="0" collapsed="false">
      <c r="A19" s="157" t="n">
        <f aca="false">A18+1</f>
        <v>10</v>
      </c>
      <c r="B19" s="175" t="n">
        <v>6908.62</v>
      </c>
      <c r="C19" s="152" t="n">
        <v>316505</v>
      </c>
      <c r="D19" s="156" t="n">
        <f aca="false">C19-C18</f>
        <v>-1580</v>
      </c>
      <c r="E19" s="152" t="n">
        <f aca="false">C19-152000</f>
        <v>164505</v>
      </c>
      <c r="F19" s="151" t="n">
        <f aca="false">D19/$D$2</f>
        <v>-796.772566817953</v>
      </c>
      <c r="G19" s="151" t="n">
        <v>95.88</v>
      </c>
      <c r="H19" s="153" t="n">
        <v>0</v>
      </c>
      <c r="I19" s="151" t="n">
        <f aca="false">G19+H19</f>
        <v>95.88</v>
      </c>
      <c r="J19" s="176" t="n">
        <f aca="false">IF(L19&gt;0,L19,0)</f>
        <v>0</v>
      </c>
      <c r="K19" s="151" t="n">
        <f aca="false">I19+J19</f>
        <v>95.88</v>
      </c>
      <c r="L19" s="151" t="n">
        <f aca="false">F19-(I19-W19)</f>
        <v>-80.4650075642963</v>
      </c>
      <c r="M19" s="151" t="n">
        <v>292.49</v>
      </c>
      <c r="N19" s="151" t="n">
        <f aca="false">(AF19*1.05)/$D$2</f>
        <v>33.57034795764</v>
      </c>
      <c r="O19" s="151" t="n">
        <f aca="false">M19-N19</f>
        <v>258.91965204236</v>
      </c>
      <c r="P19" s="151" t="n">
        <v>159.78</v>
      </c>
      <c r="Q19" s="151" t="n">
        <f aca="false">(AE19-AE18)/$D$2</f>
        <v>89.7629853756934</v>
      </c>
      <c r="R19" s="151" t="n">
        <f aca="false">SUM(O19:Q19)</f>
        <v>508.462637418053</v>
      </c>
      <c r="S19" s="152" t="n">
        <f aca="false">(I19-R19)+S18</f>
        <v>-11098.3144478064</v>
      </c>
      <c r="T19" s="151" t="n">
        <f aca="false">(AD19-AD18)/$D$2</f>
        <v>201.714573877963</v>
      </c>
      <c r="U19" s="151" t="n">
        <v>68.44</v>
      </c>
      <c r="V19" s="152" t="n">
        <f aca="false">V18-U19</f>
        <v>4575.86</v>
      </c>
      <c r="W19" s="151" t="n">
        <f aca="false">R19+T19+N19+U19</f>
        <v>812.187559253656</v>
      </c>
      <c r="X19" s="151" t="n">
        <f aca="false">IF(L19&lt;0,L19*-1,0)</f>
        <v>80.4650075642963</v>
      </c>
      <c r="Y19" s="151" t="n">
        <f aca="false">W19+X19</f>
        <v>892.652566817953</v>
      </c>
      <c r="Z19" s="155" t="n">
        <v>0</v>
      </c>
      <c r="AA19" s="156" t="n">
        <v>84</v>
      </c>
      <c r="AB19" s="156" t="n">
        <v>60</v>
      </c>
      <c r="AC19" s="157" t="n">
        <f aca="false">AC18+1</f>
        <v>10</v>
      </c>
      <c r="AD19" s="173" t="n">
        <v>30244</v>
      </c>
      <c r="AE19" s="177" t="n">
        <v>16496</v>
      </c>
      <c r="AF19" s="177" t="n">
        <f aca="false">(AG19+AH19)-(AG18+AH18)</f>
        <v>63.4000000000001</v>
      </c>
      <c r="AG19" s="144" t="n">
        <v>3308.31</v>
      </c>
      <c r="AH19" s="144" t="n">
        <v>262.3</v>
      </c>
    </row>
    <row r="20" customFormat="false" ht="11.1" hidden="false" customHeight="true" outlineLevel="0" collapsed="false">
      <c r="A20" s="157" t="n">
        <f aca="false">A19+1</f>
        <v>11</v>
      </c>
      <c r="B20" s="175" t="n">
        <v>6908.29</v>
      </c>
      <c r="C20" s="152" t="n">
        <v>315201</v>
      </c>
      <c r="D20" s="156" t="n">
        <f aca="false">C20-C19</f>
        <v>-1304</v>
      </c>
      <c r="E20" s="152" t="n">
        <f aca="false">C20-152000</f>
        <v>163201</v>
      </c>
      <c r="F20" s="151" t="n">
        <f aca="false">D20/$D$2</f>
        <v>-657.589510842158</v>
      </c>
      <c r="G20" s="151" t="n">
        <v>99.61</v>
      </c>
      <c r="H20" s="153" t="n">
        <v>0</v>
      </c>
      <c r="I20" s="151" t="n">
        <f aca="false">G20+H20</f>
        <v>99.61</v>
      </c>
      <c r="J20" s="176" t="n">
        <f aca="false">IF(L20&gt;0,L20,0)</f>
        <v>77.6009178013111</v>
      </c>
      <c r="K20" s="151" t="n">
        <f aca="false">I20+J20</f>
        <v>177.210917801311</v>
      </c>
      <c r="L20" s="151" t="n">
        <f aca="false">F20-(I20-W20)</f>
        <v>77.6009178013111</v>
      </c>
      <c r="M20" s="151" t="n">
        <v>303.54</v>
      </c>
      <c r="N20" s="151" t="n">
        <f aca="false">(AF20*1.05)/$D$2</f>
        <v>34.2957639939486</v>
      </c>
      <c r="O20" s="151" t="n">
        <f aca="false">M20-N20</f>
        <v>269.244236006051</v>
      </c>
      <c r="P20" s="151" t="n">
        <v>159.21</v>
      </c>
      <c r="Q20" s="151" t="n">
        <f aca="false">(AE20-AE19)/$D$2</f>
        <v>90.7715582450832</v>
      </c>
      <c r="R20" s="151" t="n">
        <f aca="false">SUM(O20:Q20)</f>
        <v>519.225794251135</v>
      </c>
      <c r="S20" s="152" t="n">
        <f aca="false">(I20-R20)+S19</f>
        <v>-11517.9302420575</v>
      </c>
      <c r="T20" s="151" t="n">
        <f aca="false">(AD20-AD19)/$D$2</f>
        <v>209.278870398386</v>
      </c>
      <c r="U20" s="151" t="n">
        <v>72</v>
      </c>
      <c r="V20" s="152" t="n">
        <f aca="false">V19-70</f>
        <v>4505.86</v>
      </c>
      <c r="W20" s="151" t="n">
        <f aca="false">R20+T20+N20+U20</f>
        <v>834.800428643469</v>
      </c>
      <c r="X20" s="151" t="n">
        <f aca="false">IF(L20&lt;0,L20*-1,0)</f>
        <v>0</v>
      </c>
      <c r="Y20" s="151" t="n">
        <f aca="false">W20+X20</f>
        <v>834.800428643469</v>
      </c>
      <c r="Z20" s="155" t="n">
        <v>0</v>
      </c>
      <c r="AA20" s="156" t="n">
        <v>85</v>
      </c>
      <c r="AB20" s="156" t="n">
        <v>60</v>
      </c>
      <c r="AC20" s="157" t="n">
        <f aca="false">AC19+1</f>
        <v>11</v>
      </c>
      <c r="AD20" s="173" t="n">
        <v>30659</v>
      </c>
      <c r="AE20" s="177" t="n">
        <v>16676</v>
      </c>
      <c r="AF20" s="177" t="n">
        <f aca="false">(AG20+AH20)-(AG19+AH19)</f>
        <v>64.77</v>
      </c>
      <c r="AG20" s="186" t="n">
        <v>3339.87</v>
      </c>
      <c r="AH20" s="186" t="n">
        <v>295.51</v>
      </c>
      <c r="AI20" s="186"/>
    </row>
    <row r="21" customFormat="false" ht="11.1" hidden="false" customHeight="true" outlineLevel="0" collapsed="false">
      <c r="A21" s="157" t="n">
        <f aca="false">A20+1</f>
        <v>12</v>
      </c>
      <c r="B21" s="175" t="n">
        <v>6907.93</v>
      </c>
      <c r="C21" s="152" t="n">
        <v>313782</v>
      </c>
      <c r="D21" s="156" t="n">
        <f aca="false">C21-C20</f>
        <v>-1419</v>
      </c>
      <c r="E21" s="152" t="n">
        <f aca="false">C21-152000</f>
        <v>161782</v>
      </c>
      <c r="F21" s="151" t="n">
        <f aca="false">D21/$D$2</f>
        <v>-715.582450832073</v>
      </c>
      <c r="G21" s="151" t="n">
        <v>118.21</v>
      </c>
      <c r="H21" s="153" t="n">
        <v>0</v>
      </c>
      <c r="I21" s="151" t="n">
        <f aca="false">G21+H21</f>
        <v>118.21</v>
      </c>
      <c r="J21" s="176" t="n">
        <f aca="false">IF(L21&gt;0,L21,0)</f>
        <v>0</v>
      </c>
      <c r="K21" s="151" t="n">
        <f aca="false">I21+J21</f>
        <v>118.21</v>
      </c>
      <c r="L21" s="151" t="n">
        <f aca="false">F21-(I21-W21)</f>
        <v>-21.7420322743318</v>
      </c>
      <c r="M21" s="151" t="n">
        <v>286.22</v>
      </c>
      <c r="N21" s="151" t="n">
        <f aca="false">(AF21*1.05)/$D$2</f>
        <v>26.8350983358547</v>
      </c>
      <c r="O21" s="151" t="n">
        <f aca="false">M21-N21</f>
        <v>259.384901664145</v>
      </c>
      <c r="P21" s="151" t="n">
        <v>158.84</v>
      </c>
      <c r="Q21" s="151" t="n">
        <f aca="false">(AE21-AE20)/$D$2</f>
        <v>89.2586989409985</v>
      </c>
      <c r="R21" s="151" t="n">
        <f aca="false">SUM(O21:Q21)</f>
        <v>507.483600605144</v>
      </c>
      <c r="S21" s="152" t="n">
        <f aca="false">(I21-R21)+S20</f>
        <v>-11907.2038426626</v>
      </c>
      <c r="T21" s="151" t="n">
        <f aca="false">(AD21-AD20)/$D$2</f>
        <v>203.731719616742</v>
      </c>
      <c r="U21" s="151" t="n">
        <v>74</v>
      </c>
      <c r="V21" s="152" t="n">
        <f aca="false">V20-70</f>
        <v>4435.86</v>
      </c>
      <c r="W21" s="151" t="n">
        <f aca="false">R21+T21+N21+U21</f>
        <v>812.050418557741</v>
      </c>
      <c r="X21" s="151" t="n">
        <f aca="false">IF(L21&lt;0,L21*-1,0)</f>
        <v>21.7420322743318</v>
      </c>
      <c r="Y21" s="151" t="n">
        <f aca="false">W21+X21</f>
        <v>833.792450832073</v>
      </c>
      <c r="Z21" s="155" t="n">
        <v>0</v>
      </c>
      <c r="AA21" s="156" t="n">
        <v>92</v>
      </c>
      <c r="AB21" s="156" t="n">
        <v>64</v>
      </c>
      <c r="AC21" s="157" t="n">
        <f aca="false">AC20+1</f>
        <v>12</v>
      </c>
      <c r="AD21" s="173" t="n">
        <v>31063</v>
      </c>
      <c r="AE21" s="173" t="n">
        <v>16853</v>
      </c>
      <c r="AF21" s="177" t="n">
        <f aca="false">(AG21+AH21)-(AG20+AH20)</f>
        <v>50.6799999999998</v>
      </c>
      <c r="AG21" s="144" t="n">
        <v>3365.06</v>
      </c>
      <c r="AH21" s="144" t="n">
        <v>321</v>
      </c>
    </row>
    <row r="22" customFormat="false" ht="11.1" hidden="false" customHeight="true" outlineLevel="0" collapsed="false">
      <c r="A22" s="157" t="n">
        <f aca="false">A21+1</f>
        <v>13</v>
      </c>
      <c r="B22" s="175" t="n">
        <v>6907.59</v>
      </c>
      <c r="C22" s="152" t="n">
        <v>312449</v>
      </c>
      <c r="D22" s="156" t="n">
        <f aca="false">C22-C21</f>
        <v>-1333</v>
      </c>
      <c r="E22" s="152" t="n">
        <f aca="false">C22-152000</f>
        <v>160449</v>
      </c>
      <c r="F22" s="151" t="n">
        <f aca="false">D22/$D$2</f>
        <v>-672.213817448311</v>
      </c>
      <c r="G22" s="151" t="n">
        <v>111.09</v>
      </c>
      <c r="H22" s="153" t="n">
        <v>0</v>
      </c>
      <c r="I22" s="151" t="n">
        <f aca="false">G22+H22</f>
        <v>111.09</v>
      </c>
      <c r="J22" s="176" t="n">
        <f aca="false">IF(L22&gt;0,L22,0)</f>
        <v>9.80659606656582</v>
      </c>
      <c r="K22" s="151" t="n">
        <f aca="false">I22+J22</f>
        <v>120.896596066566</v>
      </c>
      <c r="L22" s="151" t="n">
        <f aca="false">F22-(I22-W22)</f>
        <v>9.80659606656582</v>
      </c>
      <c r="M22" s="151" t="n">
        <v>270.38</v>
      </c>
      <c r="N22" s="151" t="n">
        <f aca="false">(AF22*1.05)/$D$2</f>
        <v>17.1558245083208</v>
      </c>
      <c r="O22" s="151" t="n">
        <f aca="false">M22-N22</f>
        <v>253.224175491679</v>
      </c>
      <c r="P22" s="151" t="n">
        <v>158.27</v>
      </c>
      <c r="Q22" s="151" t="n">
        <f aca="false">(AE22-AE21)/$D$2</f>
        <v>82.7029752899647</v>
      </c>
      <c r="R22" s="151" t="n">
        <f aca="false">SUM(O22:Q22)</f>
        <v>494.197150781644</v>
      </c>
      <c r="S22" s="152" t="n">
        <f aca="false">(I22-R22)+S21</f>
        <v>-12290.3109934443</v>
      </c>
      <c r="T22" s="151" t="n">
        <f aca="false">(AD22-AD21)/$D$2</f>
        <v>206.757438224912</v>
      </c>
      <c r="U22" s="151" t="n">
        <v>75</v>
      </c>
      <c r="V22" s="152" t="n">
        <f aca="false">V21-70</f>
        <v>4365.86</v>
      </c>
      <c r="W22" s="151" t="n">
        <f aca="false">R22+T22+N22+U22</f>
        <v>793.110413514876</v>
      </c>
      <c r="X22" s="151" t="n">
        <f aca="false">IF(L22&lt;0,L22*-1,0)</f>
        <v>0</v>
      </c>
      <c r="Y22" s="151" t="n">
        <f aca="false">W22+X22</f>
        <v>793.110413514876</v>
      </c>
      <c r="Z22" s="155" t="n">
        <v>0.13</v>
      </c>
      <c r="AA22" s="156" t="n">
        <v>90</v>
      </c>
      <c r="AB22" s="156" t="n">
        <v>56</v>
      </c>
      <c r="AC22" s="157" t="n">
        <f aca="false">AC21+1</f>
        <v>13</v>
      </c>
      <c r="AD22" s="173" t="n">
        <v>31473</v>
      </c>
      <c r="AE22" s="173" t="n">
        <v>17017</v>
      </c>
      <c r="AF22" s="177" t="n">
        <f aca="false">(AG22+AH22)-(AG21+AH21)</f>
        <v>32.4000000000001</v>
      </c>
      <c r="AG22" s="144" t="n">
        <v>3380.9</v>
      </c>
      <c r="AH22" s="144" t="n">
        <v>337.56</v>
      </c>
    </row>
    <row r="23" customFormat="false" ht="11.1" hidden="false" customHeight="true" outlineLevel="0" collapsed="false">
      <c r="A23" s="157" t="n">
        <f aca="false">A22+1</f>
        <v>14</v>
      </c>
      <c r="B23" s="175" t="n">
        <v>6907.29</v>
      </c>
      <c r="C23" s="152" t="n">
        <v>311196</v>
      </c>
      <c r="D23" s="156" t="n">
        <f aca="false">C23-C22</f>
        <v>-1253</v>
      </c>
      <c r="E23" s="152" t="n">
        <f aca="false">C23-152000</f>
        <v>159196</v>
      </c>
      <c r="F23" s="151" t="n">
        <f aca="false">D23/$D$2</f>
        <v>-631.870902672718</v>
      </c>
      <c r="G23" s="151" t="n">
        <v>112.46</v>
      </c>
      <c r="H23" s="153" t="n">
        <v>0</v>
      </c>
      <c r="I23" s="151" t="n">
        <f aca="false">G23+H23</f>
        <v>112.46</v>
      </c>
      <c r="J23" s="176" t="n">
        <f aca="false">IF(L23&gt;0,L23,0)</f>
        <v>78.3395410993444</v>
      </c>
      <c r="K23" s="151" t="n">
        <f aca="false">I23+J23</f>
        <v>190.799541099344</v>
      </c>
      <c r="L23" s="151" t="n">
        <f aca="false">F23-(I23-W23)</f>
        <v>78.3395410993444</v>
      </c>
      <c r="M23" s="151" t="n">
        <v>276.87</v>
      </c>
      <c r="N23" s="151" t="n">
        <f aca="false">(AF23*1.05)/$D$2</f>
        <v>15.5037821482601</v>
      </c>
      <c r="O23" s="151" t="n">
        <f aca="false">M23-N23</f>
        <v>261.36621785174</v>
      </c>
      <c r="P23" s="151" t="n">
        <v>159.16</v>
      </c>
      <c r="Q23" s="151" t="n">
        <f aca="false">(AE23-AE22)/$D$2</f>
        <v>103.378719112456</v>
      </c>
      <c r="R23" s="151" t="n">
        <f aca="false">SUM(O23:Q23)</f>
        <v>523.904936964196</v>
      </c>
      <c r="S23" s="152" t="n">
        <f aca="false">(I23-R23)+S22</f>
        <v>-12701.7559304085</v>
      </c>
      <c r="T23" s="151" t="n">
        <f aca="false">(AD23-AD22)/$D$2</f>
        <v>207.261724659607</v>
      </c>
      <c r="U23" s="151" t="n">
        <v>76</v>
      </c>
      <c r="V23" s="152" t="n">
        <f aca="false">V22-70</f>
        <v>4295.86</v>
      </c>
      <c r="W23" s="151" t="n">
        <f aca="false">R23+T23+N23+U23</f>
        <v>822.670443772063</v>
      </c>
      <c r="X23" s="151" t="n">
        <f aca="false">IF(L23&lt;0,L23*-1,0)</f>
        <v>0</v>
      </c>
      <c r="Y23" s="151" t="n">
        <f aca="false">W23+X23</f>
        <v>822.670443772063</v>
      </c>
      <c r="Z23" s="155" t="n">
        <v>0.27</v>
      </c>
      <c r="AA23" s="185" t="n">
        <v>88</v>
      </c>
      <c r="AB23" s="156" t="n">
        <v>59</v>
      </c>
      <c r="AC23" s="157" t="n">
        <f aca="false">AC22+1</f>
        <v>14</v>
      </c>
      <c r="AD23" s="173" t="n">
        <v>31884</v>
      </c>
      <c r="AE23" s="173" t="n">
        <v>17222</v>
      </c>
      <c r="AF23" s="177" t="n">
        <f aca="false">(AG23+AH23)-(AG22+AH22)</f>
        <v>29.2799999999997</v>
      </c>
      <c r="AG23" s="144" t="n">
        <v>3397.48</v>
      </c>
      <c r="AH23" s="144" t="n">
        <v>350.26</v>
      </c>
    </row>
    <row r="24" customFormat="false" ht="11.1" hidden="false" customHeight="true" outlineLevel="0" collapsed="false">
      <c r="A24" s="157" t="n">
        <f aca="false">A23+1</f>
        <v>15</v>
      </c>
      <c r="B24" s="175" t="n">
        <v>6906.95</v>
      </c>
      <c r="C24" s="152" t="n">
        <v>309944</v>
      </c>
      <c r="D24" s="156" t="n">
        <f aca="false">C24-C23</f>
        <v>-1252</v>
      </c>
      <c r="E24" s="152" t="n">
        <f aca="false">C24-152000</f>
        <v>157944</v>
      </c>
      <c r="F24" s="151" t="n">
        <f aca="false">D24/$D$2</f>
        <v>-631.366616238023</v>
      </c>
      <c r="G24" s="151" t="n">
        <v>126.61</v>
      </c>
      <c r="H24" s="153" t="n">
        <v>0</v>
      </c>
      <c r="I24" s="151" t="n">
        <v>92</v>
      </c>
      <c r="J24" s="176" t="n">
        <f aca="false">IF(L24&gt;0,L24,0)</f>
        <v>42.3380433686334</v>
      </c>
      <c r="K24" s="151" t="n">
        <f aca="false">I24+J24</f>
        <v>134.338043368633</v>
      </c>
      <c r="L24" s="151" t="n">
        <f aca="false">F24-(I24-W24)</f>
        <v>42.3380433686334</v>
      </c>
      <c r="M24" s="151" t="n">
        <v>266.62</v>
      </c>
      <c r="N24" s="151" t="n">
        <f aca="false">(AF24*1.05)/$D$2</f>
        <v>24.6006051437217</v>
      </c>
      <c r="O24" s="151" t="n">
        <f aca="false">M24-N24</f>
        <v>242.019394856278</v>
      </c>
      <c r="P24" s="151" t="n">
        <v>159.36</v>
      </c>
      <c r="Q24" s="151" t="n">
        <f aca="false">(AE24-AE23)/$D$2</f>
        <v>85.2244074634392</v>
      </c>
      <c r="R24" s="151" t="n">
        <f aca="false">SUM(O24:Q24)</f>
        <v>486.603802319718</v>
      </c>
      <c r="S24" s="152" t="n">
        <f aca="false">(I24-R24)+S23</f>
        <v>-13096.3597327282</v>
      </c>
      <c r="T24" s="151" t="n">
        <f aca="false">(AD24-AD23)/$D$2</f>
        <v>176.500252143217</v>
      </c>
      <c r="U24" s="151" t="n">
        <v>78</v>
      </c>
      <c r="V24" s="152" t="n">
        <f aca="false">V23-70</f>
        <v>4225.86</v>
      </c>
      <c r="W24" s="151" t="n">
        <f aca="false">R24+T24+N24+U24</f>
        <v>765.704659606657</v>
      </c>
      <c r="X24" s="151" t="n">
        <f aca="false">IF(L24&lt;0,L24*-1,0)</f>
        <v>0</v>
      </c>
      <c r="Y24" s="151" t="n">
        <f aca="false">W24+X24</f>
        <v>765.704659606657</v>
      </c>
      <c r="Z24" s="155" t="n">
        <v>0</v>
      </c>
      <c r="AA24" s="185" t="n">
        <v>85</v>
      </c>
      <c r="AB24" s="156" t="n">
        <v>50</v>
      </c>
      <c r="AC24" s="157" t="n">
        <f aca="false">AC23+1</f>
        <v>15</v>
      </c>
      <c r="AD24" s="173" t="n">
        <v>32234</v>
      </c>
      <c r="AE24" s="173" t="n">
        <v>17391</v>
      </c>
      <c r="AF24" s="177" t="n">
        <f aca="false">(AG24+AH24)-(AG23+AH23)</f>
        <v>46.46</v>
      </c>
      <c r="AG24" s="144" t="n">
        <v>3418</v>
      </c>
      <c r="AH24" s="144" t="n">
        <v>376.2</v>
      </c>
    </row>
    <row r="25" customFormat="false" ht="11.1" hidden="false" customHeight="true" outlineLevel="0" collapsed="false">
      <c r="A25" s="157" t="n">
        <f aca="false">A24+1</f>
        <v>16</v>
      </c>
      <c r="B25" s="175" t="n">
        <v>6906.61</v>
      </c>
      <c r="C25" s="152" t="n">
        <v>308622</v>
      </c>
      <c r="D25" s="156" t="n">
        <f aca="false">C25-C24</f>
        <v>-1322</v>
      </c>
      <c r="E25" s="152" t="n">
        <f aca="false">C25-152000</f>
        <v>156622</v>
      </c>
      <c r="F25" s="151" t="n">
        <f aca="false">D25/$D$2</f>
        <v>-666.666666666667</v>
      </c>
      <c r="G25" s="151" t="n">
        <v>117.49</v>
      </c>
      <c r="H25" s="153" t="n">
        <v>0</v>
      </c>
      <c r="I25" s="151" t="n">
        <f aca="false">G25+H25</f>
        <v>117.49</v>
      </c>
      <c r="J25" s="176" t="n">
        <f aca="false">IF(L25&gt;0,L25,0)</f>
        <v>0</v>
      </c>
      <c r="K25" s="151" t="n">
        <f aca="false">I25+J25</f>
        <v>117.49</v>
      </c>
      <c r="L25" s="151" t="n">
        <f aca="false">F25-(I25-W25)</f>
        <v>-9.77627332324755</v>
      </c>
      <c r="M25" s="151" t="n">
        <v>261.61</v>
      </c>
      <c r="N25" s="151" t="n">
        <f aca="false">(AF25*1.05)/$D$2</f>
        <v>22.2178517397882</v>
      </c>
      <c r="O25" s="151" t="n">
        <f aca="false">M25-N25</f>
        <v>239.392148260212</v>
      </c>
      <c r="P25" s="151" t="n">
        <v>158.43</v>
      </c>
      <c r="Q25" s="151" t="n">
        <f aca="false">(AE25-AE24)/$D$2</f>
        <v>85.2244074634392</v>
      </c>
      <c r="R25" s="151" t="n">
        <f aca="false">SUM(O25:Q25)</f>
        <v>483.046555723651</v>
      </c>
      <c r="S25" s="152" t="n">
        <f aca="false">(I25-R25)+S24</f>
        <v>-13461.9162884518</v>
      </c>
      <c r="T25" s="151" t="n">
        <f aca="false">(AD25-AD24)/$D$2</f>
        <v>190.11598587998</v>
      </c>
      <c r="U25" s="151" t="n">
        <v>79</v>
      </c>
      <c r="V25" s="152" t="n">
        <f aca="false">V24-70</f>
        <v>4155.86</v>
      </c>
      <c r="W25" s="151" t="n">
        <f aca="false">R25+T25+N25+U25</f>
        <v>774.380393343419</v>
      </c>
      <c r="X25" s="151" t="n">
        <f aca="false">IF(L25&lt;0,L25*-1,0)</f>
        <v>9.77627332324755</v>
      </c>
      <c r="Y25" s="151" t="n">
        <f aca="false">W25+X25</f>
        <v>784.156666666667</v>
      </c>
      <c r="Z25" s="155" t="n">
        <v>0</v>
      </c>
      <c r="AA25" s="185" t="n">
        <v>85</v>
      </c>
      <c r="AB25" s="156" t="n">
        <v>57</v>
      </c>
      <c r="AC25" s="157" t="n">
        <f aca="false">AC24+1</f>
        <v>16</v>
      </c>
      <c r="AD25" s="173" t="n">
        <v>32611</v>
      </c>
      <c r="AE25" s="173" t="n">
        <v>17560</v>
      </c>
      <c r="AF25" s="177" t="n">
        <f aca="false">(AG25+AH25)-(AG24+AH24)</f>
        <v>41.96</v>
      </c>
      <c r="AG25" s="144" t="n">
        <v>3438.91</v>
      </c>
      <c r="AH25" s="144" t="n">
        <v>397.25</v>
      </c>
    </row>
    <row r="26" customFormat="false" ht="11.1" hidden="false" customHeight="true" outlineLevel="0" collapsed="false">
      <c r="A26" s="157" t="n">
        <f aca="false">A25+1</f>
        <v>17</v>
      </c>
      <c r="B26" s="175" t="n">
        <v>6906.27</v>
      </c>
      <c r="C26" s="152" t="n">
        <v>307301</v>
      </c>
      <c r="D26" s="156" t="n">
        <f aca="false">C26-C25</f>
        <v>-1321</v>
      </c>
      <c r="E26" s="152" t="n">
        <f aca="false">C26-152000</f>
        <v>155301</v>
      </c>
      <c r="F26" s="151" t="n">
        <f aca="false">D26/$D$2</f>
        <v>-666.162380231972</v>
      </c>
      <c r="G26" s="151" t="n">
        <v>102.96</v>
      </c>
      <c r="H26" s="153" t="n">
        <v>0</v>
      </c>
      <c r="I26" s="151" t="n">
        <f aca="false">G26+H26</f>
        <v>102.96</v>
      </c>
      <c r="J26" s="176" t="n">
        <f aca="false">IF(L26&gt;0,L26,0)</f>
        <v>0</v>
      </c>
      <c r="K26" s="151" t="n">
        <f aca="false">I26+J26</f>
        <v>102.96</v>
      </c>
      <c r="L26" s="151" t="n">
        <f aca="false">F26-(I26-W26)</f>
        <v>-6.63057488653556</v>
      </c>
      <c r="M26" s="151" t="n">
        <v>261.31</v>
      </c>
      <c r="N26" s="151" t="n">
        <f aca="false">(AF26*1.05)/$D$2</f>
        <v>21.105900151286</v>
      </c>
      <c r="O26" s="151" t="n">
        <f aca="false">M26-N26</f>
        <v>240.204099848714</v>
      </c>
      <c r="P26" s="151" t="n">
        <v>157.44</v>
      </c>
      <c r="Q26" s="151" t="n">
        <f aca="false">(AE26-AE25)/$D$2</f>
        <v>82.7029752899647</v>
      </c>
      <c r="R26" s="151" t="n">
        <f aca="false">SUM(O26:Q26)</f>
        <v>480.347075138679</v>
      </c>
      <c r="S26" s="152" t="n">
        <f aca="false">(I26-R26)+S25</f>
        <v>-13839.3033635905</v>
      </c>
      <c r="T26" s="151" t="n">
        <f aca="false">(AD26-AD25)/$D$2</f>
        <v>181.038830055472</v>
      </c>
      <c r="U26" s="151" t="n">
        <v>80</v>
      </c>
      <c r="V26" s="152" t="n">
        <f aca="false">V25-70</f>
        <v>4085.86</v>
      </c>
      <c r="W26" s="151" t="n">
        <f aca="false">R26+T26+N26+U26</f>
        <v>762.491805345436</v>
      </c>
      <c r="X26" s="151" t="n">
        <f aca="false">IF(L26&lt;0,L26*-1,0)</f>
        <v>6.63057488653556</v>
      </c>
      <c r="Y26" s="151" t="n">
        <f aca="false">W26+X26</f>
        <v>769.122380231972</v>
      </c>
      <c r="Z26" s="155" t="n">
        <v>0</v>
      </c>
      <c r="AA26" s="185" t="n">
        <v>95</v>
      </c>
      <c r="AB26" s="156" t="n">
        <v>58</v>
      </c>
      <c r="AC26" s="157" t="n">
        <f aca="false">AC25+1</f>
        <v>17</v>
      </c>
      <c r="AD26" s="173" t="n">
        <v>32970</v>
      </c>
      <c r="AE26" s="173" t="n">
        <v>17724</v>
      </c>
      <c r="AF26" s="177" t="n">
        <f aca="false">(AG26+AH26)-(AG25+AH25)</f>
        <v>39.8600000000001</v>
      </c>
      <c r="AG26" s="144" t="n">
        <v>3458.63</v>
      </c>
      <c r="AH26" s="144" t="n">
        <v>417.39</v>
      </c>
    </row>
    <row r="27" customFormat="false" ht="11.1" hidden="false" customHeight="true" outlineLevel="0" collapsed="false">
      <c r="A27" s="157" t="n">
        <f aca="false">A26+1</f>
        <v>18</v>
      </c>
      <c r="B27" s="175" t="n">
        <v>6905.94</v>
      </c>
      <c r="C27" s="152" t="n">
        <v>306020</v>
      </c>
      <c r="D27" s="156" t="n">
        <f aca="false">C27-C26</f>
        <v>-1281</v>
      </c>
      <c r="E27" s="152" t="n">
        <f aca="false">C27-152000</f>
        <v>154020</v>
      </c>
      <c r="F27" s="151" t="n">
        <f aca="false">D27/$D$2</f>
        <v>-645.990922844175</v>
      </c>
      <c r="G27" s="151" t="n">
        <v>95.88</v>
      </c>
      <c r="H27" s="153" t="n">
        <v>0</v>
      </c>
      <c r="I27" s="151" t="n">
        <f aca="false">G27+H27</f>
        <v>95.88</v>
      </c>
      <c r="J27" s="176" t="n">
        <f aca="false">IF(L27&gt;0,L27,0)</f>
        <v>35.9580282400404</v>
      </c>
      <c r="K27" s="151" t="n">
        <f aca="false">I27+J27</f>
        <v>131.83802824004</v>
      </c>
      <c r="L27" s="151" t="n">
        <f aca="false">F27-(I27-W27)</f>
        <v>35.9580282400404</v>
      </c>
      <c r="M27" s="151" t="n">
        <v>272.96</v>
      </c>
      <c r="N27" s="151" t="n">
        <f aca="false">(AF27*1.05)/$D$2</f>
        <v>26.6285930408474</v>
      </c>
      <c r="O27" s="151" t="n">
        <f aca="false">M27-N27</f>
        <v>246.331406959153</v>
      </c>
      <c r="P27" s="151" t="n">
        <v>158.11</v>
      </c>
      <c r="Q27" s="151" t="n">
        <f aca="false">(AE27-AE26)/$D$2</f>
        <v>87.7458396369138</v>
      </c>
      <c r="R27" s="151" t="n">
        <f aca="false">SUM(O27:Q27)</f>
        <v>492.187246596066</v>
      </c>
      <c r="S27" s="152" t="n">
        <f aca="false">(I27-R27)+S26</f>
        <v>-14235.6106101866</v>
      </c>
      <c r="T27" s="151" t="n">
        <f aca="false">(AD27-AD26)/$D$2</f>
        <v>178.013111447302</v>
      </c>
      <c r="U27" s="151" t="n">
        <v>81</v>
      </c>
      <c r="V27" s="152" t="n">
        <f aca="false">V26-70</f>
        <v>4015.86</v>
      </c>
      <c r="W27" s="151" t="n">
        <f aca="false">R27+T27+N27+U27</f>
        <v>777.828951084216</v>
      </c>
      <c r="X27" s="151" t="n">
        <f aca="false">IF(L27&lt;0,L27*-1,0)</f>
        <v>0</v>
      </c>
      <c r="Y27" s="151" t="n">
        <f aca="false">W27+X27</f>
        <v>777.828951084216</v>
      </c>
      <c r="Z27" s="155" t="n">
        <v>0.06</v>
      </c>
      <c r="AA27" s="185" t="n">
        <v>89</v>
      </c>
      <c r="AB27" s="156" t="n">
        <v>61</v>
      </c>
      <c r="AC27" s="157" t="n">
        <f aca="false">AC26+1</f>
        <v>18</v>
      </c>
      <c r="AD27" s="173" t="n">
        <v>33323</v>
      </c>
      <c r="AE27" s="173" t="n">
        <v>17898</v>
      </c>
      <c r="AF27" s="177" t="n">
        <f aca="false">(AG27+AH27)-(AG26+AH26)</f>
        <v>50.2900000000004</v>
      </c>
      <c r="AG27" s="144" t="n">
        <v>3482.82</v>
      </c>
      <c r="AH27" s="144" t="n">
        <v>443.49</v>
      </c>
    </row>
    <row r="28" customFormat="false" ht="11.1" hidden="false" customHeight="true" outlineLevel="0" collapsed="false">
      <c r="A28" s="157" t="n">
        <f aca="false">A27+1</f>
        <v>19</v>
      </c>
      <c r="B28" s="175" t="n">
        <v>6905.62</v>
      </c>
      <c r="C28" s="46" t="n">
        <v>304786</v>
      </c>
      <c r="D28" s="156" t="n">
        <f aca="false">C28-C27</f>
        <v>-1234</v>
      </c>
      <c r="E28" s="152" t="n">
        <f aca="false">C28-152000</f>
        <v>152786</v>
      </c>
      <c r="F28" s="151" t="n">
        <f aca="false">D28/$D$2</f>
        <v>-622.289460413515</v>
      </c>
      <c r="G28" s="151" t="n">
        <v>99.52</v>
      </c>
      <c r="H28" s="153" t="n">
        <v>0</v>
      </c>
      <c r="I28" s="151" t="n">
        <f aca="false">G28+H28</f>
        <v>99.52</v>
      </c>
      <c r="J28" s="176" t="n">
        <f aca="false">IF(L28&gt;0,L28,0)</f>
        <v>3.96085728693902</v>
      </c>
      <c r="K28" s="151" t="n">
        <f aca="false">I28+J28</f>
        <v>103.480857286939</v>
      </c>
      <c r="L28" s="151" t="n">
        <f aca="false">F28-(I28-W28)</f>
        <v>3.96085728693902</v>
      </c>
      <c r="M28" s="151" t="n">
        <v>260.32</v>
      </c>
      <c r="N28" s="151" t="n">
        <f aca="false">(AF28*1.05)/$D$2</f>
        <v>20.9947049924355</v>
      </c>
      <c r="O28" s="151" t="n">
        <f aca="false">M28-N28</f>
        <v>239.325295007564</v>
      </c>
      <c r="P28" s="151" t="n">
        <v>158.06</v>
      </c>
      <c r="Q28" s="151" t="n">
        <f aca="false">(AE28-AE27)/$D$2</f>
        <v>74.6343923348462</v>
      </c>
      <c r="R28" s="151" t="n">
        <f aca="false">SUM(O28:Q28)</f>
        <v>472.019687342411</v>
      </c>
      <c r="S28" s="152" t="n">
        <f aca="false">(I28-R28)+S27</f>
        <v>-14608.110297529</v>
      </c>
      <c r="T28" s="151" t="n">
        <f aca="false">(AD28-AD27)/$D$2</f>
        <v>147.755925365608</v>
      </c>
      <c r="U28" s="151" t="n">
        <v>85</v>
      </c>
      <c r="V28" s="152" t="n">
        <f aca="false">V27-70</f>
        <v>3945.86</v>
      </c>
      <c r="W28" s="151" t="n">
        <f aca="false">R28+T28+N28+U28</f>
        <v>725.770317700454</v>
      </c>
      <c r="X28" s="151" t="n">
        <f aca="false">IF(L28&lt;0,L28*-1,0)</f>
        <v>0</v>
      </c>
      <c r="Y28" s="151" t="n">
        <f aca="false">W28+X28</f>
        <v>725.770317700454</v>
      </c>
      <c r="Z28" s="155" t="n">
        <v>0</v>
      </c>
      <c r="AA28" s="185" t="n">
        <v>82</v>
      </c>
      <c r="AB28" s="156" t="n">
        <v>58</v>
      </c>
      <c r="AC28" s="157" t="n">
        <f aca="false">AC27+1</f>
        <v>19</v>
      </c>
      <c r="AD28" s="173" t="n">
        <v>33616</v>
      </c>
      <c r="AE28" s="173" t="n">
        <v>18046</v>
      </c>
      <c r="AF28" s="177" t="n">
        <f aca="false">(AG28+AH28)-(AG27+AH27)</f>
        <v>39.6499999999996</v>
      </c>
      <c r="AG28" s="144" t="n">
        <v>3502</v>
      </c>
      <c r="AH28" s="144" t="n">
        <v>463.96</v>
      </c>
    </row>
    <row r="29" customFormat="false" ht="11.1" hidden="false" customHeight="true" outlineLevel="0" collapsed="false">
      <c r="A29" s="157" t="n">
        <f aca="false">A28+1</f>
        <v>20</v>
      </c>
      <c r="B29" s="175" t="n">
        <v>6905.36</v>
      </c>
      <c r="C29" s="152" t="n">
        <v>303784</v>
      </c>
      <c r="D29" s="156" t="n">
        <f aca="false">C29-C28</f>
        <v>-1002</v>
      </c>
      <c r="E29" s="152" t="n">
        <f aca="false">C29-152000</f>
        <v>151784</v>
      </c>
      <c r="F29" s="151" t="n">
        <f aca="false">D29/$D$2</f>
        <v>-505.295007564297</v>
      </c>
      <c r="G29" s="151" t="n">
        <v>114.11</v>
      </c>
      <c r="H29" s="153" t="n">
        <v>0</v>
      </c>
      <c r="I29" s="151" t="n">
        <f aca="false">G29+H29</f>
        <v>114.11</v>
      </c>
      <c r="J29" s="176" t="n">
        <f aca="false">IF(L29&gt;0,L29,0)</f>
        <v>97.575320221886</v>
      </c>
      <c r="K29" s="151" t="n">
        <f aca="false">I29+J29</f>
        <v>211.685320221886</v>
      </c>
      <c r="L29" s="151" t="n">
        <f aca="false">F29-(I29-W29)</f>
        <v>97.575320221886</v>
      </c>
      <c r="M29" s="151" t="n">
        <v>241.15</v>
      </c>
      <c r="N29" s="151" t="n">
        <f aca="false">(AF29*1.05)/$D$2</f>
        <v>19.9198184568835</v>
      </c>
      <c r="O29" s="151" t="n">
        <f aca="false">M29-N29</f>
        <v>221.230181543117</v>
      </c>
      <c r="P29" s="151" t="n">
        <v>157.38</v>
      </c>
      <c r="Q29" s="151" t="n">
        <f aca="false">(AE29-AE28)/$D$2</f>
        <v>79.1729702471004</v>
      </c>
      <c r="R29" s="151" t="n">
        <f aca="false">SUM(O29:Q29)</f>
        <v>457.783151790217</v>
      </c>
      <c r="S29" s="152" t="n">
        <f aca="false">(I29-R29)+S28</f>
        <v>-14951.7834493192</v>
      </c>
      <c r="T29" s="151" t="n">
        <f aca="false">(AD29-AD28)/$D$2</f>
        <v>150.277357539082</v>
      </c>
      <c r="U29" s="151" t="n">
        <v>89</v>
      </c>
      <c r="V29" s="152" t="n">
        <f aca="false">V28-70</f>
        <v>3875.86</v>
      </c>
      <c r="W29" s="151" t="n">
        <f aca="false">R29+T29+N29+U29</f>
        <v>716.980327786183</v>
      </c>
      <c r="X29" s="151" t="n">
        <f aca="false">IF(L29&lt;0,L29*-1,0)</f>
        <v>0</v>
      </c>
      <c r="Y29" s="151" t="n">
        <f aca="false">W29+X29</f>
        <v>716.980327786183</v>
      </c>
      <c r="Z29" s="155" t="n">
        <v>0</v>
      </c>
      <c r="AA29" s="185" t="n">
        <v>80</v>
      </c>
      <c r="AB29" s="156" t="n">
        <v>62</v>
      </c>
      <c r="AC29" s="157" t="n">
        <f aca="false">AC28+1</f>
        <v>20</v>
      </c>
      <c r="AD29" s="173" t="n">
        <v>33914</v>
      </c>
      <c r="AE29" s="173" t="n">
        <v>18203</v>
      </c>
      <c r="AF29" s="177" t="n">
        <f aca="false">(AG29+AH29)-(AG28+AH28)</f>
        <v>37.6199999999999</v>
      </c>
      <c r="AG29" s="144" t="n">
        <v>3520</v>
      </c>
      <c r="AH29" s="144" t="n">
        <v>483.58</v>
      </c>
    </row>
    <row r="30" customFormat="false" ht="11.1" hidden="false" customHeight="true" outlineLevel="0" collapsed="false">
      <c r="A30" s="157" t="n">
        <f aca="false">A29+1</f>
        <v>21</v>
      </c>
      <c r="B30" s="175" t="n">
        <v>6905.03</v>
      </c>
      <c r="C30" s="152" t="n">
        <v>302511</v>
      </c>
      <c r="D30" s="156" t="n">
        <f aca="false">C30-C29</f>
        <v>-1273</v>
      </c>
      <c r="E30" s="152" t="n">
        <f aca="false">C30-152000</f>
        <v>150511</v>
      </c>
      <c r="F30" s="151" t="n">
        <f aca="false">D30/$D$2</f>
        <v>-641.956631366616</v>
      </c>
      <c r="G30" s="151" t="n">
        <v>130.52</v>
      </c>
      <c r="H30" s="153" t="n">
        <v>0</v>
      </c>
      <c r="I30" s="151" t="n">
        <f aca="false">G30+H30</f>
        <v>130.52</v>
      </c>
      <c r="J30" s="176" t="n">
        <f aca="false">IF(L30&gt;0,L30,0)</f>
        <v>0</v>
      </c>
      <c r="K30" s="151" t="n">
        <f aca="false">I30+J30</f>
        <v>130.52</v>
      </c>
      <c r="L30" s="151" t="n">
        <f aca="false">F30-(I30-W30)</f>
        <v>-52.3048613212304</v>
      </c>
      <c r="M30" s="151" t="n">
        <v>233.4</v>
      </c>
      <c r="N30" s="151" t="n">
        <f aca="false">(AF30*1.05)/$D$2</f>
        <v>20.6028744326777</v>
      </c>
      <c r="O30" s="151" t="n">
        <f aca="false">M30-N30</f>
        <v>212.797125567322</v>
      </c>
      <c r="P30" s="151" t="n">
        <v>158.74</v>
      </c>
      <c r="Q30" s="151" t="n">
        <f aca="false">(AE30-AE29)/$D$2</f>
        <v>80.1815431164902</v>
      </c>
      <c r="R30" s="151" t="n">
        <f aca="false">SUM(O30:Q30)</f>
        <v>451.718668683813</v>
      </c>
      <c r="S30" s="152" t="n">
        <f aca="false">(I30-R30)+S29</f>
        <v>-15272.982118003</v>
      </c>
      <c r="T30" s="151" t="n">
        <f aca="false">(AD30-AD29)/$D$2</f>
        <v>158.850226928896</v>
      </c>
      <c r="U30" s="151" t="n">
        <v>89</v>
      </c>
      <c r="V30" s="152" t="n">
        <f aca="false">V29-70</f>
        <v>3805.86</v>
      </c>
      <c r="W30" s="151" t="n">
        <f aca="false">R30+T30+N30+U30</f>
        <v>720.171770045386</v>
      </c>
      <c r="X30" s="151" t="n">
        <f aca="false">IF(L30&lt;0,L30*-1,0)</f>
        <v>52.3048613212304</v>
      </c>
      <c r="Y30" s="151" t="n">
        <f aca="false">W30+X30</f>
        <v>772.476631366616</v>
      </c>
      <c r="Z30" s="155" t="n">
        <v>0.02</v>
      </c>
      <c r="AA30" s="156" t="n">
        <v>84</v>
      </c>
      <c r="AB30" s="156" t="n">
        <v>62</v>
      </c>
      <c r="AC30" s="157" t="n">
        <f aca="false">AC29+1</f>
        <v>21</v>
      </c>
      <c r="AD30" s="173" t="n">
        <v>34229</v>
      </c>
      <c r="AE30" s="173" t="n">
        <v>18362</v>
      </c>
      <c r="AF30" s="177" t="n">
        <f aca="false">(AG30+AH30)-(AG29+AH29)</f>
        <v>38.9099999999999</v>
      </c>
      <c r="AG30" s="144" t="n">
        <v>3539</v>
      </c>
      <c r="AH30" s="144" t="n">
        <v>503.49</v>
      </c>
    </row>
    <row r="31" customFormat="false" ht="11.1" hidden="false" customHeight="true" outlineLevel="0" collapsed="false">
      <c r="A31" s="157" t="n">
        <f aca="false">A30+1</f>
        <v>22</v>
      </c>
      <c r="B31" s="175" t="n">
        <v>6904.72</v>
      </c>
      <c r="C31" s="152" t="n">
        <v>301325</v>
      </c>
      <c r="D31" s="156" t="n">
        <f aca="false">C31-C30</f>
        <v>-1186</v>
      </c>
      <c r="E31" s="152" t="n">
        <f aca="false">C31-152000</f>
        <v>149325</v>
      </c>
      <c r="F31" s="151" t="n">
        <f aca="false">D31/$D$2</f>
        <v>-598.083711548159</v>
      </c>
      <c r="G31" s="151" t="n">
        <v>114.56</v>
      </c>
      <c r="H31" s="153" t="n">
        <v>0</v>
      </c>
      <c r="I31" s="151" t="n">
        <f aca="false">G31+H31</f>
        <v>114.56</v>
      </c>
      <c r="J31" s="176" t="n">
        <f aca="false">IF(L31&gt;0,L31,0)</f>
        <v>7.85804841149798</v>
      </c>
      <c r="K31" s="151" t="n">
        <f aca="false">I31+J31</f>
        <v>122.418048411498</v>
      </c>
      <c r="L31" s="151" t="n">
        <f aca="false">F31-(I31-W31)</f>
        <v>7.85804841149798</v>
      </c>
      <c r="M31" s="151" t="n">
        <v>239.26</v>
      </c>
      <c r="N31" s="151" t="n">
        <f aca="false">(AF31*1.05)/$D$2</f>
        <v>20.0363086232981</v>
      </c>
      <c r="O31" s="151" t="n">
        <f aca="false">M31-N31</f>
        <v>219.223691376702</v>
      </c>
      <c r="P31" s="151" t="n">
        <v>158.27</v>
      </c>
      <c r="Q31" s="151" t="n">
        <f aca="false">(AE31-AE30)/$D$2</f>
        <v>79.1729702471004</v>
      </c>
      <c r="R31" s="151" t="n">
        <f aca="false">SUM(O31:Q31)</f>
        <v>456.666661623802</v>
      </c>
      <c r="S31" s="152" t="n">
        <f aca="false">(I31-R31)+S30</f>
        <v>-15615.0887796268</v>
      </c>
      <c r="T31" s="151" t="n">
        <f aca="false">(AD31-AD30)/$D$2</f>
        <v>152.798789712557</v>
      </c>
      <c r="U31" s="151" t="n">
        <v>91</v>
      </c>
      <c r="V31" s="152" t="n">
        <f aca="false">V30-70</f>
        <v>3735.86</v>
      </c>
      <c r="W31" s="151" t="n">
        <f aca="false">R31+T31+N31+U31</f>
        <v>720.501759959657</v>
      </c>
      <c r="X31" s="151" t="n">
        <f aca="false">IF(L31&lt;0,L31*-1,0)</f>
        <v>0</v>
      </c>
      <c r="Y31" s="151" t="n">
        <f aca="false">W31+X31</f>
        <v>720.501759959657</v>
      </c>
      <c r="Z31" s="155" t="n">
        <v>0</v>
      </c>
      <c r="AA31" s="156" t="n">
        <v>86</v>
      </c>
      <c r="AB31" s="156" t="n">
        <v>54</v>
      </c>
      <c r="AC31" s="157" t="n">
        <f aca="false">AC30+1</f>
        <v>22</v>
      </c>
      <c r="AD31" s="173" t="n">
        <v>34532</v>
      </c>
      <c r="AE31" s="173" t="n">
        <v>18519</v>
      </c>
      <c r="AF31" s="177" t="n">
        <f aca="false">(AG31+AH31)-(AG30+AH30)</f>
        <v>37.8400000000001</v>
      </c>
      <c r="AG31" s="186" t="n">
        <v>3557</v>
      </c>
      <c r="AH31" s="186" t="n">
        <v>523.33</v>
      </c>
      <c r="AI31" s="186" t="n">
        <f aca="false">AF30-AF29</f>
        <v>1.28999999999996</v>
      </c>
    </row>
    <row r="32" customFormat="false" ht="11.1" hidden="false" customHeight="true" outlineLevel="0" collapsed="false">
      <c r="A32" s="157" t="n">
        <f aca="false">A31+1</f>
        <v>23</v>
      </c>
      <c r="B32" s="175" t="n">
        <v>6904.39</v>
      </c>
      <c r="C32" s="152" t="n">
        <v>300063</v>
      </c>
      <c r="D32" s="156" t="n">
        <f aca="false">C32-C31</f>
        <v>-1262</v>
      </c>
      <c r="E32" s="152" t="n">
        <f aca="false">C32-152000</f>
        <v>148063</v>
      </c>
      <c r="F32" s="151" t="n">
        <f aca="false">D32/$D$2</f>
        <v>-636.409480584972</v>
      </c>
      <c r="G32" s="151" t="n">
        <v>104.83</v>
      </c>
      <c r="H32" s="153" t="n">
        <v>0</v>
      </c>
      <c r="I32" s="151" t="n">
        <f aca="false">G32+H32</f>
        <v>104.83</v>
      </c>
      <c r="J32" s="176" t="n">
        <f aca="false">IF(L32&gt;0,L32,0)</f>
        <v>0</v>
      </c>
      <c r="K32" s="151" t="n">
        <f aca="false">I32+J32</f>
        <v>104.83</v>
      </c>
      <c r="L32" s="151" t="n">
        <f aca="false">F32-(I32-W32)</f>
        <v>-23.993444276349</v>
      </c>
      <c r="M32" s="151" t="n">
        <v>242.5</v>
      </c>
      <c r="N32" s="151" t="n">
        <f aca="false">(AF32*1.05)/$D$2</f>
        <v>20.5605143721634</v>
      </c>
      <c r="O32" s="151" t="n">
        <f aca="false">M32-N32</f>
        <v>221.939485627837</v>
      </c>
      <c r="P32" s="151" t="n">
        <v>157.33</v>
      </c>
      <c r="Q32" s="151" t="n">
        <f aca="false">(AE32-AE31)/$D$2</f>
        <v>76.1472516389309</v>
      </c>
      <c r="R32" s="151" t="n">
        <f aca="false">SUM(O32:Q32)</f>
        <v>455.416737266768</v>
      </c>
      <c r="S32" s="152" t="n">
        <f aca="false">(I32-R32)+S31</f>
        <v>-15965.6755168936</v>
      </c>
      <c r="T32" s="151" t="n">
        <f aca="false">(AD32-AD31)/$D$2</f>
        <v>149.268784669692</v>
      </c>
      <c r="U32" s="151" t="n">
        <v>92</v>
      </c>
      <c r="V32" s="152" t="n">
        <f aca="false">V31-70</f>
        <v>3665.86</v>
      </c>
      <c r="W32" s="151" t="n">
        <f aca="false">R32+T32+N32+U32</f>
        <v>717.246036308623</v>
      </c>
      <c r="X32" s="151" t="n">
        <f aca="false">IF(L32&lt;0,L32*-1,0)</f>
        <v>23.993444276349</v>
      </c>
      <c r="Y32" s="151" t="n">
        <f aca="false">W32+X32</f>
        <v>741.239480584972</v>
      </c>
      <c r="Z32" s="155" t="n">
        <v>0</v>
      </c>
      <c r="AA32" s="156" t="n">
        <v>88</v>
      </c>
      <c r="AB32" s="185" t="n">
        <v>53</v>
      </c>
      <c r="AC32" s="157" t="n">
        <f aca="false">AC31+1</f>
        <v>23</v>
      </c>
      <c r="AD32" s="173" t="n">
        <v>34828</v>
      </c>
      <c r="AE32" s="173" t="n">
        <v>18670</v>
      </c>
      <c r="AF32" s="177" t="n">
        <f aca="false">(AG32+AH32)-(AG31+AH31)</f>
        <v>38.8299999999999</v>
      </c>
      <c r="AG32" s="144" t="n">
        <v>3576</v>
      </c>
      <c r="AH32" s="144" t="n">
        <v>543.16</v>
      </c>
    </row>
    <row r="33" customFormat="false" ht="11.1" hidden="false" customHeight="true" outlineLevel="0" collapsed="false">
      <c r="A33" s="157" t="n">
        <f aca="false">A32+1</f>
        <v>24</v>
      </c>
      <c r="B33" s="175" t="n">
        <v>6904.08</v>
      </c>
      <c r="C33" s="152" t="n">
        <v>298877</v>
      </c>
      <c r="D33" s="156" t="n">
        <f aca="false">C33-C32</f>
        <v>-1186</v>
      </c>
      <c r="E33" s="152" t="n">
        <f aca="false">C33-152000</f>
        <v>146877</v>
      </c>
      <c r="F33" s="151" t="n">
        <f aca="false">D33/$D$2</f>
        <v>-598.083711548159</v>
      </c>
      <c r="G33" s="151" t="n">
        <v>96.2</v>
      </c>
      <c r="H33" s="153" t="n">
        <v>0</v>
      </c>
      <c r="I33" s="151" t="n">
        <f aca="false">G33+H33</f>
        <v>96.2</v>
      </c>
      <c r="J33" s="176" t="n">
        <f aca="false">IF(L33&gt;0,L33,0)</f>
        <v>23.9837619768028</v>
      </c>
      <c r="K33" s="151" t="n">
        <f aca="false">I33+J33</f>
        <v>120.183761976803</v>
      </c>
      <c r="L33" s="151" t="n">
        <f aca="false">F33-(I33-W33)</f>
        <v>23.9837619768028</v>
      </c>
      <c r="M33" s="151" t="n">
        <v>241.96</v>
      </c>
      <c r="N33" s="151" t="n">
        <f aca="false">(AF33*1.05)/$D$2</f>
        <v>20.263993948563</v>
      </c>
      <c r="O33" s="151" t="n">
        <f aca="false">M33-N33</f>
        <v>221.696006051437</v>
      </c>
      <c r="P33" s="151" t="n">
        <v>151.84</v>
      </c>
      <c r="Q33" s="151" t="n">
        <f aca="false">(AE33-AE32)/$D$2</f>
        <v>77.6601109430156</v>
      </c>
      <c r="R33" s="151" t="n">
        <f aca="false">SUM(O33:Q33)</f>
        <v>451.196116994453</v>
      </c>
      <c r="S33" s="152" t="n">
        <f aca="false">(I33-R33)+S32</f>
        <v>-16320.6716338881</v>
      </c>
      <c r="T33" s="151" t="n">
        <f aca="false">(AD33-AD32)/$D$2</f>
        <v>153.807362581947</v>
      </c>
      <c r="U33" s="151" t="n">
        <v>93</v>
      </c>
      <c r="V33" s="152" t="n">
        <f aca="false">V32-70</f>
        <v>3595.86</v>
      </c>
      <c r="W33" s="151" t="n">
        <f aca="false">R33+T33+N33+U33</f>
        <v>718.267473524962</v>
      </c>
      <c r="X33" s="151" t="n">
        <f aca="false">IF(L33&lt;0,L33*-1,0)</f>
        <v>0</v>
      </c>
      <c r="Y33" s="151" t="n">
        <f aca="false">W33+X33</f>
        <v>718.267473524962</v>
      </c>
      <c r="Z33" s="155" t="n">
        <v>0</v>
      </c>
      <c r="AA33" s="156" t="n">
        <v>87</v>
      </c>
      <c r="AB33" s="185" t="n">
        <v>56</v>
      </c>
      <c r="AC33" s="157" t="n">
        <f aca="false">AC32+1</f>
        <v>24</v>
      </c>
      <c r="AD33" s="173" t="n">
        <v>35133</v>
      </c>
      <c r="AE33" s="173" t="n">
        <v>18824</v>
      </c>
      <c r="AF33" s="177" t="n">
        <f aca="false">(AG33+AH33)-(AG32+AH32)</f>
        <v>38.2700000000004</v>
      </c>
      <c r="AG33" s="144" t="n">
        <v>3594.8</v>
      </c>
      <c r="AH33" s="144" t="n">
        <v>562.63</v>
      </c>
    </row>
    <row r="34" customFormat="false" ht="11.1" hidden="false" customHeight="true" outlineLevel="0" collapsed="false">
      <c r="A34" s="157" t="n">
        <f aca="false">A33+1</f>
        <v>25</v>
      </c>
      <c r="B34" s="175" t="n">
        <v>6903.76</v>
      </c>
      <c r="C34" s="152" t="n">
        <v>297661</v>
      </c>
      <c r="D34" s="156" t="n">
        <f aca="false">C34-C33</f>
        <v>-1216</v>
      </c>
      <c r="E34" s="152" t="n">
        <f aca="false">C34-152000</f>
        <v>145661</v>
      </c>
      <c r="F34" s="151" t="n">
        <f aca="false">D34/$D$2</f>
        <v>-613.212304589007</v>
      </c>
      <c r="G34" s="151" t="n">
        <v>92.37</v>
      </c>
      <c r="H34" s="153" t="n">
        <v>0</v>
      </c>
      <c r="I34" s="151" t="n">
        <f aca="false">G34+H34</f>
        <v>92.37</v>
      </c>
      <c r="J34" s="176" t="n">
        <f aca="false">IF(L34&gt;0,L34,0)</f>
        <v>0</v>
      </c>
      <c r="K34" s="151" t="n">
        <f aca="false">I34+J34</f>
        <v>92.37</v>
      </c>
      <c r="L34" s="151" t="n">
        <f aca="false">F34-(I34-W34)</f>
        <v>-0.970544629349547</v>
      </c>
      <c r="M34" s="151" t="n">
        <v>241</v>
      </c>
      <c r="N34" s="151" t="n">
        <f aca="false">(AF34*1.05)/$D$2</f>
        <v>20.0892586989408</v>
      </c>
      <c r="O34" s="151" t="n">
        <f aca="false">M34-N34</f>
        <v>220.910741301059</v>
      </c>
      <c r="P34" s="151" t="n">
        <v>148.22</v>
      </c>
      <c r="Q34" s="151" t="n">
        <f aca="false">(AE34-AE33)/$D$2</f>
        <v>77.6601109430156</v>
      </c>
      <c r="R34" s="151" t="n">
        <f aca="false">SUM(O34:Q34)</f>
        <v>446.790852244075</v>
      </c>
      <c r="S34" s="152" t="n">
        <f aca="false">(I34-R34)+S33</f>
        <v>-16675.0924861321</v>
      </c>
      <c r="T34" s="151" t="n">
        <f aca="false">(AD34-AD33)/$D$2</f>
        <v>154.311649016641</v>
      </c>
      <c r="U34" s="151" t="n">
        <v>83.42</v>
      </c>
      <c r="V34" s="152" t="n">
        <f aca="false">V33-U34</f>
        <v>3512.44</v>
      </c>
      <c r="W34" s="151" t="n">
        <f aca="false">R34+T34+N34+U34</f>
        <v>704.611759959657</v>
      </c>
      <c r="X34" s="151" t="n">
        <f aca="false">IF(L34&lt;0,L34*-1,0)</f>
        <v>0.970544629349547</v>
      </c>
      <c r="Y34" s="151" t="n">
        <f aca="false">W34+X34</f>
        <v>705.582304589007</v>
      </c>
      <c r="Z34" s="155" t="n">
        <v>0</v>
      </c>
      <c r="AA34" s="156" t="n">
        <v>83</v>
      </c>
      <c r="AB34" s="185" t="n">
        <v>51</v>
      </c>
      <c r="AC34" s="157" t="n">
        <f aca="false">AC33+1</f>
        <v>25</v>
      </c>
      <c r="AD34" s="173" t="n">
        <v>35439</v>
      </c>
      <c r="AE34" s="173" t="n">
        <v>18978</v>
      </c>
      <c r="AF34" s="177" t="n">
        <f aca="false">(AG34+AH34)-(AG33+AH33)</f>
        <v>37.9399999999996</v>
      </c>
      <c r="AG34" s="144" t="n">
        <v>3613.7</v>
      </c>
      <c r="AH34" s="144" t="n">
        <v>581.67</v>
      </c>
    </row>
    <row r="35" customFormat="false" ht="11.1" hidden="false" customHeight="true" outlineLevel="0" collapsed="false">
      <c r="A35" s="157" t="n">
        <f aca="false">A34+1</f>
        <v>26</v>
      </c>
      <c r="B35" s="175" t="n">
        <v>6903.48</v>
      </c>
      <c r="C35" s="152" t="n">
        <v>296598</v>
      </c>
      <c r="D35" s="156" t="n">
        <f aca="false">C35-C34</f>
        <v>-1063</v>
      </c>
      <c r="E35" s="152" t="n">
        <f aca="false">C35-152000</f>
        <v>144598</v>
      </c>
      <c r="F35" s="151" t="n">
        <f aca="false">D35/$D$2</f>
        <v>-536.056480080686</v>
      </c>
      <c r="G35" s="151" t="n">
        <v>89.95</v>
      </c>
      <c r="H35" s="153" t="n">
        <v>0</v>
      </c>
      <c r="I35" s="151" t="n">
        <f aca="false">G35+H35</f>
        <v>89.95</v>
      </c>
      <c r="J35" s="176" t="n">
        <f aca="false">IF(L35&gt;0,L35,0)</f>
        <v>69.8938577912254</v>
      </c>
      <c r="K35" s="151" t="n">
        <f aca="false">I35+J35</f>
        <v>159.843857791225</v>
      </c>
      <c r="L35" s="151" t="n">
        <f aca="false">F35-(I35-W35)</f>
        <v>69.8938577912254</v>
      </c>
      <c r="M35" s="151" t="n">
        <v>239.54</v>
      </c>
      <c r="N35" s="151" t="n">
        <f aca="false">(AF35*1.05)/$D$2</f>
        <v>19.4644478063541</v>
      </c>
      <c r="O35" s="151" t="n">
        <f aca="false">M35-N35</f>
        <v>220.075552193646</v>
      </c>
      <c r="P35" s="151" t="n">
        <v>148.65</v>
      </c>
      <c r="Q35" s="151" t="n">
        <f aca="false">(AE35-AE34)/$D$2</f>
        <v>75.1386787695411</v>
      </c>
      <c r="R35" s="151" t="n">
        <f aca="false">SUM(O35:Q35)</f>
        <v>443.864230963187</v>
      </c>
      <c r="S35" s="152" t="n">
        <f aca="false">(I35-R35)+S34</f>
        <v>-17029.0067170953</v>
      </c>
      <c r="T35" s="151" t="n">
        <f aca="false">(AD35-AD34)/$D$2</f>
        <v>161.37165910237</v>
      </c>
      <c r="U35" s="151" t="n">
        <v>71.2</v>
      </c>
      <c r="V35" s="152" t="n">
        <f aca="false">V34-U35</f>
        <v>3441.24</v>
      </c>
      <c r="W35" s="151" t="n">
        <f aca="false">R35+T35+N35+U35</f>
        <v>695.900337871911</v>
      </c>
      <c r="X35" s="151" t="n">
        <f aca="false">IF(L35&lt;0,L35*-1,0)</f>
        <v>0</v>
      </c>
      <c r="Y35" s="151" t="n">
        <f aca="false">W35+X35</f>
        <v>695.900337871911</v>
      </c>
      <c r="Z35" s="155" t="n">
        <v>0</v>
      </c>
      <c r="AA35" s="156" t="n">
        <v>85</v>
      </c>
      <c r="AB35" s="156" t="n">
        <v>54</v>
      </c>
      <c r="AC35" s="157" t="n">
        <f aca="false">AC34+1</f>
        <v>26</v>
      </c>
      <c r="AD35" s="173" t="n">
        <v>35759</v>
      </c>
      <c r="AE35" s="173" t="n">
        <v>19127</v>
      </c>
      <c r="AF35" s="177" t="n">
        <f aca="false">(AG35+AH35)-(AG34+AH34)</f>
        <v>36.7600000000002</v>
      </c>
      <c r="AG35" s="144" t="n">
        <v>3632.53</v>
      </c>
      <c r="AH35" s="144" t="n">
        <v>599.6</v>
      </c>
    </row>
    <row r="36" customFormat="false" ht="11.1" hidden="false" customHeight="true" outlineLevel="0" collapsed="false">
      <c r="A36" s="157" t="n">
        <f aca="false">A35+1</f>
        <v>27</v>
      </c>
      <c r="B36" s="175" t="n">
        <v>6903.19</v>
      </c>
      <c r="C36" s="152" t="n">
        <v>295498</v>
      </c>
      <c r="D36" s="156" t="n">
        <f aca="false">C36-C35</f>
        <v>-1100</v>
      </c>
      <c r="E36" s="152" t="n">
        <f aca="false">C36-152000</f>
        <v>143498</v>
      </c>
      <c r="F36" s="151" t="n">
        <f aca="false">D36/$D$2</f>
        <v>-554.715078164397</v>
      </c>
      <c r="G36" s="151" t="n">
        <v>86.58</v>
      </c>
      <c r="H36" s="153" t="n">
        <v>0</v>
      </c>
      <c r="I36" s="151" t="n">
        <f aca="false">G36+H36</f>
        <v>86.58</v>
      </c>
      <c r="J36" s="176" t="n">
        <f aca="false">IF(L36&gt;0,L36,0)</f>
        <v>43.6195209278869</v>
      </c>
      <c r="K36" s="151" t="n">
        <f aca="false">I36+J36</f>
        <v>130.199520927887</v>
      </c>
      <c r="L36" s="151" t="n">
        <f aca="false">F36-(I36-W36)</f>
        <v>43.6195209278869</v>
      </c>
      <c r="M36" s="151" t="n">
        <v>244.27</v>
      </c>
      <c r="N36" s="151" t="n">
        <f aca="false">(AF36*1.05)/$D$2</f>
        <v>21.0264750378215</v>
      </c>
      <c r="O36" s="151" t="n">
        <f aca="false">M36-N36</f>
        <v>223.243524962179</v>
      </c>
      <c r="P36" s="151" t="n">
        <v>149.13</v>
      </c>
      <c r="Q36" s="151" t="n">
        <f aca="false">(AE36-AE35)/$D$2</f>
        <v>76.1472516389309</v>
      </c>
      <c r="R36" s="151" t="n">
        <f aca="false">SUM(O36:Q36)</f>
        <v>448.520776601109</v>
      </c>
      <c r="S36" s="152" t="n">
        <f aca="false">(I36-R36)+S35</f>
        <v>-17390.9474936964</v>
      </c>
      <c r="T36" s="151" t="n">
        <f aca="false">(AD36-AD35)/$D$2</f>
        <v>143.217347453354</v>
      </c>
      <c r="U36" s="151" t="n">
        <v>72.15</v>
      </c>
      <c r="V36" s="152" t="n">
        <f aca="false">V35-U36</f>
        <v>3369.09</v>
      </c>
      <c r="W36" s="151" t="n">
        <f aca="false">R36+T36+N36+U36</f>
        <v>684.914599092284</v>
      </c>
      <c r="X36" s="151" t="n">
        <f aca="false">IF(L36&lt;0,L36*-1,0)</f>
        <v>0</v>
      </c>
      <c r="Y36" s="151" t="n">
        <f aca="false">W36+X36</f>
        <v>684.914599092284</v>
      </c>
      <c r="Z36" s="155" t="n">
        <v>0</v>
      </c>
      <c r="AA36" s="156" t="n">
        <v>84</v>
      </c>
      <c r="AB36" s="156" t="n">
        <v>51</v>
      </c>
      <c r="AC36" s="157" t="n">
        <f aca="false">AC35+1</f>
        <v>27</v>
      </c>
      <c r="AD36" s="173" t="n">
        <v>36043</v>
      </c>
      <c r="AE36" s="173" t="n">
        <v>19278</v>
      </c>
      <c r="AF36" s="177" t="n">
        <f aca="false">(AG36+AH36)-(AG35+AH35)</f>
        <v>39.71</v>
      </c>
      <c r="AG36" s="144" t="n">
        <v>3652.19</v>
      </c>
      <c r="AH36" s="144" t="n">
        <v>619.65</v>
      </c>
    </row>
    <row r="37" customFormat="false" ht="11.1" hidden="false" customHeight="true" outlineLevel="0" collapsed="false">
      <c r="A37" s="157" t="n">
        <f aca="false">A36+1</f>
        <v>28</v>
      </c>
      <c r="B37" s="175" t="n">
        <v>6902.83</v>
      </c>
      <c r="C37" s="152" t="n">
        <v>294138</v>
      </c>
      <c r="D37" s="156" t="n">
        <f aca="false">C37-C36</f>
        <v>-1360</v>
      </c>
      <c r="E37" s="152" t="n">
        <f aca="false">C37-152000</f>
        <v>142138</v>
      </c>
      <c r="F37" s="151" t="n">
        <f aca="false">D37/$D$2</f>
        <v>-685.829551185073</v>
      </c>
      <c r="G37" s="151" t="n">
        <v>86.7</v>
      </c>
      <c r="H37" s="153" t="n">
        <v>0</v>
      </c>
      <c r="I37" s="151" t="n">
        <f aca="false">G37+H37</f>
        <v>86.7</v>
      </c>
      <c r="J37" s="176" t="n">
        <f aca="false">IF(L37&gt;0,L37,0)</f>
        <v>0</v>
      </c>
      <c r="K37" s="151" t="n">
        <f aca="false">I37+J37</f>
        <v>86.7</v>
      </c>
      <c r="L37" s="151" t="n">
        <f aca="false">F37-(I37-W37)</f>
        <v>-80.589243570348</v>
      </c>
      <c r="M37" s="151" t="n">
        <v>255.43</v>
      </c>
      <c r="N37" s="151" t="n">
        <f aca="false">(AF37*1.05)/$D$2</f>
        <v>17.5476550680784</v>
      </c>
      <c r="O37" s="151" t="n">
        <f aca="false">M37-N37</f>
        <v>237.882344931922</v>
      </c>
      <c r="P37" s="151" t="n">
        <v>149.84</v>
      </c>
      <c r="Q37" s="151" t="n">
        <f aca="false">(AE37-AE36)/$D$2</f>
        <v>74.6343923348462</v>
      </c>
      <c r="R37" s="151" t="n">
        <f aca="false">SUM(O37:Q37)</f>
        <v>462.356737266768</v>
      </c>
      <c r="S37" s="152" t="n">
        <f aca="false">(I37-R37)+S36</f>
        <v>-17766.6042309632</v>
      </c>
      <c r="T37" s="151" t="n">
        <f aca="false">(AD37-AD36)/$D$2</f>
        <v>140.695915279879</v>
      </c>
      <c r="U37" s="151" t="n">
        <v>71.34</v>
      </c>
      <c r="V37" s="152" t="n">
        <f aca="false">V36-U37</f>
        <v>3297.75</v>
      </c>
      <c r="W37" s="151" t="n">
        <f aca="false">R37+T37+N37+U37</f>
        <v>691.940307614725</v>
      </c>
      <c r="X37" s="151" t="n">
        <f aca="false">IF(L37&lt;0,L37*-1,0)</f>
        <v>80.589243570348</v>
      </c>
      <c r="Y37" s="151" t="n">
        <f aca="false">W37+X37</f>
        <v>772.529551185073</v>
      </c>
      <c r="Z37" s="155" t="n">
        <v>0</v>
      </c>
      <c r="AA37" s="156" t="n">
        <v>82</v>
      </c>
      <c r="AB37" s="156" t="n">
        <v>51</v>
      </c>
      <c r="AC37" s="157" t="n">
        <f aca="false">AC36+1</f>
        <v>28</v>
      </c>
      <c r="AD37" s="173" t="n">
        <v>36322</v>
      </c>
      <c r="AE37" s="173" t="n">
        <v>19426</v>
      </c>
      <c r="AF37" s="177" t="n">
        <f aca="false">(AG37+AH37)-(AG36+AH36)</f>
        <v>33.1399999999994</v>
      </c>
      <c r="AG37" s="144" t="n">
        <v>3667.79</v>
      </c>
      <c r="AH37" s="144" t="n">
        <v>637.19</v>
      </c>
    </row>
    <row r="38" customFormat="false" ht="11.1" hidden="false" customHeight="true" outlineLevel="0" collapsed="false">
      <c r="A38" s="157" t="n">
        <f aca="false">A37+1</f>
        <v>29</v>
      </c>
      <c r="B38" s="175" t="n">
        <v>6902.49</v>
      </c>
      <c r="C38" s="152" t="n">
        <v>292858</v>
      </c>
      <c r="D38" s="156" t="n">
        <f aca="false">C38-C37</f>
        <v>-1280</v>
      </c>
      <c r="E38" s="152" t="n">
        <f aca="false">C38-152000</f>
        <v>140858</v>
      </c>
      <c r="F38" s="151" t="n">
        <f aca="false">D38/$D$2</f>
        <v>-645.486636409481</v>
      </c>
      <c r="G38" s="151" t="n">
        <v>91.8</v>
      </c>
      <c r="H38" s="153" t="n">
        <v>0</v>
      </c>
      <c r="I38" s="151" t="n">
        <f aca="false">G38+H38</f>
        <v>91.8</v>
      </c>
      <c r="J38" s="176" t="n">
        <f aca="false">IF(L38&gt;0,L38,0)</f>
        <v>0</v>
      </c>
      <c r="K38" s="151" t="n">
        <f aca="false">I38+J38</f>
        <v>91.8</v>
      </c>
      <c r="L38" s="151" t="n">
        <f aca="false">F38-(I38-W38)</f>
        <v>-47.1791880988401</v>
      </c>
      <c r="M38" s="151" t="n">
        <v>255.75</v>
      </c>
      <c r="N38" s="151" t="n">
        <f aca="false">(AF38*1.05)/$D$2</f>
        <v>16.6422087745841</v>
      </c>
      <c r="O38" s="151" t="n">
        <f aca="false">M38-N38</f>
        <v>239.107791225416</v>
      </c>
      <c r="P38" s="151" t="n">
        <v>150.03</v>
      </c>
      <c r="Q38" s="151" t="n">
        <f aca="false">(AE38-AE37)/$D$2</f>
        <v>74.1301059001513</v>
      </c>
      <c r="R38" s="151" t="n">
        <f aca="false">SUM(O38:Q38)</f>
        <v>463.267897125567</v>
      </c>
      <c r="S38" s="152" t="n">
        <f aca="false">(I38-R38)+S37</f>
        <v>-18138.0721280888</v>
      </c>
      <c r="T38" s="151" t="n">
        <f aca="false">(AD38-AD37)/$D$2</f>
        <v>139.687342410489</v>
      </c>
      <c r="U38" s="151" t="n">
        <v>70.51</v>
      </c>
      <c r="V38" s="152" t="n">
        <f aca="false">V37-U38</f>
        <v>3227.24</v>
      </c>
      <c r="W38" s="151" t="n">
        <f aca="false">R38+T38+N38+U38</f>
        <v>690.10744831064</v>
      </c>
      <c r="X38" s="151" t="n">
        <f aca="false">IF(L38&lt;0,L38*-1,0)</f>
        <v>47.1791880988401</v>
      </c>
      <c r="Y38" s="151" t="n">
        <f aca="false">W38+X38</f>
        <v>737.286636409481</v>
      </c>
      <c r="Z38" s="155" t="n">
        <v>0.04</v>
      </c>
      <c r="AA38" s="185" t="n">
        <v>88</v>
      </c>
      <c r="AB38" s="156" t="n">
        <v>55</v>
      </c>
      <c r="AC38" s="157" t="n">
        <f aca="false">AC37+1</f>
        <v>29</v>
      </c>
      <c r="AD38" s="173" t="n">
        <v>36599</v>
      </c>
      <c r="AE38" s="177" t="n">
        <v>19573</v>
      </c>
      <c r="AF38" s="177" t="n">
        <f aca="false">(AG38+AH38)-(AG37+AH37)</f>
        <v>31.4300000000003</v>
      </c>
      <c r="AG38" s="144" t="n">
        <v>3683.12</v>
      </c>
      <c r="AH38" s="144" t="n">
        <v>653.29</v>
      </c>
    </row>
    <row r="39" customFormat="false" ht="11.1" hidden="false" customHeight="true" outlineLevel="0" collapsed="false">
      <c r="A39" s="157" t="n">
        <v>30</v>
      </c>
      <c r="B39" s="175" t="n">
        <v>6902.23</v>
      </c>
      <c r="C39" s="152" t="n">
        <v>291880</v>
      </c>
      <c r="D39" s="156" t="n">
        <f aca="false">C39-C38</f>
        <v>-978</v>
      </c>
      <c r="E39" s="152" t="n">
        <f aca="false">C39-152000</f>
        <v>139880</v>
      </c>
      <c r="F39" s="151" t="n">
        <f aca="false">D39/$D$2</f>
        <v>-493.192133131619</v>
      </c>
      <c r="G39" s="151" t="n">
        <v>92.73</v>
      </c>
      <c r="H39" s="153" t="n">
        <v>0</v>
      </c>
      <c r="I39" s="151" t="n">
        <f aca="false">G39+H39</f>
        <v>92.73</v>
      </c>
      <c r="J39" s="176" t="n">
        <f aca="false">IF(L39&gt;0,L39,0)</f>
        <v>103.196747352496</v>
      </c>
      <c r="K39" s="151" t="n">
        <f aca="false">I39+J39</f>
        <v>195.926747352496</v>
      </c>
      <c r="L39" s="151" t="n">
        <f aca="false">F39-(I39-W39)</f>
        <v>103.196747352496</v>
      </c>
      <c r="M39" s="151" t="n">
        <v>253.23</v>
      </c>
      <c r="N39" s="151" t="n">
        <f aca="false">(AF39*1.05)/$D$2</f>
        <v>17.31467473525</v>
      </c>
      <c r="O39" s="151" t="n">
        <f aca="false">M39-N39</f>
        <v>235.91532526475</v>
      </c>
      <c r="P39" s="151" t="n">
        <v>149.22</v>
      </c>
      <c r="Q39" s="151" t="n">
        <f aca="false">(AE39-AE38)/$D$2</f>
        <v>74.6343923348462</v>
      </c>
      <c r="R39" s="151" t="n">
        <f aca="false">SUM(O39:Q39)</f>
        <v>459.769717599596</v>
      </c>
      <c r="S39" s="152" t="n">
        <f aca="false">(I39-R39)+S38</f>
        <v>-18505.1118456884</v>
      </c>
      <c r="T39" s="151" t="n">
        <f aca="false">(AD39-AD38)/$D$2</f>
        <v>141.704488149269</v>
      </c>
      <c r="U39" s="151" t="n">
        <v>70.33</v>
      </c>
      <c r="V39" s="152" t="n">
        <f aca="false">V38-U39</f>
        <v>3156.91</v>
      </c>
      <c r="W39" s="151" t="n">
        <f aca="false">R39+T39+N39+U39</f>
        <v>689.118880484115</v>
      </c>
      <c r="X39" s="151" t="n">
        <f aca="false">IF(L39&lt;0,L39*-1,0)</f>
        <v>0</v>
      </c>
      <c r="Y39" s="151" t="n">
        <f aca="false">W39+X39</f>
        <v>689.118880484115</v>
      </c>
      <c r="Z39" s="155" t="n">
        <v>0</v>
      </c>
      <c r="AA39" s="185" t="n">
        <v>86</v>
      </c>
      <c r="AB39" s="156" t="n">
        <v>57</v>
      </c>
      <c r="AC39" s="157" t="n">
        <v>30</v>
      </c>
      <c r="AD39" s="173" t="n">
        <v>36880</v>
      </c>
      <c r="AE39" s="177" t="n">
        <v>19721</v>
      </c>
      <c r="AF39" s="177" t="n">
        <f aca="false">(AG39+AH39)-(AG38+AH38)</f>
        <v>32.7000000000007</v>
      </c>
      <c r="AG39" s="144" t="n">
        <v>3699.36</v>
      </c>
      <c r="AH39" s="144" t="n">
        <v>669.75</v>
      </c>
    </row>
    <row r="40" customFormat="false" ht="11.1" hidden="false" customHeight="true" outlineLevel="0" collapsed="false">
      <c r="A40" s="157" t="n">
        <v>31</v>
      </c>
      <c r="B40" s="175" t="n">
        <v>6901.9</v>
      </c>
      <c r="C40" s="152" t="n">
        <v>290641</v>
      </c>
      <c r="D40" s="156" t="n">
        <f aca="false">C40-C39</f>
        <v>-1239</v>
      </c>
      <c r="E40" s="152" t="n">
        <f aca="false">C40-152000</f>
        <v>138641</v>
      </c>
      <c r="F40" s="151" t="n">
        <f aca="false">D40/$D$2</f>
        <v>-624.810892586989</v>
      </c>
      <c r="G40" s="151" t="n">
        <v>87.65</v>
      </c>
      <c r="H40" s="153" t="n">
        <v>0</v>
      </c>
      <c r="I40" s="151" t="n">
        <f aca="false">G40+H40</f>
        <v>87.65</v>
      </c>
      <c r="J40" s="176" t="n">
        <f aca="false">IF(L40&gt;0,L40,0)</f>
        <v>0</v>
      </c>
      <c r="K40" s="151" t="n">
        <f aca="false">I40+J40</f>
        <v>87.65</v>
      </c>
      <c r="L40" s="151" t="n">
        <f aca="false">F40-(I40-W40)</f>
        <v>-45.5034694906706</v>
      </c>
      <c r="M40" s="151" t="n">
        <v>251.63</v>
      </c>
      <c r="N40" s="151" t="n">
        <f aca="false">(AF40*1.05)/$D$2</f>
        <v>18.5484114977306</v>
      </c>
      <c r="O40" s="151" t="n">
        <f aca="false">M40-N40</f>
        <v>233.081588502269</v>
      </c>
      <c r="P40" s="151" t="n">
        <v>148.79</v>
      </c>
      <c r="Q40" s="151" t="n">
        <f aca="false">(AE40-AE39)/$D$2</f>
        <v>67.0700958144226</v>
      </c>
      <c r="R40" s="151" t="n">
        <f aca="false">SUM(O40:Q40)</f>
        <v>448.941684316692</v>
      </c>
      <c r="S40" s="152" t="n">
        <f aca="false">(I40-R40)+S39</f>
        <v>-18866.403530005</v>
      </c>
      <c r="T40" s="151" t="n">
        <f aca="false">(AD40-AD39)/$D$2</f>
        <v>129.097327281896</v>
      </c>
      <c r="U40" s="151" t="n">
        <v>70.37</v>
      </c>
      <c r="V40" s="152" t="n">
        <f aca="false">V39-U40</f>
        <v>3086.54</v>
      </c>
      <c r="W40" s="151" t="n">
        <f aca="false">R40+T40+N40+U40</f>
        <v>666.957423096319</v>
      </c>
      <c r="X40" s="151" t="n">
        <f aca="false">IF(L40&lt;0,L40*-1,0)</f>
        <v>45.5034694906706</v>
      </c>
      <c r="Y40" s="151" t="n">
        <f aca="false">W40+X40</f>
        <v>712.460892586989</v>
      </c>
      <c r="Z40" s="155" t="n">
        <v>0</v>
      </c>
      <c r="AA40" s="185" t="n">
        <v>84</v>
      </c>
      <c r="AB40" s="156" t="n">
        <v>54</v>
      </c>
      <c r="AC40" s="157" t="n">
        <v>31</v>
      </c>
      <c r="AD40" s="173" t="n">
        <v>37136</v>
      </c>
      <c r="AE40" s="173" t="n">
        <v>19854</v>
      </c>
      <c r="AF40" s="177" t="n">
        <f aca="false">(AG40+AH40)-(AG39+AH39)</f>
        <v>35.0299999999997</v>
      </c>
      <c r="AG40" s="144" t="n">
        <v>3715.57</v>
      </c>
      <c r="AH40" s="144" t="n">
        <v>688.57</v>
      </c>
    </row>
    <row r="41" customFormat="false" ht="3" hidden="false" customHeight="true" outlineLevel="0" collapsed="false">
      <c r="A41" s="178"/>
      <c r="B41" s="178"/>
      <c r="C41" s="180"/>
      <c r="D41" s="178"/>
      <c r="E41" s="180"/>
      <c r="F41" s="178"/>
      <c r="G41" s="178"/>
      <c r="H41" s="181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80"/>
      <c r="T41" s="178"/>
      <c r="U41" s="178"/>
      <c r="V41" s="178"/>
      <c r="W41" s="178"/>
      <c r="X41" s="178"/>
      <c r="Y41" s="178"/>
      <c r="Z41" s="182"/>
      <c r="AA41" s="183" t="n">
        <v>73</v>
      </c>
      <c r="AB41" s="183"/>
      <c r="AC41" s="184"/>
      <c r="AD41" s="173"/>
      <c r="AE41" s="173"/>
      <c r="AF41" s="174"/>
    </row>
    <row r="42" customFormat="false" ht="11.1" hidden="false" customHeight="true" outlineLevel="0" collapsed="false">
      <c r="A42" s="151" t="s">
        <v>44</v>
      </c>
      <c r="B42" s="151"/>
      <c r="C42" s="152"/>
      <c r="D42" s="152"/>
      <c r="E42" s="152"/>
      <c r="F42" s="152" t="n">
        <f aca="false">SUM(F10:F40)</f>
        <v>-20302.0675743822</v>
      </c>
      <c r="G42" s="152" t="n">
        <f aca="false">SUM(G10:G40)</f>
        <v>3078.68</v>
      </c>
      <c r="H42" s="152" t="n">
        <f aca="false">SUM(H10:H40)</f>
        <v>0</v>
      </c>
      <c r="I42" s="152" t="n">
        <f aca="false">SUM(I10:I40)</f>
        <v>3044.07</v>
      </c>
      <c r="J42" s="152" t="n">
        <f aca="false">SUM(J10:J40)</f>
        <v>682.94973272819</v>
      </c>
      <c r="K42" s="152" t="n">
        <f aca="false">SUM(K10:K40)</f>
        <v>3727.01973272819</v>
      </c>
      <c r="L42" s="152" t="n">
        <f aca="false">SUM(L10:L40)</f>
        <v>139.793923348463</v>
      </c>
      <c r="M42" s="152" t="n">
        <f aca="false">SUM(M10:M40)</f>
        <v>8240.57</v>
      </c>
      <c r="N42" s="152" t="n">
        <f aca="false">SUM(N10:N40)</f>
        <v>762.745839636914</v>
      </c>
      <c r="O42" s="152" t="n">
        <f aca="false">SUM(O10:O40)</f>
        <v>7477.82416036309</v>
      </c>
      <c r="P42" s="152" t="n">
        <f aca="false">SUM(P10:P40)</f>
        <v>4841.23</v>
      </c>
      <c r="Q42" s="152" t="n">
        <f aca="false">SUM(Q10:Q40)</f>
        <v>2597.57942511346</v>
      </c>
      <c r="R42" s="152" t="n">
        <f aca="false">SUM(R10:R40)</f>
        <v>14916.6335854766</v>
      </c>
      <c r="S42" s="152"/>
      <c r="T42" s="152" t="n">
        <f aca="false">SUM(T10:T40)</f>
        <v>5450.83207261725</v>
      </c>
      <c r="U42" s="152" t="n">
        <f aca="false">SUM(U10:U40)</f>
        <v>2355.72</v>
      </c>
      <c r="V42" s="152"/>
      <c r="W42" s="152" t="n">
        <f aca="false">SUM(W10:W40)</f>
        <v>23485.9314977307</v>
      </c>
      <c r="X42" s="152" t="n">
        <f aca="false">SUM(X10:X40)</f>
        <v>543.155809379727</v>
      </c>
      <c r="Y42" s="152" t="n">
        <f aca="false">SUM(Y10:Y40)</f>
        <v>24029.0873071104</v>
      </c>
      <c r="Z42" s="155" t="n">
        <f aca="false">SUM(Z10:Z40)</f>
        <v>0.59</v>
      </c>
      <c r="AA42" s="156" t="n">
        <f aca="false">AVERAGE(AA10:AA40)</f>
        <v>86.3225806451613</v>
      </c>
      <c r="AB42" s="156" t="n">
        <f aca="false">AVERAGE(AB10:AB40)</f>
        <v>56.6129032258065</v>
      </c>
      <c r="AC42" s="157"/>
      <c r="AD42" s="173"/>
      <c r="AE42" s="173"/>
      <c r="AF42" s="174"/>
    </row>
    <row r="43" customFormat="false" ht="11.1" hidden="false" customHeight="true" outlineLevel="0" collapsed="false">
      <c r="A43" s="151" t="s">
        <v>45</v>
      </c>
      <c r="B43" s="151"/>
      <c r="C43" s="152"/>
      <c r="D43" s="152" t="n">
        <f aca="false">SUM(D10:D40)</f>
        <v>-40259</v>
      </c>
      <c r="E43" s="152"/>
      <c r="F43" s="152" t="n">
        <f aca="false">F42*$D$2</f>
        <v>-40259</v>
      </c>
      <c r="G43" s="152" t="n">
        <f aca="false">G42*$D$2</f>
        <v>6105.02244</v>
      </c>
      <c r="H43" s="152" t="n">
        <f aca="false">H42*$D$2</f>
        <v>0</v>
      </c>
      <c r="I43" s="152" t="n">
        <f aca="false">I42*$D$2</f>
        <v>6036.39081</v>
      </c>
      <c r="J43" s="152" t="n">
        <f aca="false">J42*$D$2</f>
        <v>1354.28932</v>
      </c>
      <c r="K43" s="152" t="n">
        <f aca="false">K42*$D$2</f>
        <v>7390.68013</v>
      </c>
      <c r="L43" s="152" t="n">
        <f aca="false">L42*$D$2</f>
        <v>277.211350000002</v>
      </c>
      <c r="M43" s="152" t="n">
        <f aca="false">M42*$D$2</f>
        <v>16341.05031</v>
      </c>
      <c r="N43" s="152" t="n">
        <f aca="false">N42*$D$2</f>
        <v>1512.525</v>
      </c>
      <c r="O43" s="152" t="n">
        <f aca="false">O42*$D$2</f>
        <v>14828.52531</v>
      </c>
      <c r="P43" s="152" t="n">
        <f aca="false">P42*$D$2</f>
        <v>9600.15909</v>
      </c>
      <c r="Q43" s="152" t="n">
        <f aca="false">Q42*$D$2</f>
        <v>5151</v>
      </c>
      <c r="R43" s="152" t="n">
        <f aca="false">R42*$D$2</f>
        <v>29579.6844</v>
      </c>
      <c r="S43" s="152"/>
      <c r="T43" s="152" t="n">
        <f aca="false">T42*$D$2</f>
        <v>10809</v>
      </c>
      <c r="U43" s="152" t="n">
        <f aca="false">U42*$D$2</f>
        <v>4671.39276</v>
      </c>
      <c r="V43" s="152" t="n">
        <f aca="false">V42*$D$2</f>
        <v>0</v>
      </c>
      <c r="W43" s="152" t="n">
        <f aca="false">W42*$D$2</f>
        <v>46572.60216</v>
      </c>
      <c r="X43" s="152" t="n">
        <f aca="false">X42*$D$2</f>
        <v>1077.07797</v>
      </c>
      <c r="Y43" s="152" t="n">
        <f aca="false">Y42*$D$2</f>
        <v>47649.68013</v>
      </c>
      <c r="Z43" s="155"/>
      <c r="AA43" s="156" t="n">
        <f aca="false">MAX(AA10:AA40)</f>
        <v>95</v>
      </c>
      <c r="AB43" s="156" t="n">
        <f aca="false">MAX(AB10:AB40)</f>
        <v>64</v>
      </c>
      <c r="AC43" s="157" t="s">
        <v>46</v>
      </c>
      <c r="AD43" s="173"/>
      <c r="AE43" s="173"/>
      <c r="AF43" s="174"/>
    </row>
    <row r="44" customFormat="false" ht="3" hidden="false" customHeight="true" outlineLevel="0" collapsed="false">
      <c r="A44" s="178"/>
      <c r="B44" s="178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78"/>
      <c r="W44" s="180"/>
      <c r="X44" s="180"/>
      <c r="Y44" s="180"/>
      <c r="Z44" s="155"/>
      <c r="AA44" s="156"/>
      <c r="AB44" s="156"/>
      <c r="AC44" s="157"/>
      <c r="AD44" s="173"/>
      <c r="AE44" s="173"/>
      <c r="AF44" s="174"/>
    </row>
    <row r="45" customFormat="false" ht="11.1" hidden="false" customHeight="true" outlineLevel="0" collapsed="false">
      <c r="A45" s="151" t="s">
        <v>47</v>
      </c>
      <c r="B45" s="151"/>
      <c r="C45" s="152"/>
      <c r="D45" s="152"/>
      <c r="E45" s="152"/>
      <c r="F45" s="152" t="n">
        <f aca="false">F7+F42</f>
        <v>-18095.3101361573</v>
      </c>
      <c r="G45" s="152" t="n">
        <f aca="false">G7+G42</f>
        <v>91717.2</v>
      </c>
      <c r="H45" s="152" t="n">
        <f aca="false">H7+H42</f>
        <v>6256.88</v>
      </c>
      <c r="I45" s="152" t="n">
        <f aca="false">I7+I42</f>
        <v>97885.28</v>
      </c>
      <c r="J45" s="152" t="n">
        <f aca="false">J7+J42</f>
        <v>26345.90096823</v>
      </c>
      <c r="K45" s="152" t="n">
        <f aca="false">K7+K42</f>
        <v>124231.18096823</v>
      </c>
      <c r="L45" s="152" t="n">
        <f aca="false">L7+L42</f>
        <v>23677.6462481089</v>
      </c>
      <c r="M45" s="152" t="n">
        <f aca="false">M7+M42</f>
        <v>32910.5</v>
      </c>
      <c r="N45" s="152" t="n">
        <f aca="false">N7+N42</f>
        <v>3578.41270801815</v>
      </c>
      <c r="O45" s="152" t="n">
        <f aca="false">O7+O42</f>
        <v>29332.0872919818</v>
      </c>
      <c r="P45" s="152" t="n">
        <f aca="false">P7+P42</f>
        <v>17739.23</v>
      </c>
      <c r="Q45" s="152" t="n">
        <f aca="false">Q7+Q42</f>
        <v>10018.0069793243</v>
      </c>
      <c r="R45" s="152" t="n">
        <f aca="false">R7+R42</f>
        <v>57089.3242713061</v>
      </c>
      <c r="S45" s="152" t="n">
        <f aca="false">S40</f>
        <v>-18866.403530005</v>
      </c>
      <c r="T45" s="152" t="n">
        <f aca="false">T7+T42</f>
        <v>18755.459404942</v>
      </c>
      <c r="U45" s="152" t="n">
        <f aca="false">U7+U42</f>
        <v>60235.04</v>
      </c>
      <c r="V45" s="152"/>
      <c r="W45" s="152" t="n">
        <f aca="false">W7+W42</f>
        <v>139658.236384266</v>
      </c>
      <c r="X45" s="152" t="n">
        <f aca="false">X7+X42</f>
        <v>2668.27472012103</v>
      </c>
      <c r="Y45" s="152" t="n">
        <f aca="false">Y7+Y42</f>
        <v>142326.511104387</v>
      </c>
      <c r="Z45" s="155"/>
      <c r="AA45" s="156" t="n">
        <f aca="false">MIN(AA10:AA40)</f>
        <v>80</v>
      </c>
      <c r="AB45" s="156" t="n">
        <f aca="false">MIN(AB10:AB40)</f>
        <v>50</v>
      </c>
      <c r="AC45" s="157" t="s">
        <v>48</v>
      </c>
      <c r="AD45" s="173"/>
      <c r="AE45" s="173"/>
      <c r="AF45" s="174"/>
    </row>
    <row r="46" customFormat="false" ht="11.1" hidden="false" customHeight="true" outlineLevel="0" collapsed="false">
      <c r="A46" s="151" t="s">
        <v>49</v>
      </c>
      <c r="B46" s="151"/>
      <c r="C46" s="152"/>
      <c r="D46" s="152"/>
      <c r="E46" s="152"/>
      <c r="F46" s="152" t="n">
        <f aca="false">F45*$D$2</f>
        <v>-35883</v>
      </c>
      <c r="G46" s="152" t="n">
        <f aca="false">G45*$D$2</f>
        <v>181875.2076</v>
      </c>
      <c r="H46" s="152" t="n">
        <f aca="false">H45*$D$2</f>
        <v>12407.39304</v>
      </c>
      <c r="I46" s="152" t="n">
        <f aca="false">I45*$D$2</f>
        <v>194106.51024</v>
      </c>
      <c r="J46" s="152" t="n">
        <f aca="false">J45*$D$2</f>
        <v>52243.92162</v>
      </c>
      <c r="K46" s="152" t="n">
        <f aca="false">K45*$D$2</f>
        <v>246350.43186</v>
      </c>
      <c r="L46" s="152" t="n">
        <f aca="false">L45*$D$2</f>
        <v>46952.77251</v>
      </c>
      <c r="M46" s="152" t="n">
        <f aca="false">M45*$D$2</f>
        <v>65261.5215</v>
      </c>
      <c r="N46" s="152" t="n">
        <f aca="false">N45*$D$2</f>
        <v>7095.9924</v>
      </c>
      <c r="O46" s="152" t="n">
        <f aca="false">O45*$D$2</f>
        <v>58165.5291</v>
      </c>
      <c r="P46" s="152" t="n">
        <f aca="false">P45*$D$2</f>
        <v>35176.89309</v>
      </c>
      <c r="Q46" s="152" t="n">
        <f aca="false">Q45*$D$2</f>
        <v>19865.70784</v>
      </c>
      <c r="R46" s="152" t="n">
        <f aca="false">R45*$D$2</f>
        <v>113208.13003</v>
      </c>
      <c r="S46" s="152" t="n">
        <f aca="false">S45*$D$2</f>
        <v>-37412.0782</v>
      </c>
      <c r="T46" s="152" t="n">
        <f aca="false">T45*$D$2</f>
        <v>37192.076</v>
      </c>
      <c r="U46" s="152" t="n">
        <f aca="false">U45*$D$2</f>
        <v>119446.08432</v>
      </c>
      <c r="V46" s="152" t="n">
        <f aca="false">V45*$D$2</f>
        <v>0</v>
      </c>
      <c r="W46" s="152" t="n">
        <f aca="false">W45*$D$2</f>
        <v>276942.28275</v>
      </c>
      <c r="X46" s="152" t="n">
        <f aca="false">X45*$D$2</f>
        <v>5291.18877</v>
      </c>
      <c r="Y46" s="152" t="n">
        <f aca="false">Y45*$D$2</f>
        <v>282233.47152</v>
      </c>
      <c r="Z46" s="155"/>
      <c r="AA46" s="156"/>
      <c r="AB46" s="156"/>
      <c r="AC46" s="157"/>
      <c r="AD46" s="173"/>
      <c r="AE46" s="173"/>
      <c r="AF46" s="174"/>
    </row>
    <row r="47" customFormat="false" ht="3" hidden="false" customHeight="true" outlineLevel="0" collapsed="false">
      <c r="A47" s="178"/>
      <c r="B47" s="178"/>
      <c r="C47" s="180"/>
      <c r="D47" s="180"/>
      <c r="E47" s="180"/>
      <c r="F47" s="180"/>
      <c r="G47" s="180"/>
      <c r="H47" s="183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2"/>
      <c r="AA47" s="156"/>
      <c r="AB47" s="156"/>
      <c r="AC47" s="157"/>
      <c r="AD47" s="173"/>
      <c r="AE47" s="173"/>
      <c r="AF47" s="174"/>
    </row>
    <row r="48" customFormat="false" ht="11.1" hidden="false" customHeight="true" outlineLevel="0" collapsed="false">
      <c r="A48" s="151" t="s">
        <v>50</v>
      </c>
      <c r="B48" s="151"/>
      <c r="C48" s="152"/>
      <c r="D48" s="152"/>
      <c r="E48" s="152"/>
      <c r="F48" s="152" t="n">
        <f aca="false">F8+F42</f>
        <v>-10108.9258698941</v>
      </c>
      <c r="G48" s="152" t="n">
        <f aca="false">G8+G42</f>
        <v>104366.676449824</v>
      </c>
      <c r="H48" s="156" t="n">
        <f aca="false">H8+H42</f>
        <v>6256.88</v>
      </c>
      <c r="I48" s="152" t="n">
        <f aca="false">I8+I42</f>
        <v>110533.947876954</v>
      </c>
      <c r="J48" s="152" t="n">
        <f aca="false">J8+J42</f>
        <v>28319.613867877</v>
      </c>
      <c r="K48" s="152" t="n">
        <f aca="false">K8+K42</f>
        <v>138853.561744831</v>
      </c>
      <c r="L48" s="152" t="n">
        <f aca="false">L8+L42</f>
        <v>25183.6826374181</v>
      </c>
      <c r="M48" s="152" t="n">
        <f aca="false">M8+M42</f>
        <v>33822.74</v>
      </c>
      <c r="N48" s="152" t="n">
        <f aca="false">N8+N42</f>
        <v>3578.41270801815</v>
      </c>
      <c r="O48" s="152" t="n">
        <f aca="false">O8+O42</f>
        <v>30244.3272919818</v>
      </c>
      <c r="P48" s="152" t="n">
        <f aca="false">P8+P42</f>
        <v>17739.23</v>
      </c>
      <c r="Q48" s="152" t="n">
        <f aca="false">Q8+Q42</f>
        <v>10018.0069793243</v>
      </c>
      <c r="R48" s="152" t="n">
        <f aca="false">R8+R42</f>
        <v>58001.5642713061</v>
      </c>
      <c r="S48" s="152"/>
      <c r="T48" s="152" t="n">
        <f aca="false">T8+T42</f>
        <v>18755.459404942</v>
      </c>
      <c r="U48" s="152" t="n">
        <f aca="false">U8+U42</f>
        <v>65498.45</v>
      </c>
      <c r="V48" s="152" t="n">
        <f aca="false">V40</f>
        <v>3086.54</v>
      </c>
      <c r="W48" s="152" t="n">
        <f aca="false">W8+W42</f>
        <v>145833.886384266</v>
      </c>
      <c r="X48" s="152" t="n">
        <f aca="false">X8+X42</f>
        <v>3158.06248108926</v>
      </c>
      <c r="Y48" s="152" t="n">
        <f aca="false">Y8+Y42</f>
        <v>148991.948865356</v>
      </c>
      <c r="Z48" s="176" t="n">
        <f aca="false">Z8+Z42</f>
        <v>10.17</v>
      </c>
      <c r="AA48" s="156"/>
      <c r="AB48" s="156"/>
      <c r="AC48" s="157"/>
      <c r="AD48" s="173"/>
      <c r="AE48" s="173"/>
      <c r="AF48" s="174"/>
    </row>
    <row r="49" customFormat="false" ht="11.1" hidden="false" customHeight="true" outlineLevel="0" collapsed="false">
      <c r="A49" s="151" t="s">
        <v>51</v>
      </c>
      <c r="B49" s="151"/>
      <c r="C49" s="152"/>
      <c r="D49" s="152" t="n">
        <f aca="false">D8+D43</f>
        <v>-20046</v>
      </c>
      <c r="E49" s="152" t="n">
        <f aca="false">E40</f>
        <v>138641</v>
      </c>
      <c r="F49" s="152" t="n">
        <f aca="false">F48*$D$2</f>
        <v>-20046</v>
      </c>
      <c r="G49" s="152" t="n">
        <f aca="false">G48*$D$2</f>
        <v>206959.1194</v>
      </c>
      <c r="H49" s="156" t="n">
        <f aca="false">H48*$D$2</f>
        <v>12407.39304</v>
      </c>
      <c r="I49" s="152" t="n">
        <f aca="false">I48*$D$2</f>
        <v>219188.81864</v>
      </c>
      <c r="J49" s="152" t="n">
        <f aca="false">J48*$D$2</f>
        <v>56157.7943</v>
      </c>
      <c r="K49" s="152" t="n">
        <f aca="false">K48*$D$2</f>
        <v>275346.61294</v>
      </c>
      <c r="L49" s="152" t="n">
        <f aca="false">L48*$D$2</f>
        <v>49939.24267</v>
      </c>
      <c r="M49" s="152" t="n">
        <f aca="false">M48*$D$2</f>
        <v>67070.49342</v>
      </c>
      <c r="N49" s="152" t="n">
        <f aca="false">N48*$D$2</f>
        <v>7095.9924</v>
      </c>
      <c r="O49" s="152" t="n">
        <f aca="false">O48*$D$2</f>
        <v>59974.50102</v>
      </c>
      <c r="P49" s="152" t="n">
        <f aca="false">P48*$D$2</f>
        <v>35176.89309</v>
      </c>
      <c r="Q49" s="152" t="n">
        <f aca="false">Q48*$D$2</f>
        <v>19865.70784</v>
      </c>
      <c r="R49" s="152" t="n">
        <f aca="false">R48*$D$2</f>
        <v>115017.10195</v>
      </c>
      <c r="S49" s="152" t="n">
        <f aca="false">S48*$D$2</f>
        <v>0</v>
      </c>
      <c r="T49" s="152" t="n">
        <f aca="false">T48*$D$2</f>
        <v>37192.076</v>
      </c>
      <c r="U49" s="152" t="n">
        <f aca="false">U48*$D$2</f>
        <v>129883.42635</v>
      </c>
      <c r="V49" s="152" t="n">
        <f aca="false">V48*$D$2</f>
        <v>6120.60882</v>
      </c>
      <c r="W49" s="152" t="n">
        <f aca="false">W48*$D$2</f>
        <v>289188.5967</v>
      </c>
      <c r="X49" s="152" t="n">
        <f aca="false">X48*$D$2</f>
        <v>6262.4379</v>
      </c>
      <c r="Y49" s="152" t="n">
        <f aca="false">Y48*$D$2</f>
        <v>295451.0346</v>
      </c>
      <c r="Z49" s="155"/>
      <c r="AA49" s="156"/>
      <c r="AB49" s="156"/>
      <c r="AC49" s="157"/>
      <c r="AD49" s="173"/>
      <c r="AE49" s="173"/>
      <c r="AF49" s="174"/>
    </row>
    <row r="50" customFormat="false" ht="3" hidden="false" customHeight="true" outlineLevel="0" collapsed="false">
      <c r="A50" s="178"/>
      <c r="B50" s="178"/>
      <c r="C50" s="180"/>
      <c r="D50" s="178"/>
      <c r="E50" s="180"/>
      <c r="F50" s="178"/>
      <c r="G50" s="178"/>
      <c r="H50" s="181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80"/>
      <c r="T50" s="178"/>
      <c r="U50" s="178"/>
      <c r="V50" s="180"/>
      <c r="W50" s="178"/>
      <c r="X50" s="178"/>
      <c r="Y50" s="178"/>
      <c r="Z50" s="155"/>
      <c r="AA50" s="156"/>
      <c r="AB50" s="156"/>
      <c r="AC50" s="157"/>
      <c r="AD50" s="173"/>
      <c r="AE50" s="173"/>
      <c r="AF50" s="174"/>
    </row>
    <row r="51" customFormat="false" ht="11.1" hidden="false" customHeight="true" outlineLevel="0" collapsed="false">
      <c r="A51" s="187" t="str">
        <f aca="false">"SEP /8"</f>
        <v>SEP /8</v>
      </c>
      <c r="B51" s="188"/>
      <c r="C51" s="152"/>
      <c r="D51" s="151"/>
      <c r="E51" s="152"/>
      <c r="F51" s="151"/>
      <c r="G51" s="151"/>
      <c r="H51" s="153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2"/>
      <c r="T51" s="151"/>
      <c r="U51" s="151"/>
      <c r="V51" s="152"/>
      <c r="W51" s="151"/>
      <c r="X51" s="151"/>
      <c r="Y51" s="151"/>
      <c r="Z51" s="155"/>
      <c r="AA51" s="156"/>
      <c r="AB51" s="156"/>
      <c r="AC51" s="157"/>
      <c r="AD51" s="158"/>
      <c r="AE51" s="158"/>
    </row>
    <row r="52" customFormat="false" ht="11.1" hidden="false" customHeight="true" outlineLevel="0" collapsed="false">
      <c r="A52" s="151"/>
      <c r="B52" s="175" t="n">
        <v>6900.33</v>
      </c>
      <c r="C52" s="152" t="n">
        <v>284801</v>
      </c>
      <c r="D52" s="185"/>
      <c r="E52" s="152" t="n">
        <f aca="false">C52-152000</f>
        <v>132801</v>
      </c>
      <c r="F52" s="151"/>
      <c r="G52" s="151"/>
      <c r="H52" s="185"/>
      <c r="I52" s="153"/>
      <c r="J52" s="151"/>
      <c r="K52" s="41"/>
      <c r="L52" s="151"/>
      <c r="M52" s="151"/>
      <c r="N52" s="151"/>
      <c r="O52" s="151"/>
      <c r="P52" s="151"/>
      <c r="Q52" s="151"/>
      <c r="R52" s="151"/>
      <c r="S52" s="152"/>
      <c r="T52" s="185" t="s">
        <v>90</v>
      </c>
      <c r="V52" s="152"/>
      <c r="W52" s="151"/>
      <c r="X52" s="151"/>
      <c r="Y52" s="151"/>
      <c r="Z52" s="155"/>
      <c r="AA52" s="156"/>
      <c r="AB52" s="156"/>
      <c r="AC52" s="157"/>
      <c r="AD52" s="158"/>
      <c r="AE52" s="158"/>
    </row>
    <row r="53" customFormat="false" ht="11.1" hidden="false" customHeight="true" outlineLevel="0" collapsed="false">
      <c r="A53" s="185" t="str">
        <f aca="false">"8/11/94 thru 9/8/94"</f>
        <v>8/11/94 thru 9/8/94</v>
      </c>
      <c r="B53" s="185"/>
      <c r="C53" s="152"/>
      <c r="D53" s="152"/>
      <c r="E53" s="152"/>
      <c r="F53" s="185"/>
      <c r="G53" s="185"/>
      <c r="H53" s="153"/>
      <c r="I53" s="185"/>
      <c r="J53" s="185"/>
      <c r="K53" s="185"/>
      <c r="L53" s="185"/>
      <c r="M53" s="176"/>
      <c r="N53" s="176"/>
      <c r="O53" s="176"/>
      <c r="P53" s="185"/>
      <c r="Q53" s="185"/>
      <c r="R53" s="185"/>
      <c r="S53" s="152"/>
      <c r="T53" s="185" t="s">
        <v>91</v>
      </c>
      <c r="V53" s="152"/>
      <c r="W53" s="185"/>
      <c r="X53" s="185"/>
      <c r="Y53" s="185"/>
      <c r="Z53" s="155"/>
      <c r="AA53" s="156"/>
      <c r="AB53" s="156"/>
      <c r="AC53" s="157"/>
      <c r="AD53" s="189"/>
      <c r="AE53" s="189"/>
    </row>
    <row r="54" customFormat="false" ht="11.1" hidden="false" customHeight="true" outlineLevel="0" collapsed="false">
      <c r="A54" s="185"/>
      <c r="B54" s="155" t="n">
        <f aca="false">B52-B17</f>
        <v>-9.03999999999996</v>
      </c>
      <c r="C54" s="152"/>
      <c r="D54" s="152" t="n">
        <f aca="false">C52-C17</f>
        <v>-34677</v>
      </c>
      <c r="E54" s="152"/>
      <c r="F54" s="185"/>
      <c r="G54" s="185"/>
      <c r="H54" s="153"/>
      <c r="I54" s="185"/>
      <c r="J54" s="185"/>
      <c r="K54" s="185"/>
      <c r="L54" s="185"/>
      <c r="M54" s="176"/>
      <c r="N54" s="176"/>
      <c r="O54" s="176"/>
      <c r="P54" s="185"/>
      <c r="Q54" s="185"/>
      <c r="R54" s="185"/>
      <c r="S54" s="152"/>
      <c r="T54" s="185" t="s">
        <v>92</v>
      </c>
      <c r="V54" s="152"/>
      <c r="W54" s="185"/>
      <c r="X54" s="185"/>
      <c r="Y54" s="185"/>
      <c r="Z54" s="155"/>
      <c r="AA54" s="156"/>
      <c r="AB54" s="156"/>
      <c r="AC54" s="157"/>
      <c r="AD54" s="189"/>
      <c r="AE54" s="189"/>
    </row>
    <row r="55" customFormat="false" ht="11.1" hidden="false" customHeight="true" outlineLevel="0" collapsed="false">
      <c r="A55" s="185"/>
      <c r="B55" s="185"/>
      <c r="C55" s="152"/>
      <c r="D55" s="185"/>
      <c r="E55" s="152"/>
      <c r="F55" s="185"/>
      <c r="G55" s="190"/>
      <c r="H55" s="153"/>
      <c r="I55" s="185"/>
      <c r="J55" s="185"/>
      <c r="K55" s="185"/>
      <c r="L55" s="185"/>
      <c r="M55" s="176"/>
      <c r="N55" s="176"/>
      <c r="O55" s="176"/>
      <c r="P55" s="185"/>
      <c r="Q55" s="185"/>
      <c r="R55" s="185"/>
      <c r="S55" s="152"/>
      <c r="T55" s="185"/>
      <c r="V55" s="152"/>
      <c r="W55" s="185"/>
      <c r="X55" s="185"/>
      <c r="Y55" s="185"/>
      <c r="Z55" s="155"/>
      <c r="AA55" s="156"/>
      <c r="AB55" s="156"/>
      <c r="AC55" s="157"/>
      <c r="AD55" s="189"/>
      <c r="AE55" s="189"/>
    </row>
  </sheetData>
  <mergeCells count="3">
    <mergeCell ref="K2:T2"/>
    <mergeCell ref="M4:O4"/>
    <mergeCell ref="AG5:AH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B45" activePane="bottomRight" state="frozen"/>
      <selection pane="topLeft" activeCell="A4" activeCellId="0" sqref="A4"/>
      <selection pane="topRight" activeCell="B4" activeCellId="0" sqref="B4"/>
      <selection pane="bottomLeft" activeCell="A45" activeCellId="0" sqref="A45"/>
      <selection pane="bottomRight" activeCell="B53" activeCellId="0" sqref="B53"/>
    </sheetView>
  </sheetViews>
  <sheetFormatPr defaultColWidth="9.328125" defaultRowHeight="11.1" zeroHeight="false" outlineLevelRow="0" outlineLevelCol="0"/>
  <cols>
    <col collapsed="false" customWidth="true" hidden="false" outlineLevel="0" max="1" min="1" style="191" width="5.66"/>
    <col collapsed="false" customWidth="false" hidden="false" outlineLevel="0" max="2" min="2" style="191" width="9.32"/>
    <col collapsed="false" customWidth="true" hidden="false" outlineLevel="0" max="3" min="3" style="192" width="7.66"/>
    <col collapsed="false" customWidth="true" hidden="false" outlineLevel="0" max="4" min="4" style="191" width="7.66"/>
    <col collapsed="false" customWidth="true" hidden="false" outlineLevel="0" max="5" min="5" style="192" width="7.66"/>
    <col collapsed="false" customWidth="true" hidden="false" outlineLevel="0" max="7" min="6" style="191" width="7.66"/>
    <col collapsed="false" customWidth="true" hidden="false" outlineLevel="0" max="8" min="8" style="193" width="7.16"/>
    <col collapsed="false" customWidth="true" hidden="false" outlineLevel="0" max="9" min="9" style="191" width="8.82"/>
    <col collapsed="false" customWidth="true" hidden="false" outlineLevel="0" max="11" min="10" style="191" width="7.66"/>
    <col collapsed="false" customWidth="true" hidden="false" outlineLevel="0" max="12" min="12" style="191" width="6.49"/>
    <col collapsed="false" customWidth="true" hidden="false" outlineLevel="0" max="15" min="13" style="194" width="7.49"/>
    <col collapsed="false" customWidth="true" hidden="false" outlineLevel="0" max="16" min="16" style="191" width="7.66"/>
    <col collapsed="false" customWidth="true" hidden="false" outlineLevel="0" max="17" min="17" style="191" width="7.16"/>
    <col collapsed="false" customWidth="true" hidden="false" outlineLevel="0" max="18" min="18" style="191" width="7.66"/>
    <col collapsed="false" customWidth="true" hidden="false" outlineLevel="0" max="19" min="19" style="192" width="7.66"/>
    <col collapsed="false" customWidth="true" hidden="false" outlineLevel="0" max="20" min="20" style="191" width="7.66"/>
    <col collapsed="false" customWidth="true" hidden="false" outlineLevel="0" max="21" min="21" style="191" width="7.49"/>
    <col collapsed="false" customWidth="true" hidden="false" outlineLevel="0" max="22" min="22" style="192" width="6.32"/>
    <col collapsed="false" customWidth="true" hidden="false" outlineLevel="0" max="25" min="23" style="191" width="7.82"/>
    <col collapsed="false" customWidth="true" hidden="false" outlineLevel="0" max="26" min="26" style="195" width="5.66"/>
    <col collapsed="false" customWidth="true" hidden="false" outlineLevel="0" max="28" min="27" style="196" width="5.66"/>
    <col collapsed="false" customWidth="true" hidden="false" outlineLevel="0" max="29" min="29" style="197" width="5.66"/>
    <col collapsed="false" customWidth="false" hidden="false" outlineLevel="0" max="257" min="30" style="191" width="9.32"/>
  </cols>
  <sheetData>
    <row r="1" customFormat="false" ht="14.1" hidden="false" customHeight="true" outlineLevel="0" collapsed="false">
      <c r="A1" s="198"/>
      <c r="B1" s="198"/>
      <c r="C1" s="199"/>
      <c r="D1" s="198"/>
      <c r="E1" s="199"/>
      <c r="F1" s="198"/>
      <c r="G1" s="198"/>
      <c r="H1" s="200"/>
      <c r="I1" s="198"/>
      <c r="J1" s="198"/>
      <c r="K1" s="201" t="s">
        <v>0</v>
      </c>
      <c r="L1" s="198"/>
      <c r="M1" s="198"/>
      <c r="N1" s="198"/>
      <c r="O1" s="198"/>
      <c r="P1" s="198"/>
      <c r="Q1" s="198"/>
      <c r="R1" s="198"/>
      <c r="S1" s="199"/>
      <c r="T1" s="198"/>
      <c r="U1" s="198"/>
      <c r="V1" s="199"/>
      <c r="W1" s="198"/>
      <c r="X1" s="198"/>
      <c r="Y1" s="198"/>
      <c r="Z1" s="202"/>
      <c r="AA1" s="203"/>
      <c r="AB1" s="203"/>
      <c r="AC1" s="204"/>
      <c r="AD1" s="205"/>
      <c r="AE1" s="205"/>
    </row>
    <row r="2" customFormat="false" ht="14.1" hidden="false" customHeight="true" outlineLevel="0" collapsed="false">
      <c r="A2" s="198" t="s">
        <v>1</v>
      </c>
      <c r="B2" s="198"/>
      <c r="C2" s="199"/>
      <c r="D2" s="206" t="n">
        <v>1.983</v>
      </c>
      <c r="E2" s="199"/>
      <c r="F2" s="198"/>
      <c r="G2" s="198"/>
      <c r="H2" s="200"/>
      <c r="I2" s="198"/>
      <c r="J2" s="198"/>
      <c r="K2" s="207" t="s">
        <v>93</v>
      </c>
      <c r="L2" s="207"/>
      <c r="M2" s="207"/>
      <c r="N2" s="207"/>
      <c r="O2" s="207"/>
      <c r="P2" s="207"/>
      <c r="Q2" s="207"/>
      <c r="R2" s="207"/>
      <c r="S2" s="207"/>
      <c r="T2" s="207"/>
      <c r="U2" s="198"/>
      <c r="V2" s="199"/>
      <c r="W2" s="198"/>
      <c r="X2" s="198"/>
      <c r="Y2" s="198"/>
      <c r="Z2" s="202"/>
      <c r="AA2" s="203"/>
      <c r="AB2" s="203"/>
      <c r="AC2" s="204"/>
      <c r="AD2" s="205"/>
      <c r="AE2" s="205"/>
    </row>
    <row r="3" customFormat="false" ht="11.1" hidden="false" customHeight="true" outlineLevel="0" collapsed="false">
      <c r="A3" s="198"/>
      <c r="B3" s="198"/>
      <c r="C3" s="199"/>
      <c r="D3" s="206"/>
      <c r="E3" s="199"/>
      <c r="F3" s="198"/>
      <c r="G3" s="198"/>
      <c r="H3" s="200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9"/>
      <c r="T3" s="198"/>
      <c r="U3" s="198"/>
      <c r="V3" s="199"/>
      <c r="W3" s="198"/>
      <c r="X3" s="198"/>
      <c r="Y3" s="198"/>
      <c r="Z3" s="202"/>
      <c r="AA3" s="203"/>
      <c r="AB3" s="203"/>
      <c r="AC3" s="204"/>
      <c r="AD3" s="205"/>
      <c r="AE3" s="205"/>
    </row>
    <row r="4" customFormat="false" ht="11.1" hidden="false" customHeight="true" outlineLevel="0" collapsed="false">
      <c r="A4" s="208" t="s">
        <v>3</v>
      </c>
      <c r="B4" s="208" t="s">
        <v>4</v>
      </c>
      <c r="C4" s="209" t="s">
        <v>4</v>
      </c>
      <c r="D4" s="208" t="s">
        <v>5</v>
      </c>
      <c r="E4" s="209" t="s">
        <v>6</v>
      </c>
      <c r="F4" s="208" t="s">
        <v>7</v>
      </c>
      <c r="G4" s="208" t="s">
        <v>8</v>
      </c>
      <c r="H4" s="210" t="s">
        <v>9</v>
      </c>
      <c r="I4" s="208" t="s">
        <v>10</v>
      </c>
      <c r="J4" s="208" t="s">
        <v>11</v>
      </c>
      <c r="K4" s="208" t="s">
        <v>12</v>
      </c>
      <c r="L4" s="208" t="s">
        <v>11</v>
      </c>
      <c r="M4" s="208" t="s">
        <v>62</v>
      </c>
      <c r="N4" s="208"/>
      <c r="O4" s="208"/>
      <c r="P4" s="208" t="s">
        <v>68</v>
      </c>
      <c r="Q4" s="208" t="s">
        <v>14</v>
      </c>
      <c r="R4" s="208" t="s">
        <v>12</v>
      </c>
      <c r="S4" s="209" t="s">
        <v>13</v>
      </c>
      <c r="T4" s="208" t="s">
        <v>15</v>
      </c>
      <c r="U4" s="208" t="s">
        <v>17</v>
      </c>
      <c r="V4" s="209" t="s">
        <v>18</v>
      </c>
      <c r="W4" s="208" t="s">
        <v>10</v>
      </c>
      <c r="X4" s="208" t="s">
        <v>11</v>
      </c>
      <c r="Y4" s="208" t="s">
        <v>12</v>
      </c>
      <c r="Z4" s="211" t="s">
        <v>19</v>
      </c>
      <c r="AA4" s="212" t="s">
        <v>20</v>
      </c>
      <c r="AB4" s="212" t="s">
        <v>21</v>
      </c>
      <c r="AC4" s="212" t="s">
        <v>3</v>
      </c>
      <c r="AD4" s="205"/>
      <c r="AE4" s="205"/>
    </row>
    <row r="5" customFormat="false" ht="11.1" hidden="false" customHeight="true" outlineLevel="0" collapsed="false">
      <c r="A5" s="213" t="s">
        <v>94</v>
      </c>
      <c r="B5" s="208" t="s">
        <v>23</v>
      </c>
      <c r="C5" s="209" t="s">
        <v>5</v>
      </c>
      <c r="D5" s="208" t="s">
        <v>24</v>
      </c>
      <c r="E5" s="209" t="s">
        <v>25</v>
      </c>
      <c r="F5" s="208" t="s">
        <v>26</v>
      </c>
      <c r="G5" s="208" t="s">
        <v>27</v>
      </c>
      <c r="H5" s="210" t="s">
        <v>28</v>
      </c>
      <c r="I5" s="208" t="s">
        <v>29</v>
      </c>
      <c r="J5" s="208" t="s">
        <v>29</v>
      </c>
      <c r="K5" s="208" t="s">
        <v>29</v>
      </c>
      <c r="L5" s="208" t="s">
        <v>30</v>
      </c>
      <c r="M5" s="208" t="s">
        <v>64</v>
      </c>
      <c r="N5" s="208" t="s">
        <v>65</v>
      </c>
      <c r="O5" s="208" t="s">
        <v>70</v>
      </c>
      <c r="P5" s="208" t="s">
        <v>71</v>
      </c>
      <c r="Q5" s="208" t="s">
        <v>33</v>
      </c>
      <c r="R5" s="208" t="s">
        <v>13</v>
      </c>
      <c r="S5" s="209" t="s">
        <v>34</v>
      </c>
      <c r="T5" s="208" t="s">
        <v>35</v>
      </c>
      <c r="U5" s="208" t="s">
        <v>37</v>
      </c>
      <c r="V5" s="209" t="s">
        <v>38</v>
      </c>
      <c r="W5" s="208" t="s">
        <v>39</v>
      </c>
      <c r="X5" s="208" t="s">
        <v>39</v>
      </c>
      <c r="Y5" s="208" t="s">
        <v>39</v>
      </c>
      <c r="Z5" s="214"/>
      <c r="AA5" s="212" t="s">
        <v>40</v>
      </c>
      <c r="AB5" s="212" t="s">
        <v>40</v>
      </c>
      <c r="AC5" s="215" t="s">
        <v>94</v>
      </c>
      <c r="AD5" s="205"/>
      <c r="AE5" s="205"/>
      <c r="AG5" s="216" t="s">
        <v>86</v>
      </c>
      <c r="AH5" s="216"/>
    </row>
    <row r="6" customFormat="false" ht="11.1" hidden="false" customHeight="true" outlineLevel="0" collapsed="false">
      <c r="A6" s="217"/>
      <c r="B6" s="217"/>
      <c r="C6" s="218"/>
      <c r="D6" s="217"/>
      <c r="E6" s="218"/>
      <c r="F6" s="217"/>
      <c r="G6" s="217"/>
      <c r="H6" s="219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8"/>
      <c r="T6" s="217"/>
      <c r="U6" s="217"/>
      <c r="V6" s="218"/>
      <c r="W6" s="217"/>
      <c r="X6" s="217"/>
      <c r="Y6" s="217"/>
      <c r="Z6" s="202"/>
      <c r="AA6" s="204"/>
      <c r="AB6" s="204"/>
      <c r="AC6" s="204"/>
      <c r="AD6" s="220" t="n">
        <v>741</v>
      </c>
      <c r="AE6" s="220" t="n">
        <v>742</v>
      </c>
      <c r="AF6" s="221" t="s">
        <v>78</v>
      </c>
      <c r="AG6" s="216" t="s">
        <v>87</v>
      </c>
      <c r="AH6" s="216" t="s">
        <v>88</v>
      </c>
    </row>
    <row r="7" customFormat="false" ht="11.1" hidden="false" customHeight="true" outlineLevel="0" collapsed="false">
      <c r="A7" s="198" t="s">
        <v>41</v>
      </c>
      <c r="B7" s="198"/>
      <c r="C7" s="199"/>
      <c r="D7" s="199"/>
      <c r="E7" s="199"/>
      <c r="F7" s="199" t="n">
        <f aca="false" t="array" ref="F7:Y7">[9]RIVER054!$F$45:$Y$45</f>
        <v>-18095.3101361573</v>
      </c>
      <c r="G7" s="199" t="n">
        <v>91717.2</v>
      </c>
      <c r="H7" s="199" t="n">
        <v>6256.88</v>
      </c>
      <c r="I7" s="199" t="n">
        <v>97885.28</v>
      </c>
      <c r="J7" s="199" t="n">
        <v>26345.90096823</v>
      </c>
      <c r="K7" s="199" t="n">
        <v>124231.18096823</v>
      </c>
      <c r="L7" s="199" t="n">
        <v>23677.6462481089</v>
      </c>
      <c r="M7" s="199" t="n">
        <v>32910.5</v>
      </c>
      <c r="N7" s="199" t="n">
        <v>3578.41270801815</v>
      </c>
      <c r="O7" s="199" t="n">
        <v>29332.0872919818</v>
      </c>
      <c r="P7" s="199" t="n">
        <v>17739.23</v>
      </c>
      <c r="Q7" s="199" t="n">
        <v>10018.0069793243</v>
      </c>
      <c r="R7" s="199" t="n">
        <v>57089.3242713061</v>
      </c>
      <c r="S7" s="199" t="n">
        <v>-18866.403530005</v>
      </c>
      <c r="T7" s="199" t="n">
        <v>18755.459404942</v>
      </c>
      <c r="U7" s="199" t="n">
        <v>60235.04</v>
      </c>
      <c r="V7" s="199" t="n">
        <v>0</v>
      </c>
      <c r="W7" s="199" t="n">
        <v>139658.236384266</v>
      </c>
      <c r="X7" s="199" t="n">
        <v>2668.27472012103</v>
      </c>
      <c r="Y7" s="199" t="n">
        <v>142326.511104387</v>
      </c>
      <c r="Z7" s="202"/>
      <c r="AA7" s="203"/>
      <c r="AB7" s="203"/>
      <c r="AC7" s="204"/>
      <c r="AD7" s="220"/>
      <c r="AE7" s="221"/>
      <c r="AF7" s="221" t="s">
        <v>89</v>
      </c>
    </row>
    <row r="8" s="192" customFormat="true" ht="11.1" hidden="false" customHeight="true" outlineLevel="0" collapsed="false">
      <c r="A8" s="199" t="s">
        <v>42</v>
      </c>
      <c r="B8" s="222" t="n">
        <f aca="false" t="array" ref="B8:C8">[9]RIVER054!$B$40:$C$40</f>
        <v>6901.9</v>
      </c>
      <c r="C8" s="199" t="n">
        <v>290641</v>
      </c>
      <c r="D8" s="199" t="n">
        <f aca="false" t="array" ref="D8:E8">[9]RIVER054!$D$49:$E$49</f>
        <v>-20046</v>
      </c>
      <c r="E8" s="199" t="n">
        <v>138641</v>
      </c>
      <c r="F8" s="199" t="n">
        <f aca="false" t="array" ref="F8:Z8">[9]RIVER054!$F$48:$Z$48</f>
        <v>-10108.9258698941</v>
      </c>
      <c r="G8" s="199" t="n">
        <v>104366.676449824</v>
      </c>
      <c r="H8" s="203" t="n">
        <v>6256.88</v>
      </c>
      <c r="I8" s="199" t="n">
        <v>110533.947876954</v>
      </c>
      <c r="J8" s="199" t="n">
        <v>28319.613867877</v>
      </c>
      <c r="K8" s="199" t="n">
        <v>138853.561744831</v>
      </c>
      <c r="L8" s="199" t="n">
        <v>25183.6826374181</v>
      </c>
      <c r="M8" s="199" t="n">
        <v>33822.74</v>
      </c>
      <c r="N8" s="199" t="n">
        <v>3578.41270801815</v>
      </c>
      <c r="O8" s="199" t="n">
        <v>30244.3272919818</v>
      </c>
      <c r="P8" s="199" t="n">
        <v>17739.23</v>
      </c>
      <c r="Q8" s="199" t="n">
        <v>10018.0069793243</v>
      </c>
      <c r="R8" s="199" t="n">
        <v>58001.5642713061</v>
      </c>
      <c r="S8" s="199" t="n">
        <v>0</v>
      </c>
      <c r="T8" s="199" t="n">
        <v>18755.459404942</v>
      </c>
      <c r="U8" s="199" t="n">
        <v>65498.45</v>
      </c>
      <c r="V8" s="199" t="n">
        <v>3086.54</v>
      </c>
      <c r="W8" s="199" t="n">
        <v>145833.886384266</v>
      </c>
      <c r="X8" s="199" t="n">
        <v>3158.06248108926</v>
      </c>
      <c r="Y8" s="199" t="n">
        <v>148991.948865356</v>
      </c>
      <c r="Z8" s="223" t="n">
        <v>10.17</v>
      </c>
      <c r="AA8" s="203"/>
      <c r="AB8" s="203"/>
      <c r="AC8" s="204"/>
      <c r="AD8" s="220" t="n">
        <v>37136</v>
      </c>
      <c r="AE8" s="220" t="n">
        <v>19854</v>
      </c>
      <c r="AF8" s="224" t="n">
        <f aca="false">(AG8+AH8)-(AG7+AH7)</f>
        <v>4404.14</v>
      </c>
      <c r="AG8" s="191" t="n">
        <v>3715.57</v>
      </c>
      <c r="AH8" s="191" t="n">
        <v>688.57</v>
      </c>
    </row>
    <row r="9" customFormat="false" ht="3" hidden="false" customHeight="true" outlineLevel="0" collapsed="false">
      <c r="A9" s="225"/>
      <c r="B9" s="226"/>
      <c r="C9" s="227"/>
      <c r="D9" s="225"/>
      <c r="E9" s="227"/>
      <c r="F9" s="225"/>
      <c r="G9" s="225"/>
      <c r="H9" s="228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7"/>
      <c r="T9" s="225"/>
      <c r="U9" s="225"/>
      <c r="V9" s="227"/>
      <c r="W9" s="225"/>
      <c r="X9" s="225"/>
      <c r="Y9" s="225"/>
      <c r="Z9" s="229"/>
      <c r="AA9" s="230"/>
      <c r="AB9" s="230"/>
      <c r="AC9" s="231"/>
      <c r="AD9" s="220"/>
      <c r="AE9" s="220"/>
      <c r="AF9" s="221"/>
    </row>
    <row r="10" customFormat="false" ht="11.1" hidden="false" customHeight="true" outlineLevel="0" collapsed="false">
      <c r="A10" s="204" t="n">
        <v>1</v>
      </c>
      <c r="B10" s="222" t="n">
        <v>6901.63</v>
      </c>
      <c r="C10" s="199" t="n">
        <v>289633</v>
      </c>
      <c r="D10" s="203" t="n">
        <f aca="false">C10-C8</f>
        <v>-1008</v>
      </c>
      <c r="E10" s="199" t="n">
        <f aca="false">C10-152000</f>
        <v>137633</v>
      </c>
      <c r="F10" s="198" t="n">
        <f aca="false">D10/$D$2</f>
        <v>-508.320726172466</v>
      </c>
      <c r="G10" s="198" t="n">
        <v>83.5</v>
      </c>
      <c r="H10" s="200" t="n">
        <v>0</v>
      </c>
      <c r="I10" s="198" t="n">
        <f aca="false">G10+H10</f>
        <v>83.5</v>
      </c>
      <c r="J10" s="223" t="n">
        <f aca="false">IF(L10&gt;0,L10,0)</f>
        <v>6.53373676248111</v>
      </c>
      <c r="K10" s="198" t="n">
        <f aca="false">I10+J10</f>
        <v>90.0337367624811</v>
      </c>
      <c r="L10" s="198" t="n">
        <f aca="false">F10-(I10-W10)</f>
        <v>6.53373676248111</v>
      </c>
      <c r="M10" s="198" t="n">
        <v>254.9</v>
      </c>
      <c r="N10" s="198" t="n">
        <f aca="false">(AF10*1.05)/$D$2</f>
        <v>22.3449319213312</v>
      </c>
      <c r="O10" s="198" t="n">
        <f aca="false">M10-N10</f>
        <v>232.555068078669</v>
      </c>
      <c r="P10" s="198" t="n">
        <v>148.98</v>
      </c>
      <c r="Q10" s="198" t="n">
        <f aca="false">(AE10-AE8)/$D$2</f>
        <v>80.6858295511851</v>
      </c>
      <c r="R10" s="198" t="n">
        <f aca="false">SUM(O10:Q10)</f>
        <v>462.220897629854</v>
      </c>
      <c r="S10" s="199" t="n">
        <f aca="false">(I10-R10)+S7</f>
        <v>-19245.1244276349</v>
      </c>
      <c r="T10" s="198" t="n">
        <f aca="false">(AD10-AD8)/$D$2</f>
        <v>43.368633383762</v>
      </c>
      <c r="U10" s="198" t="n">
        <v>70.42</v>
      </c>
      <c r="V10" s="199" t="n">
        <f aca="false">V8-60</f>
        <v>3026.54</v>
      </c>
      <c r="W10" s="198" t="n">
        <f aca="false">R10+T10+N10+U10</f>
        <v>598.354462934947</v>
      </c>
      <c r="X10" s="198" t="n">
        <f aca="false">IF(L10&lt;0,L10*-1,0)</f>
        <v>0</v>
      </c>
      <c r="Y10" s="198" t="n">
        <f aca="false">W10+X10</f>
        <v>598.354462934947</v>
      </c>
      <c r="Z10" s="202" t="n">
        <v>0</v>
      </c>
      <c r="AA10" s="203" t="n">
        <v>83</v>
      </c>
      <c r="AB10" s="203" t="n">
        <v>56</v>
      </c>
      <c r="AC10" s="204" t="n">
        <v>1</v>
      </c>
      <c r="AD10" s="221" t="n">
        <v>37222</v>
      </c>
      <c r="AE10" s="224" t="n">
        <v>20014</v>
      </c>
      <c r="AF10" s="224" t="n">
        <f aca="false">(AG10+AH10)-(AG8+AH8)</f>
        <v>42.1999999999998</v>
      </c>
      <c r="AG10" s="191" t="n">
        <v>3735.5</v>
      </c>
      <c r="AH10" s="191" t="n">
        <v>710.84</v>
      </c>
    </row>
    <row r="11" customFormat="false" ht="11.1" hidden="false" customHeight="true" outlineLevel="0" collapsed="false">
      <c r="A11" s="204" t="n">
        <f aca="false">A10+1</f>
        <v>2</v>
      </c>
      <c r="B11" s="222" t="n">
        <v>6901.45</v>
      </c>
      <c r="C11" s="199" t="n">
        <v>288962</v>
      </c>
      <c r="D11" s="203" t="n">
        <f aca="false">C11-C10</f>
        <v>-671</v>
      </c>
      <c r="E11" s="199" t="n">
        <f aca="false">C11-152000</f>
        <v>136962</v>
      </c>
      <c r="F11" s="198" t="n">
        <f aca="false">D11/$D$2</f>
        <v>-338.376197680282</v>
      </c>
      <c r="G11" s="198" t="n">
        <v>82.09</v>
      </c>
      <c r="H11" s="200" t="n">
        <v>0</v>
      </c>
      <c r="I11" s="198" t="n">
        <f aca="false">G11+H11</f>
        <v>82.09</v>
      </c>
      <c r="J11" s="223" t="n">
        <f aca="false">IF(L11&gt;0,L11,0)</f>
        <v>168.658265254665</v>
      </c>
      <c r="K11" s="198" t="n">
        <f aca="false">I11+J11</f>
        <v>250.748265254665</v>
      </c>
      <c r="L11" s="198" t="n">
        <f aca="false">F11-(I11-W11)</f>
        <v>168.658265254665</v>
      </c>
      <c r="M11" s="198" t="n">
        <v>245.23</v>
      </c>
      <c r="N11" s="198" t="n">
        <f aca="false">(AF11*1.05)/$D$2</f>
        <v>18.712556732224</v>
      </c>
      <c r="O11" s="198" t="n">
        <f aca="false">M11-N11</f>
        <v>226.517443267776</v>
      </c>
      <c r="P11" s="198" t="n">
        <v>149.51</v>
      </c>
      <c r="Q11" s="198" t="n">
        <f aca="false">(AE11-AE10)/$D$2</f>
        <v>80.6858295511851</v>
      </c>
      <c r="R11" s="198" t="n">
        <f aca="false">SUM(O11:Q11)</f>
        <v>456.713272818961</v>
      </c>
      <c r="S11" s="199" t="n">
        <f aca="false">(I11-R11)+S10</f>
        <v>-19619.7477004539</v>
      </c>
      <c r="T11" s="198" t="n">
        <f aca="false">(AD11-AD10)/$D$2</f>
        <v>43.368633383762</v>
      </c>
      <c r="U11" s="198" t="n">
        <v>70.33</v>
      </c>
      <c r="V11" s="199" t="n">
        <f aca="false">V10-60</f>
        <v>2966.54</v>
      </c>
      <c r="W11" s="198" t="n">
        <f aca="false">R11+T11+N11+U11</f>
        <v>589.124462934947</v>
      </c>
      <c r="X11" s="198" t="n">
        <f aca="false">IF(L11&lt;0,L11*-1,0)</f>
        <v>0</v>
      </c>
      <c r="Y11" s="198" t="n">
        <f aca="false">W11+X11</f>
        <v>589.124462934947</v>
      </c>
      <c r="Z11" s="202" t="n">
        <v>0.4</v>
      </c>
      <c r="AA11" s="203" t="n">
        <v>82</v>
      </c>
      <c r="AB11" s="203" t="n">
        <v>54</v>
      </c>
      <c r="AC11" s="204" t="n">
        <f aca="false">AC10+1</f>
        <v>2</v>
      </c>
      <c r="AD11" s="221" t="n">
        <v>37308</v>
      </c>
      <c r="AE11" s="224" t="n">
        <v>20174</v>
      </c>
      <c r="AF11" s="224" t="n">
        <f aca="false">(AG11+AH11)-(AG10+AH10)</f>
        <v>35.3400000000001</v>
      </c>
      <c r="AG11" s="191" t="n">
        <v>3752.83</v>
      </c>
      <c r="AH11" s="191" t="n">
        <v>728.85</v>
      </c>
    </row>
    <row r="12" customFormat="false" ht="11.1" hidden="false" customHeight="true" outlineLevel="0" collapsed="false">
      <c r="A12" s="204" t="n">
        <f aca="false">A11+1</f>
        <v>3</v>
      </c>
      <c r="B12" s="222" t="n">
        <v>6901.23</v>
      </c>
      <c r="C12" s="199" t="n">
        <v>288140</v>
      </c>
      <c r="D12" s="203" t="n">
        <f aca="false">C12-C11</f>
        <v>-822</v>
      </c>
      <c r="E12" s="199" t="n">
        <f aca="false">C12-152000</f>
        <v>136140</v>
      </c>
      <c r="F12" s="198" t="n">
        <f aca="false">D12/$D$2</f>
        <v>-414.523449319213</v>
      </c>
      <c r="G12" s="198" t="n">
        <v>102.74</v>
      </c>
      <c r="H12" s="200" t="n">
        <v>0</v>
      </c>
      <c r="I12" s="198" t="n">
        <f aca="false">G12+H12</f>
        <v>102.74</v>
      </c>
      <c r="J12" s="223" t="n">
        <f aca="false">IF(L12&gt;0,L12,0)</f>
        <v>63.1267725668179</v>
      </c>
      <c r="K12" s="198" t="n">
        <f aca="false">I12+J12</f>
        <v>165.866772566818</v>
      </c>
      <c r="L12" s="198" t="n">
        <f aca="false">F12-(I12-W12)</f>
        <v>63.1267725668179</v>
      </c>
      <c r="M12" s="198" t="n">
        <v>206.37</v>
      </c>
      <c r="N12" s="198" t="n">
        <f aca="false">(AF12*1.05)/$D$2</f>
        <v>18.1512859304083</v>
      </c>
      <c r="O12" s="198" t="n">
        <f aca="false">M12-N12</f>
        <v>188.218714069592</v>
      </c>
      <c r="P12" s="198" t="n">
        <v>148.41</v>
      </c>
      <c r="Q12" s="198" t="n">
        <f aca="false">(AE12-AE11)/$D$2</f>
        <v>74.1301059001513</v>
      </c>
      <c r="R12" s="198" t="n">
        <f aca="false">SUM(O12:Q12)</f>
        <v>410.758819969743</v>
      </c>
      <c r="S12" s="199" t="n">
        <f aca="false">(I12-R12)+S11</f>
        <v>-19927.7665204236</v>
      </c>
      <c r="T12" s="198" t="n">
        <f aca="false">(AD12-AD11)/$D$2</f>
        <v>81.19011598588</v>
      </c>
      <c r="U12" s="198" t="n">
        <v>70.29</v>
      </c>
      <c r="V12" s="199" t="n">
        <f aca="false">V11-60</f>
        <v>2906.54</v>
      </c>
      <c r="W12" s="198" t="n">
        <f aca="false">R12+T12+N12+U12</f>
        <v>580.390221886031</v>
      </c>
      <c r="X12" s="198" t="n">
        <f aca="false">IF(L12&lt;0,L12*-1,0)</f>
        <v>0</v>
      </c>
      <c r="Y12" s="198" t="n">
        <f aca="false">W12+X12</f>
        <v>580.390221886031</v>
      </c>
      <c r="Z12" s="202" t="n">
        <v>0.2</v>
      </c>
      <c r="AA12" s="203" t="n">
        <v>71</v>
      </c>
      <c r="AB12" s="203" t="n">
        <v>54</v>
      </c>
      <c r="AC12" s="204" t="n">
        <f aca="false">AC11+1</f>
        <v>3</v>
      </c>
      <c r="AD12" s="221" t="n">
        <v>37469</v>
      </c>
      <c r="AE12" s="224" t="n">
        <v>20321</v>
      </c>
      <c r="AF12" s="224" t="n">
        <f aca="false">(AG12+AH12)-(AG11+AH11)</f>
        <v>34.2799999999997</v>
      </c>
      <c r="AG12" s="191" t="n">
        <v>3767.82</v>
      </c>
      <c r="AH12" s="191" t="n">
        <v>748.14</v>
      </c>
    </row>
    <row r="13" customFormat="false" ht="11.1" hidden="false" customHeight="true" outlineLevel="0" collapsed="false">
      <c r="A13" s="204" t="n">
        <f aca="false">A12+1</f>
        <v>4</v>
      </c>
      <c r="B13" s="222" t="n">
        <v>6901.07</v>
      </c>
      <c r="C13" s="199" t="n">
        <v>287543</v>
      </c>
      <c r="D13" s="203" t="n">
        <f aca="false">C13-C12</f>
        <v>-597</v>
      </c>
      <c r="E13" s="199" t="n">
        <f aca="false">C13-152000</f>
        <v>135543</v>
      </c>
      <c r="F13" s="198" t="n">
        <f aca="false">D13/$D$2</f>
        <v>-301.059001512859</v>
      </c>
      <c r="G13" s="198" t="n">
        <v>160.39</v>
      </c>
      <c r="H13" s="200" t="n">
        <v>0</v>
      </c>
      <c r="I13" s="198" t="n">
        <f aca="false">G13+H13</f>
        <v>160.39</v>
      </c>
      <c r="J13" s="223" t="n">
        <f aca="false">IF(L13&gt;0,L13,0)</f>
        <v>72.8712002017145</v>
      </c>
      <c r="K13" s="198" t="n">
        <f aca="false">I13+J13</f>
        <v>233.261200201715</v>
      </c>
      <c r="L13" s="198" t="n">
        <f aca="false">F13-(I13-W13)</f>
        <v>72.8712002017145</v>
      </c>
      <c r="M13" s="198" t="n">
        <v>179.77</v>
      </c>
      <c r="N13" s="198" t="n">
        <f aca="false">(AF13*1.05)/$D$2</f>
        <v>17.5953101361571</v>
      </c>
      <c r="O13" s="198" t="n">
        <f aca="false">M13-N13</f>
        <v>162.174689863843</v>
      </c>
      <c r="P13" s="198" t="n">
        <v>143.06</v>
      </c>
      <c r="Q13" s="198" t="n">
        <f aca="false">(AE13-AE12)/$D$2</f>
        <v>70.095814422592</v>
      </c>
      <c r="R13" s="198" t="n">
        <f aca="false">SUM(O13:Q13)</f>
        <v>375.330504286435</v>
      </c>
      <c r="S13" s="199" t="n">
        <f aca="false">(I13-R13)+S12</f>
        <v>-20142.70702471</v>
      </c>
      <c r="T13" s="198" t="n">
        <f aca="false">(AD13-AD12)/$D$2</f>
        <v>71.1043872919818</v>
      </c>
      <c r="U13" s="198" t="n">
        <v>70.29</v>
      </c>
      <c r="V13" s="199" t="n">
        <f aca="false">V12-60</f>
        <v>2846.54</v>
      </c>
      <c r="W13" s="198" t="n">
        <f aca="false">R13+T13+N13+U13</f>
        <v>534.320201714574</v>
      </c>
      <c r="X13" s="198" t="n">
        <f aca="false">IF(L13&lt;0,L13*-1,0)</f>
        <v>0</v>
      </c>
      <c r="Y13" s="198" t="n">
        <f aca="false">W13+X13</f>
        <v>534.320201714574</v>
      </c>
      <c r="Z13" s="202" t="n">
        <v>0</v>
      </c>
      <c r="AA13" s="203" t="n">
        <v>79</v>
      </c>
      <c r="AB13" s="203" t="n">
        <v>51</v>
      </c>
      <c r="AC13" s="204" t="n">
        <f aca="false">AC12+1</f>
        <v>4</v>
      </c>
      <c r="AD13" s="221" t="n">
        <v>37610</v>
      </c>
      <c r="AE13" s="224" t="n">
        <v>20460</v>
      </c>
      <c r="AF13" s="224" t="n">
        <f aca="false">(AG13+AH13)-(AG12+AH12)</f>
        <v>33.2299999999996</v>
      </c>
      <c r="AG13" s="191" t="n">
        <v>3783.6</v>
      </c>
      <c r="AH13" s="191" t="n">
        <v>765.59</v>
      </c>
    </row>
    <row r="14" customFormat="false" ht="11.1" hidden="false" customHeight="true" outlineLevel="0" collapsed="false">
      <c r="A14" s="204" t="n">
        <f aca="false">A13+1</f>
        <v>5</v>
      </c>
      <c r="B14" s="222" t="n">
        <v>6900.78</v>
      </c>
      <c r="C14" s="199" t="n">
        <v>286467</v>
      </c>
      <c r="D14" s="203" t="n">
        <f aca="false">C14-C13</f>
        <v>-1076</v>
      </c>
      <c r="E14" s="199" t="n">
        <f aca="false">C14-152000</f>
        <v>134467</v>
      </c>
      <c r="F14" s="198" t="n">
        <f aca="false">D14/$D$2</f>
        <v>-542.61220373172</v>
      </c>
      <c r="G14" s="198" t="n">
        <v>124.29</v>
      </c>
      <c r="H14" s="200" t="n">
        <v>0</v>
      </c>
      <c r="I14" s="198" t="n">
        <f aca="false">G14+H14</f>
        <v>124.29</v>
      </c>
      <c r="J14" s="223" t="n">
        <f aca="false">IF(L14&gt;0,L14,0)</f>
        <v>0</v>
      </c>
      <c r="K14" s="198" t="n">
        <f aca="false">I14+J14</f>
        <v>124.29</v>
      </c>
      <c r="L14" s="198" t="n">
        <f aca="false">F14-(I14-W14)</f>
        <v>-94.8305295007563</v>
      </c>
      <c r="M14" s="198" t="n">
        <v>192.56</v>
      </c>
      <c r="N14" s="198" t="n">
        <f aca="false">(AF14*1.05)/$D$2</f>
        <v>20.5234493192134</v>
      </c>
      <c r="O14" s="198" t="n">
        <f aca="false">M14-N14</f>
        <v>172.036550680787</v>
      </c>
      <c r="P14" s="198" t="n">
        <v>137.7</v>
      </c>
      <c r="Q14" s="198" t="n">
        <f aca="false">(AE14-AE13)/$D$2</f>
        <v>70.095814422592</v>
      </c>
      <c r="R14" s="198" t="n">
        <f aca="false">SUM(O14:Q14)</f>
        <v>379.832365103379</v>
      </c>
      <c r="S14" s="199" t="n">
        <f aca="false">(I14-R14)+S13</f>
        <v>-20398.2493898134</v>
      </c>
      <c r="T14" s="198" t="n">
        <f aca="false">(AD14-AD13)/$D$2</f>
        <v>101.865859808371</v>
      </c>
      <c r="U14" s="198" t="n">
        <v>69.85</v>
      </c>
      <c r="V14" s="199" t="n">
        <f aca="false">V13-60</f>
        <v>2786.54</v>
      </c>
      <c r="W14" s="198" t="n">
        <f aca="false">R14+T14+N14+U14</f>
        <v>572.071674230963</v>
      </c>
      <c r="X14" s="198" t="n">
        <f aca="false">IF(L14&lt;0,L14*-1,0)</f>
        <v>94.8305295007563</v>
      </c>
      <c r="Y14" s="198" t="n">
        <f aca="false">W14+X14</f>
        <v>666.90220373172</v>
      </c>
      <c r="Z14" s="202" t="n">
        <v>0</v>
      </c>
      <c r="AA14" s="203" t="n">
        <v>84</v>
      </c>
      <c r="AB14" s="203" t="n">
        <v>52</v>
      </c>
      <c r="AC14" s="204" t="n">
        <f aca="false">AC13+1</f>
        <v>5</v>
      </c>
      <c r="AD14" s="221" t="n">
        <v>37812</v>
      </c>
      <c r="AE14" s="224" t="n">
        <v>20599</v>
      </c>
      <c r="AF14" s="224" t="n">
        <f aca="false">(AG14+AH14)-(AG13+AH13)</f>
        <v>38.7600000000002</v>
      </c>
      <c r="AG14" s="191" t="n">
        <v>3802.21</v>
      </c>
      <c r="AH14" s="191" t="n">
        <v>785.74</v>
      </c>
    </row>
    <row r="15" customFormat="false" ht="11.1" hidden="false" customHeight="true" outlineLevel="0" collapsed="false">
      <c r="A15" s="204" t="n">
        <f aca="false">A14+1</f>
        <v>6</v>
      </c>
      <c r="B15" s="222" t="n">
        <v>6900.58</v>
      </c>
      <c r="C15" s="199" t="n">
        <v>285727</v>
      </c>
      <c r="D15" s="203" t="n">
        <f aca="false">C15-C14</f>
        <v>-740</v>
      </c>
      <c r="E15" s="199" t="n">
        <f aca="false">C15-152000</f>
        <v>133727</v>
      </c>
      <c r="F15" s="198" t="n">
        <f aca="false">D15/$D$2</f>
        <v>-373.171961674231</v>
      </c>
      <c r="G15" s="198" t="n">
        <v>106.29</v>
      </c>
      <c r="H15" s="200" t="n">
        <v>0</v>
      </c>
      <c r="I15" s="198" t="n">
        <f aca="false">G15+H15</f>
        <v>106.29</v>
      </c>
      <c r="J15" s="223" t="n">
        <f aca="false">IF(L15&gt;0,L15,0)</f>
        <v>89.1411245587494</v>
      </c>
      <c r="K15" s="198" t="n">
        <f aca="false">I15+J15</f>
        <v>195.431124558749</v>
      </c>
      <c r="L15" s="198" t="n">
        <f aca="false">F15-(I15-W15)</f>
        <v>89.1411245587494</v>
      </c>
      <c r="M15" s="198" t="n">
        <v>200.96</v>
      </c>
      <c r="N15" s="198" t="n">
        <f aca="false">(AF15*1.05)/$D$2</f>
        <v>21.5295007564301</v>
      </c>
      <c r="O15" s="198" t="n">
        <f aca="false">M15-N15</f>
        <v>179.43049924357</v>
      </c>
      <c r="P15" s="198" t="n">
        <v>137.5</v>
      </c>
      <c r="Q15" s="198" t="n">
        <f aca="false">(AE15-AE14)/$D$2</f>
        <v>70.095814422592</v>
      </c>
      <c r="R15" s="198" t="n">
        <f aca="false">SUM(O15:Q15)</f>
        <v>387.026313666162</v>
      </c>
      <c r="S15" s="199" t="n">
        <f aca="false">(I15-R15)+S14</f>
        <v>-20678.9857034796</v>
      </c>
      <c r="T15" s="198" t="n">
        <f aca="false">(AD15-AD14)/$D$2</f>
        <v>90.2672718103883</v>
      </c>
      <c r="U15" s="198" t="n">
        <v>69.78</v>
      </c>
      <c r="V15" s="199" t="n">
        <f aca="false">V14-60</f>
        <v>2726.54</v>
      </c>
      <c r="W15" s="198" t="n">
        <f aca="false">R15+T15+N15+U15</f>
        <v>568.60308623298</v>
      </c>
      <c r="X15" s="198" t="n">
        <f aca="false">IF(L15&lt;0,L15*-1,0)</f>
        <v>0</v>
      </c>
      <c r="Y15" s="198" t="n">
        <f aca="false">W15+X15</f>
        <v>568.60308623298</v>
      </c>
      <c r="Z15" s="202" t="n">
        <v>0.03</v>
      </c>
      <c r="AA15" s="203" t="n">
        <v>84</v>
      </c>
      <c r="AB15" s="203" t="n">
        <v>52</v>
      </c>
      <c r="AC15" s="204" t="n">
        <f aca="false">AC14+1</f>
        <v>6</v>
      </c>
      <c r="AD15" s="220" t="n">
        <v>37991</v>
      </c>
      <c r="AE15" s="224" t="n">
        <v>20738</v>
      </c>
      <c r="AF15" s="224" t="n">
        <f aca="false">(AG15+AH15)-(AG14+AH14)</f>
        <v>40.6600000000008</v>
      </c>
      <c r="AG15" s="191" t="n">
        <v>3822.09</v>
      </c>
      <c r="AH15" s="191" t="n">
        <v>806.52</v>
      </c>
    </row>
    <row r="16" customFormat="false" ht="11.1" hidden="false" customHeight="true" outlineLevel="0" collapsed="false">
      <c r="A16" s="204" t="n">
        <f aca="false">A15+1</f>
        <v>7</v>
      </c>
      <c r="B16" s="222" t="n">
        <v>6900.33</v>
      </c>
      <c r="C16" s="199" t="n">
        <v>284801</v>
      </c>
      <c r="D16" s="203" t="n">
        <f aca="false">C16-C15</f>
        <v>-926</v>
      </c>
      <c r="E16" s="199" t="n">
        <f aca="false">C16-152000</f>
        <v>132801</v>
      </c>
      <c r="F16" s="198" t="n">
        <f aca="false">D16/$D$2</f>
        <v>-466.969238527484</v>
      </c>
      <c r="G16" s="198" t="n">
        <v>100.51</v>
      </c>
      <c r="H16" s="200" t="n">
        <v>0</v>
      </c>
      <c r="I16" s="198" t="n">
        <f aca="false">G16+H16</f>
        <v>100.51</v>
      </c>
      <c r="J16" s="223" t="n">
        <f aca="false">IF(L16&gt;0,L16,0)</f>
        <v>0</v>
      </c>
      <c r="K16" s="198" t="n">
        <f aca="false">I16+J16</f>
        <v>100.51</v>
      </c>
      <c r="L16" s="198" t="n">
        <f aca="false">F16-(I16-W16)</f>
        <v>-14.0361371659102</v>
      </c>
      <c r="M16" s="198" t="n">
        <v>186.77</v>
      </c>
      <c r="N16" s="198" t="n">
        <f aca="false">(AF16*1.05)/$D$2</f>
        <v>20.5869894099844</v>
      </c>
      <c r="O16" s="198" t="n">
        <f aca="false">M16-N16</f>
        <v>166.183010590016</v>
      </c>
      <c r="P16" s="198" t="n">
        <v>132.34</v>
      </c>
      <c r="Q16" s="198" t="n">
        <f aca="false">(AE16-AE15)/$D$2</f>
        <v>77.1558245083207</v>
      </c>
      <c r="R16" s="198" t="n">
        <f aca="false">SUM(O16:Q16)</f>
        <v>375.678835098336</v>
      </c>
      <c r="S16" s="199" t="n">
        <f aca="false">(I16-R16)+S15</f>
        <v>-20954.1545385779</v>
      </c>
      <c r="T16" s="198" t="n">
        <f aca="false">(AD16-AD15)/$D$2</f>
        <v>93.7972768532526</v>
      </c>
      <c r="U16" s="198" t="n">
        <v>63.38</v>
      </c>
      <c r="V16" s="199" t="n">
        <f aca="false">V15-U16</f>
        <v>2663.16</v>
      </c>
      <c r="W16" s="198" t="n">
        <f aca="false">R16+T16+N16+U16</f>
        <v>553.443101361573</v>
      </c>
      <c r="X16" s="198" t="n">
        <f aca="false">IF(L16&lt;0,L16*-1,0)</f>
        <v>14.0361371659102</v>
      </c>
      <c r="Y16" s="198" t="n">
        <f aca="false">W16+X16</f>
        <v>567.479238527484</v>
      </c>
      <c r="Z16" s="202" t="n">
        <v>0</v>
      </c>
      <c r="AA16" s="203" t="n">
        <v>80</v>
      </c>
      <c r="AB16" s="203" t="n">
        <v>50</v>
      </c>
      <c r="AC16" s="204" t="n">
        <f aca="false">AC15+1</f>
        <v>7</v>
      </c>
      <c r="AD16" s="220" t="n">
        <v>38177</v>
      </c>
      <c r="AE16" s="224" t="n">
        <v>20891</v>
      </c>
      <c r="AF16" s="224" t="n">
        <f aca="false">(AG16+AH16)-(AG15+AH15)</f>
        <v>38.8799999999992</v>
      </c>
      <c r="AG16" s="191" t="n">
        <v>3841.28</v>
      </c>
      <c r="AH16" s="191" t="n">
        <v>826.21</v>
      </c>
    </row>
    <row r="17" customFormat="false" ht="11.1" hidden="false" customHeight="true" outlineLevel="0" collapsed="false">
      <c r="A17" s="204" t="n">
        <f aca="false">A16+1</f>
        <v>8</v>
      </c>
      <c r="B17" s="222" t="n">
        <v>6900.06</v>
      </c>
      <c r="C17" s="199" t="n">
        <v>283802</v>
      </c>
      <c r="D17" s="203" t="n">
        <f aca="false">C17-C16</f>
        <v>-999</v>
      </c>
      <c r="E17" s="199" t="n">
        <f aca="false">C17-152000</f>
        <v>131802</v>
      </c>
      <c r="F17" s="198" t="n">
        <f aca="false">D17/$D$2</f>
        <v>-503.782148260212</v>
      </c>
      <c r="G17" s="198" t="n">
        <v>92.75</v>
      </c>
      <c r="H17" s="200" t="n">
        <v>0</v>
      </c>
      <c r="I17" s="198" t="n">
        <f aca="false">G17+H17</f>
        <v>92.75</v>
      </c>
      <c r="J17" s="223" t="n">
        <f aca="false">IF(L17&gt;0,L17,0)</f>
        <v>0</v>
      </c>
      <c r="K17" s="198" t="n">
        <f aca="false">I17+J17</f>
        <v>92.75</v>
      </c>
      <c r="L17" s="198" t="n">
        <f aca="false">F17-(I17-W17)</f>
        <v>-53.9704740292486</v>
      </c>
      <c r="M17" s="198" t="n">
        <v>183.39</v>
      </c>
      <c r="N17" s="198" t="n">
        <f aca="false">(AF17*1.05)/$D$2</f>
        <v>16.965204236006</v>
      </c>
      <c r="O17" s="198" t="n">
        <f aca="false">M17-N17</f>
        <v>166.424795763994</v>
      </c>
      <c r="P17" s="198" t="n">
        <v>129.04</v>
      </c>
      <c r="Q17" s="198" t="n">
        <f aca="false">(AE17-AE16)/$D$2</f>
        <v>69.5915279878971</v>
      </c>
      <c r="R17" s="198" t="n">
        <f aca="false">SUM(O17:Q17)</f>
        <v>365.056323751891</v>
      </c>
      <c r="S17" s="199" t="n">
        <f aca="false">(I17-R17)+S16</f>
        <v>-21226.4608623298</v>
      </c>
      <c r="T17" s="198" t="n">
        <f aca="false">(AD17-AD16)/$D$2</f>
        <v>102.370146243066</v>
      </c>
      <c r="U17" s="198" t="n">
        <v>58.17</v>
      </c>
      <c r="V17" s="199" t="n">
        <f aca="false">V16-U17</f>
        <v>2604.99</v>
      </c>
      <c r="W17" s="198" t="n">
        <f aca="false">R17+T17+N17+U17</f>
        <v>542.561674230963</v>
      </c>
      <c r="X17" s="198" t="n">
        <f aca="false">IF(L17&lt;0,L17*-1,0)</f>
        <v>53.9704740292486</v>
      </c>
      <c r="Y17" s="198" t="n">
        <f aca="false">W17+X17</f>
        <v>596.532148260212</v>
      </c>
      <c r="Z17" s="202" t="n">
        <v>0</v>
      </c>
      <c r="AA17" s="203" t="n">
        <v>81</v>
      </c>
      <c r="AB17" s="203" t="n">
        <v>50</v>
      </c>
      <c r="AC17" s="204" t="n">
        <f aca="false">AC16+1</f>
        <v>8</v>
      </c>
      <c r="AD17" s="220" t="n">
        <v>38380</v>
      </c>
      <c r="AE17" s="224" t="n">
        <v>21029</v>
      </c>
      <c r="AF17" s="224" t="n">
        <f aca="false">(AG17+AH17)-(AG16+AH16)</f>
        <v>32.04</v>
      </c>
      <c r="AG17" s="191" t="n">
        <v>3856.87</v>
      </c>
      <c r="AH17" s="191" t="n">
        <v>842.66</v>
      </c>
    </row>
    <row r="18" customFormat="false" ht="11.1" hidden="false" customHeight="true" outlineLevel="0" collapsed="false">
      <c r="A18" s="204" t="n">
        <f aca="false">A17+1</f>
        <v>9</v>
      </c>
      <c r="B18" s="222" t="n">
        <v>6899.85</v>
      </c>
      <c r="C18" s="199" t="n">
        <v>283029</v>
      </c>
      <c r="D18" s="203" t="n">
        <f aca="false">C18-C17</f>
        <v>-773</v>
      </c>
      <c r="E18" s="199" t="n">
        <f aca="false">C18-152000</f>
        <v>131029</v>
      </c>
      <c r="F18" s="198" t="n">
        <f aca="false">D18/$D$2</f>
        <v>-389.813414019163</v>
      </c>
      <c r="G18" s="198" t="n">
        <v>85.13</v>
      </c>
      <c r="H18" s="200" t="n">
        <v>0</v>
      </c>
      <c r="I18" s="198" t="n">
        <f aca="false">G18+H18</f>
        <v>85.13</v>
      </c>
      <c r="J18" s="223" t="n">
        <f aca="false">IF(L18&gt;0,L18,0)</f>
        <v>53.2925365607666</v>
      </c>
      <c r="K18" s="198" t="n">
        <f aca="false">I18+J18</f>
        <v>138.422536560767</v>
      </c>
      <c r="L18" s="198" t="n">
        <f aca="false">F18-(I18-W18)</f>
        <v>53.2925365607666</v>
      </c>
      <c r="M18" s="198" t="n">
        <v>174.52</v>
      </c>
      <c r="N18" s="198" t="n">
        <f aca="false">(AF18*1.05)/$D$2</f>
        <v>20.2534039334347</v>
      </c>
      <c r="O18" s="198" t="n">
        <f aca="false">M18-N18</f>
        <v>154.266596066565</v>
      </c>
      <c r="P18" s="198" t="n">
        <v>128.61</v>
      </c>
      <c r="Q18" s="198" t="n">
        <f aca="false">(AE18-AE17)/$D$2</f>
        <v>69.5915279878971</v>
      </c>
      <c r="R18" s="198" t="n">
        <f aca="false">SUM(O18:Q18)</f>
        <v>352.468124054462</v>
      </c>
      <c r="S18" s="199" t="n">
        <f aca="false">(I18-R18)+S17</f>
        <v>-21493.7989863843</v>
      </c>
      <c r="T18" s="198" t="n">
        <f aca="false">(AD18-AD17)/$D$2</f>
        <v>95.8144225920323</v>
      </c>
      <c r="U18" s="198" t="n">
        <v>59.7</v>
      </c>
      <c r="V18" s="199" t="n">
        <f aca="false">V17-U18</f>
        <v>2545.29</v>
      </c>
      <c r="W18" s="198" t="n">
        <f aca="false">R18+T18+N18+U18</f>
        <v>528.235950579929</v>
      </c>
      <c r="X18" s="198" t="n">
        <f aca="false">IF(L18&lt;0,L18*-1,0)</f>
        <v>0</v>
      </c>
      <c r="Y18" s="198" t="n">
        <f aca="false">W18+X18</f>
        <v>528.235950579929</v>
      </c>
      <c r="Z18" s="202" t="n">
        <v>0</v>
      </c>
      <c r="AA18" s="232" t="n">
        <v>81</v>
      </c>
      <c r="AB18" s="203" t="n">
        <v>52</v>
      </c>
      <c r="AC18" s="204" t="n">
        <f aca="false">AC17+1</f>
        <v>9</v>
      </c>
      <c r="AD18" s="220" t="n">
        <v>38570</v>
      </c>
      <c r="AE18" s="224" t="n">
        <v>21167</v>
      </c>
      <c r="AF18" s="224" t="n">
        <f aca="false">(AG18+AH18)-(AG17+AH17)</f>
        <v>38.2500000000009</v>
      </c>
      <c r="AG18" s="191" t="n">
        <v>3874.59</v>
      </c>
      <c r="AH18" s="191" t="n">
        <v>863.19</v>
      </c>
    </row>
    <row r="19" customFormat="false" ht="11.1" hidden="false" customHeight="true" outlineLevel="0" collapsed="false">
      <c r="A19" s="204" t="n">
        <f aca="false">A18+1</f>
        <v>10</v>
      </c>
      <c r="B19" s="222" t="n">
        <v>6899.58</v>
      </c>
      <c r="C19" s="199" t="n">
        <v>282037</v>
      </c>
      <c r="D19" s="203" t="n">
        <f aca="false">C19-C18</f>
        <v>-992</v>
      </c>
      <c r="E19" s="199" t="n">
        <f aca="false">C19-152000</f>
        <v>130037</v>
      </c>
      <c r="F19" s="198" t="n">
        <f aca="false">D19/$D$2</f>
        <v>-500.252143217347</v>
      </c>
      <c r="G19" s="198" t="n">
        <v>86.64</v>
      </c>
      <c r="H19" s="200" t="n">
        <v>0</v>
      </c>
      <c r="I19" s="198" t="n">
        <f aca="false">G19+H19</f>
        <v>86.64</v>
      </c>
      <c r="J19" s="223" t="n">
        <f aca="false">IF(L19&gt;0,L19,0)</f>
        <v>0</v>
      </c>
      <c r="K19" s="198" t="n">
        <f aca="false">I19+J19</f>
        <v>86.64</v>
      </c>
      <c r="L19" s="198" t="n">
        <f aca="false">F19-(I19-W19)</f>
        <v>-58.7662128088754</v>
      </c>
      <c r="M19" s="198" t="n">
        <v>188.67</v>
      </c>
      <c r="N19" s="198" t="n">
        <f aca="false">(AF19*1.05)/$D$2</f>
        <v>23.8910741301054</v>
      </c>
      <c r="O19" s="198" t="n">
        <f aca="false">M19-N19</f>
        <v>164.778925869895</v>
      </c>
      <c r="P19" s="198" t="n">
        <v>128.47</v>
      </c>
      <c r="Q19" s="198" t="n">
        <f aca="false">(AE19-AE18)/$D$2</f>
        <v>65.052950075643</v>
      </c>
      <c r="R19" s="198" t="n">
        <f aca="false">SUM(O19:Q19)</f>
        <v>358.301875945538</v>
      </c>
      <c r="S19" s="199" t="n">
        <f aca="false">(I19-R19)+S18</f>
        <v>-21765.4608623298</v>
      </c>
      <c r="T19" s="198" t="n">
        <f aca="false">(AD19-AD18)/$D$2</f>
        <v>86.232980332829</v>
      </c>
      <c r="U19" s="198" t="n">
        <v>59.7</v>
      </c>
      <c r="V19" s="199" t="n">
        <f aca="false">V18-U19</f>
        <v>2485.59</v>
      </c>
      <c r="W19" s="198" t="n">
        <f aca="false">R19+T19+N19+U19</f>
        <v>528.125930408472</v>
      </c>
      <c r="X19" s="198" t="n">
        <f aca="false">IF(L19&lt;0,L19*-1,0)</f>
        <v>58.7662128088754</v>
      </c>
      <c r="Y19" s="198" t="n">
        <f aca="false">W19+X19</f>
        <v>586.892143217347</v>
      </c>
      <c r="Z19" s="202" t="n">
        <v>0</v>
      </c>
      <c r="AA19" s="203" t="n">
        <v>84</v>
      </c>
      <c r="AB19" s="203" t="n">
        <v>51</v>
      </c>
      <c r="AC19" s="204" t="n">
        <f aca="false">AC18+1</f>
        <v>10</v>
      </c>
      <c r="AD19" s="220" t="n">
        <v>38741</v>
      </c>
      <c r="AE19" s="224" t="n">
        <v>21296</v>
      </c>
      <c r="AF19" s="224" t="n">
        <f aca="false">(AG19+AH19)-(AG18+AH18)</f>
        <v>45.119999999999</v>
      </c>
      <c r="AG19" s="191" t="n">
        <v>3895.99</v>
      </c>
      <c r="AH19" s="191" t="n">
        <v>886.91</v>
      </c>
    </row>
    <row r="20" customFormat="false" ht="11.1" hidden="false" customHeight="true" outlineLevel="0" collapsed="false">
      <c r="A20" s="204" t="n">
        <f aca="false">A19+1</f>
        <v>11</v>
      </c>
      <c r="B20" s="222" t="n">
        <v>6899.35</v>
      </c>
      <c r="C20" s="199" t="n">
        <v>281192</v>
      </c>
      <c r="D20" s="203" t="n">
        <f aca="false">C20-C19</f>
        <v>-845</v>
      </c>
      <c r="E20" s="199" t="n">
        <f aca="false">C20-152000</f>
        <v>129192</v>
      </c>
      <c r="F20" s="198" t="n">
        <f aca="false">D20/$D$2</f>
        <v>-426.122037317196</v>
      </c>
      <c r="G20" s="198" t="n">
        <v>83.86</v>
      </c>
      <c r="H20" s="200" t="n">
        <v>0</v>
      </c>
      <c r="I20" s="198" t="n">
        <f aca="false">G20+H20</f>
        <v>83.86</v>
      </c>
      <c r="J20" s="223" t="n">
        <f aca="false">IF(L20&gt;0,L20,0)</f>
        <v>12.6438930912758</v>
      </c>
      <c r="K20" s="198" t="n">
        <f aca="false">I20+J20</f>
        <v>96.5038930912758</v>
      </c>
      <c r="L20" s="198" t="n">
        <f aca="false">F20-(I20-W20)</f>
        <v>12.6438930912758</v>
      </c>
      <c r="M20" s="198" t="n">
        <v>183.13</v>
      </c>
      <c r="N20" s="198" t="n">
        <f aca="false">(AF20*1.05)/$D$2</f>
        <v>22.768532526475</v>
      </c>
      <c r="O20" s="198" t="n">
        <f aca="false">M20-N20</f>
        <v>160.361467473525</v>
      </c>
      <c r="P20" s="198" t="n">
        <v>128.51</v>
      </c>
      <c r="Q20" s="198" t="n">
        <f aca="false">(AE20-AE19)/$D$2</f>
        <v>69.5915279878971</v>
      </c>
      <c r="R20" s="198" t="n">
        <f aca="false">SUM(O20:Q20)</f>
        <v>358.462995461422</v>
      </c>
      <c r="S20" s="199" t="n">
        <f aca="false">(I20-R20)+S19</f>
        <v>-22040.0638577912</v>
      </c>
      <c r="T20" s="198" t="n">
        <f aca="false">(AD20-AD19)/$D$2</f>
        <v>81.6944024205749</v>
      </c>
      <c r="U20" s="198" t="n">
        <v>59.7</v>
      </c>
      <c r="V20" s="199" t="n">
        <f aca="false">V19-U20</f>
        <v>2425.89</v>
      </c>
      <c r="W20" s="198" t="n">
        <f aca="false">R20+T20+N20+U20</f>
        <v>522.625930408472</v>
      </c>
      <c r="X20" s="198" t="n">
        <f aca="false">IF(L20&lt;0,L20*-1,0)</f>
        <v>0</v>
      </c>
      <c r="Y20" s="198" t="n">
        <f aca="false">W20+X20</f>
        <v>522.625930408472</v>
      </c>
      <c r="Z20" s="202" t="n">
        <v>0.16</v>
      </c>
      <c r="AA20" s="203" t="n">
        <v>80</v>
      </c>
      <c r="AB20" s="203" t="n">
        <v>51</v>
      </c>
      <c r="AC20" s="204" t="n">
        <f aca="false">AC19+1</f>
        <v>11</v>
      </c>
      <c r="AD20" s="220" t="n">
        <v>38903</v>
      </c>
      <c r="AE20" s="224" t="n">
        <v>21434</v>
      </c>
      <c r="AF20" s="224" t="n">
        <f aca="false">(AG20+AH20)-(AG19+AH19)</f>
        <v>43</v>
      </c>
      <c r="AG20" s="233" t="n">
        <v>3916.1</v>
      </c>
      <c r="AH20" s="233" t="n">
        <v>909.8</v>
      </c>
      <c r="AI20" s="233"/>
    </row>
    <row r="21" customFormat="false" ht="11.1" hidden="false" customHeight="true" outlineLevel="0" collapsed="false">
      <c r="A21" s="204" t="n">
        <f aca="false">A20+1</f>
        <v>12</v>
      </c>
      <c r="B21" s="222" t="n">
        <v>6899.17</v>
      </c>
      <c r="C21" s="199" t="n">
        <v>280531</v>
      </c>
      <c r="D21" s="203" t="n">
        <f aca="false">C21-C20</f>
        <v>-661</v>
      </c>
      <c r="E21" s="199" t="n">
        <f aca="false">C21-152000</f>
        <v>128531</v>
      </c>
      <c r="F21" s="198" t="n">
        <f aca="false">D21/$D$2</f>
        <v>-333.333333333333</v>
      </c>
      <c r="G21" s="198" t="n">
        <v>96.5</v>
      </c>
      <c r="H21" s="200" t="n">
        <v>0</v>
      </c>
      <c r="I21" s="198" t="n">
        <f aca="false">G21+H21</f>
        <v>96.5</v>
      </c>
      <c r="J21" s="223" t="n">
        <f aca="false">IF(L21&gt;0,L21,0)</f>
        <v>76.7940292486132</v>
      </c>
      <c r="K21" s="198" t="n">
        <f aca="false">I21+J21</f>
        <v>173.294029248613</v>
      </c>
      <c r="L21" s="198" t="n">
        <f aca="false">F21-(I21-W21)</f>
        <v>76.7940292486132</v>
      </c>
      <c r="M21" s="198" t="n">
        <v>165</v>
      </c>
      <c r="N21" s="198" t="n">
        <f aca="false">(AF21*1.05)/$D$2</f>
        <v>17.7806354009082</v>
      </c>
      <c r="O21" s="198" t="n">
        <f aca="false">M21-N21</f>
        <v>147.219364599092</v>
      </c>
      <c r="P21" s="198" t="n">
        <v>128.04</v>
      </c>
      <c r="Q21" s="198" t="n">
        <f aca="false">(AE21-AE20)/$D$2</f>
        <v>71.6086737266768</v>
      </c>
      <c r="R21" s="198" t="n">
        <f aca="false">SUM(O21:Q21)</f>
        <v>346.868038325769</v>
      </c>
      <c r="S21" s="199" t="n">
        <f aca="false">(I21-R21)+S20</f>
        <v>-22290.431896117</v>
      </c>
      <c r="T21" s="198" t="n">
        <f aca="false">(AD21-AD20)/$D$2</f>
        <v>82.1986888552698</v>
      </c>
      <c r="U21" s="198" t="n">
        <v>59.78</v>
      </c>
      <c r="V21" s="199" t="n">
        <f aca="false">V20-U21</f>
        <v>2366.11</v>
      </c>
      <c r="W21" s="198" t="n">
        <f aca="false">R21+T21+N21+U21</f>
        <v>506.627362581947</v>
      </c>
      <c r="X21" s="198" t="n">
        <f aca="false">IF(L21&lt;0,L21*-1,0)</f>
        <v>0</v>
      </c>
      <c r="Y21" s="198" t="n">
        <f aca="false">W21+X21</f>
        <v>506.627362581947</v>
      </c>
      <c r="Z21" s="202" t="n">
        <v>0.14</v>
      </c>
      <c r="AA21" s="203" t="n">
        <v>77</v>
      </c>
      <c r="AB21" s="203" t="n">
        <v>56</v>
      </c>
      <c r="AC21" s="204" t="n">
        <f aca="false">AC20+1</f>
        <v>12</v>
      </c>
      <c r="AD21" s="220" t="n">
        <v>39066</v>
      </c>
      <c r="AE21" s="220" t="n">
        <v>21576</v>
      </c>
      <c r="AF21" s="224" t="n">
        <f aca="false">(AG21+AH21)-(AG20+AH20)</f>
        <v>33.5800000000008</v>
      </c>
      <c r="AG21" s="191" t="n">
        <v>3933.13</v>
      </c>
      <c r="AH21" s="191" t="n">
        <v>926.35</v>
      </c>
    </row>
    <row r="22" customFormat="false" ht="11.1" hidden="false" customHeight="true" outlineLevel="0" collapsed="false">
      <c r="A22" s="204" t="n">
        <f aca="false">A21+1</f>
        <v>13</v>
      </c>
      <c r="B22" s="222" t="n">
        <v>6899.05</v>
      </c>
      <c r="C22" s="199" t="n">
        <v>280090</v>
      </c>
      <c r="D22" s="203" t="n">
        <f aca="false">C22-C21</f>
        <v>-441</v>
      </c>
      <c r="E22" s="199" t="n">
        <f aca="false">C22-152000</f>
        <v>128090</v>
      </c>
      <c r="F22" s="198" t="n">
        <f aca="false">D22/$D$2</f>
        <v>-222.390317700454</v>
      </c>
      <c r="G22" s="198" t="n">
        <v>141.76</v>
      </c>
      <c r="H22" s="200" t="n">
        <v>0</v>
      </c>
      <c r="I22" s="198" t="n">
        <f aca="false">G22+H22</f>
        <v>141.76</v>
      </c>
      <c r="J22" s="223" t="n">
        <f aca="false">IF(L22&gt;0,L22,0)</f>
        <v>133.927044881493</v>
      </c>
      <c r="K22" s="198" t="n">
        <f aca="false">I22+J22</f>
        <v>275.687044881493</v>
      </c>
      <c r="L22" s="198" t="n">
        <f aca="false">F22-(I22-W22)</f>
        <v>133.927044881493</v>
      </c>
      <c r="M22" s="198" t="n">
        <v>156.24</v>
      </c>
      <c r="N22" s="198" t="n">
        <f aca="false">(AF22*1.05)/$D$2</f>
        <v>18.0506807866864</v>
      </c>
      <c r="O22" s="198" t="n">
        <f aca="false">M22-N22</f>
        <v>138.189319213314</v>
      </c>
      <c r="P22" s="198" t="n">
        <v>128.18</v>
      </c>
      <c r="Q22" s="198" t="n">
        <f aca="false">(AE22-AE21)/$D$2</f>
        <v>71.1043872919818</v>
      </c>
      <c r="R22" s="198" t="n">
        <f aca="false">SUM(O22:Q22)</f>
        <v>337.473706505295</v>
      </c>
      <c r="S22" s="199" t="n">
        <f aca="false">(I22-R22)+S21</f>
        <v>-22486.1456026223</v>
      </c>
      <c r="T22" s="198" t="n">
        <f aca="false">(AD22-AD21)/$D$2</f>
        <v>82.7029752899647</v>
      </c>
      <c r="U22" s="198" t="n">
        <v>59.85</v>
      </c>
      <c r="V22" s="199" t="n">
        <f aca="false">V21-U22</f>
        <v>2306.26</v>
      </c>
      <c r="W22" s="198" t="n">
        <f aca="false">R22+T22+N22+U22</f>
        <v>498.077362581947</v>
      </c>
      <c r="X22" s="198" t="n">
        <f aca="false">IF(L22&lt;0,L22*-1,0)</f>
        <v>0</v>
      </c>
      <c r="Y22" s="198" t="n">
        <f aca="false">W22+X22</f>
        <v>498.077362581947</v>
      </c>
      <c r="Z22" s="202" t="n">
        <v>0.86</v>
      </c>
      <c r="AA22" s="203" t="n">
        <v>70</v>
      </c>
      <c r="AB22" s="203" t="n">
        <v>54</v>
      </c>
      <c r="AC22" s="204" t="n">
        <f aca="false">AC21+1</f>
        <v>13</v>
      </c>
      <c r="AD22" s="220" t="n">
        <v>39230</v>
      </c>
      <c r="AE22" s="220" t="n">
        <v>21717</v>
      </c>
      <c r="AF22" s="224" t="n">
        <f aca="false">(AG22+AH22)-(AG21+AH21)</f>
        <v>34.0899999999992</v>
      </c>
      <c r="AG22" s="191" t="n">
        <v>3949.94</v>
      </c>
      <c r="AH22" s="191" t="n">
        <v>943.63</v>
      </c>
    </row>
    <row r="23" customFormat="false" ht="11.1" hidden="false" customHeight="true" outlineLevel="0" collapsed="false">
      <c r="A23" s="204" t="n">
        <f aca="false">A22+1</f>
        <v>14</v>
      </c>
      <c r="B23" s="222" t="n">
        <v>6898.93</v>
      </c>
      <c r="C23" s="199" t="n">
        <v>279651</v>
      </c>
      <c r="D23" s="203" t="n">
        <f aca="false">C23-C22</f>
        <v>-439</v>
      </c>
      <c r="E23" s="199" t="n">
        <f aca="false">C23-152000</f>
        <v>127651</v>
      </c>
      <c r="F23" s="198" t="n">
        <f aca="false">D23/$D$2</f>
        <v>-221.381744831064</v>
      </c>
      <c r="G23" s="198" t="n">
        <v>191.91</v>
      </c>
      <c r="H23" s="200" t="n">
        <v>0</v>
      </c>
      <c r="I23" s="198" t="n">
        <f aca="false">G23+H23</f>
        <v>191.91</v>
      </c>
      <c r="J23" s="223" t="n">
        <f aca="false">IF(L23&gt;0,L23,0)</f>
        <v>57.8513262733232</v>
      </c>
      <c r="K23" s="198" t="n">
        <f aca="false">I23+J23</f>
        <v>249.761326273323</v>
      </c>
      <c r="L23" s="198" t="n">
        <f aca="false">F23-(I23-W23)</f>
        <v>57.8513262733232</v>
      </c>
      <c r="M23" s="198" t="n">
        <v>140.14</v>
      </c>
      <c r="N23" s="198" t="n">
        <f aca="false">(AF23*1.05)/$D$2</f>
        <v>27.1527987897129</v>
      </c>
      <c r="O23" s="198" t="n">
        <f aca="false">M23-N23</f>
        <v>112.987201210287</v>
      </c>
      <c r="P23" s="198" t="n">
        <v>121.49</v>
      </c>
      <c r="Q23" s="198" t="n">
        <f aca="false">(AE23-AE22)/$D$2</f>
        <v>70.095814422592</v>
      </c>
      <c r="R23" s="198" t="n">
        <f aca="false">SUM(O23:Q23)</f>
        <v>304.573015632879</v>
      </c>
      <c r="S23" s="199" t="n">
        <f aca="false">(I23-R23)+S22</f>
        <v>-22598.8086182552</v>
      </c>
      <c r="T23" s="198" t="n">
        <f aca="false">(AD23-AD22)/$D$2</f>
        <v>79.6772566817953</v>
      </c>
      <c r="U23" s="198" t="n">
        <v>59.74</v>
      </c>
      <c r="V23" s="199" t="n">
        <f aca="false">V22-U23</f>
        <v>2246.52</v>
      </c>
      <c r="W23" s="198" t="n">
        <f aca="false">R23+T23+N23+U23</f>
        <v>471.143071104387</v>
      </c>
      <c r="X23" s="198" t="n">
        <f aca="false">IF(L23&lt;0,L23*-1,0)</f>
        <v>0</v>
      </c>
      <c r="Y23" s="198" t="n">
        <f aca="false">W23+X23</f>
        <v>471.143071104387</v>
      </c>
      <c r="Z23" s="202" t="n">
        <v>0</v>
      </c>
      <c r="AA23" s="232" t="n">
        <v>63</v>
      </c>
      <c r="AB23" s="203" t="n">
        <v>48</v>
      </c>
      <c r="AC23" s="204" t="n">
        <f aca="false">AC22+1</f>
        <v>14</v>
      </c>
      <c r="AD23" s="220" t="n">
        <v>39388</v>
      </c>
      <c r="AE23" s="220" t="n">
        <v>21856</v>
      </c>
      <c r="AF23" s="224" t="n">
        <f aca="false">(AG23+AH23)-(AG22+AH22)</f>
        <v>51.2800000000007</v>
      </c>
      <c r="AG23" s="191" t="n">
        <v>3975.16</v>
      </c>
      <c r="AH23" s="191" t="n">
        <v>969.69</v>
      </c>
    </row>
    <row r="24" customFormat="false" ht="11.1" hidden="false" customHeight="true" outlineLevel="0" collapsed="false">
      <c r="A24" s="204" t="n">
        <f aca="false">A23+1</f>
        <v>15</v>
      </c>
      <c r="B24" s="222" t="n">
        <v>6898.8</v>
      </c>
      <c r="C24" s="199" t="n">
        <v>279177</v>
      </c>
      <c r="D24" s="203" t="n">
        <f aca="false">C24-C23</f>
        <v>-474</v>
      </c>
      <c r="E24" s="199" t="n">
        <f aca="false">C24-152000</f>
        <v>127177</v>
      </c>
      <c r="F24" s="198" t="n">
        <f aca="false">D24/$D$2</f>
        <v>-239.031770045386</v>
      </c>
      <c r="G24" s="198" t="n">
        <v>187.9</v>
      </c>
      <c r="H24" s="200" t="n">
        <v>0</v>
      </c>
      <c r="I24" s="198" t="n">
        <v>92</v>
      </c>
      <c r="J24" s="223" t="n">
        <f aca="false">IF(L24&gt;0,L24,0)</f>
        <v>102.601296016137</v>
      </c>
      <c r="K24" s="198" t="n">
        <f aca="false">I24+J24</f>
        <v>194.601296016137</v>
      </c>
      <c r="L24" s="198" t="n">
        <f aca="false">F24-(I24-W24)</f>
        <v>102.601296016137</v>
      </c>
      <c r="M24" s="198" t="n">
        <v>119.2</v>
      </c>
      <c r="N24" s="198" t="n">
        <f aca="false">(AF24*1.05)/$D$2</f>
        <v>20.4122541603627</v>
      </c>
      <c r="O24" s="198" t="n">
        <f aca="false">M24-N24</f>
        <v>98.7877458396373</v>
      </c>
      <c r="P24" s="198" t="n">
        <v>108.57</v>
      </c>
      <c r="Q24" s="198" t="n">
        <f aca="false">(AE24-AE23)/$D$2</f>
        <v>65.052950075643</v>
      </c>
      <c r="R24" s="198" t="n">
        <f aca="false">SUM(O24:Q24)</f>
        <v>272.41069591528</v>
      </c>
      <c r="S24" s="199" t="n">
        <f aca="false">(I24-R24)+S23</f>
        <v>-22779.2193141704</v>
      </c>
      <c r="T24" s="198" t="n">
        <f aca="false">(AD24-AD23)/$D$2</f>
        <v>81.19011598588</v>
      </c>
      <c r="U24" s="198" t="n">
        <v>59.62</v>
      </c>
      <c r="V24" s="199" t="n">
        <f aca="false">V23-U24</f>
        <v>2186.9</v>
      </c>
      <c r="W24" s="198" t="n">
        <f aca="false">R24+T24+N24+U24</f>
        <v>433.633066061523</v>
      </c>
      <c r="X24" s="198" t="n">
        <f aca="false">IF(L24&lt;0,L24*-1,0)</f>
        <v>0</v>
      </c>
      <c r="Y24" s="198" t="n">
        <f aca="false">W24+X24</f>
        <v>433.633066061523</v>
      </c>
      <c r="Z24" s="202" t="n">
        <v>0</v>
      </c>
      <c r="AA24" s="232" t="n">
        <v>71</v>
      </c>
      <c r="AB24" s="203" t="n">
        <v>36</v>
      </c>
      <c r="AC24" s="204" t="n">
        <f aca="false">AC23+1</f>
        <v>15</v>
      </c>
      <c r="AD24" s="220" t="n">
        <v>39549</v>
      </c>
      <c r="AE24" s="220" t="n">
        <v>21985</v>
      </c>
      <c r="AF24" s="224" t="n">
        <f aca="false">(AG24+AH24)-(AG23+AH23)</f>
        <v>38.5499999999993</v>
      </c>
      <c r="AG24" s="191" t="n">
        <v>3994.35</v>
      </c>
      <c r="AH24" s="191" t="n">
        <v>989.05</v>
      </c>
    </row>
    <row r="25" customFormat="false" ht="11.1" hidden="false" customHeight="true" outlineLevel="0" collapsed="false">
      <c r="A25" s="204" t="n">
        <f aca="false">A24+1</f>
        <v>16</v>
      </c>
      <c r="B25" s="222" t="n">
        <v>6898.7</v>
      </c>
      <c r="C25" s="199" t="n">
        <v>278813</v>
      </c>
      <c r="D25" s="203" t="n">
        <f aca="false">C25-C24</f>
        <v>-364</v>
      </c>
      <c r="E25" s="199" t="n">
        <f aca="false">C25-152000</f>
        <v>126813</v>
      </c>
      <c r="F25" s="198" t="n">
        <f aca="false">D25/$D$2</f>
        <v>-183.560262228946</v>
      </c>
      <c r="G25" s="198" t="n">
        <v>151.12</v>
      </c>
      <c r="H25" s="200" t="n">
        <v>0</v>
      </c>
      <c r="I25" s="198" t="n">
        <f aca="false">G25+H25</f>
        <v>151.12</v>
      </c>
      <c r="J25" s="223" t="n">
        <f aca="false">IF(L25&gt;0,L25,0)</f>
        <v>66.3070650529501</v>
      </c>
      <c r="K25" s="198" t="n">
        <f aca="false">I25+J25</f>
        <v>217.42706505295</v>
      </c>
      <c r="L25" s="198" t="n">
        <f aca="false">F25-(I25-W25)</f>
        <v>66.3070650529501</v>
      </c>
      <c r="M25" s="198" t="n">
        <v>112.93</v>
      </c>
      <c r="N25" s="198" t="n">
        <f aca="false">(AF25*1.05)/$D$2</f>
        <v>11.0295007564301</v>
      </c>
      <c r="O25" s="198" t="n">
        <f aca="false">M25-N25</f>
        <v>101.90049924357</v>
      </c>
      <c r="P25" s="198" t="n">
        <v>100.4</v>
      </c>
      <c r="Q25" s="198" t="n">
        <f aca="false">(AE25-AE24)/$D$2</f>
        <v>63.0358043368633</v>
      </c>
      <c r="R25" s="198" t="n">
        <f aca="false">SUM(O25:Q25)</f>
        <v>265.336303580433</v>
      </c>
      <c r="S25" s="199" t="n">
        <f aca="false">(I25-R25)+S24</f>
        <v>-22893.4356177509</v>
      </c>
      <c r="T25" s="198" t="n">
        <f aca="false">(AD25-AD24)/$D$2</f>
        <v>66.0615229450328</v>
      </c>
      <c r="U25" s="198" t="n">
        <v>58.56</v>
      </c>
      <c r="V25" s="199" t="n">
        <f aca="false">V24-U25</f>
        <v>2128.34</v>
      </c>
      <c r="W25" s="198" t="n">
        <f aca="false">R25+T25+N25+U25</f>
        <v>400.987327281896</v>
      </c>
      <c r="X25" s="198" t="n">
        <f aca="false">IF(L25&lt;0,L25*-1,0)</f>
        <v>0</v>
      </c>
      <c r="Y25" s="198" t="n">
        <f aca="false">W25+X25</f>
        <v>400.987327281896</v>
      </c>
      <c r="Z25" s="202" t="n">
        <v>0</v>
      </c>
      <c r="AA25" s="232" t="n">
        <v>72</v>
      </c>
      <c r="AB25" s="203" t="n">
        <v>40</v>
      </c>
      <c r="AC25" s="204" t="n">
        <f aca="false">AC24+1</f>
        <v>16</v>
      </c>
      <c r="AD25" s="220" t="n">
        <v>39680</v>
      </c>
      <c r="AE25" s="220" t="n">
        <v>22110</v>
      </c>
      <c r="AF25" s="224" t="n">
        <f aca="false">(AG25+AH25)-(AG24+AH24)</f>
        <v>20.8300000000008</v>
      </c>
      <c r="AG25" s="191" t="n">
        <v>4004.36</v>
      </c>
      <c r="AH25" s="191" t="n">
        <v>999.87</v>
      </c>
    </row>
    <row r="26" customFormat="false" ht="11.1" hidden="false" customHeight="true" outlineLevel="0" collapsed="false">
      <c r="A26" s="204" t="n">
        <f aca="false">A25+1</f>
        <v>17</v>
      </c>
      <c r="B26" s="222" t="n">
        <v>6898.53</v>
      </c>
      <c r="C26" s="199" t="n">
        <v>278193</v>
      </c>
      <c r="D26" s="203" t="n">
        <f aca="false">C26-C25</f>
        <v>-620</v>
      </c>
      <c r="E26" s="199" t="n">
        <f aca="false">C26-152000</f>
        <v>126193</v>
      </c>
      <c r="F26" s="198" t="n">
        <f aca="false">D26/$D$2</f>
        <v>-312.657589510842</v>
      </c>
      <c r="G26" s="198" t="n">
        <v>129.87</v>
      </c>
      <c r="H26" s="200" t="n">
        <v>0</v>
      </c>
      <c r="I26" s="198" t="n">
        <f aca="false">G26+H26</f>
        <v>129.87</v>
      </c>
      <c r="J26" s="223" t="n">
        <f aca="false">IF(L26&gt;0,L26,0)</f>
        <v>0</v>
      </c>
      <c r="K26" s="198" t="n">
        <f aca="false">I26+J26</f>
        <v>129.87</v>
      </c>
      <c r="L26" s="198" t="n">
        <f aca="false">F26-(I26-W26)</f>
        <v>-59.6831215330307</v>
      </c>
      <c r="M26" s="198" t="n">
        <v>103.55</v>
      </c>
      <c r="N26" s="198" t="n">
        <f aca="false">(AF26*1.05)/$D$2</f>
        <v>13.9947049924354</v>
      </c>
      <c r="O26" s="198" t="n">
        <f aca="false">M26-N26</f>
        <v>89.5552950075646</v>
      </c>
      <c r="P26" s="198" t="n">
        <v>94.81</v>
      </c>
      <c r="Q26" s="198" t="n">
        <f aca="false">(AE26-AE25)/$D$2</f>
        <v>63.5400907715582</v>
      </c>
      <c r="R26" s="198" t="n">
        <f aca="false">SUM(O26:Q26)</f>
        <v>247.905385779123</v>
      </c>
      <c r="S26" s="199" t="n">
        <f aca="false">(I26-R26)+S25</f>
        <v>-23011.47100353</v>
      </c>
      <c r="T26" s="198" t="n">
        <f aca="false">(AD26-AD25)/$D$2</f>
        <v>64.0443772062532</v>
      </c>
      <c r="U26" s="198" t="n">
        <v>56.9</v>
      </c>
      <c r="V26" s="199" t="n">
        <f aca="false">V25-U26</f>
        <v>2071.44</v>
      </c>
      <c r="W26" s="198" t="n">
        <f aca="false">R26+T26+N26+U26</f>
        <v>382.844467977811</v>
      </c>
      <c r="X26" s="198" t="n">
        <f aca="false">IF(L26&lt;0,L26*-1,0)</f>
        <v>59.6831215330307</v>
      </c>
      <c r="Y26" s="198" t="n">
        <f aca="false">W26+X26</f>
        <v>442.527589510842</v>
      </c>
      <c r="Z26" s="202" t="n">
        <v>0</v>
      </c>
      <c r="AA26" s="232" t="n">
        <v>65</v>
      </c>
      <c r="AB26" s="203" t="n">
        <v>39</v>
      </c>
      <c r="AC26" s="204" t="n">
        <f aca="false">AC25+1</f>
        <v>17</v>
      </c>
      <c r="AD26" s="220" t="n">
        <v>39807</v>
      </c>
      <c r="AE26" s="220" t="n">
        <v>22236</v>
      </c>
      <c r="AF26" s="224" t="n">
        <f aca="false">(AG26+AH26)-(AG25+AH25)</f>
        <v>26.4299999999994</v>
      </c>
      <c r="AG26" s="191" t="n">
        <v>4017.77</v>
      </c>
      <c r="AH26" s="191" t="n">
        <v>1012.89</v>
      </c>
    </row>
    <row r="27" customFormat="false" ht="11.1" hidden="false" customHeight="true" outlineLevel="0" collapsed="false">
      <c r="A27" s="204" t="n">
        <f aca="false">A26+1</f>
        <v>18</v>
      </c>
      <c r="B27" s="222" t="n">
        <v>6898.4</v>
      </c>
      <c r="C27" s="199" t="n">
        <v>277719</v>
      </c>
      <c r="D27" s="203" t="n">
        <f aca="false">C27-C26</f>
        <v>-474</v>
      </c>
      <c r="E27" s="199" t="n">
        <f aca="false">C27-152000</f>
        <v>125719</v>
      </c>
      <c r="F27" s="198" t="n">
        <f aca="false">D27/$D$2</f>
        <v>-239.031770045386</v>
      </c>
      <c r="G27" s="198" t="n">
        <v>117.74</v>
      </c>
      <c r="H27" s="200" t="n">
        <v>0</v>
      </c>
      <c r="I27" s="198" t="n">
        <f aca="false">G27+H27</f>
        <v>117.74</v>
      </c>
      <c r="J27" s="223" t="n">
        <f aca="false">IF(L27&gt;0,L27,0)</f>
        <v>0</v>
      </c>
      <c r="K27" s="198" t="n">
        <f aca="false">I27+J27</f>
        <v>117.74</v>
      </c>
      <c r="L27" s="198" t="n">
        <f aca="false">F27-(I27-W27)</f>
        <v>-10.1730206757438</v>
      </c>
      <c r="M27" s="198" t="n">
        <v>83.06</v>
      </c>
      <c r="N27" s="198" t="n">
        <f aca="false">(AF27*1.05)/$D$2</f>
        <v>3.80181543116506</v>
      </c>
      <c r="O27" s="198" t="n">
        <f aca="false">M27-N27</f>
        <v>79.258184568835</v>
      </c>
      <c r="P27" s="198" t="n">
        <v>82</v>
      </c>
      <c r="Q27" s="198" t="n">
        <f aca="false">(AE27-AE26)/$D$2</f>
        <v>59.505799293999</v>
      </c>
      <c r="R27" s="198" t="n">
        <f aca="false">SUM(O27:Q27)</f>
        <v>220.763983862834</v>
      </c>
      <c r="S27" s="199" t="n">
        <f aca="false">(I27-R27)+S26</f>
        <v>-23114.4949873928</v>
      </c>
      <c r="T27" s="198" t="n">
        <f aca="false">(AD27-AD26)/$D$2</f>
        <v>65.052950075643</v>
      </c>
      <c r="U27" s="198" t="n">
        <v>56.98</v>
      </c>
      <c r="V27" s="199" t="n">
        <f aca="false">V26-U27</f>
        <v>2014.46</v>
      </c>
      <c r="W27" s="198" t="n">
        <f aca="false">R27+T27+N27+U27</f>
        <v>346.598749369642</v>
      </c>
      <c r="X27" s="198" t="n">
        <f aca="false">IF(L27&lt;0,L27*-1,0)</f>
        <v>10.1730206757438</v>
      </c>
      <c r="Y27" s="198" t="n">
        <f aca="false">W27+X27</f>
        <v>356.771770045386</v>
      </c>
      <c r="Z27" s="202" t="n">
        <v>0.02</v>
      </c>
      <c r="AA27" s="232" t="n">
        <v>78</v>
      </c>
      <c r="AB27" s="203" t="n">
        <v>39</v>
      </c>
      <c r="AC27" s="204" t="n">
        <f aca="false">AC26+1</f>
        <v>18</v>
      </c>
      <c r="AD27" s="220" t="n">
        <v>39936</v>
      </c>
      <c r="AE27" s="220" t="n">
        <v>22354</v>
      </c>
      <c r="AF27" s="224" t="n">
        <f aca="false">(AG27+AH27)-(AG26+AH26)</f>
        <v>7.18000000000029</v>
      </c>
      <c r="AG27" s="191" t="n">
        <v>4020.26</v>
      </c>
      <c r="AH27" s="191" t="n">
        <v>1017.58</v>
      </c>
    </row>
    <row r="28" customFormat="false" ht="11.1" hidden="false" customHeight="true" outlineLevel="0" collapsed="false">
      <c r="A28" s="204" t="n">
        <f aca="false">A27+1</f>
        <v>19</v>
      </c>
      <c r="B28" s="222" t="n">
        <v>6898.3</v>
      </c>
      <c r="C28" s="46" t="n">
        <v>277354</v>
      </c>
      <c r="D28" s="203" t="n">
        <f aca="false">C28-C27</f>
        <v>-365</v>
      </c>
      <c r="E28" s="199" t="n">
        <f aca="false">C28-152000</f>
        <v>125354</v>
      </c>
      <c r="F28" s="198" t="n">
        <f aca="false">D28/$D$2</f>
        <v>-184.064548663641</v>
      </c>
      <c r="G28" s="198" t="n">
        <v>114.5</v>
      </c>
      <c r="H28" s="200" t="n">
        <v>0</v>
      </c>
      <c r="I28" s="198" t="n">
        <f aca="false">G28+H28</f>
        <v>114.5</v>
      </c>
      <c r="J28" s="223" t="n">
        <f aca="false">IF(L28&gt;0,L28,0)</f>
        <v>72.4456328794756</v>
      </c>
      <c r="K28" s="198" t="n">
        <f aca="false">I28+J28</f>
        <v>186.945632879476</v>
      </c>
      <c r="L28" s="198" t="n">
        <f aca="false">F28-(I28-W28)</f>
        <v>72.4456328794756</v>
      </c>
      <c r="M28" s="198" t="n">
        <v>97.51</v>
      </c>
      <c r="N28" s="198" t="n">
        <f aca="false">(AF28*1.05)/$D$2</f>
        <v>2.0173978819967</v>
      </c>
      <c r="O28" s="198" t="n">
        <f aca="false">M30-N28</f>
        <v>97.3226021180033</v>
      </c>
      <c r="P28" s="198" t="n">
        <v>91.83</v>
      </c>
      <c r="Q28" s="198" t="n">
        <f aca="false">(AE28-AE27)/$D$2</f>
        <v>63.0358043368633</v>
      </c>
      <c r="R28" s="198" t="n">
        <f aca="false">SUM(O28:Q28)</f>
        <v>252.188406454867</v>
      </c>
      <c r="S28" s="199" t="n">
        <f aca="false">(I28-R28)+S27</f>
        <v>-23252.1833938477</v>
      </c>
      <c r="T28" s="198" t="n">
        <f aca="false">(AD28-AD27)/$D$2</f>
        <v>64.0443772062532</v>
      </c>
      <c r="U28" s="198" t="n">
        <v>52.76</v>
      </c>
      <c r="V28" s="199" t="n">
        <f aca="false">V27-U28</f>
        <v>1961.7</v>
      </c>
      <c r="W28" s="198" t="n">
        <f aca="false">R28+T28+N28+U28</f>
        <v>371.010181543117</v>
      </c>
      <c r="X28" s="198" t="n">
        <f aca="false">IF(L28&lt;0,L28*-1,0)</f>
        <v>0</v>
      </c>
      <c r="Y28" s="198" t="n">
        <f aca="false">W28+X28</f>
        <v>371.010181543117</v>
      </c>
      <c r="Z28" s="202" t="n">
        <v>0.37</v>
      </c>
      <c r="AA28" s="232" t="n">
        <v>78</v>
      </c>
      <c r="AB28" s="203" t="n">
        <v>42</v>
      </c>
      <c r="AC28" s="204" t="n">
        <f aca="false">AC27+1</f>
        <v>19</v>
      </c>
      <c r="AD28" s="220" t="n">
        <v>40063</v>
      </c>
      <c r="AE28" s="220" t="n">
        <v>22479</v>
      </c>
      <c r="AF28" s="224" t="n">
        <f aca="false">(AG28+AH28)-(AG27+AH27)</f>
        <v>3.80999999999949</v>
      </c>
      <c r="AG28" s="191" t="n">
        <v>4022.46</v>
      </c>
      <c r="AH28" s="191" t="n">
        <v>1019.19</v>
      </c>
    </row>
    <row r="29" customFormat="false" ht="11.1" hidden="false" customHeight="true" outlineLevel="0" collapsed="false">
      <c r="A29" s="204" t="n">
        <f aca="false">A28+1</f>
        <v>20</v>
      </c>
      <c r="B29" s="222" t="n">
        <v>6898.18</v>
      </c>
      <c r="C29" s="199" t="n">
        <v>276917</v>
      </c>
      <c r="D29" s="203" t="n">
        <f aca="false">C29-C28</f>
        <v>-437</v>
      </c>
      <c r="E29" s="199" t="n">
        <f aca="false">C29-152000</f>
        <v>124917</v>
      </c>
      <c r="F29" s="198" t="n">
        <f aca="false">D29/$D$2</f>
        <v>-220.373171961674</v>
      </c>
      <c r="G29" s="198" t="n">
        <v>121.12</v>
      </c>
      <c r="H29" s="200" t="n">
        <v>0</v>
      </c>
      <c r="I29" s="198" t="n">
        <f aca="false">G29+H29</f>
        <v>121.12</v>
      </c>
      <c r="J29" s="223" t="n">
        <f aca="false">IF(L29&gt;0,L29,0)</f>
        <v>0.308406454866343</v>
      </c>
      <c r="K29" s="198" t="n">
        <f aca="false">I29+J29</f>
        <v>121.428406454866</v>
      </c>
      <c r="L29" s="198" t="n">
        <f aca="false">F29-(I29-W29)</f>
        <v>0.308406454866343</v>
      </c>
      <c r="M29" s="198" t="n">
        <v>102.01</v>
      </c>
      <c r="N29" s="198" t="n">
        <f aca="false">(AF29*1.05)/$D$2</f>
        <v>9.25567322239057</v>
      </c>
      <c r="O29" s="198" t="n">
        <f aca="false">M31-N29</f>
        <v>88.1743267776094</v>
      </c>
      <c r="P29" s="198" t="n">
        <v>89.78</v>
      </c>
      <c r="Q29" s="198" t="n">
        <f aca="false">(AE29-AE28)/$D$2</f>
        <v>60.0100857286939</v>
      </c>
      <c r="R29" s="198" t="n">
        <f aca="false">SUM(O29:Q29)</f>
        <v>237.964412506303</v>
      </c>
      <c r="S29" s="199" t="n">
        <f aca="false">(I29-R29)+S28</f>
        <v>-23369.027806354</v>
      </c>
      <c r="T29" s="198" t="n">
        <f aca="false">(AD29-AD28)/$D$2</f>
        <v>44.8814926878467</v>
      </c>
      <c r="U29" s="198" t="n">
        <v>49.7</v>
      </c>
      <c r="V29" s="199" t="n">
        <f aca="false">V28-U29</f>
        <v>1912</v>
      </c>
      <c r="W29" s="198" t="n">
        <f aca="false">R29+T29+N29+U29</f>
        <v>341.801578416541</v>
      </c>
      <c r="X29" s="198" t="n">
        <f aca="false">IF(L29&lt;0,L29*-1,0)</f>
        <v>0</v>
      </c>
      <c r="Y29" s="198" t="n">
        <f aca="false">W29+X29</f>
        <v>341.801578416541</v>
      </c>
      <c r="Z29" s="202" t="n">
        <v>0.15</v>
      </c>
      <c r="AA29" s="232" t="n">
        <v>70</v>
      </c>
      <c r="AB29" s="203" t="n">
        <v>50</v>
      </c>
      <c r="AC29" s="204" t="n">
        <f aca="false">AC28+1</f>
        <v>20</v>
      </c>
      <c r="AD29" s="220" t="n">
        <v>40152</v>
      </c>
      <c r="AE29" s="220" t="n">
        <v>22598</v>
      </c>
      <c r="AF29" s="224" t="n">
        <f aca="false">(AG29+AH29)-(AG28+AH28)</f>
        <v>17.4800000000005</v>
      </c>
      <c r="AG29" s="191" t="n">
        <v>4028.06</v>
      </c>
      <c r="AH29" s="191" t="n">
        <v>1031.07</v>
      </c>
    </row>
    <row r="30" customFormat="false" ht="11.1" hidden="false" customHeight="true" outlineLevel="0" collapsed="false">
      <c r="A30" s="204" t="n">
        <f aca="false">A29+1</f>
        <v>21</v>
      </c>
      <c r="B30" s="222" t="n">
        <v>6898.08</v>
      </c>
      <c r="C30" s="199" t="n">
        <v>276552</v>
      </c>
      <c r="D30" s="203" t="n">
        <f aca="false">C30-C29</f>
        <v>-365</v>
      </c>
      <c r="E30" s="199" t="n">
        <f aca="false">C30-152000</f>
        <v>124552</v>
      </c>
      <c r="F30" s="198" t="n">
        <f aca="false">D30/$D$2</f>
        <v>-184.064548663641</v>
      </c>
      <c r="G30" s="198" t="n">
        <v>144.15</v>
      </c>
      <c r="H30" s="200" t="n">
        <v>0</v>
      </c>
      <c r="I30" s="198" t="n">
        <f aca="false">G30+H30</f>
        <v>144.15</v>
      </c>
      <c r="J30" s="223" t="n">
        <f aca="false">IF(L30&gt;0,L30,0)</f>
        <v>9.44416540595054</v>
      </c>
      <c r="K30" s="198" t="n">
        <f aca="false">I30+J30</f>
        <v>153.594165405951</v>
      </c>
      <c r="L30" s="198" t="n">
        <f aca="false">F30-(I30-W30)</f>
        <v>9.44416540595054</v>
      </c>
      <c r="M30" s="198" t="n">
        <v>99.34</v>
      </c>
      <c r="N30" s="198" t="n">
        <f aca="false">(AF30*1.05)/$D$2</f>
        <v>12.178517397882</v>
      </c>
      <c r="O30" s="198" t="n">
        <f aca="false">M32-N30</f>
        <v>88.351482602118</v>
      </c>
      <c r="P30" s="198" t="n">
        <v>87.58</v>
      </c>
      <c r="Q30" s="198" t="n">
        <f aca="false">(AE30-AE29)/$D$2</f>
        <v>60.0100857286939</v>
      </c>
      <c r="R30" s="198" t="n">
        <f aca="false">SUM(O30:Q30)</f>
        <v>235.941568330812</v>
      </c>
      <c r="S30" s="199" t="n">
        <f aca="false">(I30-R30)+S29</f>
        <v>-23460.8193746848</v>
      </c>
      <c r="T30" s="198" t="n">
        <f aca="false">(AD30-AD29)/$D$2</f>
        <v>39.8386283408976</v>
      </c>
      <c r="U30" s="198" t="n">
        <v>49.7</v>
      </c>
      <c r="V30" s="199" t="n">
        <f aca="false">V29-U30</f>
        <v>1862.3</v>
      </c>
      <c r="W30" s="198" t="n">
        <f aca="false">R30+T30+N30+U30</f>
        <v>337.658714069592</v>
      </c>
      <c r="X30" s="198" t="n">
        <f aca="false">IF(L30&lt;0,L30*-1,0)</f>
        <v>0</v>
      </c>
      <c r="Y30" s="198" t="n">
        <f aca="false">W30+X30</f>
        <v>337.658714069592</v>
      </c>
      <c r="Z30" s="202" t="n">
        <v>0</v>
      </c>
      <c r="AA30" s="203" t="n">
        <v>74</v>
      </c>
      <c r="AB30" s="203" t="n">
        <v>46</v>
      </c>
      <c r="AC30" s="204" t="n">
        <f aca="false">AC29+1</f>
        <v>21</v>
      </c>
      <c r="AD30" s="220" t="n">
        <v>40231</v>
      </c>
      <c r="AE30" s="220" t="n">
        <v>22717</v>
      </c>
      <c r="AF30" s="224" t="n">
        <f aca="false">(AG30+AH30)-(AG29+AH29)</f>
        <v>23</v>
      </c>
      <c r="AG30" s="191" t="n">
        <v>4038.17</v>
      </c>
      <c r="AH30" s="191" t="n">
        <v>1043.96</v>
      </c>
    </row>
    <row r="31" customFormat="false" ht="11.1" hidden="false" customHeight="true" outlineLevel="0" collapsed="false">
      <c r="A31" s="204" t="n">
        <f aca="false">A30+1</f>
        <v>22</v>
      </c>
      <c r="B31" s="222" t="n">
        <v>6897.98</v>
      </c>
      <c r="C31" s="199" t="n">
        <v>276188</v>
      </c>
      <c r="D31" s="203" t="n">
        <f aca="false">C31-C30</f>
        <v>-364</v>
      </c>
      <c r="E31" s="199" t="n">
        <f aca="false">C31-152000</f>
        <v>124188</v>
      </c>
      <c r="F31" s="198" t="n">
        <f aca="false">D31/$D$2</f>
        <v>-183.560262228946</v>
      </c>
      <c r="G31" s="198" t="n">
        <v>128</v>
      </c>
      <c r="H31" s="200" t="n">
        <v>0</v>
      </c>
      <c r="I31" s="198" t="n">
        <f aca="false">G31+H31</f>
        <v>128</v>
      </c>
      <c r="J31" s="223" t="n">
        <f aca="false">IF(L31&gt;0,L31,0)</f>
        <v>45.3584619263742</v>
      </c>
      <c r="K31" s="198" t="n">
        <f aca="false">I31+J31</f>
        <v>173.358461926374</v>
      </c>
      <c r="L31" s="198" t="n">
        <f aca="false">F31-(I31-W31)</f>
        <v>45.3584619263742</v>
      </c>
      <c r="M31" s="198" t="n">
        <v>97.43</v>
      </c>
      <c r="N31" s="198" t="n">
        <f aca="false">(AF31*1.05)/$D$2</f>
        <v>11.8078668683813</v>
      </c>
      <c r="O31" s="198" t="n">
        <f aca="false">M33-N31</f>
        <v>100.602133131619</v>
      </c>
      <c r="P31" s="198" t="n">
        <v>87.9</v>
      </c>
      <c r="Q31" s="198" t="n">
        <f aca="false">(AE31-AE30)/$D$2</f>
        <v>61.0186585980837</v>
      </c>
      <c r="R31" s="198" t="n">
        <f aca="false">SUM(O31:Q31)</f>
        <v>249.520791729702</v>
      </c>
      <c r="S31" s="199" t="n">
        <f aca="false">(I31-R31)+S30</f>
        <v>-23582.3401664145</v>
      </c>
      <c r="T31" s="198" t="n">
        <f aca="false">(AD31-AD30)/$D$2</f>
        <v>45.8900655572365</v>
      </c>
      <c r="U31" s="198" t="n">
        <v>49.7</v>
      </c>
      <c r="V31" s="199" t="n">
        <f aca="false">V30-U31</f>
        <v>1812.6</v>
      </c>
      <c r="W31" s="198" t="n">
        <f aca="false">R31+T31+N31+U31</f>
        <v>356.91872415532</v>
      </c>
      <c r="X31" s="198" t="n">
        <f aca="false">IF(L31&lt;0,L31*-1,0)</f>
        <v>0</v>
      </c>
      <c r="Y31" s="198" t="n">
        <f aca="false">W31+X31</f>
        <v>356.91872415532</v>
      </c>
      <c r="Z31" s="202" t="n">
        <v>0</v>
      </c>
      <c r="AA31" s="203" t="n">
        <v>70</v>
      </c>
      <c r="AB31" s="203" t="n">
        <v>54</v>
      </c>
      <c r="AC31" s="204" t="n">
        <f aca="false">AC30+1</f>
        <v>22</v>
      </c>
      <c r="AD31" s="220" t="n">
        <v>40322</v>
      </c>
      <c r="AE31" s="220" t="n">
        <v>22838</v>
      </c>
      <c r="AF31" s="224" t="n">
        <f aca="false">(AG31+AH31)-(AG30+AH30)</f>
        <v>22.3000000000002</v>
      </c>
      <c r="AG31" s="233" t="n">
        <v>4048.94</v>
      </c>
      <c r="AH31" s="233" t="n">
        <v>1055.49</v>
      </c>
      <c r="AI31" s="233" t="n">
        <f aca="false">AF30-AF29</f>
        <v>5.51999999999953</v>
      </c>
    </row>
    <row r="32" customFormat="false" ht="11.1" hidden="false" customHeight="true" outlineLevel="0" collapsed="false">
      <c r="A32" s="204" t="n">
        <f aca="false">A31+1</f>
        <v>23</v>
      </c>
      <c r="B32" s="222" t="n">
        <v>6897.82</v>
      </c>
      <c r="C32" s="199" t="n">
        <v>275610</v>
      </c>
      <c r="D32" s="203" t="n">
        <f aca="false">C32-C31</f>
        <v>-578</v>
      </c>
      <c r="E32" s="199" t="n">
        <f aca="false">C32-152000</f>
        <v>123610</v>
      </c>
      <c r="F32" s="198" t="n">
        <f aca="false">D32/$D$2</f>
        <v>-291.477559253656</v>
      </c>
      <c r="G32" s="198" t="n">
        <v>115</v>
      </c>
      <c r="H32" s="200" t="n">
        <v>0</v>
      </c>
      <c r="I32" s="198" t="n">
        <f aca="false">G32+H32</f>
        <v>115</v>
      </c>
      <c r="J32" s="223" t="n">
        <f aca="false">IF(L32&gt;0,L32,0)</f>
        <v>0</v>
      </c>
      <c r="K32" s="198" t="n">
        <f aca="false">I32+J32</f>
        <v>115</v>
      </c>
      <c r="L32" s="198" t="n">
        <f aca="false">F32-(I32-W32)</f>
        <v>-51.9031417044881</v>
      </c>
      <c r="M32" s="198" t="n">
        <v>100.53</v>
      </c>
      <c r="N32" s="198" t="n">
        <f aca="false">(AF32*1.05)/$D$2</f>
        <v>13.8835098335851</v>
      </c>
      <c r="O32" s="198" t="n">
        <f aca="false">M34-N32</f>
        <v>110.196490166415</v>
      </c>
      <c r="P32" s="198" t="n">
        <v>88.51</v>
      </c>
      <c r="Q32" s="198" t="n">
        <f aca="false">(AE32-AE31)/$D$2</f>
        <v>57.9929399899143</v>
      </c>
      <c r="R32" s="198" t="n">
        <f aca="false">SUM(O32:Q32)</f>
        <v>256.699430156329</v>
      </c>
      <c r="S32" s="199" t="n">
        <f aca="false">(I32-R32)+S31</f>
        <v>-23724.0395965708</v>
      </c>
      <c r="T32" s="198" t="n">
        <f aca="false">(AD32-AD31)/$D$2</f>
        <v>34.2914775592537</v>
      </c>
      <c r="U32" s="198" t="n">
        <v>49.7</v>
      </c>
      <c r="V32" s="199" t="n">
        <f aca="false">V31-U32</f>
        <v>1762.9</v>
      </c>
      <c r="W32" s="198" t="n">
        <f aca="false">R32+T32+N32+U32</f>
        <v>354.574417549168</v>
      </c>
      <c r="X32" s="198" t="n">
        <f aca="false">IF(L32&lt;0,L32*-1,0)</f>
        <v>51.9031417044881</v>
      </c>
      <c r="Y32" s="198" t="n">
        <f aca="false">W32+X32</f>
        <v>406.477559253656</v>
      </c>
      <c r="Z32" s="202" t="n">
        <v>0</v>
      </c>
      <c r="AA32" s="203" t="n">
        <v>78</v>
      </c>
      <c r="AB32" s="232" t="n">
        <v>42</v>
      </c>
      <c r="AC32" s="204" t="n">
        <f aca="false">AC31+1</f>
        <v>23</v>
      </c>
      <c r="AD32" s="220" t="n">
        <v>40390</v>
      </c>
      <c r="AE32" s="220" t="n">
        <v>22953</v>
      </c>
      <c r="AF32" s="224" t="n">
        <f aca="false">(AG32+AH32)-(AG31+AH31)</f>
        <v>26.2199999999993</v>
      </c>
      <c r="AG32" s="191" t="n">
        <v>4061.48</v>
      </c>
      <c r="AH32" s="191" t="n">
        <v>1069.17</v>
      </c>
    </row>
    <row r="33" customFormat="false" ht="11.1" hidden="false" customHeight="true" outlineLevel="0" collapsed="false">
      <c r="A33" s="204" t="n">
        <f aca="false">A32+1</f>
        <v>24</v>
      </c>
      <c r="B33" s="222" t="n">
        <v>6897.7</v>
      </c>
      <c r="C33" s="199" t="n">
        <v>275175</v>
      </c>
      <c r="D33" s="203" t="n">
        <f aca="false">C33-C32</f>
        <v>-435</v>
      </c>
      <c r="E33" s="199" t="n">
        <f aca="false">C33-152000</f>
        <v>123175</v>
      </c>
      <c r="F33" s="198" t="n">
        <f aca="false">D33/$D$2</f>
        <v>-219.364599092284</v>
      </c>
      <c r="G33" s="198" t="n">
        <v>105.53</v>
      </c>
      <c r="H33" s="200" t="n">
        <v>0</v>
      </c>
      <c r="I33" s="198" t="n">
        <f aca="false">G33+H33</f>
        <v>105.53</v>
      </c>
      <c r="J33" s="223" t="n">
        <f aca="false">IF(L33&gt;0,L33,0)</f>
        <v>36.4312405446293</v>
      </c>
      <c r="K33" s="198" t="n">
        <f aca="false">I33+J33</f>
        <v>141.961240544629</v>
      </c>
      <c r="L33" s="198" t="n">
        <f aca="false">F33-(I33-W33)</f>
        <v>36.4312405446293</v>
      </c>
      <c r="M33" s="198" t="n">
        <v>112.41</v>
      </c>
      <c r="N33" s="198" t="n">
        <f aca="false">(AF33*1.05)/$D$2</f>
        <v>18.2465960665663</v>
      </c>
      <c r="O33" s="198" t="n">
        <f aca="false">M35-N33</f>
        <v>117.323403933434</v>
      </c>
      <c r="P33" s="198" t="n">
        <v>88.31</v>
      </c>
      <c r="Q33" s="198" t="n">
        <f aca="false">(AE33-AE32)/$D$2</f>
        <v>56.4800806858296</v>
      </c>
      <c r="R33" s="198" t="n">
        <f aca="false">SUM(O33:Q33)</f>
        <v>262.113484619263</v>
      </c>
      <c r="S33" s="199" t="n">
        <f aca="false">(I33-R33)+S32</f>
        <v>-23880.6230811901</v>
      </c>
      <c r="T33" s="198" t="n">
        <f aca="false">(AD33-AD32)/$D$2</f>
        <v>31.2657589510842</v>
      </c>
      <c r="U33" s="198" t="n">
        <v>49.7</v>
      </c>
      <c r="V33" s="199" t="n">
        <f aca="false">V32-U33</f>
        <v>1713.2</v>
      </c>
      <c r="W33" s="198" t="n">
        <f aca="false">R33+T33+N33+U33</f>
        <v>361.325839636914</v>
      </c>
      <c r="X33" s="198" t="n">
        <f aca="false">IF(L33&lt;0,L33*-1,0)</f>
        <v>0</v>
      </c>
      <c r="Y33" s="198" t="n">
        <f aca="false">W33+X33</f>
        <v>361.325839636914</v>
      </c>
      <c r="Z33" s="202" t="n">
        <v>0</v>
      </c>
      <c r="AA33" s="203" t="n">
        <v>80</v>
      </c>
      <c r="AB33" s="232" t="n">
        <v>42</v>
      </c>
      <c r="AC33" s="204" t="n">
        <f aca="false">AC32+1</f>
        <v>24</v>
      </c>
      <c r="AD33" s="220" t="n">
        <v>40452</v>
      </c>
      <c r="AE33" s="220" t="n">
        <v>23065</v>
      </c>
      <c r="AF33" s="224" t="n">
        <f aca="false">(AG33+AH33)-(AG32+AH32)</f>
        <v>34.4600000000009</v>
      </c>
      <c r="AG33" s="191" t="n">
        <v>4078.71</v>
      </c>
      <c r="AH33" s="191" t="n">
        <v>1086.4</v>
      </c>
    </row>
    <row r="34" customFormat="false" ht="11.1" hidden="false" customHeight="true" outlineLevel="0" collapsed="false">
      <c r="A34" s="204" t="n">
        <f aca="false">A33+1</f>
        <v>25</v>
      </c>
      <c r="B34" s="222" t="n">
        <v>6897.55</v>
      </c>
      <c r="C34" s="199" t="n">
        <v>274633</v>
      </c>
      <c r="D34" s="203" t="n">
        <f aca="false">C34-C33</f>
        <v>-542</v>
      </c>
      <c r="E34" s="199" t="n">
        <f aca="false">C34-152000</f>
        <v>122633</v>
      </c>
      <c r="F34" s="198" t="n">
        <f aca="false">D34/$D$2</f>
        <v>-273.323247604639</v>
      </c>
      <c r="G34" s="198" t="n">
        <v>100.06</v>
      </c>
      <c r="H34" s="200" t="n">
        <v>0</v>
      </c>
      <c r="I34" s="198" t="n">
        <f aca="false">G34+H34</f>
        <v>100.06</v>
      </c>
      <c r="J34" s="223" t="n">
        <f aca="false">IF(L34&gt;0,L34,0)</f>
        <v>0</v>
      </c>
      <c r="K34" s="198" t="n">
        <f aca="false">I34+J34</f>
        <v>100.06</v>
      </c>
      <c r="L34" s="198" t="n">
        <f aca="false">F34-(I34-W34)</f>
        <v>-6.90883509833589</v>
      </c>
      <c r="M34" s="198" t="n">
        <v>124.08</v>
      </c>
      <c r="N34" s="198" t="n">
        <f aca="false">(AF34*1.05)/$D$2</f>
        <v>24.2458396369133</v>
      </c>
      <c r="O34" s="198" t="n">
        <f aca="false">M36-N34</f>
        <v>115.584160363087</v>
      </c>
      <c r="P34" s="198" t="n">
        <v>88.19</v>
      </c>
      <c r="Q34" s="198" t="n">
        <f aca="false">(AE34-AE33)/$D$2</f>
        <v>57.4886535552194</v>
      </c>
      <c r="R34" s="198" t="n">
        <f aca="false">SUM(O34:Q34)</f>
        <v>261.262813918306</v>
      </c>
      <c r="S34" s="199" t="n">
        <f aca="false">(I34-R34)+S33</f>
        <v>-24041.8258951084</v>
      </c>
      <c r="T34" s="198" t="n">
        <f aca="false">(AD34-AD33)/$D$2</f>
        <v>31.2657589510842</v>
      </c>
      <c r="U34" s="198" t="n">
        <v>49.7</v>
      </c>
      <c r="V34" s="199" t="n">
        <f aca="false">V33-U34</f>
        <v>1663.5</v>
      </c>
      <c r="W34" s="198" t="n">
        <f aca="false">R34+T34+N34+U34</f>
        <v>366.474412506304</v>
      </c>
      <c r="X34" s="198" t="n">
        <f aca="false">IF(L34&lt;0,L34*-1,0)</f>
        <v>6.90883509833589</v>
      </c>
      <c r="Y34" s="198" t="n">
        <f aca="false">W34+X34</f>
        <v>373.383247604639</v>
      </c>
      <c r="Z34" s="202" t="n">
        <v>0</v>
      </c>
      <c r="AA34" s="203" t="n">
        <v>79</v>
      </c>
      <c r="AB34" s="232" t="n">
        <v>42</v>
      </c>
      <c r="AC34" s="204" t="n">
        <f aca="false">AC33+1</f>
        <v>25</v>
      </c>
      <c r="AD34" s="220" t="n">
        <v>40514</v>
      </c>
      <c r="AE34" s="220" t="n">
        <v>23179</v>
      </c>
      <c r="AF34" s="224" t="n">
        <f aca="false">(AG34+AH34)-(AG33+AH33)</f>
        <v>45.7899999999991</v>
      </c>
      <c r="AG34" s="191" t="n">
        <v>4101.4</v>
      </c>
      <c r="AH34" s="191" t="n">
        <v>1109.5</v>
      </c>
    </row>
    <row r="35" customFormat="false" ht="11.1" hidden="false" customHeight="true" outlineLevel="0" collapsed="false">
      <c r="A35" s="204" t="n">
        <f aca="false">A34+1</f>
        <v>26</v>
      </c>
      <c r="B35" s="222" t="n">
        <v>6897.38</v>
      </c>
      <c r="C35" s="199" t="n">
        <v>274018</v>
      </c>
      <c r="D35" s="203" t="n">
        <f aca="false">C35-C34</f>
        <v>-615</v>
      </c>
      <c r="E35" s="199" t="n">
        <f aca="false">C35-152000</f>
        <v>122018</v>
      </c>
      <c r="F35" s="198" t="n">
        <f aca="false">D35/$D$2</f>
        <v>-310.136157337368</v>
      </c>
      <c r="G35" s="198" t="n">
        <v>94.83</v>
      </c>
      <c r="H35" s="200" t="n">
        <v>0</v>
      </c>
      <c r="I35" s="198" t="n">
        <f aca="false">G35+H35</f>
        <v>94.83</v>
      </c>
      <c r="J35" s="223" t="n">
        <f aca="false">IF(L35&gt;0,L35,0)</f>
        <v>0</v>
      </c>
      <c r="K35" s="198" t="n">
        <f aca="false">I35+J35</f>
        <v>94.83</v>
      </c>
      <c r="L35" s="198" t="n">
        <f aca="false">F35-(I35-W35)</f>
        <v>-34.3003025718608</v>
      </c>
      <c r="M35" s="198" t="n">
        <v>135.57</v>
      </c>
      <c r="N35" s="198" t="n">
        <f aca="false">(AF35*1.05)/$D$2</f>
        <v>28.481845688351</v>
      </c>
      <c r="O35" s="198" t="n">
        <f aca="false">M35-N35</f>
        <v>107.088154311649</v>
      </c>
      <c r="P35" s="198" t="n">
        <v>87.06</v>
      </c>
      <c r="Q35" s="198" t="n">
        <f aca="false">(AE35-AE34)/$D$2</f>
        <v>56.9843671205245</v>
      </c>
      <c r="R35" s="198" t="n">
        <f aca="false">SUM(O35:Q35)</f>
        <v>251.132521432173</v>
      </c>
      <c r="S35" s="199" t="n">
        <f aca="false">(I35-R35)+S34</f>
        <v>-24198.1284165406</v>
      </c>
      <c r="T35" s="198" t="n">
        <f aca="false">(AD35-AD34)/$D$2</f>
        <v>41.3514876449823</v>
      </c>
      <c r="U35" s="198" t="n">
        <v>49.7</v>
      </c>
      <c r="V35" s="199" t="n">
        <f aca="false">V34-U35</f>
        <v>1613.8</v>
      </c>
      <c r="W35" s="198" t="n">
        <f aca="false">R35+T35+N35+U35</f>
        <v>370.665854765507</v>
      </c>
      <c r="X35" s="198" t="n">
        <f aca="false">IF(L35&lt;0,L35*-1,0)</f>
        <v>34.3003025718608</v>
      </c>
      <c r="Y35" s="198" t="n">
        <f aca="false">W35+X35</f>
        <v>404.966157337368</v>
      </c>
      <c r="Z35" s="202" t="n">
        <v>0</v>
      </c>
      <c r="AA35" s="203" t="n">
        <v>80</v>
      </c>
      <c r="AB35" s="203" t="n">
        <v>42</v>
      </c>
      <c r="AC35" s="204" t="n">
        <f aca="false">AC34+1</f>
        <v>26</v>
      </c>
      <c r="AD35" s="220" t="n">
        <v>40596</v>
      </c>
      <c r="AE35" s="220" t="n">
        <v>23292</v>
      </c>
      <c r="AF35" s="224" t="n">
        <f aca="false">(AG35+AH35)-(AG34+AH34)</f>
        <v>53.79</v>
      </c>
      <c r="AG35" s="191" t="n">
        <v>4128.62</v>
      </c>
      <c r="AH35" s="191" t="n">
        <v>1136.07</v>
      </c>
    </row>
    <row r="36" customFormat="false" ht="11.1" hidden="false" customHeight="true" outlineLevel="0" collapsed="false">
      <c r="A36" s="204" t="n">
        <f aca="false">A35+1</f>
        <v>27</v>
      </c>
      <c r="B36" s="222" t="n">
        <v>6897.25</v>
      </c>
      <c r="C36" s="199" t="n">
        <v>273548</v>
      </c>
      <c r="D36" s="203" t="n">
        <f aca="false">C36-C35</f>
        <v>-470</v>
      </c>
      <c r="E36" s="199" t="n">
        <f aca="false">C36-152000</f>
        <v>121548</v>
      </c>
      <c r="F36" s="198" t="n">
        <f aca="false">D36/$D$2</f>
        <v>-237.014624306606</v>
      </c>
      <c r="G36" s="198" t="n">
        <v>92.16</v>
      </c>
      <c r="H36" s="200" t="n">
        <v>0</v>
      </c>
      <c r="I36" s="198" t="n">
        <f aca="false">G36+H36</f>
        <v>92.16</v>
      </c>
      <c r="J36" s="223" t="n">
        <f aca="false">IF(L36&gt;0,L36,0)</f>
        <v>30.9369238527483</v>
      </c>
      <c r="K36" s="198" t="n">
        <f aca="false">I36+J36</f>
        <v>123.096923852748</v>
      </c>
      <c r="L36" s="198" t="n">
        <f aca="false">F36-(I36-W36)</f>
        <v>30.9369238527483</v>
      </c>
      <c r="M36" s="198" t="n">
        <v>139.83</v>
      </c>
      <c r="N36" s="198" t="n">
        <f aca="false">(AF36*1.05)/$D$2</f>
        <v>25.9931921331317</v>
      </c>
      <c r="O36" s="198" t="n">
        <f aca="false">M36-N36</f>
        <v>113.836807866868</v>
      </c>
      <c r="P36" s="198" t="n">
        <v>85.24</v>
      </c>
      <c r="Q36" s="198" t="n">
        <f aca="false">(AE36-AE35)/$D$2</f>
        <v>49.4200706001009</v>
      </c>
      <c r="R36" s="198" t="n">
        <f aca="false">SUM(O36:Q36)</f>
        <v>248.496878466969</v>
      </c>
      <c r="S36" s="199" t="n">
        <f aca="false">(I36-R36)+S35</f>
        <v>-24354.4652950076</v>
      </c>
      <c r="T36" s="198" t="n">
        <f aca="false">(AD36-AD35)/$D$2</f>
        <v>34.2914775592537</v>
      </c>
      <c r="U36" s="198" t="n">
        <v>51.33</v>
      </c>
      <c r="V36" s="199" t="n">
        <f aca="false">V35-U36</f>
        <v>1562.47</v>
      </c>
      <c r="W36" s="198" t="n">
        <f aca="false">R36+T36+N36+U36</f>
        <v>360.111548159354</v>
      </c>
      <c r="X36" s="198" t="n">
        <f aca="false">IF(L36&lt;0,L36*-1,0)</f>
        <v>0</v>
      </c>
      <c r="Y36" s="198" t="n">
        <f aca="false">W36+X36</f>
        <v>360.111548159354</v>
      </c>
      <c r="Z36" s="202" t="n">
        <v>0</v>
      </c>
      <c r="AA36" s="203" t="n">
        <v>81</v>
      </c>
      <c r="AB36" s="203" t="n">
        <v>46</v>
      </c>
      <c r="AC36" s="204" t="n">
        <f aca="false">AC35+1</f>
        <v>27</v>
      </c>
      <c r="AD36" s="220" t="n">
        <v>40664</v>
      </c>
      <c r="AE36" s="220" t="n">
        <v>23390</v>
      </c>
      <c r="AF36" s="224" t="n">
        <f aca="false">(AG36+AH36)-(AG35+AH35)</f>
        <v>49.0900000000002</v>
      </c>
      <c r="AG36" s="191" t="n">
        <v>4153.49</v>
      </c>
      <c r="AH36" s="191" t="n">
        <v>1160.29</v>
      </c>
    </row>
    <row r="37" customFormat="false" ht="11.1" hidden="false" customHeight="true" outlineLevel="0" collapsed="false">
      <c r="A37" s="204" t="n">
        <f aca="false">A36+1</f>
        <v>28</v>
      </c>
      <c r="B37" s="222" t="n">
        <v>6897.04</v>
      </c>
      <c r="C37" s="199" t="n">
        <v>272788</v>
      </c>
      <c r="D37" s="203" t="n">
        <f aca="false">C37-C36</f>
        <v>-760</v>
      </c>
      <c r="E37" s="199" t="n">
        <f aca="false">C37-152000</f>
        <v>120788</v>
      </c>
      <c r="F37" s="198" t="n">
        <f aca="false">D37/$D$2</f>
        <v>-383.257690368129</v>
      </c>
      <c r="G37" s="198" t="n">
        <v>89.53</v>
      </c>
      <c r="H37" s="200" t="n">
        <v>0</v>
      </c>
      <c r="I37" s="198" t="n">
        <f aca="false">G37+H37</f>
        <v>89.53</v>
      </c>
      <c r="J37" s="223" t="n">
        <f aca="false">IF(L37&gt;0,L37,0)</f>
        <v>0</v>
      </c>
      <c r="K37" s="198" t="n">
        <f aca="false">I37+J37</f>
        <v>89.53</v>
      </c>
      <c r="L37" s="198" t="n">
        <f aca="false">F37-(I37-W37)</f>
        <v>-80.8347049924358</v>
      </c>
      <c r="M37" s="198" t="n">
        <v>162.63</v>
      </c>
      <c r="N37" s="198" t="n">
        <f aca="false">(AF37*1.05)/$D$2</f>
        <v>17.6164901664148</v>
      </c>
      <c r="O37" s="198" t="n">
        <f aca="false">M37-N37</f>
        <v>145.013509833585</v>
      </c>
      <c r="P37" s="198" t="n">
        <v>85.36</v>
      </c>
      <c r="Q37" s="198" t="n">
        <f aca="false">(AE37-AE36)/$D$2</f>
        <v>51.9415027735754</v>
      </c>
      <c r="R37" s="198" t="n">
        <f aca="false">SUM(O37:Q37)</f>
        <v>282.315012607161</v>
      </c>
      <c r="S37" s="199" t="n">
        <f aca="false">(I37-R37)+S36</f>
        <v>-24547.2503076147</v>
      </c>
      <c r="T37" s="198" t="n">
        <f aca="false">(AD37-AD36)/$D$2</f>
        <v>37.821482602118</v>
      </c>
      <c r="U37" s="198" t="n">
        <v>54.2</v>
      </c>
      <c r="V37" s="199" t="n">
        <f aca="false">V36-U37</f>
        <v>1508.27</v>
      </c>
      <c r="W37" s="198" t="n">
        <f aca="false">R37+T37+N37+U37</f>
        <v>391.952985375693</v>
      </c>
      <c r="X37" s="198" t="n">
        <f aca="false">IF(L37&lt;0,L37*-1,0)</f>
        <v>80.8347049924358</v>
      </c>
      <c r="Y37" s="198" t="n">
        <f aca="false">W37+X37</f>
        <v>472.787690368129</v>
      </c>
      <c r="Z37" s="202" t="n">
        <v>0</v>
      </c>
      <c r="AA37" s="203" t="n">
        <v>83</v>
      </c>
      <c r="AB37" s="203" t="n">
        <v>44</v>
      </c>
      <c r="AC37" s="204" t="n">
        <f aca="false">AC36+1</f>
        <v>28</v>
      </c>
      <c r="AD37" s="220" t="n">
        <v>40739</v>
      </c>
      <c r="AE37" s="220" t="n">
        <v>23493</v>
      </c>
      <c r="AF37" s="224" t="n">
        <f aca="false">(AG37+AH37)-(AG36+AH36)</f>
        <v>33.2700000000004</v>
      </c>
      <c r="AG37" s="191" t="n">
        <v>4159.52</v>
      </c>
      <c r="AH37" s="191" t="n">
        <v>1187.53</v>
      </c>
    </row>
    <row r="38" customFormat="false" ht="11.1" hidden="false" customHeight="true" outlineLevel="0" collapsed="false">
      <c r="A38" s="204" t="n">
        <f aca="false">A37+1</f>
        <v>29</v>
      </c>
      <c r="B38" s="222" t="n">
        <v>6896.9</v>
      </c>
      <c r="C38" s="199" t="n">
        <v>272284</v>
      </c>
      <c r="D38" s="203" t="n">
        <f aca="false">C38-C37</f>
        <v>-504</v>
      </c>
      <c r="E38" s="199" t="n">
        <f aca="false">C38-152000</f>
        <v>120284</v>
      </c>
      <c r="F38" s="198" t="n">
        <f aca="false">D38/$D$2</f>
        <v>-254.160363086233</v>
      </c>
      <c r="G38" s="198" t="n">
        <v>87.15</v>
      </c>
      <c r="H38" s="200" t="n">
        <v>0</v>
      </c>
      <c r="I38" s="198" t="n">
        <f aca="false">G38+H38</f>
        <v>87.15</v>
      </c>
      <c r="J38" s="223" t="n">
        <f aca="false">IF(L38&gt;0,L38,0)</f>
        <v>58.0183207261725</v>
      </c>
      <c r="K38" s="198" t="n">
        <f aca="false">I38+J38</f>
        <v>145.168320726172</v>
      </c>
      <c r="L38" s="198" t="n">
        <f aca="false">F38-(I38-W38)</f>
        <v>58.0183207261725</v>
      </c>
      <c r="M38" s="198" t="n">
        <v>181.1</v>
      </c>
      <c r="N38" s="198" t="n">
        <f aca="false">(AF38*1.05)/$D$2</f>
        <v>45.3940998487138</v>
      </c>
      <c r="O38" s="198" t="n">
        <f aca="false">M38-N38</f>
        <v>135.705900151286</v>
      </c>
      <c r="P38" s="198" t="n">
        <v>85.36</v>
      </c>
      <c r="Q38" s="198" t="n">
        <f aca="false">(AE38-AE37)/$D$2</f>
        <v>53.958648512355</v>
      </c>
      <c r="R38" s="198" t="n">
        <f aca="false">SUM(O38:Q38)</f>
        <v>275.024548663641</v>
      </c>
      <c r="S38" s="199" t="n">
        <f aca="false">(I38-R38)+S37</f>
        <v>-24735.1248562784</v>
      </c>
      <c r="T38" s="198" t="n">
        <f aca="false">(AD38-AD37)/$D$2</f>
        <v>24.7100353000504</v>
      </c>
      <c r="U38" s="198" t="n">
        <v>54.2</v>
      </c>
      <c r="V38" s="199" t="n">
        <f aca="false">V37-U38</f>
        <v>1454.07</v>
      </c>
      <c r="W38" s="198" t="n">
        <f aca="false">R38+T38+N38+U38</f>
        <v>399.328683812405</v>
      </c>
      <c r="X38" s="198" t="n">
        <f aca="false">IF(L38&lt;0,L38*-1,0)</f>
        <v>0</v>
      </c>
      <c r="Y38" s="198" t="n">
        <f aca="false">W38+X38</f>
        <v>399.328683812405</v>
      </c>
      <c r="Z38" s="202" t="n">
        <v>0.02</v>
      </c>
      <c r="AA38" s="232" t="n">
        <v>79</v>
      </c>
      <c r="AB38" s="203" t="n">
        <v>46</v>
      </c>
      <c r="AC38" s="204" t="n">
        <f aca="false">AC37+1</f>
        <v>29</v>
      </c>
      <c r="AD38" s="220" t="n">
        <v>40788</v>
      </c>
      <c r="AE38" s="224" t="n">
        <v>23600</v>
      </c>
      <c r="AF38" s="224" t="n">
        <f aca="false">(AG38+AH38)-(AG37+AH37)</f>
        <v>85.7299999999996</v>
      </c>
      <c r="AG38" s="191" t="n">
        <v>4213.54</v>
      </c>
      <c r="AH38" s="191" t="n">
        <v>1219.24</v>
      </c>
    </row>
    <row r="39" customFormat="false" ht="11.1" hidden="false" customHeight="true" outlineLevel="0" collapsed="false">
      <c r="A39" s="204" t="n">
        <v>30</v>
      </c>
      <c r="B39" s="222" t="n">
        <v>6896.85</v>
      </c>
      <c r="C39" s="199" t="n">
        <v>272105</v>
      </c>
      <c r="D39" s="203" t="n">
        <f aca="false">C39-C38</f>
        <v>-179</v>
      </c>
      <c r="E39" s="199" t="n">
        <f aca="false">C39-152000</f>
        <v>120105</v>
      </c>
      <c r="F39" s="198" t="n">
        <f aca="false">D39/$D$2</f>
        <v>-90.2672718103883</v>
      </c>
      <c r="G39" s="198" t="n">
        <v>151</v>
      </c>
      <c r="H39" s="200" t="n">
        <v>0</v>
      </c>
      <c r="I39" s="198" t="n">
        <f aca="false">G39+H39</f>
        <v>151</v>
      </c>
      <c r="J39" s="223" t="n">
        <f aca="false">IF(L39&gt;0,L39,0)</f>
        <v>55.0499445284922</v>
      </c>
      <c r="K39" s="198" t="n">
        <f aca="false">I39+J39</f>
        <v>206.049944528492</v>
      </c>
      <c r="L39" s="198" t="n">
        <f aca="false">F39-(I39-W39)</f>
        <v>55.0499445284922</v>
      </c>
      <c r="M39" s="198" t="n">
        <v>138</v>
      </c>
      <c r="N39" s="198" t="n">
        <f aca="false">(AF39*1.05)/$D$2</f>
        <v>23.2662632375187</v>
      </c>
      <c r="O39" s="198" t="n">
        <f aca="false">M39-N39</f>
        <v>114.733736762481</v>
      </c>
      <c r="P39" s="198" t="n">
        <v>52.4</v>
      </c>
      <c r="Q39" s="198" t="n">
        <f aca="false">(AE39-AE38)/$D$2</f>
        <v>51.4372163388805</v>
      </c>
      <c r="R39" s="198" t="n">
        <f aca="false">SUM(O39:Q39)</f>
        <v>218.570953101362</v>
      </c>
      <c r="S39" s="199" t="n">
        <f aca="false">(I39-R39)+S38</f>
        <v>-24802.6958093797</v>
      </c>
      <c r="T39" s="198" t="n">
        <f aca="false">(AD39-AD38)/$D$2</f>
        <v>0</v>
      </c>
      <c r="U39" s="198" t="n">
        <v>54.48</v>
      </c>
      <c r="V39" s="199" t="n">
        <f aca="false">V38-U39</f>
        <v>1399.59</v>
      </c>
      <c r="W39" s="198" t="n">
        <f aca="false">R39+T39+N39+U39</f>
        <v>296.31721633888</v>
      </c>
      <c r="X39" s="198" t="n">
        <f aca="false">IF(L39&lt;0,L39*-1,0)</f>
        <v>0</v>
      </c>
      <c r="Y39" s="198" t="n">
        <f aca="false">W39+X39</f>
        <v>296.31721633888</v>
      </c>
      <c r="Z39" s="202" t="n">
        <v>0.56</v>
      </c>
      <c r="AA39" s="232" t="n">
        <v>75</v>
      </c>
      <c r="AB39" s="203" t="n">
        <v>48</v>
      </c>
      <c r="AC39" s="204" t="n">
        <v>30</v>
      </c>
      <c r="AD39" s="220" t="n">
        <v>40788</v>
      </c>
      <c r="AE39" s="224" t="n">
        <v>23702</v>
      </c>
      <c r="AF39" s="224" t="n">
        <f aca="false">(AG39+AH39)-(AG38+AH38)</f>
        <v>43.9399999999996</v>
      </c>
      <c r="AG39" s="191" t="n">
        <v>4236.19</v>
      </c>
      <c r="AH39" s="191" t="n">
        <v>1240.53</v>
      </c>
    </row>
    <row r="40" customFormat="false" ht="3" hidden="false" customHeight="true" outlineLevel="0" collapsed="false">
      <c r="A40" s="225"/>
      <c r="B40" s="225"/>
      <c r="C40" s="227"/>
      <c r="D40" s="225"/>
      <c r="E40" s="227"/>
      <c r="F40" s="225"/>
      <c r="G40" s="225"/>
      <c r="H40" s="228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7"/>
      <c r="T40" s="225"/>
      <c r="U40" s="225"/>
      <c r="V40" s="225"/>
      <c r="W40" s="225"/>
      <c r="X40" s="225"/>
      <c r="Y40" s="225"/>
      <c r="Z40" s="229"/>
      <c r="AA40" s="230" t="n">
        <v>73</v>
      </c>
      <c r="AB40" s="230"/>
      <c r="AC40" s="231"/>
      <c r="AD40" s="220"/>
      <c r="AE40" s="220"/>
      <c r="AF40" s="221"/>
    </row>
    <row r="41" customFormat="false" ht="11.1" hidden="false" customHeight="true" outlineLevel="0" collapsed="false">
      <c r="A41" s="198" t="s">
        <v>44</v>
      </c>
      <c r="B41" s="198"/>
      <c r="C41" s="199"/>
      <c r="D41" s="199"/>
      <c r="E41" s="199"/>
      <c r="F41" s="199" t="n">
        <f aca="false">SUM(F10:F39)</f>
        <v>-9347.45335350479</v>
      </c>
      <c r="G41" s="199" t="n">
        <f aca="false">SUM(G10:G39)</f>
        <v>3468.02</v>
      </c>
      <c r="H41" s="199" t="n">
        <f aca="false">SUM(H10:H39)</f>
        <v>0</v>
      </c>
      <c r="I41" s="199" t="n">
        <f aca="false">SUM(I10:I39)</f>
        <v>3372.12</v>
      </c>
      <c r="J41" s="199" t="n">
        <f aca="false">SUM(J10:J39)</f>
        <v>1211.7413867877</v>
      </c>
      <c r="K41" s="199" t="n">
        <f aca="false">SUM(K10:K39)</f>
        <v>4583.8613867877</v>
      </c>
      <c r="L41" s="199" t="n">
        <f aca="false">SUM(L10:L39)</f>
        <v>746.33490670701</v>
      </c>
      <c r="M41" s="199" t="n">
        <f aca="false">SUM(M10:M39)</f>
        <v>4566.83</v>
      </c>
      <c r="N41" s="199" t="n">
        <f aca="false">SUM(N10:N39)</f>
        <v>567.931921331316</v>
      </c>
      <c r="O41" s="199" t="n">
        <f aca="false">SUM(O10:O39)</f>
        <v>4074.77807866868</v>
      </c>
      <c r="P41" s="199" t="n">
        <f aca="false">SUM(P10:P39)</f>
        <v>3293.14</v>
      </c>
      <c r="Q41" s="199" t="n">
        <f aca="false">SUM(Q10:Q39)</f>
        <v>1940.494200706</v>
      </c>
      <c r="R41" s="199" t="n">
        <f aca="false">SUM(R10:R39)</f>
        <v>9308.41227937468</v>
      </c>
      <c r="S41" s="199"/>
      <c r="T41" s="199" t="n">
        <f aca="false">SUM(T10:T39)</f>
        <v>1841.6540595058</v>
      </c>
      <c r="U41" s="199" t="n">
        <f aca="false">SUM(U10:U39)</f>
        <v>1747.91</v>
      </c>
      <c r="V41" s="199"/>
      <c r="W41" s="199" t="n">
        <f aca="false">SUM(W10:W39)</f>
        <v>13465.9082602118</v>
      </c>
      <c r="X41" s="199" t="n">
        <f aca="false">SUM(X10:X39)</f>
        <v>465.406480080686</v>
      </c>
      <c r="Y41" s="199" t="n">
        <f aca="false">SUM(Y10:Y39)</f>
        <v>13931.3147402925</v>
      </c>
      <c r="Z41" s="202" t="n">
        <f aca="false">SUM(Z10:Z39)</f>
        <v>2.91</v>
      </c>
      <c r="AA41" s="203" t="n">
        <f aca="false">AVERAGE(AA10:AA39)</f>
        <v>77.0666666666667</v>
      </c>
      <c r="AB41" s="203" t="n">
        <f aca="false">AVERAGE(AB10:AB39)</f>
        <v>47.6333333333333</v>
      </c>
      <c r="AC41" s="204"/>
      <c r="AD41" s="220"/>
      <c r="AE41" s="220" t="n">
        <v>23913</v>
      </c>
      <c r="AF41" s="221"/>
      <c r="AG41" s="191" t="n">
        <v>4243.06</v>
      </c>
      <c r="AH41" s="191" t="n">
        <v>1240.99</v>
      </c>
    </row>
    <row r="42" customFormat="false" ht="11.1" hidden="false" customHeight="true" outlineLevel="0" collapsed="false">
      <c r="A42" s="198" t="s">
        <v>45</v>
      </c>
      <c r="B42" s="198"/>
      <c r="C42" s="199"/>
      <c r="D42" s="199" t="n">
        <f aca="false">SUM(D10:D39)</f>
        <v>-18536</v>
      </c>
      <c r="E42" s="199"/>
      <c r="F42" s="199" t="n">
        <f aca="false">F41*$D$2</f>
        <v>-18536</v>
      </c>
      <c r="G42" s="199" t="n">
        <f aca="false">G41*$D$2</f>
        <v>6877.08366</v>
      </c>
      <c r="H42" s="199" t="n">
        <f aca="false">H41*$D$2</f>
        <v>0</v>
      </c>
      <c r="I42" s="199" t="n">
        <f aca="false">I41*$D$2</f>
        <v>6686.91396</v>
      </c>
      <c r="J42" s="199" t="n">
        <f aca="false">J41*$D$2</f>
        <v>2402.88317</v>
      </c>
      <c r="K42" s="199" t="n">
        <f aca="false">K41*$D$2</f>
        <v>9089.79713</v>
      </c>
      <c r="L42" s="199" t="n">
        <f aca="false">L41*$D$2</f>
        <v>1479.98212</v>
      </c>
      <c r="M42" s="199" t="n">
        <f aca="false">M41*$D$2</f>
        <v>9056.02389</v>
      </c>
      <c r="N42" s="199" t="n">
        <f aca="false">N41*$D$2</f>
        <v>1126.209</v>
      </c>
      <c r="O42" s="199" t="n">
        <f aca="false">O41*$D$2</f>
        <v>8080.28493</v>
      </c>
      <c r="P42" s="199" t="n">
        <f aca="false">P41*$D$2</f>
        <v>6530.29662</v>
      </c>
      <c r="Q42" s="199" t="n">
        <f aca="false">Q41*$D$2</f>
        <v>3848</v>
      </c>
      <c r="R42" s="199" t="n">
        <f aca="false">R41*$D$2</f>
        <v>18458.58155</v>
      </c>
      <c r="S42" s="199"/>
      <c r="T42" s="199" t="n">
        <f aca="false">T41*$D$2</f>
        <v>3652</v>
      </c>
      <c r="U42" s="199" t="n">
        <f aca="false">U41*$D$2</f>
        <v>3466.10553</v>
      </c>
      <c r="V42" s="199" t="n">
        <f aca="false">V41*$D$2</f>
        <v>0</v>
      </c>
      <c r="W42" s="199" t="n">
        <f aca="false">W41*$D$2</f>
        <v>26702.89608</v>
      </c>
      <c r="X42" s="199" t="n">
        <f aca="false">X41*$D$2</f>
        <v>922.90105</v>
      </c>
      <c r="Y42" s="199" t="n">
        <f aca="false">Y41*$D$2</f>
        <v>27625.79713</v>
      </c>
      <c r="Z42" s="202"/>
      <c r="AA42" s="203" t="n">
        <f aca="false">MAX(AA10:AA39)</f>
        <v>84</v>
      </c>
      <c r="AB42" s="203" t="n">
        <f aca="false">MAX(AB10:AB39)</f>
        <v>56</v>
      </c>
      <c r="AC42" s="204" t="s">
        <v>46</v>
      </c>
      <c r="AD42" s="220"/>
      <c r="AE42" s="220"/>
      <c r="AF42" s="221"/>
    </row>
    <row r="43" customFormat="false" ht="3" hidden="false" customHeight="true" outlineLevel="0" collapsed="false">
      <c r="A43" s="225"/>
      <c r="B43" s="225"/>
      <c r="C43" s="227"/>
      <c r="D43" s="227"/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5"/>
      <c r="W43" s="227"/>
      <c r="X43" s="227"/>
      <c r="Y43" s="227"/>
      <c r="Z43" s="202"/>
      <c r="AA43" s="203"/>
      <c r="AB43" s="203"/>
      <c r="AC43" s="204"/>
      <c r="AD43" s="220"/>
      <c r="AE43" s="220"/>
      <c r="AF43" s="221"/>
    </row>
    <row r="44" customFormat="false" ht="11.1" hidden="false" customHeight="true" outlineLevel="0" collapsed="false">
      <c r="A44" s="198" t="s">
        <v>47</v>
      </c>
      <c r="B44" s="198"/>
      <c r="C44" s="199"/>
      <c r="D44" s="199"/>
      <c r="E44" s="199"/>
      <c r="F44" s="199" t="n">
        <f aca="false">F7+F41</f>
        <v>-27442.7634896621</v>
      </c>
      <c r="G44" s="199" t="n">
        <f aca="false">G7+G41</f>
        <v>95185.22</v>
      </c>
      <c r="H44" s="199" t="n">
        <f aca="false">H7+H41</f>
        <v>6256.88</v>
      </c>
      <c r="I44" s="199" t="n">
        <f aca="false">I7+I41</f>
        <v>101257.4</v>
      </c>
      <c r="J44" s="199" t="n">
        <f aca="false">J7+J41</f>
        <v>27557.6423550177</v>
      </c>
      <c r="K44" s="199" t="n">
        <f aca="false">K7+K41</f>
        <v>128815.042355018</v>
      </c>
      <c r="L44" s="199" t="n">
        <f aca="false">L7+L41</f>
        <v>24423.9811548159</v>
      </c>
      <c r="M44" s="199" t="n">
        <f aca="false">M7+M41</f>
        <v>37477.33</v>
      </c>
      <c r="N44" s="199" t="n">
        <f aca="false">N7+N41</f>
        <v>4146.34462934947</v>
      </c>
      <c r="O44" s="199" t="n">
        <f aca="false">O7+O41</f>
        <v>33406.8653706505</v>
      </c>
      <c r="P44" s="199" t="n">
        <f aca="false">P7+P41</f>
        <v>21032.37</v>
      </c>
      <c r="Q44" s="199" t="n">
        <f aca="false">Q7+Q41</f>
        <v>11958.5011800303</v>
      </c>
      <c r="R44" s="199" t="n">
        <f aca="false">R7+R41</f>
        <v>66397.7365506808</v>
      </c>
      <c r="S44" s="199" t="n">
        <f aca="false">S39</f>
        <v>-24802.6958093797</v>
      </c>
      <c r="T44" s="199" t="n">
        <f aca="false">T7+T41</f>
        <v>20597.1134644478</v>
      </c>
      <c r="U44" s="199" t="n">
        <f aca="false">U7+U41</f>
        <v>61982.95</v>
      </c>
      <c r="V44" s="199"/>
      <c r="W44" s="199" t="n">
        <f aca="false">W7+W41</f>
        <v>153124.144644478</v>
      </c>
      <c r="X44" s="199" t="n">
        <f aca="false">X7+X41</f>
        <v>3133.68120020171</v>
      </c>
      <c r="Y44" s="199" t="n">
        <f aca="false">Y7+Y41</f>
        <v>156257.82584468</v>
      </c>
      <c r="Z44" s="202"/>
      <c r="AA44" s="203" t="n">
        <f aca="false">MIN(AA10:AA39)</f>
        <v>63</v>
      </c>
      <c r="AB44" s="203" t="n">
        <f aca="false">MIN(AB10:AB39)</f>
        <v>36</v>
      </c>
      <c r="AC44" s="204" t="s">
        <v>48</v>
      </c>
      <c r="AD44" s="220"/>
      <c r="AE44" s="220"/>
      <c r="AF44" s="221"/>
    </row>
    <row r="45" customFormat="false" ht="11.1" hidden="false" customHeight="true" outlineLevel="0" collapsed="false">
      <c r="A45" s="198" t="s">
        <v>49</v>
      </c>
      <c r="B45" s="198"/>
      <c r="C45" s="199"/>
      <c r="D45" s="199"/>
      <c r="E45" s="199"/>
      <c r="F45" s="199" t="n">
        <f aca="false">F44*$D$2</f>
        <v>-54419</v>
      </c>
      <c r="G45" s="199" t="n">
        <f aca="false">G44*$D$2</f>
        <v>188752.29126</v>
      </c>
      <c r="H45" s="199" t="n">
        <f aca="false">H44*$D$2</f>
        <v>12407.39304</v>
      </c>
      <c r="I45" s="199" t="n">
        <f aca="false">I44*$D$2</f>
        <v>200793.4242</v>
      </c>
      <c r="J45" s="199" t="n">
        <f aca="false">J44*$D$2</f>
        <v>54646.80479</v>
      </c>
      <c r="K45" s="199" t="n">
        <f aca="false">K44*$D$2</f>
        <v>255440.22899</v>
      </c>
      <c r="L45" s="199" t="n">
        <f aca="false">L44*$D$2</f>
        <v>48432.75463</v>
      </c>
      <c r="M45" s="199" t="n">
        <f aca="false">M44*$D$2</f>
        <v>74317.54539</v>
      </c>
      <c r="N45" s="199" t="n">
        <f aca="false">N44*$D$2</f>
        <v>8222.2014</v>
      </c>
      <c r="O45" s="199" t="n">
        <f aca="false">O44*$D$2</f>
        <v>66245.81403</v>
      </c>
      <c r="P45" s="199" t="n">
        <f aca="false">P44*$D$2</f>
        <v>41707.18971</v>
      </c>
      <c r="Q45" s="199" t="n">
        <f aca="false">Q44*$D$2</f>
        <v>23713.70784</v>
      </c>
      <c r="R45" s="199" t="n">
        <f aca="false">R44*$D$2</f>
        <v>131666.71158</v>
      </c>
      <c r="S45" s="199" t="n">
        <f aca="false">S44*$D$2</f>
        <v>-49183.74579</v>
      </c>
      <c r="T45" s="199" t="n">
        <f aca="false">T44*$D$2</f>
        <v>40844.076</v>
      </c>
      <c r="U45" s="199" t="n">
        <f aca="false">U44*$D$2</f>
        <v>122912.18985</v>
      </c>
      <c r="V45" s="199" t="n">
        <f aca="false">V44*$D$2</f>
        <v>0</v>
      </c>
      <c r="W45" s="199" t="n">
        <f aca="false">W44*$D$2</f>
        <v>303645.17883</v>
      </c>
      <c r="X45" s="199" t="n">
        <f aca="false">X44*$D$2</f>
        <v>6214.08982</v>
      </c>
      <c r="Y45" s="199" t="n">
        <f aca="false">Y44*$D$2</f>
        <v>309859.26865</v>
      </c>
      <c r="Z45" s="202"/>
      <c r="AA45" s="203"/>
      <c r="AB45" s="203"/>
      <c r="AC45" s="204"/>
      <c r="AD45" s="220"/>
      <c r="AE45" s="220"/>
      <c r="AF45" s="221"/>
    </row>
    <row r="46" customFormat="false" ht="3" hidden="false" customHeight="true" outlineLevel="0" collapsed="false">
      <c r="A46" s="225"/>
      <c r="B46" s="225"/>
      <c r="C46" s="227"/>
      <c r="D46" s="227"/>
      <c r="E46" s="227"/>
      <c r="F46" s="227"/>
      <c r="G46" s="227"/>
      <c r="H46" s="230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9"/>
      <c r="AA46" s="203"/>
      <c r="AB46" s="203"/>
      <c r="AC46" s="204"/>
      <c r="AD46" s="220"/>
      <c r="AE46" s="220"/>
      <c r="AF46" s="221"/>
    </row>
    <row r="47" customFormat="false" ht="11.1" hidden="false" customHeight="true" outlineLevel="0" collapsed="false">
      <c r="A47" s="198" t="s">
        <v>50</v>
      </c>
      <c r="B47" s="198"/>
      <c r="C47" s="199"/>
      <c r="D47" s="199"/>
      <c r="E47" s="199"/>
      <c r="F47" s="199" t="n">
        <f aca="false">F8+F41</f>
        <v>-19456.3792233989</v>
      </c>
      <c r="G47" s="199" t="n">
        <f aca="false">G8+G41</f>
        <v>107834.696449824</v>
      </c>
      <c r="H47" s="203" t="n">
        <f aca="false">H8+H41</f>
        <v>6256.88</v>
      </c>
      <c r="I47" s="199" t="n">
        <f aca="false">I8+I41</f>
        <v>113906.067876954</v>
      </c>
      <c r="J47" s="199" t="n">
        <f aca="false">J8+J41</f>
        <v>29531.3552546647</v>
      </c>
      <c r="K47" s="199" t="n">
        <f aca="false">K8+K41</f>
        <v>143437.423131619</v>
      </c>
      <c r="L47" s="199" t="n">
        <f aca="false">L8+L41</f>
        <v>25930.0175441251</v>
      </c>
      <c r="M47" s="199" t="n">
        <f aca="false">M8+M41</f>
        <v>38389.57</v>
      </c>
      <c r="N47" s="199" t="n">
        <f aca="false">N8+N41</f>
        <v>4146.34462934947</v>
      </c>
      <c r="O47" s="199" t="n">
        <f aca="false">O8+O41</f>
        <v>34319.1053706505</v>
      </c>
      <c r="P47" s="199" t="n">
        <f aca="false">P8+P41</f>
        <v>21032.37</v>
      </c>
      <c r="Q47" s="199" t="n">
        <f aca="false">Q8+Q41</f>
        <v>11958.5011800303</v>
      </c>
      <c r="R47" s="199" t="n">
        <f aca="false">R8+R41</f>
        <v>67309.9765506808</v>
      </c>
      <c r="S47" s="199"/>
      <c r="T47" s="199" t="n">
        <f aca="false">T8+T41</f>
        <v>20597.1134644478</v>
      </c>
      <c r="U47" s="199" t="n">
        <f aca="false">U8+U41</f>
        <v>67246.36</v>
      </c>
      <c r="V47" s="199" t="n">
        <f aca="false">V39</f>
        <v>1399.59</v>
      </c>
      <c r="W47" s="199" t="n">
        <f aca="false">W8+W41</f>
        <v>159299.794644478</v>
      </c>
      <c r="X47" s="199" t="n">
        <f aca="false">X8+X41</f>
        <v>3623.46896116994</v>
      </c>
      <c r="Y47" s="199" t="n">
        <f aca="false">Y8+Y41</f>
        <v>162923.263605648</v>
      </c>
      <c r="Z47" s="223" t="n">
        <f aca="false">Z8+Z41</f>
        <v>13.08</v>
      </c>
      <c r="AA47" s="203"/>
      <c r="AB47" s="203"/>
      <c r="AC47" s="204"/>
      <c r="AD47" s="220"/>
      <c r="AE47" s="220"/>
      <c r="AF47" s="221"/>
    </row>
    <row r="48" customFormat="false" ht="11.1" hidden="false" customHeight="true" outlineLevel="0" collapsed="false">
      <c r="A48" s="198" t="s">
        <v>51</v>
      </c>
      <c r="B48" s="198"/>
      <c r="C48" s="199"/>
      <c r="D48" s="199" t="n">
        <f aca="false">D8+D42</f>
        <v>-38582</v>
      </c>
      <c r="E48" s="199" t="n">
        <f aca="false">E30</f>
        <v>124552</v>
      </c>
      <c r="F48" s="199" t="n">
        <f aca="false">F47*$D$2</f>
        <v>-38582</v>
      </c>
      <c r="G48" s="199" t="n">
        <f aca="false">G47*$D$2</f>
        <v>213836.20306</v>
      </c>
      <c r="H48" s="203" t="n">
        <f aca="false">H47*$D$2</f>
        <v>12407.39304</v>
      </c>
      <c r="I48" s="199" t="n">
        <f aca="false">I47*$D$2</f>
        <v>225875.7326</v>
      </c>
      <c r="J48" s="199" t="n">
        <f aca="false">J47*$D$2</f>
        <v>58560.67747</v>
      </c>
      <c r="K48" s="199" t="n">
        <f aca="false">K47*$D$2</f>
        <v>284436.41007</v>
      </c>
      <c r="L48" s="199" t="n">
        <f aca="false">L47*$D$2</f>
        <v>51419.22479</v>
      </c>
      <c r="M48" s="199" t="n">
        <f aca="false">M47*$D$2</f>
        <v>76126.51731</v>
      </c>
      <c r="N48" s="199" t="n">
        <f aca="false">N47*$D$2</f>
        <v>8222.2014</v>
      </c>
      <c r="O48" s="199" t="n">
        <f aca="false">O47*$D$2</f>
        <v>68054.78595</v>
      </c>
      <c r="P48" s="199" t="n">
        <f aca="false">P47*$D$2</f>
        <v>41707.18971</v>
      </c>
      <c r="Q48" s="199" t="n">
        <f aca="false">Q47*$D$2</f>
        <v>23713.70784</v>
      </c>
      <c r="R48" s="199" t="n">
        <f aca="false">R47*$D$2</f>
        <v>133475.6835</v>
      </c>
      <c r="S48" s="199" t="n">
        <f aca="false">S47*$D$2</f>
        <v>0</v>
      </c>
      <c r="T48" s="199" t="n">
        <f aca="false">T47*$D$2</f>
        <v>40844.076</v>
      </c>
      <c r="U48" s="199" t="n">
        <f aca="false">U47*$D$2</f>
        <v>133349.53188</v>
      </c>
      <c r="V48" s="199" t="n">
        <f aca="false">V47*$D$2</f>
        <v>2775.38697</v>
      </c>
      <c r="W48" s="199" t="n">
        <f aca="false">W47*$D$2</f>
        <v>315891.49278</v>
      </c>
      <c r="X48" s="199" t="n">
        <f aca="false">X47*$D$2</f>
        <v>7185.33895</v>
      </c>
      <c r="Y48" s="199" t="n">
        <f aca="false">Y47*$D$2</f>
        <v>323076.83173</v>
      </c>
      <c r="Z48" s="202"/>
      <c r="AA48" s="203"/>
      <c r="AB48" s="203"/>
      <c r="AC48" s="204"/>
      <c r="AD48" s="220"/>
      <c r="AE48" s="220"/>
      <c r="AF48" s="221"/>
    </row>
    <row r="49" customFormat="false" ht="3" hidden="false" customHeight="true" outlineLevel="0" collapsed="false">
      <c r="A49" s="225"/>
      <c r="B49" s="225"/>
      <c r="C49" s="227"/>
      <c r="D49" s="225"/>
      <c r="E49" s="227"/>
      <c r="F49" s="225"/>
      <c r="G49" s="225"/>
      <c r="H49" s="228"/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7"/>
      <c r="T49" s="225"/>
      <c r="U49" s="225"/>
      <c r="V49" s="227"/>
      <c r="W49" s="225"/>
      <c r="X49" s="225"/>
      <c r="Y49" s="225"/>
      <c r="Z49" s="202"/>
      <c r="AA49" s="203"/>
      <c r="AB49" s="203"/>
      <c r="AC49" s="204"/>
      <c r="AD49" s="220"/>
      <c r="AE49" s="220"/>
      <c r="AF49" s="221"/>
    </row>
    <row r="50" customFormat="false" ht="11.1" hidden="false" customHeight="true" outlineLevel="0" collapsed="false">
      <c r="A50" s="234" t="str">
        <f aca="false">"OCT /13"</f>
        <v>OCT /13</v>
      </c>
      <c r="B50" s="235"/>
      <c r="C50" s="199"/>
      <c r="D50" s="198"/>
      <c r="E50" s="199"/>
      <c r="F50" s="198"/>
      <c r="G50" s="198"/>
      <c r="H50" s="200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9"/>
      <c r="T50" s="198"/>
      <c r="U50" s="198"/>
      <c r="V50" s="199"/>
      <c r="W50" s="198"/>
      <c r="X50" s="198"/>
      <c r="Y50" s="198"/>
      <c r="Z50" s="202"/>
      <c r="AA50" s="203"/>
      <c r="AB50" s="203"/>
      <c r="AC50" s="204"/>
      <c r="AD50" s="205"/>
      <c r="AE50" s="205"/>
    </row>
    <row r="51" customFormat="false" ht="11.1" hidden="false" customHeight="true" outlineLevel="0" collapsed="false">
      <c r="A51" s="198"/>
      <c r="B51" s="222" t="n">
        <v>6896.03</v>
      </c>
      <c r="C51" s="199" t="n">
        <v>269162</v>
      </c>
      <c r="D51" s="232"/>
      <c r="E51" s="199" t="n">
        <f aca="false">C51-152000</f>
        <v>117162</v>
      </c>
      <c r="F51" s="198"/>
      <c r="G51" s="198"/>
      <c r="H51" s="232"/>
      <c r="I51" s="200"/>
      <c r="J51" s="198"/>
      <c r="K51" s="41"/>
      <c r="L51" s="198"/>
      <c r="M51" s="198"/>
      <c r="N51" s="198"/>
      <c r="O51" s="198"/>
      <c r="P51" s="198"/>
      <c r="Q51" s="198"/>
      <c r="R51" s="198"/>
      <c r="S51" s="199"/>
      <c r="T51" s="232" t="s">
        <v>95</v>
      </c>
      <c r="V51" s="199"/>
      <c r="W51" s="198"/>
      <c r="X51" s="198"/>
      <c r="Y51" s="198"/>
      <c r="Z51" s="202"/>
      <c r="AA51" s="203"/>
      <c r="AB51" s="203"/>
      <c r="AC51" s="204"/>
      <c r="AD51" s="205"/>
      <c r="AE51" s="205"/>
    </row>
    <row r="52" customFormat="false" ht="11.1" hidden="false" customHeight="true" outlineLevel="0" collapsed="false">
      <c r="A52" s="232" t="str">
        <f aca="false">"9/8/94 thru10/13/94"</f>
        <v>9/8/94 thru10/13/94</v>
      </c>
      <c r="B52" s="232"/>
      <c r="C52" s="199"/>
      <c r="D52" s="199"/>
      <c r="E52" s="199"/>
      <c r="F52" s="232"/>
      <c r="G52" s="232"/>
      <c r="H52" s="200"/>
      <c r="I52" s="232"/>
      <c r="J52" s="232"/>
      <c r="K52" s="232"/>
      <c r="L52" s="232"/>
      <c r="M52" s="223"/>
      <c r="N52" s="223"/>
      <c r="O52" s="223"/>
      <c r="P52" s="232"/>
      <c r="Q52" s="232"/>
      <c r="R52" s="232"/>
      <c r="S52" s="199"/>
      <c r="T52" s="232" t="s">
        <v>96</v>
      </c>
      <c r="V52" s="199"/>
      <c r="W52" s="232"/>
      <c r="X52" s="232"/>
      <c r="Y52" s="232"/>
      <c r="Z52" s="202"/>
      <c r="AA52" s="203"/>
      <c r="AB52" s="203"/>
      <c r="AC52" s="204"/>
      <c r="AD52" s="236"/>
      <c r="AE52" s="236"/>
    </row>
    <row r="53" customFormat="false" ht="11.1" hidden="false" customHeight="true" outlineLevel="0" collapsed="false">
      <c r="A53" s="232"/>
      <c r="B53" s="202" t="n">
        <f aca="false">B51-B17</f>
        <v>-4.03000000000066</v>
      </c>
      <c r="C53" s="199"/>
      <c r="D53" s="199" t="n">
        <f aca="false">C51-C17</f>
        <v>-14640</v>
      </c>
      <c r="E53" s="199"/>
      <c r="F53" s="232"/>
      <c r="G53" s="232"/>
      <c r="H53" s="200"/>
      <c r="I53" s="232"/>
      <c r="J53" s="232"/>
      <c r="K53" s="232"/>
      <c r="L53" s="232"/>
      <c r="M53" s="223"/>
      <c r="N53" s="223"/>
      <c r="O53" s="223"/>
      <c r="P53" s="232"/>
      <c r="Q53" s="232"/>
      <c r="R53" s="232"/>
      <c r="S53" s="199"/>
      <c r="T53" s="232" t="s">
        <v>97</v>
      </c>
      <c r="V53" s="199"/>
      <c r="W53" s="232"/>
      <c r="X53" s="232"/>
      <c r="Y53" s="232"/>
      <c r="Z53" s="202"/>
      <c r="AA53" s="203"/>
      <c r="AB53" s="203"/>
      <c r="AC53" s="204"/>
      <c r="AD53" s="236"/>
      <c r="AE53" s="236"/>
    </row>
    <row r="54" customFormat="false" ht="11.1" hidden="false" customHeight="true" outlineLevel="0" collapsed="false">
      <c r="A54" s="232"/>
      <c r="B54" s="232"/>
      <c r="C54" s="199"/>
      <c r="D54" s="232"/>
      <c r="E54" s="199"/>
      <c r="F54" s="232"/>
      <c r="G54" s="237"/>
      <c r="H54" s="200"/>
      <c r="I54" s="232"/>
      <c r="J54" s="232"/>
      <c r="K54" s="232"/>
      <c r="L54" s="232"/>
      <c r="M54" s="223"/>
      <c r="N54" s="223"/>
      <c r="O54" s="223"/>
      <c r="P54" s="232"/>
      <c r="Q54" s="232"/>
      <c r="R54" s="232"/>
      <c r="S54" s="199"/>
      <c r="T54" s="232"/>
      <c r="V54" s="199"/>
      <c r="W54" s="232"/>
      <c r="X54" s="232"/>
      <c r="Y54" s="232"/>
      <c r="Z54" s="202"/>
      <c r="AA54" s="203"/>
      <c r="AB54" s="203"/>
      <c r="AC54" s="204"/>
      <c r="AD54" s="236"/>
      <c r="AE54" s="236"/>
    </row>
  </sheetData>
  <mergeCells count="3">
    <mergeCell ref="K2:T2"/>
    <mergeCell ref="M4:O4"/>
    <mergeCell ref="AG5:AH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5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pane xSplit="2" ySplit="6" topLeftCell="M10" activePane="bottomRight" state="frozen"/>
      <selection pane="topLeft" activeCell="A4" activeCellId="0" sqref="A4"/>
      <selection pane="topRight" activeCell="M4" activeCellId="0" sqref="M4"/>
      <selection pane="bottomLeft" activeCell="A10" activeCellId="0" sqref="A10"/>
      <selection pane="bottomRight" activeCell="Z9" activeCellId="0" sqref="Z9"/>
    </sheetView>
  </sheetViews>
  <sheetFormatPr defaultColWidth="9.328125" defaultRowHeight="11.1" zeroHeight="false" outlineLevelRow="0" outlineLevelCol="0"/>
  <cols>
    <col collapsed="false" customWidth="true" hidden="false" outlineLevel="0" max="1" min="1" style="238" width="5.66"/>
    <col collapsed="false" customWidth="false" hidden="false" outlineLevel="0" max="2" min="2" style="238" width="9.32"/>
    <col collapsed="false" customWidth="true" hidden="false" outlineLevel="0" max="3" min="3" style="239" width="7.66"/>
    <col collapsed="false" customWidth="true" hidden="false" outlineLevel="0" max="4" min="4" style="238" width="7.66"/>
    <col collapsed="false" customWidth="true" hidden="false" outlineLevel="0" max="5" min="5" style="239" width="7.66"/>
    <col collapsed="false" customWidth="true" hidden="false" outlineLevel="0" max="7" min="6" style="238" width="7.66"/>
    <col collapsed="false" customWidth="true" hidden="false" outlineLevel="0" max="8" min="8" style="240" width="7.16"/>
    <col collapsed="false" customWidth="true" hidden="false" outlineLevel="0" max="9" min="9" style="238" width="8.82"/>
    <col collapsed="false" customWidth="true" hidden="false" outlineLevel="0" max="11" min="10" style="238" width="7.66"/>
    <col collapsed="false" customWidth="true" hidden="false" outlineLevel="0" max="12" min="12" style="238" width="6.49"/>
    <col collapsed="false" customWidth="true" hidden="false" outlineLevel="0" max="15" min="13" style="241" width="7.49"/>
    <col collapsed="false" customWidth="true" hidden="false" outlineLevel="0" max="16" min="16" style="238" width="7.66"/>
    <col collapsed="false" customWidth="true" hidden="false" outlineLevel="0" max="17" min="17" style="238" width="7.16"/>
    <col collapsed="false" customWidth="true" hidden="false" outlineLevel="0" max="18" min="18" style="238" width="7.66"/>
    <col collapsed="false" customWidth="true" hidden="false" outlineLevel="0" max="19" min="19" style="239" width="7.66"/>
    <col collapsed="false" customWidth="true" hidden="false" outlineLevel="0" max="20" min="20" style="238" width="7.66"/>
    <col collapsed="false" customWidth="true" hidden="false" outlineLevel="0" max="21" min="21" style="238" width="7.49"/>
    <col collapsed="false" customWidth="true" hidden="false" outlineLevel="0" max="22" min="22" style="239" width="6.32"/>
    <col collapsed="false" customWidth="true" hidden="false" outlineLevel="0" max="25" min="23" style="238" width="7.82"/>
    <col collapsed="false" customWidth="true" hidden="false" outlineLevel="0" max="26" min="26" style="242" width="5.66"/>
    <col collapsed="false" customWidth="true" hidden="false" outlineLevel="0" max="28" min="27" style="243" width="5.66"/>
    <col collapsed="false" customWidth="true" hidden="false" outlineLevel="0" max="29" min="29" style="244" width="5.66"/>
    <col collapsed="false" customWidth="false" hidden="false" outlineLevel="0" max="257" min="30" style="238" width="9.32"/>
  </cols>
  <sheetData>
    <row r="1" customFormat="false" ht="14.1" hidden="false" customHeight="true" outlineLevel="0" collapsed="false">
      <c r="A1" s="245"/>
      <c r="B1" s="245"/>
      <c r="C1" s="246"/>
      <c r="D1" s="245"/>
      <c r="E1" s="246"/>
      <c r="F1" s="245"/>
      <c r="G1" s="245"/>
      <c r="H1" s="247"/>
      <c r="I1" s="245"/>
      <c r="J1" s="245"/>
      <c r="K1" s="248" t="s">
        <v>0</v>
      </c>
      <c r="L1" s="245"/>
      <c r="M1" s="245"/>
      <c r="N1" s="245"/>
      <c r="O1" s="245"/>
      <c r="P1" s="245"/>
      <c r="Q1" s="245"/>
      <c r="R1" s="245"/>
      <c r="S1" s="246"/>
      <c r="T1" s="245"/>
      <c r="U1" s="245"/>
      <c r="V1" s="246"/>
      <c r="W1" s="245"/>
      <c r="X1" s="245"/>
      <c r="Y1" s="245"/>
      <c r="Z1" s="249"/>
      <c r="AA1" s="250"/>
      <c r="AB1" s="250"/>
      <c r="AC1" s="251"/>
      <c r="AD1" s="252"/>
      <c r="AE1" s="252"/>
    </row>
    <row r="2" customFormat="false" ht="14.1" hidden="false" customHeight="true" outlineLevel="0" collapsed="false">
      <c r="A2" s="245" t="s">
        <v>1</v>
      </c>
      <c r="B2" s="245"/>
      <c r="C2" s="246"/>
      <c r="D2" s="253" t="n">
        <v>1.983</v>
      </c>
      <c r="E2" s="246"/>
      <c r="F2" s="245"/>
      <c r="G2" s="245"/>
      <c r="H2" s="247"/>
      <c r="I2" s="245"/>
      <c r="J2" s="245"/>
      <c r="K2" s="254" t="s">
        <v>98</v>
      </c>
      <c r="L2" s="254"/>
      <c r="M2" s="254"/>
      <c r="N2" s="254"/>
      <c r="O2" s="254"/>
      <c r="P2" s="254"/>
      <c r="Q2" s="254"/>
      <c r="R2" s="254"/>
      <c r="S2" s="254"/>
      <c r="T2" s="254"/>
      <c r="U2" s="245"/>
      <c r="V2" s="246"/>
      <c r="W2" s="245"/>
      <c r="X2" s="245"/>
      <c r="Y2" s="245"/>
      <c r="Z2" s="249"/>
      <c r="AA2" s="250"/>
      <c r="AB2" s="250"/>
      <c r="AC2" s="251"/>
      <c r="AD2" s="252"/>
      <c r="AE2" s="252"/>
    </row>
    <row r="3" customFormat="false" ht="11.1" hidden="false" customHeight="true" outlineLevel="0" collapsed="false">
      <c r="A3" s="245"/>
      <c r="B3" s="245"/>
      <c r="C3" s="246"/>
      <c r="D3" s="253"/>
      <c r="E3" s="246"/>
      <c r="F3" s="245"/>
      <c r="G3" s="245"/>
      <c r="H3" s="247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6"/>
      <c r="T3" s="245"/>
      <c r="U3" s="245"/>
      <c r="V3" s="246"/>
      <c r="W3" s="245"/>
      <c r="X3" s="245"/>
      <c r="Y3" s="245"/>
      <c r="Z3" s="249"/>
      <c r="AA3" s="250"/>
      <c r="AB3" s="250"/>
      <c r="AC3" s="251"/>
      <c r="AD3" s="252"/>
      <c r="AE3" s="252"/>
    </row>
    <row r="4" customFormat="false" ht="11.1" hidden="false" customHeight="true" outlineLevel="0" collapsed="false">
      <c r="A4" s="255" t="s">
        <v>3</v>
      </c>
      <c r="B4" s="255" t="s">
        <v>4</v>
      </c>
      <c r="C4" s="256" t="s">
        <v>4</v>
      </c>
      <c r="D4" s="255" t="s">
        <v>5</v>
      </c>
      <c r="E4" s="256" t="s">
        <v>6</v>
      </c>
      <c r="F4" s="255" t="s">
        <v>7</v>
      </c>
      <c r="G4" s="255" t="s">
        <v>8</v>
      </c>
      <c r="H4" s="257" t="s">
        <v>9</v>
      </c>
      <c r="I4" s="255" t="s">
        <v>10</v>
      </c>
      <c r="J4" s="255" t="s">
        <v>11</v>
      </c>
      <c r="K4" s="255" t="s">
        <v>12</v>
      </c>
      <c r="L4" s="255" t="s">
        <v>11</v>
      </c>
      <c r="M4" s="255" t="s">
        <v>62</v>
      </c>
      <c r="N4" s="255"/>
      <c r="O4" s="255"/>
      <c r="P4" s="255" t="s">
        <v>68</v>
      </c>
      <c r="Q4" s="255" t="s">
        <v>14</v>
      </c>
      <c r="R4" s="255" t="s">
        <v>12</v>
      </c>
      <c r="S4" s="256" t="s">
        <v>13</v>
      </c>
      <c r="T4" s="255" t="s">
        <v>15</v>
      </c>
      <c r="U4" s="255" t="s">
        <v>17</v>
      </c>
      <c r="V4" s="256" t="s">
        <v>18</v>
      </c>
      <c r="W4" s="255" t="s">
        <v>10</v>
      </c>
      <c r="X4" s="255" t="s">
        <v>11</v>
      </c>
      <c r="Y4" s="255" t="s">
        <v>12</v>
      </c>
      <c r="Z4" s="258" t="s">
        <v>19</v>
      </c>
      <c r="AA4" s="259" t="s">
        <v>20</v>
      </c>
      <c r="AB4" s="259" t="s">
        <v>21</v>
      </c>
      <c r="AC4" s="259" t="s">
        <v>3</v>
      </c>
      <c r="AD4" s="252"/>
      <c r="AE4" s="252"/>
    </row>
    <row r="5" customFormat="false" ht="11.1" hidden="false" customHeight="true" outlineLevel="0" collapsed="false">
      <c r="A5" s="260" t="s">
        <v>99</v>
      </c>
      <c r="B5" s="255" t="s">
        <v>23</v>
      </c>
      <c r="C5" s="256" t="s">
        <v>5</v>
      </c>
      <c r="D5" s="255" t="s">
        <v>24</v>
      </c>
      <c r="E5" s="256" t="s">
        <v>25</v>
      </c>
      <c r="F5" s="255" t="s">
        <v>26</v>
      </c>
      <c r="G5" s="255" t="s">
        <v>27</v>
      </c>
      <c r="H5" s="257" t="s">
        <v>28</v>
      </c>
      <c r="I5" s="255" t="s">
        <v>29</v>
      </c>
      <c r="J5" s="255" t="s">
        <v>29</v>
      </c>
      <c r="K5" s="255" t="s">
        <v>29</v>
      </c>
      <c r="L5" s="255" t="s">
        <v>30</v>
      </c>
      <c r="M5" s="255" t="s">
        <v>64</v>
      </c>
      <c r="N5" s="255" t="s">
        <v>65</v>
      </c>
      <c r="O5" s="255" t="s">
        <v>70</v>
      </c>
      <c r="P5" s="255" t="s">
        <v>71</v>
      </c>
      <c r="Q5" s="255" t="s">
        <v>33</v>
      </c>
      <c r="R5" s="255" t="s">
        <v>13</v>
      </c>
      <c r="S5" s="256" t="s">
        <v>34</v>
      </c>
      <c r="T5" s="255" t="s">
        <v>35</v>
      </c>
      <c r="U5" s="255" t="s">
        <v>37</v>
      </c>
      <c r="V5" s="256" t="s">
        <v>38</v>
      </c>
      <c r="W5" s="255" t="s">
        <v>39</v>
      </c>
      <c r="X5" s="255" t="s">
        <v>39</v>
      </c>
      <c r="Y5" s="255" t="s">
        <v>39</v>
      </c>
      <c r="Z5" s="261"/>
      <c r="AA5" s="259" t="s">
        <v>40</v>
      </c>
      <c r="AB5" s="259" t="s">
        <v>40</v>
      </c>
      <c r="AC5" s="262" t="s">
        <v>99</v>
      </c>
      <c r="AD5" s="252"/>
      <c r="AE5" s="252"/>
      <c r="AG5" s="263" t="s">
        <v>86</v>
      </c>
      <c r="AH5" s="263"/>
    </row>
    <row r="6" customFormat="false" ht="11.1" hidden="false" customHeight="true" outlineLevel="0" collapsed="false">
      <c r="A6" s="264"/>
      <c r="B6" s="264"/>
      <c r="C6" s="265"/>
      <c r="D6" s="264"/>
      <c r="E6" s="265"/>
      <c r="F6" s="264"/>
      <c r="G6" s="264"/>
      <c r="H6" s="266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5"/>
      <c r="T6" s="264"/>
      <c r="U6" s="264"/>
      <c r="V6" s="265"/>
      <c r="W6" s="264"/>
      <c r="X6" s="264"/>
      <c r="Y6" s="264"/>
      <c r="Z6" s="249"/>
      <c r="AA6" s="251"/>
      <c r="AB6" s="251"/>
      <c r="AC6" s="251"/>
      <c r="AD6" s="267" t="n">
        <v>741</v>
      </c>
      <c r="AE6" s="267" t="n">
        <v>742</v>
      </c>
      <c r="AF6" s="268" t="s">
        <v>78</v>
      </c>
      <c r="AG6" s="263" t="s">
        <v>87</v>
      </c>
      <c r="AH6" s="263" t="s">
        <v>88</v>
      </c>
    </row>
    <row r="7" customFormat="false" ht="11.1" hidden="false" customHeight="true" outlineLevel="0" collapsed="false">
      <c r="A7" s="245" t="s">
        <v>41</v>
      </c>
      <c r="B7" s="245"/>
      <c r="C7" s="246"/>
      <c r="D7" s="246"/>
      <c r="E7" s="246"/>
      <c r="F7" s="246" t="n">
        <f aca="false" t="array" ref="F7:Y7">[10]RIVER054!$F$44:$Y$44</f>
        <v>-27442.7634896621</v>
      </c>
      <c r="G7" s="246" t="n">
        <v>95185.22</v>
      </c>
      <c r="H7" s="246" t="n">
        <v>6256.88</v>
      </c>
      <c r="I7" s="246" t="n">
        <v>101257.4</v>
      </c>
      <c r="J7" s="246" t="n">
        <v>27557.6423550177</v>
      </c>
      <c r="K7" s="246" t="n">
        <v>128815.042355018</v>
      </c>
      <c r="L7" s="246" t="n">
        <v>24423.9811548159</v>
      </c>
      <c r="M7" s="246" t="n">
        <v>37477.33</v>
      </c>
      <c r="N7" s="246" t="n">
        <v>4146.34462934947</v>
      </c>
      <c r="O7" s="246" t="n">
        <v>33406.8653706505</v>
      </c>
      <c r="P7" s="246" t="n">
        <v>21032.37</v>
      </c>
      <c r="Q7" s="246" t="n">
        <v>11958.5011800303</v>
      </c>
      <c r="R7" s="246" t="n">
        <v>66397.7365506808</v>
      </c>
      <c r="S7" s="246" t="n">
        <v>-24802.6958093797</v>
      </c>
      <c r="T7" s="246" t="n">
        <v>20597.1134644478</v>
      </c>
      <c r="U7" s="246" t="n">
        <v>61982.95</v>
      </c>
      <c r="V7" s="246" t="n">
        <v>0</v>
      </c>
      <c r="W7" s="246" t="n">
        <v>153124.144644478</v>
      </c>
      <c r="X7" s="246" t="n">
        <v>3133.68120020171</v>
      </c>
      <c r="Y7" s="246" t="n">
        <v>156257.82584468</v>
      </c>
      <c r="Z7" s="249"/>
      <c r="AA7" s="250"/>
      <c r="AB7" s="250"/>
      <c r="AC7" s="251"/>
      <c r="AD7" s="267"/>
      <c r="AE7" s="268"/>
      <c r="AF7" s="268" t="s">
        <v>89</v>
      </c>
    </row>
    <row r="8" s="239" customFormat="true" ht="11.1" hidden="false" customHeight="true" outlineLevel="0" collapsed="false">
      <c r="A8" s="246" t="s">
        <v>42</v>
      </c>
      <c r="B8" s="269" t="n">
        <f aca="false" t="array" ref="B8:C8">[10]RIVER054!$B$39:$C$39</f>
        <v>6896.85</v>
      </c>
      <c r="C8" s="246" t="n">
        <v>272105</v>
      </c>
      <c r="D8" s="246" t="n">
        <f aca="false" t="array" ref="D8:E8">[10]RIVER054!$D$48:$E$48</f>
        <v>-38582</v>
      </c>
      <c r="E8" s="246" t="n">
        <v>124552</v>
      </c>
      <c r="F8" s="246" t="n">
        <f aca="false" t="array" ref="F8:Z8">[10]RIVER054!$F$47:$Z$47</f>
        <v>-19456.3792233989</v>
      </c>
      <c r="G8" s="246" t="n">
        <v>107834.696449824</v>
      </c>
      <c r="H8" s="250" t="n">
        <v>6256.88</v>
      </c>
      <c r="I8" s="246" t="n">
        <v>113906.067876954</v>
      </c>
      <c r="J8" s="246" t="n">
        <v>29531.3552546647</v>
      </c>
      <c r="K8" s="246" t="n">
        <v>143437.423131619</v>
      </c>
      <c r="L8" s="246" t="n">
        <v>25930.0175441251</v>
      </c>
      <c r="M8" s="246" t="n">
        <v>38389.57</v>
      </c>
      <c r="N8" s="246" t="n">
        <v>4146.34462934947</v>
      </c>
      <c r="O8" s="246" t="n">
        <v>34319.1053706505</v>
      </c>
      <c r="P8" s="246" t="n">
        <v>21032.37</v>
      </c>
      <c r="Q8" s="246" t="n">
        <v>11958.5011800303</v>
      </c>
      <c r="R8" s="246" t="n">
        <v>67309.9765506808</v>
      </c>
      <c r="S8" s="246" t="n">
        <v>0</v>
      </c>
      <c r="T8" s="246" t="n">
        <v>20597.1134644478</v>
      </c>
      <c r="U8" s="246" t="n">
        <v>67246.36</v>
      </c>
      <c r="V8" s="246" t="n">
        <v>1399.59</v>
      </c>
      <c r="W8" s="246" t="n">
        <v>159299.794644478</v>
      </c>
      <c r="X8" s="246" t="n">
        <v>3623.46896116994</v>
      </c>
      <c r="Y8" s="246" t="n">
        <v>162923.263605648</v>
      </c>
      <c r="Z8" s="270" t="n">
        <v>13.08</v>
      </c>
      <c r="AA8" s="250"/>
      <c r="AB8" s="250"/>
      <c r="AC8" s="251"/>
      <c r="AD8" s="267" t="n">
        <v>40788</v>
      </c>
      <c r="AE8" s="267" t="n">
        <v>23702</v>
      </c>
      <c r="AF8" s="268"/>
      <c r="AG8" s="238" t="n">
        <v>4236.19</v>
      </c>
      <c r="AH8" s="238" t="n">
        <v>1240.53</v>
      </c>
    </row>
    <row r="9" customFormat="false" ht="3" hidden="false" customHeight="true" outlineLevel="0" collapsed="false">
      <c r="A9" s="271"/>
      <c r="B9" s="272"/>
      <c r="C9" s="273"/>
      <c r="D9" s="271"/>
      <c r="E9" s="273"/>
      <c r="F9" s="271"/>
      <c r="G9" s="271"/>
      <c r="H9" s="274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3"/>
      <c r="T9" s="271"/>
      <c r="U9" s="271"/>
      <c r="V9" s="273"/>
      <c r="W9" s="271"/>
      <c r="X9" s="271"/>
      <c r="Y9" s="271"/>
      <c r="Z9" s="275"/>
      <c r="AA9" s="276"/>
      <c r="AB9" s="276"/>
      <c r="AC9" s="277"/>
      <c r="AD9" s="267"/>
      <c r="AE9" s="267"/>
      <c r="AF9" s="268"/>
    </row>
    <row r="10" customFormat="false" ht="11.1" hidden="false" customHeight="true" outlineLevel="0" collapsed="false">
      <c r="A10" s="251" t="n">
        <v>1</v>
      </c>
      <c r="B10" s="269" t="n">
        <v>6896.87</v>
      </c>
      <c r="C10" s="246" t="n">
        <v>272177</v>
      </c>
      <c r="D10" s="250" t="n">
        <f aca="false">C10-C8</f>
        <v>72</v>
      </c>
      <c r="E10" s="246" t="n">
        <f aca="false">C10-152000</f>
        <v>120177</v>
      </c>
      <c r="F10" s="245" t="n">
        <f aca="false">D10/$D$2</f>
        <v>36.3086232980333</v>
      </c>
      <c r="G10" s="245" t="n">
        <v>166.97</v>
      </c>
      <c r="H10" s="247" t="n">
        <v>0</v>
      </c>
      <c r="I10" s="245" t="n">
        <f aca="false">G10+H10</f>
        <v>166.97</v>
      </c>
      <c r="J10" s="270" t="n">
        <f aca="false">IF(L10&gt;0,L10,0)</f>
        <v>98.6315582450832</v>
      </c>
      <c r="K10" s="245" t="n">
        <f aca="false">I10+J10</f>
        <v>265.601558245083</v>
      </c>
      <c r="L10" s="245" t="n">
        <f aca="false">F10-(I10-W10)</f>
        <v>98.6315582450832</v>
      </c>
      <c r="M10" s="245" t="n">
        <v>112.47</v>
      </c>
      <c r="N10" s="245" t="n">
        <f aca="false">(AF10*1.05)/$D$2</f>
        <v>1.19667170953113</v>
      </c>
      <c r="O10" s="245" t="n">
        <f aca="false">M10-N10</f>
        <v>111.273328290469</v>
      </c>
      <c r="P10" s="245" t="n">
        <v>9.55</v>
      </c>
      <c r="Q10" s="245" t="n">
        <f aca="false">(AE10-AE8)/$D$2</f>
        <v>54.4629349470499</v>
      </c>
      <c r="R10" s="245" t="n">
        <f aca="false">SUM(O10:Q10)</f>
        <v>175.286263237519</v>
      </c>
      <c r="S10" s="246" t="n">
        <f aca="false">(I10-R10)+S7</f>
        <v>-24811.0120726172</v>
      </c>
      <c r="T10" s="245" t="n">
        <f aca="false">(AD10-AD8)/$D$2</f>
        <v>0</v>
      </c>
      <c r="U10" s="245" t="n">
        <v>52.81</v>
      </c>
      <c r="V10" s="246" t="n">
        <f aca="false">V8-U10</f>
        <v>1346.78</v>
      </c>
      <c r="W10" s="245" t="n">
        <f aca="false">R10+T10+N10+U10</f>
        <v>229.29293494705</v>
      </c>
      <c r="X10" s="245" t="n">
        <f aca="false">IF(L10&lt;0,L10*-1,0)</f>
        <v>0</v>
      </c>
      <c r="Y10" s="245" t="n">
        <f aca="false">W10+X10</f>
        <v>229.29293494705</v>
      </c>
      <c r="Z10" s="249" t="n">
        <v>0</v>
      </c>
      <c r="AA10" s="250" t="n">
        <v>62</v>
      </c>
      <c r="AB10" s="250" t="n">
        <v>45</v>
      </c>
      <c r="AC10" s="251" t="n">
        <v>1</v>
      </c>
      <c r="AD10" s="267" t="n">
        <v>40788</v>
      </c>
      <c r="AE10" s="278" t="n">
        <v>23810</v>
      </c>
      <c r="AF10" s="278" t="n">
        <f aca="false">(AG10+AH10)-(AG8+AH8)</f>
        <v>2.26000000000022</v>
      </c>
      <c r="AG10" s="238" t="n">
        <v>4238</v>
      </c>
      <c r="AH10" s="238" t="n">
        <v>1240.98</v>
      </c>
    </row>
    <row r="11" customFormat="false" ht="11.1" hidden="false" customHeight="true" outlineLevel="0" collapsed="false">
      <c r="A11" s="251" t="n">
        <f aca="false">A10+1</f>
        <v>2</v>
      </c>
      <c r="B11" s="269" t="n">
        <v>6896.82</v>
      </c>
      <c r="C11" s="246" t="n">
        <v>271997</v>
      </c>
      <c r="D11" s="250" t="n">
        <f aca="false">C11-C10</f>
        <v>-180</v>
      </c>
      <c r="E11" s="246" t="n">
        <f aca="false">C11-152000</f>
        <v>119997</v>
      </c>
      <c r="F11" s="245" t="n">
        <f aca="false">D11/$D$2</f>
        <v>-90.7715582450832</v>
      </c>
      <c r="G11" s="245" t="n">
        <v>148.15</v>
      </c>
      <c r="H11" s="247" t="n">
        <v>0</v>
      </c>
      <c r="I11" s="245" t="n">
        <f aca="false">G11+H11</f>
        <v>148.15</v>
      </c>
      <c r="J11" s="270" t="n">
        <f aca="false">IF(L11&gt;0,L11,0)</f>
        <v>0</v>
      </c>
      <c r="K11" s="245" t="n">
        <f aca="false">I11+J11</f>
        <v>148.15</v>
      </c>
      <c r="L11" s="245" t="n">
        <f aca="false">F11-(I11-W11)</f>
        <v>-30.5600554715078</v>
      </c>
      <c r="M11" s="245" t="n">
        <v>113.52</v>
      </c>
      <c r="N11" s="245" t="n">
        <f aca="false">(AF11*1.05)/$D$2</f>
        <v>2.68456883509866</v>
      </c>
      <c r="O11" s="245" t="n">
        <f aca="false">M11-N11</f>
        <v>110.835431164901</v>
      </c>
      <c r="P11" s="245" t="n">
        <v>0</v>
      </c>
      <c r="Q11" s="245" t="n">
        <f aca="false">(AE11-AE10)/$D$2</f>
        <v>51.9415027735754</v>
      </c>
      <c r="R11" s="245" t="n">
        <f aca="false">SUM(O11:Q11)</f>
        <v>162.776933938477</v>
      </c>
      <c r="S11" s="246" t="n">
        <f aca="false">(I11-R11)+S10</f>
        <v>-24825.6390065557</v>
      </c>
      <c r="T11" s="245" t="n">
        <f aca="false">(AD11-AD10)/$D$2</f>
        <v>0</v>
      </c>
      <c r="U11" s="245" t="n">
        <v>42.9</v>
      </c>
      <c r="V11" s="246" t="n">
        <f aca="false">V10-U11</f>
        <v>1303.88</v>
      </c>
      <c r="W11" s="245" t="n">
        <f aca="false">R11+T11+N11+U11</f>
        <v>208.361502773575</v>
      </c>
      <c r="X11" s="245" t="n">
        <f aca="false">IF(L11&lt;0,L11*-1,0)</f>
        <v>30.5600554715078</v>
      </c>
      <c r="Y11" s="245" t="n">
        <f aca="false">W11+X11</f>
        <v>238.921558245083</v>
      </c>
      <c r="Z11" s="249" t="n">
        <v>0</v>
      </c>
      <c r="AA11" s="250" t="n">
        <v>68</v>
      </c>
      <c r="AB11" s="250" t="n">
        <v>42</v>
      </c>
      <c r="AC11" s="251" t="n">
        <f aca="false">AC10+1</f>
        <v>2</v>
      </c>
      <c r="AD11" s="267" t="n">
        <v>40788</v>
      </c>
      <c r="AE11" s="278" t="n">
        <v>23913</v>
      </c>
      <c r="AF11" s="278" t="n">
        <f aca="false">(AG11+AH11)-(AG10+AH10)</f>
        <v>5.07000000000062</v>
      </c>
      <c r="AG11" s="238" t="n">
        <v>4243.06</v>
      </c>
      <c r="AH11" s="238" t="n">
        <v>1240.99</v>
      </c>
    </row>
    <row r="12" customFormat="false" ht="11.1" hidden="false" customHeight="true" outlineLevel="0" collapsed="false">
      <c r="A12" s="251" t="n">
        <f aca="false">A11+1</f>
        <v>3</v>
      </c>
      <c r="B12" s="269" t="n">
        <v>6896.8</v>
      </c>
      <c r="C12" s="246" t="n">
        <v>271926</v>
      </c>
      <c r="D12" s="250" t="n">
        <f aca="false">C12-C11</f>
        <v>-71</v>
      </c>
      <c r="E12" s="246" t="n">
        <f aca="false">C12-152000</f>
        <v>119926</v>
      </c>
      <c r="F12" s="245" t="n">
        <f aca="false">D12/$D$2</f>
        <v>-35.8043368633384</v>
      </c>
      <c r="G12" s="245" t="n">
        <v>127.07</v>
      </c>
      <c r="H12" s="247" t="n">
        <v>0</v>
      </c>
      <c r="I12" s="245" t="n">
        <f aca="false">G12+H12</f>
        <v>127.07</v>
      </c>
      <c r="J12" s="270" t="n">
        <f aca="false">IF(L12&gt;0,L12,0)</f>
        <v>48.1543066061523</v>
      </c>
      <c r="K12" s="245" t="n">
        <f aca="false">I12+J12</f>
        <v>175.224306606152</v>
      </c>
      <c r="L12" s="245" t="n">
        <f aca="false">F12-(I12-W12)</f>
        <v>48.1543066061523</v>
      </c>
      <c r="M12" s="245" t="n">
        <v>121.45</v>
      </c>
      <c r="N12" s="245" t="n">
        <f aca="false">(AF12*1.05)/$D$2</f>
        <v>12.6656580937968</v>
      </c>
      <c r="O12" s="245" t="n">
        <f aca="false">M12-N12</f>
        <v>108.784341906203</v>
      </c>
      <c r="P12" s="245" t="n">
        <v>0</v>
      </c>
      <c r="Q12" s="245" t="n">
        <f aca="false">(AE12-AE11)/$D$2</f>
        <v>50.4286434694907</v>
      </c>
      <c r="R12" s="245" t="n">
        <f aca="false">SUM(O12:Q12)</f>
        <v>159.212985375694</v>
      </c>
      <c r="S12" s="246" t="n">
        <f aca="false">(I12-R12)+S11</f>
        <v>-24857.7819919314</v>
      </c>
      <c r="T12" s="245" t="n">
        <f aca="false">(AD12-AD11)/$D$2</f>
        <v>0</v>
      </c>
      <c r="U12" s="245" t="n">
        <v>39.15</v>
      </c>
      <c r="V12" s="246" t="n">
        <f aca="false">V11-U12</f>
        <v>1264.73</v>
      </c>
      <c r="W12" s="245" t="n">
        <f aca="false">R12+T12+N12+U12</f>
        <v>211.028643469491</v>
      </c>
      <c r="X12" s="245" t="n">
        <f aca="false">IF(L12&lt;0,L12*-1,0)</f>
        <v>0</v>
      </c>
      <c r="Y12" s="245" t="n">
        <f aca="false">W12+X12</f>
        <v>211.028643469491</v>
      </c>
      <c r="Z12" s="249" t="n">
        <v>0.27</v>
      </c>
      <c r="AA12" s="250" t="n">
        <v>68</v>
      </c>
      <c r="AB12" s="250" t="n">
        <v>32</v>
      </c>
      <c r="AC12" s="251" t="n">
        <f aca="false">AC11+1</f>
        <v>3</v>
      </c>
      <c r="AD12" s="267" t="n">
        <v>40788</v>
      </c>
      <c r="AE12" s="278" t="n">
        <v>24013</v>
      </c>
      <c r="AF12" s="278" t="n">
        <f aca="false">(AG12+AH12)-(AG11+AH11)</f>
        <v>23.9199999999992</v>
      </c>
      <c r="AG12" s="238" t="n">
        <v>4257.57</v>
      </c>
      <c r="AH12" s="238" t="n">
        <v>1250.4</v>
      </c>
    </row>
    <row r="13" customFormat="false" ht="11.1" hidden="false" customHeight="true" outlineLevel="0" collapsed="false">
      <c r="A13" s="251" t="n">
        <f aca="false">A12+1</f>
        <v>4</v>
      </c>
      <c r="B13" s="269" t="n">
        <v>6896.77</v>
      </c>
      <c r="C13" s="246" t="n">
        <v>271818</v>
      </c>
      <c r="D13" s="250" t="n">
        <f aca="false">C13-C12</f>
        <v>-108</v>
      </c>
      <c r="E13" s="246" t="n">
        <f aca="false">C13-152000</f>
        <v>119818</v>
      </c>
      <c r="F13" s="245" t="n">
        <f aca="false">D13/$D$2</f>
        <v>-54.4629349470499</v>
      </c>
      <c r="G13" s="245" t="n">
        <v>122.95</v>
      </c>
      <c r="H13" s="247" t="n">
        <v>0</v>
      </c>
      <c r="I13" s="245" t="n">
        <f aca="false">G13+H13</f>
        <v>122.95</v>
      </c>
      <c r="J13" s="270" t="n">
        <f aca="false">IF(L13&gt;0,L13,0)</f>
        <v>17.4171306101866</v>
      </c>
      <c r="K13" s="245" t="n">
        <f aca="false">I13+J13</f>
        <v>140.367130610187</v>
      </c>
      <c r="L13" s="245" t="n">
        <f aca="false">F13-(I13-W13)</f>
        <v>17.4171306101866</v>
      </c>
      <c r="M13" s="245" t="n">
        <v>109.42</v>
      </c>
      <c r="N13" s="245" t="n">
        <f aca="false">(AF13*1.05)/$D$2</f>
        <v>15.6573373676251</v>
      </c>
      <c r="O13" s="245" t="n">
        <f aca="false">M13-N13</f>
        <v>93.7626626323749</v>
      </c>
      <c r="P13" s="245" t="n">
        <v>0</v>
      </c>
      <c r="Q13" s="245" t="n">
        <f aca="false">(AE13-AE12)/$D$2</f>
        <v>45.8900655572365</v>
      </c>
      <c r="R13" s="245" t="n">
        <f aca="false">SUM(O13:Q13)</f>
        <v>139.652728189611</v>
      </c>
      <c r="S13" s="246" t="n">
        <f aca="false">(I13-R13)+S12</f>
        <v>-24874.484720121</v>
      </c>
      <c r="T13" s="245" t="n">
        <f aca="false">(AD13-AD12)/$D$2</f>
        <v>0</v>
      </c>
      <c r="U13" s="245" t="n">
        <v>39.52</v>
      </c>
      <c r="V13" s="246" t="n">
        <f aca="false">V12-U13</f>
        <v>1225.21</v>
      </c>
      <c r="W13" s="245" t="n">
        <f aca="false">R13+T13+N13+U13</f>
        <v>194.830065557237</v>
      </c>
      <c r="X13" s="245" t="n">
        <f aca="false">IF(L13&lt;0,L13*-1,0)</f>
        <v>0</v>
      </c>
      <c r="Y13" s="245" t="n">
        <f aca="false">W13+X13</f>
        <v>194.830065557237</v>
      </c>
      <c r="Z13" s="249" t="n">
        <v>0</v>
      </c>
      <c r="AA13" s="250" t="n">
        <v>72</v>
      </c>
      <c r="AB13" s="250" t="n">
        <v>42</v>
      </c>
      <c r="AC13" s="251" t="n">
        <f aca="false">AC12+1</f>
        <v>4</v>
      </c>
      <c r="AD13" s="267" t="n">
        <v>40788</v>
      </c>
      <c r="AE13" s="278" t="n">
        <v>24104</v>
      </c>
      <c r="AF13" s="278" t="n">
        <f aca="false">(AG13+AH13)-(AG12+AH12)</f>
        <v>29.5700000000006</v>
      </c>
      <c r="AG13" s="238" t="n">
        <v>4272.45</v>
      </c>
      <c r="AH13" s="238" t="n">
        <v>1265.09</v>
      </c>
    </row>
    <row r="14" customFormat="false" ht="11.1" hidden="false" customHeight="true" outlineLevel="0" collapsed="false">
      <c r="A14" s="251" t="n">
        <f aca="false">A13+1</f>
        <v>5</v>
      </c>
      <c r="B14" s="269" t="n">
        <v>6896.74</v>
      </c>
      <c r="C14" s="246" t="n">
        <v>271710</v>
      </c>
      <c r="D14" s="250" t="n">
        <f aca="false">C14-C13</f>
        <v>-108</v>
      </c>
      <c r="E14" s="246" t="n">
        <f aca="false">C14-152000</f>
        <v>119710</v>
      </c>
      <c r="F14" s="245" t="n">
        <f aca="false">D14/$D$2</f>
        <v>-54.4629349470499</v>
      </c>
      <c r="G14" s="245" t="n">
        <v>125.04</v>
      </c>
      <c r="H14" s="247" t="n">
        <v>0</v>
      </c>
      <c r="I14" s="245" t="n">
        <f aca="false">G14+H14</f>
        <v>125.04</v>
      </c>
      <c r="J14" s="270" t="n">
        <f aca="false">IF(L14&gt;0,L14,0)</f>
        <v>0</v>
      </c>
      <c r="K14" s="245" t="n">
        <f aca="false">I14+J14</f>
        <v>125.04</v>
      </c>
      <c r="L14" s="245" t="n">
        <f aca="false">F14-(I14-W14)</f>
        <v>-47.9200403429148</v>
      </c>
      <c r="M14" s="245" t="n">
        <v>39.22</v>
      </c>
      <c r="N14" s="245" t="n">
        <f aca="false">(AF14*1.05)/$D$2</f>
        <v>14.1959152798792</v>
      </c>
      <c r="O14" s="245" t="n">
        <f aca="false">M14-N14</f>
        <v>25.0240847201208</v>
      </c>
      <c r="P14" s="245" t="n">
        <v>25.81</v>
      </c>
      <c r="Q14" s="245" t="n">
        <f aca="false">(AE14-AE13)/$D$2</f>
        <v>26.2228946041351</v>
      </c>
      <c r="R14" s="245" t="n">
        <f aca="false">SUM(O14:Q14)</f>
        <v>77.056979324256</v>
      </c>
      <c r="S14" s="246" t="n">
        <f aca="false">(I14-R14)+S13</f>
        <v>-24826.5016994453</v>
      </c>
      <c r="T14" s="245" t="n">
        <f aca="false">(AD14-AD13)/$D$2</f>
        <v>0</v>
      </c>
      <c r="U14" s="245" t="n">
        <v>40.33</v>
      </c>
      <c r="V14" s="246" t="n">
        <f aca="false">V13-U14</f>
        <v>1184.88</v>
      </c>
      <c r="W14" s="245" t="n">
        <f aca="false">R14+T14+N14+U14</f>
        <v>131.582894604135</v>
      </c>
      <c r="X14" s="245" t="n">
        <f aca="false">IF(L14&lt;0,L14*-1,0)</f>
        <v>47.9200403429148</v>
      </c>
      <c r="Y14" s="245" t="n">
        <f aca="false">W14+X14</f>
        <v>179.50293494705</v>
      </c>
      <c r="Z14" s="249" t="n">
        <v>0.08</v>
      </c>
      <c r="AA14" s="250" t="n">
        <v>61</v>
      </c>
      <c r="AB14" s="250" t="n">
        <v>50</v>
      </c>
      <c r="AC14" s="251" t="n">
        <f aca="false">AC13+1</f>
        <v>5</v>
      </c>
      <c r="AD14" s="267" t="n">
        <v>40788</v>
      </c>
      <c r="AE14" s="278" t="n">
        <v>24156</v>
      </c>
      <c r="AF14" s="278" t="n">
        <f aca="false">(AG14+AH14)-(AG13+AH13)</f>
        <v>26.8100000000004</v>
      </c>
      <c r="AG14" s="238" t="n">
        <v>4285.09</v>
      </c>
      <c r="AH14" s="238" t="n">
        <v>1279.26</v>
      </c>
    </row>
    <row r="15" customFormat="false" ht="11.1" hidden="false" customHeight="true" outlineLevel="0" collapsed="false">
      <c r="A15" s="251" t="n">
        <f aca="false">A14+1</f>
        <v>6</v>
      </c>
      <c r="B15" s="269" t="n">
        <v>6896.62</v>
      </c>
      <c r="C15" s="246" t="n">
        <v>271280</v>
      </c>
      <c r="D15" s="250" t="n">
        <f aca="false">C15-C14</f>
        <v>-430</v>
      </c>
      <c r="E15" s="246" t="n">
        <f aca="false">C15-152000</f>
        <v>119280</v>
      </c>
      <c r="F15" s="245" t="n">
        <f aca="false">D15/$D$2</f>
        <v>-216.84316691881</v>
      </c>
      <c r="G15" s="245" t="n">
        <v>102.06</v>
      </c>
      <c r="H15" s="247" t="n">
        <v>0</v>
      </c>
      <c r="I15" s="245" t="n">
        <f aca="false">G15+H15</f>
        <v>102.06</v>
      </c>
      <c r="J15" s="270" t="n">
        <f aca="false">IF(L15&gt;0,L15,0)</f>
        <v>0</v>
      </c>
      <c r="K15" s="245" t="n">
        <f aca="false">I15+J15</f>
        <v>102.06</v>
      </c>
      <c r="L15" s="245" t="n">
        <f aca="false">F15-(I15-W15)</f>
        <v>-8.87740796772565</v>
      </c>
      <c r="M15" s="245" t="n">
        <v>28.62</v>
      </c>
      <c r="N15" s="245" t="n">
        <f aca="false">(AF15*1.05)/$D$2</f>
        <v>14.5295007564299</v>
      </c>
      <c r="O15" s="245" t="n">
        <f aca="false">M15</f>
        <v>28.62</v>
      </c>
      <c r="P15" s="245" t="n">
        <f aca="false">AI15-N15</f>
        <v>37.5904992435701</v>
      </c>
      <c r="Q15" s="245" t="n">
        <f aca="false">(AE15-AE14)/$D$2</f>
        <v>18.6585980837115</v>
      </c>
      <c r="R15" s="245" t="n">
        <f aca="false">SUM(O15:Q15)</f>
        <v>84.8690973272816</v>
      </c>
      <c r="S15" s="246" t="n">
        <f aca="false">(I15-R15)+S14</f>
        <v>-24809.3107967726</v>
      </c>
      <c r="T15" s="245" t="n">
        <f aca="false">(AD15-AD14)/$D$2</f>
        <v>12.6071608673727</v>
      </c>
      <c r="U15" s="245" t="n">
        <v>198.02</v>
      </c>
      <c r="V15" s="246" t="n">
        <f aca="false">V14-U15</f>
        <v>986.860000000002</v>
      </c>
      <c r="W15" s="245" t="n">
        <f aca="false">R15+T15+N15+U15</f>
        <v>310.025758951084</v>
      </c>
      <c r="X15" s="245" t="n">
        <f aca="false">IF(L15&lt;0,L15*-1,0)</f>
        <v>8.87740796772565</v>
      </c>
      <c r="Y15" s="245" t="n">
        <f aca="false">W15+X15</f>
        <v>318.90316691881</v>
      </c>
      <c r="Z15" s="249" t="n">
        <v>0</v>
      </c>
      <c r="AA15" s="250" t="n">
        <v>49</v>
      </c>
      <c r="AB15" s="250" t="n">
        <v>37</v>
      </c>
      <c r="AC15" s="251" t="n">
        <f aca="false">AC14+1</f>
        <v>6</v>
      </c>
      <c r="AD15" s="267" t="n">
        <v>40813</v>
      </c>
      <c r="AE15" s="278" t="n">
        <v>24193</v>
      </c>
      <c r="AF15" s="278" t="n">
        <f aca="false">(AG15+AH15)-(AG14+AH14)</f>
        <v>27.4400000000005</v>
      </c>
      <c r="AG15" s="238" t="n">
        <v>4298.06</v>
      </c>
      <c r="AH15" s="238" t="n">
        <v>1293.73</v>
      </c>
      <c r="AI15" s="238" t="n">
        <v>52.12</v>
      </c>
    </row>
    <row r="16" customFormat="false" ht="11.1" hidden="false" customHeight="true" outlineLevel="0" collapsed="false">
      <c r="A16" s="251" t="n">
        <f aca="false">A15+1</f>
        <v>7</v>
      </c>
      <c r="B16" s="269" t="n">
        <v>6996.6</v>
      </c>
      <c r="C16" s="246" t="n">
        <v>271208</v>
      </c>
      <c r="D16" s="250" t="n">
        <f aca="false">C16-C15</f>
        <v>-72</v>
      </c>
      <c r="E16" s="246" t="n">
        <f aca="false">C16-152000</f>
        <v>119208</v>
      </c>
      <c r="F16" s="245" t="n">
        <f aca="false">D16/$D$2</f>
        <v>-36.3086232980333</v>
      </c>
      <c r="G16" s="245" t="n">
        <v>91.45</v>
      </c>
      <c r="H16" s="247" t="n">
        <v>0</v>
      </c>
      <c r="I16" s="245" t="n">
        <f aca="false">G16+H16</f>
        <v>91.45</v>
      </c>
      <c r="J16" s="270" t="n">
        <f aca="false">IF(L16&gt;0,L16,0)</f>
        <v>35.9157135653051</v>
      </c>
      <c r="K16" s="245" t="n">
        <f aca="false">I16+J16</f>
        <v>127.365713565305</v>
      </c>
      <c r="L16" s="245" t="n">
        <f aca="false">F16-(I16-W16)</f>
        <v>35.9157135653051</v>
      </c>
      <c r="M16" s="245" t="n">
        <v>30.21</v>
      </c>
      <c r="N16" s="245" t="n">
        <f aca="false">(AF16*1.05)/$D$2</f>
        <v>22.9485627836607</v>
      </c>
      <c r="O16" s="245" t="n">
        <f aca="false">M16</f>
        <v>30.21</v>
      </c>
      <c r="P16" s="245" t="n">
        <f aca="false">AI16-N16</f>
        <v>35.9114372163393</v>
      </c>
      <c r="Q16" s="245" t="n">
        <f aca="false">(AE16-AE15)/$D$2</f>
        <v>19.1628845184065</v>
      </c>
      <c r="R16" s="245" t="n">
        <f aca="false">SUM(O16:Q16)</f>
        <v>85.2843217347457</v>
      </c>
      <c r="S16" s="246" t="n">
        <f aca="false">(I16-R16)+S15</f>
        <v>-24803.1451185073</v>
      </c>
      <c r="T16" s="245" t="n">
        <f aca="false">(AD16-AD15)/$D$2</f>
        <v>16.6414523449319</v>
      </c>
      <c r="U16" s="245" t="n">
        <v>38.8</v>
      </c>
      <c r="V16" s="246" t="n">
        <f aca="false">V15-U16</f>
        <v>948.060000000002</v>
      </c>
      <c r="W16" s="245" t="n">
        <f aca="false">R16+T16+N16+U16</f>
        <v>163.674336863338</v>
      </c>
      <c r="X16" s="245" t="n">
        <f aca="false">IF(L16&lt;0,L16*-1,0)</f>
        <v>0</v>
      </c>
      <c r="Y16" s="245" t="n">
        <f aca="false">W16+X16</f>
        <v>163.674336863338</v>
      </c>
      <c r="Z16" s="249" t="n">
        <v>0.03</v>
      </c>
      <c r="AA16" s="250" t="n">
        <v>67</v>
      </c>
      <c r="AB16" s="250" t="n">
        <v>36</v>
      </c>
      <c r="AC16" s="251" t="n">
        <f aca="false">AC15+1</f>
        <v>7</v>
      </c>
      <c r="AD16" s="267" t="n">
        <v>40846</v>
      </c>
      <c r="AE16" s="278" t="n">
        <v>24231</v>
      </c>
      <c r="AF16" s="278" t="n">
        <f aca="false">(AG16+AH16)-(AG15+AH15)</f>
        <v>43.3399999999992</v>
      </c>
      <c r="AG16" s="238" t="n">
        <v>4319.5</v>
      </c>
      <c r="AH16" s="238" t="n">
        <v>1315.63</v>
      </c>
      <c r="AI16" s="238" t="n">
        <v>58.86</v>
      </c>
    </row>
    <row r="17" customFormat="false" ht="11.1" hidden="false" customHeight="true" outlineLevel="0" collapsed="false">
      <c r="A17" s="251" t="n">
        <f aca="false">A16+1</f>
        <v>8</v>
      </c>
      <c r="B17" s="269" t="n">
        <v>6896.57</v>
      </c>
      <c r="C17" s="246" t="n">
        <v>271100</v>
      </c>
      <c r="D17" s="250" t="n">
        <f aca="false">C17-C16</f>
        <v>-108</v>
      </c>
      <c r="E17" s="246" t="n">
        <f aca="false">C17-152000</f>
        <v>119100</v>
      </c>
      <c r="F17" s="245" t="n">
        <f aca="false">D17/$D$2</f>
        <v>-54.4629349470499</v>
      </c>
      <c r="G17" s="245" t="n">
        <v>86.38</v>
      </c>
      <c r="H17" s="247" t="n">
        <v>0</v>
      </c>
      <c r="I17" s="245" t="n">
        <f aca="false">G17+H17</f>
        <v>86.38</v>
      </c>
      <c r="J17" s="270" t="n">
        <f aca="false">IF(L17&gt;0,L17,0)</f>
        <v>8.65423600605146</v>
      </c>
      <c r="K17" s="245" t="n">
        <f aca="false">I17+J17</f>
        <v>95.0342360060515</v>
      </c>
      <c r="L17" s="245" t="n">
        <f aca="false">F17-(I17-W17)</f>
        <v>8.65423600605146</v>
      </c>
      <c r="M17" s="245" t="n">
        <v>29</v>
      </c>
      <c r="N17" s="245" t="n">
        <f aca="false">(AF17*1.05)/$D$2</f>
        <v>28.4765506807866</v>
      </c>
      <c r="O17" s="245" t="n">
        <f aca="false">M17</f>
        <v>29</v>
      </c>
      <c r="P17" s="245" t="n">
        <f aca="false">AI17-N17</f>
        <v>33.5534493192134</v>
      </c>
      <c r="Q17" s="245" t="n">
        <f aca="false">(AE17-AE16)/$D$2</f>
        <v>19.6671709531014</v>
      </c>
      <c r="R17" s="245" t="n">
        <f aca="false">SUM(O17:Q17)</f>
        <v>82.2206202723148</v>
      </c>
      <c r="S17" s="246" t="n">
        <f aca="false">(I17-R17)+S16</f>
        <v>-24798.9857387796</v>
      </c>
      <c r="T17" s="245" t="n">
        <f aca="false">(AD17-AD16)/$D$2</f>
        <v>0</v>
      </c>
      <c r="U17" s="245" t="n">
        <v>38.8</v>
      </c>
      <c r="V17" s="246" t="n">
        <f aca="false">V16-U17</f>
        <v>909.260000000002</v>
      </c>
      <c r="W17" s="245" t="n">
        <f aca="false">R17+T17+N17+U17</f>
        <v>149.497170953101</v>
      </c>
      <c r="X17" s="245" t="n">
        <f aca="false">IF(L17&lt;0,L17*-1,0)</f>
        <v>0</v>
      </c>
      <c r="Y17" s="245" t="n">
        <f aca="false">W17+X17</f>
        <v>149.497170953101</v>
      </c>
      <c r="Z17" s="249" t="n">
        <v>0</v>
      </c>
      <c r="AA17" s="250" t="n">
        <v>65</v>
      </c>
      <c r="AB17" s="250" t="n">
        <v>37</v>
      </c>
      <c r="AC17" s="251" t="n">
        <f aca="false">AC16+1</f>
        <v>8</v>
      </c>
      <c r="AD17" s="267" t="n">
        <v>40846</v>
      </c>
      <c r="AE17" s="278" t="n">
        <v>24270</v>
      </c>
      <c r="AF17" s="278" t="n">
        <f aca="false">(AG17+AH17)-(AG16+AH16)</f>
        <v>53.7799999999997</v>
      </c>
      <c r="AG17" s="238" t="n">
        <v>4346.41</v>
      </c>
      <c r="AH17" s="238" t="n">
        <v>1342.5</v>
      </c>
      <c r="AI17" s="238" t="n">
        <v>62.03</v>
      </c>
    </row>
    <row r="18" customFormat="false" ht="11.1" hidden="false" customHeight="true" outlineLevel="0" collapsed="false">
      <c r="A18" s="251" t="n">
        <f aca="false">A17+1</f>
        <v>9</v>
      </c>
      <c r="B18" s="269" t="n">
        <v>6896.5</v>
      </c>
      <c r="C18" s="246" t="n">
        <v>270849</v>
      </c>
      <c r="D18" s="250" t="n">
        <f aca="false">C18-C17</f>
        <v>-251</v>
      </c>
      <c r="E18" s="246" t="n">
        <f aca="false">C18-152000</f>
        <v>118849</v>
      </c>
      <c r="F18" s="245" t="n">
        <f aca="false">D18/$D$2</f>
        <v>-126.575895108422</v>
      </c>
      <c r="G18" s="245" t="n">
        <v>80.33</v>
      </c>
      <c r="H18" s="247" t="n">
        <v>0</v>
      </c>
      <c r="I18" s="245" t="n">
        <f aca="false">G18+H18</f>
        <v>80.33</v>
      </c>
      <c r="J18" s="270" t="n">
        <f aca="false">IF(L18&gt;0,L18,0)</f>
        <v>0</v>
      </c>
      <c r="K18" s="245" t="n">
        <f aca="false">I18+J18</f>
        <v>80.33</v>
      </c>
      <c r="L18" s="245" t="n">
        <f aca="false">F18-(I18-W18)</f>
        <v>-57.8730105900151</v>
      </c>
      <c r="M18" s="245" t="n">
        <v>29</v>
      </c>
      <c r="N18" s="245" t="n">
        <f aca="false">(AF18*1.05)/$D$2</f>
        <v>20.2957639939485</v>
      </c>
      <c r="O18" s="245" t="n">
        <f aca="false">M18</f>
        <v>29</v>
      </c>
      <c r="P18" s="245" t="n">
        <f aca="false">AI18-N18</f>
        <v>41.7742360060515</v>
      </c>
      <c r="Q18" s="245" t="n">
        <f aca="false">(AE18-AE17)/$D$2</f>
        <v>19.1628845184065</v>
      </c>
      <c r="R18" s="245" t="n">
        <f aca="false">SUM(O18:Q18)</f>
        <v>89.9371205244579</v>
      </c>
      <c r="S18" s="246" t="n">
        <f aca="false">(I18-R18)+S17</f>
        <v>-24808.5928593041</v>
      </c>
      <c r="T18" s="245" t="n">
        <f aca="false">(AD18-AD17)/$D$2</f>
        <v>0</v>
      </c>
      <c r="U18" s="245" t="n">
        <v>38.8</v>
      </c>
      <c r="V18" s="246" t="n">
        <f aca="false">V17-U18</f>
        <v>870.460000000002</v>
      </c>
      <c r="W18" s="245" t="n">
        <f aca="false">R18+T18+N18+U18</f>
        <v>149.032884518406</v>
      </c>
      <c r="X18" s="245" t="n">
        <f aca="false">IF(L18&lt;0,L18*-1,0)</f>
        <v>57.8730105900151</v>
      </c>
      <c r="Y18" s="245" t="n">
        <f aca="false">W18+X18</f>
        <v>206.905895108422</v>
      </c>
      <c r="Z18" s="249" t="n">
        <v>0</v>
      </c>
      <c r="AA18" s="279" t="n">
        <v>64</v>
      </c>
      <c r="AB18" s="250" t="n">
        <v>34</v>
      </c>
      <c r="AC18" s="251" t="n">
        <f aca="false">AC17+1</f>
        <v>9</v>
      </c>
      <c r="AD18" s="267" t="n">
        <v>40846</v>
      </c>
      <c r="AE18" s="278" t="n">
        <v>24308</v>
      </c>
      <c r="AF18" s="278" t="n">
        <f aca="false">(AG18+AH18)-(AG17+AH17)</f>
        <v>38.3299999999999</v>
      </c>
      <c r="AG18" s="238" t="n">
        <v>4365.42</v>
      </c>
      <c r="AH18" s="238" t="n">
        <v>1361.82</v>
      </c>
      <c r="AI18" s="238" t="n">
        <v>62.07</v>
      </c>
    </row>
    <row r="19" customFormat="false" ht="11.1" hidden="false" customHeight="true" outlineLevel="0" collapsed="false">
      <c r="A19" s="251" t="n">
        <f aca="false">A18+1</f>
        <v>10</v>
      </c>
      <c r="B19" s="269" t="n">
        <v>6896.39</v>
      </c>
      <c r="C19" s="246" t="n">
        <v>270454</v>
      </c>
      <c r="D19" s="250" t="n">
        <f aca="false">C19-C18</f>
        <v>-395</v>
      </c>
      <c r="E19" s="246" t="n">
        <f aca="false">C19-152000</f>
        <v>118454</v>
      </c>
      <c r="F19" s="245" t="n">
        <f aca="false">D19/$D$2</f>
        <v>-199.193141704488</v>
      </c>
      <c r="G19" s="245" t="n">
        <v>75.06</v>
      </c>
      <c r="H19" s="247" t="n">
        <v>0</v>
      </c>
      <c r="I19" s="245" t="n">
        <f aca="false">G19+H19</f>
        <v>75.06</v>
      </c>
      <c r="J19" s="270" t="n">
        <f aca="false">IF(L19&gt;0,L19,0)</f>
        <v>0</v>
      </c>
      <c r="K19" s="245" t="n">
        <f aca="false">I19+J19</f>
        <v>75.06</v>
      </c>
      <c r="L19" s="245" t="n">
        <f aca="false">F19-(I19-W19)</f>
        <v>-13.9531164901664</v>
      </c>
      <c r="M19" s="245" t="n">
        <v>26.49</v>
      </c>
      <c r="N19" s="245" t="n">
        <f aca="false">(AF19*1.05)/$D$2</f>
        <v>22.5726172465961</v>
      </c>
      <c r="O19" s="245" t="n">
        <f aca="false">M19</f>
        <v>26.49</v>
      </c>
      <c r="P19" s="245" t="n">
        <f aca="false">AI19-N19</f>
        <v>154.787382753404</v>
      </c>
      <c r="Q19" s="245" t="n">
        <f aca="false">(AE19-AE18)/$D$2</f>
        <v>17.6500252143217</v>
      </c>
      <c r="R19" s="245" t="n">
        <f aca="false">SUM(O19:Q19)</f>
        <v>198.927407967726</v>
      </c>
      <c r="S19" s="246" t="n">
        <f aca="false">(I19-R19)+S18</f>
        <v>-24932.4602672718</v>
      </c>
      <c r="T19" s="245" t="n">
        <f aca="false">(AD19-AD18)/$D$2</f>
        <v>0</v>
      </c>
      <c r="U19" s="245" t="n">
        <v>38.8</v>
      </c>
      <c r="V19" s="246" t="n">
        <f aca="false">V18-U19</f>
        <v>831.660000000002</v>
      </c>
      <c r="W19" s="245" t="n">
        <f aca="false">R19+T19+N19+U19</f>
        <v>260.300025214322</v>
      </c>
      <c r="X19" s="245" t="n">
        <f aca="false">IF(L19&lt;0,L19*-1,0)</f>
        <v>13.9531164901664</v>
      </c>
      <c r="Y19" s="245" t="n">
        <f aca="false">W19+X19</f>
        <v>274.253141704488</v>
      </c>
      <c r="Z19" s="249" t="n">
        <v>0</v>
      </c>
      <c r="AA19" s="250" t="n">
        <v>72</v>
      </c>
      <c r="AB19" s="250" t="n">
        <v>35</v>
      </c>
      <c r="AC19" s="251" t="n">
        <f aca="false">AC18+1</f>
        <v>10</v>
      </c>
      <c r="AD19" s="267" t="n">
        <v>40846</v>
      </c>
      <c r="AE19" s="278" t="n">
        <v>24343</v>
      </c>
      <c r="AF19" s="278" t="n">
        <f aca="false">(AG19+AH19)-(AG18+AH18)</f>
        <v>42.6300000000001</v>
      </c>
      <c r="AG19" s="238" t="n">
        <v>4387.3</v>
      </c>
      <c r="AH19" s="238" t="n">
        <v>1382.57</v>
      </c>
      <c r="AI19" s="238" t="n">
        <v>177.36</v>
      </c>
    </row>
    <row r="20" customFormat="false" ht="11.1" hidden="false" customHeight="true" outlineLevel="0" collapsed="false">
      <c r="A20" s="251" t="n">
        <f aca="false">A19+1</f>
        <v>11</v>
      </c>
      <c r="B20" s="269" t="n">
        <v>6896.25</v>
      </c>
      <c r="C20" s="246" t="n">
        <v>269952</v>
      </c>
      <c r="D20" s="250" t="n">
        <f aca="false">C20-C19</f>
        <v>-502</v>
      </c>
      <c r="E20" s="246" t="n">
        <f aca="false">C20-152000</f>
        <v>117952</v>
      </c>
      <c r="F20" s="245" t="n">
        <f aca="false">D20/$D$2</f>
        <v>-253.151790216843</v>
      </c>
      <c r="G20" s="245" t="n">
        <v>69.86</v>
      </c>
      <c r="H20" s="247" t="n">
        <v>0</v>
      </c>
      <c r="I20" s="245" t="n">
        <f aca="false">G20+H20</f>
        <v>69.86</v>
      </c>
      <c r="J20" s="270" t="n">
        <f aca="false">IF(L20&gt;0,L20,0)</f>
        <v>0</v>
      </c>
      <c r="K20" s="245" t="n">
        <f aca="false">I20+J20</f>
        <v>69.86</v>
      </c>
      <c r="L20" s="245" t="n">
        <f aca="false">F20-(I20-W20)</f>
        <v>-10.7189056984367</v>
      </c>
      <c r="M20" s="245" t="n">
        <v>25.53</v>
      </c>
      <c r="N20" s="245" t="n">
        <f aca="false">(AF20*1.05)/$D$2</f>
        <v>18.96671709531</v>
      </c>
      <c r="O20" s="245" t="n">
        <f aca="false">M20</f>
        <v>25.53</v>
      </c>
      <c r="P20" s="245" t="n">
        <f aca="false">AI20-N20</f>
        <v>209.83328290469</v>
      </c>
      <c r="Q20" s="245" t="n">
        <f aca="false">(AE20-AE19)/$D$2</f>
        <v>19.1628845184065</v>
      </c>
      <c r="R20" s="245" t="n">
        <f aca="false">SUM(O20:Q20)</f>
        <v>254.526167423096</v>
      </c>
      <c r="S20" s="246" t="n">
        <f aca="false">(I20-R20)+S19</f>
        <v>-25117.1264346949</v>
      </c>
      <c r="T20" s="245" t="n">
        <f aca="false">(AD20-AD19)/$D$2</f>
        <v>0</v>
      </c>
      <c r="U20" s="245" t="n">
        <v>38.8</v>
      </c>
      <c r="V20" s="246" t="n">
        <f aca="false">V19-U20</f>
        <v>792.860000000002</v>
      </c>
      <c r="W20" s="245" t="n">
        <f aca="false">R20+T20+N20+U20</f>
        <v>312.292884518406</v>
      </c>
      <c r="X20" s="245" t="n">
        <f aca="false">IF(L20&lt;0,L20*-1,0)</f>
        <v>10.7189056984367</v>
      </c>
      <c r="Y20" s="245" t="n">
        <f aca="false">W20+X20</f>
        <v>323.011790216843</v>
      </c>
      <c r="Z20" s="249" t="n">
        <v>0</v>
      </c>
      <c r="AA20" s="250" t="n">
        <v>69</v>
      </c>
      <c r="AB20" s="250" t="n">
        <v>36</v>
      </c>
      <c r="AC20" s="251" t="n">
        <f aca="false">AC19+1</f>
        <v>11</v>
      </c>
      <c r="AD20" s="267" t="n">
        <v>40846</v>
      </c>
      <c r="AE20" s="278" t="n">
        <v>24381</v>
      </c>
      <c r="AF20" s="278" t="n">
        <f aca="false">(AG20+AH20)-(AG19+AH19)</f>
        <v>35.8199999999997</v>
      </c>
      <c r="AG20" s="280" t="n">
        <v>4404.24</v>
      </c>
      <c r="AH20" s="280" t="n">
        <v>1401.45</v>
      </c>
      <c r="AI20" s="280" t="n">
        <v>228.8</v>
      </c>
    </row>
    <row r="21" customFormat="false" ht="11.1" hidden="false" customHeight="true" outlineLevel="0" collapsed="false">
      <c r="A21" s="251" t="n">
        <f aca="false">A20+1</f>
        <v>12</v>
      </c>
      <c r="B21" s="269" t="n">
        <v>6896.09</v>
      </c>
      <c r="C21" s="246" t="n">
        <v>269378</v>
      </c>
      <c r="D21" s="250" t="n">
        <f aca="false">C21-C20</f>
        <v>-574</v>
      </c>
      <c r="E21" s="246" t="n">
        <f aca="false">C21-152000</f>
        <v>117378</v>
      </c>
      <c r="F21" s="245" t="n">
        <f aca="false">D21/$D$2</f>
        <v>-289.460413514876</v>
      </c>
      <c r="G21" s="245" t="n">
        <v>67.47</v>
      </c>
      <c r="H21" s="247" t="n">
        <v>0</v>
      </c>
      <c r="I21" s="245" t="n">
        <f aca="false">G21+H21</f>
        <v>67.47</v>
      </c>
      <c r="J21" s="270" t="n">
        <f aca="false">IF(L21&gt;0,L21,0)</f>
        <v>0</v>
      </c>
      <c r="K21" s="245" t="n">
        <f aca="false">I21+J21</f>
        <v>67.47</v>
      </c>
      <c r="L21" s="245" t="n">
        <f aca="false">F21-(I21-W21)</f>
        <v>-55.7446747352496</v>
      </c>
      <c r="M21" s="245" t="n">
        <v>16.43</v>
      </c>
      <c r="N21" s="245" t="n">
        <f aca="false">(AF21*1.05)/$D$2</f>
        <v>17.5953101361576</v>
      </c>
      <c r="O21" s="245" t="n">
        <f aca="false">M21</f>
        <v>16.43</v>
      </c>
      <c r="P21" s="245" t="n">
        <f aca="false">AI21-N21</f>
        <v>211.214689863842</v>
      </c>
      <c r="Q21" s="245" t="n">
        <f aca="false">(AE21-AE20)/$D$2</f>
        <v>17.1457387796268</v>
      </c>
      <c r="R21" s="245" t="n">
        <f aca="false">SUM(O21:Q21)</f>
        <v>244.790428643469</v>
      </c>
      <c r="S21" s="246" t="n">
        <f aca="false">(I21-R21)+S20</f>
        <v>-25294.4468633384</v>
      </c>
      <c r="T21" s="245" t="n">
        <f aca="false">(AD21-AD20)/$D$2</f>
        <v>0</v>
      </c>
      <c r="U21" s="245" t="n">
        <v>38.8</v>
      </c>
      <c r="V21" s="246" t="n">
        <f aca="false">V20-U21</f>
        <v>754.060000000002</v>
      </c>
      <c r="W21" s="245" t="n">
        <f aca="false">R21+T21+N21+U21</f>
        <v>301.185738779627</v>
      </c>
      <c r="X21" s="245" t="n">
        <f aca="false">IF(L21&lt;0,L21*-1,0)</f>
        <v>55.7446747352496</v>
      </c>
      <c r="Y21" s="245" t="n">
        <f aca="false">W21+X21</f>
        <v>356.930413514876</v>
      </c>
      <c r="Z21" s="249" t="n">
        <v>0</v>
      </c>
      <c r="AA21" s="250" t="n">
        <v>68</v>
      </c>
      <c r="AB21" s="250" t="n">
        <v>37</v>
      </c>
      <c r="AC21" s="251" t="n">
        <f aca="false">AC20+1</f>
        <v>12</v>
      </c>
      <c r="AD21" s="267" t="n">
        <v>40846</v>
      </c>
      <c r="AE21" s="267" t="n">
        <v>24415</v>
      </c>
      <c r="AF21" s="278" t="n">
        <f aca="false">(AG21+AH21)-(AG20+AH20)</f>
        <v>33.2300000000005</v>
      </c>
      <c r="AG21" s="238" t="n">
        <v>4423.15</v>
      </c>
      <c r="AH21" s="238" t="n">
        <v>1415.77</v>
      </c>
      <c r="AI21" s="238" t="n">
        <v>228.81</v>
      </c>
    </row>
    <row r="22" customFormat="false" ht="11.1" hidden="false" customHeight="true" outlineLevel="0" collapsed="false">
      <c r="A22" s="251" t="n">
        <f aca="false">A21+1</f>
        <v>13</v>
      </c>
      <c r="B22" s="269" t="n">
        <v>6896.03</v>
      </c>
      <c r="C22" s="246" t="n">
        <v>269162</v>
      </c>
      <c r="D22" s="250" t="n">
        <f aca="false">C22-C21</f>
        <v>-216</v>
      </c>
      <c r="E22" s="246" t="n">
        <f aca="false">C22-152000</f>
        <v>117162</v>
      </c>
      <c r="F22" s="245" t="n">
        <f aca="false">D22/$D$2</f>
        <v>-108.9258698941</v>
      </c>
      <c r="G22" s="245" t="n">
        <v>64.61</v>
      </c>
      <c r="H22" s="247" t="n">
        <v>0</v>
      </c>
      <c r="I22" s="245" t="n">
        <f aca="false">G22+H22</f>
        <v>64.61</v>
      </c>
      <c r="J22" s="270" t="n">
        <f aca="false">IF(L22&gt;0,L22,0)</f>
        <v>139.308441754917</v>
      </c>
      <c r="K22" s="245" t="n">
        <f aca="false">I22+J22</f>
        <v>203.918441754917</v>
      </c>
      <c r="L22" s="245" t="n">
        <f aca="false">F22-(I22-W22)</f>
        <v>139.308441754917</v>
      </c>
      <c r="M22" s="245" t="n">
        <v>25.5</v>
      </c>
      <c r="N22" s="245" t="n">
        <f aca="false">(AF22*1.05)/$D$2</f>
        <v>14.7995461422092</v>
      </c>
      <c r="O22" s="245" t="n">
        <f aca="false">M22</f>
        <v>25.5</v>
      </c>
      <c r="P22" s="245" t="n">
        <f aca="false">AI22-N22</f>
        <v>215.660453857791</v>
      </c>
      <c r="Q22" s="245" t="n">
        <f aca="false">(AE22-AE21)/$D$2</f>
        <v>18.1543116490166</v>
      </c>
      <c r="R22" s="245" t="n">
        <f aca="false">SUM(O22:Q22)</f>
        <v>259.314765506807</v>
      </c>
      <c r="S22" s="246" t="n">
        <f aca="false">(I22-R22)+S21</f>
        <v>-25489.1516288452</v>
      </c>
      <c r="T22" s="245" t="n">
        <f aca="false">(AD22-AD21)/$D$2</f>
        <v>0</v>
      </c>
      <c r="U22" s="245" t="n">
        <v>38.73</v>
      </c>
      <c r="V22" s="246" t="n">
        <f aca="false">V21-U22</f>
        <v>715.330000000002</v>
      </c>
      <c r="W22" s="245" t="n">
        <f aca="false">R22+T22+N22+U22</f>
        <v>312.844311649017</v>
      </c>
      <c r="X22" s="245" t="n">
        <f aca="false">IF(L22&lt;0,L22*-1,0)</f>
        <v>0</v>
      </c>
      <c r="Y22" s="245" t="n">
        <f aca="false">W22+X22</f>
        <v>312.844311649017</v>
      </c>
      <c r="Z22" s="249" t="n">
        <v>0</v>
      </c>
      <c r="AA22" s="250" t="n">
        <v>70</v>
      </c>
      <c r="AB22" s="250" t="n">
        <v>36</v>
      </c>
      <c r="AC22" s="251" t="n">
        <f aca="false">AC21+1</f>
        <v>13</v>
      </c>
      <c r="AD22" s="267" t="n">
        <v>40846</v>
      </c>
      <c r="AE22" s="267" t="n">
        <v>24451</v>
      </c>
      <c r="AF22" s="278" t="n">
        <f aca="false">(AG22+AH22)-(AG21+AH21)</f>
        <v>27.9500000000007</v>
      </c>
      <c r="AG22" s="238" t="n">
        <v>4437.64</v>
      </c>
      <c r="AH22" s="238" t="n">
        <v>1429.23</v>
      </c>
      <c r="AI22" s="238" t="n">
        <v>230.46</v>
      </c>
    </row>
    <row r="23" customFormat="false" ht="11.1" hidden="false" customHeight="true" outlineLevel="0" collapsed="false">
      <c r="A23" s="251" t="n">
        <f aca="false">A22+1</f>
        <v>14</v>
      </c>
      <c r="B23" s="269" t="n">
        <v>6895.97</v>
      </c>
      <c r="C23" s="246" t="n">
        <v>268948</v>
      </c>
      <c r="D23" s="250" t="n">
        <f aca="false">C23-C22</f>
        <v>-214</v>
      </c>
      <c r="E23" s="246" t="n">
        <f aca="false">C23-152000</f>
        <v>116948</v>
      </c>
      <c r="F23" s="245" t="n">
        <f aca="false">D23/$D$2</f>
        <v>-107.91729702471</v>
      </c>
      <c r="G23" s="245" t="n">
        <v>65.79</v>
      </c>
      <c r="H23" s="247" t="n">
        <v>0</v>
      </c>
      <c r="I23" s="245" t="n">
        <f aca="false">G23+H23</f>
        <v>65.79</v>
      </c>
      <c r="J23" s="270" t="n">
        <f aca="false">IF(L23&gt;0,L23,0)</f>
        <v>0</v>
      </c>
      <c r="K23" s="245" t="n">
        <f aca="false">I23+J23</f>
        <v>65.79</v>
      </c>
      <c r="L23" s="245" t="n">
        <f aca="false">F23-(I23-W23)</f>
        <v>-9.90727181038831</v>
      </c>
      <c r="M23" s="245" t="n">
        <v>26.83</v>
      </c>
      <c r="N23" s="245" t="n">
        <f aca="false">(AF23*1.05)/$D$2</f>
        <v>15.254916792738</v>
      </c>
      <c r="O23" s="245" t="n">
        <f aca="false">M23</f>
        <v>26.83</v>
      </c>
      <c r="P23" s="245" t="n">
        <f aca="false">AI23-N23</f>
        <v>65.155083207262</v>
      </c>
      <c r="Q23" s="245" t="n">
        <f aca="false">(AE23-AE22)/$D$2</f>
        <v>17.6500252143217</v>
      </c>
      <c r="R23" s="245" t="n">
        <f aca="false">SUM(O23:Q23)</f>
        <v>109.635108421584</v>
      </c>
      <c r="S23" s="246" t="n">
        <f aca="false">(I23-R23)+S22</f>
        <v>-25532.9967372668</v>
      </c>
      <c r="T23" s="245" t="n">
        <f aca="false">(AD23-AD22)/$D$2</f>
        <v>0</v>
      </c>
      <c r="U23" s="245" t="n">
        <v>38.91</v>
      </c>
      <c r="V23" s="246" t="n">
        <f aca="false">V22-U23</f>
        <v>676.420000000002</v>
      </c>
      <c r="W23" s="245" t="n">
        <f aca="false">R23+T23+N23+U23</f>
        <v>163.800025214322</v>
      </c>
      <c r="X23" s="245" t="n">
        <f aca="false">IF(L23&lt;0,L23*-1,0)</f>
        <v>9.90727181038831</v>
      </c>
      <c r="Y23" s="245" t="n">
        <f aca="false">W23+X23</f>
        <v>173.70729702471</v>
      </c>
      <c r="Z23" s="249" t="n">
        <v>0.24</v>
      </c>
      <c r="AA23" s="279" t="n">
        <v>70</v>
      </c>
      <c r="AB23" s="250" t="n">
        <v>32</v>
      </c>
      <c r="AC23" s="251" t="n">
        <f aca="false">AC22+1</f>
        <v>14</v>
      </c>
      <c r="AD23" s="267" t="n">
        <v>40846</v>
      </c>
      <c r="AE23" s="267" t="n">
        <v>24486</v>
      </c>
      <c r="AF23" s="278" t="n">
        <f aca="false">(AG23+AH23)-(AG22+AH22)</f>
        <v>28.8099999999995</v>
      </c>
      <c r="AG23" s="238" t="n">
        <v>4452.17</v>
      </c>
      <c r="AH23" s="238" t="n">
        <v>1443.51</v>
      </c>
      <c r="AI23" s="238" t="n">
        <v>80.41</v>
      </c>
    </row>
    <row r="24" customFormat="false" ht="11.1" hidden="false" customHeight="true" outlineLevel="0" collapsed="false">
      <c r="A24" s="251" t="n">
        <f aca="false">A23+1</f>
        <v>15</v>
      </c>
      <c r="B24" s="269" t="n">
        <v>6896.02</v>
      </c>
      <c r="C24" s="246" t="n">
        <v>269126</v>
      </c>
      <c r="D24" s="250" t="n">
        <f aca="false">C24-C23</f>
        <v>178</v>
      </c>
      <c r="E24" s="246" t="n">
        <f aca="false">C24-152000</f>
        <v>117126</v>
      </c>
      <c r="F24" s="245" t="n">
        <f aca="false">D24/$D$2</f>
        <v>89.7629853756934</v>
      </c>
      <c r="G24" s="245" t="n">
        <v>77.16</v>
      </c>
      <c r="H24" s="247" t="n">
        <v>0</v>
      </c>
      <c r="I24" s="245" t="n">
        <f aca="false">G24+H24</f>
        <v>77.16</v>
      </c>
      <c r="J24" s="270" t="n">
        <f aca="false">IF(L24&gt;0,L24,0)</f>
        <v>93.9330105900151</v>
      </c>
      <c r="K24" s="245" t="n">
        <f aca="false">I24+J24</f>
        <v>171.093010590015</v>
      </c>
      <c r="L24" s="245" t="n">
        <f aca="false">F24-(I24-W24)</f>
        <v>93.9330105900151</v>
      </c>
      <c r="M24" s="245" t="n">
        <v>24.52</v>
      </c>
      <c r="N24" s="245" t="n">
        <f aca="false">(AF24*1.05)/$D$2</f>
        <v>15.9114977307107</v>
      </c>
      <c r="O24" s="245" t="n">
        <f aca="false">M24</f>
        <v>24.52</v>
      </c>
      <c r="P24" s="245" t="n">
        <f aca="false">AI24-N24</f>
        <v>-15.9114977307107</v>
      </c>
      <c r="Q24" s="245" t="n">
        <f aca="false">(AE24-AE23)/$D$2</f>
        <v>17.6500252143217</v>
      </c>
      <c r="R24" s="245" t="n">
        <f aca="false">SUM(O24:Q24)</f>
        <v>26.2585274836111</v>
      </c>
      <c r="S24" s="246" t="n">
        <f aca="false">(I24-R24)+S23</f>
        <v>-25482.0952647504</v>
      </c>
      <c r="T24" s="245" t="n">
        <f aca="false">(AD24-AD23)/$D$2</f>
        <v>0</v>
      </c>
      <c r="U24" s="245" t="n">
        <v>39.16</v>
      </c>
      <c r="V24" s="246" t="n">
        <f aca="false">V23-U24</f>
        <v>637.260000000002</v>
      </c>
      <c r="W24" s="245" t="n">
        <f aca="false">R24+T24+N24+U24</f>
        <v>81.3300252143217</v>
      </c>
      <c r="X24" s="245" t="n">
        <f aca="false">IF(L24&lt;0,L24*-1,0)</f>
        <v>0</v>
      </c>
      <c r="Y24" s="245" t="n">
        <f aca="false">W24+X24</f>
        <v>81.3300252143217</v>
      </c>
      <c r="Z24" s="249" t="n">
        <v>0.68</v>
      </c>
      <c r="AA24" s="279" t="n">
        <v>52</v>
      </c>
      <c r="AB24" s="250" t="n">
        <v>31</v>
      </c>
      <c r="AC24" s="251" t="n">
        <f aca="false">AC23+1</f>
        <v>15</v>
      </c>
      <c r="AD24" s="267" t="n">
        <v>40846</v>
      </c>
      <c r="AE24" s="267" t="n">
        <v>24521</v>
      </c>
      <c r="AF24" s="278" t="n">
        <f aca="false">(AG24+AH24)-(AG23+AH23)</f>
        <v>30.0499999999993</v>
      </c>
      <c r="AG24" s="238" t="n">
        <v>4466.19</v>
      </c>
      <c r="AH24" s="238" t="n">
        <v>1459.54</v>
      </c>
      <c r="AI24" s="238" t="n">
        <v>0</v>
      </c>
    </row>
    <row r="25" customFormat="false" ht="11.1" hidden="false" customHeight="true" outlineLevel="0" collapsed="false">
      <c r="A25" s="251" t="n">
        <f aca="false">A24+1</f>
        <v>16</v>
      </c>
      <c r="B25" s="269" t="n">
        <v>6896.02</v>
      </c>
      <c r="C25" s="246" t="n">
        <v>269126</v>
      </c>
      <c r="D25" s="250" t="n">
        <f aca="false">C25-C24</f>
        <v>0</v>
      </c>
      <c r="E25" s="246" t="n">
        <f aca="false">C25-152000</f>
        <v>117126</v>
      </c>
      <c r="F25" s="245" t="n">
        <f aca="false">D25/$D$2</f>
        <v>0</v>
      </c>
      <c r="G25" s="245" t="n">
        <v>79.23</v>
      </c>
      <c r="H25" s="247" t="n">
        <v>0</v>
      </c>
      <c r="I25" s="245" t="n">
        <f aca="false">G25+H25</f>
        <v>79.23</v>
      </c>
      <c r="J25" s="270" t="n">
        <f aca="false">IF(L25&gt;0,L25,0)</f>
        <v>1.54002521432173</v>
      </c>
      <c r="K25" s="245" t="n">
        <f aca="false">I25+J25</f>
        <v>80.7700252143217</v>
      </c>
      <c r="L25" s="245" t="n">
        <f aca="false">F25-(I25-W25)</f>
        <v>1.54002521432173</v>
      </c>
      <c r="M25" s="245" t="n">
        <v>24.2</v>
      </c>
      <c r="N25" s="245" t="n">
        <f aca="false">(AF25*1.05)/$D$2</f>
        <v>11.1883509833586</v>
      </c>
      <c r="O25" s="245" t="n">
        <f aca="false">M25</f>
        <v>24.2</v>
      </c>
      <c r="P25" s="245" t="n">
        <f aca="false">AI25-N25</f>
        <v>-11.1883509833586</v>
      </c>
      <c r="Q25" s="245" t="n">
        <f aca="false">(AE25-AE24)/$D$2</f>
        <v>17.6500252143217</v>
      </c>
      <c r="R25" s="245" t="n">
        <f aca="false">SUM(O25:Q25)</f>
        <v>30.6616742309631</v>
      </c>
      <c r="S25" s="246" t="n">
        <f aca="false">(I25-R25)+S24</f>
        <v>-25433.5269389813</v>
      </c>
      <c r="T25" s="245" t="n">
        <f aca="false">(AD25-AD24)/$D$2</f>
        <v>0</v>
      </c>
      <c r="U25" s="245" t="n">
        <v>38.92</v>
      </c>
      <c r="V25" s="246" t="n">
        <f aca="false">V24-U25</f>
        <v>598.340000000002</v>
      </c>
      <c r="W25" s="245" t="n">
        <f aca="false">R25+T25+N25+U25</f>
        <v>80.7700252143217</v>
      </c>
      <c r="X25" s="245" t="n">
        <f aca="false">IF(L25&lt;0,L25*-1,0)</f>
        <v>0</v>
      </c>
      <c r="Y25" s="245" t="n">
        <f aca="false">W25+X25</f>
        <v>80.7700252143217</v>
      </c>
      <c r="Z25" s="249" t="n">
        <v>0.36</v>
      </c>
      <c r="AA25" s="279" t="n">
        <v>40</v>
      </c>
      <c r="AB25" s="250" t="n">
        <v>30</v>
      </c>
      <c r="AC25" s="251" t="n">
        <f aca="false">AC24+1</f>
        <v>16</v>
      </c>
      <c r="AD25" s="267" t="n">
        <v>40846</v>
      </c>
      <c r="AE25" s="267" t="n">
        <v>24556</v>
      </c>
      <c r="AF25" s="278" t="n">
        <f aca="false">(AG25+AH25)-(AG24+AH24)</f>
        <v>21.1300000000001</v>
      </c>
      <c r="AG25" s="238" t="n">
        <v>4476.33</v>
      </c>
      <c r="AH25" s="238" t="n">
        <v>1470.53</v>
      </c>
      <c r="AI25" s="238" t="n">
        <v>0</v>
      </c>
    </row>
    <row r="26" customFormat="false" ht="11.1" hidden="false" customHeight="true" outlineLevel="0" collapsed="false">
      <c r="A26" s="251" t="n">
        <f aca="false">A25+1</f>
        <v>17</v>
      </c>
      <c r="B26" s="269" t="n">
        <v>6896.02</v>
      </c>
      <c r="C26" s="246" t="n">
        <v>269126</v>
      </c>
      <c r="D26" s="250" t="n">
        <f aca="false">C26-C25</f>
        <v>0</v>
      </c>
      <c r="E26" s="246" t="n">
        <f aca="false">C26-152000</f>
        <v>117126</v>
      </c>
      <c r="F26" s="245" t="n">
        <f aca="false">D26/$D$2</f>
        <v>0</v>
      </c>
      <c r="G26" s="245" t="n">
        <v>73.37</v>
      </c>
      <c r="H26" s="247" t="n">
        <v>0</v>
      </c>
      <c r="I26" s="245" t="n">
        <f aca="false">G26+H26</f>
        <v>73.37</v>
      </c>
      <c r="J26" s="270" t="n">
        <f aca="false">IF(L26&gt;0,L26,0)</f>
        <v>2.95144730206758</v>
      </c>
      <c r="K26" s="245" t="n">
        <f aca="false">I26+J26</f>
        <v>76.3214473020676</v>
      </c>
      <c r="L26" s="245" t="n">
        <f aca="false">F26-(I26-W26)</f>
        <v>2.95144730206758</v>
      </c>
      <c r="M26" s="245" t="n">
        <v>23.81</v>
      </c>
      <c r="N26" s="245" t="n">
        <f aca="false">(AF26*1.05)/$D$2</f>
        <v>9.05446293494676</v>
      </c>
      <c r="O26" s="245" t="n">
        <f aca="false">M26</f>
        <v>23.81</v>
      </c>
      <c r="P26" s="245" t="n">
        <f aca="false">AI26-N26</f>
        <v>-9.05446293494676</v>
      </c>
      <c r="Q26" s="245" t="n">
        <f aca="false">(AE26-AE25)/$D$2</f>
        <v>13.1114473020676</v>
      </c>
      <c r="R26" s="245" t="n">
        <f aca="false">SUM(O26:Q26)</f>
        <v>27.8669843671208</v>
      </c>
      <c r="S26" s="246" t="n">
        <f aca="false">(I26-R26)+S25</f>
        <v>-25388.0239233485</v>
      </c>
      <c r="T26" s="245" t="n">
        <f aca="false">(AD26-AD25)/$D$2</f>
        <v>0</v>
      </c>
      <c r="U26" s="245" t="n">
        <v>39.4</v>
      </c>
      <c r="V26" s="246" t="n">
        <f aca="false">V25-U26</f>
        <v>558.940000000002</v>
      </c>
      <c r="W26" s="245" t="n">
        <f aca="false">R26+T26+N26+U26</f>
        <v>76.3214473020676</v>
      </c>
      <c r="X26" s="245" t="n">
        <f aca="false">IF(L26&lt;0,L26*-1,0)</f>
        <v>0</v>
      </c>
      <c r="Y26" s="245" t="n">
        <f aca="false">W26+X26</f>
        <v>76.3214473020676</v>
      </c>
      <c r="Z26" s="249" t="n">
        <v>0</v>
      </c>
      <c r="AA26" s="279" t="n">
        <v>44</v>
      </c>
      <c r="AB26" s="250" t="n">
        <v>30</v>
      </c>
      <c r="AC26" s="251" t="n">
        <f aca="false">AC25+1</f>
        <v>17</v>
      </c>
      <c r="AD26" s="267" t="n">
        <v>40846</v>
      </c>
      <c r="AE26" s="267" t="n">
        <v>24582</v>
      </c>
      <c r="AF26" s="278" t="n">
        <f aca="false">(AG26+AH26)-(AG25+AH25)</f>
        <v>17.0999999999995</v>
      </c>
      <c r="AG26" s="238" t="n">
        <v>4483.98</v>
      </c>
      <c r="AH26" s="238" t="n">
        <v>1479.98</v>
      </c>
      <c r="AI26" s="238" t="n">
        <v>0</v>
      </c>
    </row>
    <row r="27" customFormat="false" ht="11.1" hidden="false" customHeight="true" outlineLevel="0" collapsed="false">
      <c r="A27" s="251" t="n">
        <f aca="false">A26+1</f>
        <v>18</v>
      </c>
      <c r="B27" s="269" t="n">
        <v>6896.02</v>
      </c>
      <c r="C27" s="246" t="n">
        <v>269126</v>
      </c>
      <c r="D27" s="250" t="n">
        <f aca="false">C27-C26</f>
        <v>0</v>
      </c>
      <c r="E27" s="246" t="n">
        <f aca="false">C27-152000</f>
        <v>117126</v>
      </c>
      <c r="F27" s="245" t="n">
        <f aca="false">D27/$D$2</f>
        <v>0</v>
      </c>
      <c r="G27" s="245" t="n">
        <v>72.45</v>
      </c>
      <c r="H27" s="247" t="n">
        <v>0</v>
      </c>
      <c r="I27" s="245" t="n">
        <f aca="false">G27+H27</f>
        <v>72.45</v>
      </c>
      <c r="J27" s="270" t="n">
        <f aca="false">IF(L27&gt;0,L27,0)</f>
        <v>3.70144730206756</v>
      </c>
      <c r="K27" s="245" t="n">
        <f aca="false">I27+J27</f>
        <v>76.1514473020676</v>
      </c>
      <c r="L27" s="245" t="n">
        <f aca="false">F27-(I27-W27)</f>
        <v>3.70144730206756</v>
      </c>
      <c r="M27" s="245" t="n">
        <v>23.44</v>
      </c>
      <c r="N27" s="245" t="n">
        <f aca="false">(AF27*1.05)/$D$2</f>
        <v>3.74357034795845</v>
      </c>
      <c r="O27" s="245" t="n">
        <f aca="false">M27</f>
        <v>23.44</v>
      </c>
      <c r="P27" s="245" t="n">
        <f aca="false">AI27-N27</f>
        <v>-3.74357034795845</v>
      </c>
      <c r="Q27" s="245" t="n">
        <f aca="false">(AE27-AE26)/$D$2</f>
        <v>13.1114473020676</v>
      </c>
      <c r="R27" s="245" t="n">
        <f aca="false">SUM(O27:Q27)</f>
        <v>32.8078769541091</v>
      </c>
      <c r="S27" s="246" t="n">
        <f aca="false">(I27-R27)+S26</f>
        <v>-25348.3818003026</v>
      </c>
      <c r="T27" s="245" t="n">
        <f aca="false">(AD27-AD26)/$D$2</f>
        <v>0</v>
      </c>
      <c r="U27" s="245" t="n">
        <v>39.6</v>
      </c>
      <c r="V27" s="246" t="n">
        <f aca="false">V26-U27</f>
        <v>519.340000000002</v>
      </c>
      <c r="W27" s="245" t="n">
        <f aca="false">R27+T27+N27+U27</f>
        <v>76.1514473020676</v>
      </c>
      <c r="X27" s="245" t="n">
        <f aca="false">IF(L27&lt;0,L27*-1,0)</f>
        <v>0</v>
      </c>
      <c r="Y27" s="245" t="n">
        <f aca="false">W27+X27</f>
        <v>76.1514473020676</v>
      </c>
      <c r="Z27" s="249" t="n">
        <v>0</v>
      </c>
      <c r="AA27" s="279" t="n">
        <v>51</v>
      </c>
      <c r="AB27" s="250" t="n">
        <v>29</v>
      </c>
      <c r="AC27" s="251" t="n">
        <f aca="false">AC26+1</f>
        <v>18</v>
      </c>
      <c r="AD27" s="267" t="n">
        <v>40846</v>
      </c>
      <c r="AE27" s="267" t="n">
        <v>24608</v>
      </c>
      <c r="AF27" s="278" t="n">
        <f aca="false">(AG27+AH27)-(AG26+AH26)</f>
        <v>7.07000000000153</v>
      </c>
      <c r="AG27" s="238" t="n">
        <v>4487.27</v>
      </c>
      <c r="AH27" s="238" t="n">
        <v>1483.76</v>
      </c>
      <c r="AI27" s="238" t="n">
        <v>0</v>
      </c>
    </row>
    <row r="28" customFormat="false" ht="11.1" hidden="false" customHeight="true" outlineLevel="0" collapsed="false">
      <c r="A28" s="251" t="n">
        <f aca="false">A27+1</f>
        <v>19</v>
      </c>
      <c r="B28" s="269" t="n">
        <v>6896.04</v>
      </c>
      <c r="C28" s="46" t="n">
        <v>269198</v>
      </c>
      <c r="D28" s="250" t="n">
        <f aca="false">C28-C27</f>
        <v>72</v>
      </c>
      <c r="E28" s="246" t="n">
        <f aca="false">C28-152000</f>
        <v>117198</v>
      </c>
      <c r="F28" s="245" t="n">
        <f aca="false">D28/$D$2</f>
        <v>36.3086232980333</v>
      </c>
      <c r="G28" s="245" t="n">
        <v>73.73</v>
      </c>
      <c r="H28" s="247" t="n">
        <v>0</v>
      </c>
      <c r="I28" s="245" t="n">
        <f aca="false">G28+H28</f>
        <v>73.73</v>
      </c>
      <c r="J28" s="270" t="n">
        <f aca="false">IF(L28&gt;0,L28,0)</f>
        <v>38.0300706001009</v>
      </c>
      <c r="K28" s="245" t="n">
        <f aca="false">I28+J28</f>
        <v>111.760070600101</v>
      </c>
      <c r="L28" s="245" t="n">
        <f aca="false">F28-(I28-W28)</f>
        <v>38.0300706001009</v>
      </c>
      <c r="M28" s="245" t="n">
        <v>22.7</v>
      </c>
      <c r="N28" s="245" t="n">
        <f aca="false">(AF28*1.05)/$D$2</f>
        <v>4.31543116490099</v>
      </c>
      <c r="O28" s="245" t="n">
        <f aca="false">M28</f>
        <v>22.7</v>
      </c>
      <c r="P28" s="245" t="n">
        <f aca="false">AI28-N28</f>
        <v>-4.31543116490099</v>
      </c>
      <c r="Q28" s="245" t="n">
        <f aca="false">(AE28-AE27)/$D$2</f>
        <v>13.1114473020676</v>
      </c>
      <c r="R28" s="245" t="n">
        <f aca="false">SUM(O28:Q28)</f>
        <v>31.4960161371666</v>
      </c>
      <c r="S28" s="246" t="n">
        <f aca="false">(I28-R28)+S27</f>
        <v>-25306.1478164397</v>
      </c>
      <c r="T28" s="245" t="n">
        <f aca="false">(AD28-AD27)/$D$2</f>
        <v>0</v>
      </c>
      <c r="U28" s="245" t="n">
        <v>39.64</v>
      </c>
      <c r="V28" s="246" t="n">
        <f aca="false">V27-U28</f>
        <v>479.700000000002</v>
      </c>
      <c r="W28" s="245" t="n">
        <f aca="false">R28+T28+N28+U28</f>
        <v>75.4514473020676</v>
      </c>
      <c r="X28" s="245" t="n">
        <f aca="false">IF(L28&lt;0,L28*-1,0)</f>
        <v>0</v>
      </c>
      <c r="Y28" s="245" t="n">
        <f aca="false">W28+X28</f>
        <v>75.4514473020676</v>
      </c>
      <c r="Z28" s="249" t="n">
        <v>0</v>
      </c>
      <c r="AA28" s="279" t="n">
        <v>59</v>
      </c>
      <c r="AB28" s="250" t="n">
        <v>33</v>
      </c>
      <c r="AC28" s="251" t="n">
        <f aca="false">AC27+1</f>
        <v>19</v>
      </c>
      <c r="AD28" s="267" t="n">
        <v>40846</v>
      </c>
      <c r="AE28" s="267" t="n">
        <v>24634</v>
      </c>
      <c r="AF28" s="278" t="n">
        <f aca="false">(AG28+AH28)-(AG27+AH27)</f>
        <v>8.14999999999873</v>
      </c>
      <c r="AG28" s="238" t="n">
        <v>4491.36</v>
      </c>
      <c r="AH28" s="238" t="n">
        <v>1487.82</v>
      </c>
      <c r="AI28" s="238" t="n">
        <v>0</v>
      </c>
    </row>
    <row r="29" customFormat="false" ht="11.1" hidden="false" customHeight="true" outlineLevel="0" collapsed="false">
      <c r="A29" s="251" t="n">
        <f aca="false">A28+1</f>
        <v>20</v>
      </c>
      <c r="B29" s="269" t="n">
        <v>6896.04</v>
      </c>
      <c r="C29" s="246" t="n">
        <v>269198</v>
      </c>
      <c r="D29" s="250" t="n">
        <f aca="false">C29-C28</f>
        <v>0</v>
      </c>
      <c r="E29" s="246" t="n">
        <f aca="false">C29-152000</f>
        <v>117198</v>
      </c>
      <c r="F29" s="245" t="n">
        <f aca="false">D29/$D$2</f>
        <v>0</v>
      </c>
      <c r="G29" s="245" t="n">
        <v>70.33</v>
      </c>
      <c r="H29" s="247" t="n">
        <v>0</v>
      </c>
      <c r="I29" s="245" t="n">
        <f aca="false">G29+H29</f>
        <v>70.33</v>
      </c>
      <c r="J29" s="270" t="n">
        <f aca="false">IF(L29&gt;0,L29,0)</f>
        <v>4.19716086737266</v>
      </c>
      <c r="K29" s="245" t="n">
        <f aca="false">I29+J29</f>
        <v>74.5271608673727</v>
      </c>
      <c r="L29" s="245" t="n">
        <f aca="false">F29-(I29-W29)</f>
        <v>4.19716086737266</v>
      </c>
      <c r="M29" s="245" t="n">
        <v>22.2</v>
      </c>
      <c r="N29" s="245" t="n">
        <f aca="false">(AF29*1.05)/$D$2</f>
        <v>10.1505295007569</v>
      </c>
      <c r="O29" s="245" t="n">
        <f aca="false">M29</f>
        <v>22.2</v>
      </c>
      <c r="P29" s="245" t="n">
        <f aca="false">AI29-N29</f>
        <v>-10.1505295007569</v>
      </c>
      <c r="Q29" s="245" t="n">
        <f aca="false">(AE29-AE28)/$D$2</f>
        <v>12.6071608673727</v>
      </c>
      <c r="R29" s="245" t="n">
        <f aca="false">SUM(O29:Q29)</f>
        <v>24.6566313666157</v>
      </c>
      <c r="S29" s="246" t="n">
        <f aca="false">(I29-R29)+S28</f>
        <v>-25260.4744478064</v>
      </c>
      <c r="T29" s="245" t="n">
        <f aca="false">(AD29-AD28)/$D$2</f>
        <v>0</v>
      </c>
      <c r="U29" s="245" t="n">
        <v>39.72</v>
      </c>
      <c r="V29" s="246" t="n">
        <f aca="false">V28-U29</f>
        <v>439.980000000002</v>
      </c>
      <c r="W29" s="245" t="n">
        <f aca="false">R29+T29+N29+U29</f>
        <v>74.5271608673727</v>
      </c>
      <c r="X29" s="245" t="n">
        <f aca="false">IF(L29&lt;0,L29*-1,0)</f>
        <v>0</v>
      </c>
      <c r="Y29" s="245" t="n">
        <f aca="false">W29+X29</f>
        <v>74.5271608673727</v>
      </c>
      <c r="Z29" s="249" t="n">
        <v>0</v>
      </c>
      <c r="AA29" s="279" t="n">
        <v>59</v>
      </c>
      <c r="AB29" s="250" t="n">
        <v>32</v>
      </c>
      <c r="AC29" s="251" t="n">
        <f aca="false">AC28+1</f>
        <v>20</v>
      </c>
      <c r="AD29" s="267" t="n">
        <v>40846</v>
      </c>
      <c r="AE29" s="267" t="n">
        <v>24659</v>
      </c>
      <c r="AF29" s="278" t="n">
        <f aca="false">(AG29+AH29)-(AG28+AH28)</f>
        <v>19.170000000001</v>
      </c>
      <c r="AG29" s="238" t="n">
        <v>4499.83</v>
      </c>
      <c r="AH29" s="238" t="n">
        <v>1498.52</v>
      </c>
      <c r="AI29" s="238" t="n">
        <v>0</v>
      </c>
    </row>
    <row r="30" customFormat="false" ht="11.1" hidden="false" customHeight="true" outlineLevel="0" collapsed="false">
      <c r="A30" s="251" t="n">
        <f aca="false">A29+1</f>
        <v>21</v>
      </c>
      <c r="B30" s="269" t="n">
        <v>6896</v>
      </c>
      <c r="C30" s="246" t="n">
        <v>269055</v>
      </c>
      <c r="D30" s="250" t="n">
        <f aca="false">C30-C29</f>
        <v>-143</v>
      </c>
      <c r="E30" s="246" t="n">
        <f aca="false">C30-152000</f>
        <v>117055</v>
      </c>
      <c r="F30" s="245" t="n">
        <f aca="false">D30/$D$2</f>
        <v>-72.1129601613717</v>
      </c>
      <c r="G30" s="245" t="n">
        <v>66.75</v>
      </c>
      <c r="H30" s="247" t="n">
        <v>0</v>
      </c>
      <c r="I30" s="245" t="n">
        <f aca="false">G30+H30</f>
        <v>66.75</v>
      </c>
      <c r="J30" s="270" t="n">
        <f aca="false">IF(L30&gt;0,L30,0)</f>
        <v>0</v>
      </c>
      <c r="K30" s="245" t="n">
        <f aca="false">I30+J30</f>
        <v>66.75</v>
      </c>
      <c r="L30" s="245" t="n">
        <f aca="false">F30-(I30-W30)</f>
        <v>-64.155799293999</v>
      </c>
      <c r="M30" s="245" t="n">
        <v>22.23</v>
      </c>
      <c r="N30" s="245" t="n">
        <f aca="false">(AF30*1.05)/$D$2</f>
        <v>15.2972768532523</v>
      </c>
      <c r="O30" s="245" t="n">
        <f aca="false">M30</f>
        <v>22.23</v>
      </c>
      <c r="P30" s="245" t="n">
        <f aca="false">AI30-N30</f>
        <v>-15.2972768532523</v>
      </c>
      <c r="Q30" s="245" t="n">
        <f aca="false">(AE30-AE29)/$D$2</f>
        <v>12.6071608673727</v>
      </c>
      <c r="R30" s="245" t="n">
        <f aca="false">SUM(O30:Q30)</f>
        <v>19.5398840141203</v>
      </c>
      <c r="S30" s="246" t="n">
        <f aca="false">(I30-R30)+S29</f>
        <v>-25213.2643318205</v>
      </c>
      <c r="T30" s="245" t="n">
        <f aca="false">(AD30-AD29)/$D$2</f>
        <v>0</v>
      </c>
      <c r="U30" s="245" t="n">
        <v>39.87</v>
      </c>
      <c r="V30" s="246" t="n">
        <f aca="false">V29-U30</f>
        <v>400.110000000002</v>
      </c>
      <c r="W30" s="245" t="n">
        <f aca="false">R30+T30+N30+U30</f>
        <v>74.7071608673727</v>
      </c>
      <c r="X30" s="245" t="n">
        <f aca="false">IF(L30&lt;0,L30*-1,0)</f>
        <v>64.155799293999</v>
      </c>
      <c r="Y30" s="245" t="n">
        <f aca="false">W30+X30</f>
        <v>138.862960161372</v>
      </c>
      <c r="Z30" s="249" t="n">
        <v>0</v>
      </c>
      <c r="AA30" s="250" t="n">
        <v>60</v>
      </c>
      <c r="AB30" s="250" t="n">
        <v>27</v>
      </c>
      <c r="AC30" s="251" t="n">
        <f aca="false">AC29+1</f>
        <v>21</v>
      </c>
      <c r="AD30" s="267" t="n">
        <v>40846</v>
      </c>
      <c r="AE30" s="267" t="n">
        <v>24684</v>
      </c>
      <c r="AF30" s="278" t="n">
        <f aca="false">(AG30+AH30)-(AG29+AH29)</f>
        <v>28.8899999999994</v>
      </c>
      <c r="AG30" s="238" t="n">
        <v>4514.7</v>
      </c>
      <c r="AH30" s="238" t="n">
        <v>1512.54</v>
      </c>
      <c r="AI30" s="238" t="n">
        <v>0</v>
      </c>
    </row>
    <row r="31" customFormat="false" ht="11.1" hidden="false" customHeight="true" outlineLevel="0" collapsed="false">
      <c r="A31" s="251" t="n">
        <f aca="false">A30+1</f>
        <v>22</v>
      </c>
      <c r="B31" s="269" t="n">
        <v>6896.02</v>
      </c>
      <c r="C31" s="246" t="n">
        <v>269126</v>
      </c>
      <c r="D31" s="250" t="n">
        <f aca="false">C31-C30</f>
        <v>71</v>
      </c>
      <c r="E31" s="246" t="n">
        <f aca="false">C31-152000</f>
        <v>117126</v>
      </c>
      <c r="F31" s="245" t="n">
        <f aca="false">D31/$D$2</f>
        <v>35.8043368633384</v>
      </c>
      <c r="G31" s="245" t="n">
        <v>66.08</v>
      </c>
      <c r="H31" s="247" t="n">
        <v>0</v>
      </c>
      <c r="I31" s="245" t="n">
        <f aca="false">G31+H31</f>
        <v>66.08</v>
      </c>
      <c r="J31" s="270" t="n">
        <f aca="false">IF(L31&gt;0,L31,0)</f>
        <v>44.8314977307111</v>
      </c>
      <c r="K31" s="245" t="n">
        <f aca="false">I31+J31</f>
        <v>110.911497730711</v>
      </c>
      <c r="L31" s="245" t="n">
        <f aca="false">F31-(I31-W31)</f>
        <v>44.8314977307111</v>
      </c>
      <c r="M31" s="245" t="n">
        <v>22.29</v>
      </c>
      <c r="N31" s="245" t="n">
        <f aca="false">(AF31*1.05)/$D$2</f>
        <v>9.197428139183</v>
      </c>
      <c r="O31" s="245" t="n">
        <f aca="false">M31</f>
        <v>22.29</v>
      </c>
      <c r="P31" s="245" t="n">
        <f aca="false">AI31-N31</f>
        <v>-9.197428139183</v>
      </c>
      <c r="Q31" s="245" t="n">
        <f aca="false">(AE31-AE30)/$D$2</f>
        <v>12.6071608673727</v>
      </c>
      <c r="R31" s="245" t="n">
        <f aca="false">SUM(O31:Q31)</f>
        <v>25.6997327281897</v>
      </c>
      <c r="S31" s="246" t="n">
        <f aca="false">(I31-R31)+S30</f>
        <v>-25172.8840645487</v>
      </c>
      <c r="T31" s="245" t="n">
        <f aca="false">(AD31-AD30)/$D$2</f>
        <v>0</v>
      </c>
      <c r="U31" s="245" t="n">
        <v>40.21</v>
      </c>
      <c r="V31" s="246" t="n">
        <f aca="false">V30-U31</f>
        <v>359.900000000002</v>
      </c>
      <c r="W31" s="245" t="n">
        <f aca="false">R31+T31+N31+U31</f>
        <v>75.1071608673727</v>
      </c>
      <c r="X31" s="245" t="n">
        <f aca="false">IF(L31&lt;0,L31*-1,0)</f>
        <v>0</v>
      </c>
      <c r="Y31" s="245" t="n">
        <f aca="false">W31+X31</f>
        <v>75.1071608673727</v>
      </c>
      <c r="Z31" s="249" t="n">
        <v>0</v>
      </c>
      <c r="AA31" s="250" t="n">
        <v>63</v>
      </c>
      <c r="AB31" s="250" t="n">
        <v>34</v>
      </c>
      <c r="AC31" s="251" t="n">
        <f aca="false">AC30+1</f>
        <v>22</v>
      </c>
      <c r="AD31" s="267" t="n">
        <v>40846</v>
      </c>
      <c r="AE31" s="267" t="n">
        <v>24709</v>
      </c>
      <c r="AF31" s="278" t="n">
        <f aca="false">(AG31+AH31)-(AG30+AH30)</f>
        <v>17.3699999999999</v>
      </c>
      <c r="AG31" s="280" t="n">
        <v>4523.7</v>
      </c>
      <c r="AH31" s="280" t="n">
        <v>1520.91</v>
      </c>
      <c r="AI31" s="280" t="n">
        <v>0</v>
      </c>
    </row>
    <row r="32" customFormat="false" ht="11.1" hidden="false" customHeight="true" outlineLevel="0" collapsed="false">
      <c r="A32" s="251" t="n">
        <f aca="false">A31+1</f>
        <v>23</v>
      </c>
      <c r="B32" s="269" t="n">
        <v>6896</v>
      </c>
      <c r="C32" s="246" t="n">
        <v>269055</v>
      </c>
      <c r="D32" s="250" t="n">
        <f aca="false">C32-C31</f>
        <v>-71</v>
      </c>
      <c r="E32" s="246" t="n">
        <f aca="false">C32-152000</f>
        <v>117055</v>
      </c>
      <c r="F32" s="245" t="n">
        <f aca="false">D32/$D$2</f>
        <v>-35.8043368633384</v>
      </c>
      <c r="G32" s="245" t="n">
        <v>65.87</v>
      </c>
      <c r="H32" s="247" t="n">
        <v>0</v>
      </c>
      <c r="I32" s="245" t="n">
        <f aca="false">G32+H32</f>
        <v>65.87</v>
      </c>
      <c r="J32" s="270" t="n">
        <f aca="false">IF(L32&gt;0,L32,0)</f>
        <v>0</v>
      </c>
      <c r="K32" s="245" t="n">
        <f aca="false">I32+J32</f>
        <v>65.87</v>
      </c>
      <c r="L32" s="245" t="n">
        <f aca="false">F32-(I32-W32)</f>
        <v>-26.8071759959657</v>
      </c>
      <c r="M32" s="245" t="n">
        <v>22.23</v>
      </c>
      <c r="N32" s="245" t="n">
        <f aca="false">(AF32*1.05)/$D$2</f>
        <v>11.034795763994</v>
      </c>
      <c r="O32" s="245" t="n">
        <f aca="false">M32</f>
        <v>22.23</v>
      </c>
      <c r="P32" s="245" t="n">
        <f aca="false">AI32-N32</f>
        <v>-11.034795763994</v>
      </c>
      <c r="Q32" s="245" t="n">
        <f aca="false">(AE32-AE31)/$D$2</f>
        <v>12.6071608673727</v>
      </c>
      <c r="R32" s="245" t="n">
        <f aca="false">SUM(O32:Q32)</f>
        <v>23.8023651033786</v>
      </c>
      <c r="S32" s="246" t="n">
        <f aca="false">(I32-R32)+S31</f>
        <v>-25130.816429652</v>
      </c>
      <c r="T32" s="245" t="n">
        <f aca="false">(AD32-AD31)/$D$2</f>
        <v>0</v>
      </c>
      <c r="U32" s="245" t="n">
        <v>40.03</v>
      </c>
      <c r="V32" s="246" t="n">
        <f aca="false">V31-U32</f>
        <v>319.870000000002</v>
      </c>
      <c r="W32" s="245" t="n">
        <f aca="false">R32+T32+N32+U32</f>
        <v>74.8671608673727</v>
      </c>
      <c r="X32" s="245" t="n">
        <f aca="false">IF(L32&lt;0,L32*-1,0)</f>
        <v>26.8071759959657</v>
      </c>
      <c r="Y32" s="245" t="n">
        <f aca="false">W32+X32</f>
        <v>101.674336863338</v>
      </c>
      <c r="Z32" s="249" t="n">
        <v>0</v>
      </c>
      <c r="AA32" s="250" t="n">
        <v>63</v>
      </c>
      <c r="AB32" s="279" t="n">
        <v>33</v>
      </c>
      <c r="AC32" s="251" t="n">
        <f aca="false">AC31+1</f>
        <v>23</v>
      </c>
      <c r="AD32" s="267" t="n">
        <v>40846</v>
      </c>
      <c r="AE32" s="267" t="n">
        <v>24734</v>
      </c>
      <c r="AF32" s="278" t="n">
        <f aca="false">(AG32+AH32)-(AG31+AH31)</f>
        <v>20.8400000000001</v>
      </c>
      <c r="AG32" s="238" t="n">
        <v>4534.33</v>
      </c>
      <c r="AH32" s="238" t="n">
        <v>1531.12</v>
      </c>
      <c r="AI32" s="238" t="n">
        <v>0</v>
      </c>
    </row>
    <row r="33" customFormat="false" ht="11.1" hidden="false" customHeight="true" outlineLevel="0" collapsed="false">
      <c r="A33" s="251" t="n">
        <f aca="false">A32+1</f>
        <v>24</v>
      </c>
      <c r="B33" s="269" t="n">
        <v>6896</v>
      </c>
      <c r="C33" s="246" t="n">
        <v>269055</v>
      </c>
      <c r="D33" s="250" t="n">
        <f aca="false">C33-C32</f>
        <v>0</v>
      </c>
      <c r="E33" s="246" t="n">
        <f aca="false">C33-152000</f>
        <v>117055</v>
      </c>
      <c r="F33" s="245" t="n">
        <f aca="false">D33/$D$2</f>
        <v>0</v>
      </c>
      <c r="G33" s="245" t="n">
        <v>66.11</v>
      </c>
      <c r="H33" s="247" t="n">
        <v>0</v>
      </c>
      <c r="I33" s="245" t="n">
        <f aca="false">G33+H33</f>
        <v>66.11</v>
      </c>
      <c r="J33" s="270" t="n">
        <f aca="false">IF(L33&gt;0,L33,0)</f>
        <v>8.45716086737266</v>
      </c>
      <c r="K33" s="245" t="n">
        <f aca="false">I33+J33</f>
        <v>74.5671608673727</v>
      </c>
      <c r="L33" s="245" t="n">
        <f aca="false">F33-(I33-W33)</f>
        <v>8.45716086737266</v>
      </c>
      <c r="M33" s="245" t="n">
        <v>22.2</v>
      </c>
      <c r="N33" s="245" t="n">
        <f aca="false">(AF33*1.05)/$D$2</f>
        <v>9.87518910741282</v>
      </c>
      <c r="O33" s="245" t="n">
        <f aca="false">M33</f>
        <v>22.2</v>
      </c>
      <c r="P33" s="245" t="n">
        <f aca="false">AI33-N33</f>
        <v>-9.87518910741282</v>
      </c>
      <c r="Q33" s="245" t="n">
        <f aca="false">(AE33-AE32)/$D$2</f>
        <v>12.6071608673727</v>
      </c>
      <c r="R33" s="245" t="n">
        <f aca="false">SUM(O33:Q33)</f>
        <v>24.9319717599598</v>
      </c>
      <c r="S33" s="246" t="n">
        <f aca="false">(I33-R33)+S32</f>
        <v>-25089.638401412</v>
      </c>
      <c r="T33" s="245" t="n">
        <f aca="false">(AD33-AD32)/$D$2</f>
        <v>0</v>
      </c>
      <c r="U33" s="245" t="n">
        <v>39.76</v>
      </c>
      <c r="V33" s="246" t="n">
        <f aca="false">V32-U33</f>
        <v>280.110000000002</v>
      </c>
      <c r="W33" s="245" t="n">
        <f aca="false">R33+T33+N33+U33</f>
        <v>74.5671608673727</v>
      </c>
      <c r="X33" s="245" t="n">
        <f aca="false">IF(L33&lt;0,L33*-1,0)</f>
        <v>0</v>
      </c>
      <c r="Y33" s="245" t="n">
        <f aca="false">W33+X33</f>
        <v>74.5671608673727</v>
      </c>
      <c r="Z33" s="249" t="n">
        <v>0</v>
      </c>
      <c r="AA33" s="250" t="n">
        <v>61</v>
      </c>
      <c r="AB33" s="279" t="n">
        <v>33</v>
      </c>
      <c r="AC33" s="251" t="n">
        <f aca="false">AC32+1</f>
        <v>24</v>
      </c>
      <c r="AD33" s="267" t="n">
        <v>40846</v>
      </c>
      <c r="AE33" s="267" t="n">
        <v>24759</v>
      </c>
      <c r="AF33" s="278" t="n">
        <f aca="false">(AG33+AH33)-(AG32+AH32)</f>
        <v>18.6499999999996</v>
      </c>
      <c r="AG33" s="238" t="n">
        <v>4543.74</v>
      </c>
      <c r="AH33" s="238" t="n">
        <v>1540.36</v>
      </c>
      <c r="AI33" s="238" t="n">
        <v>0</v>
      </c>
    </row>
    <row r="34" customFormat="false" ht="11.1" hidden="false" customHeight="true" outlineLevel="0" collapsed="false">
      <c r="A34" s="251" t="n">
        <v>25</v>
      </c>
      <c r="B34" s="269" t="n">
        <v>6896</v>
      </c>
      <c r="C34" s="246" t="n">
        <v>269055</v>
      </c>
      <c r="D34" s="250" t="n">
        <f aca="false">C34-C33</f>
        <v>0</v>
      </c>
      <c r="E34" s="246" t="n">
        <f aca="false">C34-152000</f>
        <v>117055</v>
      </c>
      <c r="F34" s="245" t="n">
        <f aca="false">D34/$D$2</f>
        <v>0</v>
      </c>
      <c r="G34" s="245" t="n">
        <v>67.99</v>
      </c>
      <c r="H34" s="247" t="n">
        <v>0</v>
      </c>
      <c r="I34" s="245" t="n">
        <f aca="false">G34+H34</f>
        <v>67.99</v>
      </c>
      <c r="J34" s="270" t="n">
        <f aca="false">IF(L34&gt;0,L34,0)</f>
        <v>7.12144730206758</v>
      </c>
      <c r="K34" s="245" t="n">
        <f aca="false">I34+J34</f>
        <v>75.1114473020676</v>
      </c>
      <c r="L34" s="245" t="n">
        <f aca="false">F34-(I34-W34)</f>
        <v>7.12144730206758</v>
      </c>
      <c r="M34" s="245" t="n">
        <v>22.4</v>
      </c>
      <c r="N34" s="245" t="n">
        <f aca="false">(AF34*1.05)/$D$2</f>
        <v>10.1240544629354</v>
      </c>
      <c r="O34" s="245" t="n">
        <f aca="false">M34</f>
        <v>22.4</v>
      </c>
      <c r="P34" s="245" t="n">
        <f aca="false">AI34-N34</f>
        <v>-10.1240544629354</v>
      </c>
      <c r="Q34" s="245" t="n">
        <f aca="false">(AE34-AE33)/$D$2</f>
        <v>13.1114473020676</v>
      </c>
      <c r="R34" s="245" t="n">
        <f aca="false">SUM(O34:Q34)</f>
        <v>25.3873928391322</v>
      </c>
      <c r="S34" s="246" t="n">
        <f aca="false">(I34-R34)+S33</f>
        <v>-25047.0357942511</v>
      </c>
      <c r="T34" s="245" t="n">
        <f aca="false">(AD34-AD33)/$D$2</f>
        <v>0</v>
      </c>
      <c r="U34" s="245" t="n">
        <v>39.6</v>
      </c>
      <c r="V34" s="246" t="n">
        <f aca="false">V33-U34</f>
        <v>240.510000000002</v>
      </c>
      <c r="W34" s="245" t="n">
        <f aca="false">R34+T34+N34+U34</f>
        <v>75.1114473020676</v>
      </c>
      <c r="X34" s="245" t="n">
        <f aca="false">IF(L34&lt;0,L34*-1,0)</f>
        <v>0</v>
      </c>
      <c r="Y34" s="245" t="n">
        <f aca="false">W34+X34</f>
        <v>75.1114473020676</v>
      </c>
      <c r="Z34" s="249" t="n">
        <v>0</v>
      </c>
      <c r="AA34" s="250" t="n">
        <v>65</v>
      </c>
      <c r="AB34" s="279" t="n">
        <v>35</v>
      </c>
      <c r="AC34" s="251" t="n">
        <v>25</v>
      </c>
      <c r="AD34" s="267" t="n">
        <v>40846</v>
      </c>
      <c r="AE34" s="267" t="n">
        <v>24785</v>
      </c>
      <c r="AF34" s="278" t="n">
        <f aca="false">(AG34+AH34)-(AG33+AH33)</f>
        <v>19.1200000000008</v>
      </c>
      <c r="AG34" s="238" t="n">
        <v>4553.38</v>
      </c>
      <c r="AH34" s="238" t="n">
        <v>1549.84</v>
      </c>
      <c r="AI34" s="238" t="n">
        <v>0</v>
      </c>
    </row>
    <row r="35" customFormat="false" ht="11.1" hidden="false" customHeight="true" outlineLevel="0" collapsed="false">
      <c r="A35" s="251" t="n">
        <v>26</v>
      </c>
      <c r="B35" s="269" t="n">
        <v>6895.99</v>
      </c>
      <c r="C35" s="246" t="n">
        <v>269019</v>
      </c>
      <c r="D35" s="250" t="n">
        <f aca="false">C35-C34</f>
        <v>-36</v>
      </c>
      <c r="E35" s="246" t="n">
        <f aca="false">C35-152000</f>
        <v>117019</v>
      </c>
      <c r="F35" s="245" t="n">
        <f aca="false">D35/$D$2</f>
        <v>-18.1543116490166</v>
      </c>
      <c r="G35" s="245" t="n">
        <v>63.01</v>
      </c>
      <c r="H35" s="247" t="n">
        <v>0</v>
      </c>
      <c r="I35" s="245" t="n">
        <f aca="false">G35+H35</f>
        <v>63.01</v>
      </c>
      <c r="J35" s="270" t="n">
        <f aca="false">IF(L35&gt;0,L35,0)</f>
        <v>0</v>
      </c>
      <c r="K35" s="245" t="n">
        <f aca="false">I35+J35</f>
        <v>63.01</v>
      </c>
      <c r="L35" s="245" t="n">
        <f aca="false">F35-(I35-W35)</f>
        <v>-7.05572365103379</v>
      </c>
      <c r="M35" s="245" t="n">
        <v>22.9</v>
      </c>
      <c r="N35" s="245" t="n">
        <f aca="false">(AF35*1.05)/$D$2</f>
        <v>9.76928895612698</v>
      </c>
      <c r="O35" s="245" t="n">
        <f aca="false">M35</f>
        <v>22.9</v>
      </c>
      <c r="P35" s="245" t="n">
        <f aca="false">AI35-N35</f>
        <v>-9.76928895612698</v>
      </c>
      <c r="Q35" s="245" t="n">
        <f aca="false">(AE35-AE34)/$D$2</f>
        <v>11.5985879979829</v>
      </c>
      <c r="R35" s="245" t="n">
        <f aca="false">SUM(O35:Q35)</f>
        <v>24.7292990418559</v>
      </c>
      <c r="S35" s="246" t="n">
        <f aca="false">(I35-R35)+S34</f>
        <v>-25008.755093293</v>
      </c>
      <c r="T35" s="245" t="n">
        <f aca="false">(AD35-AD34)/$D$2</f>
        <v>0</v>
      </c>
      <c r="U35" s="245" t="n">
        <v>39.61</v>
      </c>
      <c r="V35" s="246" t="n">
        <f aca="false">V34-U35</f>
        <v>200.900000000002</v>
      </c>
      <c r="W35" s="245" t="n">
        <f aca="false">R35+T35+N35+U35</f>
        <v>74.1085879979829</v>
      </c>
      <c r="X35" s="245" t="n">
        <f aca="false">IF(L35&lt;0,L35*-1,0)</f>
        <v>7.05572365103379</v>
      </c>
      <c r="Y35" s="245" t="n">
        <f aca="false">W35+X35</f>
        <v>81.1643116490166</v>
      </c>
      <c r="Z35" s="249" t="n">
        <v>0</v>
      </c>
      <c r="AA35" s="250" t="n">
        <v>61</v>
      </c>
      <c r="AB35" s="279" t="n">
        <v>33</v>
      </c>
      <c r="AC35" s="251" t="n">
        <v>26</v>
      </c>
      <c r="AD35" s="267" t="n">
        <v>40846</v>
      </c>
      <c r="AE35" s="267" t="n">
        <v>24808</v>
      </c>
      <c r="AF35" s="278" t="n">
        <f aca="false">(AG35+AH35)-(AG34+AH34)</f>
        <v>18.4499999999998</v>
      </c>
      <c r="AG35" s="238" t="n">
        <v>4562.31</v>
      </c>
      <c r="AH35" s="238" t="n">
        <v>1559.36</v>
      </c>
      <c r="AI35" s="238" t="n">
        <v>0</v>
      </c>
    </row>
    <row r="36" customFormat="false" ht="11.1" hidden="false" customHeight="true" outlineLevel="0" collapsed="false">
      <c r="A36" s="251" t="n">
        <v>27</v>
      </c>
      <c r="B36" s="269" t="n">
        <v>6895.89</v>
      </c>
      <c r="C36" s="246" t="n">
        <v>268663</v>
      </c>
      <c r="D36" s="250" t="n">
        <f aca="false">C36-C35</f>
        <v>-356</v>
      </c>
      <c r="E36" s="246" t="n">
        <f aca="false">C36-152000</f>
        <v>116663</v>
      </c>
      <c r="F36" s="245" t="n">
        <f aca="false">D36/$D$2</f>
        <v>-179.525970751387</v>
      </c>
      <c r="G36" s="245" t="n">
        <v>61.84</v>
      </c>
      <c r="H36" s="247" t="n">
        <v>0</v>
      </c>
      <c r="I36" s="245" t="n">
        <f aca="false">G36+H36</f>
        <v>61.84</v>
      </c>
      <c r="J36" s="270" t="n">
        <f aca="false">IF(L36&gt;0,L36,0)</f>
        <v>0</v>
      </c>
      <c r="K36" s="245" t="n">
        <f aca="false">I36+J36</f>
        <v>61.84</v>
      </c>
      <c r="L36" s="245" t="n">
        <f aca="false">F36-(I36-W36)</f>
        <v>-31.1316691880988</v>
      </c>
      <c r="M36" s="245" t="n">
        <v>22.88</v>
      </c>
      <c r="N36" s="245" t="n">
        <f aca="false">(AF36*1.05)/$D$2</f>
        <v>9.36157337367592</v>
      </c>
      <c r="O36" s="245" t="n">
        <f aca="false">M36</f>
        <v>22.88</v>
      </c>
      <c r="P36" s="245" t="n">
        <f aca="false">AI36-N36</f>
        <v>126.418426626324</v>
      </c>
      <c r="Q36" s="245" t="n">
        <f aca="false">(AE36-AE35)/$D$2</f>
        <v>11.0943015632879</v>
      </c>
      <c r="R36" s="245" t="n">
        <f aca="false">SUM(O36:Q36)</f>
        <v>160.392728189612</v>
      </c>
      <c r="S36" s="246" t="n">
        <f aca="false">(I36-R36)+S35</f>
        <v>-25107.3078214826</v>
      </c>
      <c r="T36" s="245" t="n">
        <f aca="false">(AD36-AD35)/$D$2</f>
        <v>0</v>
      </c>
      <c r="U36" s="245" t="n">
        <v>40.48</v>
      </c>
      <c r="V36" s="246" t="n">
        <f aca="false">V35-U36</f>
        <v>160.420000000002</v>
      </c>
      <c r="W36" s="245" t="n">
        <f aca="false">R36+T36+N36+U36</f>
        <v>210.234301563288</v>
      </c>
      <c r="X36" s="245" t="n">
        <f aca="false">IF(L36&lt;0,L36*-1,0)</f>
        <v>31.1316691880988</v>
      </c>
      <c r="Y36" s="245" t="n">
        <f aca="false">W36+X36</f>
        <v>241.365970751387</v>
      </c>
      <c r="Z36" s="249" t="n">
        <v>0</v>
      </c>
      <c r="AA36" s="250" t="n">
        <v>64</v>
      </c>
      <c r="AB36" s="279" t="n">
        <v>31</v>
      </c>
      <c r="AC36" s="251" t="n">
        <v>27</v>
      </c>
      <c r="AD36" s="267" t="n">
        <v>40846</v>
      </c>
      <c r="AE36" s="267" t="n">
        <v>24830</v>
      </c>
      <c r="AF36" s="278" t="n">
        <f aca="false">(AG36+AH36)-(AG35+AH35)</f>
        <v>17.6799999999994</v>
      </c>
      <c r="AG36" s="238" t="n">
        <v>4570.73</v>
      </c>
      <c r="AH36" s="238" t="n">
        <v>1568.62</v>
      </c>
      <c r="AI36" s="238" t="n">
        <v>135.78</v>
      </c>
    </row>
    <row r="37" customFormat="false" ht="11.1" hidden="false" customHeight="true" outlineLevel="0" collapsed="false">
      <c r="A37" s="251" t="n">
        <v>28</v>
      </c>
      <c r="B37" s="269" t="n">
        <v>6895.74</v>
      </c>
      <c r="C37" s="246" t="n">
        <v>268485</v>
      </c>
      <c r="D37" s="250" t="n">
        <f aca="false">C37-C36</f>
        <v>-178</v>
      </c>
      <c r="E37" s="246" t="n">
        <f aca="false">C37-152000</f>
        <v>116485</v>
      </c>
      <c r="F37" s="245" t="n">
        <f aca="false">D37/$D$2</f>
        <v>-89.7629853756934</v>
      </c>
      <c r="G37" s="245" t="n">
        <v>60.75</v>
      </c>
      <c r="H37" s="247" t="n">
        <v>0</v>
      </c>
      <c r="I37" s="245" t="n">
        <f aca="false">G37+H37</f>
        <v>60.75</v>
      </c>
      <c r="J37" s="270" t="n">
        <f aca="false">IF(L37&gt;0,L37,0)</f>
        <v>138.981316187595</v>
      </c>
      <c r="K37" s="245" t="n">
        <f aca="false">I37+J37</f>
        <v>199.731316187595</v>
      </c>
      <c r="L37" s="245" t="n">
        <f aca="false">F37-(I37-W37)</f>
        <v>138.981316187595</v>
      </c>
      <c r="M37" s="245" t="n">
        <v>22.9</v>
      </c>
      <c r="N37" s="245" t="n">
        <f aca="false">(AF37*1.05)/$D$2</f>
        <v>9.3615733736764</v>
      </c>
      <c r="O37" s="245" t="n">
        <f aca="false">M37</f>
        <v>22.9</v>
      </c>
      <c r="P37" s="245" t="n">
        <f aca="false">AI37-N37</f>
        <v>205.568426626324</v>
      </c>
      <c r="Q37" s="245" t="n">
        <f aca="false">(AE37-AE36)/$D$2</f>
        <v>11.0943015632879</v>
      </c>
      <c r="R37" s="245" t="n">
        <f aca="false">SUM(O37:Q37)</f>
        <v>239.562728189612</v>
      </c>
      <c r="S37" s="246" t="n">
        <f aca="false">(I37-R37)+S36</f>
        <v>-25286.1205496722</v>
      </c>
      <c r="T37" s="245" t="n">
        <f aca="false">(AD37-AD36)/$D$2</f>
        <v>0</v>
      </c>
      <c r="U37" s="245" t="n">
        <v>40.57</v>
      </c>
      <c r="V37" s="246" t="n">
        <f aca="false">V36-U37</f>
        <v>119.850000000002</v>
      </c>
      <c r="W37" s="245" t="n">
        <f aca="false">R37+T37+N37+U37</f>
        <v>289.494301563288</v>
      </c>
      <c r="X37" s="245" t="n">
        <f aca="false">IF(L37&lt;0,L37*-1,0)</f>
        <v>0</v>
      </c>
      <c r="Y37" s="245" t="n">
        <f aca="false">W37+X37</f>
        <v>289.494301563288</v>
      </c>
      <c r="Z37" s="249" t="n">
        <v>0</v>
      </c>
      <c r="AA37" s="250" t="n">
        <v>66</v>
      </c>
      <c r="AB37" s="279" t="n">
        <v>36</v>
      </c>
      <c r="AC37" s="251" t="n">
        <v>28</v>
      </c>
      <c r="AD37" s="267" t="n">
        <v>40846</v>
      </c>
      <c r="AE37" s="267" t="n">
        <v>24852</v>
      </c>
      <c r="AF37" s="278" t="n">
        <f aca="false">(AG37+AH37)-(AG36+AH36)</f>
        <v>17.6800000000003</v>
      </c>
      <c r="AG37" s="238" t="n">
        <v>4579.15</v>
      </c>
      <c r="AH37" s="238" t="n">
        <v>1577.88</v>
      </c>
      <c r="AI37" s="238" t="n">
        <v>214.93</v>
      </c>
    </row>
    <row r="38" customFormat="false" ht="11.1" hidden="false" customHeight="true" outlineLevel="0" collapsed="false">
      <c r="A38" s="251" t="n">
        <v>29</v>
      </c>
      <c r="B38" s="269" t="n">
        <v>6895.59</v>
      </c>
      <c r="C38" s="246" t="n">
        <v>267595</v>
      </c>
      <c r="D38" s="250" t="n">
        <f aca="false">C38-C37</f>
        <v>-890</v>
      </c>
      <c r="E38" s="246" t="n">
        <f aca="false">C38-152000</f>
        <v>115595</v>
      </c>
      <c r="F38" s="245" t="n">
        <f aca="false">D38/$D$2</f>
        <v>-448.814926878467</v>
      </c>
      <c r="G38" s="245" t="n">
        <v>61.3</v>
      </c>
      <c r="H38" s="247" t="n">
        <v>0</v>
      </c>
      <c r="I38" s="245" t="n">
        <f aca="false">G38+H38</f>
        <v>61.3</v>
      </c>
      <c r="J38" s="270" t="n">
        <f aca="false">IF(L38&gt;0,L38,0)</f>
        <v>0</v>
      </c>
      <c r="K38" s="245" t="n">
        <f aca="false">I38+J38</f>
        <v>61.3</v>
      </c>
      <c r="L38" s="245" t="n">
        <f aca="false">F38-(I38-W38)</f>
        <v>-220.860625315179</v>
      </c>
      <c r="M38" s="245" t="n">
        <v>22.9</v>
      </c>
      <c r="N38" s="245" t="n">
        <f aca="false">(AF38*1.05)/$D$2</f>
        <v>8.10136157337377</v>
      </c>
      <c r="O38" s="245" t="n">
        <f aca="false">M38</f>
        <v>22.9</v>
      </c>
      <c r="P38" s="245" t="n">
        <f aca="false">AI38-N38</f>
        <v>206.658638426626</v>
      </c>
      <c r="Q38" s="245" t="n">
        <f aca="false">(AE38-AE37)/$D$2</f>
        <v>11.0943015632879</v>
      </c>
      <c r="R38" s="245" t="n">
        <f aca="false">SUM(O38:Q38)</f>
        <v>240.652939989914</v>
      </c>
      <c r="S38" s="246" t="n">
        <f aca="false">(I38-R38)+S37</f>
        <v>-25465.4734896621</v>
      </c>
      <c r="T38" s="245" t="n">
        <f aca="false">(AD38-AD37)/$D$2</f>
        <v>0</v>
      </c>
      <c r="U38" s="245" t="n">
        <v>40.5</v>
      </c>
      <c r="V38" s="246" t="n">
        <f aca="false">V37-U38</f>
        <v>79.3500000000019</v>
      </c>
      <c r="W38" s="245" t="n">
        <f aca="false">R38+T38+N38+U38</f>
        <v>289.254301563288</v>
      </c>
      <c r="X38" s="245" t="n">
        <f aca="false">IF(L38&lt;0,L38*-1,0)</f>
        <v>220.860625315179</v>
      </c>
      <c r="Y38" s="245" t="n">
        <f aca="false">W38+X38</f>
        <v>510.114926878467</v>
      </c>
      <c r="Z38" s="249" t="n">
        <v>0</v>
      </c>
      <c r="AA38" s="250" t="n">
        <v>67</v>
      </c>
      <c r="AB38" s="279" t="n">
        <v>36</v>
      </c>
      <c r="AC38" s="251" t="n">
        <v>29</v>
      </c>
      <c r="AD38" s="267" t="n">
        <v>40846</v>
      </c>
      <c r="AE38" s="267" t="n">
        <v>24874</v>
      </c>
      <c r="AF38" s="278" t="n">
        <f aca="false">(AG38+AH38)-(AG37+AH37)</f>
        <v>15.3000000000002</v>
      </c>
      <c r="AG38" s="238" t="n">
        <v>4586.83</v>
      </c>
      <c r="AH38" s="238" t="n">
        <v>1585.5</v>
      </c>
      <c r="AI38" s="238" t="n">
        <v>214.76</v>
      </c>
    </row>
    <row r="39" customFormat="false" ht="11.1" hidden="false" customHeight="true" outlineLevel="0" collapsed="false">
      <c r="A39" s="251" t="n">
        <v>30</v>
      </c>
      <c r="B39" s="269" t="n">
        <v>6895.47</v>
      </c>
      <c r="C39" s="246" t="n">
        <v>267168</v>
      </c>
      <c r="D39" s="250" t="n">
        <f aca="false">C39-C38</f>
        <v>-427</v>
      </c>
      <c r="E39" s="246" t="n">
        <f aca="false">C39-152000</f>
        <v>115168</v>
      </c>
      <c r="F39" s="245" t="n">
        <f aca="false">D39/$D$2</f>
        <v>-215.330307614725</v>
      </c>
      <c r="G39" s="245" t="n">
        <v>58.88</v>
      </c>
      <c r="H39" s="247" t="n">
        <v>0</v>
      </c>
      <c r="I39" s="245" t="n">
        <f aca="false">G39+H39</f>
        <v>58.88</v>
      </c>
      <c r="J39" s="270" t="n">
        <f aca="false">IF(L39&gt;0,L39,0)</f>
        <v>15.5739939485628</v>
      </c>
      <c r="K39" s="245" t="n">
        <f aca="false">I39+J39</f>
        <v>74.4539939485628</v>
      </c>
      <c r="L39" s="245" t="n">
        <f aca="false">F39-(I39-W39)</f>
        <v>15.5739939485628</v>
      </c>
      <c r="M39" s="245" t="n">
        <v>22.81</v>
      </c>
      <c r="N39" s="245" t="n">
        <f aca="false">(AF39*1.05)/$D$2</f>
        <v>8.62027231467508</v>
      </c>
      <c r="O39" s="245" t="n">
        <f aca="false">M39</f>
        <v>22.81</v>
      </c>
      <c r="P39" s="245" t="n">
        <f aca="false">AI39-N39</f>
        <v>206.759727685325</v>
      </c>
      <c r="Q39" s="245" t="n">
        <f aca="false">(AE39-AE38)/$D$2</f>
        <v>11.0943015632879</v>
      </c>
      <c r="R39" s="245" t="n">
        <f aca="false">SUM(O39:Q39)</f>
        <v>240.664029248613</v>
      </c>
      <c r="S39" s="246" t="n">
        <f aca="false">(I39-R39)+S38</f>
        <v>-25647.2575189107</v>
      </c>
      <c r="T39" s="245" t="n">
        <f aca="false">(AD39-AD38)/$D$2</f>
        <v>0</v>
      </c>
      <c r="U39" s="245" t="n">
        <v>40.5</v>
      </c>
      <c r="V39" s="246" t="n">
        <f aca="false">V38-U39</f>
        <v>38.8500000000019</v>
      </c>
      <c r="W39" s="245" t="n">
        <f aca="false">R39+T39+N39+U39</f>
        <v>289.784301563288</v>
      </c>
      <c r="X39" s="245" t="n">
        <f aca="false">IF(L39&lt;0,L39*-1,0)</f>
        <v>0</v>
      </c>
      <c r="Y39" s="245" t="n">
        <f aca="false">W39+X39</f>
        <v>289.784301563288</v>
      </c>
      <c r="Z39" s="249" t="n">
        <v>0</v>
      </c>
      <c r="AA39" s="250" t="n">
        <v>56</v>
      </c>
      <c r="AB39" s="279" t="n">
        <v>38</v>
      </c>
      <c r="AC39" s="251" t="n">
        <v>30</v>
      </c>
      <c r="AD39" s="267" t="n">
        <v>40846</v>
      </c>
      <c r="AE39" s="267" t="n">
        <v>24896</v>
      </c>
      <c r="AF39" s="278" t="n">
        <f aca="false">(AG39+AH39)-(AG38+AH38)</f>
        <v>16.2800000000007</v>
      </c>
      <c r="AG39" s="238" t="n">
        <v>4594.6</v>
      </c>
      <c r="AH39" s="238" t="n">
        <v>1594.01</v>
      </c>
      <c r="AI39" s="238" t="n">
        <v>215.38</v>
      </c>
    </row>
    <row r="40" customFormat="false" ht="11.1" hidden="false" customHeight="true" outlineLevel="0" collapsed="false">
      <c r="A40" s="251" t="n">
        <v>31</v>
      </c>
      <c r="B40" s="269" t="n">
        <v>6895.3</v>
      </c>
      <c r="C40" s="246" t="n">
        <v>266563</v>
      </c>
      <c r="D40" s="250" t="n">
        <f aca="false">C40-C39</f>
        <v>-605</v>
      </c>
      <c r="E40" s="246" t="n">
        <f aca="false">C40-152000</f>
        <v>114563</v>
      </c>
      <c r="F40" s="245" t="n">
        <f aca="false">D40/$D$2</f>
        <v>-305.093292990419</v>
      </c>
      <c r="G40" s="245" t="n">
        <v>56.53</v>
      </c>
      <c r="H40" s="247" t="n">
        <v>0</v>
      </c>
      <c r="I40" s="245" t="n">
        <f aca="false">G40+H40</f>
        <v>56.53</v>
      </c>
      <c r="J40" s="270" t="n">
        <f aca="false">IF(L40&gt;0,L40,0)</f>
        <v>0</v>
      </c>
      <c r="K40" s="245" t="n">
        <f aca="false">I40+J40</f>
        <v>56.53</v>
      </c>
      <c r="L40" s="245" t="n">
        <f aca="false">F40-(I40-W40)</f>
        <v>-58.0604236006051</v>
      </c>
      <c r="M40" s="245" t="n">
        <v>22.66</v>
      </c>
      <c r="N40" s="245" t="n">
        <f aca="false">(AF40*1.05)/$D$2</f>
        <v>13.7246596066561</v>
      </c>
      <c r="O40" s="245" t="n">
        <f aca="false">M40</f>
        <v>22.66</v>
      </c>
      <c r="P40" s="245" t="n">
        <f aca="false">AI40-N40</f>
        <v>218.105340393344</v>
      </c>
      <c r="Q40" s="245" t="n">
        <f aca="false">(AE40-AE39)/$D$2</f>
        <v>8.57286938981341</v>
      </c>
      <c r="R40" s="245" t="n">
        <f aca="false">SUM(O40:Q40)</f>
        <v>249.338209783157</v>
      </c>
      <c r="S40" s="246" t="n">
        <f aca="false">(I40-R40)+S39</f>
        <v>-25840.0657286939</v>
      </c>
      <c r="T40" s="245" t="n">
        <f aca="false">(AD40-AD39)/$D$2</f>
        <v>0</v>
      </c>
      <c r="U40" s="245" t="n">
        <v>40.5</v>
      </c>
      <c r="V40" s="246" t="n">
        <f aca="false">V39-U40</f>
        <v>-1.64999999999813</v>
      </c>
      <c r="W40" s="245" t="n">
        <f aca="false">R40+T40+N40+U40</f>
        <v>303.562869389813</v>
      </c>
      <c r="X40" s="245" t="n">
        <f aca="false">IF(L40&lt;0,L40*-1,0)</f>
        <v>58.0604236006051</v>
      </c>
      <c r="Y40" s="245" t="n">
        <f aca="false">W40+X40</f>
        <v>361.623292990419</v>
      </c>
      <c r="Z40" s="249" t="n">
        <v>0</v>
      </c>
      <c r="AA40" s="250" t="n">
        <v>57</v>
      </c>
      <c r="AB40" s="279" t="n">
        <v>27</v>
      </c>
      <c r="AC40" s="251" t="n">
        <v>31</v>
      </c>
      <c r="AD40" s="267" t="n">
        <v>40846</v>
      </c>
      <c r="AE40" s="267" t="n">
        <v>24913</v>
      </c>
      <c r="AF40" s="278" t="n">
        <f aca="false">(AG40+AH40)-(AG39+AH39)</f>
        <v>25.9199999999992</v>
      </c>
      <c r="AG40" s="238" t="n">
        <v>4607.46</v>
      </c>
      <c r="AH40" s="238" t="n">
        <v>1607.07</v>
      </c>
      <c r="AI40" s="238" t="n">
        <v>231.83</v>
      </c>
    </row>
    <row r="41" customFormat="false" ht="3" hidden="false" customHeight="true" outlineLevel="0" collapsed="false">
      <c r="A41" s="271"/>
      <c r="B41" s="271"/>
      <c r="C41" s="273"/>
      <c r="D41" s="271"/>
      <c r="E41" s="273"/>
      <c r="F41" s="271"/>
      <c r="G41" s="271"/>
      <c r="H41" s="274"/>
      <c r="I41" s="271"/>
      <c r="J41" s="271"/>
      <c r="K41" s="271"/>
      <c r="L41" s="271"/>
      <c r="M41" s="271"/>
      <c r="N41" s="271"/>
      <c r="O41" s="271"/>
      <c r="P41" s="271"/>
      <c r="Q41" s="271"/>
      <c r="R41" s="271"/>
      <c r="S41" s="273"/>
      <c r="T41" s="271"/>
      <c r="U41" s="271"/>
      <c r="V41" s="271"/>
      <c r="W41" s="271"/>
      <c r="X41" s="271"/>
      <c r="Y41" s="271"/>
      <c r="Z41" s="275"/>
      <c r="AA41" s="276" t="n">
        <v>73</v>
      </c>
      <c r="AB41" s="276"/>
      <c r="AC41" s="277"/>
      <c r="AD41" s="267"/>
      <c r="AE41" s="267"/>
      <c r="AF41" s="268"/>
    </row>
    <row r="42" customFormat="false" ht="11.1" hidden="false" customHeight="true" outlineLevel="0" collapsed="false">
      <c r="A42" s="245" t="s">
        <v>44</v>
      </c>
      <c r="B42" s="245"/>
      <c r="C42" s="246"/>
      <c r="D42" s="246"/>
      <c r="E42" s="246"/>
      <c r="F42" s="246" t="n">
        <f aca="false">SUM(F10:F40)</f>
        <v>-2794.75542107917</v>
      </c>
      <c r="G42" s="246" t="n">
        <f aca="false">SUM(G10:G40)</f>
        <v>2534.57</v>
      </c>
      <c r="H42" s="246" t="n">
        <f aca="false">SUM(H10:H40)</f>
        <v>0</v>
      </c>
      <c r="I42" s="246" t="n">
        <f aca="false">SUM(I10:I40)</f>
        <v>2534.57</v>
      </c>
      <c r="J42" s="246" t="n">
        <f aca="false">SUM(J10:J40)</f>
        <v>707.39996469995</v>
      </c>
      <c r="K42" s="246" t="n">
        <f aca="false">SUM(K10:K40)</f>
        <v>3241.96996469995</v>
      </c>
      <c r="L42" s="246" t="n">
        <f aca="false">SUM(L10:L40)</f>
        <v>63.7740645486638</v>
      </c>
      <c r="M42" s="246" t="n">
        <f aca="false">SUM(M11:M40)</f>
        <v>1010.49</v>
      </c>
      <c r="N42" s="246" t="n">
        <f aca="false">SUM(N10:N40)</f>
        <v>390.670953101362</v>
      </c>
      <c r="O42" s="246" t="n">
        <f aca="false">SUM(O10:O40)</f>
        <v>1076.55984871407</v>
      </c>
      <c r="P42" s="246" t="n">
        <f aca="false">SUM(P10:P40)</f>
        <v>1884.68919818457</v>
      </c>
      <c r="Q42" s="246" t="n">
        <f aca="false">SUM(Q10:Q40)</f>
        <v>610.690872415532</v>
      </c>
      <c r="R42" s="246" t="n">
        <f aca="false">SUM(R10:R40)</f>
        <v>3571.93991931417</v>
      </c>
      <c r="S42" s="246"/>
      <c r="T42" s="246" t="n">
        <f aca="false">SUM(T10:T40)</f>
        <v>29.2486132123046</v>
      </c>
      <c r="U42" s="246" t="n">
        <f aca="false">SUM(U10:U40)</f>
        <v>1401.24</v>
      </c>
      <c r="V42" s="246"/>
      <c r="W42" s="246" t="n">
        <f aca="false">SUM(W10:W40)</f>
        <v>5393.09948562784</v>
      </c>
      <c r="X42" s="246" t="n">
        <f aca="false">SUM(X10:X40)</f>
        <v>643.625900151286</v>
      </c>
      <c r="Y42" s="246" t="n">
        <f aca="false">SUM(Y10:Y40)</f>
        <v>6036.72538577912</v>
      </c>
      <c r="Z42" s="249" t="n">
        <f aca="false">SUM(Z10:Z40)</f>
        <v>1.66</v>
      </c>
      <c r="AA42" s="250" t="n">
        <f aca="false">AVERAGE(AA10:AA40)</f>
        <v>61.7096774193548</v>
      </c>
      <c r="AB42" s="250" t="n">
        <f aca="false">AVERAGE(AB10:AB40)</f>
        <v>34.8064516129032</v>
      </c>
      <c r="AC42" s="251"/>
      <c r="AD42" s="267"/>
      <c r="AE42" s="267" t="n">
        <v>23913</v>
      </c>
      <c r="AF42" s="268"/>
      <c r="AG42" s="238" t="n">
        <v>4243.06</v>
      </c>
      <c r="AH42" s="238" t="n">
        <v>1240.99</v>
      </c>
    </row>
    <row r="43" customFormat="false" ht="11.1" hidden="false" customHeight="true" outlineLevel="0" collapsed="false">
      <c r="A43" s="245" t="s">
        <v>45</v>
      </c>
      <c r="B43" s="245"/>
      <c r="C43" s="246"/>
      <c r="D43" s="246" t="n">
        <f aca="false">SUM(D10:D40)</f>
        <v>-5542</v>
      </c>
      <c r="E43" s="246"/>
      <c r="F43" s="246" t="n">
        <f aca="false">F42*$D$2</f>
        <v>-5542</v>
      </c>
      <c r="G43" s="246" t="n">
        <f aca="false">G42*$D$2</f>
        <v>5026.05231</v>
      </c>
      <c r="H43" s="246" t="n">
        <f aca="false">H42*$D$2</f>
        <v>0</v>
      </c>
      <c r="I43" s="246" t="n">
        <f aca="false">I42*$D$2</f>
        <v>5026.05231</v>
      </c>
      <c r="J43" s="246" t="n">
        <f aca="false">J42*$D$2</f>
        <v>1402.77413</v>
      </c>
      <c r="K43" s="246" t="n">
        <f aca="false">K42*$D$2</f>
        <v>6428.82644</v>
      </c>
      <c r="L43" s="246" t="n">
        <f aca="false">L42*$D$2</f>
        <v>126.46397</v>
      </c>
      <c r="M43" s="246" t="n">
        <f aca="false">M42*$D$2</f>
        <v>2003.80167</v>
      </c>
      <c r="N43" s="246" t="n">
        <f aca="false">N42*$D$2</f>
        <v>774.7005</v>
      </c>
      <c r="O43" s="246" t="n">
        <f aca="false">O42*$D$2</f>
        <v>2134.81818</v>
      </c>
      <c r="P43" s="246" t="n">
        <f aca="false">P42*$D$2</f>
        <v>3737.33868</v>
      </c>
      <c r="Q43" s="246" t="n">
        <f aca="false">Q42*$D$2</f>
        <v>1211</v>
      </c>
      <c r="R43" s="246" t="n">
        <f aca="false">R42*$D$2</f>
        <v>7083.15686</v>
      </c>
      <c r="S43" s="246"/>
      <c r="T43" s="246" t="n">
        <f aca="false">T42*$D$2</f>
        <v>58</v>
      </c>
      <c r="U43" s="246" t="n">
        <f aca="false">U42*$D$2</f>
        <v>2778.65892</v>
      </c>
      <c r="V43" s="246" t="n">
        <f aca="false">V42*$D$2</f>
        <v>0</v>
      </c>
      <c r="W43" s="246" t="n">
        <f aca="false">W42*$D$2</f>
        <v>10694.51628</v>
      </c>
      <c r="X43" s="246" t="n">
        <f aca="false">X42*$D$2</f>
        <v>1276.31016</v>
      </c>
      <c r="Y43" s="246" t="n">
        <f aca="false">Y42*$D$2</f>
        <v>11970.82644</v>
      </c>
      <c r="Z43" s="249"/>
      <c r="AA43" s="250" t="n">
        <f aca="false">MAX(AA10:AA40)</f>
        <v>72</v>
      </c>
      <c r="AB43" s="250" t="n">
        <f aca="false">MAX(AB10:AB40)</f>
        <v>50</v>
      </c>
      <c r="AC43" s="251" t="s">
        <v>46</v>
      </c>
      <c r="AD43" s="267"/>
      <c r="AE43" s="267"/>
      <c r="AF43" s="268"/>
    </row>
    <row r="44" customFormat="false" ht="3" hidden="false" customHeight="true" outlineLevel="0" collapsed="false">
      <c r="A44" s="271"/>
      <c r="B44" s="271"/>
      <c r="C44" s="273"/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1"/>
      <c r="W44" s="273"/>
      <c r="X44" s="273"/>
      <c r="Y44" s="273"/>
      <c r="Z44" s="249"/>
      <c r="AA44" s="250"/>
      <c r="AB44" s="250"/>
      <c r="AC44" s="251"/>
      <c r="AD44" s="267"/>
      <c r="AE44" s="267"/>
      <c r="AF44" s="268"/>
    </row>
    <row r="45" customFormat="false" ht="11.1" hidden="false" customHeight="true" outlineLevel="0" collapsed="false">
      <c r="A45" s="245" t="s">
        <v>47</v>
      </c>
      <c r="B45" s="245"/>
      <c r="C45" s="246"/>
      <c r="D45" s="246"/>
      <c r="E45" s="246"/>
      <c r="F45" s="246" t="n">
        <f aca="false">F7+F42</f>
        <v>-30237.5189107413</v>
      </c>
      <c r="G45" s="246" t="n">
        <f aca="false">G7+G42</f>
        <v>97719.79</v>
      </c>
      <c r="H45" s="246" t="n">
        <f aca="false">H7+H42</f>
        <v>6256.88</v>
      </c>
      <c r="I45" s="246" t="n">
        <f aca="false">I7+I42</f>
        <v>103791.97</v>
      </c>
      <c r="J45" s="246" t="n">
        <f aca="false">J7+J42</f>
        <v>28265.0423197176</v>
      </c>
      <c r="K45" s="246" t="n">
        <f aca="false">K7+K42</f>
        <v>132057.012319718</v>
      </c>
      <c r="L45" s="246" t="n">
        <f aca="false">L7+L42</f>
        <v>24487.7552193646</v>
      </c>
      <c r="M45" s="246" t="n">
        <f aca="false">M7+M42</f>
        <v>38487.82</v>
      </c>
      <c r="N45" s="246" t="n">
        <f aca="false">N7+N42</f>
        <v>4537.01558245083</v>
      </c>
      <c r="O45" s="246" t="n">
        <f aca="false">O7+O42</f>
        <v>34483.4252193646</v>
      </c>
      <c r="P45" s="246" t="n">
        <f aca="false">P7+P42</f>
        <v>22917.0591981846</v>
      </c>
      <c r="Q45" s="246" t="n">
        <f aca="false">Q7+Q42</f>
        <v>12569.1920524458</v>
      </c>
      <c r="R45" s="246" t="n">
        <f aca="false">R7+R42</f>
        <v>69969.676469995</v>
      </c>
      <c r="S45" s="246" t="n">
        <f aca="false">S40</f>
        <v>-25840.0657286939</v>
      </c>
      <c r="T45" s="246" t="n">
        <f aca="false">T7+T42</f>
        <v>20626.3620776601</v>
      </c>
      <c r="U45" s="246" t="n">
        <f aca="false">U7+U42</f>
        <v>63384.19</v>
      </c>
      <c r="V45" s="246"/>
      <c r="W45" s="246" t="n">
        <f aca="false">W7+W42</f>
        <v>158517.244130106</v>
      </c>
      <c r="X45" s="246" t="n">
        <f aca="false">X7+X42</f>
        <v>3777.307100353</v>
      </c>
      <c r="Y45" s="246" t="n">
        <f aca="false">Y7+Y42</f>
        <v>162294.551230459</v>
      </c>
      <c r="Z45" s="249"/>
      <c r="AA45" s="250" t="n">
        <f aca="false">MIN(AA10:AA40)</f>
        <v>40</v>
      </c>
      <c r="AB45" s="250" t="n">
        <f aca="false">MIN(AB10:AB40)</f>
        <v>27</v>
      </c>
      <c r="AC45" s="251" t="s">
        <v>48</v>
      </c>
      <c r="AD45" s="267"/>
      <c r="AE45" s="267"/>
      <c r="AF45" s="268"/>
    </row>
    <row r="46" customFormat="false" ht="11.1" hidden="false" customHeight="true" outlineLevel="0" collapsed="false">
      <c r="A46" s="245" t="s">
        <v>49</v>
      </c>
      <c r="B46" s="245"/>
      <c r="C46" s="246"/>
      <c r="D46" s="246"/>
      <c r="E46" s="246"/>
      <c r="F46" s="246" t="n">
        <f aca="false">F45*$D$2</f>
        <v>-59961</v>
      </c>
      <c r="G46" s="246" t="n">
        <f aca="false">G45*$D$2</f>
        <v>193778.34357</v>
      </c>
      <c r="H46" s="246" t="n">
        <f aca="false">H45*$D$2</f>
        <v>12407.39304</v>
      </c>
      <c r="I46" s="246" t="n">
        <f aca="false">I45*$D$2</f>
        <v>205819.47651</v>
      </c>
      <c r="J46" s="246" t="n">
        <f aca="false">J45*$D$2</f>
        <v>56049.57892</v>
      </c>
      <c r="K46" s="246" t="n">
        <f aca="false">K45*$D$2</f>
        <v>261869.05543</v>
      </c>
      <c r="L46" s="246" t="n">
        <f aca="false">L45*$D$2</f>
        <v>48559.2186</v>
      </c>
      <c r="M46" s="246" t="n">
        <f aca="false">M45*$D$2</f>
        <v>76321.34706</v>
      </c>
      <c r="N46" s="246" t="n">
        <f aca="false">N45*$D$2</f>
        <v>8996.9019</v>
      </c>
      <c r="O46" s="246" t="n">
        <f aca="false">O45*$D$2</f>
        <v>68380.63221</v>
      </c>
      <c r="P46" s="246" t="n">
        <f aca="false">P45*$D$2</f>
        <v>45444.52839</v>
      </c>
      <c r="Q46" s="246" t="n">
        <f aca="false">Q45*$D$2</f>
        <v>24924.70784</v>
      </c>
      <c r="R46" s="246" t="n">
        <f aca="false">R45*$D$2</f>
        <v>138749.86844</v>
      </c>
      <c r="S46" s="246" t="n">
        <f aca="false">S45*$D$2</f>
        <v>-51240.85034</v>
      </c>
      <c r="T46" s="246" t="n">
        <f aca="false">T45*$D$2</f>
        <v>40902.076</v>
      </c>
      <c r="U46" s="246" t="n">
        <f aca="false">U45*$D$2</f>
        <v>125690.84877</v>
      </c>
      <c r="V46" s="246" t="n">
        <f aca="false">V45*$D$2</f>
        <v>0</v>
      </c>
      <c r="W46" s="246" t="n">
        <f aca="false">W45*$D$2</f>
        <v>314339.69511</v>
      </c>
      <c r="X46" s="246" t="n">
        <f aca="false">X45*$D$2</f>
        <v>7490.39998</v>
      </c>
      <c r="Y46" s="246" t="n">
        <f aca="false">Y45*$D$2</f>
        <v>321830.09509</v>
      </c>
      <c r="Z46" s="249"/>
      <c r="AA46" s="250"/>
      <c r="AB46" s="250"/>
      <c r="AC46" s="251"/>
      <c r="AD46" s="267"/>
      <c r="AE46" s="267"/>
      <c r="AF46" s="268"/>
    </row>
    <row r="47" customFormat="false" ht="3" hidden="false" customHeight="true" outlineLevel="0" collapsed="false">
      <c r="A47" s="271"/>
      <c r="B47" s="271"/>
      <c r="C47" s="273"/>
      <c r="D47" s="273"/>
      <c r="E47" s="273"/>
      <c r="F47" s="273"/>
      <c r="G47" s="273"/>
      <c r="H47" s="276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5"/>
      <c r="AA47" s="250"/>
      <c r="AB47" s="250"/>
      <c r="AC47" s="251"/>
      <c r="AD47" s="267"/>
      <c r="AE47" s="267"/>
      <c r="AF47" s="268"/>
    </row>
    <row r="48" customFormat="false" ht="11.1" hidden="false" customHeight="true" outlineLevel="0" collapsed="false">
      <c r="A48" s="245" t="s">
        <v>50</v>
      </c>
      <c r="B48" s="245"/>
      <c r="C48" s="246"/>
      <c r="D48" s="246"/>
      <c r="E48" s="246"/>
      <c r="F48" s="246" t="n">
        <f aca="false">F8+F42</f>
        <v>-22251.1346444781</v>
      </c>
      <c r="G48" s="246" t="n">
        <f aca="false">G8+G42</f>
        <v>110369.266449824</v>
      </c>
      <c r="H48" s="250" t="n">
        <f aca="false">H8+H42</f>
        <v>6256.88</v>
      </c>
      <c r="I48" s="246" t="n">
        <f aca="false">I8+I42</f>
        <v>116440.637876954</v>
      </c>
      <c r="J48" s="246" t="n">
        <f aca="false">J8+J42</f>
        <v>30238.7552193646</v>
      </c>
      <c r="K48" s="246" t="n">
        <f aca="false">K8+K42</f>
        <v>146679.393096319</v>
      </c>
      <c r="L48" s="246" t="n">
        <f aca="false">L8+L42</f>
        <v>25993.7916086737</v>
      </c>
      <c r="M48" s="246" t="n">
        <f aca="false">M8+M42</f>
        <v>39400.06</v>
      </c>
      <c r="N48" s="246" t="n">
        <f aca="false">N8+N42</f>
        <v>4537.01558245083</v>
      </c>
      <c r="O48" s="246" t="n">
        <f aca="false">O8+O42</f>
        <v>35395.6652193646</v>
      </c>
      <c r="P48" s="246" t="n">
        <f aca="false">P8+P42</f>
        <v>22917.0591981846</v>
      </c>
      <c r="Q48" s="246" t="n">
        <f aca="false">Q8+Q42</f>
        <v>12569.1920524458</v>
      </c>
      <c r="R48" s="246" t="n">
        <f aca="false">R8+R42</f>
        <v>70881.916469995</v>
      </c>
      <c r="S48" s="246"/>
      <c r="T48" s="246" t="n">
        <f aca="false">T8+T42</f>
        <v>20626.3620776601</v>
      </c>
      <c r="U48" s="246" t="n">
        <f aca="false">U8+U42</f>
        <v>68647.6</v>
      </c>
      <c r="V48" s="246" t="n">
        <f aca="false">V40</f>
        <v>-1.64999999999813</v>
      </c>
      <c r="W48" s="246" t="n">
        <f aca="false">W8+W42</f>
        <v>164692.894130106</v>
      </c>
      <c r="X48" s="246" t="n">
        <f aca="false">X8+X42</f>
        <v>4267.09486132123</v>
      </c>
      <c r="Y48" s="246" t="n">
        <f aca="false">Y8+Y42</f>
        <v>168959.988991427</v>
      </c>
      <c r="Z48" s="270" t="n">
        <f aca="false">Z8+Z42</f>
        <v>14.74</v>
      </c>
      <c r="AA48" s="250"/>
      <c r="AB48" s="250"/>
      <c r="AC48" s="251"/>
      <c r="AD48" s="267"/>
      <c r="AE48" s="267"/>
      <c r="AF48" s="268"/>
    </row>
    <row r="49" customFormat="false" ht="11.1" hidden="false" customHeight="true" outlineLevel="0" collapsed="false">
      <c r="A49" s="245" t="s">
        <v>51</v>
      </c>
      <c r="B49" s="245"/>
      <c r="C49" s="246"/>
      <c r="D49" s="246" t="n">
        <f aca="false">D8+D43</f>
        <v>-44124</v>
      </c>
      <c r="E49" s="246" t="n">
        <f aca="false">E40</f>
        <v>114563</v>
      </c>
      <c r="F49" s="246" t="n">
        <f aca="false">F48*$D$2</f>
        <v>-44124</v>
      </c>
      <c r="G49" s="246" t="n">
        <f aca="false">G48*$D$2</f>
        <v>218862.25537</v>
      </c>
      <c r="H49" s="250" t="n">
        <f aca="false">H48*$D$2</f>
        <v>12407.39304</v>
      </c>
      <c r="I49" s="246" t="n">
        <f aca="false">I48*$D$2</f>
        <v>230901.78491</v>
      </c>
      <c r="J49" s="246" t="n">
        <f aca="false">J48*$D$2</f>
        <v>59963.4516</v>
      </c>
      <c r="K49" s="246" t="n">
        <f aca="false">K48*$D$2</f>
        <v>290865.23651</v>
      </c>
      <c r="L49" s="246" t="n">
        <f aca="false">L48*$D$2</f>
        <v>51545.68876</v>
      </c>
      <c r="M49" s="246" t="n">
        <f aca="false">M48*$D$2</f>
        <v>78130.31898</v>
      </c>
      <c r="N49" s="246" t="n">
        <f aca="false">N48*$D$2</f>
        <v>8996.9019</v>
      </c>
      <c r="O49" s="246" t="n">
        <f aca="false">O48*$D$2</f>
        <v>70189.60413</v>
      </c>
      <c r="P49" s="246" t="n">
        <f aca="false">P48*$D$2</f>
        <v>45444.52839</v>
      </c>
      <c r="Q49" s="246" t="n">
        <f aca="false">Q48*$D$2</f>
        <v>24924.70784</v>
      </c>
      <c r="R49" s="246" t="n">
        <f aca="false">R48*$D$2</f>
        <v>140558.84036</v>
      </c>
      <c r="S49" s="246" t="n">
        <f aca="false">S48*$D$2</f>
        <v>0</v>
      </c>
      <c r="T49" s="246" t="n">
        <f aca="false">T48*$D$2</f>
        <v>40902.076</v>
      </c>
      <c r="U49" s="246" t="n">
        <f aca="false">U48*$D$2</f>
        <v>136128.1908</v>
      </c>
      <c r="V49" s="246" t="n">
        <f aca="false">V48*$D$2</f>
        <v>-3.27194999999629</v>
      </c>
      <c r="W49" s="246" t="n">
        <f aca="false">W48*$D$2</f>
        <v>326586.00906</v>
      </c>
      <c r="X49" s="246" t="n">
        <f aca="false">X48*$D$2</f>
        <v>8461.64911</v>
      </c>
      <c r="Y49" s="246" t="n">
        <f aca="false">Y48*$D$2</f>
        <v>335047.65817</v>
      </c>
      <c r="Z49" s="249"/>
      <c r="AA49" s="250"/>
      <c r="AB49" s="250"/>
      <c r="AC49" s="251"/>
      <c r="AD49" s="267"/>
      <c r="AE49" s="267"/>
      <c r="AF49" s="268"/>
    </row>
    <row r="50" customFormat="false" ht="3" hidden="false" customHeight="true" outlineLevel="0" collapsed="false">
      <c r="A50" s="271"/>
      <c r="B50" s="271"/>
      <c r="C50" s="273"/>
      <c r="D50" s="271"/>
      <c r="E50" s="273"/>
      <c r="F50" s="271"/>
      <c r="G50" s="271"/>
      <c r="H50" s="274"/>
      <c r="I50" s="271"/>
      <c r="J50" s="271"/>
      <c r="K50" s="271"/>
      <c r="L50" s="271"/>
      <c r="M50" s="271"/>
      <c r="N50" s="271"/>
      <c r="O50" s="271"/>
      <c r="P50" s="271"/>
      <c r="Q50" s="271"/>
      <c r="R50" s="271"/>
      <c r="S50" s="273"/>
      <c r="T50" s="271"/>
      <c r="U50" s="271"/>
      <c r="V50" s="273"/>
      <c r="W50" s="271"/>
      <c r="X50" s="271"/>
      <c r="Y50" s="271"/>
      <c r="Z50" s="249"/>
      <c r="AA50" s="250"/>
      <c r="AB50" s="250"/>
      <c r="AC50" s="251"/>
      <c r="AD50" s="267"/>
      <c r="AE50" s="267"/>
      <c r="AF50" s="268"/>
    </row>
    <row r="51" customFormat="false" ht="11.1" hidden="false" customHeight="true" outlineLevel="0" collapsed="false">
      <c r="A51" s="281" t="str">
        <f aca="false">"SEP /8"</f>
        <v>SEP /8</v>
      </c>
      <c r="B51" s="282"/>
      <c r="C51" s="246"/>
      <c r="D51" s="245"/>
      <c r="E51" s="246"/>
      <c r="F51" s="245"/>
      <c r="G51" s="245"/>
      <c r="H51" s="247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6"/>
      <c r="T51" s="245"/>
      <c r="U51" s="245"/>
      <c r="V51" s="246"/>
      <c r="W51" s="245"/>
      <c r="X51" s="245"/>
      <c r="Y51" s="245"/>
      <c r="Z51" s="249"/>
      <c r="AA51" s="250"/>
      <c r="AB51" s="250"/>
      <c r="AC51" s="251"/>
      <c r="AD51" s="252"/>
      <c r="AE51" s="252"/>
    </row>
    <row r="52" customFormat="false" ht="11.1" hidden="false" customHeight="true" outlineLevel="0" collapsed="false">
      <c r="A52" s="245"/>
      <c r="B52" s="269" t="n">
        <v>6900.33</v>
      </c>
      <c r="C52" s="246" t="n">
        <v>284801</v>
      </c>
      <c r="D52" s="279"/>
      <c r="E52" s="246" t="n">
        <f aca="false">C52-152000</f>
        <v>132801</v>
      </c>
      <c r="F52" s="245"/>
      <c r="G52" s="245"/>
      <c r="H52" s="279"/>
      <c r="I52" s="247"/>
      <c r="J52" s="245"/>
      <c r="K52" s="41"/>
      <c r="L52" s="245"/>
      <c r="M52" s="245"/>
      <c r="N52" s="245"/>
      <c r="O52" s="238"/>
      <c r="S52" s="246"/>
      <c r="T52" s="283" t="n">
        <v>39616</v>
      </c>
      <c r="U52" s="238" t="str">
        <f aca="false">"= FS metered "</f>
        <v>= FS metered </v>
      </c>
      <c r="V52" s="246"/>
      <c r="W52" s="245"/>
      <c r="X52" s="245"/>
      <c r="Y52" s="245"/>
      <c r="Z52" s="249"/>
      <c r="AA52" s="250"/>
      <c r="AB52" s="250"/>
      <c r="AC52" s="251"/>
      <c r="AD52" s="252"/>
      <c r="AE52" s="252"/>
    </row>
    <row r="53" customFormat="false" ht="11.1" hidden="false" customHeight="true" outlineLevel="0" collapsed="false">
      <c r="A53" s="279" t="str">
        <f aca="false">"8/11/94 thru 9/8/94"</f>
        <v>8/11/94 thru 9/8/94</v>
      </c>
      <c r="B53" s="279"/>
      <c r="C53" s="246"/>
      <c r="D53" s="246"/>
      <c r="E53" s="246"/>
      <c r="F53" s="279"/>
      <c r="G53" s="279"/>
      <c r="H53" s="247"/>
      <c r="I53" s="279"/>
      <c r="J53" s="279"/>
      <c r="K53" s="279"/>
      <c r="L53" s="279"/>
      <c r="M53" s="270"/>
      <c r="N53" s="270"/>
      <c r="O53" s="270"/>
      <c r="P53" s="245" t="s">
        <v>100</v>
      </c>
      <c r="Q53" s="245"/>
      <c r="R53" s="245" t="n">
        <v>3200</v>
      </c>
      <c r="S53" s="246"/>
      <c r="T53" s="284" t="n">
        <f aca="false">39615.7/T49</f>
        <v>0.968549860403174</v>
      </c>
      <c r="U53" s="238" t="str">
        <f aca="false">"= FS Delivery Efficiency"</f>
        <v>= FS Delivery Efficiency</v>
      </c>
      <c r="V53" s="246"/>
      <c r="W53" s="279"/>
      <c r="X53" s="279"/>
      <c r="Y53" s="279"/>
      <c r="Z53" s="249"/>
      <c r="AA53" s="250"/>
      <c r="AB53" s="250"/>
      <c r="AC53" s="251"/>
      <c r="AD53" s="285"/>
      <c r="AE53" s="285"/>
    </row>
    <row r="54" customFormat="false" ht="11.1" hidden="false" customHeight="true" outlineLevel="0" collapsed="false">
      <c r="A54" s="279"/>
      <c r="B54" s="249" t="n">
        <f aca="false">B52-B17</f>
        <v>3.76000000000022</v>
      </c>
      <c r="C54" s="246"/>
      <c r="D54" s="246" t="n">
        <f aca="false">C52-C17</f>
        <v>13701</v>
      </c>
      <c r="E54" s="246"/>
      <c r="F54" s="279"/>
      <c r="G54" s="279"/>
      <c r="H54" s="247"/>
      <c r="I54" s="279"/>
      <c r="J54" s="279"/>
      <c r="K54" s="279"/>
      <c r="L54" s="279"/>
      <c r="M54" s="270"/>
      <c r="N54" s="270"/>
      <c r="O54" s="270"/>
      <c r="P54" s="279" t="s">
        <v>101</v>
      </c>
      <c r="Q54" s="279"/>
      <c r="R54" s="283" t="n">
        <v>1184.5</v>
      </c>
      <c r="S54" s="246"/>
      <c r="T54" s="279"/>
      <c r="V54" s="246"/>
      <c r="W54" s="279"/>
      <c r="X54" s="279"/>
      <c r="Y54" s="279"/>
      <c r="Z54" s="249"/>
      <c r="AA54" s="250"/>
      <c r="AB54" s="250"/>
      <c r="AC54" s="251"/>
      <c r="AD54" s="285"/>
      <c r="AE54" s="285"/>
    </row>
    <row r="55" customFormat="false" ht="11.1" hidden="false" customHeight="true" outlineLevel="0" collapsed="false">
      <c r="A55" s="279"/>
      <c r="B55" s="279"/>
      <c r="C55" s="246"/>
      <c r="D55" s="279"/>
      <c r="E55" s="246"/>
      <c r="F55" s="279"/>
      <c r="G55" s="286"/>
      <c r="H55" s="247"/>
      <c r="I55" s="279"/>
      <c r="J55" s="279"/>
      <c r="K55" s="279"/>
      <c r="L55" s="279"/>
      <c r="M55" s="270"/>
      <c r="N55" s="270"/>
      <c r="O55" s="270"/>
      <c r="P55" s="279" t="s">
        <v>102</v>
      </c>
      <c r="Q55" s="279"/>
      <c r="R55" s="246" t="n">
        <f aca="false">R49-(R53+R54)</f>
        <v>136174.34036</v>
      </c>
      <c r="S55" s="246"/>
      <c r="T55" s="279"/>
      <c r="V55" s="246"/>
      <c r="W55" s="279"/>
      <c r="X55" s="279"/>
      <c r="Y55" s="279"/>
      <c r="Z55" s="249"/>
      <c r="AA55" s="250"/>
      <c r="AB55" s="250"/>
      <c r="AC55" s="251"/>
      <c r="AD55" s="285"/>
      <c r="AE55" s="285"/>
    </row>
  </sheetData>
  <mergeCells count="3">
    <mergeCell ref="K2:T2"/>
    <mergeCell ref="M4:O4"/>
    <mergeCell ref="AG5:AH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1999-12-23T07:41:07Z</dcterms:created>
  <dc:creator/>
  <dc:description/>
  <dc:language>en-US</dc:language>
  <cp:lastModifiedBy>E A Birk</cp:lastModifiedBy>
  <cp:lastPrinted>2003-03-12T12:37:33Z</cp:lastPrinted>
  <dcterms:modified xsi:type="dcterms:W3CDTF">2003-03-12T12:38:48Z</dcterms:modified>
  <cp:revision>0</cp:revision>
  <dc:subject/>
  <dc:title/>
</cp:coreProperties>
</file>