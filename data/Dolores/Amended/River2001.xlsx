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APR!$A$1:$AD$55</definedName>
    <definedName function="false" hidden="false" localSheetId="9" name="_xlnm.Print_Area" vbProcedure="false">AUG!$A$1:$AD$57</definedName>
    <definedName function="false" hidden="false" localSheetId="1" name="_xlnm.Print_Area" vbProcedure="false">DEC!$A$1:$AD$52</definedName>
    <definedName function="false" hidden="false" localSheetId="3" name="_xlnm.Print_Area" vbProcedure="false">FEB!$A$1:$AD$52</definedName>
    <definedName function="false" hidden="false" localSheetId="2" name="_xlnm.Print_Area" vbProcedure="false">JAN!$A$1:$AD$55</definedName>
    <definedName function="false" hidden="false" localSheetId="8" name="_xlnm.Print_Area" vbProcedure="false">JUL!$A$1:$AD$55</definedName>
    <definedName function="false" hidden="false" localSheetId="7" name="_xlnm.Print_Area" vbProcedure="false">JUN!$A$1:$AD$55</definedName>
    <definedName function="false" hidden="false" localSheetId="4" name="_xlnm.Print_Area" vbProcedure="false">MAR!$A$1:$AD$55</definedName>
    <definedName function="false" hidden="false" localSheetId="6" name="_xlnm.Print_Area" vbProcedure="false">MAY!$A$1:$AD$55</definedName>
    <definedName function="false" hidden="false" localSheetId="0" name="_xlnm.Print_Area" vbProcedure="false">NOV!$A$1:$AD$54</definedName>
    <definedName function="false" hidden="false" localSheetId="11" name="_xlnm.Print_Area" vbProcedure="false">OCT!$A$1:$AD$55</definedName>
    <definedName function="false" hidden="false" localSheetId="10" name="_xlnm.Print_Area" vbProcedure="false">SEP!$A$1:$AD$57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23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River @ Dolores Froze
</t>
        </r>
      </text>
    </comment>
  </commentList>
</comments>
</file>

<file path=xl/sharedStrings.xml><?xml version="1.0" encoding="utf-8"?>
<sst xmlns="http://schemas.openxmlformats.org/spreadsheetml/2006/main" count="855" uniqueCount="91">
  <si>
    <t xml:space="preserve">MC  PHEE  RESERVOIR  IN/OUT  FLOW  TABULATION</t>
  </si>
  <si>
    <t xml:space="preserve">AF/cfs  CONVERT FACTOR</t>
  </si>
  <si>
    <t xml:space="preserve">NOVEMBER  "2000"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</si>
  <si>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</si>
  <si>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</si>
  <si>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</si>
  <si>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</si>
  <si>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</si>
  <si>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</si>
  <si>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</si>
  <si>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</si>
  <si>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</si>
  <si>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</si>
  <si>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</si>
  <si>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</si>
  <si>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</si>
  <si>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</si>
  <si>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</si>
  <si>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</si>
  <si>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</si>
  <si>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</si>
  <si>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</si>
  <si>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</si>
  <si>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</si>
  <si>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</si>
  <si>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</si>
  <si>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</si>
  <si>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</si>
  <si>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</si>
  <si>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</si>
  <si>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</si>
  <si>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</si>
  <si>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</si>
  <si>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</si>
  <si>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</si>
  <si>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</si>
  <si>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</si>
  <si>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</si>
  <si>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</si>
  <si>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</si>
  <si>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</si>
  <si>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</si>
  <si>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</si>
  <si>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</si>
  <si>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</si>
  <si>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</si>
  <si>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</si>
  <si>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</si>
  <si>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</si>
  <si>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</si>
  <si>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</si>
  <si>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</si>
  <si>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</si>
  <si>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</si>
  <si>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</si>
  <si>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"2000"</t>
  </si>
  <si>
    <t xml:space="preserve">"DEC"</t>
  </si>
  <si>
    <t xml:space="preserve">JANUARY  "2001"</t>
  </si>
  <si>
    <t xml:space="preserve">"JAN"</t>
  </si>
  <si>
    <t xml:space="preserve">AVE</t>
  </si>
  <si>
    <t xml:space="preserve">FEBRUARY  "2001"</t>
  </si>
  <si>
    <t xml:space="preserve">FEB</t>
  </si>
  <si>
    <t xml:space="preserve">MARCH  "2001"</t>
  </si>
  <si>
    <t xml:space="preserve">MAR</t>
  </si>
  <si>
    <t xml:space="preserve">APRIL  "2001"</t>
  </si>
  <si>
    <t xml:space="preserve">"APR"</t>
  </si>
  <si>
    <t xml:space="preserve">MVI/CTZ/MWC</t>
  </si>
  <si>
    <t xml:space="preserve">hi</t>
  </si>
  <si>
    <t xml:space="preserve">lo</t>
  </si>
  <si>
    <t xml:space="preserve">MAY  "2001"</t>
  </si>
  <si>
    <t xml:space="preserve">"MAY"</t>
  </si>
  <si>
    <t xml:space="preserve">AVG</t>
  </si>
  <si>
    <t xml:space="preserve">JUNE  "2001"</t>
  </si>
  <si>
    <t xml:space="preserve">"JUN"</t>
  </si>
  <si>
    <t xml:space="preserve">JULY  "2001"</t>
  </si>
  <si>
    <t xml:space="preserve">"JUL"</t>
  </si>
  <si>
    <t xml:space="preserve">MVI non-project water 6/30 = </t>
  </si>
  <si>
    <t xml:space="preserve">AUGUST  "2001"</t>
  </si>
  <si>
    <t xml:space="preserve">"AUG"</t>
  </si>
  <si>
    <t xml:space="preserve">SEPTEMBER  "2001"</t>
  </si>
  <si>
    <t xml:space="preserve">"SEP"</t>
  </si>
  <si>
    <t xml:space="preserve">OCTOBER  "2001"</t>
  </si>
  <si>
    <t xml:space="preserve">"OCT"</t>
  </si>
  <si>
    <t xml:space="preserve"> </t>
  </si>
  <si>
    <t xml:space="preserve">Ctz</t>
  </si>
  <si>
    <t xml:space="preserve"> total poll</t>
  </si>
  <si>
    <t xml:space="preserve">Utes</t>
  </si>
  <si>
    <t xml:space="preserve"> released</t>
  </si>
  <si>
    <t xml:space="preserve">carryover</t>
  </si>
  <si>
    <t xml:space="preserve">MWC</t>
  </si>
  <si>
    <t xml:space="preserve">Total MVIC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</si>
</sst>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"/>
    <numFmt numFmtId="166" formatCode="0.00"/>
    <numFmt numFmtId="167" formatCode="0.0"/>
    <numFmt numFmtId="168" formatCode="0.00_);\(0.00\)"/>
    <numFmt numFmtId="169" formatCode="0"/>
    <numFmt numFmtId="170" formatCode="#,##0.0"/>
    <numFmt numFmtId="171" formatCode="0.0000"/>
    <numFmt numFmtId="172" formatCode="0.000"/>
    <numFmt numFmtId="173" formatCode="#,##0.00"/>
    <numFmt numFmtId="174" formatCode="[$-409]d\-mmm"/>
    <numFmt numFmtId="175" formatCode="##0.0"/>
    <numFmt numFmtId="176" formatCode="0%"/>
    <numFmt numFmtId="177" formatCode="0.0_);\(0.0\)"/>
    <numFmt numFmtId="178" formatCode="[$-409]mmm\-yy"/>
    <numFmt numFmtId="179" formatCode="#,##0.00000"/>
    <numFmt numFmtId="180" formatCode="#,##0.0000"/>
    <numFmt numFmtId="181" formatCode="[$-409]m/d/yyyy"/>
    <numFmt numFmtId="182" formatCode="0.00_);[RED]\(0.00\)"/>
    <numFmt numFmtId="183" formatCode="00000"/>
    <numFmt numFmtId="184" formatCode="0.00%"/>
  </numFmts>
  <fonts count="20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  <font>
      <sz val="6"/>
      <name val="Arial"/>
      <family val="0"/>
    </font>
    <font>
      <sz val="8"/>
      <name val="Arial"/>
      <family val="0"/>
    </font>
    <font>
      <sz val="8"/>
      <color rgb="FF000000"/>
      <name val="LinePrinter"/>
      <family val="0"/>
    </font>
    <font>
      <b val="true"/>
      <sz val="12"/>
      <name val="Arial Narrow"/>
      <family val="0"/>
    </font>
    <font>
      <sz val="4"/>
      <color rgb="FF000000"/>
      <name val="LinePrinter"/>
      <family val="0"/>
    </font>
    <font>
      <sz val="7"/>
      <name val="Arial Narrow"/>
      <family val="2"/>
    </font>
    <font>
      <b val="true"/>
      <sz val="8"/>
      <name val="Arial Narrow"/>
      <family val="0"/>
    </font>
    <font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2D2E30"/>
      </patternFill>
    </fill>
    <fill>
      <patternFill patternType="solid">
        <fgColor rgb="FF1EFC1E"/>
        <bgColor rgb="FF33CCCC"/>
      </patternFill>
    </fill>
    <fill>
      <patternFill patternType="solid">
        <fgColor rgb="FF2D2E30"/>
        <bgColor rgb="FF464648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/>
      <right/>
      <top style="thin">
        <color rgb="FFEEEEEC"/>
      </top>
      <bottom style="medium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64648"/>
      <rgbColor rgb="FF993300"/>
      <rgbColor rgb="FF993366"/>
      <rgbColor rgb="FF333399"/>
      <rgbColor rgb="FF2D2E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21960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08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7360" rIns="0" tIns="22680" bIns="0" anchor="t">
          <a:noAutofit/>
        </a:bodyPr>
        <a:p>
          <a:r>
            <a:rPr b="0" lang="en-US" sz="800" spc="-1" strike="noStrike">
              <a:solidFill>
                <a:srgbClr val="000000"/>
              </a:solidFill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129240</xdr:colOff>
      <xdr:row>9</xdr:row>
      <xdr:rowOff>57240</xdr:rowOff>
    </xdr:from>
    <xdr:to>
      <xdr:col>23</xdr:col>
      <xdr:colOff>216360</xdr:colOff>
      <xdr:row>11</xdr:row>
      <xdr:rowOff>19440</xdr:rowOff>
    </xdr:to>
    <xdr:sp>
      <xdr:nvSpPr>
        <xdr:cNvPr id="1" name="Text 2"/>
        <xdr:cNvSpPr/>
      </xdr:nvSpPr>
      <xdr:spPr>
        <a:xfrm>
          <a:off x="9982080" y="1299240"/>
          <a:ext cx="52884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18000" rIns="0" tIns="18000" bIns="0" anchor="t">
          <a:noAutofit/>
        </a:bodyPr>
        <a:p>
          <a:r>
            <a:rPr b="0" lang="en-US" sz="400" spc="-1" strike="noStrike">
              <a:solidFill>
                <a:srgbClr val="000000"/>
              </a:solidFill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solidFill>
                <a:srgbClr val="000000"/>
              </a:solidFill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2" name="Rectangle 1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3" name="Rectangle 3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4" name="Rectangle 4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5" name="Rectangle 6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6" name="Rectangle 8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124200</xdr:rowOff>
    </xdr:from>
    <xdr:to>
      <xdr:col>14</xdr:col>
      <xdr:colOff>11160</xdr:colOff>
      <xdr:row>34</xdr:row>
      <xdr:rowOff>140760</xdr:rowOff>
    </xdr:to>
    <xdr:sp>
      <xdr:nvSpPr>
        <xdr:cNvPr id="7" name="Rectangle 10"/>
        <xdr:cNvSpPr/>
      </xdr:nvSpPr>
      <xdr:spPr>
        <a:xfrm>
          <a:off x="6468120" y="4890600"/>
          <a:ext cx="11160" cy="165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8" name="Rectangle 11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15</xdr:col>
      <xdr:colOff>360</xdr:colOff>
      <xdr:row>28</xdr:row>
      <xdr:rowOff>141120</xdr:rowOff>
    </xdr:to>
    <xdr:sp>
      <xdr:nvSpPr>
        <xdr:cNvPr id="9" name="Rectangle 12"/>
        <xdr:cNvSpPr/>
      </xdr:nvSpPr>
      <xdr:spPr>
        <a:xfrm>
          <a:off x="6468120" y="3920400"/>
          <a:ext cx="4208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15</xdr:col>
      <xdr:colOff>360</xdr:colOff>
      <xdr:row>28</xdr:row>
      <xdr:rowOff>141120</xdr:rowOff>
    </xdr:to>
    <xdr:sp>
      <xdr:nvSpPr>
        <xdr:cNvPr id="10" name="Rectangle 13"/>
        <xdr:cNvSpPr/>
      </xdr:nvSpPr>
      <xdr:spPr>
        <a:xfrm>
          <a:off x="6468120" y="3920400"/>
          <a:ext cx="4208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S10" activeCellId="0" sqref="S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4" width="8.1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6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9"/>
      <c r="AA1" s="11"/>
      <c r="AB1" s="12"/>
      <c r="AC1" s="13"/>
    </row>
    <row r="2" customFormat="false" ht="14.1" hidden="false" customHeight="true" outlineLevel="0" collapsed="false">
      <c r="A2" s="7" t="s">
        <v>1</v>
      </c>
      <c r="B2" s="7"/>
      <c r="C2" s="8"/>
      <c r="D2" s="14" t="n">
        <v>1.9835</v>
      </c>
      <c r="E2" s="8"/>
      <c r="F2" s="7"/>
      <c r="G2" s="7"/>
      <c r="H2" s="9"/>
      <c r="I2" s="7"/>
      <c r="J2" s="7"/>
      <c r="K2" s="7"/>
      <c r="L2" s="10" t="s">
        <v>2</v>
      </c>
      <c r="M2" s="7"/>
      <c r="N2" s="7"/>
      <c r="O2" s="7"/>
      <c r="P2" s="7"/>
      <c r="Q2" s="7"/>
      <c r="R2" s="7"/>
      <c r="S2" s="8"/>
      <c r="T2" s="7"/>
      <c r="U2" s="7"/>
      <c r="V2" s="8"/>
      <c r="W2" s="7"/>
      <c r="X2" s="7"/>
      <c r="Y2" s="7"/>
      <c r="Z2" s="9"/>
      <c r="AA2" s="11"/>
      <c r="AB2" s="12"/>
      <c r="AC2" s="13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9"/>
      <c r="AA3" s="11"/>
      <c r="AB3" s="12"/>
      <c r="AC3" s="13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</row>
    <row r="5" customFormat="false" ht="11.1" hidden="false" customHeight="true" outlineLevel="0" collapsed="false">
      <c r="A5" s="22" t="s">
        <v>23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23" t="s">
        <v>35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23</v>
      </c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9"/>
      <c r="X6" s="26"/>
      <c r="Y6" s="26"/>
      <c r="Z6" s="26"/>
      <c r="AA6" s="11"/>
      <c r="AB6" s="13"/>
      <c r="AC6" s="13"/>
      <c r="AD6" s="13"/>
    </row>
    <row r="7" customFormat="false" ht="11.1" hidden="false" customHeight="true" outlineLevel="0" collapsed="false">
      <c r="A7" s="7" t="s">
        <v>44</v>
      </c>
      <c r="B7" s="7"/>
      <c r="C7" s="8"/>
      <c r="D7" s="8"/>
      <c r="E7" s="8"/>
      <c r="F7" s="8"/>
      <c r="G7" s="8"/>
      <c r="H7" s="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30"/>
      <c r="X7" s="8"/>
      <c r="Y7" s="8"/>
      <c r="Z7" s="8"/>
      <c r="AA7" s="11"/>
      <c r="AB7" s="12"/>
      <c r="AC7" s="12"/>
      <c r="AD7" s="13"/>
    </row>
    <row r="8" s="1" customFormat="true" ht="11.1" hidden="false" customHeight="true" outlineLevel="0" collapsed="false">
      <c r="A8" s="8" t="s">
        <v>45</v>
      </c>
      <c r="B8" s="31" t="n">
        <v>6880.43</v>
      </c>
      <c r="C8" s="8" t="n">
        <v>217465</v>
      </c>
      <c r="D8" s="8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 t="n">
        <v>6003</v>
      </c>
      <c r="X8" s="8"/>
      <c r="Y8" s="8"/>
      <c r="Z8" s="8"/>
      <c r="AA8" s="11"/>
      <c r="AB8" s="12"/>
      <c r="AC8" s="12"/>
      <c r="AD8" s="13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</row>
    <row r="10" customFormat="false" ht="11.1" hidden="false" customHeight="true" outlineLevel="0" collapsed="false">
      <c r="A10" s="13" t="n">
        <v>1</v>
      </c>
      <c r="B10" s="31" t="n">
        <v>6880.45</v>
      </c>
      <c r="C10" s="8" t="n">
        <v>217525</v>
      </c>
      <c r="D10" s="12" t="n">
        <f aca="false">C10-C8</f>
        <v>60</v>
      </c>
      <c r="E10" s="8" t="n">
        <f aca="false">C10-152000</f>
        <v>65525</v>
      </c>
      <c r="F10" s="7" t="n">
        <f aca="false">D10/$D$2</f>
        <v>30.2495588605999</v>
      </c>
      <c r="G10" s="7" t="n">
        <v>97</v>
      </c>
      <c r="H10" s="9" t="n">
        <v>0</v>
      </c>
      <c r="I10" s="7" t="n">
        <f aca="false">G10+H10</f>
        <v>97</v>
      </c>
      <c r="J10" s="39" t="n">
        <f aca="false">IF(L10&gt;0,L10,0)</f>
        <v>0</v>
      </c>
      <c r="K10" s="7" t="n">
        <f aca="false">I10+J10</f>
        <v>97</v>
      </c>
      <c r="L10" s="7" t="n">
        <f aca="false">F10-(I10-X10)</f>
        <v>-13.4504411394001</v>
      </c>
      <c r="M10" s="7" t="n">
        <v>6.3</v>
      </c>
      <c r="N10" s="7" t="n">
        <v>0</v>
      </c>
      <c r="O10" s="7" t="n">
        <v>18.1</v>
      </c>
      <c r="P10" s="7" t="n">
        <f aca="false">M10-(N10+O10)</f>
        <v>-11.8</v>
      </c>
      <c r="Q10" s="7" t="n">
        <v>0</v>
      </c>
      <c r="R10" s="7" t="n">
        <v>0</v>
      </c>
      <c r="S10" s="7" t="n">
        <f aca="false">SUM(P10:R10)</f>
        <v>-11.8</v>
      </c>
      <c r="T10" s="8"/>
      <c r="U10" s="7" t="n">
        <v>0</v>
      </c>
      <c r="V10" s="7" t="n">
        <v>47</v>
      </c>
      <c r="W10" s="8" t="n">
        <f aca="false">W8-40-2</f>
        <v>5961</v>
      </c>
      <c r="X10" s="7" t="n">
        <f aca="false">N10+O10+S10+U10+V10</f>
        <v>53.3</v>
      </c>
      <c r="Y10" s="7" t="n">
        <f aca="false">IF(L10&lt;0,L10*-1,0)</f>
        <v>13.4504411394001</v>
      </c>
      <c r="Z10" s="7" t="n">
        <f aca="false">X10+Y10</f>
        <v>66.7504411394001</v>
      </c>
      <c r="AA10" s="11" t="n">
        <v>0</v>
      </c>
      <c r="AB10" s="12" t="n">
        <v>36</v>
      </c>
      <c r="AC10" s="12" t="n">
        <v>24</v>
      </c>
      <c r="AD10" s="13" t="n">
        <v>1</v>
      </c>
    </row>
    <row r="11" customFormat="false" ht="11.1" hidden="false" customHeight="true" outlineLevel="0" collapsed="false">
      <c r="A11" s="13" t="n">
        <f aca="false">A10+1</f>
        <v>2</v>
      </c>
      <c r="B11" s="40" t="n">
        <v>6880.47</v>
      </c>
      <c r="C11" s="8" t="n">
        <v>217586</v>
      </c>
      <c r="D11" s="12" t="n">
        <f aca="false">C11-C10</f>
        <v>61</v>
      </c>
      <c r="E11" s="8" t="n">
        <f aca="false">C11-152000</f>
        <v>65586</v>
      </c>
      <c r="F11" s="7" t="n">
        <f aca="false">D11/$D$2</f>
        <v>30.7537181749433</v>
      </c>
      <c r="G11" s="7" t="n">
        <v>91</v>
      </c>
      <c r="H11" s="9" t="n">
        <v>0</v>
      </c>
      <c r="I11" s="7" t="n">
        <f aca="false">G11+H11</f>
        <v>91</v>
      </c>
      <c r="J11" s="39" t="n">
        <f aca="false">IF(L11&gt;0,L11,0)</f>
        <v>0</v>
      </c>
      <c r="K11" s="7" t="n">
        <f aca="false">I11+J11</f>
        <v>91</v>
      </c>
      <c r="L11" s="7" t="n">
        <f aca="false">F11-(I11-X11)</f>
        <v>-12.9462818250567</v>
      </c>
      <c r="M11" s="7" t="n">
        <v>6.3</v>
      </c>
      <c r="N11" s="7" t="n">
        <v>0</v>
      </c>
      <c r="O11" s="7" t="n">
        <v>18.7</v>
      </c>
      <c r="P11" s="7" t="n">
        <f aca="false">M11-(N11+O11)</f>
        <v>-12.4</v>
      </c>
      <c r="Q11" s="7" t="n">
        <v>0</v>
      </c>
      <c r="R11" s="7" t="n">
        <v>0</v>
      </c>
      <c r="S11" s="7" t="n">
        <f aca="false">SUM(P11:R11)</f>
        <v>-12.4</v>
      </c>
      <c r="T11" s="8"/>
      <c r="U11" s="7" t="n">
        <v>0</v>
      </c>
      <c r="V11" s="7" t="n">
        <v>41</v>
      </c>
      <c r="W11" s="8" t="n">
        <f aca="false">W10-V11</f>
        <v>5920</v>
      </c>
      <c r="X11" s="7" t="n">
        <f aca="false">N11+O11+S11+U11+V11</f>
        <v>47.3</v>
      </c>
      <c r="Y11" s="7" t="n">
        <f aca="false">IF(L11&lt;0,L11*-1,0)</f>
        <v>12.9462818250567</v>
      </c>
      <c r="Z11" s="7" t="n">
        <f aca="false">X11+Y11</f>
        <v>60.2462818250567</v>
      </c>
      <c r="AA11" s="11" t="n">
        <v>0</v>
      </c>
      <c r="AB11" s="12" t="n">
        <v>34</v>
      </c>
      <c r="AC11" s="12" t="n">
        <v>24</v>
      </c>
      <c r="AD11" s="13" t="n">
        <f aca="false">AD10+1</f>
        <v>2</v>
      </c>
    </row>
    <row r="12" customFormat="false" ht="11.1" hidden="false" customHeight="true" outlineLevel="0" collapsed="false">
      <c r="A12" s="13" t="n">
        <f aca="false">A11+1</f>
        <v>3</v>
      </c>
      <c r="B12" s="31" t="n">
        <v>6880.49</v>
      </c>
      <c r="C12" s="8" t="n">
        <v>217646</v>
      </c>
      <c r="D12" s="12" t="n">
        <f aca="false">C12-C11</f>
        <v>60</v>
      </c>
      <c r="E12" s="8" t="n">
        <f aca="false">C12-152000</f>
        <v>65646</v>
      </c>
      <c r="F12" s="7" t="n">
        <f aca="false">D12/$D$2</f>
        <v>30.2495588605999</v>
      </c>
      <c r="G12" s="7" t="n">
        <v>87</v>
      </c>
      <c r="H12" s="9" t="n">
        <v>0</v>
      </c>
      <c r="I12" s="7" t="n">
        <f aca="false">G12+H12</f>
        <v>87</v>
      </c>
      <c r="J12" s="39" t="n">
        <f aca="false">IF(L12&gt;0,L12,0)</f>
        <v>0</v>
      </c>
      <c r="K12" s="7" t="n">
        <f aca="false">I12+J12</f>
        <v>87</v>
      </c>
      <c r="L12" s="7" t="n">
        <f aca="false">F12-(I12-X12)</f>
        <v>-9.45044113940006</v>
      </c>
      <c r="M12" s="7" t="n">
        <v>6.3</v>
      </c>
      <c r="N12" s="7" t="n">
        <v>0</v>
      </c>
      <c r="O12" s="7" t="n">
        <v>7.1</v>
      </c>
      <c r="P12" s="7" t="n">
        <f aca="false">M12-(N12+O12)</f>
        <v>-0.8</v>
      </c>
      <c r="Q12" s="7" t="n">
        <v>0</v>
      </c>
      <c r="R12" s="7" t="n">
        <v>0</v>
      </c>
      <c r="S12" s="7" t="n">
        <f aca="false">SUM(P12:R12)</f>
        <v>-0.8</v>
      </c>
      <c r="T12" s="8"/>
      <c r="U12" s="7" t="n">
        <v>0</v>
      </c>
      <c r="V12" s="7" t="n">
        <v>41</v>
      </c>
      <c r="W12" s="8" t="n">
        <f aca="false">W11-V12</f>
        <v>5879</v>
      </c>
      <c r="X12" s="7" t="n">
        <f aca="false">N12+O12+S12+U12+V12</f>
        <v>47.3</v>
      </c>
      <c r="Y12" s="7" t="n">
        <f aca="false">IF(L12&lt;0,L12*-1,0)</f>
        <v>9.45044113940006</v>
      </c>
      <c r="Z12" s="7" t="n">
        <f aca="false">X12+Y12</f>
        <v>56.7504411394001</v>
      </c>
      <c r="AA12" s="11" t="n">
        <v>0</v>
      </c>
      <c r="AB12" s="12" t="n">
        <v>52</v>
      </c>
      <c r="AC12" s="12" t="n">
        <v>26</v>
      </c>
      <c r="AD12" s="13" t="n">
        <f aca="false">AD11+1</f>
        <v>3</v>
      </c>
    </row>
    <row r="13" customFormat="false" ht="11.1" hidden="false" customHeight="true" outlineLevel="0" collapsed="false">
      <c r="A13" s="13" t="n">
        <f aca="false">A12+1</f>
        <v>4</v>
      </c>
      <c r="B13" s="31" t="n">
        <v>6880.53</v>
      </c>
      <c r="C13" s="8" t="n">
        <v>217767</v>
      </c>
      <c r="D13" s="12" t="n">
        <f aca="false">C13-C12</f>
        <v>121</v>
      </c>
      <c r="E13" s="8" t="n">
        <f aca="false">C13-152000</f>
        <v>65767</v>
      </c>
      <c r="F13" s="7" t="n">
        <f aca="false">D13/$D$2</f>
        <v>61.0032770355432</v>
      </c>
      <c r="G13" s="7" t="n">
        <v>87</v>
      </c>
      <c r="H13" s="9" t="n">
        <v>0</v>
      </c>
      <c r="I13" s="7" t="n">
        <f aca="false">G13+H13</f>
        <v>87</v>
      </c>
      <c r="J13" s="39" t="n">
        <f aca="false">IF(L13&gt;0,L13,0)</f>
        <v>21.3032770355432</v>
      </c>
      <c r="K13" s="7" t="n">
        <f aca="false">I13+J13</f>
        <v>108.303277035543</v>
      </c>
      <c r="L13" s="7" t="n">
        <f aca="false">F13-(I13-X13)</f>
        <v>21.3032770355432</v>
      </c>
      <c r="M13" s="7" t="n">
        <v>6.3</v>
      </c>
      <c r="N13" s="7" t="n">
        <v>0</v>
      </c>
      <c r="O13" s="7" t="n">
        <v>3.2</v>
      </c>
      <c r="P13" s="7" t="n">
        <f aca="false">M13-(N13+O13)</f>
        <v>3.1</v>
      </c>
      <c r="Q13" s="7" t="n">
        <v>0</v>
      </c>
      <c r="R13" s="7" t="n">
        <v>0</v>
      </c>
      <c r="S13" s="7" t="n">
        <f aca="false">SUM(P13:R13)</f>
        <v>3.1</v>
      </c>
      <c r="T13" s="8"/>
      <c r="U13" s="7" t="n">
        <v>0</v>
      </c>
      <c r="V13" s="7" t="n">
        <v>41</v>
      </c>
      <c r="W13" s="8" t="n">
        <f aca="false">W12-V13</f>
        <v>5838</v>
      </c>
      <c r="X13" s="7" t="n">
        <f aca="false">N13+O13+S13+U13+V13</f>
        <v>47.3</v>
      </c>
      <c r="Y13" s="7" t="n">
        <f aca="false">IF(L13&lt;0,L13*-1,0)</f>
        <v>0</v>
      </c>
      <c r="Z13" s="7" t="n">
        <f aca="false">X13+Y13</f>
        <v>47.3</v>
      </c>
      <c r="AA13" s="11" t="n">
        <v>0</v>
      </c>
      <c r="AB13" s="12" t="n">
        <v>50</v>
      </c>
      <c r="AC13" s="12" t="n">
        <v>30</v>
      </c>
      <c r="AD13" s="13" t="n">
        <f aca="false">AD12+1</f>
        <v>4</v>
      </c>
    </row>
    <row r="14" customFormat="false" ht="11.1" hidden="false" customHeight="true" outlineLevel="0" collapsed="false">
      <c r="A14" s="13" t="n">
        <f aca="false">A13+1</f>
        <v>5</v>
      </c>
      <c r="B14" s="31" t="n">
        <v>6880.59</v>
      </c>
      <c r="C14" s="8" t="n">
        <v>217948</v>
      </c>
      <c r="D14" s="12" t="n">
        <f aca="false">C14-C13</f>
        <v>181</v>
      </c>
      <c r="E14" s="8" t="n">
        <f aca="false">C14-152000</f>
        <v>65948</v>
      </c>
      <c r="F14" s="7" t="n">
        <f aca="false">D14/$D$2</f>
        <v>91.2528358961432</v>
      </c>
      <c r="G14" s="7" t="n">
        <v>97</v>
      </c>
      <c r="H14" s="9" t="n">
        <v>0</v>
      </c>
      <c r="I14" s="7" t="n">
        <f aca="false">G14+H14</f>
        <v>97</v>
      </c>
      <c r="J14" s="39" t="n">
        <f aca="false">IF(L14&gt;0,L14,0)</f>
        <v>41.5528358961432</v>
      </c>
      <c r="K14" s="7" t="n">
        <f aca="false">I14+J14</f>
        <v>138.552835896143</v>
      </c>
      <c r="L14" s="7" t="n">
        <f aca="false">F14-(I14-X14)</f>
        <v>41.5528358961432</v>
      </c>
      <c r="M14" s="7" t="n">
        <v>6.3</v>
      </c>
      <c r="N14" s="7" t="n">
        <v>0</v>
      </c>
      <c r="O14" s="7" t="n">
        <v>3.6</v>
      </c>
      <c r="P14" s="7" t="n">
        <f aca="false">M14-(N14+O14)</f>
        <v>2.7</v>
      </c>
      <c r="Q14" s="7" t="n">
        <v>0</v>
      </c>
      <c r="R14" s="7" t="n">
        <v>0</v>
      </c>
      <c r="S14" s="7" t="n">
        <f aca="false">SUM(P14:R14)</f>
        <v>2.7</v>
      </c>
      <c r="T14" s="8"/>
      <c r="U14" s="7" t="n">
        <v>0</v>
      </c>
      <c r="V14" s="7" t="n">
        <v>41</v>
      </c>
      <c r="W14" s="8" t="n">
        <f aca="false">W13-V14</f>
        <v>5797</v>
      </c>
      <c r="X14" s="7" t="n">
        <f aca="false">N14+O14+S14+U14+V14</f>
        <v>47.3</v>
      </c>
      <c r="Y14" s="7" t="n">
        <f aca="false">IF(L14&lt;0,L14*-1,0)</f>
        <v>0</v>
      </c>
      <c r="Z14" s="7" t="n">
        <f aca="false">X14+Y14</f>
        <v>47.3</v>
      </c>
      <c r="AA14" s="11" t="n">
        <v>0.34</v>
      </c>
      <c r="AB14" s="12" t="n">
        <v>40</v>
      </c>
      <c r="AC14" s="12" t="n">
        <v>31</v>
      </c>
      <c r="AD14" s="13" t="n">
        <f aca="false">AD13+1</f>
        <v>5</v>
      </c>
    </row>
    <row r="15" customFormat="false" ht="11.1" hidden="false" customHeight="true" outlineLevel="0" collapsed="false">
      <c r="A15" s="13" t="n">
        <f aca="false">A14+1</f>
        <v>6</v>
      </c>
      <c r="B15" s="31" t="n">
        <v>6880.63</v>
      </c>
      <c r="C15" s="8" t="n">
        <v>218069</v>
      </c>
      <c r="D15" s="12" t="n">
        <f aca="false">C15-C14</f>
        <v>121</v>
      </c>
      <c r="E15" s="8" t="n">
        <f aca="false">C15-152000</f>
        <v>66069</v>
      </c>
      <c r="F15" s="7" t="n">
        <f aca="false">D15/$D$2</f>
        <v>61.0032770355432</v>
      </c>
      <c r="G15" s="7" t="n">
        <v>85</v>
      </c>
      <c r="H15" s="9" t="n">
        <v>0</v>
      </c>
      <c r="I15" s="7" t="n">
        <f aca="false">G15+H15</f>
        <v>85</v>
      </c>
      <c r="J15" s="39" t="n">
        <f aca="false">IF(L15&gt;0,L15,0)</f>
        <v>23.3032770355432</v>
      </c>
      <c r="K15" s="7" t="n">
        <f aca="false">I15+J15</f>
        <v>108.303277035543</v>
      </c>
      <c r="L15" s="7" t="n">
        <f aca="false">F15-(I15-X15)</f>
        <v>23.3032770355432</v>
      </c>
      <c r="M15" s="7" t="n">
        <v>6.3</v>
      </c>
      <c r="N15" s="7" t="n">
        <v>0</v>
      </c>
      <c r="O15" s="7" t="n">
        <f aca="false">3.37*1.05</f>
        <v>3.5385</v>
      </c>
      <c r="P15" s="7" t="n">
        <f aca="false">M15-(N15+O15)</f>
        <v>2.7615</v>
      </c>
      <c r="Q15" s="7" t="n">
        <v>0</v>
      </c>
      <c r="R15" s="7" t="n">
        <v>0</v>
      </c>
      <c r="S15" s="7" t="n">
        <f aca="false">SUM(P15:R15)</f>
        <v>2.7615</v>
      </c>
      <c r="T15" s="8"/>
      <c r="U15" s="7" t="n">
        <v>0</v>
      </c>
      <c r="V15" s="7" t="n">
        <v>41</v>
      </c>
      <c r="W15" s="8" t="n">
        <f aca="false">W14-V15</f>
        <v>5756</v>
      </c>
      <c r="X15" s="7" t="n">
        <f aca="false">N15+O15+S15+U15+V15</f>
        <v>47.3</v>
      </c>
      <c r="Y15" s="7" t="n">
        <f aca="false">IF(L15&lt;0,L15*-1,0)</f>
        <v>0</v>
      </c>
      <c r="Z15" s="7" t="n">
        <f aca="false">X15+Y15</f>
        <v>47.3</v>
      </c>
      <c r="AA15" s="11" t="n">
        <v>0</v>
      </c>
      <c r="AB15" s="12" t="n">
        <v>34</v>
      </c>
      <c r="AC15" s="12" t="n">
        <v>22</v>
      </c>
      <c r="AD15" s="13" t="n">
        <f aca="false">AD14+1</f>
        <v>6</v>
      </c>
    </row>
    <row r="16" customFormat="false" ht="11.1" hidden="false" customHeight="true" outlineLevel="0" collapsed="false">
      <c r="A16" s="13" t="n">
        <f aca="false">A15+1</f>
        <v>7</v>
      </c>
      <c r="B16" s="31" t="n">
        <v>6880.63</v>
      </c>
      <c r="C16" s="8" t="n">
        <v>218069</v>
      </c>
      <c r="D16" s="12" t="n">
        <f aca="false">C16-C15</f>
        <v>0</v>
      </c>
      <c r="E16" s="8" t="n">
        <f aca="false">C16-152000</f>
        <v>66069</v>
      </c>
      <c r="F16" s="7" t="n">
        <f aca="false">D16/$D$2</f>
        <v>0</v>
      </c>
      <c r="G16" s="7" t="n">
        <v>71</v>
      </c>
      <c r="H16" s="9" t="n">
        <v>0</v>
      </c>
      <c r="I16" s="7" t="n">
        <f aca="false">G16+H16</f>
        <v>71</v>
      </c>
      <c r="J16" s="39" t="n">
        <f aca="false">IF(L16&gt;0,L16,0)</f>
        <v>0</v>
      </c>
      <c r="K16" s="7" t="n">
        <f aca="false">I16+J16</f>
        <v>71</v>
      </c>
      <c r="L16" s="7" t="n">
        <f aca="false">F16-(I16-X16)</f>
        <v>-23.7</v>
      </c>
      <c r="M16" s="7" t="n">
        <v>6.3</v>
      </c>
      <c r="N16" s="7" t="n">
        <v>0</v>
      </c>
      <c r="O16" s="7" t="n">
        <f aca="false">3.37*1.05</f>
        <v>3.5385</v>
      </c>
      <c r="P16" s="7" t="n">
        <f aca="false">M16-(N16+O16)</f>
        <v>2.7615</v>
      </c>
      <c r="Q16" s="7" t="n">
        <v>0</v>
      </c>
      <c r="R16" s="7" t="n">
        <v>0</v>
      </c>
      <c r="S16" s="7" t="n">
        <f aca="false">SUM(P16:R16)</f>
        <v>2.7615</v>
      </c>
      <c r="T16" s="8"/>
      <c r="U16" s="7" t="n">
        <v>0</v>
      </c>
      <c r="V16" s="7" t="n">
        <v>41</v>
      </c>
      <c r="W16" s="8" t="n">
        <f aca="false">W15-V16</f>
        <v>5715</v>
      </c>
      <c r="X16" s="7" t="n">
        <f aca="false">N16+O16+S16+U16+V16</f>
        <v>47.3</v>
      </c>
      <c r="Y16" s="7" t="n">
        <f aca="false">IF(L16&lt;0,L16*-1,0)</f>
        <v>23.7</v>
      </c>
      <c r="Z16" s="7" t="n">
        <f aca="false">X16+Y16</f>
        <v>71</v>
      </c>
      <c r="AA16" s="11" t="n">
        <v>0</v>
      </c>
      <c r="AB16" s="12" t="n">
        <v>32</v>
      </c>
      <c r="AC16" s="12" t="n">
        <v>18</v>
      </c>
      <c r="AD16" s="13" t="n">
        <f aca="false">AD15+1</f>
        <v>7</v>
      </c>
    </row>
    <row r="17" customFormat="false" ht="11.1" hidden="false" customHeight="true" outlineLevel="0" collapsed="false">
      <c r="A17" s="13" t="n">
        <f aca="false">A16+1</f>
        <v>8</v>
      </c>
      <c r="B17" s="31" t="n">
        <v>6880.63</v>
      </c>
      <c r="C17" s="8" t="n">
        <v>218069</v>
      </c>
      <c r="D17" s="12" t="n">
        <f aca="false">C17-C16</f>
        <v>0</v>
      </c>
      <c r="E17" s="8" t="n">
        <f aca="false">C17-152000</f>
        <v>66069</v>
      </c>
      <c r="F17" s="7" t="n">
        <f aca="false">D17/$D$2</f>
        <v>0</v>
      </c>
      <c r="G17" s="7" t="n">
        <v>72</v>
      </c>
      <c r="H17" s="9" t="n">
        <v>0</v>
      </c>
      <c r="I17" s="7" t="n">
        <f aca="false">G17+H17</f>
        <v>72</v>
      </c>
      <c r="J17" s="39" t="n">
        <f aca="false">IF(L17&gt;0,L17,0)</f>
        <v>0</v>
      </c>
      <c r="K17" s="7" t="n">
        <f aca="false">I17+J17</f>
        <v>72</v>
      </c>
      <c r="L17" s="7" t="n">
        <f aca="false">F17-(I17-X17)</f>
        <v>-24.8</v>
      </c>
      <c r="M17" s="7" t="n">
        <v>6.2</v>
      </c>
      <c r="N17" s="7" t="n">
        <v>0</v>
      </c>
      <c r="O17" s="7" t="n">
        <f aca="false">3.37*1.05</f>
        <v>3.5385</v>
      </c>
      <c r="P17" s="7" t="n">
        <f aca="false">M17-(N17+O17)</f>
        <v>2.6615</v>
      </c>
      <c r="Q17" s="7" t="n">
        <v>0</v>
      </c>
      <c r="R17" s="7" t="n">
        <v>0</v>
      </c>
      <c r="S17" s="7" t="n">
        <f aca="false">SUM(P17:R17)</f>
        <v>2.6615</v>
      </c>
      <c r="T17" s="8"/>
      <c r="U17" s="7" t="n">
        <v>0</v>
      </c>
      <c r="V17" s="7" t="n">
        <v>41</v>
      </c>
      <c r="W17" s="8" t="n">
        <f aca="false">W16-V17</f>
        <v>5674</v>
      </c>
      <c r="X17" s="7" t="n">
        <f aca="false">N17+O17+S17+U17+V17</f>
        <v>47.2</v>
      </c>
      <c r="Y17" s="7" t="n">
        <f aca="false">IF(L17&lt;0,L17*-1,0)</f>
        <v>24.8</v>
      </c>
      <c r="Z17" s="7" t="n">
        <f aca="false">X17+Y17</f>
        <v>72</v>
      </c>
      <c r="AA17" s="11" t="n">
        <v>0</v>
      </c>
      <c r="AB17" s="12" t="n">
        <v>42</v>
      </c>
      <c r="AC17" s="12" t="n">
        <v>12</v>
      </c>
      <c r="AD17" s="13" t="n">
        <f aca="false">AD16+1</f>
        <v>8</v>
      </c>
    </row>
    <row r="18" customFormat="false" ht="11.1" hidden="false" customHeight="true" outlineLevel="0" collapsed="false">
      <c r="A18" s="13" t="n">
        <f aca="false">A17+1</f>
        <v>9</v>
      </c>
      <c r="B18" s="31" t="n">
        <v>6880.65</v>
      </c>
      <c r="C18" s="8" t="n">
        <v>218130</v>
      </c>
      <c r="D18" s="12" t="n">
        <f aca="false">C18-C17</f>
        <v>61</v>
      </c>
      <c r="E18" s="8" t="n">
        <f aca="false">C18-152000</f>
        <v>66130</v>
      </c>
      <c r="F18" s="7" t="n">
        <f aca="false">D18/$D$2</f>
        <v>30.7537181749433</v>
      </c>
      <c r="G18" s="7" t="n">
        <v>72</v>
      </c>
      <c r="H18" s="9" t="n">
        <v>0</v>
      </c>
      <c r="I18" s="7" t="n">
        <f aca="false">G18+H18</f>
        <v>72</v>
      </c>
      <c r="J18" s="39" t="n">
        <f aca="false">IF(L18&gt;0,L18,0)</f>
        <v>6.65371817494328</v>
      </c>
      <c r="K18" s="7" t="n">
        <f aca="false">I18+J18</f>
        <v>78.6537181749433</v>
      </c>
      <c r="L18" s="7" t="n">
        <f aca="false">F18-(I18-X18)</f>
        <v>6.65371817494328</v>
      </c>
      <c r="M18" s="7" t="n">
        <v>5.9</v>
      </c>
      <c r="N18" s="7" t="n">
        <v>0</v>
      </c>
      <c r="O18" s="7" t="n">
        <f aca="false">1.58+3.54*1.05</f>
        <v>5.297</v>
      </c>
      <c r="P18" s="7" t="n">
        <f aca="false">M18-(N18+O18)</f>
        <v>0.603</v>
      </c>
      <c r="Q18" s="7" t="n">
        <v>0</v>
      </c>
      <c r="R18" s="7" t="n">
        <v>0</v>
      </c>
      <c r="S18" s="7" t="n">
        <f aca="false">SUM(P18:R18)</f>
        <v>0.603</v>
      </c>
      <c r="T18" s="8"/>
      <c r="U18" s="7" t="n">
        <v>0</v>
      </c>
      <c r="V18" s="7" t="n">
        <v>42</v>
      </c>
      <c r="W18" s="8" t="n">
        <f aca="false">W17-V18</f>
        <v>5632</v>
      </c>
      <c r="X18" s="7" t="n">
        <f aca="false">N18+O18+S18+U18+V18</f>
        <v>47.9</v>
      </c>
      <c r="Y18" s="7" t="n">
        <f aca="false">IF(L18&lt;0,L18*-1,0)</f>
        <v>0</v>
      </c>
      <c r="Z18" s="7" t="n">
        <f aca="false">X18+Y18</f>
        <v>47.9</v>
      </c>
      <c r="AA18" s="11" t="n">
        <v>0</v>
      </c>
      <c r="AB18" s="41" t="n">
        <v>34</v>
      </c>
      <c r="AC18" s="12" t="n">
        <v>17</v>
      </c>
      <c r="AD18" s="13" t="n">
        <f aca="false">AD17+1</f>
        <v>9</v>
      </c>
    </row>
    <row r="19" customFormat="false" ht="11.1" hidden="false" customHeight="true" outlineLevel="0" collapsed="false">
      <c r="A19" s="13" t="n">
        <f aca="false">A18+1</f>
        <v>10</v>
      </c>
      <c r="B19" s="31" t="n">
        <v>6880.67</v>
      </c>
      <c r="C19" s="8" t="n">
        <v>218190</v>
      </c>
      <c r="D19" s="12" t="n">
        <f aca="false">C19-C18</f>
        <v>60</v>
      </c>
      <c r="E19" s="8" t="n">
        <f aca="false">C19-152000</f>
        <v>66190</v>
      </c>
      <c r="F19" s="7" t="n">
        <f aca="false">D19/$D$2</f>
        <v>30.2495588605999</v>
      </c>
      <c r="G19" s="7" t="n">
        <v>73</v>
      </c>
      <c r="H19" s="9" t="n">
        <v>0</v>
      </c>
      <c r="I19" s="7" t="n">
        <f aca="false">G19+H19</f>
        <v>73</v>
      </c>
      <c r="J19" s="39" t="n">
        <f aca="false">IF(L19&gt;0,L19,0)</f>
        <v>4.14955886059995</v>
      </c>
      <c r="K19" s="7" t="n">
        <f aca="false">I19+J19</f>
        <v>77.1495588605999</v>
      </c>
      <c r="L19" s="7" t="n">
        <f aca="false">F19-(I19-X19)</f>
        <v>4.14955886059995</v>
      </c>
      <c r="M19" s="7" t="n">
        <v>5.9</v>
      </c>
      <c r="N19" s="7" t="n">
        <v>0</v>
      </c>
      <c r="O19" s="7" t="n">
        <f aca="false">1.68*1.05</f>
        <v>1.764</v>
      </c>
      <c r="P19" s="7" t="n">
        <f aca="false">M19-(N19+O19)</f>
        <v>4.136</v>
      </c>
      <c r="Q19" s="7" t="n">
        <v>0</v>
      </c>
      <c r="R19" s="7" t="n">
        <v>0</v>
      </c>
      <c r="S19" s="7" t="n">
        <f aca="false">SUM(P19:R19)</f>
        <v>4.136</v>
      </c>
      <c r="T19" s="8"/>
      <c r="U19" s="7" t="n">
        <v>0</v>
      </c>
      <c r="V19" s="7" t="n">
        <v>41</v>
      </c>
      <c r="W19" s="8" t="n">
        <f aca="false">W18-V19</f>
        <v>5591</v>
      </c>
      <c r="X19" s="7" t="n">
        <f aca="false">N19+O19+S19+U19+V19</f>
        <v>46.9</v>
      </c>
      <c r="Y19" s="7" t="n">
        <f aca="false">IF(L19&lt;0,L19*-1,0)</f>
        <v>0</v>
      </c>
      <c r="Z19" s="7" t="n">
        <f aca="false">X19+Y19</f>
        <v>46.9</v>
      </c>
      <c r="AA19" s="11" t="n">
        <v>0</v>
      </c>
      <c r="AB19" s="12" t="n">
        <v>28</v>
      </c>
      <c r="AC19" s="12" t="n">
        <v>19</v>
      </c>
      <c r="AD19" s="13" t="n">
        <f aca="false">AD18+1</f>
        <v>10</v>
      </c>
    </row>
    <row r="20" customFormat="false" ht="11.1" hidden="false" customHeight="true" outlineLevel="0" collapsed="false">
      <c r="A20" s="13" t="n">
        <f aca="false">A19+1</f>
        <v>11</v>
      </c>
      <c r="B20" s="31" t="n">
        <v>6880.69</v>
      </c>
      <c r="C20" s="8" t="n">
        <v>218251</v>
      </c>
      <c r="D20" s="12" t="n">
        <f aca="false">C20-C19</f>
        <v>61</v>
      </c>
      <c r="E20" s="8" t="n">
        <f aca="false">C20-152000</f>
        <v>66251</v>
      </c>
      <c r="F20" s="7" t="n">
        <f aca="false">D20/$D$2</f>
        <v>30.7537181749433</v>
      </c>
      <c r="G20" s="7" t="n">
        <v>74</v>
      </c>
      <c r="H20" s="9" t="n">
        <v>0</v>
      </c>
      <c r="I20" s="7" t="n">
        <f aca="false">G20+H20</f>
        <v>74</v>
      </c>
      <c r="J20" s="39" t="n">
        <f aca="false">IF(L20&gt;0,L20,0)</f>
        <v>3.65371817494328</v>
      </c>
      <c r="K20" s="7" t="n">
        <f aca="false">I20+J20</f>
        <v>77.6537181749433</v>
      </c>
      <c r="L20" s="7" t="n">
        <f aca="false">F20-(I20-X20)</f>
        <v>3.65371817494328</v>
      </c>
      <c r="M20" s="7" t="n">
        <v>5.9</v>
      </c>
      <c r="N20" s="7" t="n">
        <v>0</v>
      </c>
      <c r="O20" s="7" t="n">
        <f aca="false">0.78*1.05</f>
        <v>0.819</v>
      </c>
      <c r="P20" s="7" t="n">
        <f aca="false">M20-(N20+O20)</f>
        <v>5.081</v>
      </c>
      <c r="Q20" s="7" t="n">
        <v>0</v>
      </c>
      <c r="R20" s="7" t="n">
        <v>0</v>
      </c>
      <c r="S20" s="7" t="n">
        <f aca="false">SUM(P20:R20)</f>
        <v>5.081</v>
      </c>
      <c r="T20" s="8"/>
      <c r="U20" s="7" t="n">
        <v>0</v>
      </c>
      <c r="V20" s="7" t="n">
        <v>41</v>
      </c>
      <c r="W20" s="8" t="n">
        <f aca="false">W19-V20</f>
        <v>5550</v>
      </c>
      <c r="X20" s="7" t="n">
        <f aca="false">N20+O20+S20+U20+V20</f>
        <v>46.9</v>
      </c>
      <c r="Y20" s="7" t="n">
        <f aca="false">IF(L20&lt;0,L20*-1,0)</f>
        <v>0</v>
      </c>
      <c r="Z20" s="7" t="n">
        <f aca="false">X20+Y20</f>
        <v>46.9</v>
      </c>
      <c r="AA20" s="11" t="n">
        <v>0.57</v>
      </c>
      <c r="AB20" s="12" t="n">
        <v>28</v>
      </c>
      <c r="AC20" s="12" t="n">
        <v>24</v>
      </c>
      <c r="AD20" s="13" t="n">
        <f aca="false">AD19+1</f>
        <v>11</v>
      </c>
    </row>
    <row r="21" customFormat="false" ht="11.1" hidden="false" customHeight="true" outlineLevel="0" collapsed="false">
      <c r="A21" s="13" t="n">
        <f aca="false">A20+1</f>
        <v>12</v>
      </c>
      <c r="B21" s="31" t="n">
        <v>6880.7</v>
      </c>
      <c r="C21" s="8" t="n">
        <v>218281</v>
      </c>
      <c r="D21" s="12" t="n">
        <f aca="false">C21-C20</f>
        <v>30</v>
      </c>
      <c r="E21" s="8" t="n">
        <f aca="false">C21-152000</f>
        <v>66281</v>
      </c>
      <c r="F21" s="7" t="n">
        <f aca="false">D21/$D$2</f>
        <v>15.1247794303</v>
      </c>
      <c r="G21" s="7" t="n">
        <v>71</v>
      </c>
      <c r="H21" s="9" t="n">
        <v>0</v>
      </c>
      <c r="I21" s="7" t="n">
        <f aca="false">G21+H21</f>
        <v>71</v>
      </c>
      <c r="J21" s="39" t="n">
        <f aca="false">IF(L21&gt;0,L21,0)</f>
        <v>0</v>
      </c>
      <c r="K21" s="7" t="n">
        <f aca="false">I21+J21</f>
        <v>71</v>
      </c>
      <c r="L21" s="7" t="n">
        <f aca="false">F21-(I21-X21)</f>
        <v>-8.97522056970003</v>
      </c>
      <c r="M21" s="7" t="n">
        <v>5.9</v>
      </c>
      <c r="N21" s="7" t="n">
        <v>0</v>
      </c>
      <c r="O21" s="7" t="n">
        <f aca="false">0.63*1.05</f>
        <v>0.6615</v>
      </c>
      <c r="P21" s="7" t="n">
        <f aca="false">M21-(N21+O21)</f>
        <v>5.2385</v>
      </c>
      <c r="Q21" s="7" t="n">
        <v>0</v>
      </c>
      <c r="R21" s="7" t="n">
        <v>0</v>
      </c>
      <c r="S21" s="7" t="n">
        <f aca="false">SUM(P21:R21)</f>
        <v>5.2385</v>
      </c>
      <c r="T21" s="8"/>
      <c r="U21" s="7" t="n">
        <v>0</v>
      </c>
      <c r="V21" s="7" t="n">
        <v>41</v>
      </c>
      <c r="W21" s="8" t="n">
        <f aca="false">W20-V21</f>
        <v>5509</v>
      </c>
      <c r="X21" s="7" t="n">
        <f aca="false">N21+O21+S21+U21+V21</f>
        <v>46.9</v>
      </c>
      <c r="Y21" s="7" t="n">
        <f aca="false">IF(L21&lt;0,L21*-1,0)</f>
        <v>8.97522056970003</v>
      </c>
      <c r="Z21" s="7" t="n">
        <f aca="false">X21+Y21</f>
        <v>55.8752205697</v>
      </c>
      <c r="AA21" s="11" t="n">
        <v>0</v>
      </c>
      <c r="AB21" s="12" t="n">
        <v>22</v>
      </c>
      <c r="AC21" s="12" t="n">
        <v>17</v>
      </c>
      <c r="AD21" s="13" t="n">
        <f aca="false">AD20+1</f>
        <v>12</v>
      </c>
    </row>
    <row r="22" customFormat="false" ht="11.1" hidden="false" customHeight="true" outlineLevel="0" collapsed="false">
      <c r="A22" s="13" t="n">
        <f aca="false">A21+1</f>
        <v>13</v>
      </c>
      <c r="B22" s="31" t="n">
        <v>6880.7</v>
      </c>
      <c r="C22" s="8" t="n">
        <v>218281</v>
      </c>
      <c r="D22" s="12" t="n">
        <f aca="false">C22-C21</f>
        <v>0</v>
      </c>
      <c r="E22" s="8" t="n">
        <f aca="false">C22-152000</f>
        <v>66281</v>
      </c>
      <c r="F22" s="7" t="n">
        <f aca="false">D22/$D$2</f>
        <v>0</v>
      </c>
      <c r="G22" s="7" t="n">
        <v>54</v>
      </c>
      <c r="H22" s="9" t="n">
        <v>0</v>
      </c>
      <c r="I22" s="7" t="n">
        <f aca="false">G22+H22</f>
        <v>54</v>
      </c>
      <c r="J22" s="39" t="n">
        <f aca="false">IF(L22&gt;0,L22,0)</f>
        <v>0</v>
      </c>
      <c r="K22" s="7" t="n">
        <f aca="false">I22+J22</f>
        <v>54</v>
      </c>
      <c r="L22" s="7" t="n">
        <f aca="false">F22-(I22-X22)</f>
        <v>-7.3</v>
      </c>
      <c r="M22" s="7" t="n">
        <v>5.7</v>
      </c>
      <c r="N22" s="7" t="n">
        <v>0</v>
      </c>
      <c r="O22" s="7" t="n">
        <f aca="false">4.33*1.05</f>
        <v>4.5465</v>
      </c>
      <c r="P22" s="7" t="n">
        <f aca="false">M22-(N22+O22)</f>
        <v>1.1535</v>
      </c>
      <c r="Q22" s="7" t="n">
        <v>0</v>
      </c>
      <c r="R22" s="7" t="n">
        <v>0</v>
      </c>
      <c r="S22" s="7" t="n">
        <f aca="false">SUM(P22:R22)</f>
        <v>1.1535</v>
      </c>
      <c r="T22" s="8"/>
      <c r="U22" s="7" t="n">
        <v>0</v>
      </c>
      <c r="V22" s="7" t="n">
        <v>41</v>
      </c>
      <c r="W22" s="8" t="n">
        <f aca="false">W21-V22</f>
        <v>5468</v>
      </c>
      <c r="X22" s="7" t="n">
        <f aca="false">N22+O22+S22+U22+V22</f>
        <v>46.7</v>
      </c>
      <c r="Y22" s="7" t="n">
        <f aca="false">IF(L22&lt;0,L22*-1,0)</f>
        <v>7.3</v>
      </c>
      <c r="Z22" s="7" t="n">
        <f aca="false">X22+Y22</f>
        <v>54</v>
      </c>
      <c r="AA22" s="11" t="n">
        <v>0</v>
      </c>
      <c r="AB22" s="12" t="n">
        <v>32</v>
      </c>
      <c r="AC22" s="12" t="n">
        <v>2</v>
      </c>
      <c r="AD22" s="13" t="n">
        <f aca="false">AD21+1</f>
        <v>13</v>
      </c>
    </row>
    <row r="23" customFormat="false" ht="11.1" hidden="false" customHeight="true" outlineLevel="0" collapsed="false">
      <c r="A23" s="13" t="n">
        <f aca="false">A22+1</f>
        <v>14</v>
      </c>
      <c r="B23" s="31" t="n">
        <v>6880.71</v>
      </c>
      <c r="C23" s="8" t="n">
        <v>218311</v>
      </c>
      <c r="D23" s="12" t="n">
        <f aca="false">C23-C22</f>
        <v>30</v>
      </c>
      <c r="E23" s="8" t="n">
        <f aca="false">C23-152000</f>
        <v>66311</v>
      </c>
      <c r="F23" s="7" t="n">
        <f aca="false">D23/$D$2</f>
        <v>15.1247794303</v>
      </c>
      <c r="G23" s="7" t="n">
        <v>56</v>
      </c>
      <c r="H23" s="9" t="n">
        <v>0</v>
      </c>
      <c r="I23" s="7" t="n">
        <f aca="false">G23+H23</f>
        <v>56</v>
      </c>
      <c r="J23" s="39" t="n">
        <f aca="false">IF(L23&gt;0,L23,0)</f>
        <v>5.62477943029997</v>
      </c>
      <c r="K23" s="7" t="n">
        <f aca="false">I23+J23</f>
        <v>61.6247794303</v>
      </c>
      <c r="L23" s="7" t="n">
        <f aca="false">F23-(I23-X23)</f>
        <v>5.62477943029997</v>
      </c>
      <c r="M23" s="7" t="n">
        <v>5.5</v>
      </c>
      <c r="N23" s="7" t="n">
        <v>0</v>
      </c>
      <c r="O23" s="7" t="n">
        <v>4.6</v>
      </c>
      <c r="P23" s="7" t="n">
        <f aca="false">M23-(N23+O23)</f>
        <v>0.9</v>
      </c>
      <c r="Q23" s="7" t="n">
        <v>0</v>
      </c>
      <c r="R23" s="7" t="n">
        <v>0</v>
      </c>
      <c r="S23" s="7" t="n">
        <f aca="false">SUM(P23:R23)</f>
        <v>0.9</v>
      </c>
      <c r="T23" s="8"/>
      <c r="U23" s="7" t="n">
        <v>0</v>
      </c>
      <c r="V23" s="7" t="n">
        <v>41</v>
      </c>
      <c r="W23" s="8" t="n">
        <f aca="false">W22-V23</f>
        <v>5427</v>
      </c>
      <c r="X23" s="7" t="n">
        <f aca="false">N23+O23+S23+U23+V23</f>
        <v>46.5</v>
      </c>
      <c r="Y23" s="7" t="n">
        <f aca="false">IF(L23&lt;0,L23*-1,0)</f>
        <v>0</v>
      </c>
      <c r="Z23" s="7" t="n">
        <f aca="false">X23+Y23</f>
        <v>46.5</v>
      </c>
      <c r="AA23" s="11" t="n">
        <v>0</v>
      </c>
      <c r="AB23" s="41" t="n">
        <v>36</v>
      </c>
      <c r="AC23" s="12" t="n">
        <v>4</v>
      </c>
      <c r="AD23" s="13" t="n">
        <f aca="false">AD22+1</f>
        <v>14</v>
      </c>
    </row>
    <row r="24" customFormat="false" ht="11.1" hidden="false" customHeight="true" outlineLevel="0" collapsed="false">
      <c r="A24" s="13" t="n">
        <f aca="false">A23+1</f>
        <v>15</v>
      </c>
      <c r="B24" s="31" t="n">
        <v>6880.71</v>
      </c>
      <c r="C24" s="8" t="n">
        <v>218311</v>
      </c>
      <c r="D24" s="12" t="n">
        <f aca="false">C24-C23</f>
        <v>0</v>
      </c>
      <c r="E24" s="8" t="n">
        <f aca="false">C24-152000</f>
        <v>66311</v>
      </c>
      <c r="F24" s="7" t="n">
        <f aca="false">D24/$D$2</f>
        <v>0</v>
      </c>
      <c r="G24" s="7" t="n">
        <v>56</v>
      </c>
      <c r="H24" s="9" t="n">
        <v>0</v>
      </c>
      <c r="I24" s="7" t="n">
        <f aca="false">G24+H24</f>
        <v>56</v>
      </c>
      <c r="J24" s="39" t="n">
        <f aca="false">IF(L24&gt;0,L24,0)</f>
        <v>0</v>
      </c>
      <c r="K24" s="7" t="n">
        <f aca="false">I24+J24</f>
        <v>56</v>
      </c>
      <c r="L24" s="7" t="n">
        <f aca="false">F24-(I24-X24)</f>
        <v>-9.5</v>
      </c>
      <c r="M24" s="7" t="n">
        <v>5.5</v>
      </c>
      <c r="N24" s="7" t="n">
        <v>0</v>
      </c>
      <c r="O24" s="7" t="n">
        <v>0.88</v>
      </c>
      <c r="P24" s="7" t="n">
        <f aca="false">M24-(N24+O24)</f>
        <v>4.62</v>
      </c>
      <c r="Q24" s="7" t="n">
        <v>0</v>
      </c>
      <c r="R24" s="7" t="n">
        <v>0</v>
      </c>
      <c r="S24" s="7" t="n">
        <f aca="false">SUM(P24:R24)</f>
        <v>4.62</v>
      </c>
      <c r="T24" s="8"/>
      <c r="U24" s="7" t="n">
        <v>0</v>
      </c>
      <c r="V24" s="7" t="n">
        <v>41</v>
      </c>
      <c r="W24" s="8" t="n">
        <f aca="false">W23-V24</f>
        <v>5386</v>
      </c>
      <c r="X24" s="7" t="n">
        <f aca="false">N24+O24+S24+U24+V24</f>
        <v>46.5</v>
      </c>
      <c r="Y24" s="7" t="n">
        <f aca="false">IF(L24&lt;0,L24*-1,0)</f>
        <v>9.5</v>
      </c>
      <c r="Z24" s="7" t="n">
        <f aca="false">X24+Y24</f>
        <v>56</v>
      </c>
      <c r="AA24" s="11" t="n">
        <v>0</v>
      </c>
      <c r="AB24" s="41" t="n">
        <v>32</v>
      </c>
      <c r="AC24" s="12" t="n">
        <v>12</v>
      </c>
      <c r="AD24" s="13" t="n">
        <f aca="false">AD23+1</f>
        <v>15</v>
      </c>
    </row>
    <row r="25" customFormat="false" ht="11.1" hidden="false" customHeight="true" outlineLevel="0" collapsed="false">
      <c r="A25" s="13" t="n">
        <f aca="false">A24+1</f>
        <v>16</v>
      </c>
      <c r="B25" s="31" t="n">
        <v>6880.72</v>
      </c>
      <c r="C25" s="8" t="n">
        <v>218341</v>
      </c>
      <c r="D25" s="12" t="n">
        <f aca="false">C25-C24</f>
        <v>30</v>
      </c>
      <c r="E25" s="8" t="n">
        <f aca="false">C25-152000</f>
        <v>66341</v>
      </c>
      <c r="F25" s="7" t="n">
        <f aca="false">D25/$D$2</f>
        <v>15.1247794303</v>
      </c>
      <c r="G25" s="7" t="n">
        <v>56</v>
      </c>
      <c r="H25" s="9" t="n">
        <v>0</v>
      </c>
      <c r="I25" s="7" t="n">
        <f aca="false">G25+H25</f>
        <v>56</v>
      </c>
      <c r="J25" s="39" t="n">
        <f aca="false">IF(L25&gt;0,L25,0)</f>
        <v>5.52477943029997</v>
      </c>
      <c r="K25" s="7" t="n">
        <f aca="false">I25+J25</f>
        <v>61.5247794303</v>
      </c>
      <c r="L25" s="7" t="n">
        <f aca="false">F25-(I25-X25)</f>
        <v>5.52477943029997</v>
      </c>
      <c r="M25" s="7" t="n">
        <v>5.4</v>
      </c>
      <c r="N25" s="7" t="n">
        <v>0</v>
      </c>
      <c r="O25" s="7" t="n">
        <v>0</v>
      </c>
      <c r="P25" s="7" t="n">
        <f aca="false">M25-(N25+O25)</f>
        <v>5.4</v>
      </c>
      <c r="Q25" s="7" t="n">
        <v>0</v>
      </c>
      <c r="R25" s="7" t="n">
        <v>0</v>
      </c>
      <c r="S25" s="7" t="n">
        <f aca="false">SUM(P25:R25)</f>
        <v>5.4</v>
      </c>
      <c r="T25" s="8"/>
      <c r="U25" s="7" t="n">
        <v>0</v>
      </c>
      <c r="V25" s="7" t="n">
        <v>41</v>
      </c>
      <c r="W25" s="8" t="n">
        <f aca="false">W24-V25</f>
        <v>5345</v>
      </c>
      <c r="X25" s="7" t="n">
        <f aca="false">N25+O25+S25+U25+V25</f>
        <v>46.4</v>
      </c>
      <c r="Y25" s="7" t="n">
        <f aca="false">IF(L25&lt;0,L25*-1,0)</f>
        <v>0</v>
      </c>
      <c r="Z25" s="7" t="n">
        <f aca="false">X25+Y25</f>
        <v>46.4</v>
      </c>
      <c r="AA25" s="11" t="n">
        <v>0.44</v>
      </c>
      <c r="AB25" s="41" t="n">
        <v>35</v>
      </c>
      <c r="AC25" s="12" t="n">
        <v>8</v>
      </c>
      <c r="AD25" s="13" t="n">
        <f aca="false">AD24+1</f>
        <v>16</v>
      </c>
    </row>
    <row r="26" customFormat="false" ht="11.1" hidden="false" customHeight="true" outlineLevel="0" collapsed="false">
      <c r="A26" s="13" t="n">
        <f aca="false">A25+1</f>
        <v>17</v>
      </c>
      <c r="B26" s="31" t="n">
        <v>6880.72</v>
      </c>
      <c r="C26" s="8" t="n">
        <v>218341</v>
      </c>
      <c r="D26" s="12" t="n">
        <f aca="false">C26-C25</f>
        <v>0</v>
      </c>
      <c r="E26" s="8" t="n">
        <f aca="false">C26-152000</f>
        <v>66341</v>
      </c>
      <c r="F26" s="7" t="n">
        <f aca="false">D26/$D$2</f>
        <v>0</v>
      </c>
      <c r="G26" s="7" t="n">
        <v>58</v>
      </c>
      <c r="H26" s="9" t="n">
        <v>0</v>
      </c>
      <c r="I26" s="7" t="n">
        <f aca="false">G26+H26</f>
        <v>58</v>
      </c>
      <c r="J26" s="39" t="n">
        <f aca="false">IF(L26&gt;0,L26,0)</f>
        <v>0</v>
      </c>
      <c r="K26" s="7" t="n">
        <f aca="false">I26+J26</f>
        <v>58</v>
      </c>
      <c r="L26" s="7" t="n">
        <f aca="false">F26-(I26-X26)</f>
        <v>-11.9</v>
      </c>
      <c r="M26" s="7" t="n">
        <v>5.1</v>
      </c>
      <c r="N26" s="7" t="n">
        <v>0</v>
      </c>
      <c r="O26" s="7" t="n">
        <v>0</v>
      </c>
      <c r="P26" s="7" t="n">
        <f aca="false">M26-(N26+O26)</f>
        <v>5.1</v>
      </c>
      <c r="Q26" s="7" t="n">
        <v>0</v>
      </c>
      <c r="R26" s="7" t="n">
        <v>0</v>
      </c>
      <c r="S26" s="7" t="n">
        <f aca="false">SUM(P26:R26)</f>
        <v>5.1</v>
      </c>
      <c r="T26" s="8"/>
      <c r="U26" s="7" t="n">
        <v>0</v>
      </c>
      <c r="V26" s="7" t="n">
        <v>41</v>
      </c>
      <c r="W26" s="8" t="n">
        <f aca="false">W25-V26</f>
        <v>5304</v>
      </c>
      <c r="X26" s="7" t="n">
        <f aca="false">N26+O26+S26+U26+V26</f>
        <v>46.1</v>
      </c>
      <c r="Y26" s="7" t="n">
        <f aca="false">IF(L26&lt;0,L26*-1,0)</f>
        <v>11.9</v>
      </c>
      <c r="Z26" s="7" t="n">
        <f aca="false">X26+Y26</f>
        <v>58</v>
      </c>
      <c r="AA26" s="11" t="n">
        <v>0</v>
      </c>
      <c r="AB26" s="41" t="n">
        <v>28</v>
      </c>
      <c r="AC26" s="12" t="n">
        <v>3</v>
      </c>
      <c r="AD26" s="13" t="n">
        <f aca="false">AD25+1</f>
        <v>17</v>
      </c>
    </row>
    <row r="27" customFormat="false" ht="11.1" hidden="false" customHeight="true" outlineLevel="0" collapsed="false">
      <c r="A27" s="13" t="n">
        <f aca="false">A26+1</f>
        <v>18</v>
      </c>
      <c r="B27" s="31" t="n">
        <v>6880.73</v>
      </c>
      <c r="C27" s="8" t="n">
        <v>218372</v>
      </c>
      <c r="D27" s="12" t="n">
        <f aca="false">C27-C26</f>
        <v>31</v>
      </c>
      <c r="E27" s="8" t="n">
        <f aca="false">C27-152000</f>
        <v>66372</v>
      </c>
      <c r="F27" s="7" t="n">
        <f aca="false">D27/$D$2</f>
        <v>15.6289387446433</v>
      </c>
      <c r="G27" s="7" t="n">
        <v>59</v>
      </c>
      <c r="H27" s="9" t="n">
        <v>0</v>
      </c>
      <c r="I27" s="7" t="n">
        <f aca="false">G27+H27</f>
        <v>59</v>
      </c>
      <c r="J27" s="39" t="n">
        <f aca="false">IF(L27&gt;0,L27,0)</f>
        <v>2.72893874464331</v>
      </c>
      <c r="K27" s="7" t="n">
        <f aca="false">I27+J27</f>
        <v>61.7289387446433</v>
      </c>
      <c r="L27" s="7" t="n">
        <f aca="false">F27-(I27-X27)</f>
        <v>2.72893874464331</v>
      </c>
      <c r="M27" s="7" t="n">
        <v>5.1</v>
      </c>
      <c r="N27" s="7" t="n">
        <v>0</v>
      </c>
      <c r="O27" s="7" t="n">
        <v>0</v>
      </c>
      <c r="P27" s="7" t="n">
        <f aca="false">M27-(N27+O27)</f>
        <v>5.1</v>
      </c>
      <c r="Q27" s="7" t="n">
        <v>0</v>
      </c>
      <c r="R27" s="7" t="n">
        <v>0</v>
      </c>
      <c r="S27" s="7" t="n">
        <f aca="false">SUM(P27:R27)</f>
        <v>5.1</v>
      </c>
      <c r="T27" s="8"/>
      <c r="U27" s="7" t="n">
        <v>0</v>
      </c>
      <c r="V27" s="7" t="n">
        <v>41</v>
      </c>
      <c r="W27" s="8" t="n">
        <f aca="false">W26-V27</f>
        <v>5263</v>
      </c>
      <c r="X27" s="7" t="n">
        <f aca="false">N27+O27+S27+U27+V27</f>
        <v>46.1</v>
      </c>
      <c r="Y27" s="7" t="n">
        <f aca="false">IF(L27&lt;0,L27*-1,0)</f>
        <v>0</v>
      </c>
      <c r="Z27" s="7" t="n">
        <f aca="false">X27+Y27</f>
        <v>46.1</v>
      </c>
      <c r="AA27" s="11" t="n">
        <v>0</v>
      </c>
      <c r="AB27" s="41" t="n">
        <v>32</v>
      </c>
      <c r="AC27" s="12" t="n">
        <v>3</v>
      </c>
      <c r="AD27" s="13" t="n">
        <f aca="false">AD26+1</f>
        <v>18</v>
      </c>
    </row>
    <row r="28" customFormat="false" ht="11.1" hidden="false" customHeight="true" outlineLevel="0" collapsed="false">
      <c r="A28" s="13" t="n">
        <f aca="false">A27+1</f>
        <v>19</v>
      </c>
      <c r="B28" s="31" t="n">
        <v>6880.73</v>
      </c>
      <c r="C28" s="8" t="n">
        <v>218372</v>
      </c>
      <c r="D28" s="12" t="n">
        <f aca="false">C28-C27</f>
        <v>0</v>
      </c>
      <c r="E28" s="8" t="n">
        <f aca="false">C28-152000</f>
        <v>66372</v>
      </c>
      <c r="F28" s="7" t="n">
        <f aca="false">D28/$D$2</f>
        <v>0</v>
      </c>
      <c r="G28" s="7" t="n">
        <v>51</v>
      </c>
      <c r="H28" s="9" t="n">
        <v>0</v>
      </c>
      <c r="I28" s="7" t="n">
        <f aca="false">G28+H28</f>
        <v>51</v>
      </c>
      <c r="J28" s="39" t="n">
        <f aca="false">IF(L28&gt;0,L28,0)</f>
        <v>0</v>
      </c>
      <c r="K28" s="7" t="n">
        <f aca="false">I28+J28</f>
        <v>51</v>
      </c>
      <c r="L28" s="7" t="n">
        <f aca="false">F28-(I28-X28)</f>
        <v>-4.9</v>
      </c>
      <c r="M28" s="7" t="n">
        <v>5.1</v>
      </c>
      <c r="N28" s="7" t="n">
        <v>0</v>
      </c>
      <c r="O28" s="7" t="n">
        <v>0</v>
      </c>
      <c r="P28" s="7" t="n">
        <f aca="false">M28-(N28+O28)</f>
        <v>5.1</v>
      </c>
      <c r="Q28" s="7" t="n">
        <v>0</v>
      </c>
      <c r="R28" s="7" t="n">
        <v>0</v>
      </c>
      <c r="S28" s="7" t="n">
        <f aca="false">SUM(P28:R28)</f>
        <v>5.1</v>
      </c>
      <c r="T28" s="8"/>
      <c r="U28" s="7" t="n">
        <v>0</v>
      </c>
      <c r="V28" s="7" t="n">
        <v>41</v>
      </c>
      <c r="W28" s="8" t="n">
        <f aca="false">W27-V28</f>
        <v>5222</v>
      </c>
      <c r="X28" s="7" t="n">
        <f aca="false">N28+O28+S28+U28+V28</f>
        <v>46.1</v>
      </c>
      <c r="Y28" s="7" t="n">
        <f aca="false">IF(L28&lt;0,L28*-1,0)</f>
        <v>4.9</v>
      </c>
      <c r="Z28" s="7" t="n">
        <f aca="false">X28+Y28</f>
        <v>51</v>
      </c>
      <c r="AA28" s="11" t="n">
        <v>0</v>
      </c>
      <c r="AB28" s="41" t="n">
        <v>42</v>
      </c>
      <c r="AC28" s="12" t="n">
        <v>14</v>
      </c>
      <c r="AD28" s="13" t="n">
        <f aca="false">AD27+1</f>
        <v>19</v>
      </c>
    </row>
    <row r="29" customFormat="false" ht="11.1" hidden="false" customHeight="true" outlineLevel="0" collapsed="false">
      <c r="A29" s="13" t="n">
        <f aca="false">A28+1</f>
        <v>20</v>
      </c>
      <c r="B29" s="31" t="n">
        <v>6880.74</v>
      </c>
      <c r="C29" s="8" t="n">
        <v>218402</v>
      </c>
      <c r="D29" s="12" t="n">
        <f aca="false">C29-C28</f>
        <v>30</v>
      </c>
      <c r="E29" s="8" t="n">
        <f aca="false">C29-152000</f>
        <v>66402</v>
      </c>
      <c r="F29" s="7" t="n">
        <f aca="false">D29/$D$2</f>
        <v>15.1247794303</v>
      </c>
      <c r="G29" s="7" t="n">
        <v>54</v>
      </c>
      <c r="H29" s="9" t="n">
        <v>0</v>
      </c>
      <c r="I29" s="7" t="n">
        <f aca="false">G29+H29</f>
        <v>54</v>
      </c>
      <c r="J29" s="39" t="n">
        <f aca="false">IF(L29&gt;0,L29,0)</f>
        <v>7.22477943029998</v>
      </c>
      <c r="K29" s="7" t="n">
        <f aca="false">I29+J29</f>
        <v>61.2247794303</v>
      </c>
      <c r="L29" s="7" t="n">
        <f aca="false">F29-(I29-X29)</f>
        <v>7.22477943029998</v>
      </c>
      <c r="M29" s="7" t="n">
        <v>5.1</v>
      </c>
      <c r="N29" s="7" t="n">
        <v>0</v>
      </c>
      <c r="O29" s="7" t="n">
        <v>0</v>
      </c>
      <c r="P29" s="7" t="n">
        <f aca="false">M29-(N29+O29)</f>
        <v>5.1</v>
      </c>
      <c r="Q29" s="7" t="n">
        <v>0</v>
      </c>
      <c r="R29" s="7" t="n">
        <v>0</v>
      </c>
      <c r="S29" s="7" t="n">
        <f aca="false">SUM(P29:R29)</f>
        <v>5.1</v>
      </c>
      <c r="T29" s="8"/>
      <c r="U29" s="7" t="n">
        <v>0</v>
      </c>
      <c r="V29" s="7" t="n">
        <v>41</v>
      </c>
      <c r="W29" s="8" t="n">
        <f aca="false">W28-V29</f>
        <v>5181</v>
      </c>
      <c r="X29" s="7" t="n">
        <f aca="false">N29+O29+S29+U29+V29</f>
        <v>46.1</v>
      </c>
      <c r="Y29" s="7" t="n">
        <f aca="false">IF(L29&lt;0,L29*-1,0)</f>
        <v>0</v>
      </c>
      <c r="Z29" s="7" t="n">
        <f aca="false">X29+Y29</f>
        <v>46.1</v>
      </c>
      <c r="AA29" s="11" t="n">
        <v>0</v>
      </c>
      <c r="AB29" s="41" t="n">
        <v>50</v>
      </c>
      <c r="AC29" s="12" t="n">
        <v>16</v>
      </c>
      <c r="AD29" s="13" t="n">
        <f aca="false">AD28+1</f>
        <v>20</v>
      </c>
    </row>
    <row r="30" customFormat="false" ht="11.1" hidden="false" customHeight="true" outlineLevel="0" collapsed="false">
      <c r="A30" s="13" t="n">
        <f aca="false">A29+1</f>
        <v>21</v>
      </c>
      <c r="B30" s="31" t="n">
        <v>6880.74</v>
      </c>
      <c r="C30" s="8" t="n">
        <v>218402</v>
      </c>
      <c r="D30" s="12" t="n">
        <f aca="false">C30-C29</f>
        <v>0</v>
      </c>
      <c r="E30" s="8" t="n">
        <f aca="false">C30-152000</f>
        <v>66402</v>
      </c>
      <c r="F30" s="7" t="n">
        <f aca="false">D30/$D$2</f>
        <v>0</v>
      </c>
      <c r="G30" s="7" t="n">
        <v>57</v>
      </c>
      <c r="H30" s="9" t="n">
        <v>0</v>
      </c>
      <c r="I30" s="7" t="n">
        <f aca="false">G30+H30</f>
        <v>57</v>
      </c>
      <c r="J30" s="39" t="n">
        <f aca="false">IF(L30&gt;0,L30,0)</f>
        <v>0</v>
      </c>
      <c r="K30" s="7" t="n">
        <f aca="false">I30+J30</f>
        <v>57</v>
      </c>
      <c r="L30" s="7" t="n">
        <f aca="false">F30-(I30-X30)</f>
        <v>-10.9</v>
      </c>
      <c r="M30" s="7" t="n">
        <v>5.1</v>
      </c>
      <c r="N30" s="7" t="n">
        <v>0</v>
      </c>
      <c r="O30" s="7" t="n">
        <v>0</v>
      </c>
      <c r="P30" s="7" t="n">
        <f aca="false">M30-(N30+O30)</f>
        <v>5.1</v>
      </c>
      <c r="Q30" s="7" t="n">
        <v>0</v>
      </c>
      <c r="R30" s="7" t="n">
        <v>0</v>
      </c>
      <c r="S30" s="7" t="n">
        <f aca="false">SUM(P30:R30)</f>
        <v>5.1</v>
      </c>
      <c r="T30" s="8"/>
      <c r="U30" s="7" t="n">
        <v>0</v>
      </c>
      <c r="V30" s="7" t="n">
        <v>41</v>
      </c>
      <c r="W30" s="8" t="n">
        <f aca="false">W29-V30</f>
        <v>5140</v>
      </c>
      <c r="X30" s="7" t="n">
        <f aca="false">N30+O30+S30+U30+V30</f>
        <v>46.1</v>
      </c>
      <c r="Y30" s="7" t="n">
        <f aca="false">IF(L30&lt;0,L30*-1,0)</f>
        <v>10.9</v>
      </c>
      <c r="Z30" s="7" t="n">
        <f aca="false">X30+Y30</f>
        <v>57</v>
      </c>
      <c r="AA30" s="11" t="n">
        <v>0</v>
      </c>
      <c r="AB30" s="12" t="n">
        <v>48</v>
      </c>
      <c r="AC30" s="12" t="n">
        <v>18</v>
      </c>
      <c r="AD30" s="13" t="n">
        <f aca="false">AD29+1</f>
        <v>21</v>
      </c>
    </row>
    <row r="31" customFormat="false" ht="11.1" hidden="false" customHeight="true" outlineLevel="0" collapsed="false">
      <c r="A31" s="13" t="n">
        <f aca="false">A30+1</f>
        <v>22</v>
      </c>
      <c r="B31" s="31" t="n">
        <v>6880.75</v>
      </c>
      <c r="C31" s="8" t="n">
        <v>218432</v>
      </c>
      <c r="D31" s="12" t="n">
        <f aca="false">C31-C30</f>
        <v>30</v>
      </c>
      <c r="E31" s="8" t="n">
        <f aca="false">C31-152000</f>
        <v>66432</v>
      </c>
      <c r="F31" s="7" t="n">
        <f aca="false">D31/$D$2</f>
        <v>15.1247794303</v>
      </c>
      <c r="G31" s="7" t="n">
        <v>64</v>
      </c>
      <c r="H31" s="9" t="n">
        <v>0</v>
      </c>
      <c r="I31" s="7" t="n">
        <f aca="false">G31+H31</f>
        <v>64</v>
      </c>
      <c r="J31" s="39" t="n">
        <f aca="false">IF(L31&gt;0,L31,0)</f>
        <v>0</v>
      </c>
      <c r="K31" s="7" t="n">
        <f aca="false">I31+J31</f>
        <v>64</v>
      </c>
      <c r="L31" s="7" t="n">
        <f aca="false">F31-(I31-X31)</f>
        <v>-2.77522056970002</v>
      </c>
      <c r="M31" s="7" t="n">
        <v>5.1</v>
      </c>
      <c r="N31" s="7" t="n">
        <v>0</v>
      </c>
      <c r="O31" s="7" t="n">
        <v>0</v>
      </c>
      <c r="P31" s="7" t="n">
        <f aca="false">M31-(N31+O31)</f>
        <v>5.1</v>
      </c>
      <c r="Q31" s="7" t="n">
        <v>0</v>
      </c>
      <c r="R31" s="7" t="n">
        <v>0</v>
      </c>
      <c r="S31" s="7" t="n">
        <f aca="false">SUM(P31:R31)</f>
        <v>5.1</v>
      </c>
      <c r="T31" s="8"/>
      <c r="U31" s="7" t="n">
        <v>0</v>
      </c>
      <c r="V31" s="7" t="n">
        <v>41</v>
      </c>
      <c r="W31" s="8" t="n">
        <f aca="false">W30-V31</f>
        <v>5099</v>
      </c>
      <c r="X31" s="7" t="n">
        <f aca="false">N31+O31+S31+U31+V31</f>
        <v>46.1</v>
      </c>
      <c r="Y31" s="7" t="n">
        <f aca="false">IF(L31&lt;0,L31*-1,0)</f>
        <v>2.77522056970002</v>
      </c>
      <c r="Z31" s="7" t="n">
        <f aca="false">X31+Y31</f>
        <v>48.8752205697</v>
      </c>
      <c r="AA31" s="11" t="n">
        <v>0.09</v>
      </c>
      <c r="AB31" s="12" t="n">
        <v>51</v>
      </c>
      <c r="AC31" s="12" t="n">
        <v>24</v>
      </c>
      <c r="AD31" s="13" t="n">
        <f aca="false">AD30+1</f>
        <v>22</v>
      </c>
    </row>
    <row r="32" customFormat="false" ht="11.1" hidden="false" customHeight="true" outlineLevel="0" collapsed="false">
      <c r="A32" s="13" t="n">
        <f aca="false">A31+1</f>
        <v>23</v>
      </c>
      <c r="B32" s="31" t="n">
        <v>6880.75</v>
      </c>
      <c r="C32" s="8" t="n">
        <v>218432</v>
      </c>
      <c r="D32" s="12" t="n">
        <f aca="false">C32-C31</f>
        <v>0</v>
      </c>
      <c r="E32" s="8" t="n">
        <f aca="false">C32-152000</f>
        <v>66432</v>
      </c>
      <c r="F32" s="7" t="n">
        <f aca="false">D32/$D$2</f>
        <v>0</v>
      </c>
      <c r="G32" s="7" t="n">
        <v>62</v>
      </c>
      <c r="H32" s="9" t="n">
        <v>0</v>
      </c>
      <c r="I32" s="7" t="n">
        <f aca="false">G32+H32</f>
        <v>62</v>
      </c>
      <c r="J32" s="39" t="n">
        <f aca="false">IF(L32&gt;0,L32,0)</f>
        <v>0</v>
      </c>
      <c r="K32" s="7" t="n">
        <f aca="false">I32+J32</f>
        <v>62</v>
      </c>
      <c r="L32" s="7" t="n">
        <f aca="false">F32-(I32-X32)</f>
        <v>-15.9</v>
      </c>
      <c r="M32" s="7" t="n">
        <v>5.1</v>
      </c>
      <c r="N32" s="7" t="n">
        <v>0</v>
      </c>
      <c r="O32" s="7" t="n">
        <v>0</v>
      </c>
      <c r="P32" s="7" t="n">
        <f aca="false">M32-(N32+O32)</f>
        <v>5.1</v>
      </c>
      <c r="Q32" s="7" t="n">
        <v>0</v>
      </c>
      <c r="R32" s="7" t="n">
        <v>0</v>
      </c>
      <c r="S32" s="7" t="n">
        <f aca="false">SUM(P32:R32)</f>
        <v>5.1</v>
      </c>
      <c r="T32" s="8"/>
      <c r="U32" s="7" t="n">
        <v>0</v>
      </c>
      <c r="V32" s="7" t="n">
        <v>41</v>
      </c>
      <c r="W32" s="8" t="n">
        <f aca="false">W31-V32</f>
        <v>5058</v>
      </c>
      <c r="X32" s="7" t="n">
        <f aca="false">N32+O32+S32+U32+V32</f>
        <v>46.1</v>
      </c>
      <c r="Y32" s="7" t="n">
        <f aca="false">IF(L32&lt;0,L32*-1,0)</f>
        <v>15.9</v>
      </c>
      <c r="Z32" s="7" t="n">
        <f aca="false">X32+Y32</f>
        <v>62</v>
      </c>
      <c r="AA32" s="11" t="n">
        <v>0</v>
      </c>
      <c r="AB32" s="12" t="n">
        <v>53</v>
      </c>
      <c r="AC32" s="41" t="n">
        <v>25</v>
      </c>
      <c r="AD32" s="13" t="n">
        <f aca="false">AD31+1</f>
        <v>23</v>
      </c>
    </row>
    <row r="33" customFormat="false" ht="11.1" hidden="false" customHeight="true" outlineLevel="0" collapsed="false">
      <c r="A33" s="13" t="n">
        <f aca="false">A32+1</f>
        <v>24</v>
      </c>
      <c r="B33" s="31" t="n">
        <v>6880.75</v>
      </c>
      <c r="C33" s="8" t="n">
        <v>218432</v>
      </c>
      <c r="D33" s="12" t="n">
        <f aca="false">C33-C32</f>
        <v>0</v>
      </c>
      <c r="E33" s="8" t="n">
        <f aca="false">C33-152000</f>
        <v>66432</v>
      </c>
      <c r="F33" s="7" t="n">
        <f aca="false">D33/$D$2</f>
        <v>0</v>
      </c>
      <c r="G33" s="7" t="n">
        <v>56</v>
      </c>
      <c r="H33" s="9" t="n">
        <v>0.24</v>
      </c>
      <c r="I33" s="7" t="n">
        <f aca="false">G33+H33</f>
        <v>56.24</v>
      </c>
      <c r="J33" s="39" t="n">
        <f aca="false">IF(L33&gt;0,L33,0)</f>
        <v>0</v>
      </c>
      <c r="K33" s="7" t="n">
        <f aca="false">I33+J33</f>
        <v>56.24</v>
      </c>
      <c r="L33" s="7" t="n">
        <f aca="false">F33-(I33-X33)</f>
        <v>-10.14</v>
      </c>
      <c r="M33" s="7" t="n">
        <v>5.1</v>
      </c>
      <c r="N33" s="7" t="n">
        <v>0</v>
      </c>
      <c r="O33" s="7" t="n">
        <v>0</v>
      </c>
      <c r="P33" s="7" t="n">
        <f aca="false">M33-(N33+O33)</f>
        <v>5.1</v>
      </c>
      <c r="Q33" s="7" t="n">
        <v>0</v>
      </c>
      <c r="R33" s="7" t="n">
        <v>0</v>
      </c>
      <c r="S33" s="7" t="n">
        <f aca="false">SUM(P33:R33)</f>
        <v>5.1</v>
      </c>
      <c r="T33" s="8"/>
      <c r="U33" s="7" t="n">
        <v>0</v>
      </c>
      <c r="V33" s="7" t="n">
        <v>41</v>
      </c>
      <c r="W33" s="8" t="n">
        <f aca="false">W32-V33</f>
        <v>5017</v>
      </c>
      <c r="X33" s="7" t="n">
        <f aca="false">N33+O33+S33+U33+V33</f>
        <v>46.1</v>
      </c>
      <c r="Y33" s="7" t="n">
        <f aca="false">IF(L33&lt;0,L33*-1,0)</f>
        <v>10.14</v>
      </c>
      <c r="Z33" s="7" t="n">
        <f aca="false">X33+Y33</f>
        <v>56.24</v>
      </c>
      <c r="AA33" s="11" t="n">
        <v>0</v>
      </c>
      <c r="AB33" s="12" t="n">
        <v>44</v>
      </c>
      <c r="AC33" s="41" t="n">
        <v>15</v>
      </c>
      <c r="AD33" s="13" t="n">
        <f aca="false">AD32+1</f>
        <v>24</v>
      </c>
    </row>
    <row r="34" customFormat="false" ht="11.1" hidden="false" customHeight="true" outlineLevel="0" collapsed="false">
      <c r="A34" s="13" t="n">
        <f aca="false">A33+1</f>
        <v>25</v>
      </c>
      <c r="B34" s="31" t="n">
        <v>6880.76</v>
      </c>
      <c r="C34" s="8" t="n">
        <v>218462</v>
      </c>
      <c r="D34" s="12" t="n">
        <f aca="false">C34-C33</f>
        <v>30</v>
      </c>
      <c r="E34" s="8" t="n">
        <f aca="false">C34-152000</f>
        <v>66462</v>
      </c>
      <c r="F34" s="7" t="n">
        <f aca="false">D34/$D$2</f>
        <v>15.1247794303</v>
      </c>
      <c r="G34" s="7" t="n">
        <v>61</v>
      </c>
      <c r="H34" s="9" t="n">
        <v>0.61</v>
      </c>
      <c r="I34" s="7" t="n">
        <f aca="false">G34+H34</f>
        <v>61.61</v>
      </c>
      <c r="J34" s="39" t="n">
        <f aca="false">IF(L34&gt;0,L34,0)</f>
        <v>0.114779430299976</v>
      </c>
      <c r="K34" s="7" t="n">
        <f aca="false">I34+J34</f>
        <v>61.7247794303</v>
      </c>
      <c r="L34" s="7" t="n">
        <f aca="false">F34-(I34-X34)</f>
        <v>0.114779430299976</v>
      </c>
      <c r="M34" s="7" t="n">
        <v>5.6</v>
      </c>
      <c r="N34" s="7" t="n">
        <v>0</v>
      </c>
      <c r="O34" s="7" t="n">
        <v>0</v>
      </c>
      <c r="P34" s="7" t="n">
        <f aca="false">M34-(N34+O34)</f>
        <v>5.6</v>
      </c>
      <c r="Q34" s="7" t="n">
        <v>0</v>
      </c>
      <c r="R34" s="7" t="n">
        <v>0</v>
      </c>
      <c r="S34" s="7" t="n">
        <f aca="false">SUM(P34:R34)</f>
        <v>5.6</v>
      </c>
      <c r="T34" s="8"/>
      <c r="U34" s="7" t="n">
        <v>0</v>
      </c>
      <c r="V34" s="7" t="n">
        <v>41</v>
      </c>
      <c r="W34" s="8" t="n">
        <f aca="false">W33-V34</f>
        <v>4976</v>
      </c>
      <c r="X34" s="7" t="n">
        <f aca="false">N34+O34+S34+U34+V34</f>
        <v>46.6</v>
      </c>
      <c r="Y34" s="7" t="n">
        <f aca="false">IF(L34&lt;0,L34*-1,0)</f>
        <v>0</v>
      </c>
      <c r="Z34" s="7" t="n">
        <f aca="false">X34+Y34</f>
        <v>46.6</v>
      </c>
      <c r="AA34" s="11" t="n">
        <v>0</v>
      </c>
      <c r="AB34" s="12" t="n">
        <v>42</v>
      </c>
      <c r="AC34" s="41" t="n">
        <v>18</v>
      </c>
      <c r="AD34" s="13" t="n">
        <f aca="false">AD33+1</f>
        <v>25</v>
      </c>
    </row>
    <row r="35" customFormat="false" ht="11.1" hidden="false" customHeight="true" outlineLevel="0" collapsed="false">
      <c r="A35" s="13" t="n">
        <f aca="false">A34+1</f>
        <v>26</v>
      </c>
      <c r="B35" s="31" t="n">
        <v>6880.76</v>
      </c>
      <c r="C35" s="8" t="n">
        <v>218462</v>
      </c>
      <c r="D35" s="12" t="n">
        <f aca="false">C35-C34</f>
        <v>0</v>
      </c>
      <c r="E35" s="8" t="n">
        <f aca="false">C35-152000</f>
        <v>66462</v>
      </c>
      <c r="F35" s="7" t="n">
        <f aca="false">D35/$D$2</f>
        <v>0</v>
      </c>
      <c r="G35" s="7" t="n">
        <v>57</v>
      </c>
      <c r="H35" s="9" t="n">
        <v>0.59</v>
      </c>
      <c r="I35" s="7" t="n">
        <f aca="false">G35+H35</f>
        <v>57.59</v>
      </c>
      <c r="J35" s="39" t="n">
        <f aca="false">IF(L35&gt;0,L35,0)</f>
        <v>0</v>
      </c>
      <c r="K35" s="7" t="n">
        <f aca="false">I35+J35</f>
        <v>57.59</v>
      </c>
      <c r="L35" s="7" t="n">
        <f aca="false">F35-(I35-X35)</f>
        <v>-10.69</v>
      </c>
      <c r="M35" s="7" t="n">
        <v>5.9</v>
      </c>
      <c r="N35" s="7" t="n">
        <v>0</v>
      </c>
      <c r="O35" s="7" t="n">
        <v>0</v>
      </c>
      <c r="P35" s="7" t="n">
        <f aca="false">M35-(N35+O35)</f>
        <v>5.9</v>
      </c>
      <c r="Q35" s="7" t="n">
        <v>0</v>
      </c>
      <c r="R35" s="7" t="n">
        <v>0</v>
      </c>
      <c r="S35" s="7" t="n">
        <f aca="false">SUM(P35:R35)</f>
        <v>5.9</v>
      </c>
      <c r="T35" s="8"/>
      <c r="U35" s="7" t="n">
        <v>0</v>
      </c>
      <c r="V35" s="7" t="n">
        <v>41</v>
      </c>
      <c r="W35" s="8" t="n">
        <f aca="false">W34-V35</f>
        <v>4935</v>
      </c>
      <c r="X35" s="7" t="n">
        <f aca="false">N35+O35+S35+U35+V35</f>
        <v>46.9</v>
      </c>
      <c r="Y35" s="7" t="n">
        <f aca="false">IF(L35&lt;0,L35*-1,0)</f>
        <v>10.69</v>
      </c>
      <c r="Z35" s="7" t="n">
        <f aca="false">X35+Y35</f>
        <v>57.59</v>
      </c>
      <c r="AA35" s="11" t="n">
        <v>0</v>
      </c>
      <c r="AB35" s="12" t="n">
        <v>42</v>
      </c>
      <c r="AC35" s="12" t="n">
        <v>19</v>
      </c>
      <c r="AD35" s="13" t="n">
        <f aca="false">AD34+1</f>
        <v>26</v>
      </c>
    </row>
    <row r="36" customFormat="false" ht="11.1" hidden="false" customHeight="true" outlineLevel="0" collapsed="false">
      <c r="A36" s="13" t="n">
        <f aca="false">A35+1</f>
        <v>27</v>
      </c>
      <c r="B36" s="31" t="n">
        <v>6880.77</v>
      </c>
      <c r="C36" s="8" t="n">
        <v>218493</v>
      </c>
      <c r="D36" s="12" t="n">
        <f aca="false">C36-C35</f>
        <v>31</v>
      </c>
      <c r="E36" s="8" t="n">
        <f aca="false">C36-152000</f>
        <v>66493</v>
      </c>
      <c r="F36" s="7" t="n">
        <f aca="false">D36/$D$2</f>
        <v>15.6289387446433</v>
      </c>
      <c r="G36" s="7" t="n">
        <v>60</v>
      </c>
      <c r="H36" s="9" t="n">
        <v>0.56</v>
      </c>
      <c r="I36" s="7" t="n">
        <f aca="false">G36+H36</f>
        <v>60.56</v>
      </c>
      <c r="J36" s="39" t="n">
        <f aca="false">IF(L36&gt;0,L36,0)</f>
        <v>1.5689387446433</v>
      </c>
      <c r="K36" s="7" t="n">
        <f aca="false">I36+J36</f>
        <v>62.1289387446433</v>
      </c>
      <c r="L36" s="7" t="n">
        <f aca="false">F36-(I36-X36)</f>
        <v>1.5689387446433</v>
      </c>
      <c r="M36" s="7" t="n">
        <v>5.5</v>
      </c>
      <c r="N36" s="7" t="n">
        <v>0</v>
      </c>
      <c r="O36" s="7" t="n">
        <v>0</v>
      </c>
      <c r="P36" s="7" t="n">
        <f aca="false">M36-(N36+O36)</f>
        <v>5.5</v>
      </c>
      <c r="Q36" s="7" t="n">
        <v>0</v>
      </c>
      <c r="R36" s="7" t="n">
        <v>0</v>
      </c>
      <c r="S36" s="7" t="n">
        <f aca="false">SUM(P36:R36)</f>
        <v>5.5</v>
      </c>
      <c r="T36" s="8"/>
      <c r="U36" s="7" t="n">
        <v>0</v>
      </c>
      <c r="V36" s="7" t="n">
        <v>41</v>
      </c>
      <c r="W36" s="8" t="n">
        <f aca="false">W35-V36</f>
        <v>4894</v>
      </c>
      <c r="X36" s="7" t="n">
        <f aca="false">N36+O36+S36+U36+V36</f>
        <v>46.5</v>
      </c>
      <c r="Y36" s="7" t="n">
        <f aca="false">IF(L36&lt;0,L36*-1,0)</f>
        <v>0</v>
      </c>
      <c r="Z36" s="7" t="n">
        <f aca="false">X36+Y36</f>
        <v>46.5</v>
      </c>
      <c r="AA36" s="11" t="n">
        <v>0</v>
      </c>
      <c r="AB36" s="12" t="n">
        <v>48</v>
      </c>
      <c r="AC36" s="12" t="n">
        <v>24</v>
      </c>
      <c r="AD36" s="13" t="n">
        <f aca="false">AD35+1</f>
        <v>27</v>
      </c>
    </row>
    <row r="37" customFormat="false" ht="11.1" hidden="false" customHeight="true" outlineLevel="0" collapsed="false">
      <c r="A37" s="13" t="n">
        <f aca="false">A36+1</f>
        <v>28</v>
      </c>
      <c r="B37" s="31" t="n">
        <v>6880.78</v>
      </c>
      <c r="C37" s="8" t="n">
        <v>218523</v>
      </c>
      <c r="D37" s="12" t="n">
        <f aca="false">C37-C36</f>
        <v>30</v>
      </c>
      <c r="E37" s="8" t="n">
        <f aca="false">C37-152000</f>
        <v>66523</v>
      </c>
      <c r="F37" s="7" t="n">
        <f aca="false">D37/$D$2</f>
        <v>15.1247794303</v>
      </c>
      <c r="G37" s="7" t="n">
        <v>60</v>
      </c>
      <c r="H37" s="9" t="n">
        <v>0.59</v>
      </c>
      <c r="I37" s="7" t="n">
        <f aca="false">G37+H37</f>
        <v>60.59</v>
      </c>
      <c r="J37" s="39" t="n">
        <f aca="false">IF(L37&gt;0,L37,0)</f>
        <v>0.634779430299972</v>
      </c>
      <c r="K37" s="7" t="n">
        <f aca="false">I37+J37</f>
        <v>61.2247794303</v>
      </c>
      <c r="L37" s="7" t="n">
        <f aca="false">F37-(I37-X37)</f>
        <v>0.634779430299972</v>
      </c>
      <c r="M37" s="7" t="n">
        <v>5.1</v>
      </c>
      <c r="N37" s="7" t="n">
        <v>0</v>
      </c>
      <c r="O37" s="7" t="n">
        <v>0</v>
      </c>
      <c r="P37" s="7" t="n">
        <f aca="false">M37-(N37+O37)</f>
        <v>5.1</v>
      </c>
      <c r="Q37" s="7" t="n">
        <v>0</v>
      </c>
      <c r="R37" s="7" t="n">
        <v>0</v>
      </c>
      <c r="S37" s="7" t="n">
        <f aca="false">SUM(P37:R37)</f>
        <v>5.1</v>
      </c>
      <c r="T37" s="8"/>
      <c r="U37" s="7" t="n">
        <v>0</v>
      </c>
      <c r="V37" s="7" t="n">
        <v>41</v>
      </c>
      <c r="W37" s="8" t="n">
        <f aca="false">W36-V37</f>
        <v>4853</v>
      </c>
      <c r="X37" s="7" t="n">
        <f aca="false">N37+O37+S37+U37+V37</f>
        <v>46.1</v>
      </c>
      <c r="Y37" s="7" t="n">
        <f aca="false">IF(L37&lt;0,L37*-1,0)</f>
        <v>0</v>
      </c>
      <c r="Z37" s="7" t="n">
        <f aca="false">X37+Y37</f>
        <v>46.1</v>
      </c>
      <c r="AA37" s="11" t="n">
        <v>0</v>
      </c>
      <c r="AB37" s="12" t="n">
        <v>46</v>
      </c>
      <c r="AC37" s="12" t="n">
        <v>19</v>
      </c>
      <c r="AD37" s="13" t="n">
        <f aca="false">AD36+1</f>
        <v>28</v>
      </c>
    </row>
    <row r="38" customFormat="false" ht="11.1" hidden="false" customHeight="true" outlineLevel="0" collapsed="false">
      <c r="A38" s="13" t="n">
        <f aca="false">A37+1</f>
        <v>29</v>
      </c>
      <c r="B38" s="31" t="n">
        <v>6880.79</v>
      </c>
      <c r="C38" s="8" t="n">
        <v>218553</v>
      </c>
      <c r="D38" s="12" t="n">
        <f aca="false">C38-C37</f>
        <v>30</v>
      </c>
      <c r="E38" s="8" t="n">
        <f aca="false">C38-152000</f>
        <v>66553</v>
      </c>
      <c r="F38" s="7" t="n">
        <f aca="false">D38/$D$2</f>
        <v>15.1247794303</v>
      </c>
      <c r="G38" s="7" t="n">
        <v>60</v>
      </c>
      <c r="H38" s="9" t="n">
        <v>0.58</v>
      </c>
      <c r="I38" s="7" t="n">
        <f aca="false">G38+H38</f>
        <v>60.58</v>
      </c>
      <c r="J38" s="39" t="n">
        <f aca="false">IF(L38&gt;0,L38,0)</f>
        <v>0.644779430299977</v>
      </c>
      <c r="K38" s="7" t="n">
        <f aca="false">I38+J38</f>
        <v>61.2247794303</v>
      </c>
      <c r="L38" s="7" t="n">
        <f aca="false">F38-(I38-X38)</f>
        <v>0.644779430299977</v>
      </c>
      <c r="M38" s="7" t="n">
        <v>5.1</v>
      </c>
      <c r="N38" s="7" t="n">
        <v>0</v>
      </c>
      <c r="O38" s="7" t="n">
        <v>0</v>
      </c>
      <c r="P38" s="7" t="n">
        <f aca="false">M38-(N38+O38)</f>
        <v>5.1</v>
      </c>
      <c r="Q38" s="7" t="n">
        <v>0</v>
      </c>
      <c r="R38" s="7" t="n">
        <v>0</v>
      </c>
      <c r="S38" s="7" t="n">
        <f aca="false">SUM(P38:R38)</f>
        <v>5.1</v>
      </c>
      <c r="T38" s="8"/>
      <c r="U38" s="7" t="n">
        <v>0</v>
      </c>
      <c r="V38" s="7" t="n">
        <v>41</v>
      </c>
      <c r="W38" s="8" t="n">
        <f aca="false">W37-V38</f>
        <v>4812</v>
      </c>
      <c r="X38" s="7" t="n">
        <f aca="false">N38+O38+S38+U38+V38</f>
        <v>46.1</v>
      </c>
      <c r="Y38" s="7" t="n">
        <f aca="false">IF(L38&lt;0,L38*-1,0)</f>
        <v>0</v>
      </c>
      <c r="Z38" s="7" t="n">
        <f aca="false">X38+Y38</f>
        <v>46.1</v>
      </c>
      <c r="AA38" s="11" t="n">
        <v>0</v>
      </c>
      <c r="AB38" s="41" t="n">
        <v>54</v>
      </c>
      <c r="AC38" s="12" t="n">
        <v>23</v>
      </c>
      <c r="AD38" s="13" t="n">
        <f aca="false">AD37+1</f>
        <v>29</v>
      </c>
    </row>
    <row r="39" customFormat="false" ht="11.1" hidden="false" customHeight="true" outlineLevel="0" collapsed="false">
      <c r="A39" s="13" t="n">
        <v>30</v>
      </c>
      <c r="B39" s="31" t="n">
        <v>6880.8</v>
      </c>
      <c r="C39" s="8" t="n">
        <v>218583</v>
      </c>
      <c r="D39" s="12" t="n">
        <f aca="false">C39-C38</f>
        <v>30</v>
      </c>
      <c r="E39" s="8" t="n">
        <f aca="false">C39-152000</f>
        <v>66583</v>
      </c>
      <c r="F39" s="7" t="n">
        <f aca="false">D39/$D$2</f>
        <v>15.1247794303</v>
      </c>
      <c r="G39" s="7" t="n">
        <v>63</v>
      </c>
      <c r="H39" s="9" t="n">
        <v>0.63</v>
      </c>
      <c r="I39" s="7" t="n">
        <f aca="false">G39+H39</f>
        <v>63.63</v>
      </c>
      <c r="J39" s="39" t="n">
        <f aca="false">IF(L39&gt;0,L39,0)</f>
        <v>0</v>
      </c>
      <c r="K39" s="7" t="n">
        <f aca="false">I39+J39</f>
        <v>63.63</v>
      </c>
      <c r="L39" s="7" t="n">
        <f aca="false">F39-(I39-X39)</f>
        <v>-2.40522056970003</v>
      </c>
      <c r="M39" s="7" t="n">
        <v>5.1</v>
      </c>
      <c r="N39" s="7" t="n">
        <v>0</v>
      </c>
      <c r="O39" s="7" t="n">
        <v>0</v>
      </c>
      <c r="P39" s="7" t="n">
        <f aca="false">M39-(N39+O39)</f>
        <v>5.1</v>
      </c>
      <c r="Q39" s="7" t="n">
        <v>0</v>
      </c>
      <c r="R39" s="7" t="n">
        <v>0</v>
      </c>
      <c r="S39" s="7" t="n">
        <f aca="false">SUM(P39:R39)</f>
        <v>5.1</v>
      </c>
      <c r="T39" s="8"/>
      <c r="U39" s="7" t="n">
        <v>0</v>
      </c>
      <c r="V39" s="7" t="n">
        <v>41</v>
      </c>
      <c r="W39" s="8" t="n">
        <f aca="false">W38-V39</f>
        <v>4771</v>
      </c>
      <c r="X39" s="7" t="n">
        <f aca="false">N39+O39+S39+U39+V39</f>
        <v>46.1</v>
      </c>
      <c r="Y39" s="7" t="n">
        <f aca="false">IF(L39&lt;0,L39*-1,0)</f>
        <v>2.40522056970003</v>
      </c>
      <c r="Z39" s="7" t="n">
        <f aca="false">X39+Y39</f>
        <v>48.5052205697</v>
      </c>
      <c r="AA39" s="11" t="n">
        <v>0</v>
      </c>
      <c r="AB39" s="41" t="n">
        <v>50</v>
      </c>
      <c r="AC39" s="12" t="n">
        <v>29</v>
      </c>
      <c r="AD39" s="13" t="n">
        <v>30</v>
      </c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2"/>
      <c r="X40" s="32"/>
      <c r="Y40" s="32"/>
      <c r="Z40" s="32"/>
      <c r="AA40" s="36"/>
      <c r="AB40" s="37"/>
      <c r="AC40" s="37"/>
      <c r="AD40" s="38"/>
    </row>
    <row r="41" customFormat="false" ht="11.1" hidden="false" customHeight="true" outlineLevel="0" collapsed="false">
      <c r="A41" s="7" t="s">
        <v>46</v>
      </c>
      <c r="B41" s="7"/>
      <c r="C41" s="8"/>
      <c r="D41" s="8"/>
      <c r="E41" s="8"/>
      <c r="F41" s="8" t="n">
        <f aca="false">SUM(F10:F39)</f>
        <v>563.650113435846</v>
      </c>
      <c r="G41" s="8" t="n">
        <f aca="false">SUM(G10:G39)</f>
        <v>2021</v>
      </c>
      <c r="H41" s="9" t="n">
        <f aca="false">SUM(H10:H39)</f>
        <v>3.8</v>
      </c>
      <c r="I41" s="8" t="n">
        <f aca="false">SUM(I10:I39)</f>
        <v>2024.8</v>
      </c>
      <c r="J41" s="8" t="n">
        <f aca="false">SUM(J10:J39)</f>
        <v>124.682939248803</v>
      </c>
      <c r="K41" s="8" t="n">
        <f aca="false">SUM(K10:K39)</f>
        <v>2149.4829392488</v>
      </c>
      <c r="L41" s="8" t="n">
        <f aca="false">SUM(L10:L39)</f>
        <v>-55.0498865641543</v>
      </c>
      <c r="M41" s="8" t="n">
        <f aca="false">SUM(M10:M39)</f>
        <v>169.1</v>
      </c>
      <c r="N41" s="8" t="n">
        <f aca="false">SUM(N10:N39)</f>
        <v>0</v>
      </c>
      <c r="O41" s="8" t="n">
        <f aca="false">SUM(O10:O39)</f>
        <v>79.8835</v>
      </c>
      <c r="P41" s="8" t="n">
        <f aca="false">SUM(P10:P39)</f>
        <v>89.2165</v>
      </c>
      <c r="Q41" s="8" t="n">
        <f aca="false">SUM(Q10:Q39)</f>
        <v>0</v>
      </c>
      <c r="R41" s="8" t="n">
        <f aca="false">SUM(R10:R39)</f>
        <v>0</v>
      </c>
      <c r="S41" s="8" t="n">
        <f aca="false">SUM(S10:S39)</f>
        <v>89.2165</v>
      </c>
      <c r="T41" s="8"/>
      <c r="U41" s="8" t="n">
        <f aca="false">SUM(U10:U39)</f>
        <v>0</v>
      </c>
      <c r="V41" s="8" t="n">
        <f aca="false">SUM(V10:V39)</f>
        <v>1237</v>
      </c>
      <c r="W41" s="8"/>
      <c r="X41" s="8" t="n">
        <f aca="false">SUM(X10:X39)</f>
        <v>1406.1</v>
      </c>
      <c r="Y41" s="8" t="n">
        <f aca="false">SUM(Y10:Y39)</f>
        <v>179.732825812957</v>
      </c>
      <c r="Z41" s="8" t="n">
        <f aca="false">SUM(Z10:Z39)</f>
        <v>1585.83282581296</v>
      </c>
      <c r="AA41" s="11" t="n">
        <f aca="false">SUM(AA10:AA39)</f>
        <v>1.44</v>
      </c>
      <c r="AB41" s="12" t="n">
        <f aca="false">AVERAGE(AB10:AB39)</f>
        <v>39.9</v>
      </c>
      <c r="AC41" s="12" t="n">
        <f aca="false">AVERAGE(AC10:AC39)</f>
        <v>18</v>
      </c>
      <c r="AD41" s="13" t="s">
        <v>47</v>
      </c>
    </row>
    <row r="42" customFormat="false" ht="11.1" hidden="false" customHeight="true" outlineLevel="0" collapsed="false">
      <c r="A42" s="7" t="s">
        <v>48</v>
      </c>
      <c r="B42" s="7"/>
      <c r="C42" s="8"/>
      <c r="D42" s="8" t="n">
        <f aca="false">SUM(D10:D39)</f>
        <v>1118</v>
      </c>
      <c r="E42" s="8"/>
      <c r="F42" s="8" t="n">
        <f aca="false">F41*$D$2</f>
        <v>1118</v>
      </c>
      <c r="G42" s="8" t="n">
        <f aca="false">G41*$D$2</f>
        <v>4008.6535</v>
      </c>
      <c r="H42" s="9" t="n">
        <f aca="false">H41*$D$2</f>
        <v>7.5373</v>
      </c>
      <c r="I42" s="8" t="n">
        <f aca="false">I41*$D$2</f>
        <v>4016.1908</v>
      </c>
      <c r="J42" s="8" t="n">
        <f aca="false">J41*$D$2</f>
        <v>247.30861</v>
      </c>
      <c r="K42" s="8" t="n">
        <f aca="false">K41*$D$2</f>
        <v>4263.49941</v>
      </c>
      <c r="L42" s="8" t="n">
        <f aca="false">L41*$D$2</f>
        <v>-109.19145</v>
      </c>
      <c r="M42" s="8" t="n">
        <f aca="false">M41*$D$2</f>
        <v>335.40985</v>
      </c>
      <c r="N42" s="8" t="n">
        <f aca="false">N41*$D$2</f>
        <v>0</v>
      </c>
      <c r="O42" s="8" t="n">
        <f aca="false">O41*$D$2</f>
        <v>158.44892225</v>
      </c>
      <c r="P42" s="8" t="n">
        <f aca="false">P41*$D$2</f>
        <v>176.96092775</v>
      </c>
      <c r="Q42" s="8" t="n">
        <f aca="false">Q41*$D$2</f>
        <v>0</v>
      </c>
      <c r="R42" s="8" t="n">
        <f aca="false">R41*$D$2</f>
        <v>0</v>
      </c>
      <c r="S42" s="8" t="n">
        <f aca="false">S41*$D$2</f>
        <v>176.96092775</v>
      </c>
      <c r="T42" s="8"/>
      <c r="U42" s="8" t="n">
        <f aca="false">U41*$D$2</f>
        <v>0</v>
      </c>
      <c r="V42" s="8" t="n">
        <f aca="false">V41*$D$2</f>
        <v>2453.5895</v>
      </c>
      <c r="W42" s="8"/>
      <c r="X42" s="8" t="n">
        <f aca="false">X41*$D$2</f>
        <v>2788.99935</v>
      </c>
      <c r="Y42" s="8" t="n">
        <f aca="false">Y41*$D$2</f>
        <v>356.50006</v>
      </c>
      <c r="Z42" s="8" t="n">
        <f aca="false">Z41*$D$2</f>
        <v>3145.49941</v>
      </c>
      <c r="AA42" s="11"/>
      <c r="AB42" s="12" t="n">
        <f aca="false">MAX(AB10:AB39)</f>
        <v>54</v>
      </c>
      <c r="AC42" s="12" t="n">
        <f aca="false">MAX(AC10:AC39)</f>
        <v>31</v>
      </c>
      <c r="AD42" s="13" t="s">
        <v>49</v>
      </c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5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</row>
    <row r="44" customFormat="false" ht="11.1" hidden="false" customHeight="true" outlineLevel="0" collapsed="false">
      <c r="A44" s="7" t="s">
        <v>50</v>
      </c>
      <c r="B44" s="7"/>
      <c r="C44" s="8"/>
      <c r="D44" s="8"/>
      <c r="E44" s="8"/>
      <c r="F44" s="8"/>
      <c r="G44" s="8"/>
      <c r="H44" s="9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11"/>
      <c r="AB44" s="12" t="n">
        <f aca="false">MIN(AB10:AB39)</f>
        <v>22</v>
      </c>
      <c r="AC44" s="12" t="n">
        <f aca="false">MIN(AC10:AC39)</f>
        <v>2</v>
      </c>
      <c r="AD44" s="13" t="s">
        <v>51</v>
      </c>
    </row>
    <row r="45" customFormat="false" ht="11.1" hidden="false" customHeight="true" outlineLevel="0" collapsed="false">
      <c r="A45" s="7" t="s">
        <v>52</v>
      </c>
      <c r="B45" s="7"/>
      <c r="C45" s="8"/>
      <c r="D45" s="8"/>
      <c r="E45" s="8"/>
      <c r="F45" s="8"/>
      <c r="G45" s="8"/>
      <c r="H45" s="9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11"/>
      <c r="AB45" s="12"/>
      <c r="AC45" s="12"/>
      <c r="AD45" s="13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5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</row>
    <row r="47" customFormat="false" ht="11.1" hidden="false" customHeight="true" outlineLevel="0" collapsed="false">
      <c r="A47" s="7" t="s">
        <v>53</v>
      </c>
      <c r="B47" s="7"/>
      <c r="C47" s="8"/>
      <c r="D47" s="8"/>
      <c r="E47" s="8"/>
      <c r="F47" s="8" t="n">
        <f aca="false">F8+F41</f>
        <v>563.650113435846</v>
      </c>
      <c r="G47" s="8" t="n">
        <f aca="false">G8+G41</f>
        <v>2021</v>
      </c>
      <c r="H47" s="9" t="n">
        <f aca="false">H8+H41</f>
        <v>3.8</v>
      </c>
      <c r="I47" s="8" t="n">
        <f aca="false">I8+I41</f>
        <v>2024.8</v>
      </c>
      <c r="J47" s="8" t="n">
        <f aca="false">J8+J41</f>
        <v>124.682939248803</v>
      </c>
      <c r="K47" s="8" t="n">
        <f aca="false">K8+K41</f>
        <v>2149.4829392488</v>
      </c>
      <c r="L47" s="8" t="n">
        <f aca="false">L8+L41</f>
        <v>-55.0498865641543</v>
      </c>
      <c r="M47" s="8" t="n">
        <f aca="false">M8+M41</f>
        <v>169.1</v>
      </c>
      <c r="N47" s="8" t="n">
        <f aca="false">N8+N41</f>
        <v>0</v>
      </c>
      <c r="O47" s="8" t="n">
        <f aca="false">O8+O41</f>
        <v>79.8835</v>
      </c>
      <c r="P47" s="8" t="n">
        <f aca="false">P8+P41</f>
        <v>89.2165</v>
      </c>
      <c r="Q47" s="8" t="n">
        <f aca="false">Q8+Q41</f>
        <v>0</v>
      </c>
      <c r="R47" s="8" t="n">
        <f aca="false">R8+R41</f>
        <v>0</v>
      </c>
      <c r="S47" s="8" t="n">
        <f aca="false">S8+S41</f>
        <v>89.2165</v>
      </c>
      <c r="T47" s="8"/>
      <c r="U47" s="8" t="n">
        <f aca="false">U8+U41</f>
        <v>0</v>
      </c>
      <c r="V47" s="8" t="n">
        <f aca="false">V8+V41</f>
        <v>1237</v>
      </c>
      <c r="W47" s="8" t="n">
        <f aca="false">W39</f>
        <v>4771</v>
      </c>
      <c r="X47" s="8" t="n">
        <f aca="false">X8+X41</f>
        <v>1406.1</v>
      </c>
      <c r="Y47" s="8" t="n">
        <f aca="false">Y8+Y41</f>
        <v>179.732825812957</v>
      </c>
      <c r="Z47" s="8" t="n">
        <f aca="false">Z8+Z41</f>
        <v>1585.83282581296</v>
      </c>
      <c r="AA47" s="11" t="n">
        <f aca="false">AA8+AA41</f>
        <v>1.44</v>
      </c>
      <c r="AB47" s="12"/>
      <c r="AC47" s="12"/>
      <c r="AD47" s="13"/>
    </row>
    <row r="48" customFormat="false" ht="11.1" hidden="false" customHeight="true" outlineLevel="0" collapsed="false">
      <c r="A48" s="7" t="s">
        <v>54</v>
      </c>
      <c r="B48" s="7"/>
      <c r="C48" s="8"/>
      <c r="D48" s="8" t="n">
        <f aca="false">D8+D42</f>
        <v>1118</v>
      </c>
      <c r="E48" s="8" t="n">
        <f aca="false">E39</f>
        <v>66583</v>
      </c>
      <c r="F48" s="8" t="n">
        <f aca="false">F47*$D$2</f>
        <v>1118</v>
      </c>
      <c r="G48" s="8" t="n">
        <f aca="false">G47*$D$2</f>
        <v>4008.6535</v>
      </c>
      <c r="H48" s="9" t="n">
        <f aca="false">H47*$D$2</f>
        <v>7.5373</v>
      </c>
      <c r="I48" s="8" t="n">
        <f aca="false">I47*$D$2</f>
        <v>4016.1908</v>
      </c>
      <c r="J48" s="8" t="n">
        <f aca="false">J47*$D$2</f>
        <v>247.30861</v>
      </c>
      <c r="K48" s="8" t="n">
        <f aca="false">K47*$D$2</f>
        <v>4263.49941</v>
      </c>
      <c r="L48" s="8" t="n">
        <f aca="false">L47*$D$2</f>
        <v>-109.19145</v>
      </c>
      <c r="M48" s="8" t="n">
        <f aca="false">M47*$D$2</f>
        <v>335.40985</v>
      </c>
      <c r="N48" s="8" t="n">
        <f aca="false">N47*$D$2</f>
        <v>0</v>
      </c>
      <c r="O48" s="8" t="n">
        <f aca="false">O47*$D$2</f>
        <v>158.44892225</v>
      </c>
      <c r="P48" s="8" t="n">
        <f aca="false">P47*$D$2</f>
        <v>176.96092775</v>
      </c>
      <c r="Q48" s="8" t="n">
        <f aca="false">Q47*$D$2</f>
        <v>0</v>
      </c>
      <c r="R48" s="8" t="n">
        <f aca="false">R47*$D$2</f>
        <v>0</v>
      </c>
      <c r="S48" s="8" t="n">
        <f aca="false">S47*$D$2</f>
        <v>176.96092775</v>
      </c>
      <c r="T48" s="8" t="n">
        <f aca="false">T47*$D$2</f>
        <v>0</v>
      </c>
      <c r="U48" s="8" t="n">
        <f aca="false">U47*$D$2</f>
        <v>0</v>
      </c>
      <c r="V48" s="8" t="n">
        <f aca="false">V47*$D$2</f>
        <v>2453.5895</v>
      </c>
      <c r="W48" s="8" t="n">
        <f aca="false">W47*$D$2</f>
        <v>9463.2785</v>
      </c>
      <c r="X48" s="8" t="n">
        <f aca="false">X47*$D$2</f>
        <v>2788.99935</v>
      </c>
      <c r="Y48" s="8" t="n">
        <f aca="false">Y47*$D$2</f>
        <v>356.50006</v>
      </c>
      <c r="Z48" s="8" t="n">
        <f aca="false">Z47*$D$2</f>
        <v>3145.49941</v>
      </c>
      <c r="AA48" s="11"/>
      <c r="AB48" s="12"/>
      <c r="AC48" s="12"/>
      <c r="AD48" s="13"/>
    </row>
    <row r="49" customFormat="false" ht="11.1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</row>
    <row r="50" customFormat="false" ht="14.1" hidden="false" customHeight="true" outlineLevel="0" collapsed="false">
      <c r="A50" s="42"/>
      <c r="B50" s="43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8"/>
      <c r="U50" s="7"/>
      <c r="V50" s="7"/>
      <c r="W50" s="8"/>
      <c r="X50" s="7"/>
      <c r="Y50" s="7"/>
      <c r="Z50" s="11"/>
      <c r="AA50" s="11"/>
      <c r="AB50" s="12"/>
      <c r="AC50" s="12"/>
      <c r="AD50" s="13"/>
    </row>
    <row r="51" customFormat="false" ht="11.1" hidden="false" customHeight="true" outlineLevel="0" collapsed="false">
      <c r="A51" s="7"/>
      <c r="B51" s="31"/>
      <c r="C51" s="8"/>
      <c r="D51" s="41"/>
      <c r="E51" s="8"/>
      <c r="F51" s="7"/>
      <c r="G51" s="7"/>
      <c r="H51" s="9"/>
      <c r="I51" s="44"/>
      <c r="J51" s="7"/>
      <c r="K51" s="45"/>
      <c r="L51" s="7"/>
      <c r="M51" s="7"/>
      <c r="N51" s="7"/>
      <c r="O51" s="7"/>
      <c r="P51" s="7"/>
      <c r="Q51" s="7"/>
      <c r="R51" s="7"/>
      <c r="S51" s="7"/>
      <c r="T51" s="8"/>
      <c r="U51" s="7"/>
      <c r="V51" s="7"/>
      <c r="W51" s="8"/>
      <c r="X51" s="7"/>
      <c r="Y51" s="7"/>
      <c r="Z51" s="11"/>
      <c r="AA51" s="11"/>
      <c r="AB51" s="12"/>
      <c r="AC51" s="12"/>
      <c r="AD51" s="13"/>
    </row>
    <row r="52" customFormat="false" ht="11.1" hidden="false" customHeight="true" outlineLevel="0" collapsed="false">
      <c r="B52" s="41"/>
      <c r="C52" s="8"/>
      <c r="D52" s="8"/>
      <c r="E52" s="8"/>
      <c r="F52" s="41"/>
      <c r="G52" s="41"/>
      <c r="H52" s="9"/>
      <c r="I52" s="41"/>
      <c r="J52" s="41"/>
      <c r="K52" s="41"/>
      <c r="L52" s="41"/>
      <c r="M52" s="39"/>
      <c r="N52" s="39"/>
      <c r="O52" s="39"/>
      <c r="P52" s="39"/>
      <c r="Q52" s="41"/>
      <c r="R52" s="41"/>
      <c r="S52" s="41"/>
      <c r="T52" s="8"/>
      <c r="U52" s="41"/>
      <c r="V52" s="41"/>
      <c r="W52" s="8"/>
      <c r="X52" s="41"/>
      <c r="Y52" s="41"/>
      <c r="Z52" s="11"/>
      <c r="AA52" s="11"/>
      <c r="AB52" s="12"/>
      <c r="AC52" s="12"/>
      <c r="AD52" s="13"/>
    </row>
    <row r="53" customFormat="false" ht="11.1" hidden="false" customHeight="true" outlineLevel="0" collapsed="false">
      <c r="A53" s="41"/>
      <c r="B53" s="9"/>
      <c r="C53" s="8"/>
      <c r="D53" s="8"/>
      <c r="E53" s="8"/>
      <c r="F53" s="41"/>
      <c r="G53" s="41"/>
      <c r="H53" s="9"/>
      <c r="I53" s="41"/>
      <c r="J53" s="41"/>
      <c r="K53" s="41"/>
      <c r="L53" s="41"/>
      <c r="M53" s="39"/>
      <c r="N53" s="39"/>
      <c r="O53" s="39"/>
      <c r="P53" s="39"/>
      <c r="Q53" s="41"/>
      <c r="R53" s="41"/>
      <c r="S53" s="41"/>
      <c r="T53" s="8"/>
      <c r="U53" s="41"/>
      <c r="V53" s="41"/>
      <c r="W53" s="8"/>
      <c r="X53" s="41"/>
      <c r="Y53" s="41"/>
      <c r="Z53" s="11"/>
      <c r="AA53" s="11"/>
      <c r="AB53" s="12"/>
      <c r="AC53" s="12"/>
      <c r="AD53" s="13"/>
    </row>
    <row r="54" customFormat="false" ht="11.1" hidden="false" customHeight="true" outlineLevel="0" collapsed="false">
      <c r="A54" s="41"/>
      <c r="B54" s="41"/>
      <c r="C54" s="8"/>
      <c r="D54" s="41"/>
      <c r="E54" s="8"/>
      <c r="F54" s="41"/>
      <c r="G54" s="46"/>
      <c r="H54" s="9"/>
      <c r="I54" s="41"/>
      <c r="J54" s="41"/>
      <c r="K54" s="41"/>
      <c r="L54" s="41"/>
      <c r="M54" s="39"/>
      <c r="N54" s="39"/>
      <c r="O54" s="39"/>
      <c r="P54" s="41"/>
      <c r="Q54" s="41"/>
      <c r="R54" s="41"/>
      <c r="S54" s="8"/>
      <c r="T54" s="41"/>
      <c r="U54" s="41"/>
      <c r="V54" s="8"/>
      <c r="W54" s="41"/>
      <c r="X54" s="41"/>
      <c r="Y54" s="41"/>
      <c r="Z54" s="11"/>
      <c r="AA54" s="11"/>
      <c r="AB54" s="12"/>
      <c r="AC54" s="13"/>
    </row>
  </sheetData>
  <mergeCells count="1"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7" width="5.66"/>
    <col collapsed="false" customWidth="true" hidden="false" outlineLevel="0" max="2" min="2" style="47" width="7.82"/>
    <col collapsed="false" customWidth="true" hidden="false" outlineLevel="0" max="3" min="3" style="48" width="7.66"/>
    <col collapsed="false" customWidth="true" hidden="false" outlineLevel="0" max="4" min="4" style="47" width="6.99"/>
    <col collapsed="false" customWidth="true" hidden="false" outlineLevel="0" max="5" min="5" style="48" width="7.66"/>
    <col collapsed="false" customWidth="true" hidden="false" outlineLevel="0" max="6" min="6" style="47" width="7.66"/>
    <col collapsed="false" customWidth="true" hidden="false" outlineLevel="0" max="7" min="7" style="47" width="7.16"/>
    <col collapsed="false" customWidth="true" hidden="false" outlineLevel="0" max="8" min="8" style="49" width="6.66"/>
    <col collapsed="false" customWidth="true" hidden="false" outlineLevel="0" max="9" min="9" style="47" width="7.99"/>
    <col collapsed="false" customWidth="true" hidden="false" outlineLevel="0" max="10" min="10" style="47" width="6.66"/>
    <col collapsed="false" customWidth="true" hidden="false" outlineLevel="0" max="12" min="11" style="47" width="7.16"/>
    <col collapsed="false" customWidth="true" hidden="false" outlineLevel="0" max="13" min="13" style="50" width="6.16"/>
    <col collapsed="false" customWidth="true" hidden="false" outlineLevel="0" max="14" min="14" style="50" width="7.32"/>
    <col collapsed="false" customWidth="true" hidden="false" outlineLevel="0" max="15" min="15" style="50" width="6.49"/>
    <col collapsed="false" customWidth="true" hidden="false" outlineLevel="0" max="16" min="16" style="47" width="7.16"/>
    <col collapsed="false" customWidth="true" hidden="false" outlineLevel="0" max="17" min="17" style="47" width="6.32"/>
    <col collapsed="false" customWidth="true" hidden="false" outlineLevel="0" max="18" min="18" style="47" width="5.82"/>
    <col collapsed="false" customWidth="true" hidden="false" outlineLevel="0" max="19" min="19" style="48" width="6.82"/>
    <col collapsed="false" customWidth="true" hidden="false" outlineLevel="0" max="20" min="20" style="47" width="7.66"/>
    <col collapsed="false" customWidth="true" hidden="false" outlineLevel="0" max="21" min="21" style="47" width="5.99"/>
    <col collapsed="false" customWidth="true" hidden="false" outlineLevel="0" max="22" min="22" style="48" width="6.66"/>
    <col collapsed="false" customWidth="true" hidden="false" outlineLevel="0" max="23" min="23" style="47" width="6.82"/>
    <col collapsed="false" customWidth="true" hidden="false" outlineLevel="0" max="25" min="24" style="47" width="7.82"/>
    <col collapsed="false" customWidth="true" hidden="false" outlineLevel="0" max="26" min="26" style="49" width="8.16"/>
    <col collapsed="false" customWidth="true" hidden="false" outlineLevel="0" max="27" min="27" style="51" width="4.66"/>
    <col collapsed="false" customWidth="true" hidden="false" outlineLevel="0" max="28" min="28" style="52" width="4.66"/>
    <col collapsed="false" customWidth="true" hidden="false" outlineLevel="0" max="29" min="29" style="53" width="4.66"/>
    <col collapsed="false" customWidth="true" hidden="false" outlineLevel="0" max="30" min="30" style="47" width="5.66"/>
    <col collapsed="false" customWidth="false" hidden="false" outlineLevel="0" max="257" min="31" style="47" width="9.32"/>
  </cols>
  <sheetData>
    <row r="1" customFormat="false" ht="14.1" hidden="false" customHeight="true" outlineLevel="0" collapsed="false">
      <c r="A1" s="54"/>
      <c r="B1" s="54"/>
      <c r="C1" s="55"/>
      <c r="D1" s="54"/>
      <c r="E1" s="55"/>
      <c r="F1" s="54"/>
      <c r="G1" s="54"/>
      <c r="H1" s="56"/>
      <c r="I1" s="54"/>
      <c r="J1" s="54"/>
      <c r="K1" s="57" t="s">
        <v>0</v>
      </c>
      <c r="L1" s="54"/>
      <c r="M1" s="54"/>
      <c r="N1" s="54"/>
      <c r="O1" s="54"/>
      <c r="P1" s="54"/>
      <c r="Q1" s="54"/>
      <c r="R1" s="54"/>
      <c r="S1" s="55"/>
      <c r="T1" s="54"/>
      <c r="U1" s="54"/>
      <c r="V1" s="55"/>
      <c r="W1" s="54"/>
      <c r="X1" s="54"/>
      <c r="Y1" s="54"/>
      <c r="Z1" s="56"/>
      <c r="AA1" s="58"/>
      <c r="AB1" s="59"/>
      <c r="AC1" s="60"/>
    </row>
    <row r="2" customFormat="false" ht="14.1" hidden="false" customHeight="true" outlineLevel="0" collapsed="false">
      <c r="A2" s="54" t="s">
        <v>1</v>
      </c>
      <c r="B2" s="54"/>
      <c r="C2" s="55"/>
      <c r="D2" s="61" t="n">
        <v>1.9835</v>
      </c>
      <c r="E2" s="55"/>
      <c r="F2" s="54"/>
      <c r="G2" s="54"/>
      <c r="H2" s="56"/>
      <c r="I2" s="54"/>
      <c r="J2" s="54"/>
      <c r="K2" s="62" t="s">
        <v>55</v>
      </c>
      <c r="L2" s="62"/>
      <c r="M2" s="62"/>
      <c r="N2" s="62"/>
      <c r="O2" s="62"/>
      <c r="P2" s="62"/>
      <c r="Q2" s="62"/>
      <c r="R2" s="62"/>
      <c r="S2" s="62"/>
      <c r="T2" s="62"/>
      <c r="U2" s="54"/>
      <c r="V2" s="55"/>
      <c r="W2" s="54"/>
      <c r="X2" s="54"/>
      <c r="Y2" s="54"/>
      <c r="Z2" s="56"/>
      <c r="AA2" s="58"/>
      <c r="AB2" s="59"/>
      <c r="AC2" s="60"/>
    </row>
    <row r="3" customFormat="false" ht="11.1" hidden="false" customHeight="true" outlineLevel="0" collapsed="false">
      <c r="A3" s="54"/>
      <c r="B3" s="54"/>
      <c r="C3" s="55"/>
      <c r="D3" s="63"/>
      <c r="E3" s="55"/>
      <c r="F3" s="54"/>
      <c r="G3" s="54"/>
      <c r="H3" s="56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54"/>
      <c r="U3" s="54"/>
      <c r="V3" s="55"/>
      <c r="W3" s="54"/>
      <c r="X3" s="54"/>
      <c r="Y3" s="54"/>
      <c r="Z3" s="56"/>
      <c r="AA3" s="58"/>
      <c r="AB3" s="59"/>
      <c r="AC3" s="6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</row>
    <row r="5" customFormat="false" ht="11.1" hidden="false" customHeight="true" outlineLevel="0" collapsed="false">
      <c r="A5" s="69" t="s">
        <v>56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56</v>
      </c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</row>
    <row r="7" customFormat="false" ht="11.1" hidden="false" customHeight="true" outlineLevel="0" collapsed="false">
      <c r="A7" s="54" t="s">
        <v>44</v>
      </c>
      <c r="B7" s="54"/>
      <c r="C7" s="55"/>
      <c r="D7" s="55"/>
      <c r="E7" s="55"/>
      <c r="F7" s="55"/>
      <c r="G7" s="55"/>
      <c r="H7" s="56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8"/>
      <c r="AB7" s="59"/>
      <c r="AC7" s="59"/>
      <c r="AD7" s="60"/>
    </row>
    <row r="8" s="48" customFormat="true" ht="11.1" hidden="false" customHeight="true" outlineLevel="0" collapsed="false">
      <c r="A8" s="55" t="s">
        <v>45</v>
      </c>
      <c r="B8" s="75" t="n">
        <f aca="false">NOV!B39</f>
        <v>6880.8</v>
      </c>
      <c r="C8" s="55" t="n">
        <f aca="false">NOV!C39</f>
        <v>218583</v>
      </c>
      <c r="D8" s="55" t="n">
        <f aca="false">NOV!$D$48</f>
        <v>1118</v>
      </c>
      <c r="E8" s="55" t="n">
        <f aca="false">NOV!$E$39</f>
        <v>66583</v>
      </c>
      <c r="F8" s="55" t="n">
        <f aca="false">NOV!F47</f>
        <v>563.650113435846</v>
      </c>
      <c r="G8" s="55" t="n">
        <f aca="false">NOV!G47</f>
        <v>2021</v>
      </c>
      <c r="H8" s="56" t="n">
        <f aca="false">NOV!H47</f>
        <v>3.8</v>
      </c>
      <c r="I8" s="55" t="n">
        <f aca="false">NOV!I47</f>
        <v>2024.8</v>
      </c>
      <c r="J8" s="55" t="n">
        <f aca="false">NOV!J47</f>
        <v>124.682939248803</v>
      </c>
      <c r="K8" s="55" t="n">
        <f aca="false">NOV!K47</f>
        <v>2149.4829392488</v>
      </c>
      <c r="L8" s="55" t="n">
        <f aca="false">NOV!L47</f>
        <v>-55.0498865641543</v>
      </c>
      <c r="M8" s="55" t="n">
        <f aca="false">NOV!M47</f>
        <v>169.1</v>
      </c>
      <c r="N8" s="55" t="n">
        <f aca="false">NOV!N47</f>
        <v>0</v>
      </c>
      <c r="O8" s="55" t="n">
        <f aca="false">NOV!O47</f>
        <v>79.8835</v>
      </c>
      <c r="P8" s="55" t="n">
        <f aca="false">NOV!P47</f>
        <v>89.2165</v>
      </c>
      <c r="Q8" s="55" t="n">
        <f aca="false">NOV!Q47</f>
        <v>0</v>
      </c>
      <c r="R8" s="55" t="n">
        <f aca="false">NOV!R47</f>
        <v>0</v>
      </c>
      <c r="S8" s="55" t="n">
        <f aca="false">NOV!S47</f>
        <v>89.2165</v>
      </c>
      <c r="T8" s="55" t="n">
        <f aca="false">NOV!T47</f>
        <v>0</v>
      </c>
      <c r="U8" s="55" t="n">
        <f aca="false">NOV!U47</f>
        <v>0</v>
      </c>
      <c r="V8" s="55" t="n">
        <f aca="false">NOV!V47</f>
        <v>1237</v>
      </c>
      <c r="W8" s="55" t="n">
        <f aca="false">NOV!W47</f>
        <v>4771</v>
      </c>
      <c r="X8" s="55" t="n">
        <f aca="false">NOV!X47</f>
        <v>1406.1</v>
      </c>
      <c r="Y8" s="55" t="n">
        <f aca="false">NOV!Y47</f>
        <v>179.732825812957</v>
      </c>
      <c r="Z8" s="55" t="n">
        <f aca="false">NOV!Z47</f>
        <v>1585.83282581296</v>
      </c>
      <c r="AA8" s="58" t="n">
        <f aca="false">NOV!AA47</f>
        <v>1.44</v>
      </c>
      <c r="AB8" s="59"/>
      <c r="AC8" s="59"/>
      <c r="AD8" s="60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</row>
    <row r="10" customFormat="false" ht="11.1" hidden="false" customHeight="true" outlineLevel="0" collapsed="false">
      <c r="A10" s="60" t="n">
        <v>1</v>
      </c>
      <c r="B10" s="75" t="n">
        <v>6880.81</v>
      </c>
      <c r="C10" s="55" t="n">
        <v>218614</v>
      </c>
      <c r="D10" s="59" t="n">
        <f aca="false">C10-C8</f>
        <v>31</v>
      </c>
      <c r="E10" s="55" t="n">
        <f aca="false">C10-152000</f>
        <v>66614</v>
      </c>
      <c r="F10" s="54" t="n">
        <f aca="false">D10/$D$2</f>
        <v>15.6289387446433</v>
      </c>
      <c r="G10" s="54" t="n">
        <v>61</v>
      </c>
      <c r="H10" s="56" t="n">
        <v>0.65</v>
      </c>
      <c r="I10" s="54" t="n">
        <f aca="false">G10+H10</f>
        <v>61.65</v>
      </c>
      <c r="J10" s="83" t="n">
        <f aca="false">IF(L10&gt;0,L10,0)</f>
        <v>0.0789387446433096</v>
      </c>
      <c r="K10" s="54" t="n">
        <f aca="false">I10+J10</f>
        <v>61.7289387446433</v>
      </c>
      <c r="L10" s="54" t="n">
        <f aca="false">F10-(I10-X10)</f>
        <v>0.0789387446433096</v>
      </c>
      <c r="M10" s="54" t="n">
        <v>5.1</v>
      </c>
      <c r="N10" s="54" t="n">
        <v>0</v>
      </c>
      <c r="O10" s="54" t="n">
        <v>0</v>
      </c>
      <c r="P10" s="7" t="n">
        <f aca="false">M10-(N10+O10)</f>
        <v>5.1</v>
      </c>
      <c r="Q10" s="54" t="n">
        <v>0</v>
      </c>
      <c r="R10" s="54" t="n">
        <v>0</v>
      </c>
      <c r="S10" s="54" t="n">
        <f aca="false">SUM(P10:R10)</f>
        <v>5.1</v>
      </c>
      <c r="T10" s="55"/>
      <c r="U10" s="54" t="n">
        <v>0</v>
      </c>
      <c r="V10" s="54" t="n">
        <v>41</v>
      </c>
      <c r="W10" s="55" t="n">
        <f aca="false">W8-V10</f>
        <v>4730</v>
      </c>
      <c r="X10" s="7" t="n">
        <f aca="false">N10+O10+S10+U10+V10</f>
        <v>46.1</v>
      </c>
      <c r="Y10" s="54" t="n">
        <f aca="false">IF(L10&lt;0,L10*-1,0)</f>
        <v>0</v>
      </c>
      <c r="Z10" s="54" t="n">
        <f aca="false">X10+Y10</f>
        <v>46.1</v>
      </c>
      <c r="AA10" s="58" t="n">
        <v>0</v>
      </c>
      <c r="AB10" s="59" t="n">
        <v>51</v>
      </c>
      <c r="AC10" s="59" t="n">
        <v>25</v>
      </c>
      <c r="AD10" s="60" t="n">
        <v>1</v>
      </c>
    </row>
    <row r="11" customFormat="false" ht="11.1" hidden="false" customHeight="true" outlineLevel="0" collapsed="false">
      <c r="A11" s="60" t="n">
        <f aca="false">A10+1</f>
        <v>2</v>
      </c>
      <c r="B11" s="75" t="n">
        <v>6880.82</v>
      </c>
      <c r="C11" s="55" t="n">
        <v>218644</v>
      </c>
      <c r="D11" s="59" t="n">
        <f aca="false">C11-C10</f>
        <v>30</v>
      </c>
      <c r="E11" s="55" t="n">
        <f aca="false">C11-152000</f>
        <v>66644</v>
      </c>
      <c r="F11" s="54" t="n">
        <f aca="false">D11/$D$2</f>
        <v>15.1247794303</v>
      </c>
      <c r="G11" s="54" t="n">
        <v>62</v>
      </c>
      <c r="H11" s="56" t="n">
        <v>0.6</v>
      </c>
      <c r="I11" s="54" t="n">
        <f aca="false">G11+H11</f>
        <v>62.6</v>
      </c>
      <c r="J11" s="83" t="n">
        <f aca="false">IF(L11&gt;0,L11,0)</f>
        <v>0</v>
      </c>
      <c r="K11" s="54" t="n">
        <f aca="false">I11+J11</f>
        <v>62.6</v>
      </c>
      <c r="L11" s="54" t="n">
        <f aca="false">F11-(I11-X11)</f>
        <v>-1.37522056970003</v>
      </c>
      <c r="M11" s="54" t="n">
        <v>5.1</v>
      </c>
      <c r="N11" s="54" t="n">
        <v>0</v>
      </c>
      <c r="O11" s="54" t="n">
        <v>0</v>
      </c>
      <c r="P11" s="7" t="n">
        <f aca="false">M11-(N11+O11)</f>
        <v>5.1</v>
      </c>
      <c r="Q11" s="54" t="n">
        <v>0</v>
      </c>
      <c r="R11" s="54" t="n">
        <v>0</v>
      </c>
      <c r="S11" s="54" t="n">
        <f aca="false">SUM(P11:R11)</f>
        <v>5.1</v>
      </c>
      <c r="T11" s="55"/>
      <c r="U11" s="54" t="n">
        <v>0</v>
      </c>
      <c r="V11" s="54" t="n">
        <v>41</v>
      </c>
      <c r="W11" s="55" t="n">
        <f aca="false">W10-V11</f>
        <v>4689</v>
      </c>
      <c r="X11" s="7" t="n">
        <f aca="false">N11+O11+S11+U11+V11</f>
        <v>46.1</v>
      </c>
      <c r="Y11" s="54" t="n">
        <f aca="false">IF(L11&lt;0,L11*-1,0)</f>
        <v>1.37522056970003</v>
      </c>
      <c r="Z11" s="54" t="n">
        <f aca="false">X11+Y11</f>
        <v>47.4752205697</v>
      </c>
      <c r="AA11" s="58" t="n">
        <v>0</v>
      </c>
      <c r="AB11" s="59" t="n">
        <v>49</v>
      </c>
      <c r="AC11" s="59" t="n">
        <v>30</v>
      </c>
      <c r="AD11" s="60" t="n">
        <f aca="false">AD10+1</f>
        <v>2</v>
      </c>
    </row>
    <row r="12" customFormat="false" ht="11.1" hidden="false" customHeight="true" outlineLevel="0" collapsed="false">
      <c r="A12" s="60" t="n">
        <f aca="false">A11+1</f>
        <v>3</v>
      </c>
      <c r="B12" s="75" t="n">
        <v>6880.83</v>
      </c>
      <c r="C12" s="55" t="n">
        <v>218674</v>
      </c>
      <c r="D12" s="59" t="n">
        <f aca="false">C12-C11</f>
        <v>30</v>
      </c>
      <c r="E12" s="55" t="n">
        <f aca="false">C12-152000</f>
        <v>66674</v>
      </c>
      <c r="F12" s="54" t="n">
        <f aca="false">D12/$D$2</f>
        <v>15.1247794303</v>
      </c>
      <c r="G12" s="54" t="n">
        <v>57</v>
      </c>
      <c r="H12" s="56" t="n">
        <v>0.63</v>
      </c>
      <c r="I12" s="54" t="n">
        <f aca="false">G12+H12</f>
        <v>57.63</v>
      </c>
      <c r="J12" s="83" t="n">
        <f aca="false">IF(L12&gt;0,L12,0)</f>
        <v>3.59477943029997</v>
      </c>
      <c r="K12" s="54" t="n">
        <f aca="false">I12+J12</f>
        <v>61.2247794303</v>
      </c>
      <c r="L12" s="54" t="n">
        <f aca="false">F12-(I12-X12)</f>
        <v>3.59477943029997</v>
      </c>
      <c r="M12" s="54" t="n">
        <v>5.1</v>
      </c>
      <c r="N12" s="54" t="n">
        <v>0</v>
      </c>
      <c r="O12" s="54" t="n">
        <v>0</v>
      </c>
      <c r="P12" s="7" t="n">
        <f aca="false">M12-(N12+O12)</f>
        <v>5.1</v>
      </c>
      <c r="Q12" s="54" t="n">
        <v>0</v>
      </c>
      <c r="R12" s="54" t="n">
        <v>0</v>
      </c>
      <c r="S12" s="54" t="n">
        <f aca="false">SUM(P12:R12)</f>
        <v>5.1</v>
      </c>
      <c r="T12" s="55"/>
      <c r="U12" s="54" t="n">
        <v>0</v>
      </c>
      <c r="V12" s="54" t="n">
        <v>41</v>
      </c>
      <c r="W12" s="55" t="n">
        <f aca="false">W11-V12</f>
        <v>4648</v>
      </c>
      <c r="X12" s="7" t="n">
        <f aca="false">N12+O12+S12+U12+V12</f>
        <v>46.1</v>
      </c>
      <c r="Y12" s="54" t="n">
        <f aca="false">IF(L12&lt;0,L12*-1,0)</f>
        <v>0</v>
      </c>
      <c r="Z12" s="54" t="n">
        <f aca="false">X12+Y12</f>
        <v>46.1</v>
      </c>
      <c r="AA12" s="58" t="n">
        <v>0</v>
      </c>
      <c r="AB12" s="59" t="n">
        <v>51</v>
      </c>
      <c r="AC12" s="59" t="n">
        <v>27</v>
      </c>
      <c r="AD12" s="60" t="n">
        <f aca="false">AD11+1</f>
        <v>3</v>
      </c>
    </row>
    <row r="13" customFormat="false" ht="11.1" hidden="false" customHeight="true" outlineLevel="0" collapsed="false">
      <c r="A13" s="60" t="n">
        <f aca="false">A12+1</f>
        <v>4</v>
      </c>
      <c r="B13" s="75" t="n">
        <v>6880.83</v>
      </c>
      <c r="C13" s="55" t="n">
        <v>218674</v>
      </c>
      <c r="D13" s="59" t="n">
        <f aca="false">C13-C12</f>
        <v>0</v>
      </c>
      <c r="E13" s="55" t="n">
        <f aca="false">C13-152000</f>
        <v>66674</v>
      </c>
      <c r="F13" s="54" t="n">
        <f aca="false">D13/$D$2</f>
        <v>0</v>
      </c>
      <c r="G13" s="54" t="n">
        <v>55</v>
      </c>
      <c r="H13" s="56" t="n">
        <v>0.57</v>
      </c>
      <c r="I13" s="54" t="n">
        <f aca="false">G13+H13</f>
        <v>55.57</v>
      </c>
      <c r="J13" s="83" t="n">
        <f aca="false">IF(L13&gt;0,L13,0)</f>
        <v>0</v>
      </c>
      <c r="K13" s="54" t="n">
        <f aca="false">I13+J13</f>
        <v>55.57</v>
      </c>
      <c r="L13" s="54" t="n">
        <f aca="false">F13-(I13-X13)</f>
        <v>-9.47</v>
      </c>
      <c r="M13" s="54" t="n">
        <v>5.1</v>
      </c>
      <c r="N13" s="54" t="n">
        <v>0</v>
      </c>
      <c r="O13" s="54" t="n">
        <v>0</v>
      </c>
      <c r="P13" s="7" t="n">
        <f aca="false">M13-(N13+O13)</f>
        <v>5.1</v>
      </c>
      <c r="Q13" s="54" t="n">
        <v>0</v>
      </c>
      <c r="R13" s="54" t="n">
        <v>0</v>
      </c>
      <c r="S13" s="54" t="n">
        <f aca="false">SUM(P13:R13)</f>
        <v>5.1</v>
      </c>
      <c r="T13" s="55"/>
      <c r="U13" s="54" t="n">
        <v>0</v>
      </c>
      <c r="V13" s="54" t="n">
        <v>41</v>
      </c>
      <c r="W13" s="55" t="n">
        <f aca="false">W12-V13</f>
        <v>4607</v>
      </c>
      <c r="X13" s="7" t="n">
        <f aca="false">N13+O13+S13+U13+V13</f>
        <v>46.1</v>
      </c>
      <c r="Y13" s="54" t="n">
        <f aca="false">IF(L13&lt;0,L13*-1,0)</f>
        <v>9.47</v>
      </c>
      <c r="Z13" s="54" t="n">
        <f aca="false">X13+Y13</f>
        <v>55.57</v>
      </c>
      <c r="AA13" s="58" t="n">
        <v>0</v>
      </c>
      <c r="AB13" s="59" t="n">
        <v>52</v>
      </c>
      <c r="AC13" s="59" t="n">
        <v>23</v>
      </c>
      <c r="AD13" s="60" t="n">
        <f aca="false">AD12+1</f>
        <v>4</v>
      </c>
    </row>
    <row r="14" customFormat="false" ht="11.1" hidden="false" customHeight="true" outlineLevel="0" collapsed="false">
      <c r="A14" s="60" t="n">
        <f aca="false">A13+1</f>
        <v>5</v>
      </c>
      <c r="B14" s="75" t="n">
        <v>6880.83</v>
      </c>
      <c r="C14" s="55" t="n">
        <v>218674</v>
      </c>
      <c r="D14" s="59" t="n">
        <f aca="false">C14-C13</f>
        <v>0</v>
      </c>
      <c r="E14" s="55" t="n">
        <f aca="false">C14-152000</f>
        <v>66674</v>
      </c>
      <c r="F14" s="54" t="n">
        <f aca="false">D14/$D$2</f>
        <v>0</v>
      </c>
      <c r="G14" s="54" t="n">
        <v>60</v>
      </c>
      <c r="H14" s="56" t="n">
        <v>0.57</v>
      </c>
      <c r="I14" s="54" t="n">
        <f aca="false">G14+H14</f>
        <v>60.57</v>
      </c>
      <c r="J14" s="83" t="n">
        <f aca="false">IF(L14&gt;0,L14,0)</f>
        <v>0</v>
      </c>
      <c r="K14" s="54" t="n">
        <f aca="false">I14+J14</f>
        <v>60.57</v>
      </c>
      <c r="L14" s="54" t="n">
        <f aca="false">F14-(I14-X14)</f>
        <v>-14.57</v>
      </c>
      <c r="M14" s="54" t="n">
        <v>5</v>
      </c>
      <c r="N14" s="54" t="n">
        <v>0</v>
      </c>
      <c r="O14" s="54" t="n">
        <v>0</v>
      </c>
      <c r="P14" s="7" t="n">
        <f aca="false">M14-(N14+O14)</f>
        <v>5</v>
      </c>
      <c r="Q14" s="54" t="n">
        <v>0</v>
      </c>
      <c r="R14" s="54" t="n">
        <v>0</v>
      </c>
      <c r="S14" s="54" t="n">
        <f aca="false">SUM(P14:R14)</f>
        <v>5</v>
      </c>
      <c r="T14" s="55"/>
      <c r="U14" s="54" t="n">
        <v>0</v>
      </c>
      <c r="V14" s="54" t="n">
        <v>41</v>
      </c>
      <c r="W14" s="55" t="n">
        <f aca="false">W13-V14</f>
        <v>4566</v>
      </c>
      <c r="X14" s="7" t="n">
        <f aca="false">N14+O14+S14+U14+V14</f>
        <v>46</v>
      </c>
      <c r="Y14" s="54" t="n">
        <f aca="false">IF(L14&lt;0,L14*-1,0)</f>
        <v>14.57</v>
      </c>
      <c r="Z14" s="54" t="n">
        <f aca="false">X14+Y14</f>
        <v>60.57</v>
      </c>
      <c r="AA14" s="58" t="n">
        <v>0</v>
      </c>
      <c r="AB14" s="59" t="n">
        <v>51</v>
      </c>
      <c r="AC14" s="59" t="n">
        <v>22</v>
      </c>
      <c r="AD14" s="60" t="n">
        <f aca="false">AD13+1</f>
        <v>5</v>
      </c>
    </row>
    <row r="15" customFormat="false" ht="11.1" hidden="false" customHeight="true" outlineLevel="0" collapsed="false">
      <c r="A15" s="60" t="n">
        <f aca="false">A14+1</f>
        <v>6</v>
      </c>
      <c r="B15" s="75" t="n">
        <v>6800.83</v>
      </c>
      <c r="C15" s="55" t="n">
        <v>218674</v>
      </c>
      <c r="D15" s="59" t="n">
        <f aca="false">C15-C14</f>
        <v>0</v>
      </c>
      <c r="E15" s="55" t="n">
        <f aca="false">C15-152000</f>
        <v>66674</v>
      </c>
      <c r="F15" s="54" t="n">
        <f aca="false">D15/$D$2</f>
        <v>0</v>
      </c>
      <c r="G15" s="54" t="n">
        <v>55</v>
      </c>
      <c r="H15" s="56" t="n">
        <v>0.55</v>
      </c>
      <c r="I15" s="54" t="n">
        <f aca="false">G15+H15</f>
        <v>55.55</v>
      </c>
      <c r="J15" s="83" t="n">
        <f aca="false">IF(L15&gt;0,L15,0)</f>
        <v>0</v>
      </c>
      <c r="K15" s="54" t="n">
        <f aca="false">I15+J15</f>
        <v>55.55</v>
      </c>
      <c r="L15" s="54" t="n">
        <f aca="false">F15-(I15-X15)</f>
        <v>-9.75</v>
      </c>
      <c r="M15" s="54" t="n">
        <v>4.8</v>
      </c>
      <c r="N15" s="54" t="n">
        <v>0</v>
      </c>
      <c r="O15" s="54" t="n">
        <v>0</v>
      </c>
      <c r="P15" s="7" t="n">
        <f aca="false">M15-(N15+O15)</f>
        <v>4.8</v>
      </c>
      <c r="Q15" s="54" t="n">
        <v>0</v>
      </c>
      <c r="R15" s="54" t="n">
        <v>0</v>
      </c>
      <c r="S15" s="54" t="n">
        <f aca="false">SUM(P15:R15)</f>
        <v>4.8</v>
      </c>
      <c r="T15" s="55"/>
      <c r="U15" s="54" t="n">
        <v>0</v>
      </c>
      <c r="V15" s="54" t="n">
        <v>41</v>
      </c>
      <c r="W15" s="55" t="n">
        <f aca="false">W14-V15</f>
        <v>4525</v>
      </c>
      <c r="X15" s="7" t="n">
        <f aca="false">N15+O15+S15+U15+V15</f>
        <v>45.8</v>
      </c>
      <c r="Y15" s="54" t="n">
        <f aca="false">IF(L15&lt;0,L15*-1,0)</f>
        <v>9.75</v>
      </c>
      <c r="Z15" s="54" t="n">
        <f aca="false">X15+Y15</f>
        <v>55.55</v>
      </c>
      <c r="AA15" s="58" t="n">
        <v>0</v>
      </c>
      <c r="AB15" s="59" t="n">
        <v>54</v>
      </c>
      <c r="AC15" s="59" t="n">
        <v>21</v>
      </c>
      <c r="AD15" s="60" t="n">
        <f aca="false">AD14+1</f>
        <v>6</v>
      </c>
    </row>
    <row r="16" customFormat="false" ht="11.1" hidden="false" customHeight="true" outlineLevel="0" collapsed="false">
      <c r="A16" s="60" t="n">
        <f aca="false">A15+1</f>
        <v>7</v>
      </c>
      <c r="B16" s="75" t="n">
        <v>6880.84</v>
      </c>
      <c r="C16" s="55" t="n">
        <v>218704</v>
      </c>
      <c r="D16" s="59" t="n">
        <f aca="false">C16-C15</f>
        <v>30</v>
      </c>
      <c r="E16" s="55" t="n">
        <f aca="false">C16-152000</f>
        <v>66704</v>
      </c>
      <c r="F16" s="54" t="n">
        <f aca="false">D16/$D$2</f>
        <v>15.1247794303</v>
      </c>
      <c r="G16" s="54" t="n">
        <v>55</v>
      </c>
      <c r="H16" s="56" t="n">
        <v>0.55</v>
      </c>
      <c r="I16" s="54" t="n">
        <f aca="false">G16+H16</f>
        <v>55.55</v>
      </c>
      <c r="J16" s="83" t="n">
        <f aca="false">IF(L16&gt;0,L16,0)</f>
        <v>5.37477943029997</v>
      </c>
      <c r="K16" s="54" t="n">
        <f aca="false">I16+J16</f>
        <v>60.9247794303</v>
      </c>
      <c r="L16" s="54" t="n">
        <f aca="false">F16-(I16-X16)</f>
        <v>5.37477943029997</v>
      </c>
      <c r="M16" s="54" t="n">
        <v>4.8</v>
      </c>
      <c r="N16" s="54" t="n">
        <v>0</v>
      </c>
      <c r="O16" s="54" t="n">
        <v>0</v>
      </c>
      <c r="P16" s="7" t="n">
        <f aca="false">M16-(N16+O16)</f>
        <v>4.8</v>
      </c>
      <c r="Q16" s="54" t="n">
        <v>0</v>
      </c>
      <c r="R16" s="54" t="n">
        <v>0</v>
      </c>
      <c r="S16" s="54" t="n">
        <f aca="false">SUM(P16:R16)</f>
        <v>4.8</v>
      </c>
      <c r="T16" s="55"/>
      <c r="U16" s="54" t="n">
        <v>0</v>
      </c>
      <c r="V16" s="54" t="n">
        <v>41</v>
      </c>
      <c r="W16" s="55" t="n">
        <f aca="false">W15-V16</f>
        <v>4484</v>
      </c>
      <c r="X16" s="7" t="n">
        <f aca="false">N16+O16+S16+U16+V16</f>
        <v>45.8</v>
      </c>
      <c r="Y16" s="54" t="n">
        <f aca="false">IF(L16&lt;0,L16*-1,0)</f>
        <v>0</v>
      </c>
      <c r="Z16" s="54" t="n">
        <f aca="false">X16+Y16</f>
        <v>45.8</v>
      </c>
      <c r="AA16" s="58" t="n">
        <v>0</v>
      </c>
      <c r="AB16" s="59" t="n">
        <v>51</v>
      </c>
      <c r="AC16" s="59" t="n">
        <v>23</v>
      </c>
      <c r="AD16" s="60" t="n">
        <f aca="false">AD15+1</f>
        <v>7</v>
      </c>
    </row>
    <row r="17" customFormat="false" ht="11.1" hidden="false" customHeight="true" outlineLevel="0" collapsed="false">
      <c r="A17" s="60" t="n">
        <f aca="false">A16+1</f>
        <v>8</v>
      </c>
      <c r="B17" s="75" t="n">
        <v>6880.85</v>
      </c>
      <c r="C17" s="55" t="n">
        <v>218734</v>
      </c>
      <c r="D17" s="59" t="n">
        <f aca="false">C17-C16</f>
        <v>30</v>
      </c>
      <c r="E17" s="55" t="n">
        <f aca="false">C17-152000</f>
        <v>66734</v>
      </c>
      <c r="F17" s="54" t="n">
        <f aca="false">D17/$D$2</f>
        <v>15.1247794303</v>
      </c>
      <c r="G17" s="54" t="n">
        <v>58</v>
      </c>
      <c r="H17" s="56" t="n">
        <v>0.59</v>
      </c>
      <c r="I17" s="54" t="n">
        <f aca="false">G17+H17</f>
        <v>58.59</v>
      </c>
      <c r="J17" s="83" t="n">
        <f aca="false">IF(L17&gt;0,L17,0)</f>
        <v>2.33477943029997</v>
      </c>
      <c r="K17" s="54" t="n">
        <f aca="false">I17+J17</f>
        <v>60.9247794303</v>
      </c>
      <c r="L17" s="54" t="n">
        <f aca="false">F17-(I17-X17)</f>
        <v>2.33477943029997</v>
      </c>
      <c r="M17" s="54" t="n">
        <v>4.8</v>
      </c>
      <c r="N17" s="54" t="n">
        <v>0</v>
      </c>
      <c r="O17" s="54" t="n">
        <v>0</v>
      </c>
      <c r="P17" s="7" t="n">
        <f aca="false">M17-(N17+O17)</f>
        <v>4.8</v>
      </c>
      <c r="Q17" s="54" t="n">
        <v>0</v>
      </c>
      <c r="R17" s="54" t="n">
        <v>0</v>
      </c>
      <c r="S17" s="54" t="n">
        <f aca="false">SUM(P17:R17)</f>
        <v>4.8</v>
      </c>
      <c r="T17" s="55"/>
      <c r="U17" s="54" t="n">
        <v>0</v>
      </c>
      <c r="V17" s="54" t="n">
        <v>41</v>
      </c>
      <c r="W17" s="55" t="n">
        <f aca="false">W16-V17</f>
        <v>4443</v>
      </c>
      <c r="X17" s="7" t="n">
        <f aca="false">N17+O17+S17+U17+V17</f>
        <v>45.8</v>
      </c>
      <c r="Y17" s="54" t="n">
        <f aca="false">IF(L17&lt;0,L17*-1,0)</f>
        <v>0</v>
      </c>
      <c r="Z17" s="54" t="n">
        <f aca="false">X17+Y17</f>
        <v>45.8</v>
      </c>
      <c r="AA17" s="58" t="n">
        <v>0.15</v>
      </c>
      <c r="AB17" s="59" t="n">
        <v>45</v>
      </c>
      <c r="AC17" s="59" t="n">
        <v>25</v>
      </c>
      <c r="AD17" s="60" t="n">
        <f aca="false">AD16+1</f>
        <v>8</v>
      </c>
    </row>
    <row r="18" customFormat="false" ht="11.1" hidden="false" customHeight="true" outlineLevel="0" collapsed="false">
      <c r="A18" s="60" t="n">
        <f aca="false">A17+1</f>
        <v>9</v>
      </c>
      <c r="B18" s="75" t="n">
        <v>6880.86</v>
      </c>
      <c r="C18" s="55" t="n">
        <v>218765</v>
      </c>
      <c r="D18" s="59" t="n">
        <f aca="false">C18-C17</f>
        <v>31</v>
      </c>
      <c r="E18" s="55" t="n">
        <f aca="false">C18-152000</f>
        <v>66765</v>
      </c>
      <c r="F18" s="54" t="n">
        <f aca="false">D18/$D$2</f>
        <v>15.6289387446433</v>
      </c>
      <c r="G18" s="54" t="n">
        <v>58</v>
      </c>
      <c r="H18" s="56" t="n">
        <v>0.73</v>
      </c>
      <c r="I18" s="54" t="n">
        <f aca="false">G18+H18</f>
        <v>58.73</v>
      </c>
      <c r="J18" s="83" t="n">
        <f aca="false">IF(L18&gt;0,L18,0)</f>
        <v>2.69893874464331</v>
      </c>
      <c r="K18" s="54" t="n">
        <f aca="false">I18+J18</f>
        <v>61.4289387446433</v>
      </c>
      <c r="L18" s="54" t="n">
        <f aca="false">F18-(I18-X18)</f>
        <v>2.69893874464331</v>
      </c>
      <c r="M18" s="54" t="n">
        <v>4.8</v>
      </c>
      <c r="N18" s="54" t="n">
        <v>0</v>
      </c>
      <c r="O18" s="54" t="n">
        <v>0</v>
      </c>
      <c r="P18" s="7" t="n">
        <f aca="false">M18-(N18+O18)</f>
        <v>4.8</v>
      </c>
      <c r="Q18" s="54" t="n">
        <v>0</v>
      </c>
      <c r="R18" s="54" t="n">
        <v>0</v>
      </c>
      <c r="S18" s="54" t="n">
        <f aca="false">SUM(P18:R18)</f>
        <v>4.8</v>
      </c>
      <c r="T18" s="55"/>
      <c r="U18" s="54" t="n">
        <v>0</v>
      </c>
      <c r="V18" s="54" t="n">
        <v>41</v>
      </c>
      <c r="W18" s="55" t="n">
        <f aca="false">W17-V18</f>
        <v>4402</v>
      </c>
      <c r="X18" s="7" t="n">
        <f aca="false">N18+O18+S18+U18+V18</f>
        <v>45.8</v>
      </c>
      <c r="Y18" s="54" t="n">
        <f aca="false">IF(L18&lt;0,L18*-1,0)</f>
        <v>0</v>
      </c>
      <c r="Z18" s="54" t="n">
        <f aca="false">X18+Y18</f>
        <v>45.8</v>
      </c>
      <c r="AA18" s="58" t="n">
        <v>0</v>
      </c>
      <c r="AB18" s="84" t="n">
        <v>41</v>
      </c>
      <c r="AC18" s="59" t="n">
        <v>31</v>
      </c>
      <c r="AD18" s="60" t="n">
        <f aca="false">AD17+1</f>
        <v>9</v>
      </c>
    </row>
    <row r="19" customFormat="false" ht="11.1" hidden="false" customHeight="true" outlineLevel="0" collapsed="false">
      <c r="A19" s="60" t="n">
        <f aca="false">A18+1</f>
        <v>10</v>
      </c>
      <c r="B19" s="75" t="n">
        <v>6880.87</v>
      </c>
      <c r="C19" s="55" t="n">
        <v>218795</v>
      </c>
      <c r="D19" s="59" t="n">
        <f aca="false">C19-C18</f>
        <v>30</v>
      </c>
      <c r="E19" s="55" t="n">
        <f aca="false">C19-152000</f>
        <v>66795</v>
      </c>
      <c r="F19" s="54" t="n">
        <f aca="false">D19/$D$2</f>
        <v>15.1247794303</v>
      </c>
      <c r="G19" s="54" t="n">
        <v>55</v>
      </c>
      <c r="H19" s="56" t="n">
        <v>0.88</v>
      </c>
      <c r="I19" s="54" t="n">
        <f aca="false">G19+H19</f>
        <v>55.88</v>
      </c>
      <c r="J19" s="83" t="n">
        <f aca="false">IF(L19&gt;0,L19,0)</f>
        <v>5.04477943029997</v>
      </c>
      <c r="K19" s="54" t="n">
        <f aca="false">I19+J19</f>
        <v>60.9247794303</v>
      </c>
      <c r="L19" s="54" t="n">
        <f aca="false">F19-(I19-X19)</f>
        <v>5.04477943029997</v>
      </c>
      <c r="M19" s="54" t="n">
        <v>4.8</v>
      </c>
      <c r="N19" s="54" t="n">
        <v>0</v>
      </c>
      <c r="O19" s="54" t="n">
        <v>0</v>
      </c>
      <c r="P19" s="7" t="n">
        <f aca="false">M19-(N19+O19)</f>
        <v>4.8</v>
      </c>
      <c r="Q19" s="54" t="n">
        <v>0</v>
      </c>
      <c r="R19" s="54" t="n">
        <v>0</v>
      </c>
      <c r="S19" s="54" t="n">
        <f aca="false">SUM(P19:R19)</f>
        <v>4.8</v>
      </c>
      <c r="T19" s="55"/>
      <c r="U19" s="54" t="n">
        <v>0</v>
      </c>
      <c r="V19" s="54" t="n">
        <v>41</v>
      </c>
      <c r="W19" s="55" t="n">
        <f aca="false">W18-V19</f>
        <v>4361</v>
      </c>
      <c r="X19" s="7" t="n">
        <f aca="false">N19+O19+S19+U19+V19</f>
        <v>45.8</v>
      </c>
      <c r="Y19" s="54" t="n">
        <f aca="false">IF(L19&lt;0,L19*-1,0)</f>
        <v>0</v>
      </c>
      <c r="Z19" s="54" t="n">
        <f aca="false">X19+Y19</f>
        <v>45.8</v>
      </c>
      <c r="AA19" s="58" t="n">
        <v>0.1</v>
      </c>
      <c r="AB19" s="59" t="n">
        <v>46</v>
      </c>
      <c r="AC19" s="59" t="n">
        <v>36</v>
      </c>
      <c r="AD19" s="60" t="n">
        <f aca="false">AD18+1</f>
        <v>10</v>
      </c>
    </row>
    <row r="20" customFormat="false" ht="11.1" hidden="false" customHeight="true" outlineLevel="0" collapsed="false">
      <c r="A20" s="60" t="n">
        <f aca="false">A19+1</f>
        <v>11</v>
      </c>
      <c r="B20" s="75" t="n">
        <v>6880.88</v>
      </c>
      <c r="C20" s="55" t="n">
        <v>218825</v>
      </c>
      <c r="D20" s="59" t="n">
        <f aca="false">C20-C19</f>
        <v>30</v>
      </c>
      <c r="E20" s="55" t="n">
        <f aca="false">C20-152000</f>
        <v>66825</v>
      </c>
      <c r="F20" s="54" t="n">
        <f aca="false">D20/$D$2</f>
        <v>15.1247794303</v>
      </c>
      <c r="G20" s="54" t="n">
        <v>51</v>
      </c>
      <c r="H20" s="56" t="n">
        <v>0.9</v>
      </c>
      <c r="I20" s="54" t="n">
        <f aca="false">G20+H20</f>
        <v>51.9</v>
      </c>
      <c r="J20" s="83" t="n">
        <f aca="false">IF(L20&gt;0,L20,0)</f>
        <v>9.02477943029997</v>
      </c>
      <c r="K20" s="54" t="n">
        <f aca="false">I20+J20</f>
        <v>60.9247794303</v>
      </c>
      <c r="L20" s="54" t="n">
        <f aca="false">F20-(I20-X20)</f>
        <v>9.02477943029997</v>
      </c>
      <c r="M20" s="54" t="n">
        <v>4.8</v>
      </c>
      <c r="N20" s="54" t="n">
        <v>0</v>
      </c>
      <c r="O20" s="54" t="n">
        <v>0</v>
      </c>
      <c r="P20" s="7" t="n">
        <f aca="false">M20-(N20+O20)</f>
        <v>4.8</v>
      </c>
      <c r="Q20" s="54" t="n">
        <v>0</v>
      </c>
      <c r="R20" s="54" t="n">
        <v>0</v>
      </c>
      <c r="S20" s="54" t="n">
        <f aca="false">SUM(P20:R20)</f>
        <v>4.8</v>
      </c>
      <c r="T20" s="55"/>
      <c r="U20" s="54" t="n">
        <v>0</v>
      </c>
      <c r="V20" s="54" t="n">
        <v>41</v>
      </c>
      <c r="W20" s="55" t="n">
        <f aca="false">W19-V20</f>
        <v>4320</v>
      </c>
      <c r="X20" s="7" t="n">
        <f aca="false">N20+O20+S20+U20+V20</f>
        <v>45.8</v>
      </c>
      <c r="Y20" s="54" t="n">
        <f aca="false">IF(L20&lt;0,L20*-1,0)</f>
        <v>0</v>
      </c>
      <c r="Z20" s="54" t="n">
        <f aca="false">X20+Y20</f>
        <v>45.8</v>
      </c>
      <c r="AA20" s="58" t="n">
        <v>0</v>
      </c>
      <c r="AB20" s="59" t="n">
        <v>36</v>
      </c>
      <c r="AC20" s="59" t="n">
        <v>21</v>
      </c>
      <c r="AD20" s="60" t="n">
        <f aca="false">AD19+1</f>
        <v>11</v>
      </c>
    </row>
    <row r="21" customFormat="false" ht="11.1" hidden="false" customHeight="true" outlineLevel="0" collapsed="false">
      <c r="A21" s="60" t="n">
        <f aca="false">A20+1</f>
        <v>12</v>
      </c>
      <c r="B21" s="75" t="n">
        <v>6880.89</v>
      </c>
      <c r="C21" s="55" t="n">
        <v>218855</v>
      </c>
      <c r="D21" s="59" t="n">
        <f aca="false">C21-C20</f>
        <v>30</v>
      </c>
      <c r="E21" s="55" t="n">
        <f aca="false">C21-152000</f>
        <v>66855</v>
      </c>
      <c r="F21" s="54" t="n">
        <f aca="false">D21/$D$2</f>
        <v>15.1247794303</v>
      </c>
      <c r="G21" s="54" t="n">
        <v>53</v>
      </c>
      <c r="H21" s="56" t="n">
        <v>0.93</v>
      </c>
      <c r="I21" s="54" t="n">
        <f aca="false">G21+H21</f>
        <v>53.93</v>
      </c>
      <c r="J21" s="83" t="n">
        <f aca="false">IF(L21&gt;0,L21,0)</f>
        <v>6.99477943029997</v>
      </c>
      <c r="K21" s="54" t="n">
        <f aca="false">I21+J21</f>
        <v>60.9247794303</v>
      </c>
      <c r="L21" s="54" t="n">
        <f aca="false">F21-(I21-X21)</f>
        <v>6.99477943029997</v>
      </c>
      <c r="M21" s="54" t="n">
        <v>4.8</v>
      </c>
      <c r="N21" s="54" t="n">
        <v>0</v>
      </c>
      <c r="O21" s="54" t="n">
        <v>0</v>
      </c>
      <c r="P21" s="7" t="n">
        <f aca="false">M21-(N21+O21)</f>
        <v>4.8</v>
      </c>
      <c r="Q21" s="54" t="n">
        <v>0</v>
      </c>
      <c r="R21" s="54" t="n">
        <v>0</v>
      </c>
      <c r="S21" s="54" t="n">
        <f aca="false">SUM(P21:R21)</f>
        <v>4.8</v>
      </c>
      <c r="T21" s="55"/>
      <c r="U21" s="54" t="n">
        <v>0</v>
      </c>
      <c r="V21" s="54" t="n">
        <v>41</v>
      </c>
      <c r="W21" s="55" t="n">
        <f aca="false">W20-V21</f>
        <v>4279</v>
      </c>
      <c r="X21" s="7" t="n">
        <f aca="false">N21+O21+S21+U21+V21</f>
        <v>45.8</v>
      </c>
      <c r="Y21" s="54" t="n">
        <f aca="false">IF(L21&lt;0,L21*-1,0)</f>
        <v>0</v>
      </c>
      <c r="Z21" s="54" t="n">
        <f aca="false">X21+Y21</f>
        <v>45.8</v>
      </c>
      <c r="AA21" s="58" t="n">
        <v>0.13</v>
      </c>
      <c r="AB21" s="59" t="n">
        <v>39</v>
      </c>
      <c r="AC21" s="59" t="n">
        <v>16</v>
      </c>
      <c r="AD21" s="60" t="n">
        <f aca="false">AD20+1</f>
        <v>12</v>
      </c>
    </row>
    <row r="22" customFormat="false" ht="11.1" hidden="false" customHeight="true" outlineLevel="0" collapsed="false">
      <c r="A22" s="60" t="n">
        <f aca="false">A21+1</f>
        <v>13</v>
      </c>
      <c r="B22" s="75" t="n">
        <v>6880.9</v>
      </c>
      <c r="C22" s="55" t="n">
        <v>218886</v>
      </c>
      <c r="D22" s="59" t="n">
        <f aca="false">C22-C21</f>
        <v>31</v>
      </c>
      <c r="E22" s="55" t="n">
        <f aca="false">C22-152000</f>
        <v>66886</v>
      </c>
      <c r="F22" s="54" t="n">
        <f aca="false">D22/$D$2</f>
        <v>15.6289387446433</v>
      </c>
      <c r="G22" s="54" t="n">
        <v>52</v>
      </c>
      <c r="H22" s="56" t="n">
        <v>0.89</v>
      </c>
      <c r="I22" s="54" t="n">
        <f aca="false">G22+H22</f>
        <v>52.89</v>
      </c>
      <c r="J22" s="83" t="n">
        <f aca="false">IF(L22&gt;0,L22,0)</f>
        <v>8.5389387446433</v>
      </c>
      <c r="K22" s="54" t="n">
        <f aca="false">I22+J22</f>
        <v>61.4289387446433</v>
      </c>
      <c r="L22" s="54" t="n">
        <f aca="false">F22-(I22-X22)</f>
        <v>8.5389387446433</v>
      </c>
      <c r="M22" s="54" t="n">
        <v>4.8</v>
      </c>
      <c r="N22" s="54" t="n">
        <v>0</v>
      </c>
      <c r="O22" s="54" t="n">
        <v>0</v>
      </c>
      <c r="P22" s="7" t="n">
        <f aca="false">M22-(N22+O22)</f>
        <v>4.8</v>
      </c>
      <c r="Q22" s="54" t="n">
        <v>0</v>
      </c>
      <c r="R22" s="54" t="n">
        <v>0</v>
      </c>
      <c r="S22" s="54" t="n">
        <f aca="false">SUM(P22:R22)</f>
        <v>4.8</v>
      </c>
      <c r="T22" s="55"/>
      <c r="U22" s="54" t="n">
        <v>0</v>
      </c>
      <c r="V22" s="54" t="n">
        <v>41</v>
      </c>
      <c r="W22" s="55" t="n">
        <f aca="false">W21-V22</f>
        <v>4238</v>
      </c>
      <c r="X22" s="7" t="n">
        <f aca="false">N22+O22+S22+U22+V22</f>
        <v>45.8</v>
      </c>
      <c r="Y22" s="54" t="n">
        <f aca="false">IF(L22&lt;0,L22*-1,0)</f>
        <v>0</v>
      </c>
      <c r="Z22" s="54" t="n">
        <f aca="false">X22+Y22</f>
        <v>45.8</v>
      </c>
      <c r="AA22" s="58" t="n">
        <v>0</v>
      </c>
      <c r="AB22" s="59" t="n">
        <v>37</v>
      </c>
      <c r="AC22" s="59" t="n">
        <v>13</v>
      </c>
      <c r="AD22" s="60" t="n">
        <f aca="false">AD21+1</f>
        <v>13</v>
      </c>
    </row>
    <row r="23" customFormat="false" ht="11.1" hidden="false" customHeight="true" outlineLevel="0" collapsed="false">
      <c r="A23" s="60" t="n">
        <f aca="false">A22+1</f>
        <v>14</v>
      </c>
      <c r="B23" s="75" t="n">
        <v>6880.91</v>
      </c>
      <c r="C23" s="55" t="n">
        <v>218916</v>
      </c>
      <c r="D23" s="59" t="n">
        <f aca="false">C23-C22</f>
        <v>30</v>
      </c>
      <c r="E23" s="55" t="n">
        <f aca="false">C23-152000</f>
        <v>66916</v>
      </c>
      <c r="F23" s="54" t="n">
        <f aca="false">D23/$D$2</f>
        <v>15.1247794303</v>
      </c>
      <c r="G23" s="54" t="n">
        <v>50</v>
      </c>
      <c r="H23" s="56" t="n">
        <v>0.88</v>
      </c>
      <c r="I23" s="54" t="n">
        <f aca="false">G23+H23</f>
        <v>50.88</v>
      </c>
      <c r="J23" s="83" t="n">
        <f aca="false">IF(L23&gt;0,L23,0)</f>
        <v>10.0447794303</v>
      </c>
      <c r="K23" s="54" t="n">
        <f aca="false">I23+J23</f>
        <v>60.9247794303</v>
      </c>
      <c r="L23" s="54" t="n">
        <f aca="false">F23-(I23-X23)</f>
        <v>10.0447794303</v>
      </c>
      <c r="M23" s="54" t="n">
        <v>4.8</v>
      </c>
      <c r="N23" s="54" t="n">
        <v>0</v>
      </c>
      <c r="O23" s="54" t="n">
        <v>0</v>
      </c>
      <c r="P23" s="7" t="n">
        <f aca="false">M23-(N23+O23)</f>
        <v>4.8</v>
      </c>
      <c r="Q23" s="54" t="n">
        <v>0</v>
      </c>
      <c r="R23" s="54" t="n">
        <v>0</v>
      </c>
      <c r="S23" s="54" t="n">
        <f aca="false">SUM(P23:R23)</f>
        <v>4.8</v>
      </c>
      <c r="T23" s="55"/>
      <c r="U23" s="54" t="n">
        <v>0</v>
      </c>
      <c r="V23" s="54" t="n">
        <v>41</v>
      </c>
      <c r="W23" s="55" t="n">
        <f aca="false">W22-V23</f>
        <v>4197</v>
      </c>
      <c r="X23" s="7" t="n">
        <f aca="false">N23+O23+S23+U23+V23</f>
        <v>45.8</v>
      </c>
      <c r="Y23" s="54" t="n">
        <f aca="false">IF(L23&lt;0,L23*-1,0)</f>
        <v>0</v>
      </c>
      <c r="Z23" s="54" t="n">
        <f aca="false">X23+Y23</f>
        <v>45.8</v>
      </c>
      <c r="AA23" s="58" t="n">
        <v>0</v>
      </c>
      <c r="AB23" s="84" t="n">
        <v>38</v>
      </c>
      <c r="AC23" s="59" t="n">
        <v>16</v>
      </c>
      <c r="AD23" s="60" t="n">
        <f aca="false">AD22+1</f>
        <v>14</v>
      </c>
    </row>
    <row r="24" customFormat="false" ht="11.1" hidden="false" customHeight="true" outlineLevel="0" collapsed="false">
      <c r="A24" s="60" t="n">
        <f aca="false">A23+1</f>
        <v>15</v>
      </c>
      <c r="B24" s="75" t="n">
        <v>6880.91</v>
      </c>
      <c r="C24" s="55" t="n">
        <v>218916</v>
      </c>
      <c r="D24" s="59" t="n">
        <f aca="false">C24-C23</f>
        <v>0</v>
      </c>
      <c r="E24" s="55" t="n">
        <f aca="false">C24-152000</f>
        <v>66916</v>
      </c>
      <c r="F24" s="54" t="n">
        <f aca="false">D24/$D$2</f>
        <v>0</v>
      </c>
      <c r="G24" s="54" t="n">
        <v>47</v>
      </c>
      <c r="H24" s="56" t="n">
        <v>0.95</v>
      </c>
      <c r="I24" s="54" t="n">
        <f aca="false">G24+H24</f>
        <v>47.95</v>
      </c>
      <c r="J24" s="83" t="n">
        <f aca="false">IF(L24&gt;0,L24,0)</f>
        <v>0</v>
      </c>
      <c r="K24" s="54" t="n">
        <f aca="false">I24+J24</f>
        <v>47.95</v>
      </c>
      <c r="L24" s="54" t="n">
        <f aca="false">F24-(I24-X24)</f>
        <v>-2.15000000000001</v>
      </c>
      <c r="M24" s="54" t="n">
        <v>4.8</v>
      </c>
      <c r="N24" s="54" t="n">
        <v>0</v>
      </c>
      <c r="O24" s="54" t="n">
        <v>0</v>
      </c>
      <c r="P24" s="7" t="n">
        <f aca="false">M24-(N24+O24)</f>
        <v>4.8</v>
      </c>
      <c r="Q24" s="54" t="n">
        <v>0</v>
      </c>
      <c r="R24" s="54" t="n">
        <v>0</v>
      </c>
      <c r="S24" s="54" t="n">
        <f aca="false">SUM(P24:R24)</f>
        <v>4.8</v>
      </c>
      <c r="T24" s="55"/>
      <c r="U24" s="54" t="n">
        <v>0</v>
      </c>
      <c r="V24" s="54" t="n">
        <v>41</v>
      </c>
      <c r="W24" s="55" t="n">
        <f aca="false">W23-V24</f>
        <v>4156</v>
      </c>
      <c r="X24" s="7" t="n">
        <f aca="false">N24+O24+S24+U24+V24</f>
        <v>45.8</v>
      </c>
      <c r="Y24" s="54" t="n">
        <f aca="false">IF(L24&lt;0,L24*-1,0)</f>
        <v>2.15000000000001</v>
      </c>
      <c r="Z24" s="54" t="n">
        <f aca="false">X24+Y24</f>
        <v>47.95</v>
      </c>
      <c r="AA24" s="58" t="n">
        <v>0</v>
      </c>
      <c r="AB24" s="84" t="n">
        <v>37</v>
      </c>
      <c r="AC24" s="59" t="n">
        <v>20</v>
      </c>
      <c r="AD24" s="60" t="n">
        <f aca="false">AD23+1</f>
        <v>15</v>
      </c>
    </row>
    <row r="25" customFormat="false" ht="11.1" hidden="false" customHeight="true" outlineLevel="0" collapsed="false">
      <c r="A25" s="60" t="n">
        <f aca="false">A24+1</f>
        <v>16</v>
      </c>
      <c r="B25" s="75" t="n">
        <v>6880.92</v>
      </c>
      <c r="C25" s="55" t="n">
        <v>218946</v>
      </c>
      <c r="D25" s="59" t="n">
        <f aca="false">C25-C24</f>
        <v>30</v>
      </c>
      <c r="E25" s="55" t="n">
        <f aca="false">C25-152000</f>
        <v>66946</v>
      </c>
      <c r="F25" s="54" t="n">
        <f aca="false">D25/$D$2</f>
        <v>15.1247794303</v>
      </c>
      <c r="G25" s="54" t="n">
        <v>40</v>
      </c>
      <c r="H25" s="56" t="n">
        <v>0.9</v>
      </c>
      <c r="I25" s="54" t="n">
        <f aca="false">G25+H25</f>
        <v>40.9</v>
      </c>
      <c r="J25" s="83" t="n">
        <f aca="false">IF(L25&gt;0,L25,0)</f>
        <v>20.0247794303</v>
      </c>
      <c r="K25" s="54" t="n">
        <f aca="false">I25+J25</f>
        <v>60.9247794303</v>
      </c>
      <c r="L25" s="54" t="n">
        <f aca="false">F25-(I25-X25)</f>
        <v>20.0247794303</v>
      </c>
      <c r="M25" s="54" t="n">
        <v>4.8</v>
      </c>
      <c r="N25" s="54" t="n">
        <v>0</v>
      </c>
      <c r="O25" s="54" t="n">
        <v>0</v>
      </c>
      <c r="P25" s="7" t="n">
        <f aca="false">M25-(N25+O25)</f>
        <v>4.8</v>
      </c>
      <c r="Q25" s="54" t="n">
        <v>0</v>
      </c>
      <c r="R25" s="54" t="n">
        <v>0</v>
      </c>
      <c r="S25" s="54" t="n">
        <f aca="false">SUM(P25:R25)</f>
        <v>4.8</v>
      </c>
      <c r="T25" s="55"/>
      <c r="U25" s="54" t="n">
        <v>0</v>
      </c>
      <c r="V25" s="54" t="n">
        <v>41</v>
      </c>
      <c r="W25" s="55" t="n">
        <f aca="false">W24-V25</f>
        <v>4115</v>
      </c>
      <c r="X25" s="7" t="n">
        <f aca="false">N25+O25+S25+U25+V25</f>
        <v>45.8</v>
      </c>
      <c r="Y25" s="54" t="n">
        <f aca="false">IF(L25&lt;0,L25*-1,0)</f>
        <v>0</v>
      </c>
      <c r="Z25" s="54" t="n">
        <f aca="false">X25+Y25</f>
        <v>45.8</v>
      </c>
      <c r="AA25" s="58" t="n">
        <v>0</v>
      </c>
      <c r="AB25" s="84" t="n">
        <v>48</v>
      </c>
      <c r="AC25" s="59" t="n">
        <v>9</v>
      </c>
      <c r="AD25" s="60" t="n">
        <f aca="false">AD24+1</f>
        <v>16</v>
      </c>
    </row>
    <row r="26" customFormat="false" ht="11.1" hidden="false" customHeight="true" outlineLevel="0" collapsed="false">
      <c r="A26" s="60" t="n">
        <f aca="false">A25+1</f>
        <v>17</v>
      </c>
      <c r="B26" s="75" t="n">
        <v>6880.92</v>
      </c>
      <c r="C26" s="55" t="n">
        <v>218946</v>
      </c>
      <c r="D26" s="59" t="n">
        <f aca="false">C26-C25</f>
        <v>0</v>
      </c>
      <c r="E26" s="55" t="n">
        <f aca="false">C26-152000</f>
        <v>66946</v>
      </c>
      <c r="F26" s="54" t="n">
        <f aca="false">D26/$D$2</f>
        <v>0</v>
      </c>
      <c r="G26" s="54" t="n">
        <v>35</v>
      </c>
      <c r="H26" s="56" t="n">
        <v>0.86</v>
      </c>
      <c r="I26" s="54" t="n">
        <f aca="false">G26+H26</f>
        <v>35.86</v>
      </c>
      <c r="J26" s="83" t="n">
        <f aca="false">IF(L26&gt;0,L26,0)</f>
        <v>9.94</v>
      </c>
      <c r="K26" s="54" t="n">
        <f aca="false">I26+J26</f>
        <v>45.8</v>
      </c>
      <c r="L26" s="54" t="n">
        <f aca="false">F26-(I26-X26)</f>
        <v>9.94</v>
      </c>
      <c r="M26" s="54" t="n">
        <v>4.8</v>
      </c>
      <c r="N26" s="54" t="n">
        <v>0</v>
      </c>
      <c r="O26" s="54" t="n">
        <v>0</v>
      </c>
      <c r="P26" s="7" t="n">
        <f aca="false">M26-(N26+O26)</f>
        <v>4.8</v>
      </c>
      <c r="Q26" s="54" t="n">
        <v>0</v>
      </c>
      <c r="R26" s="54" t="n">
        <v>0</v>
      </c>
      <c r="S26" s="54" t="n">
        <f aca="false">SUM(P26:R26)</f>
        <v>4.8</v>
      </c>
      <c r="T26" s="55"/>
      <c r="U26" s="54" t="n">
        <v>0</v>
      </c>
      <c r="V26" s="54" t="n">
        <v>41</v>
      </c>
      <c r="W26" s="55" t="n">
        <f aca="false">W25-V26</f>
        <v>4074</v>
      </c>
      <c r="X26" s="7" t="n">
        <f aca="false">N26+O26+S26+U26+V26</f>
        <v>45.8</v>
      </c>
      <c r="Y26" s="54" t="n">
        <f aca="false">IF(L26&lt;0,L26*-1,0)</f>
        <v>0</v>
      </c>
      <c r="Z26" s="54" t="n">
        <f aca="false">X26+Y26</f>
        <v>45.8</v>
      </c>
      <c r="AA26" s="58" t="n">
        <v>0</v>
      </c>
      <c r="AB26" s="84" t="n">
        <v>46</v>
      </c>
      <c r="AC26" s="59" t="n">
        <v>14</v>
      </c>
      <c r="AD26" s="60" t="n">
        <f aca="false">AD25+1</f>
        <v>17</v>
      </c>
    </row>
    <row r="27" customFormat="false" ht="11.1" hidden="false" customHeight="true" outlineLevel="0" collapsed="false">
      <c r="A27" s="60" t="n">
        <f aca="false">A26+1</f>
        <v>18</v>
      </c>
      <c r="B27" s="75" t="n">
        <v>6880.93</v>
      </c>
      <c r="C27" s="55" t="n">
        <v>218976</v>
      </c>
      <c r="D27" s="59" t="n">
        <f aca="false">C27-C26</f>
        <v>30</v>
      </c>
      <c r="E27" s="55" t="n">
        <f aca="false">C27-152000</f>
        <v>66976</v>
      </c>
      <c r="F27" s="54" t="n">
        <f aca="false">D27/$D$2</f>
        <v>15.1247794303</v>
      </c>
      <c r="G27" s="54" t="n">
        <v>37</v>
      </c>
      <c r="H27" s="56" t="n">
        <v>0.71</v>
      </c>
      <c r="I27" s="54" t="n">
        <f aca="false">G27+H27</f>
        <v>37.71</v>
      </c>
      <c r="J27" s="83" t="n">
        <f aca="false">IF(L27&gt;0,L27,0)</f>
        <v>23.2147794303</v>
      </c>
      <c r="K27" s="54" t="n">
        <f aca="false">I27+J27</f>
        <v>60.9247794303</v>
      </c>
      <c r="L27" s="54" t="n">
        <f aca="false">F27-(I27-X27)</f>
        <v>23.2147794303</v>
      </c>
      <c r="M27" s="54" t="n">
        <v>4.8</v>
      </c>
      <c r="N27" s="54" t="n">
        <v>0</v>
      </c>
      <c r="O27" s="54" t="n">
        <v>0</v>
      </c>
      <c r="P27" s="7" t="n">
        <f aca="false">M27-(N27+O27)</f>
        <v>4.8</v>
      </c>
      <c r="Q27" s="54" t="n">
        <v>0</v>
      </c>
      <c r="R27" s="54" t="n">
        <v>0</v>
      </c>
      <c r="S27" s="54" t="n">
        <f aca="false">SUM(P27:R27)</f>
        <v>4.8</v>
      </c>
      <c r="T27" s="55"/>
      <c r="U27" s="54" t="n">
        <v>0</v>
      </c>
      <c r="V27" s="54" t="n">
        <v>41</v>
      </c>
      <c r="W27" s="55" t="n">
        <f aca="false">W26-V27</f>
        <v>4033</v>
      </c>
      <c r="X27" s="7" t="n">
        <f aca="false">N27+O27+S27+U27+V27</f>
        <v>45.8</v>
      </c>
      <c r="Y27" s="54" t="n">
        <f aca="false">IF(L27&lt;0,L27*-1,0)</f>
        <v>0</v>
      </c>
      <c r="Z27" s="54" t="n">
        <f aca="false">X27+Y27</f>
        <v>45.8</v>
      </c>
      <c r="AA27" s="58" t="n">
        <v>0</v>
      </c>
      <c r="AB27" s="84" t="n">
        <v>36</v>
      </c>
      <c r="AC27" s="59" t="n">
        <v>4</v>
      </c>
      <c r="AD27" s="60" t="n">
        <f aca="false">AD26+1</f>
        <v>18</v>
      </c>
    </row>
    <row r="28" customFormat="false" ht="11.1" hidden="false" customHeight="true" outlineLevel="0" collapsed="false">
      <c r="A28" s="60" t="n">
        <f aca="false">A27+1</f>
        <v>19</v>
      </c>
      <c r="B28" s="75" t="n">
        <v>6880.93</v>
      </c>
      <c r="C28" s="55" t="n">
        <v>218976</v>
      </c>
      <c r="D28" s="59" t="n">
        <f aca="false">C28-C27</f>
        <v>0</v>
      </c>
      <c r="E28" s="55" t="n">
        <f aca="false">C28-152000</f>
        <v>66976</v>
      </c>
      <c r="F28" s="54" t="n">
        <f aca="false">D28/$D$2</f>
        <v>0</v>
      </c>
      <c r="G28" s="54" t="n">
        <v>32</v>
      </c>
      <c r="H28" s="56" t="n">
        <v>0.56</v>
      </c>
      <c r="I28" s="54" t="n">
        <f aca="false">G28+H28</f>
        <v>32.56</v>
      </c>
      <c r="J28" s="83" t="n">
        <f aca="false">IF(L28&gt;0,L28,0)</f>
        <v>14.24</v>
      </c>
      <c r="K28" s="54" t="n">
        <f aca="false">I28+J28</f>
        <v>46.8</v>
      </c>
      <c r="L28" s="54" t="n">
        <f aca="false">F28-(I28-X28)</f>
        <v>14.24</v>
      </c>
      <c r="M28" s="54" t="n">
        <v>4.8</v>
      </c>
      <c r="N28" s="54" t="n">
        <v>0</v>
      </c>
      <c r="O28" s="54" t="n">
        <v>0</v>
      </c>
      <c r="P28" s="7" t="n">
        <f aca="false">M28-(N28+O28)</f>
        <v>4.8</v>
      </c>
      <c r="Q28" s="54" t="n">
        <v>0</v>
      </c>
      <c r="R28" s="54" t="n">
        <v>0</v>
      </c>
      <c r="S28" s="54" t="n">
        <f aca="false">SUM(P28:R28)</f>
        <v>4.8</v>
      </c>
      <c r="T28" s="55"/>
      <c r="U28" s="54" t="n">
        <v>0</v>
      </c>
      <c r="V28" s="54" t="n">
        <v>42</v>
      </c>
      <c r="W28" s="55" t="n">
        <f aca="false">W27-V28</f>
        <v>3991</v>
      </c>
      <c r="X28" s="7" t="n">
        <f aca="false">N28+O28+S28+U28+V28</f>
        <v>46.8</v>
      </c>
      <c r="Y28" s="54" t="n">
        <f aca="false">IF(L28&lt;0,L28*-1,0)</f>
        <v>0</v>
      </c>
      <c r="Z28" s="54" t="n">
        <f aca="false">X28+Y28</f>
        <v>46.8</v>
      </c>
      <c r="AA28" s="58" t="n">
        <v>0</v>
      </c>
      <c r="AB28" s="84" t="n">
        <v>42</v>
      </c>
      <c r="AC28" s="59" t="n">
        <v>8</v>
      </c>
      <c r="AD28" s="60" t="n">
        <f aca="false">AD27+1</f>
        <v>19</v>
      </c>
    </row>
    <row r="29" customFormat="false" ht="11.1" hidden="false" customHeight="true" outlineLevel="0" collapsed="false">
      <c r="A29" s="60" t="n">
        <f aca="false">A28+1</f>
        <v>20</v>
      </c>
      <c r="B29" s="75" t="n">
        <v>6880.94</v>
      </c>
      <c r="C29" s="55" t="n">
        <v>219007</v>
      </c>
      <c r="D29" s="59" t="n">
        <f aca="false">C29-C28</f>
        <v>31</v>
      </c>
      <c r="E29" s="55" t="n">
        <f aca="false">C29-152000</f>
        <v>67007</v>
      </c>
      <c r="F29" s="54" t="n">
        <f aca="false">D29/$D$2</f>
        <v>15.6289387446433</v>
      </c>
      <c r="G29" s="54" t="n">
        <v>44</v>
      </c>
      <c r="H29" s="56" t="n">
        <v>0.59</v>
      </c>
      <c r="I29" s="54" t="n">
        <f aca="false">G29+H29</f>
        <v>44.59</v>
      </c>
      <c r="J29" s="83" t="n">
        <f aca="false">IF(L29&gt;0,L29,0)</f>
        <v>17.8389387446433</v>
      </c>
      <c r="K29" s="54" t="n">
        <f aca="false">I29+J29</f>
        <v>62.4289387446433</v>
      </c>
      <c r="L29" s="54" t="n">
        <f aca="false">F29-(I29-X29)</f>
        <v>17.8389387446433</v>
      </c>
      <c r="M29" s="54" t="n">
        <v>4.8</v>
      </c>
      <c r="N29" s="54" t="n">
        <v>0</v>
      </c>
      <c r="O29" s="54" t="n">
        <v>0</v>
      </c>
      <c r="P29" s="7" t="n">
        <f aca="false">M29-(N29+O29)</f>
        <v>4.8</v>
      </c>
      <c r="Q29" s="54" t="n">
        <v>0</v>
      </c>
      <c r="R29" s="54" t="n">
        <v>0</v>
      </c>
      <c r="S29" s="54" t="n">
        <f aca="false">SUM(P29:R29)</f>
        <v>4.8</v>
      </c>
      <c r="T29" s="55"/>
      <c r="U29" s="54" t="n">
        <v>0</v>
      </c>
      <c r="V29" s="54" t="n">
        <v>42</v>
      </c>
      <c r="W29" s="55" t="n">
        <f aca="false">W28-V29</f>
        <v>3949</v>
      </c>
      <c r="X29" s="7" t="n">
        <f aca="false">N29+O29+S29+U29+V29</f>
        <v>46.8</v>
      </c>
      <c r="Y29" s="54" t="n">
        <f aca="false">IF(L29&lt;0,L29*-1,0)</f>
        <v>0</v>
      </c>
      <c r="Z29" s="54" t="n">
        <f aca="false">X29+Y29</f>
        <v>46.8</v>
      </c>
      <c r="AA29" s="58" t="n">
        <v>0</v>
      </c>
      <c r="AB29" s="84" t="n">
        <v>39</v>
      </c>
      <c r="AC29" s="59" t="n">
        <v>10</v>
      </c>
      <c r="AD29" s="60" t="n">
        <f aca="false">AD28+1</f>
        <v>20</v>
      </c>
    </row>
    <row r="30" customFormat="false" ht="11.1" hidden="false" customHeight="true" outlineLevel="0" collapsed="false">
      <c r="A30" s="60" t="n">
        <f aca="false">A29+1</f>
        <v>21</v>
      </c>
      <c r="B30" s="75" t="n">
        <v>6880.94</v>
      </c>
      <c r="C30" s="55" t="n">
        <v>219007</v>
      </c>
      <c r="D30" s="59" t="n">
        <f aca="false">C30-C29</f>
        <v>0</v>
      </c>
      <c r="E30" s="55" t="n">
        <f aca="false">C30-152000</f>
        <v>67007</v>
      </c>
      <c r="F30" s="54" t="n">
        <f aca="false">D30/$D$2</f>
        <v>0</v>
      </c>
      <c r="G30" s="54" t="n">
        <v>44</v>
      </c>
      <c r="H30" s="56" t="n">
        <v>0.65</v>
      </c>
      <c r="I30" s="54" t="n">
        <f aca="false">G30+H30</f>
        <v>44.65</v>
      </c>
      <c r="J30" s="83" t="n">
        <f aca="false">IF(L30&gt;0,L30,0)</f>
        <v>2.15</v>
      </c>
      <c r="K30" s="54" t="n">
        <f aca="false">I30+J30</f>
        <v>46.8</v>
      </c>
      <c r="L30" s="54" t="n">
        <f aca="false">F30-(I30-X30)</f>
        <v>2.15</v>
      </c>
      <c r="M30" s="54" t="n">
        <v>4.8</v>
      </c>
      <c r="N30" s="54" t="n">
        <v>0</v>
      </c>
      <c r="O30" s="54" t="n">
        <v>0</v>
      </c>
      <c r="P30" s="7" t="n">
        <f aca="false">M30-(N30+O30)</f>
        <v>4.8</v>
      </c>
      <c r="Q30" s="54" t="n">
        <v>0</v>
      </c>
      <c r="R30" s="54" t="n">
        <v>0</v>
      </c>
      <c r="S30" s="54" t="n">
        <f aca="false">SUM(P30:R30)</f>
        <v>4.8</v>
      </c>
      <c r="T30" s="55"/>
      <c r="U30" s="54" t="n">
        <v>0</v>
      </c>
      <c r="V30" s="54" t="n">
        <v>42</v>
      </c>
      <c r="W30" s="55" t="n">
        <f aca="false">W29-V30</f>
        <v>3907</v>
      </c>
      <c r="X30" s="7" t="n">
        <f aca="false">N30+O30+S30+U30+V30</f>
        <v>46.8</v>
      </c>
      <c r="Y30" s="54" t="n">
        <f aca="false">IF(L30&lt;0,L30*-1,0)</f>
        <v>0</v>
      </c>
      <c r="Z30" s="54" t="n">
        <f aca="false">X30+Y30</f>
        <v>46.8</v>
      </c>
      <c r="AA30" s="58" t="n">
        <v>0</v>
      </c>
      <c r="AB30" s="59" t="n">
        <v>44</v>
      </c>
      <c r="AC30" s="59" t="n">
        <v>17</v>
      </c>
      <c r="AD30" s="60" t="n">
        <f aca="false">AD29+1</f>
        <v>21</v>
      </c>
    </row>
    <row r="31" customFormat="false" ht="11.1" hidden="false" customHeight="true" outlineLevel="0" collapsed="false">
      <c r="A31" s="60" t="n">
        <f aca="false">A30+1</f>
        <v>22</v>
      </c>
      <c r="B31" s="75" t="n">
        <v>6880.94</v>
      </c>
      <c r="C31" s="55" t="n">
        <v>219007</v>
      </c>
      <c r="D31" s="59" t="n">
        <f aca="false">C31-C30</f>
        <v>0</v>
      </c>
      <c r="E31" s="55" t="n">
        <f aca="false">C31-152000</f>
        <v>67007</v>
      </c>
      <c r="F31" s="54" t="n">
        <f aca="false">D31/$D$2</f>
        <v>0</v>
      </c>
      <c r="G31" s="54" t="n">
        <v>45</v>
      </c>
      <c r="H31" s="56" t="n">
        <v>0.78</v>
      </c>
      <c r="I31" s="54" t="n">
        <f aca="false">G31+H31</f>
        <v>45.78</v>
      </c>
      <c r="J31" s="83" t="n">
        <f aca="false">IF(L31&gt;0,L31,0)</f>
        <v>1.02</v>
      </c>
      <c r="K31" s="54" t="n">
        <f aca="false">I31+J31</f>
        <v>46.8</v>
      </c>
      <c r="L31" s="54" t="n">
        <f aca="false">F31-(I31-X31)</f>
        <v>1.02</v>
      </c>
      <c r="M31" s="54" t="n">
        <v>4.8</v>
      </c>
      <c r="N31" s="54" t="n">
        <v>0</v>
      </c>
      <c r="O31" s="54" t="n">
        <v>0</v>
      </c>
      <c r="P31" s="7" t="n">
        <f aca="false">M31-(N31+O31)</f>
        <v>4.8</v>
      </c>
      <c r="Q31" s="54" t="n">
        <v>0</v>
      </c>
      <c r="R31" s="54" t="n">
        <v>0</v>
      </c>
      <c r="S31" s="54" t="n">
        <f aca="false">SUM(P31:R31)</f>
        <v>4.8</v>
      </c>
      <c r="T31" s="55"/>
      <c r="U31" s="54" t="n">
        <v>0</v>
      </c>
      <c r="V31" s="54" t="n">
        <v>42</v>
      </c>
      <c r="W31" s="55" t="n">
        <f aca="false">W30-V31</f>
        <v>3865</v>
      </c>
      <c r="X31" s="7" t="n">
        <f aca="false">N31+O31+S31+U31+V31</f>
        <v>46.8</v>
      </c>
      <c r="Y31" s="54" t="n">
        <f aca="false">IF(L31&lt;0,L31*-1,0)</f>
        <v>0</v>
      </c>
      <c r="Z31" s="54" t="n">
        <f aca="false">X31+Y31</f>
        <v>46.8</v>
      </c>
      <c r="AA31" s="58" t="n">
        <v>0</v>
      </c>
      <c r="AB31" s="59" t="n">
        <v>46</v>
      </c>
      <c r="AC31" s="59" t="n">
        <v>17</v>
      </c>
      <c r="AD31" s="60" t="n">
        <f aca="false">AD30+1</f>
        <v>22</v>
      </c>
    </row>
    <row r="32" customFormat="false" ht="11.1" hidden="false" customHeight="true" outlineLevel="0" collapsed="false">
      <c r="A32" s="60" t="n">
        <f aca="false">A31+1</f>
        <v>23</v>
      </c>
      <c r="B32" s="75" t="n">
        <v>6880.95</v>
      </c>
      <c r="C32" s="55" t="n">
        <v>219037</v>
      </c>
      <c r="D32" s="59" t="n">
        <f aca="false">C32-C31</f>
        <v>30</v>
      </c>
      <c r="E32" s="55" t="n">
        <f aca="false">C32-152000</f>
        <v>67037</v>
      </c>
      <c r="F32" s="54" t="n">
        <f aca="false">D32/$D$2</f>
        <v>15.1247794303</v>
      </c>
      <c r="G32" s="54" t="n">
        <v>46</v>
      </c>
      <c r="H32" s="56" t="n">
        <v>0.79</v>
      </c>
      <c r="I32" s="54" t="n">
        <f aca="false">G32+H32</f>
        <v>46.79</v>
      </c>
      <c r="J32" s="83" t="n">
        <f aca="false">IF(L32&gt;0,L32,0)</f>
        <v>15.1347794303</v>
      </c>
      <c r="K32" s="54" t="n">
        <f aca="false">I32+J32</f>
        <v>61.9247794303</v>
      </c>
      <c r="L32" s="54" t="n">
        <f aca="false">F32-(I32-X32)</f>
        <v>15.1347794303</v>
      </c>
      <c r="M32" s="54" t="n">
        <v>4.8</v>
      </c>
      <c r="N32" s="54" t="n">
        <v>0</v>
      </c>
      <c r="O32" s="54" t="n">
        <v>0</v>
      </c>
      <c r="P32" s="7" t="n">
        <f aca="false">M32-(N32+O32)</f>
        <v>4.8</v>
      </c>
      <c r="Q32" s="54" t="n">
        <v>0</v>
      </c>
      <c r="R32" s="54" t="n">
        <v>0</v>
      </c>
      <c r="S32" s="54" t="n">
        <f aca="false">SUM(P32:R32)</f>
        <v>4.8</v>
      </c>
      <c r="T32" s="55"/>
      <c r="U32" s="54" t="n">
        <v>0</v>
      </c>
      <c r="V32" s="54" t="n">
        <v>42</v>
      </c>
      <c r="W32" s="55" t="n">
        <f aca="false">W31-V32</f>
        <v>3823</v>
      </c>
      <c r="X32" s="7" t="n">
        <f aca="false">N32+O32+S32+U32+V32</f>
        <v>46.8</v>
      </c>
      <c r="Y32" s="54" t="n">
        <f aca="false">IF(L32&lt;0,L32*-1,0)</f>
        <v>0</v>
      </c>
      <c r="Z32" s="54" t="n">
        <f aca="false">X32+Y32</f>
        <v>46.8</v>
      </c>
      <c r="AA32" s="58" t="n">
        <v>0</v>
      </c>
      <c r="AB32" s="59" t="n">
        <v>48</v>
      </c>
      <c r="AC32" s="84" t="n">
        <v>22</v>
      </c>
      <c r="AD32" s="60" t="n">
        <f aca="false">AD31+1</f>
        <v>23</v>
      </c>
    </row>
    <row r="33" customFormat="false" ht="11.1" hidden="false" customHeight="true" outlineLevel="0" collapsed="false">
      <c r="A33" s="60" t="n">
        <f aca="false">A32+1</f>
        <v>24</v>
      </c>
      <c r="B33" s="75" t="n">
        <v>6880.95</v>
      </c>
      <c r="C33" s="55" t="n">
        <v>219037</v>
      </c>
      <c r="D33" s="59" t="n">
        <f aca="false">C33-C32</f>
        <v>0</v>
      </c>
      <c r="E33" s="55" t="n">
        <f aca="false">C33-152000</f>
        <v>67037</v>
      </c>
      <c r="F33" s="54" t="n">
        <f aca="false">D33/$D$2</f>
        <v>0</v>
      </c>
      <c r="G33" s="54" t="n">
        <v>45</v>
      </c>
      <c r="H33" s="56" t="n">
        <v>0.79</v>
      </c>
      <c r="I33" s="54" t="n">
        <f aca="false">G33+H33</f>
        <v>45.79</v>
      </c>
      <c r="J33" s="83" t="n">
        <f aca="false">IF(L33&gt;0,L33,0)</f>
        <v>1.01</v>
      </c>
      <c r="K33" s="54" t="n">
        <f aca="false">I33+J33</f>
        <v>46.8</v>
      </c>
      <c r="L33" s="54" t="n">
        <f aca="false">F33-(I33-X33)</f>
        <v>1.01</v>
      </c>
      <c r="M33" s="54" t="n">
        <v>4.8</v>
      </c>
      <c r="N33" s="54" t="n">
        <v>0</v>
      </c>
      <c r="O33" s="54" t="n">
        <v>0</v>
      </c>
      <c r="P33" s="7" t="n">
        <f aca="false">M33-(N33+O33)</f>
        <v>4.8</v>
      </c>
      <c r="Q33" s="54" t="n">
        <v>0</v>
      </c>
      <c r="R33" s="54" t="n">
        <v>0</v>
      </c>
      <c r="S33" s="54" t="n">
        <f aca="false">SUM(P33:R33)</f>
        <v>4.8</v>
      </c>
      <c r="T33" s="55"/>
      <c r="U33" s="54" t="n">
        <v>0</v>
      </c>
      <c r="V33" s="54" t="n">
        <v>42</v>
      </c>
      <c r="W33" s="55" t="n">
        <f aca="false">W32-V33</f>
        <v>3781</v>
      </c>
      <c r="X33" s="7" t="n">
        <f aca="false">N33+O33+S33+U33+V33</f>
        <v>46.8</v>
      </c>
      <c r="Y33" s="54" t="n">
        <f aca="false">IF(L33&lt;0,L33*-1,0)</f>
        <v>0</v>
      </c>
      <c r="Z33" s="54" t="n">
        <f aca="false">X33+Y33</f>
        <v>46.8</v>
      </c>
      <c r="AA33" s="58" t="n">
        <v>0</v>
      </c>
      <c r="AB33" s="59" t="n">
        <v>47</v>
      </c>
      <c r="AC33" s="84" t="n">
        <v>22</v>
      </c>
      <c r="AD33" s="60" t="n">
        <f aca="false">AD32+1</f>
        <v>24</v>
      </c>
    </row>
    <row r="34" customFormat="false" ht="11.1" hidden="false" customHeight="true" outlineLevel="0" collapsed="false">
      <c r="A34" s="60" t="n">
        <f aca="false">A33+1</f>
        <v>25</v>
      </c>
      <c r="B34" s="75" t="n">
        <v>6880.95</v>
      </c>
      <c r="C34" s="55" t="n">
        <v>219037</v>
      </c>
      <c r="D34" s="59" t="n">
        <f aca="false">C34-C33</f>
        <v>0</v>
      </c>
      <c r="E34" s="55" t="n">
        <f aca="false">C34-152000</f>
        <v>67037</v>
      </c>
      <c r="F34" s="54" t="n">
        <f aca="false">D34/$D$2</f>
        <v>0</v>
      </c>
      <c r="G34" s="54" t="n">
        <v>44</v>
      </c>
      <c r="H34" s="56" t="n">
        <v>0.79</v>
      </c>
      <c r="I34" s="54" t="n">
        <f aca="false">G34+H34</f>
        <v>44.79</v>
      </c>
      <c r="J34" s="83" t="n">
        <f aca="false">IF(L34&gt;0,L34,0)</f>
        <v>2.01</v>
      </c>
      <c r="K34" s="54" t="n">
        <f aca="false">I34+J34</f>
        <v>46.8</v>
      </c>
      <c r="L34" s="54" t="n">
        <f aca="false">F34-(I34-X34)</f>
        <v>2.01</v>
      </c>
      <c r="M34" s="54" t="n">
        <v>4.8</v>
      </c>
      <c r="N34" s="54" t="n">
        <v>0</v>
      </c>
      <c r="O34" s="54" t="n">
        <v>0</v>
      </c>
      <c r="P34" s="7" t="n">
        <f aca="false">M34-(N34+O34)</f>
        <v>4.8</v>
      </c>
      <c r="Q34" s="54" t="n">
        <v>0</v>
      </c>
      <c r="R34" s="54" t="n">
        <v>0</v>
      </c>
      <c r="S34" s="54" t="n">
        <f aca="false">SUM(P34:R34)</f>
        <v>4.8</v>
      </c>
      <c r="T34" s="55"/>
      <c r="U34" s="54" t="n">
        <v>0</v>
      </c>
      <c r="V34" s="54" t="n">
        <v>42</v>
      </c>
      <c r="W34" s="55" t="n">
        <f aca="false">W33-V34</f>
        <v>3739</v>
      </c>
      <c r="X34" s="7" t="n">
        <f aca="false">N34+O34+S34+U34+V34</f>
        <v>46.8</v>
      </c>
      <c r="Y34" s="54" t="n">
        <f aca="false">IF(L34&lt;0,L34*-1,0)</f>
        <v>0</v>
      </c>
      <c r="Z34" s="54" t="n">
        <f aca="false">X34+Y34</f>
        <v>46.8</v>
      </c>
      <c r="AA34" s="58" t="n">
        <v>0</v>
      </c>
      <c r="AB34" s="59" t="n">
        <v>37</v>
      </c>
      <c r="AC34" s="84" t="n">
        <v>23</v>
      </c>
      <c r="AD34" s="60" t="n">
        <f aca="false">AD33+1</f>
        <v>25</v>
      </c>
    </row>
    <row r="35" customFormat="false" ht="11.1" hidden="false" customHeight="true" outlineLevel="0" collapsed="false">
      <c r="A35" s="60" t="n">
        <f aca="false">A34+1</f>
        <v>26</v>
      </c>
      <c r="B35" s="75" t="n">
        <v>6880.96</v>
      </c>
      <c r="C35" s="55" t="n">
        <v>219067</v>
      </c>
      <c r="D35" s="59" t="n">
        <f aca="false">C35-C34</f>
        <v>30</v>
      </c>
      <c r="E35" s="55" t="n">
        <f aca="false">C35-152000</f>
        <v>67067</v>
      </c>
      <c r="F35" s="54" t="n">
        <f aca="false">D35/$D$2</f>
        <v>15.1247794303</v>
      </c>
      <c r="G35" s="54" t="n">
        <v>43</v>
      </c>
      <c r="H35" s="56" t="n">
        <v>0.79</v>
      </c>
      <c r="I35" s="54" t="n">
        <f aca="false">G35+H35</f>
        <v>43.79</v>
      </c>
      <c r="J35" s="83" t="n">
        <f aca="false">IF(L35&gt;0,L35,0)</f>
        <v>18.1347794303</v>
      </c>
      <c r="K35" s="54" t="n">
        <f aca="false">I35+J35</f>
        <v>61.9247794303</v>
      </c>
      <c r="L35" s="54" t="n">
        <f aca="false">F35-(I35-X35)</f>
        <v>18.1347794303</v>
      </c>
      <c r="M35" s="54" t="n">
        <v>4.8</v>
      </c>
      <c r="N35" s="54" t="n">
        <v>0</v>
      </c>
      <c r="O35" s="54" t="n">
        <v>0</v>
      </c>
      <c r="P35" s="7" t="n">
        <f aca="false">M35-(N35+O35)</f>
        <v>4.8</v>
      </c>
      <c r="Q35" s="54" t="n">
        <v>0</v>
      </c>
      <c r="R35" s="54" t="n">
        <v>0</v>
      </c>
      <c r="S35" s="54" t="n">
        <f aca="false">SUM(P35:R35)</f>
        <v>4.8</v>
      </c>
      <c r="T35" s="55"/>
      <c r="U35" s="54" t="n">
        <v>0</v>
      </c>
      <c r="V35" s="54" t="n">
        <v>42</v>
      </c>
      <c r="W35" s="55" t="n">
        <f aca="false">W34-V35</f>
        <v>3697</v>
      </c>
      <c r="X35" s="7" t="n">
        <f aca="false">N35+O35+S35+U35+V35</f>
        <v>46.8</v>
      </c>
      <c r="Y35" s="54" t="n">
        <f aca="false">IF(L35&lt;0,L35*-1,0)</f>
        <v>0</v>
      </c>
      <c r="Z35" s="54" t="n">
        <f aca="false">X35+Y35</f>
        <v>46.8</v>
      </c>
      <c r="AA35" s="58" t="n">
        <v>0</v>
      </c>
      <c r="AB35" s="59" t="n">
        <v>43</v>
      </c>
      <c r="AC35" s="59" t="n">
        <v>25</v>
      </c>
      <c r="AD35" s="60" t="n">
        <f aca="false">AD34+1</f>
        <v>26</v>
      </c>
    </row>
    <row r="36" customFormat="false" ht="11.1" hidden="false" customHeight="true" outlineLevel="0" collapsed="false">
      <c r="A36" s="60" t="n">
        <f aca="false">A35+1</f>
        <v>27</v>
      </c>
      <c r="B36" s="75" t="n">
        <v>6880.96</v>
      </c>
      <c r="C36" s="55" t="n">
        <v>219067</v>
      </c>
      <c r="D36" s="59" t="n">
        <f aca="false">C36-C35</f>
        <v>0</v>
      </c>
      <c r="E36" s="55" t="n">
        <f aca="false">C36-152000</f>
        <v>67067</v>
      </c>
      <c r="F36" s="54" t="n">
        <f aca="false">D36/$D$2</f>
        <v>0</v>
      </c>
      <c r="G36" s="54" t="n">
        <v>42</v>
      </c>
      <c r="H36" s="56" t="n">
        <v>0.78</v>
      </c>
      <c r="I36" s="54" t="n">
        <f aca="false">G36+H36</f>
        <v>42.78</v>
      </c>
      <c r="J36" s="83" t="n">
        <f aca="false">IF(L36&gt;0,L36,0)</f>
        <v>4.02</v>
      </c>
      <c r="K36" s="54" t="n">
        <f aca="false">I36+J36</f>
        <v>46.8</v>
      </c>
      <c r="L36" s="54" t="n">
        <f aca="false">F36-(I36-X36)</f>
        <v>4.02</v>
      </c>
      <c r="M36" s="54" t="n">
        <v>4.8</v>
      </c>
      <c r="N36" s="54" t="n">
        <v>0</v>
      </c>
      <c r="O36" s="54" t="n">
        <v>0</v>
      </c>
      <c r="P36" s="7" t="n">
        <f aca="false">M36-(N36+O36)</f>
        <v>4.8</v>
      </c>
      <c r="Q36" s="54" t="n">
        <v>0</v>
      </c>
      <c r="R36" s="54" t="n">
        <v>0</v>
      </c>
      <c r="S36" s="54" t="n">
        <f aca="false">SUM(P36:R36)</f>
        <v>4.8</v>
      </c>
      <c r="T36" s="55"/>
      <c r="U36" s="54" t="n">
        <v>0</v>
      </c>
      <c r="V36" s="54" t="n">
        <v>42</v>
      </c>
      <c r="W36" s="55" t="n">
        <f aca="false">W35-V36</f>
        <v>3655</v>
      </c>
      <c r="X36" s="7" t="n">
        <f aca="false">N36+O36+S36+U36+V36</f>
        <v>46.8</v>
      </c>
      <c r="Y36" s="54" t="n">
        <f aca="false">IF(L36&lt;0,L36*-1,0)</f>
        <v>0</v>
      </c>
      <c r="Z36" s="54" t="n">
        <f aca="false">X36+Y36</f>
        <v>46.8</v>
      </c>
      <c r="AA36" s="58" t="n">
        <v>0</v>
      </c>
      <c r="AB36" s="59" t="n">
        <v>44</v>
      </c>
      <c r="AC36" s="59" t="n">
        <v>19</v>
      </c>
      <c r="AD36" s="60" t="n">
        <f aca="false">AD35+1</f>
        <v>27</v>
      </c>
    </row>
    <row r="37" customFormat="false" ht="11.1" hidden="false" customHeight="true" outlineLevel="0" collapsed="false">
      <c r="A37" s="60" t="n">
        <f aca="false">A36+1</f>
        <v>28</v>
      </c>
      <c r="B37" s="75" t="n">
        <v>6880.96</v>
      </c>
      <c r="C37" s="55" t="n">
        <v>219067</v>
      </c>
      <c r="D37" s="59" t="n">
        <f aca="false">C37-C36</f>
        <v>0</v>
      </c>
      <c r="E37" s="55" t="n">
        <f aca="false">C37-152000</f>
        <v>67067</v>
      </c>
      <c r="F37" s="54" t="n">
        <f aca="false">D37/$D$2</f>
        <v>0</v>
      </c>
      <c r="G37" s="54" t="n">
        <v>43</v>
      </c>
      <c r="H37" s="56" t="n">
        <v>0.77</v>
      </c>
      <c r="I37" s="54" t="n">
        <f aca="false">G37+H37</f>
        <v>43.77</v>
      </c>
      <c r="J37" s="83" t="n">
        <f aca="false">IF(L37&gt;0,L37,0)</f>
        <v>3.02999999999999</v>
      </c>
      <c r="K37" s="54" t="n">
        <f aca="false">I37+J37</f>
        <v>46.8</v>
      </c>
      <c r="L37" s="54" t="n">
        <f aca="false">F37-(I37-X37)</f>
        <v>3.02999999999999</v>
      </c>
      <c r="M37" s="54" t="n">
        <v>4.8</v>
      </c>
      <c r="N37" s="54" t="n">
        <v>0</v>
      </c>
      <c r="O37" s="54" t="n">
        <v>0</v>
      </c>
      <c r="P37" s="7" t="n">
        <f aca="false">M37-(N37+O37)</f>
        <v>4.8</v>
      </c>
      <c r="Q37" s="54" t="n">
        <v>0</v>
      </c>
      <c r="R37" s="54" t="n">
        <v>0</v>
      </c>
      <c r="S37" s="54" t="n">
        <f aca="false">SUM(P37:R37)</f>
        <v>4.8</v>
      </c>
      <c r="T37" s="55"/>
      <c r="U37" s="54" t="n">
        <v>0</v>
      </c>
      <c r="V37" s="54" t="n">
        <v>42</v>
      </c>
      <c r="W37" s="55" t="n">
        <f aca="false">W36-V37</f>
        <v>3613</v>
      </c>
      <c r="X37" s="7" t="n">
        <f aca="false">N37+O37+S37+U37+V37</f>
        <v>46.8</v>
      </c>
      <c r="Y37" s="54" t="n">
        <f aca="false">IF(L37&lt;0,L37*-1,0)</f>
        <v>0</v>
      </c>
      <c r="Z37" s="54" t="n">
        <f aca="false">X37+Y37</f>
        <v>46.8</v>
      </c>
      <c r="AA37" s="58" t="n">
        <v>0</v>
      </c>
      <c r="AB37" s="59" t="n">
        <v>51</v>
      </c>
      <c r="AC37" s="59" t="n">
        <v>14</v>
      </c>
      <c r="AD37" s="60" t="n">
        <f aca="false">AD36+1</f>
        <v>28</v>
      </c>
    </row>
    <row r="38" customFormat="false" ht="11.1" hidden="false" customHeight="true" outlineLevel="0" collapsed="false">
      <c r="A38" s="60" t="n">
        <f aca="false">A37+1</f>
        <v>29</v>
      </c>
      <c r="B38" s="75" t="n">
        <v>6880.96</v>
      </c>
      <c r="C38" s="55" t="n">
        <v>219067</v>
      </c>
      <c r="D38" s="59" t="n">
        <f aca="false">C38-C37</f>
        <v>0</v>
      </c>
      <c r="E38" s="55" t="n">
        <f aca="false">C38-152000</f>
        <v>67067</v>
      </c>
      <c r="F38" s="54" t="n">
        <f aca="false">D38/$D$2</f>
        <v>0</v>
      </c>
      <c r="G38" s="54" t="n">
        <v>42</v>
      </c>
      <c r="H38" s="56" t="n">
        <v>0.74</v>
      </c>
      <c r="I38" s="54" t="n">
        <f aca="false">G38+H38</f>
        <v>42.74</v>
      </c>
      <c r="J38" s="83" t="n">
        <f aca="false">IF(L38&gt;0,L38,0)</f>
        <v>4.06</v>
      </c>
      <c r="K38" s="54" t="n">
        <f aca="false">I38+J38</f>
        <v>46.8</v>
      </c>
      <c r="L38" s="54" t="n">
        <f aca="false">F38-(I38-X38)</f>
        <v>4.06</v>
      </c>
      <c r="M38" s="54" t="n">
        <v>4.8</v>
      </c>
      <c r="N38" s="54" t="n">
        <v>0</v>
      </c>
      <c r="O38" s="54" t="n">
        <v>0</v>
      </c>
      <c r="P38" s="7" t="n">
        <f aca="false">M38-(N38+O38)</f>
        <v>4.8</v>
      </c>
      <c r="Q38" s="54" t="n">
        <v>0</v>
      </c>
      <c r="R38" s="54" t="n">
        <v>0</v>
      </c>
      <c r="S38" s="54" t="n">
        <f aca="false">SUM(P38:R38)</f>
        <v>4.8</v>
      </c>
      <c r="T38" s="55"/>
      <c r="U38" s="54" t="n">
        <v>0</v>
      </c>
      <c r="V38" s="54" t="n">
        <v>42</v>
      </c>
      <c r="W38" s="55" t="n">
        <f aca="false">W37-V38</f>
        <v>3571</v>
      </c>
      <c r="X38" s="7" t="n">
        <f aca="false">N38+O38+S38+U38+V38</f>
        <v>46.8</v>
      </c>
      <c r="Y38" s="54" t="n">
        <f aca="false">IF(L38&lt;0,L38*-1,0)</f>
        <v>0</v>
      </c>
      <c r="Z38" s="54" t="n">
        <f aca="false">X38+Y38</f>
        <v>46.8</v>
      </c>
      <c r="AA38" s="58" t="n">
        <v>0</v>
      </c>
      <c r="AB38" s="84" t="n">
        <v>46</v>
      </c>
      <c r="AC38" s="59" t="n">
        <v>18</v>
      </c>
      <c r="AD38" s="60" t="n">
        <f aca="false">AD37+1</f>
        <v>29</v>
      </c>
    </row>
    <row r="39" customFormat="false" ht="11.1" hidden="false" customHeight="true" outlineLevel="0" collapsed="false">
      <c r="A39" s="60" t="n">
        <v>30</v>
      </c>
      <c r="B39" s="75" t="n">
        <v>6880.96</v>
      </c>
      <c r="C39" s="55" t="n">
        <v>219067</v>
      </c>
      <c r="D39" s="59" t="n">
        <f aca="false">C39-C38</f>
        <v>0</v>
      </c>
      <c r="E39" s="55" t="n">
        <f aca="false">C39-152000</f>
        <v>67067</v>
      </c>
      <c r="F39" s="54" t="n">
        <f aca="false">D39/$D$2</f>
        <v>0</v>
      </c>
      <c r="G39" s="54" t="n">
        <v>43</v>
      </c>
      <c r="H39" s="56" t="n">
        <v>0.71</v>
      </c>
      <c r="I39" s="54" t="n">
        <f aca="false">G39+H39</f>
        <v>43.71</v>
      </c>
      <c r="J39" s="83" t="n">
        <f aca="false">IF(L39&gt;0,L39,0)</f>
        <v>3.09</v>
      </c>
      <c r="K39" s="54" t="n">
        <f aca="false">I39+J39</f>
        <v>46.8</v>
      </c>
      <c r="L39" s="54" t="n">
        <f aca="false">F39-(I39-X39)</f>
        <v>3.09</v>
      </c>
      <c r="M39" s="54" t="n">
        <v>4.8</v>
      </c>
      <c r="N39" s="54" t="n">
        <v>0</v>
      </c>
      <c r="O39" s="54" t="n">
        <v>0</v>
      </c>
      <c r="P39" s="7" t="n">
        <f aca="false">M39-(N39+O39)</f>
        <v>4.8</v>
      </c>
      <c r="Q39" s="54" t="n">
        <v>0</v>
      </c>
      <c r="R39" s="54" t="n">
        <v>0</v>
      </c>
      <c r="S39" s="54" t="n">
        <f aca="false">SUM(P39:R39)</f>
        <v>4.8</v>
      </c>
      <c r="T39" s="55"/>
      <c r="U39" s="54" t="n">
        <v>0</v>
      </c>
      <c r="V39" s="54" t="n">
        <v>42</v>
      </c>
      <c r="W39" s="55" t="n">
        <f aca="false">W38-V39</f>
        <v>3529</v>
      </c>
      <c r="X39" s="7" t="n">
        <f aca="false">N39+O39+S39+U39+V39</f>
        <v>46.8</v>
      </c>
      <c r="Y39" s="54" t="n">
        <f aca="false">IF(L39&lt;0,L39*-1,0)</f>
        <v>0</v>
      </c>
      <c r="Z39" s="54" t="n">
        <f aca="false">X39+Y39</f>
        <v>46.8</v>
      </c>
      <c r="AA39" s="58" t="n">
        <v>0</v>
      </c>
      <c r="AB39" s="84" t="n">
        <v>45</v>
      </c>
      <c r="AC39" s="59" t="n">
        <v>18</v>
      </c>
      <c r="AD39" s="60" t="n">
        <v>30</v>
      </c>
    </row>
    <row r="40" customFormat="false" ht="11.1" hidden="false" customHeight="true" outlineLevel="0" collapsed="false">
      <c r="A40" s="60" t="n">
        <v>31</v>
      </c>
      <c r="B40" s="75" t="n">
        <v>6880.96</v>
      </c>
      <c r="C40" s="55" t="n">
        <v>219067</v>
      </c>
      <c r="D40" s="59" t="n">
        <f aca="false">C40-C39</f>
        <v>0</v>
      </c>
      <c r="E40" s="55" t="n">
        <f aca="false">C40-152000</f>
        <v>67067</v>
      </c>
      <c r="F40" s="54" t="n">
        <f aca="false">D40/$D$2</f>
        <v>0</v>
      </c>
      <c r="G40" s="54" t="n">
        <v>43</v>
      </c>
      <c r="H40" s="56" t="n">
        <v>0.7</v>
      </c>
      <c r="I40" s="54" t="n">
        <f aca="false">G40+H40</f>
        <v>43.7</v>
      </c>
      <c r="J40" s="83" t="n">
        <f aca="false">IF(L40&gt;0,L40,0)</f>
        <v>3.09999999999999</v>
      </c>
      <c r="K40" s="54" t="n">
        <f aca="false">I40+J40</f>
        <v>46.8</v>
      </c>
      <c r="L40" s="54" t="n">
        <f aca="false">F40-(I40-X40)</f>
        <v>3.09999999999999</v>
      </c>
      <c r="M40" s="54" t="n">
        <v>4.8</v>
      </c>
      <c r="N40" s="54" t="n">
        <v>0</v>
      </c>
      <c r="O40" s="54" t="n">
        <v>0</v>
      </c>
      <c r="P40" s="7" t="n">
        <f aca="false">M40-(N40+O40)</f>
        <v>4.8</v>
      </c>
      <c r="Q40" s="54" t="n">
        <v>0</v>
      </c>
      <c r="R40" s="54" t="n">
        <v>0</v>
      </c>
      <c r="S40" s="54" t="n">
        <f aca="false">SUM(P40:R40)</f>
        <v>4.8</v>
      </c>
      <c r="T40" s="55"/>
      <c r="U40" s="54" t="n">
        <v>0</v>
      </c>
      <c r="V40" s="54" t="n">
        <v>42</v>
      </c>
      <c r="W40" s="55" t="n">
        <f aca="false">W39-V40</f>
        <v>3487</v>
      </c>
      <c r="X40" s="7" t="n">
        <f aca="false">N40+O40+S40+U40+V40</f>
        <v>46.8</v>
      </c>
      <c r="Y40" s="54" t="n">
        <f aca="false">IF(L40&lt;0,L40*-1,0)</f>
        <v>0</v>
      </c>
      <c r="Z40" s="54" t="n">
        <f aca="false">X40+Y40</f>
        <v>46.8</v>
      </c>
      <c r="AA40" s="58" t="n">
        <v>0</v>
      </c>
      <c r="AB40" s="84" t="n">
        <v>49</v>
      </c>
      <c r="AC40" s="59" t="n">
        <v>21</v>
      </c>
      <c r="AD40" s="60" t="n">
        <v>31</v>
      </c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85"/>
      <c r="M41" s="85"/>
      <c r="N41" s="85"/>
      <c r="O41" s="76"/>
      <c r="P41" s="76"/>
      <c r="Q41" s="76"/>
      <c r="R41" s="76"/>
      <c r="S41" s="76"/>
      <c r="T41" s="78"/>
      <c r="U41" s="76"/>
      <c r="V41" s="85"/>
      <c r="W41" s="76"/>
      <c r="X41" s="76"/>
      <c r="Y41" s="76"/>
      <c r="Z41" s="76"/>
      <c r="AA41" s="80"/>
      <c r="AB41" s="81"/>
      <c r="AC41" s="81"/>
      <c r="AD41" s="82"/>
    </row>
    <row r="42" customFormat="false" ht="11.1" hidden="false" customHeight="true" outlineLevel="0" collapsed="false">
      <c r="A42" s="54" t="s">
        <v>46</v>
      </c>
      <c r="B42" s="54"/>
      <c r="C42" s="55"/>
      <c r="D42" s="55"/>
      <c r="E42" s="55"/>
      <c r="F42" s="55" t="n">
        <f aca="false">SUM(F10:F40)</f>
        <v>244.013108142173</v>
      </c>
      <c r="G42" s="55" t="n">
        <f aca="false">SUM(G10:G40)</f>
        <v>1497</v>
      </c>
      <c r="H42" s="56" t="n">
        <f aca="false">SUM(H10:H40)</f>
        <v>22.78</v>
      </c>
      <c r="I42" s="55" t="n">
        <f aca="false">SUM(I10:I40)</f>
        <v>1519.78</v>
      </c>
      <c r="J42" s="55" t="n">
        <f aca="false">SUM(J10:J40)</f>
        <v>195.748328711873</v>
      </c>
      <c r="K42" s="55" t="n">
        <f aca="false">SUM(K10:K40)</f>
        <v>1715.52832871187</v>
      </c>
      <c r="L42" s="55" t="n">
        <f aca="false">SUM(L10:L40)</f>
        <v>158.433108142173</v>
      </c>
      <c r="M42" s="55" t="n">
        <f aca="false">SUM(M10:M40)</f>
        <v>150.2</v>
      </c>
      <c r="N42" s="55" t="n">
        <f aca="false">SUM(N10:N40)</f>
        <v>0</v>
      </c>
      <c r="O42" s="55" t="n">
        <f aca="false">SUM(O10:O40)</f>
        <v>0</v>
      </c>
      <c r="P42" s="55" t="n">
        <f aca="false">SUM(P10:P40)</f>
        <v>150.2</v>
      </c>
      <c r="Q42" s="55" t="n">
        <f aca="false">SUM(Q10:Q40)</f>
        <v>0</v>
      </c>
      <c r="R42" s="55" t="n">
        <f aca="false">SUM(R10:R40)</f>
        <v>0</v>
      </c>
      <c r="S42" s="55" t="n">
        <f aca="false">SUM(S10:S40)</f>
        <v>150.2</v>
      </c>
      <c r="T42" s="55"/>
      <c r="U42" s="55" t="n">
        <f aca="false">SUM(U10:U40)</f>
        <v>0</v>
      </c>
      <c r="V42" s="55" t="n">
        <f aca="false">SUM(V10:V40)</f>
        <v>1284</v>
      </c>
      <c r="W42" s="55"/>
      <c r="X42" s="55" t="n">
        <f aca="false">SUM(X10:X40)</f>
        <v>1434.2</v>
      </c>
      <c r="Y42" s="55" t="n">
        <f aca="false">SUM(Y10:Y40)</f>
        <v>37.3152205697</v>
      </c>
      <c r="Z42" s="55" t="n">
        <f aca="false">SUM(Z10:Z40)</f>
        <v>1471.5152205697</v>
      </c>
      <c r="AA42" s="58" t="n">
        <f aca="false">SUM(AA10:AA40)</f>
        <v>0.38</v>
      </c>
      <c r="AB42" s="59" t="n">
        <f aca="false">AVERAGE(AB10:AB40)</f>
        <v>44.8064516129032</v>
      </c>
      <c r="AC42" s="59" t="n">
        <f aca="false">AVERAGE(AC10:AC40)</f>
        <v>19.6774193548387</v>
      </c>
      <c r="AD42" s="60" t="s">
        <v>47</v>
      </c>
    </row>
    <row r="43" customFormat="false" ht="11.1" hidden="false" customHeight="true" outlineLevel="0" collapsed="false">
      <c r="A43" s="54" t="s">
        <v>48</v>
      </c>
      <c r="B43" s="54"/>
      <c r="C43" s="55"/>
      <c r="D43" s="55" t="n">
        <f aca="false">SUM(D10:D40)</f>
        <v>484</v>
      </c>
      <c r="E43" s="55"/>
      <c r="F43" s="55" t="n">
        <f aca="false">F42*$D$2</f>
        <v>484</v>
      </c>
      <c r="G43" s="55" t="n">
        <f aca="false">G42*$D$2</f>
        <v>2969.2995</v>
      </c>
      <c r="H43" s="56" t="n">
        <f aca="false">H42*$D$2</f>
        <v>45.18413</v>
      </c>
      <c r="I43" s="55" t="n">
        <f aca="false">I42*$D$2</f>
        <v>3014.48363</v>
      </c>
      <c r="J43" s="55" t="n">
        <f aca="false">J42*$D$2</f>
        <v>388.26681</v>
      </c>
      <c r="K43" s="55" t="n">
        <f aca="false">K42*$D$2</f>
        <v>3402.75044</v>
      </c>
      <c r="L43" s="55" t="n">
        <f aca="false">L42*$D$2</f>
        <v>314.25207</v>
      </c>
      <c r="M43" s="55" t="n">
        <f aca="false">M42*$D$2</f>
        <v>297.9217</v>
      </c>
      <c r="N43" s="55" t="n">
        <f aca="false">N42*$D$2</f>
        <v>0</v>
      </c>
      <c r="O43" s="55" t="n">
        <f aca="false">O42*$D$2</f>
        <v>0</v>
      </c>
      <c r="P43" s="55" t="n">
        <f aca="false">P42*$D$2</f>
        <v>297.9217</v>
      </c>
      <c r="Q43" s="55" t="n">
        <f aca="false">Q42*$D$2</f>
        <v>0</v>
      </c>
      <c r="R43" s="55" t="n">
        <f aca="false">R42*$D$2</f>
        <v>0</v>
      </c>
      <c r="S43" s="55" t="n">
        <f aca="false">S42*$D$2</f>
        <v>297.9217</v>
      </c>
      <c r="T43" s="55"/>
      <c r="U43" s="55" t="n">
        <f aca="false">U42*$D$2</f>
        <v>0</v>
      </c>
      <c r="V43" s="55" t="n">
        <f aca="false">V42*$D$2</f>
        <v>2546.814</v>
      </c>
      <c r="W43" s="55"/>
      <c r="X43" s="55" t="n">
        <f aca="false">X42*$D$2</f>
        <v>2844.7357</v>
      </c>
      <c r="Y43" s="55" t="n">
        <f aca="false">Y42*$D$2</f>
        <v>74.01474</v>
      </c>
      <c r="Z43" s="55" t="n">
        <f aca="false">Z42*$D$2</f>
        <v>2918.75044</v>
      </c>
      <c r="AA43" s="58"/>
      <c r="AB43" s="59" t="n">
        <f aca="false">MAX(AB10:AB40)</f>
        <v>54</v>
      </c>
      <c r="AC43" s="59" t="n">
        <f aca="false">MAX(AC10:AC40)</f>
        <v>36</v>
      </c>
      <c r="AD43" s="60" t="s">
        <v>49</v>
      </c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9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</row>
    <row r="45" customFormat="false" ht="11.1" hidden="false" customHeight="true" outlineLevel="0" collapsed="false">
      <c r="A45" s="54" t="s">
        <v>50</v>
      </c>
      <c r="B45" s="54"/>
      <c r="C45" s="55"/>
      <c r="D45" s="55"/>
      <c r="E45" s="55"/>
      <c r="F45" s="55"/>
      <c r="G45" s="55"/>
      <c r="H45" s="56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8"/>
      <c r="AB45" s="59" t="n">
        <f aca="false">MIN(AB10:AB40)</f>
        <v>36</v>
      </c>
      <c r="AC45" s="59" t="n">
        <f aca="false">MIN(AC10:AC40)</f>
        <v>4</v>
      </c>
      <c r="AD45" s="60" t="s">
        <v>51</v>
      </c>
    </row>
    <row r="46" customFormat="false" ht="11.1" hidden="false" customHeight="true" outlineLevel="0" collapsed="false">
      <c r="A46" s="54" t="s">
        <v>52</v>
      </c>
      <c r="B46" s="54"/>
      <c r="C46" s="55"/>
      <c r="D46" s="55"/>
      <c r="E46" s="55"/>
      <c r="F46" s="55"/>
      <c r="G46" s="55"/>
      <c r="H46" s="56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8"/>
      <c r="AB46" s="59"/>
      <c r="AC46" s="59"/>
      <c r="AD46" s="60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79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</row>
    <row r="48" customFormat="false" ht="11.1" hidden="false" customHeight="true" outlineLevel="0" collapsed="false">
      <c r="A48" s="54" t="s">
        <v>53</v>
      </c>
      <c r="B48" s="54"/>
      <c r="C48" s="55"/>
      <c r="D48" s="55"/>
      <c r="E48" s="55"/>
      <c r="F48" s="55" t="n">
        <f aca="false">F8+F42</f>
        <v>807.663221578019</v>
      </c>
      <c r="G48" s="55" t="n">
        <f aca="false">G8+G42</f>
        <v>3518</v>
      </c>
      <c r="H48" s="56" t="n">
        <f aca="false">H8+H42</f>
        <v>26.58</v>
      </c>
      <c r="I48" s="55" t="n">
        <f aca="false">I8+I42</f>
        <v>3544.58</v>
      </c>
      <c r="J48" s="55" t="n">
        <f aca="false">J8+J42</f>
        <v>320.431267960675</v>
      </c>
      <c r="K48" s="55" t="n">
        <f aca="false">K8+K42</f>
        <v>3865.01126796068</v>
      </c>
      <c r="L48" s="55" t="n">
        <f aca="false">L8+L42</f>
        <v>103.383221578019</v>
      </c>
      <c r="M48" s="55" t="n">
        <f aca="false">M8+M42</f>
        <v>319.3</v>
      </c>
      <c r="N48" s="55" t="n">
        <f aca="false">N8+N42</f>
        <v>0</v>
      </c>
      <c r="O48" s="55" t="n">
        <f aca="false">O8+O42</f>
        <v>79.8835</v>
      </c>
      <c r="P48" s="55" t="n">
        <f aca="false">P8+P42</f>
        <v>239.4165</v>
      </c>
      <c r="Q48" s="55" t="n">
        <f aca="false">Q8+Q42</f>
        <v>0</v>
      </c>
      <c r="R48" s="55" t="n">
        <f aca="false">R8+R42</f>
        <v>0</v>
      </c>
      <c r="S48" s="55" t="n">
        <f aca="false">S8+S42</f>
        <v>239.4165</v>
      </c>
      <c r="T48" s="55"/>
      <c r="U48" s="55" t="n">
        <f aca="false">U8+U42</f>
        <v>0</v>
      </c>
      <c r="V48" s="55" t="n">
        <f aca="false">V8+V42</f>
        <v>2521</v>
      </c>
      <c r="W48" s="55" t="n">
        <f aca="false">W40</f>
        <v>3487</v>
      </c>
      <c r="X48" s="55" t="n">
        <f aca="false">X8+X42</f>
        <v>2840.3</v>
      </c>
      <c r="Y48" s="55" t="n">
        <f aca="false">Y8+Y42</f>
        <v>217.048046382657</v>
      </c>
      <c r="Z48" s="55" t="n">
        <f aca="false">Z8+Z42</f>
        <v>3057.34804638266</v>
      </c>
      <c r="AA48" s="58" t="n">
        <f aca="false">AA8+AA42</f>
        <v>1.82</v>
      </c>
      <c r="AB48" s="59"/>
      <c r="AC48" s="59"/>
      <c r="AD48" s="60"/>
    </row>
    <row r="49" customFormat="false" ht="11.1" hidden="false" customHeight="true" outlineLevel="0" collapsed="false">
      <c r="A49" s="54" t="s">
        <v>54</v>
      </c>
      <c r="B49" s="54"/>
      <c r="C49" s="55"/>
      <c r="D49" s="55" t="n">
        <f aca="false">D8+D43</f>
        <v>1602</v>
      </c>
      <c r="E49" s="55" t="n">
        <f aca="false">E40</f>
        <v>67067</v>
      </c>
      <c r="F49" s="55" t="n">
        <f aca="false">F48*$D$2</f>
        <v>1602</v>
      </c>
      <c r="G49" s="55" t="n">
        <f aca="false">G48*$D$2</f>
        <v>6977.953</v>
      </c>
      <c r="H49" s="56" t="n">
        <f aca="false">H48*$D$2</f>
        <v>52.72143</v>
      </c>
      <c r="I49" s="55" t="n">
        <f aca="false">I48*$D$2</f>
        <v>7030.67443</v>
      </c>
      <c r="J49" s="55" t="n">
        <f aca="false">J48*$D$2</f>
        <v>635.57542</v>
      </c>
      <c r="K49" s="55" t="n">
        <f aca="false">K48*$D$2</f>
        <v>7666.24985</v>
      </c>
      <c r="L49" s="55" t="n">
        <f aca="false">L48*$D$2</f>
        <v>205.06062</v>
      </c>
      <c r="M49" s="55" t="n">
        <f aca="false">M48*$D$2</f>
        <v>633.33155</v>
      </c>
      <c r="N49" s="55" t="n">
        <f aca="false">N48*$D$2</f>
        <v>0</v>
      </c>
      <c r="O49" s="55" t="n">
        <f aca="false">O48*$D$2</f>
        <v>158.44892225</v>
      </c>
      <c r="P49" s="55" t="n">
        <f aca="false">P48*$D$2</f>
        <v>474.88262775</v>
      </c>
      <c r="Q49" s="55" t="n">
        <f aca="false">Q48*$D$2</f>
        <v>0</v>
      </c>
      <c r="R49" s="55" t="n">
        <f aca="false">R48*$D$2</f>
        <v>0</v>
      </c>
      <c r="S49" s="55" t="n">
        <f aca="false">S48*$D$2</f>
        <v>474.88262775</v>
      </c>
      <c r="T49" s="55" t="n">
        <f aca="false">T48*$D$2</f>
        <v>0</v>
      </c>
      <c r="U49" s="55" t="n">
        <f aca="false">U48*$D$2</f>
        <v>0</v>
      </c>
      <c r="V49" s="55" t="n">
        <f aca="false">V48*$D$2</f>
        <v>5000.4035</v>
      </c>
      <c r="W49" s="55" t="n">
        <f aca="false">W48*$D$2</f>
        <v>6916.4645</v>
      </c>
      <c r="X49" s="55" t="n">
        <f aca="false">X48*$D$2</f>
        <v>5633.73505</v>
      </c>
      <c r="Y49" s="55" t="n">
        <f aca="false">Y48*$D$2</f>
        <v>430.5148</v>
      </c>
      <c r="Z49" s="55" t="n">
        <f aca="false">Z48*$D$2</f>
        <v>6064.24985</v>
      </c>
      <c r="AA49" s="58"/>
      <c r="AB49" s="59"/>
      <c r="AC49" s="59"/>
      <c r="AD49" s="60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</row>
    <row r="51" customFormat="false" ht="11.1" hidden="false" customHeight="true" outlineLevel="0" collapsed="false">
      <c r="A51" s="54"/>
      <c r="B51" s="86"/>
      <c r="C51" s="55"/>
      <c r="D51" s="54"/>
      <c r="E51" s="55"/>
      <c r="F51" s="54"/>
      <c r="G51" s="54"/>
      <c r="H51" s="56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5"/>
      <c r="U51" s="54"/>
      <c r="V51" s="54"/>
      <c r="W51" s="55"/>
      <c r="X51" s="54"/>
      <c r="Y51" s="54"/>
      <c r="Z51" s="54"/>
      <c r="AA51" s="58"/>
      <c r="AB51" s="59"/>
      <c r="AC51" s="59"/>
      <c r="AD51" s="60"/>
    </row>
    <row r="52" customFormat="false" ht="11.1" hidden="false" customHeight="true" outlineLevel="0" collapsed="false">
      <c r="A52" s="54"/>
      <c r="B52" s="75"/>
      <c r="C52" s="55"/>
      <c r="D52" s="84"/>
      <c r="E52" s="55"/>
      <c r="F52" s="54"/>
      <c r="G52" s="54"/>
      <c r="H52" s="56"/>
      <c r="I52" s="87"/>
      <c r="J52" s="54"/>
      <c r="K52" s="45"/>
      <c r="L52" s="54"/>
      <c r="M52" s="54"/>
      <c r="N52" s="54"/>
      <c r="O52" s="54"/>
      <c r="P52" s="54"/>
      <c r="Q52" s="54"/>
      <c r="R52" s="54"/>
      <c r="S52" s="54"/>
      <c r="T52" s="55"/>
      <c r="U52" s="54"/>
      <c r="V52" s="54"/>
      <c r="W52" s="55"/>
      <c r="X52" s="54"/>
      <c r="Y52" s="54"/>
      <c r="Z52" s="54"/>
      <c r="AA52" s="58"/>
      <c r="AB52" s="59"/>
      <c r="AC52" s="59"/>
      <c r="AD52" s="60"/>
    </row>
    <row r="53" customFormat="false" ht="11.1" hidden="false" customHeight="true" outlineLevel="0" collapsed="false">
      <c r="A53" s="84"/>
      <c r="B53" s="84"/>
      <c r="C53" s="55"/>
      <c r="D53" s="55"/>
      <c r="E53" s="55"/>
      <c r="F53" s="84"/>
      <c r="G53" s="84"/>
      <c r="H53" s="56"/>
      <c r="I53" s="84"/>
      <c r="J53" s="84"/>
      <c r="K53" s="84"/>
      <c r="L53" s="84"/>
      <c r="M53" s="83"/>
      <c r="N53" s="83"/>
      <c r="O53" s="83"/>
      <c r="P53" s="83"/>
      <c r="Q53" s="84"/>
      <c r="R53" s="84"/>
      <c r="S53" s="84"/>
      <c r="T53" s="55"/>
      <c r="U53" s="84"/>
      <c r="V53" s="84"/>
      <c r="W53" s="55"/>
      <c r="X53" s="84"/>
      <c r="Y53" s="84"/>
      <c r="Z53" s="84"/>
      <c r="AA53" s="58"/>
      <c r="AB53" s="59"/>
      <c r="AC53" s="59"/>
      <c r="AD53" s="60"/>
    </row>
    <row r="54" customFormat="false" ht="11.1" hidden="false" customHeight="true" outlineLevel="0" collapsed="false">
      <c r="A54" s="84"/>
      <c r="B54" s="56"/>
      <c r="C54" s="55"/>
      <c r="D54" s="55"/>
      <c r="E54" s="55"/>
      <c r="F54" s="84"/>
      <c r="G54" s="84"/>
      <c r="H54" s="56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5"/>
      <c r="T54" s="84"/>
      <c r="U54" s="84"/>
      <c r="V54" s="55"/>
      <c r="W54" s="84"/>
      <c r="X54" s="84"/>
      <c r="Y54" s="84"/>
      <c r="Z54" s="56"/>
      <c r="AA54" s="58"/>
      <c r="AB54" s="59"/>
      <c r="AC54" s="60"/>
    </row>
    <row r="55" customFormat="false" ht="11.1" hidden="false" customHeight="true" outlineLevel="0" collapsed="false">
      <c r="A55" s="84"/>
      <c r="B55" s="84"/>
      <c r="C55" s="55"/>
      <c r="D55" s="84"/>
      <c r="E55" s="55"/>
      <c r="F55" s="84"/>
      <c r="G55" s="88"/>
      <c r="H55" s="56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5"/>
      <c r="T55" s="84"/>
      <c r="U55" s="84"/>
      <c r="V55" s="55"/>
      <c r="W55" s="84"/>
      <c r="X55" s="84"/>
      <c r="Y55" s="84"/>
      <c r="Z55" s="56"/>
      <c r="AA55" s="58"/>
      <c r="AB55" s="59"/>
      <c r="AC55" s="6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7" width="5.66"/>
    <col collapsed="false" customWidth="true" hidden="false" outlineLevel="0" max="2" min="2" style="47" width="7.82"/>
    <col collapsed="false" customWidth="true" hidden="false" outlineLevel="0" max="3" min="3" style="48" width="7.66"/>
    <col collapsed="false" customWidth="true" hidden="false" outlineLevel="0" max="4" min="4" style="47" width="6.99"/>
    <col collapsed="false" customWidth="true" hidden="false" outlineLevel="0" max="5" min="5" style="48" width="7.66"/>
    <col collapsed="false" customWidth="true" hidden="false" outlineLevel="0" max="6" min="6" style="47" width="7.66"/>
    <col collapsed="false" customWidth="true" hidden="false" outlineLevel="0" max="7" min="7" style="47" width="7.16"/>
    <col collapsed="false" customWidth="true" hidden="false" outlineLevel="0" max="8" min="8" style="51" width="6.66"/>
    <col collapsed="false" customWidth="true" hidden="false" outlineLevel="0" max="9" min="9" style="47" width="7.99"/>
    <col collapsed="false" customWidth="true" hidden="false" outlineLevel="0" max="10" min="10" style="47" width="6.66"/>
    <col collapsed="false" customWidth="true" hidden="false" outlineLevel="0" max="12" min="11" style="47" width="7.16"/>
    <col collapsed="false" customWidth="true" hidden="false" outlineLevel="0" max="13" min="13" style="89" width="6.16"/>
    <col collapsed="false" customWidth="true" hidden="false" outlineLevel="0" max="14" min="14" style="50" width="7.32"/>
    <col collapsed="false" customWidth="true" hidden="false" outlineLevel="0" max="15" min="15" style="50" width="6.49"/>
    <col collapsed="false" customWidth="true" hidden="false" outlineLevel="0" max="16" min="16" style="47" width="7.16"/>
    <col collapsed="false" customWidth="true" hidden="false" outlineLevel="0" max="17" min="17" style="47" width="6.32"/>
    <col collapsed="false" customWidth="true" hidden="false" outlineLevel="0" max="18" min="18" style="47" width="5.82"/>
    <col collapsed="false" customWidth="true" hidden="false" outlineLevel="0" max="19" min="19" style="48" width="6.82"/>
    <col collapsed="false" customWidth="true" hidden="false" outlineLevel="0" max="20" min="20" style="47" width="7.66"/>
    <col collapsed="false" customWidth="true" hidden="false" outlineLevel="0" max="21" min="21" style="47" width="5.99"/>
    <col collapsed="false" customWidth="true" hidden="false" outlineLevel="0" max="22" min="22" style="48" width="6.66"/>
    <col collapsed="false" customWidth="true" hidden="false" outlineLevel="0" max="23" min="23" style="47" width="7.66"/>
    <col collapsed="false" customWidth="true" hidden="false" outlineLevel="0" max="25" min="24" style="47" width="7.82"/>
    <col collapsed="false" customWidth="true" hidden="false" outlineLevel="0" max="26" min="26" style="49" width="8.16"/>
    <col collapsed="false" customWidth="true" hidden="false" outlineLevel="0" max="27" min="27" style="51" width="4.66"/>
    <col collapsed="false" customWidth="true" hidden="false" outlineLevel="0" max="28" min="28" style="52" width="4.66"/>
    <col collapsed="false" customWidth="true" hidden="false" outlineLevel="0" max="29" min="29" style="53" width="4.66"/>
    <col collapsed="false" customWidth="true" hidden="false" outlineLevel="0" max="30" min="30" style="47" width="5.66"/>
    <col collapsed="false" customWidth="false" hidden="false" outlineLevel="0" max="257" min="31" style="47" width="9.32"/>
  </cols>
  <sheetData>
    <row r="1" customFormat="false" ht="14.1" hidden="false" customHeight="true" outlineLevel="0" collapsed="false">
      <c r="A1" s="54"/>
      <c r="B1" s="54"/>
      <c r="C1" s="55"/>
      <c r="D1" s="54"/>
      <c r="E1" s="55"/>
      <c r="F1" s="54"/>
      <c r="G1" s="54"/>
      <c r="H1" s="58"/>
      <c r="I1" s="54"/>
      <c r="J1" s="54"/>
      <c r="K1" s="57" t="s">
        <v>0</v>
      </c>
      <c r="L1" s="54"/>
      <c r="M1" s="90"/>
      <c r="N1" s="54"/>
      <c r="O1" s="54"/>
      <c r="P1" s="54"/>
      <c r="Q1" s="54"/>
      <c r="R1" s="54"/>
      <c r="S1" s="55"/>
      <c r="T1" s="54"/>
      <c r="U1" s="54"/>
      <c r="V1" s="55"/>
      <c r="W1" s="54"/>
      <c r="X1" s="54"/>
      <c r="Y1" s="54"/>
      <c r="Z1" s="56"/>
      <c r="AA1" s="58"/>
      <c r="AB1" s="59"/>
      <c r="AC1" s="60"/>
      <c r="AD1" s="91"/>
      <c r="AE1" s="91"/>
    </row>
    <row r="2" customFormat="false" ht="14.1" hidden="false" customHeight="true" outlineLevel="0" collapsed="false">
      <c r="A2" s="54" t="s">
        <v>1</v>
      </c>
      <c r="B2" s="54"/>
      <c r="C2" s="55"/>
      <c r="D2" s="61" t="n">
        <v>1.9835</v>
      </c>
      <c r="E2" s="55"/>
      <c r="F2" s="54"/>
      <c r="G2" s="54"/>
      <c r="H2" s="58"/>
      <c r="I2" s="54"/>
      <c r="J2" s="54"/>
      <c r="K2" s="62" t="s">
        <v>57</v>
      </c>
      <c r="L2" s="62"/>
      <c r="M2" s="62"/>
      <c r="N2" s="62"/>
      <c r="O2" s="62"/>
      <c r="P2" s="62"/>
      <c r="Q2" s="62"/>
      <c r="R2" s="62"/>
      <c r="S2" s="62"/>
      <c r="T2" s="62"/>
      <c r="U2" s="54"/>
      <c r="V2" s="55"/>
      <c r="W2" s="54"/>
      <c r="X2" s="54"/>
      <c r="Y2" s="54"/>
      <c r="Z2" s="56"/>
      <c r="AA2" s="58"/>
      <c r="AB2" s="59"/>
      <c r="AC2" s="60"/>
      <c r="AD2" s="91"/>
      <c r="AE2" s="91"/>
    </row>
    <row r="3" customFormat="false" ht="11.1" hidden="false" customHeight="true" outlineLevel="0" collapsed="false">
      <c r="A3" s="54"/>
      <c r="B3" s="54"/>
      <c r="C3" s="55"/>
      <c r="D3" s="63"/>
      <c r="E3" s="55"/>
      <c r="F3" s="54"/>
      <c r="G3" s="54"/>
      <c r="H3" s="58"/>
      <c r="I3" s="54"/>
      <c r="J3" s="54"/>
      <c r="K3" s="54"/>
      <c r="L3" s="54"/>
      <c r="M3" s="90"/>
      <c r="N3" s="54"/>
      <c r="O3" s="54"/>
      <c r="P3" s="54"/>
      <c r="Q3" s="54"/>
      <c r="R3" s="54"/>
      <c r="S3" s="55"/>
      <c r="T3" s="54"/>
      <c r="U3" s="54"/>
      <c r="V3" s="55"/>
      <c r="W3" s="54"/>
      <c r="X3" s="54"/>
      <c r="Y3" s="54"/>
      <c r="Z3" s="56"/>
      <c r="AA3" s="58"/>
      <c r="AB3" s="59"/>
      <c r="AC3" s="60"/>
      <c r="AD3" s="91"/>
      <c r="AE3" s="91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92" t="s">
        <v>13</v>
      </c>
      <c r="N4" s="92"/>
      <c r="O4" s="92"/>
      <c r="P4" s="92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1"/>
      <c r="AF4" s="91"/>
    </row>
    <row r="5" customFormat="false" ht="11.1" hidden="false" customHeight="true" outlineLevel="0" collapsed="false">
      <c r="A5" s="69" t="s">
        <v>58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92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58</v>
      </c>
      <c r="AE5" s="91"/>
      <c r="AF5" s="91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3"/>
      <c r="I6" s="72"/>
      <c r="J6" s="72"/>
      <c r="K6" s="72"/>
      <c r="L6" s="72"/>
      <c r="M6" s="94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5"/>
      <c r="AF6" s="95"/>
      <c r="AG6" s="96"/>
    </row>
    <row r="7" customFormat="false" ht="11.1" hidden="false" customHeight="true" outlineLevel="0" collapsed="false">
      <c r="A7" s="54" t="s">
        <v>44</v>
      </c>
      <c r="B7" s="54"/>
      <c r="C7" s="55"/>
      <c r="D7" s="55"/>
      <c r="E7" s="55"/>
      <c r="F7" s="55"/>
      <c r="G7" s="55"/>
      <c r="H7" s="58"/>
      <c r="I7" s="55"/>
      <c r="J7" s="55"/>
      <c r="K7" s="55"/>
      <c r="L7" s="55"/>
      <c r="M7" s="90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8"/>
      <c r="AB7" s="59"/>
      <c r="AC7" s="59"/>
      <c r="AD7" s="60"/>
      <c r="AE7" s="95"/>
      <c r="AF7" s="96"/>
      <c r="AG7" s="96"/>
    </row>
    <row r="8" s="48" customFormat="true" ht="11.1" hidden="false" customHeight="true" outlineLevel="0" collapsed="false">
      <c r="A8" s="55" t="s">
        <v>45</v>
      </c>
      <c r="B8" s="75" t="n">
        <f aca="false">DEC!B40</f>
        <v>6880.96</v>
      </c>
      <c r="C8" s="55" t="n">
        <f aca="false">DEC!C40</f>
        <v>219067</v>
      </c>
      <c r="D8" s="55" t="n">
        <f aca="false">DEC!$D$49</f>
        <v>1602</v>
      </c>
      <c r="E8" s="55" t="n">
        <f aca="false">DEC!$E$40</f>
        <v>67067</v>
      </c>
      <c r="F8" s="55" t="n">
        <f aca="false">DEC!F48</f>
        <v>807.663221578019</v>
      </c>
      <c r="G8" s="55" t="n">
        <f aca="false">DEC!G48</f>
        <v>3518</v>
      </c>
      <c r="H8" s="58" t="n">
        <f aca="false">DEC!H48</f>
        <v>26.58</v>
      </c>
      <c r="I8" s="55" t="n">
        <f aca="false">DEC!I48</f>
        <v>3544.58</v>
      </c>
      <c r="J8" s="55" t="n">
        <f aca="false">DEC!J48</f>
        <v>320.431267960675</v>
      </c>
      <c r="K8" s="55" t="n">
        <f aca="false">DEC!K48</f>
        <v>3865.01126796068</v>
      </c>
      <c r="L8" s="55" t="n">
        <f aca="false">DEC!L48</f>
        <v>103.383221578019</v>
      </c>
      <c r="M8" s="90" t="n">
        <f aca="false">DEC!M48</f>
        <v>319.3</v>
      </c>
      <c r="N8" s="55" t="n">
        <f aca="false">DEC!N48</f>
        <v>0</v>
      </c>
      <c r="O8" s="55" t="n">
        <f aca="false">DEC!O48</f>
        <v>79.8835</v>
      </c>
      <c r="P8" s="55" t="n">
        <f aca="false">DEC!P48</f>
        <v>239.4165</v>
      </c>
      <c r="Q8" s="55" t="n">
        <f aca="false">DEC!Q48</f>
        <v>0</v>
      </c>
      <c r="R8" s="55" t="n">
        <f aca="false">DEC!R48</f>
        <v>0</v>
      </c>
      <c r="S8" s="55" t="n">
        <f aca="false">DEC!S48</f>
        <v>239.4165</v>
      </c>
      <c r="T8" s="55" t="n">
        <f aca="false">DEC!T48</f>
        <v>0</v>
      </c>
      <c r="U8" s="55" t="n">
        <f aca="false">DEC!U48</f>
        <v>0</v>
      </c>
      <c r="V8" s="55" t="n">
        <f aca="false">DEC!V48</f>
        <v>2521</v>
      </c>
      <c r="W8" s="55" t="n">
        <f aca="false">DEC!W48</f>
        <v>3487</v>
      </c>
      <c r="X8" s="55" t="n">
        <f aca="false">DEC!X48</f>
        <v>2840.3</v>
      </c>
      <c r="Y8" s="55" t="n">
        <f aca="false">DEC!Y48</f>
        <v>217.048046382657</v>
      </c>
      <c r="Z8" s="55" t="n">
        <f aca="false">DEC!Z48</f>
        <v>3057.34804638266</v>
      </c>
      <c r="AA8" s="58" t="n">
        <f aca="false">DEC!AA48</f>
        <v>1.82</v>
      </c>
      <c r="AB8" s="59"/>
      <c r="AC8" s="59"/>
      <c r="AD8" s="60"/>
      <c r="AE8" s="97"/>
      <c r="AF8" s="95"/>
      <c r="AG8" s="97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98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5"/>
      <c r="AF9" s="95"/>
      <c r="AG9" s="96"/>
    </row>
    <row r="10" customFormat="false" ht="11.1" hidden="false" customHeight="true" outlineLevel="0" collapsed="false">
      <c r="A10" s="60" t="n">
        <v>1</v>
      </c>
      <c r="B10" s="75" t="n">
        <v>6880.96</v>
      </c>
      <c r="C10" s="55" t="n">
        <v>219067</v>
      </c>
      <c r="D10" s="59" t="n">
        <f aca="false">C10-C8</f>
        <v>0</v>
      </c>
      <c r="E10" s="55" t="n">
        <f aca="false">C10-152000</f>
        <v>67067</v>
      </c>
      <c r="F10" s="54" t="n">
        <f aca="false">D10/$D$2</f>
        <v>0</v>
      </c>
      <c r="G10" s="54" t="n">
        <v>42</v>
      </c>
      <c r="H10" s="58" t="n">
        <v>0.69</v>
      </c>
      <c r="I10" s="54" t="n">
        <f aca="false">G10+H10</f>
        <v>42.69</v>
      </c>
      <c r="J10" s="83" t="n">
        <f aca="false">IF(L10&gt;0,L10,0)</f>
        <v>4.11</v>
      </c>
      <c r="K10" s="54" t="n">
        <f aca="false">I10+J10</f>
        <v>46.8</v>
      </c>
      <c r="L10" s="54" t="n">
        <f aca="false">F10-(I10-X10)</f>
        <v>4.11</v>
      </c>
      <c r="M10" s="90" t="n">
        <v>4.8</v>
      </c>
      <c r="N10" s="54" t="n">
        <v>0</v>
      </c>
      <c r="O10" s="54" t="n">
        <v>0</v>
      </c>
      <c r="P10" s="7" t="n">
        <f aca="false">M10-(N10+O10)</f>
        <v>4.8</v>
      </c>
      <c r="Q10" s="54" t="n">
        <v>0</v>
      </c>
      <c r="R10" s="54" t="n">
        <v>0</v>
      </c>
      <c r="S10" s="54" t="n">
        <f aca="false">SUM(P10:R10)</f>
        <v>4.8</v>
      </c>
      <c r="T10" s="55"/>
      <c r="U10" s="54" t="n">
        <v>0</v>
      </c>
      <c r="V10" s="54" t="n">
        <v>42</v>
      </c>
      <c r="W10" s="55" t="n">
        <f aca="false">W8-V10</f>
        <v>3445</v>
      </c>
      <c r="X10" s="7" t="n">
        <f aca="false">N10+O10+S10+U10+V10</f>
        <v>46.8</v>
      </c>
      <c r="Y10" s="54" t="n">
        <f aca="false">IF(L10&lt;0,L10*-1,0)</f>
        <v>0</v>
      </c>
      <c r="Z10" s="54" t="n">
        <f aca="false">X10+Y10</f>
        <v>46.8</v>
      </c>
      <c r="AA10" s="58" t="n">
        <v>0</v>
      </c>
      <c r="AB10" s="59" t="n">
        <v>45</v>
      </c>
      <c r="AC10" s="59" t="n">
        <v>20</v>
      </c>
      <c r="AD10" s="60" t="n">
        <v>1</v>
      </c>
      <c r="AE10" s="96"/>
      <c r="AF10" s="97"/>
      <c r="AG10" s="96"/>
    </row>
    <row r="11" customFormat="false" ht="11.1" hidden="false" customHeight="true" outlineLevel="0" collapsed="false">
      <c r="A11" s="60" t="n">
        <f aca="false">A10+1</f>
        <v>2</v>
      </c>
      <c r="B11" s="75" t="n">
        <v>6880.96</v>
      </c>
      <c r="C11" s="55" t="n">
        <v>219067</v>
      </c>
      <c r="D11" s="59" t="n">
        <f aca="false">C11-C10</f>
        <v>0</v>
      </c>
      <c r="E11" s="55" t="n">
        <f aca="false">C11-152000</f>
        <v>67067</v>
      </c>
      <c r="F11" s="54" t="n">
        <f aca="false">D11/$D$2</f>
        <v>0</v>
      </c>
      <c r="G11" s="54" t="n">
        <v>42</v>
      </c>
      <c r="H11" s="58" t="n">
        <v>0.65</v>
      </c>
      <c r="I11" s="54" t="n">
        <f aca="false">G11+H11</f>
        <v>42.65</v>
      </c>
      <c r="J11" s="83" t="n">
        <f aca="false">IF(L11&gt;0,L11,0)</f>
        <v>4.15</v>
      </c>
      <c r="K11" s="54" t="n">
        <f aca="false">I11+J11</f>
        <v>46.8</v>
      </c>
      <c r="L11" s="54" t="n">
        <f aca="false">F11-(I11-X11)</f>
        <v>4.15</v>
      </c>
      <c r="M11" s="90" t="n">
        <v>4.8</v>
      </c>
      <c r="N11" s="54" t="n">
        <v>0</v>
      </c>
      <c r="O11" s="54" t="n">
        <v>0</v>
      </c>
      <c r="P11" s="7" t="n">
        <f aca="false">M11-(N11+O11)</f>
        <v>4.8</v>
      </c>
      <c r="Q11" s="54" t="n">
        <v>0</v>
      </c>
      <c r="R11" s="54" t="n">
        <v>0</v>
      </c>
      <c r="S11" s="54" t="n">
        <f aca="false">SUM(P11:R11)</f>
        <v>4.8</v>
      </c>
      <c r="T11" s="55"/>
      <c r="U11" s="54" t="n">
        <v>0</v>
      </c>
      <c r="V11" s="54" t="n">
        <v>42</v>
      </c>
      <c r="W11" s="55" t="n">
        <f aca="false">W10-V11</f>
        <v>3403</v>
      </c>
      <c r="X11" s="7" t="n">
        <f aca="false">N11+O11+S11+U11+V11</f>
        <v>46.8</v>
      </c>
      <c r="Y11" s="54" t="n">
        <f aca="false">IF(L11&lt;0,L11*-1,0)</f>
        <v>0</v>
      </c>
      <c r="Z11" s="54" t="n">
        <f aca="false">X11+Y11</f>
        <v>46.8</v>
      </c>
      <c r="AA11" s="58" t="n">
        <v>0</v>
      </c>
      <c r="AB11" s="59" t="n">
        <v>46</v>
      </c>
      <c r="AC11" s="59" t="n">
        <v>18</v>
      </c>
      <c r="AD11" s="60" t="n">
        <f aca="false">AD10+1</f>
        <v>2</v>
      </c>
      <c r="AE11" s="96"/>
      <c r="AF11" s="97"/>
      <c r="AG11" s="96"/>
    </row>
    <row r="12" customFormat="false" ht="11.1" hidden="false" customHeight="true" outlineLevel="0" collapsed="false">
      <c r="A12" s="60" t="n">
        <f aca="false">A11+1</f>
        <v>3</v>
      </c>
      <c r="B12" s="75" t="n">
        <v>6880.96</v>
      </c>
      <c r="C12" s="55" t="n">
        <v>219067</v>
      </c>
      <c r="D12" s="59" t="n">
        <f aca="false">C12-C11</f>
        <v>0</v>
      </c>
      <c r="E12" s="55" t="n">
        <f aca="false">C12-152000</f>
        <v>67067</v>
      </c>
      <c r="F12" s="54" t="n">
        <f aca="false">D12/$D$2</f>
        <v>0</v>
      </c>
      <c r="G12" s="54" t="n">
        <v>42</v>
      </c>
      <c r="H12" s="58" t="n">
        <v>0.62</v>
      </c>
      <c r="I12" s="54" t="n">
        <f aca="false">G12+H12</f>
        <v>42.62</v>
      </c>
      <c r="J12" s="83" t="n">
        <f aca="false">IF(L12&gt;0,L12,0)</f>
        <v>4.18</v>
      </c>
      <c r="K12" s="54" t="n">
        <f aca="false">I12+J12</f>
        <v>46.8</v>
      </c>
      <c r="L12" s="54" t="n">
        <f aca="false">F12-(I12-X12)</f>
        <v>4.18</v>
      </c>
      <c r="M12" s="90" t="n">
        <v>4.8</v>
      </c>
      <c r="N12" s="54" t="n">
        <v>0</v>
      </c>
      <c r="O12" s="54" t="n">
        <v>0</v>
      </c>
      <c r="P12" s="7" t="n">
        <f aca="false">M12-(N12+O12)</f>
        <v>4.8</v>
      </c>
      <c r="Q12" s="54" t="n">
        <v>0</v>
      </c>
      <c r="R12" s="54" t="n">
        <v>0</v>
      </c>
      <c r="S12" s="54" t="n">
        <f aca="false">SUM(P12:R12)</f>
        <v>4.8</v>
      </c>
      <c r="T12" s="55"/>
      <c r="U12" s="54" t="n">
        <v>0</v>
      </c>
      <c r="V12" s="54" t="n">
        <v>42</v>
      </c>
      <c r="W12" s="55" t="n">
        <f aca="false">W11-V12</f>
        <v>3361</v>
      </c>
      <c r="X12" s="7" t="n">
        <f aca="false">N12+O12+S12+U12+V12</f>
        <v>46.8</v>
      </c>
      <c r="Y12" s="54" t="n">
        <f aca="false">IF(L12&lt;0,L12*-1,0)</f>
        <v>0</v>
      </c>
      <c r="Z12" s="54" t="n">
        <f aca="false">X12+Y12</f>
        <v>46.8</v>
      </c>
      <c r="AA12" s="58" t="n">
        <v>0</v>
      </c>
      <c r="AB12" s="59" t="n">
        <v>48</v>
      </c>
      <c r="AC12" s="59" t="n">
        <v>20</v>
      </c>
      <c r="AD12" s="60" t="n">
        <f aca="false">AD11+1</f>
        <v>3</v>
      </c>
      <c r="AE12" s="96"/>
      <c r="AF12" s="97"/>
      <c r="AG12" s="96"/>
    </row>
    <row r="13" customFormat="false" ht="11.1" hidden="false" customHeight="true" outlineLevel="0" collapsed="false">
      <c r="A13" s="60" t="n">
        <f aca="false">A12+1</f>
        <v>4</v>
      </c>
      <c r="B13" s="75" t="n">
        <v>6880.96</v>
      </c>
      <c r="C13" s="55" t="n">
        <v>219067</v>
      </c>
      <c r="D13" s="59" t="n">
        <f aca="false">C13-C12</f>
        <v>0</v>
      </c>
      <c r="E13" s="55" t="n">
        <f aca="false">C13-152000</f>
        <v>67067</v>
      </c>
      <c r="F13" s="54" t="n">
        <f aca="false">D13/$D$2</f>
        <v>0</v>
      </c>
      <c r="G13" s="54" t="n">
        <v>43</v>
      </c>
      <c r="H13" s="58" t="n">
        <v>0.59</v>
      </c>
      <c r="I13" s="54" t="n">
        <f aca="false">G13+H13</f>
        <v>43.59</v>
      </c>
      <c r="J13" s="83" t="n">
        <f aca="false">IF(L13&gt;0,L13,0)</f>
        <v>3.20999999999999</v>
      </c>
      <c r="K13" s="54" t="n">
        <f aca="false">I13+J13</f>
        <v>46.8</v>
      </c>
      <c r="L13" s="54" t="n">
        <f aca="false">F13-(I13-X13)</f>
        <v>3.20999999999999</v>
      </c>
      <c r="M13" s="90" t="n">
        <v>4.8</v>
      </c>
      <c r="N13" s="54" t="n">
        <v>0</v>
      </c>
      <c r="O13" s="54" t="n">
        <v>0</v>
      </c>
      <c r="P13" s="7" t="n">
        <f aca="false">M13-(N13+O13)</f>
        <v>4.8</v>
      </c>
      <c r="Q13" s="54" t="n">
        <v>0</v>
      </c>
      <c r="R13" s="54" t="n">
        <v>0</v>
      </c>
      <c r="S13" s="54" t="n">
        <f aca="false">SUM(P13:R13)</f>
        <v>4.8</v>
      </c>
      <c r="T13" s="55"/>
      <c r="U13" s="54" t="n">
        <v>0</v>
      </c>
      <c r="V13" s="54" t="n">
        <v>42</v>
      </c>
      <c r="W13" s="55" t="n">
        <f aca="false">W12-V13</f>
        <v>3319</v>
      </c>
      <c r="X13" s="7" t="n">
        <f aca="false">N13+O13+S13+U13+V13</f>
        <v>46.8</v>
      </c>
      <c r="Y13" s="54" t="n">
        <f aca="false">IF(L13&lt;0,L13*-1,0)</f>
        <v>0</v>
      </c>
      <c r="Z13" s="54" t="n">
        <f aca="false">X13+Y13</f>
        <v>46.8</v>
      </c>
      <c r="AA13" s="58" t="n">
        <v>0</v>
      </c>
      <c r="AB13" s="59" t="n">
        <v>48</v>
      </c>
      <c r="AC13" s="59" t="n">
        <v>22</v>
      </c>
      <c r="AD13" s="60" t="n">
        <f aca="false">AD12+1</f>
        <v>4</v>
      </c>
      <c r="AE13" s="96"/>
      <c r="AF13" s="97"/>
      <c r="AG13" s="96"/>
    </row>
    <row r="14" customFormat="false" ht="11.1" hidden="false" customHeight="true" outlineLevel="0" collapsed="false">
      <c r="A14" s="60" t="n">
        <f aca="false">A13+1</f>
        <v>5</v>
      </c>
      <c r="B14" s="75" t="n">
        <v>6880.96</v>
      </c>
      <c r="C14" s="55" t="n">
        <v>219067</v>
      </c>
      <c r="D14" s="59" t="n">
        <f aca="false">C14-C13</f>
        <v>0</v>
      </c>
      <c r="E14" s="55" t="n">
        <f aca="false">C14-152000</f>
        <v>67067</v>
      </c>
      <c r="F14" s="54" t="n">
        <f aca="false">D14/$D$2</f>
        <v>0</v>
      </c>
      <c r="G14" s="54" t="n">
        <v>43</v>
      </c>
      <c r="H14" s="58" t="n">
        <v>0.65</v>
      </c>
      <c r="I14" s="54" t="n">
        <f aca="false">G14+H14</f>
        <v>43.65</v>
      </c>
      <c r="J14" s="83" t="n">
        <f aca="false">IF(L14&gt;0,L14,0)</f>
        <v>3.15</v>
      </c>
      <c r="K14" s="54" t="n">
        <f aca="false">I14+J14</f>
        <v>46.8</v>
      </c>
      <c r="L14" s="54" t="n">
        <f aca="false">F14-(I14-X14)</f>
        <v>3.15</v>
      </c>
      <c r="M14" s="90" t="n">
        <v>4.8</v>
      </c>
      <c r="N14" s="54" t="n">
        <v>0</v>
      </c>
      <c r="O14" s="54" t="n">
        <v>0</v>
      </c>
      <c r="P14" s="7" t="n">
        <f aca="false">M14-(N14+O14)</f>
        <v>4.8</v>
      </c>
      <c r="Q14" s="54" t="n">
        <v>0</v>
      </c>
      <c r="R14" s="54" t="n">
        <v>0</v>
      </c>
      <c r="S14" s="54" t="n">
        <f aca="false">SUM(P14:R14)</f>
        <v>4.8</v>
      </c>
      <c r="T14" s="55"/>
      <c r="U14" s="54" t="n">
        <v>0</v>
      </c>
      <c r="V14" s="54" t="n">
        <v>42</v>
      </c>
      <c r="W14" s="55" t="n">
        <f aca="false">W13-V14</f>
        <v>3277</v>
      </c>
      <c r="X14" s="7" t="n">
        <f aca="false">N14+O14+S14+U14+V14</f>
        <v>46.8</v>
      </c>
      <c r="Y14" s="54" t="n">
        <f aca="false">IF(L14&lt;0,L14*-1,0)</f>
        <v>0</v>
      </c>
      <c r="Z14" s="54" t="n">
        <f aca="false">X14+Y14</f>
        <v>46.8</v>
      </c>
      <c r="AA14" s="58" t="n">
        <v>0</v>
      </c>
      <c r="AB14" s="59" t="n">
        <v>53</v>
      </c>
      <c r="AC14" s="59" t="n">
        <v>22</v>
      </c>
      <c r="AD14" s="60" t="n">
        <f aca="false">AD13+1</f>
        <v>5</v>
      </c>
      <c r="AE14" s="96"/>
      <c r="AF14" s="97"/>
      <c r="AG14" s="96"/>
    </row>
    <row r="15" customFormat="false" ht="11.1" hidden="false" customHeight="true" outlineLevel="0" collapsed="false">
      <c r="A15" s="60" t="n">
        <f aca="false">A14+1</f>
        <v>6</v>
      </c>
      <c r="B15" s="75" t="n">
        <v>6880.96</v>
      </c>
      <c r="C15" s="55" t="n">
        <v>219067</v>
      </c>
      <c r="D15" s="59" t="n">
        <f aca="false">C15-C14</f>
        <v>0</v>
      </c>
      <c r="E15" s="55" t="n">
        <f aca="false">C15-152000</f>
        <v>67067</v>
      </c>
      <c r="F15" s="54" t="n">
        <f aca="false">D15/$D$2</f>
        <v>0</v>
      </c>
      <c r="G15" s="54" t="n">
        <v>43</v>
      </c>
      <c r="H15" s="58" t="n">
        <v>0.67</v>
      </c>
      <c r="I15" s="54" t="n">
        <f aca="false">G15+H15</f>
        <v>43.67</v>
      </c>
      <c r="J15" s="83" t="n">
        <f aca="false">IF(L15&gt;0,L15,0)</f>
        <v>3.13</v>
      </c>
      <c r="K15" s="54" t="n">
        <f aca="false">I15+J15</f>
        <v>46.8</v>
      </c>
      <c r="L15" s="54" t="n">
        <f aca="false">F15-(I15-X15)</f>
        <v>3.13</v>
      </c>
      <c r="M15" s="90" t="n">
        <v>4.8</v>
      </c>
      <c r="N15" s="54" t="n">
        <v>0</v>
      </c>
      <c r="O15" s="54" t="n">
        <v>0</v>
      </c>
      <c r="P15" s="7" t="n">
        <f aca="false">M15-(N15+O15)</f>
        <v>4.8</v>
      </c>
      <c r="Q15" s="54" t="n">
        <v>0</v>
      </c>
      <c r="R15" s="54" t="n">
        <v>0</v>
      </c>
      <c r="S15" s="54" t="n">
        <f aca="false">SUM(P15:R15)</f>
        <v>4.8</v>
      </c>
      <c r="T15" s="55"/>
      <c r="U15" s="54" t="n">
        <v>0</v>
      </c>
      <c r="V15" s="54" t="n">
        <v>42</v>
      </c>
      <c r="W15" s="55" t="n">
        <f aca="false">W14-V15</f>
        <v>3235</v>
      </c>
      <c r="X15" s="7" t="n">
        <f aca="false">N15+O15+S15+U15+V15</f>
        <v>46.8</v>
      </c>
      <c r="Y15" s="54" t="n">
        <f aca="false">IF(L15&lt;0,L15*-1,0)</f>
        <v>0</v>
      </c>
      <c r="Z15" s="54" t="n">
        <f aca="false">X15+Y15</f>
        <v>46.8</v>
      </c>
      <c r="AA15" s="58" t="n">
        <v>0</v>
      </c>
      <c r="AB15" s="59" t="n">
        <v>50</v>
      </c>
      <c r="AC15" s="59" t="n">
        <v>24</v>
      </c>
      <c r="AD15" s="60" t="n">
        <f aca="false">AD14+1</f>
        <v>6</v>
      </c>
      <c r="AE15" s="95"/>
      <c r="AF15" s="97"/>
      <c r="AG15" s="96"/>
    </row>
    <row r="16" customFormat="false" ht="11.1" hidden="false" customHeight="true" outlineLevel="0" collapsed="false">
      <c r="A16" s="60" t="n">
        <f aca="false">A15+1</f>
        <v>7</v>
      </c>
      <c r="B16" s="75" t="n">
        <v>6880.96</v>
      </c>
      <c r="C16" s="55" t="n">
        <v>219067</v>
      </c>
      <c r="D16" s="59" t="n">
        <f aca="false">C16-C15</f>
        <v>0</v>
      </c>
      <c r="E16" s="55" t="n">
        <f aca="false">C16-152000</f>
        <v>67067</v>
      </c>
      <c r="F16" s="54" t="n">
        <f aca="false">D16/$D$2</f>
        <v>0</v>
      </c>
      <c r="G16" s="54" t="n">
        <v>43</v>
      </c>
      <c r="H16" s="58" t="n">
        <v>0.66</v>
      </c>
      <c r="I16" s="54" t="n">
        <f aca="false">G16+H16</f>
        <v>43.66</v>
      </c>
      <c r="J16" s="83" t="n">
        <f aca="false">IF(L16&gt;0,L16,0)</f>
        <v>3.14</v>
      </c>
      <c r="K16" s="54" t="n">
        <f aca="false">I16+J16</f>
        <v>46.8</v>
      </c>
      <c r="L16" s="54" t="n">
        <f aca="false">F16-(I16-X16)</f>
        <v>3.14</v>
      </c>
      <c r="M16" s="90" t="n">
        <v>4.8</v>
      </c>
      <c r="N16" s="54" t="n">
        <v>0</v>
      </c>
      <c r="O16" s="54" t="n">
        <v>0</v>
      </c>
      <c r="P16" s="7" t="n">
        <f aca="false">M16-(N16+O16)</f>
        <v>4.8</v>
      </c>
      <c r="Q16" s="54" t="n">
        <v>0</v>
      </c>
      <c r="R16" s="54" t="n">
        <v>0</v>
      </c>
      <c r="S16" s="54" t="n">
        <f aca="false">SUM(P16:R16)</f>
        <v>4.8</v>
      </c>
      <c r="T16" s="55"/>
      <c r="U16" s="54" t="n">
        <v>0</v>
      </c>
      <c r="V16" s="54" t="n">
        <v>42</v>
      </c>
      <c r="W16" s="55" t="n">
        <f aca="false">W15-V16</f>
        <v>3193</v>
      </c>
      <c r="X16" s="7" t="n">
        <f aca="false">N16+O16+S16+U16+V16</f>
        <v>46.8</v>
      </c>
      <c r="Y16" s="54" t="n">
        <f aca="false">IF(L16&lt;0,L16*-1,0)</f>
        <v>0</v>
      </c>
      <c r="Z16" s="54" t="n">
        <f aca="false">X16+Y16</f>
        <v>46.8</v>
      </c>
      <c r="AA16" s="58" t="n">
        <v>0</v>
      </c>
      <c r="AB16" s="59" t="n">
        <v>50</v>
      </c>
      <c r="AC16" s="59" t="n">
        <v>23</v>
      </c>
      <c r="AD16" s="60" t="n">
        <f aca="false">AD15+1</f>
        <v>7</v>
      </c>
      <c r="AE16" s="95"/>
      <c r="AF16" s="97"/>
      <c r="AG16" s="96"/>
    </row>
    <row r="17" customFormat="false" ht="11.1" hidden="false" customHeight="true" outlineLevel="0" collapsed="false">
      <c r="A17" s="60" t="n">
        <f aca="false">A16+1</f>
        <v>8</v>
      </c>
      <c r="B17" s="75" t="n">
        <v>6880.96</v>
      </c>
      <c r="C17" s="55" t="n">
        <v>219067</v>
      </c>
      <c r="D17" s="59" t="n">
        <f aca="false">C17-C16</f>
        <v>0</v>
      </c>
      <c r="E17" s="55" t="n">
        <f aca="false">C17-152000</f>
        <v>67067</v>
      </c>
      <c r="F17" s="54" t="n">
        <f aca="false">D17/$D$2</f>
        <v>0</v>
      </c>
      <c r="G17" s="54" t="n">
        <v>43</v>
      </c>
      <c r="H17" s="58" t="n">
        <v>0.65</v>
      </c>
      <c r="I17" s="54" t="n">
        <f aca="false">G17+H17</f>
        <v>43.65</v>
      </c>
      <c r="J17" s="83" t="n">
        <f aca="false">IF(L17&gt;0,L17,0)</f>
        <v>4.15</v>
      </c>
      <c r="K17" s="54" t="n">
        <f aca="false">I17+J17</f>
        <v>47.8</v>
      </c>
      <c r="L17" s="54" t="n">
        <f aca="false">F17-(I17-X17)</f>
        <v>4.15</v>
      </c>
      <c r="M17" s="90" t="n">
        <v>4.8</v>
      </c>
      <c r="N17" s="54" t="n">
        <v>0</v>
      </c>
      <c r="O17" s="54" t="n">
        <v>0</v>
      </c>
      <c r="P17" s="7" t="n">
        <f aca="false">M17-(N17+O17)</f>
        <v>4.8</v>
      </c>
      <c r="Q17" s="54" t="n">
        <v>0</v>
      </c>
      <c r="R17" s="54" t="n">
        <v>0</v>
      </c>
      <c r="S17" s="54" t="n">
        <f aca="false">SUM(P17:R17)</f>
        <v>4.8</v>
      </c>
      <c r="T17" s="55"/>
      <c r="U17" s="54" t="n">
        <v>0</v>
      </c>
      <c r="V17" s="54" t="n">
        <v>43</v>
      </c>
      <c r="W17" s="55" t="n">
        <f aca="false">W16-V17</f>
        <v>3150</v>
      </c>
      <c r="X17" s="7" t="n">
        <f aca="false">N17+O17+S17+U17+V17</f>
        <v>47.8</v>
      </c>
      <c r="Y17" s="54" t="n">
        <f aca="false">IF(L17&lt;0,L17*-1,0)</f>
        <v>0</v>
      </c>
      <c r="Z17" s="54" t="n">
        <f aca="false">X17+Y17</f>
        <v>47.8</v>
      </c>
      <c r="AA17" s="58" t="n">
        <v>0</v>
      </c>
      <c r="AB17" s="59" t="n">
        <v>47</v>
      </c>
      <c r="AC17" s="59" t="n">
        <v>18</v>
      </c>
      <c r="AD17" s="60" t="n">
        <f aca="false">AD16+1</f>
        <v>8</v>
      </c>
      <c r="AE17" s="95"/>
      <c r="AF17" s="97"/>
      <c r="AG17" s="96"/>
    </row>
    <row r="18" customFormat="false" ht="11.1" hidden="false" customHeight="true" outlineLevel="0" collapsed="false">
      <c r="A18" s="60" t="n">
        <f aca="false">A17+1</f>
        <v>9</v>
      </c>
      <c r="B18" s="75" t="n">
        <v>6880.96</v>
      </c>
      <c r="C18" s="55" t="n">
        <v>219067</v>
      </c>
      <c r="D18" s="59" t="n">
        <f aca="false">C18-C17</f>
        <v>0</v>
      </c>
      <c r="E18" s="55" t="n">
        <f aca="false">C18-152000</f>
        <v>67067</v>
      </c>
      <c r="F18" s="54" t="n">
        <f aca="false">D18/$D$2</f>
        <v>0</v>
      </c>
      <c r="G18" s="54" t="n">
        <v>44</v>
      </c>
      <c r="H18" s="58" t="n">
        <v>0.61</v>
      </c>
      <c r="I18" s="54" t="n">
        <f aca="false">G18+H18</f>
        <v>44.61</v>
      </c>
      <c r="J18" s="83" t="n">
        <f aca="false">IF(L18&gt;0,L18,0)</f>
        <v>3.19</v>
      </c>
      <c r="K18" s="54" t="n">
        <f aca="false">I18+J18</f>
        <v>47.8</v>
      </c>
      <c r="L18" s="54" t="n">
        <f aca="false">F18-(I18-X18)</f>
        <v>3.19</v>
      </c>
      <c r="M18" s="90" t="n">
        <v>4.8</v>
      </c>
      <c r="N18" s="54" t="n">
        <v>0</v>
      </c>
      <c r="O18" s="54" t="n">
        <v>0</v>
      </c>
      <c r="P18" s="7" t="n">
        <f aca="false">M18-(N18+O18)</f>
        <v>4.8</v>
      </c>
      <c r="Q18" s="54" t="n">
        <v>0</v>
      </c>
      <c r="R18" s="54" t="n">
        <v>0</v>
      </c>
      <c r="S18" s="54" t="n">
        <f aca="false">SUM(P18:R18)</f>
        <v>4.8</v>
      </c>
      <c r="T18" s="55"/>
      <c r="U18" s="54" t="n">
        <v>0</v>
      </c>
      <c r="V18" s="54" t="n">
        <v>43</v>
      </c>
      <c r="W18" s="55" t="n">
        <f aca="false">W17-V18</f>
        <v>3107</v>
      </c>
      <c r="X18" s="7" t="n">
        <f aca="false">N18+O18+S18+U18+V18</f>
        <v>47.8</v>
      </c>
      <c r="Y18" s="54" t="n">
        <f aca="false">IF(L18&lt;0,L18*-1,0)</f>
        <v>0</v>
      </c>
      <c r="Z18" s="54" t="n">
        <f aca="false">X18+Y18</f>
        <v>47.8</v>
      </c>
      <c r="AA18" s="58" t="n">
        <v>0</v>
      </c>
      <c r="AB18" s="84" t="n">
        <v>42</v>
      </c>
      <c r="AC18" s="59" t="n">
        <v>20</v>
      </c>
      <c r="AD18" s="60" t="n">
        <f aca="false">AD17+1</f>
        <v>9</v>
      </c>
      <c r="AE18" s="95"/>
      <c r="AF18" s="97"/>
      <c r="AG18" s="96"/>
    </row>
    <row r="19" customFormat="false" ht="11.1" hidden="false" customHeight="true" outlineLevel="0" collapsed="false">
      <c r="A19" s="60" t="n">
        <f aca="false">A18+1</f>
        <v>10</v>
      </c>
      <c r="B19" s="75" t="n">
        <v>6880.96</v>
      </c>
      <c r="C19" s="55" t="n">
        <v>219067</v>
      </c>
      <c r="D19" s="59" t="n">
        <f aca="false">C19-C18</f>
        <v>0</v>
      </c>
      <c r="E19" s="55" t="n">
        <f aca="false">C19-152000</f>
        <v>67067</v>
      </c>
      <c r="F19" s="54" t="n">
        <f aca="false">D19/$D$2</f>
        <v>0</v>
      </c>
      <c r="G19" s="54" t="n">
        <v>43</v>
      </c>
      <c r="H19" s="58" t="n">
        <v>0.55</v>
      </c>
      <c r="I19" s="54" t="n">
        <f aca="false">G19+H19</f>
        <v>43.55</v>
      </c>
      <c r="J19" s="83" t="n">
        <f aca="false">IF(L19&gt;0,L19,0)</f>
        <v>4.25</v>
      </c>
      <c r="K19" s="54" t="n">
        <f aca="false">I19+J19</f>
        <v>47.8</v>
      </c>
      <c r="L19" s="54" t="n">
        <f aca="false">F19-(I19-X19)</f>
        <v>4.25</v>
      </c>
      <c r="M19" s="90" t="n">
        <v>4.8</v>
      </c>
      <c r="N19" s="54" t="n">
        <v>0</v>
      </c>
      <c r="O19" s="54" t="n">
        <v>0</v>
      </c>
      <c r="P19" s="7" t="n">
        <f aca="false">M19-(N19+O19)</f>
        <v>4.8</v>
      </c>
      <c r="Q19" s="54" t="n">
        <v>0</v>
      </c>
      <c r="R19" s="54" t="n">
        <v>0</v>
      </c>
      <c r="S19" s="54" t="n">
        <f aca="false">SUM(P19:R19)</f>
        <v>4.8</v>
      </c>
      <c r="T19" s="55"/>
      <c r="U19" s="54" t="n">
        <v>0</v>
      </c>
      <c r="V19" s="54" t="n">
        <v>43</v>
      </c>
      <c r="W19" s="55" t="n">
        <f aca="false">W18-V19</f>
        <v>3064</v>
      </c>
      <c r="X19" s="7" t="n">
        <f aca="false">N19+O19+S19+U19+V19</f>
        <v>47.8</v>
      </c>
      <c r="Y19" s="54" t="n">
        <f aca="false">IF(L19&lt;0,L19*-1,0)</f>
        <v>0</v>
      </c>
      <c r="Z19" s="54" t="n">
        <f aca="false">X19+Y19</f>
        <v>47.8</v>
      </c>
      <c r="AA19" s="58" t="n">
        <v>0</v>
      </c>
      <c r="AB19" s="59" t="n">
        <v>38</v>
      </c>
      <c r="AC19" s="59" t="n">
        <v>17</v>
      </c>
      <c r="AD19" s="60" t="n">
        <f aca="false">AD18+1</f>
        <v>10</v>
      </c>
      <c r="AE19" s="95"/>
      <c r="AF19" s="97"/>
      <c r="AG19" s="96"/>
    </row>
    <row r="20" customFormat="false" ht="11.1" hidden="false" customHeight="true" outlineLevel="0" collapsed="false">
      <c r="A20" s="60" t="n">
        <f aca="false">A19+1</f>
        <v>11</v>
      </c>
      <c r="B20" s="75" t="n">
        <v>6880.96</v>
      </c>
      <c r="C20" s="55" t="n">
        <v>219067</v>
      </c>
      <c r="D20" s="59" t="n">
        <f aca="false">C20-C19</f>
        <v>0</v>
      </c>
      <c r="E20" s="55" t="n">
        <f aca="false">C20-152000</f>
        <v>67067</v>
      </c>
      <c r="F20" s="54" t="n">
        <f aca="false">D20/$D$2</f>
        <v>0</v>
      </c>
      <c r="G20" s="54" t="n">
        <v>43</v>
      </c>
      <c r="H20" s="58" t="n">
        <v>0.51</v>
      </c>
      <c r="I20" s="54" t="n">
        <f aca="false">G20+H20</f>
        <v>43.51</v>
      </c>
      <c r="J20" s="83" t="n">
        <f aca="false">IF(L20&gt;0,L20,0)</f>
        <v>4.29</v>
      </c>
      <c r="K20" s="54" t="n">
        <f aca="false">I20+J20</f>
        <v>47.8</v>
      </c>
      <c r="L20" s="54" t="n">
        <f aca="false">F20-(I20-X20)</f>
        <v>4.29</v>
      </c>
      <c r="M20" s="90" t="n">
        <v>4.8</v>
      </c>
      <c r="N20" s="54" t="n">
        <v>0</v>
      </c>
      <c r="O20" s="54" t="n">
        <v>0</v>
      </c>
      <c r="P20" s="7" t="n">
        <f aca="false">M20-(N20+O20)</f>
        <v>4.8</v>
      </c>
      <c r="Q20" s="54" t="n">
        <v>0</v>
      </c>
      <c r="R20" s="54" t="n">
        <v>0</v>
      </c>
      <c r="S20" s="54" t="n">
        <f aca="false">SUM(P20:R20)</f>
        <v>4.8</v>
      </c>
      <c r="T20" s="55"/>
      <c r="U20" s="54" t="n">
        <v>0</v>
      </c>
      <c r="V20" s="54" t="n">
        <v>43</v>
      </c>
      <c r="W20" s="55" t="n">
        <f aca="false">W19-V20</f>
        <v>3021</v>
      </c>
      <c r="X20" s="7" t="n">
        <f aca="false">N20+O20+S20+U20+V20</f>
        <v>47.8</v>
      </c>
      <c r="Y20" s="54" t="n">
        <f aca="false">IF(L20&lt;0,L20*-1,0)</f>
        <v>0</v>
      </c>
      <c r="Z20" s="54" t="n">
        <f aca="false">X20+Y20</f>
        <v>47.8</v>
      </c>
      <c r="AA20" s="58" t="n">
        <v>0</v>
      </c>
      <c r="AB20" s="59" t="n">
        <v>45</v>
      </c>
      <c r="AC20" s="59" t="n">
        <v>18</v>
      </c>
      <c r="AD20" s="60" t="n">
        <f aca="false">AD19+1</f>
        <v>11</v>
      </c>
      <c r="AE20" s="95"/>
      <c r="AF20" s="97"/>
      <c r="AG20" s="96"/>
    </row>
    <row r="21" customFormat="false" ht="11.1" hidden="false" customHeight="true" outlineLevel="0" collapsed="false">
      <c r="A21" s="60" t="n">
        <f aca="false">A20+1</f>
        <v>12</v>
      </c>
      <c r="B21" s="75" t="n">
        <v>6881</v>
      </c>
      <c r="C21" s="55" t="n">
        <v>219188</v>
      </c>
      <c r="D21" s="59" t="n">
        <f aca="false">C21-C20</f>
        <v>121</v>
      </c>
      <c r="E21" s="55" t="n">
        <f aca="false">C21-152000</f>
        <v>67188</v>
      </c>
      <c r="F21" s="54" t="n">
        <f aca="false">D21/$D$2</f>
        <v>61.0032770355432</v>
      </c>
      <c r="G21" s="54" t="n">
        <v>43</v>
      </c>
      <c r="H21" s="58" t="n">
        <v>0.48</v>
      </c>
      <c r="I21" s="54" t="n">
        <f aca="false">G21+H21</f>
        <v>43.48</v>
      </c>
      <c r="J21" s="83" t="n">
        <f aca="false">IF(L21&gt;0,L21,0)</f>
        <v>64.1232770355432</v>
      </c>
      <c r="K21" s="54" t="n">
        <f aca="false">I21+J21</f>
        <v>107.603277035543</v>
      </c>
      <c r="L21" s="54" t="n">
        <f aca="false">F21-(I21-X21)</f>
        <v>64.1232770355432</v>
      </c>
      <c r="M21" s="90" t="n">
        <v>4.6</v>
      </c>
      <c r="N21" s="54" t="n">
        <v>0</v>
      </c>
      <c r="O21" s="54" t="n">
        <v>0</v>
      </c>
      <c r="P21" s="7" t="n">
        <f aca="false">M21-(N21+O21)</f>
        <v>4.6</v>
      </c>
      <c r="Q21" s="54" t="n">
        <v>0</v>
      </c>
      <c r="R21" s="54" t="n">
        <v>0</v>
      </c>
      <c r="S21" s="54" t="n">
        <f aca="false">SUM(P21:R21)</f>
        <v>4.6</v>
      </c>
      <c r="T21" s="55"/>
      <c r="U21" s="54" t="n">
        <v>0</v>
      </c>
      <c r="V21" s="54" t="n">
        <v>42</v>
      </c>
      <c r="W21" s="55" t="n">
        <f aca="false">W20-V21</f>
        <v>2979</v>
      </c>
      <c r="X21" s="7" t="n">
        <f aca="false">N21+O21+S21+U21+V21</f>
        <v>46.6</v>
      </c>
      <c r="Y21" s="54" t="n">
        <f aca="false">IF(L21&lt;0,L21*-1,0)</f>
        <v>0</v>
      </c>
      <c r="Z21" s="54" t="n">
        <f aca="false">X21+Y21</f>
        <v>46.6</v>
      </c>
      <c r="AA21" s="58" t="n">
        <v>0.29</v>
      </c>
      <c r="AB21" s="59" t="n">
        <v>43</v>
      </c>
      <c r="AC21" s="59" t="n">
        <v>25</v>
      </c>
      <c r="AD21" s="60" t="n">
        <f aca="false">AD20+1</f>
        <v>12</v>
      </c>
      <c r="AE21" s="95"/>
      <c r="AF21" s="97"/>
      <c r="AG21" s="96"/>
    </row>
    <row r="22" customFormat="false" ht="11.1" hidden="false" customHeight="true" outlineLevel="0" collapsed="false">
      <c r="A22" s="60" t="n">
        <v>13</v>
      </c>
      <c r="B22" s="75" t="n">
        <v>6881.02</v>
      </c>
      <c r="C22" s="55" t="n">
        <v>219249</v>
      </c>
      <c r="D22" s="59" t="n">
        <f aca="false">C22-C21</f>
        <v>61</v>
      </c>
      <c r="E22" s="55" t="n">
        <f aca="false">C22-152000</f>
        <v>67249</v>
      </c>
      <c r="F22" s="54" t="n">
        <f aca="false">D22/$D$2</f>
        <v>30.7537181749433</v>
      </c>
      <c r="G22" s="54" t="n">
        <v>43</v>
      </c>
      <c r="H22" s="58" t="n">
        <v>0.47</v>
      </c>
      <c r="I22" s="54" t="n">
        <f aca="false">G22+H22</f>
        <v>43.47</v>
      </c>
      <c r="J22" s="83" t="n">
        <f aca="false">IF(L22&gt;0,L22,0)</f>
        <v>34.6837181749433</v>
      </c>
      <c r="K22" s="54" t="n">
        <f aca="false">I22+J22</f>
        <v>78.1537181749433</v>
      </c>
      <c r="L22" s="54" t="n">
        <f aca="false">F22-(I22-X22)</f>
        <v>34.6837181749433</v>
      </c>
      <c r="M22" s="90" t="n">
        <v>4.4</v>
      </c>
      <c r="N22" s="54" t="n">
        <v>0</v>
      </c>
      <c r="O22" s="54" t="n">
        <v>0</v>
      </c>
      <c r="P22" s="7" t="n">
        <f aca="false">M22-(N22+O22)</f>
        <v>4.4</v>
      </c>
      <c r="Q22" s="54" t="n">
        <v>0</v>
      </c>
      <c r="R22" s="54" t="n">
        <v>0</v>
      </c>
      <c r="S22" s="54" t="n">
        <f aca="false">SUM(P22:R22)</f>
        <v>4.4</v>
      </c>
      <c r="T22" s="55"/>
      <c r="U22" s="54" t="n">
        <v>0</v>
      </c>
      <c r="V22" s="54" t="n">
        <v>43</v>
      </c>
      <c r="W22" s="55" t="n">
        <f aca="false">W21-V22</f>
        <v>2936</v>
      </c>
      <c r="X22" s="7" t="n">
        <f aca="false">N22+O22+S22+U22+V22</f>
        <v>47.4</v>
      </c>
      <c r="Y22" s="54" t="n">
        <f aca="false">IF(L22&lt;0,L22*-1,0)</f>
        <v>0</v>
      </c>
      <c r="Z22" s="54" t="n">
        <f aca="false">X22+Y22</f>
        <v>47.4</v>
      </c>
      <c r="AA22" s="58" t="n">
        <v>0.11</v>
      </c>
      <c r="AB22" s="59" t="n">
        <v>30</v>
      </c>
      <c r="AC22" s="59" t="n">
        <v>14</v>
      </c>
      <c r="AD22" s="60" t="n">
        <f aca="false">AD21+1</f>
        <v>13</v>
      </c>
      <c r="AE22" s="95"/>
      <c r="AF22" s="97"/>
      <c r="AG22" s="96"/>
    </row>
    <row r="23" customFormat="false" ht="11.1" hidden="false" customHeight="true" outlineLevel="0" collapsed="false">
      <c r="A23" s="60" t="n">
        <f aca="false">A22+1</f>
        <v>14</v>
      </c>
      <c r="B23" s="75" t="n">
        <v>6881.02</v>
      </c>
      <c r="C23" s="55" t="n">
        <v>219249</v>
      </c>
      <c r="D23" s="59" t="n">
        <f aca="false">C23-C22</f>
        <v>0</v>
      </c>
      <c r="E23" s="55" t="n">
        <f aca="false">C23-152000</f>
        <v>67249</v>
      </c>
      <c r="F23" s="54" t="n">
        <f aca="false">D23/$D$2</f>
        <v>0</v>
      </c>
      <c r="G23" s="54" t="n">
        <v>43</v>
      </c>
      <c r="H23" s="58" t="n">
        <v>0.47</v>
      </c>
      <c r="I23" s="54" t="n">
        <f aca="false">G23+H23</f>
        <v>43.47</v>
      </c>
      <c r="J23" s="83" t="n">
        <f aca="false">IF(L23&gt;0,L23,0)</f>
        <v>2.93</v>
      </c>
      <c r="K23" s="54" t="n">
        <f aca="false">I23+J23</f>
        <v>46.4</v>
      </c>
      <c r="L23" s="54" t="n">
        <f aca="false">F23-(I23-X23)</f>
        <v>2.93</v>
      </c>
      <c r="M23" s="90" t="n">
        <v>4.4</v>
      </c>
      <c r="N23" s="54" t="n">
        <v>0</v>
      </c>
      <c r="O23" s="54" t="n">
        <v>0</v>
      </c>
      <c r="P23" s="7" t="n">
        <f aca="false">M23-(N23+O23)</f>
        <v>4.4</v>
      </c>
      <c r="Q23" s="54" t="n">
        <v>0</v>
      </c>
      <c r="R23" s="54" t="n">
        <v>0</v>
      </c>
      <c r="S23" s="54" t="n">
        <f aca="false">SUM(P23:R23)</f>
        <v>4.4</v>
      </c>
      <c r="T23" s="55"/>
      <c r="U23" s="54" t="n">
        <v>0</v>
      </c>
      <c r="V23" s="54" t="n">
        <v>42</v>
      </c>
      <c r="W23" s="55" t="n">
        <f aca="false">W22-V23</f>
        <v>2894</v>
      </c>
      <c r="X23" s="7" t="n">
        <f aca="false">N23+O23+S23+U23+V23</f>
        <v>46.4</v>
      </c>
      <c r="Y23" s="54" t="n">
        <f aca="false">IF(L23&lt;0,L23*-1,0)</f>
        <v>0</v>
      </c>
      <c r="Z23" s="54" t="n">
        <f aca="false">X23+Y23</f>
        <v>46.4</v>
      </c>
      <c r="AA23" s="58" t="n">
        <v>0</v>
      </c>
      <c r="AB23" s="84" t="n">
        <v>33</v>
      </c>
      <c r="AC23" s="59" t="n">
        <v>8</v>
      </c>
      <c r="AD23" s="60" t="n">
        <f aca="false">AD22+1</f>
        <v>14</v>
      </c>
      <c r="AE23" s="95"/>
      <c r="AF23" s="97"/>
      <c r="AG23" s="96"/>
    </row>
    <row r="24" customFormat="false" ht="11.1" hidden="false" customHeight="true" outlineLevel="0" collapsed="false">
      <c r="A24" s="60" t="n">
        <f aca="false">A23+1</f>
        <v>15</v>
      </c>
      <c r="B24" s="75" t="n">
        <v>6881.03</v>
      </c>
      <c r="C24" s="55" t="n">
        <v>219280</v>
      </c>
      <c r="D24" s="59" t="n">
        <f aca="false">C24-C23</f>
        <v>31</v>
      </c>
      <c r="E24" s="55" t="n">
        <f aca="false">C24-152000</f>
        <v>67280</v>
      </c>
      <c r="F24" s="54" t="n">
        <f aca="false">D24/$D$2</f>
        <v>15.6289387446433</v>
      </c>
      <c r="G24" s="54" t="n">
        <v>42</v>
      </c>
      <c r="H24" s="58" t="n">
        <v>0.44</v>
      </c>
      <c r="I24" s="54" t="n">
        <f aca="false">G24+H24</f>
        <v>42.44</v>
      </c>
      <c r="J24" s="83" t="n">
        <f aca="false">IF(L24&gt;0,L24,0)</f>
        <v>19.5889387446433</v>
      </c>
      <c r="K24" s="54" t="n">
        <f aca="false">I24+J24</f>
        <v>62.0289387446433</v>
      </c>
      <c r="L24" s="54" t="n">
        <f aca="false">F24-(I24-X24)</f>
        <v>19.5889387446433</v>
      </c>
      <c r="M24" s="90" t="n">
        <v>4.4</v>
      </c>
      <c r="N24" s="54" t="n">
        <v>0</v>
      </c>
      <c r="O24" s="54" t="n">
        <v>0</v>
      </c>
      <c r="P24" s="7" t="n">
        <f aca="false">M24-(N24+O24)</f>
        <v>4.4</v>
      </c>
      <c r="Q24" s="54" t="n">
        <v>0</v>
      </c>
      <c r="R24" s="54" t="n">
        <v>0</v>
      </c>
      <c r="S24" s="54" t="n">
        <f aca="false">SUM(P24:R24)</f>
        <v>4.4</v>
      </c>
      <c r="T24" s="55"/>
      <c r="U24" s="54" t="n">
        <v>0</v>
      </c>
      <c r="V24" s="54" t="n">
        <v>42</v>
      </c>
      <c r="W24" s="55" t="n">
        <f aca="false">W23-V24</f>
        <v>2852</v>
      </c>
      <c r="X24" s="7" t="n">
        <f aca="false">N24+O24+S24+U24+V24</f>
        <v>46.4</v>
      </c>
      <c r="Y24" s="54" t="n">
        <f aca="false">IF(L24&lt;0,L24*-1,0)</f>
        <v>0</v>
      </c>
      <c r="Z24" s="54" t="n">
        <f aca="false">X24+Y24</f>
        <v>46.4</v>
      </c>
      <c r="AA24" s="58" t="n">
        <v>0</v>
      </c>
      <c r="AB24" s="84" t="n">
        <v>34</v>
      </c>
      <c r="AC24" s="59" t="n">
        <v>9</v>
      </c>
      <c r="AD24" s="60" t="n">
        <f aca="false">AD23+1</f>
        <v>15</v>
      </c>
      <c r="AE24" s="95"/>
      <c r="AF24" s="97"/>
      <c r="AG24" s="96"/>
    </row>
    <row r="25" customFormat="false" ht="11.1" hidden="false" customHeight="true" outlineLevel="0" collapsed="false">
      <c r="A25" s="60" t="n">
        <f aca="false">A24+1</f>
        <v>16</v>
      </c>
      <c r="B25" s="75" t="n">
        <v>6881.04</v>
      </c>
      <c r="C25" s="55" t="n">
        <v>219311</v>
      </c>
      <c r="D25" s="59" t="n">
        <f aca="false">C25-C24</f>
        <v>31</v>
      </c>
      <c r="E25" s="55" t="n">
        <f aca="false">C25-152000</f>
        <v>67311</v>
      </c>
      <c r="F25" s="54" t="n">
        <f aca="false">D25/$D$2</f>
        <v>15.6289387446433</v>
      </c>
      <c r="G25" s="54" t="n">
        <v>41</v>
      </c>
      <c r="H25" s="58" t="n">
        <v>0.4</v>
      </c>
      <c r="I25" s="54" t="n">
        <f aca="false">G25+H25</f>
        <v>41.4</v>
      </c>
      <c r="J25" s="83" t="n">
        <f aca="false">IF(L25&gt;0,L25,0)</f>
        <v>20.6289387446433</v>
      </c>
      <c r="K25" s="54" t="n">
        <f aca="false">I25+J25</f>
        <v>62.0289387446433</v>
      </c>
      <c r="L25" s="54" t="n">
        <f aca="false">F25-(I25-X25)</f>
        <v>20.6289387446433</v>
      </c>
      <c r="M25" s="90" t="n">
        <v>4.4</v>
      </c>
      <c r="N25" s="54" t="n">
        <v>0</v>
      </c>
      <c r="O25" s="54" t="n">
        <v>0</v>
      </c>
      <c r="P25" s="7" t="n">
        <f aca="false">M25-(N25+O25)</f>
        <v>4.4</v>
      </c>
      <c r="Q25" s="54" t="n">
        <v>0</v>
      </c>
      <c r="R25" s="54" t="n">
        <v>0</v>
      </c>
      <c r="S25" s="54" t="n">
        <f aca="false">SUM(P25:R25)</f>
        <v>4.4</v>
      </c>
      <c r="T25" s="55"/>
      <c r="U25" s="54" t="n">
        <v>0</v>
      </c>
      <c r="V25" s="54" t="n">
        <v>42</v>
      </c>
      <c r="W25" s="55" t="n">
        <f aca="false">W24-V25</f>
        <v>2810</v>
      </c>
      <c r="X25" s="7" t="n">
        <f aca="false">N25+O25+S25+U25+V25</f>
        <v>46.4</v>
      </c>
      <c r="Y25" s="54" t="n">
        <f aca="false">IF(L25&lt;0,L25*-1,0)</f>
        <v>0</v>
      </c>
      <c r="Z25" s="54" t="n">
        <f aca="false">X25+Y25</f>
        <v>46.4</v>
      </c>
      <c r="AA25" s="58" t="n">
        <v>0.06</v>
      </c>
      <c r="AB25" s="84" t="n">
        <v>33</v>
      </c>
      <c r="AC25" s="59" t="n">
        <v>12</v>
      </c>
      <c r="AD25" s="60" t="n">
        <f aca="false">AD24+1</f>
        <v>16</v>
      </c>
      <c r="AE25" s="95"/>
      <c r="AF25" s="99"/>
      <c r="AG25" s="96"/>
    </row>
    <row r="26" customFormat="false" ht="11.1" hidden="false" customHeight="true" outlineLevel="0" collapsed="false">
      <c r="A26" s="60" t="n">
        <f aca="false">A25+1</f>
        <v>17</v>
      </c>
      <c r="B26" s="75" t="n">
        <v>6881.04</v>
      </c>
      <c r="C26" s="55" t="n">
        <v>219311</v>
      </c>
      <c r="D26" s="59" t="n">
        <f aca="false">C26-C25</f>
        <v>0</v>
      </c>
      <c r="E26" s="55" t="n">
        <f aca="false">C26-152000</f>
        <v>67311</v>
      </c>
      <c r="F26" s="54" t="n">
        <f aca="false">D26/$D$2</f>
        <v>0</v>
      </c>
      <c r="G26" s="54" t="n">
        <v>40</v>
      </c>
      <c r="H26" s="58" t="n">
        <v>0.52</v>
      </c>
      <c r="I26" s="54" t="n">
        <f aca="false">G26+H26</f>
        <v>40.52</v>
      </c>
      <c r="J26" s="83" t="n">
        <f aca="false">IF(L26&gt;0,L26,0)</f>
        <v>5.88</v>
      </c>
      <c r="K26" s="54" t="n">
        <f aca="false">I26+J26</f>
        <v>46.4</v>
      </c>
      <c r="L26" s="54" t="n">
        <f aca="false">F26-(I26-X26)</f>
        <v>5.88</v>
      </c>
      <c r="M26" s="90" t="n">
        <v>4.4</v>
      </c>
      <c r="N26" s="54" t="n">
        <v>0</v>
      </c>
      <c r="O26" s="54" t="n">
        <v>0</v>
      </c>
      <c r="P26" s="7" t="n">
        <f aca="false">M26-(N26+O26)</f>
        <v>4.4</v>
      </c>
      <c r="Q26" s="54" t="n">
        <v>0</v>
      </c>
      <c r="R26" s="54" t="n">
        <v>0</v>
      </c>
      <c r="S26" s="54" t="n">
        <f aca="false">SUM(P26:R26)</f>
        <v>4.4</v>
      </c>
      <c r="T26" s="55"/>
      <c r="U26" s="54" t="n">
        <v>0</v>
      </c>
      <c r="V26" s="54" t="n">
        <v>42</v>
      </c>
      <c r="W26" s="55" t="n">
        <f aca="false">W25-V26</f>
        <v>2768</v>
      </c>
      <c r="X26" s="7" t="n">
        <f aca="false">N26+O26+S26+U26+V26</f>
        <v>46.4</v>
      </c>
      <c r="Y26" s="54" t="n">
        <f aca="false">IF(L26&lt;0,L26*-1,0)</f>
        <v>0</v>
      </c>
      <c r="Z26" s="54" t="n">
        <f aca="false">X26+Y26</f>
        <v>46.4</v>
      </c>
      <c r="AA26" s="58" t="n">
        <v>0</v>
      </c>
      <c r="AB26" s="84" t="n">
        <v>29</v>
      </c>
      <c r="AC26" s="59" t="n">
        <v>8</v>
      </c>
      <c r="AD26" s="60" t="n">
        <f aca="false">AD25+1</f>
        <v>17</v>
      </c>
      <c r="AE26" s="95"/>
      <c r="AF26" s="97"/>
      <c r="AG26" s="96"/>
    </row>
    <row r="27" customFormat="false" ht="11.1" hidden="false" customHeight="true" outlineLevel="0" collapsed="false">
      <c r="A27" s="60" t="n">
        <f aca="false">A26+1</f>
        <v>18</v>
      </c>
      <c r="B27" s="75" t="n">
        <v>6881.03</v>
      </c>
      <c r="C27" s="55" t="n">
        <v>219280</v>
      </c>
      <c r="D27" s="59" t="n">
        <f aca="false">C27-C26</f>
        <v>-31</v>
      </c>
      <c r="E27" s="55" t="n">
        <f aca="false">C27-152000</f>
        <v>67280</v>
      </c>
      <c r="F27" s="54" t="n">
        <f aca="false">D27/$D$2</f>
        <v>-15.6289387446433</v>
      </c>
      <c r="G27" s="54" t="n">
        <v>38</v>
      </c>
      <c r="H27" s="58" t="n">
        <v>0.53</v>
      </c>
      <c r="I27" s="54" t="n">
        <f aca="false">G27+H27</f>
        <v>38.53</v>
      </c>
      <c r="J27" s="83" t="n">
        <f aca="false">IF(L27&gt;0,L27,0)</f>
        <v>0</v>
      </c>
      <c r="K27" s="54" t="n">
        <f aca="false">I27+J27</f>
        <v>38.53</v>
      </c>
      <c r="L27" s="54" t="n">
        <f aca="false">F27-(I27-X27)</f>
        <v>-8.75893874464331</v>
      </c>
      <c r="M27" s="90" t="n">
        <v>4.4</v>
      </c>
      <c r="N27" s="54" t="n">
        <v>0</v>
      </c>
      <c r="O27" s="54" t="n">
        <v>0</v>
      </c>
      <c r="P27" s="7" t="n">
        <f aca="false">M27-(N27+O27)</f>
        <v>4.4</v>
      </c>
      <c r="Q27" s="54" t="n">
        <v>0</v>
      </c>
      <c r="R27" s="54" t="n">
        <v>0</v>
      </c>
      <c r="S27" s="54" t="n">
        <f aca="false">SUM(P27:R27)</f>
        <v>4.4</v>
      </c>
      <c r="T27" s="55"/>
      <c r="U27" s="54" t="n">
        <v>0</v>
      </c>
      <c r="V27" s="54" t="n">
        <v>41</v>
      </c>
      <c r="W27" s="55" t="n">
        <f aca="false">W26-V27</f>
        <v>2727</v>
      </c>
      <c r="X27" s="7" t="n">
        <f aca="false">N27+O27+S27+U27+V27</f>
        <v>45.4</v>
      </c>
      <c r="Y27" s="54" t="n">
        <f aca="false">IF(L27&lt;0,L27*-1,0)</f>
        <v>8.75893874464331</v>
      </c>
      <c r="Z27" s="54" t="n">
        <f aca="false">X27+Y27</f>
        <v>54.1589387446433</v>
      </c>
      <c r="AA27" s="58" t="n">
        <v>0</v>
      </c>
      <c r="AB27" s="84" t="n">
        <v>34</v>
      </c>
      <c r="AC27" s="59" t="n">
        <v>4</v>
      </c>
      <c r="AD27" s="60" t="n">
        <f aca="false">AD26+1</f>
        <v>18</v>
      </c>
      <c r="AE27" s="95"/>
      <c r="AF27" s="97"/>
      <c r="AG27" s="96"/>
    </row>
    <row r="28" customFormat="false" ht="11.1" hidden="false" customHeight="true" outlineLevel="0" collapsed="false">
      <c r="A28" s="60" t="n">
        <f aca="false">A27+1</f>
        <v>19</v>
      </c>
      <c r="B28" s="75" t="n">
        <v>6881.02</v>
      </c>
      <c r="C28" s="55" t="n">
        <v>219249</v>
      </c>
      <c r="D28" s="59" t="n">
        <f aca="false">C28-C27</f>
        <v>-31</v>
      </c>
      <c r="E28" s="55" t="n">
        <f aca="false">C28-152000</f>
        <v>67249</v>
      </c>
      <c r="F28" s="54" t="n">
        <f aca="false">D28/$D$2</f>
        <v>-15.6289387446433</v>
      </c>
      <c r="G28" s="54" t="n">
        <v>38</v>
      </c>
      <c r="H28" s="58" t="n">
        <v>0.5</v>
      </c>
      <c r="I28" s="54" t="n">
        <f aca="false">G28+H28</f>
        <v>38.5</v>
      </c>
      <c r="J28" s="83" t="n">
        <f aca="false">IF(L28&gt;0,L28,0)</f>
        <v>0</v>
      </c>
      <c r="K28" s="54" t="n">
        <f aca="false">I28+J28</f>
        <v>38.5</v>
      </c>
      <c r="L28" s="54" t="n">
        <f aca="false">F28-(I28-X28)</f>
        <v>-8.62893874464331</v>
      </c>
      <c r="M28" s="90" t="n">
        <v>4.5</v>
      </c>
      <c r="N28" s="54" t="n">
        <v>0</v>
      </c>
      <c r="O28" s="54" t="n">
        <v>0</v>
      </c>
      <c r="P28" s="7" t="n">
        <f aca="false">M28-(N28+O28)</f>
        <v>4.5</v>
      </c>
      <c r="Q28" s="54" t="n">
        <v>0</v>
      </c>
      <c r="R28" s="54" t="n">
        <v>0</v>
      </c>
      <c r="S28" s="54" t="n">
        <f aca="false">SUM(P28:R28)</f>
        <v>4.5</v>
      </c>
      <c r="T28" s="55"/>
      <c r="U28" s="54" t="n">
        <v>0</v>
      </c>
      <c r="V28" s="54" t="n">
        <v>41</v>
      </c>
      <c r="W28" s="55" t="n">
        <f aca="false">W27-V28</f>
        <v>2686</v>
      </c>
      <c r="X28" s="7" t="n">
        <f aca="false">N28+O28+S28+U28+V28</f>
        <v>45.5</v>
      </c>
      <c r="Y28" s="54" t="n">
        <f aca="false">IF(L28&lt;0,L28*-1,0)</f>
        <v>8.62893874464331</v>
      </c>
      <c r="Z28" s="54" t="n">
        <f aca="false">X28+Y28</f>
        <v>54.1289387446433</v>
      </c>
      <c r="AA28" s="58" t="n">
        <v>0</v>
      </c>
      <c r="AB28" s="84" t="n">
        <v>34</v>
      </c>
      <c r="AC28" s="59" t="n">
        <v>4</v>
      </c>
      <c r="AD28" s="60" t="n">
        <f aca="false">AD27+1</f>
        <v>19</v>
      </c>
      <c r="AE28" s="95"/>
      <c r="AF28" s="97"/>
      <c r="AG28" s="96"/>
    </row>
    <row r="29" customFormat="false" ht="11.1" hidden="false" customHeight="true" outlineLevel="0" collapsed="false">
      <c r="A29" s="60" t="n">
        <f aca="false">A28+1</f>
        <v>20</v>
      </c>
      <c r="B29" s="75" t="n">
        <v>6881.01</v>
      </c>
      <c r="C29" s="55" t="n">
        <v>219219</v>
      </c>
      <c r="D29" s="59" t="n">
        <f aca="false">C29-C28</f>
        <v>-30</v>
      </c>
      <c r="E29" s="55" t="n">
        <f aca="false">C29-152000</f>
        <v>67219</v>
      </c>
      <c r="F29" s="54" t="n">
        <f aca="false">D29/$D$2</f>
        <v>-15.1247794303</v>
      </c>
      <c r="G29" s="54" t="n">
        <v>39</v>
      </c>
      <c r="H29" s="58" t="n">
        <v>0.43</v>
      </c>
      <c r="I29" s="54" t="n">
        <f aca="false">G29+H29</f>
        <v>39.43</v>
      </c>
      <c r="J29" s="83" t="n">
        <f aca="false">IF(L29&gt;0,L29,0)</f>
        <v>0</v>
      </c>
      <c r="K29" s="54" t="n">
        <f aca="false">I29+J29</f>
        <v>39.43</v>
      </c>
      <c r="L29" s="54" t="n">
        <f aca="false">F29-(I29-X29)</f>
        <v>-8.75477943029998</v>
      </c>
      <c r="M29" s="90" t="n">
        <v>4.8</v>
      </c>
      <c r="N29" s="54" t="n">
        <v>0</v>
      </c>
      <c r="O29" s="54" t="n">
        <v>0</v>
      </c>
      <c r="P29" s="7" t="n">
        <f aca="false">M29-(N29+O29)</f>
        <v>4.8</v>
      </c>
      <c r="Q29" s="54" t="n">
        <v>0</v>
      </c>
      <c r="R29" s="54" t="n">
        <v>0</v>
      </c>
      <c r="S29" s="54" t="n">
        <f aca="false">SUM(P29:R29)</f>
        <v>4.8</v>
      </c>
      <c r="T29" s="55"/>
      <c r="U29" s="54" t="n">
        <v>0</v>
      </c>
      <c r="V29" s="54" t="n">
        <v>41</v>
      </c>
      <c r="W29" s="55" t="n">
        <f aca="false">W28-V29</f>
        <v>2645</v>
      </c>
      <c r="X29" s="7" t="n">
        <f aca="false">N29+O29+S29+U29+V29</f>
        <v>45.8</v>
      </c>
      <c r="Y29" s="54" t="n">
        <f aca="false">IF(L29&lt;0,L29*-1,0)</f>
        <v>8.75477943029998</v>
      </c>
      <c r="Z29" s="54" t="n">
        <f aca="false">X29+Y29</f>
        <v>54.5547794303</v>
      </c>
      <c r="AA29" s="58" t="n">
        <v>0</v>
      </c>
      <c r="AB29" s="84" t="n">
        <v>36</v>
      </c>
      <c r="AC29" s="59" t="n">
        <v>10</v>
      </c>
      <c r="AD29" s="60" t="n">
        <f aca="false">AD28+1</f>
        <v>20</v>
      </c>
      <c r="AE29" s="95"/>
      <c r="AF29" s="97"/>
      <c r="AG29" s="96"/>
    </row>
    <row r="30" customFormat="false" ht="11.1" hidden="false" customHeight="true" outlineLevel="0" collapsed="false">
      <c r="A30" s="60" t="n">
        <f aca="false">A29+1</f>
        <v>21</v>
      </c>
      <c r="B30" s="75" t="n">
        <v>6881.02</v>
      </c>
      <c r="C30" s="55" t="n">
        <v>219249</v>
      </c>
      <c r="D30" s="59" t="n">
        <f aca="false">C30-C29</f>
        <v>30</v>
      </c>
      <c r="E30" s="55" t="n">
        <f aca="false">C30-152000</f>
        <v>67249</v>
      </c>
      <c r="F30" s="54" t="n">
        <f aca="false">D30/$D$2</f>
        <v>15.1247794303</v>
      </c>
      <c r="G30" s="54" t="n">
        <v>40</v>
      </c>
      <c r="H30" s="58" t="n">
        <v>0.47</v>
      </c>
      <c r="I30" s="54" t="n">
        <f aca="false">G30+H30</f>
        <v>40.47</v>
      </c>
      <c r="J30" s="83" t="n">
        <f aca="false">IF(L30&gt;0,L30,0)</f>
        <v>20.4547794303</v>
      </c>
      <c r="K30" s="54" t="n">
        <f aca="false">I30+J30</f>
        <v>60.9247794303</v>
      </c>
      <c r="L30" s="54" t="n">
        <f aca="false">F30-(I30-X30)</f>
        <v>20.4547794303</v>
      </c>
      <c r="M30" s="90" t="n">
        <v>4.8</v>
      </c>
      <c r="N30" s="54" t="n">
        <v>0</v>
      </c>
      <c r="O30" s="54" t="n">
        <v>0</v>
      </c>
      <c r="P30" s="7" t="n">
        <f aca="false">M30-(N30+O30)</f>
        <v>4.8</v>
      </c>
      <c r="Q30" s="54" t="n">
        <v>0</v>
      </c>
      <c r="R30" s="54" t="n">
        <v>0</v>
      </c>
      <c r="S30" s="54" t="n">
        <f aca="false">SUM(P30:R30)</f>
        <v>4.8</v>
      </c>
      <c r="T30" s="55"/>
      <c r="U30" s="54" t="n">
        <v>0</v>
      </c>
      <c r="V30" s="54" t="n">
        <v>41</v>
      </c>
      <c r="W30" s="55" t="n">
        <f aca="false">W29-V30</f>
        <v>2604</v>
      </c>
      <c r="X30" s="7" t="n">
        <f aca="false">N30+O30+S30+U30+V30</f>
        <v>45.8</v>
      </c>
      <c r="Y30" s="54" t="n">
        <f aca="false">IF(L30&lt;0,L30*-1,0)</f>
        <v>0</v>
      </c>
      <c r="Z30" s="54" t="n">
        <f aca="false">X30+Y30</f>
        <v>45.8</v>
      </c>
      <c r="AA30" s="58" t="n">
        <v>0</v>
      </c>
      <c r="AB30" s="59" t="n">
        <v>40</v>
      </c>
      <c r="AC30" s="59" t="n">
        <v>8</v>
      </c>
      <c r="AD30" s="60" t="n">
        <f aca="false">AD29+1</f>
        <v>21</v>
      </c>
      <c r="AE30" s="95"/>
      <c r="AF30" s="97"/>
      <c r="AG30" s="96"/>
    </row>
    <row r="31" customFormat="false" ht="11.1" hidden="false" customHeight="true" outlineLevel="0" collapsed="false">
      <c r="A31" s="60" t="n">
        <f aca="false">A30+1</f>
        <v>22</v>
      </c>
      <c r="B31" s="75" t="n">
        <v>6881.03</v>
      </c>
      <c r="C31" s="55" t="n">
        <v>219280</v>
      </c>
      <c r="D31" s="59" t="n">
        <f aca="false">C31-C30</f>
        <v>31</v>
      </c>
      <c r="E31" s="55" t="n">
        <f aca="false">C31-152000</f>
        <v>67280</v>
      </c>
      <c r="F31" s="54" t="n">
        <f aca="false">D31/$D$2</f>
        <v>15.6289387446433</v>
      </c>
      <c r="G31" s="54" t="n">
        <v>40</v>
      </c>
      <c r="H31" s="58" t="n">
        <v>0.64</v>
      </c>
      <c r="I31" s="54" t="n">
        <f aca="false">G31+H31</f>
        <v>40.64</v>
      </c>
      <c r="J31" s="83" t="n">
        <f aca="false">IF(L31&gt;0,L31,0)</f>
        <v>19.7889387446433</v>
      </c>
      <c r="K31" s="54" t="n">
        <f aca="false">I31+J31</f>
        <v>60.4289387446433</v>
      </c>
      <c r="L31" s="54" t="n">
        <f aca="false">F31-(I31-X31)</f>
        <v>19.7889387446433</v>
      </c>
      <c r="M31" s="90" t="n">
        <v>4.8</v>
      </c>
      <c r="N31" s="54" t="n">
        <v>0</v>
      </c>
      <c r="O31" s="54" t="n">
        <v>0</v>
      </c>
      <c r="P31" s="7" t="n">
        <f aca="false">M31-(N31+O31)</f>
        <v>4.8</v>
      </c>
      <c r="Q31" s="54" t="n">
        <v>0</v>
      </c>
      <c r="R31" s="54" t="n">
        <v>0</v>
      </c>
      <c r="S31" s="54" t="n">
        <f aca="false">SUM(P31:R31)</f>
        <v>4.8</v>
      </c>
      <c r="T31" s="55"/>
      <c r="U31" s="54" t="n">
        <v>0</v>
      </c>
      <c r="V31" s="54" t="n">
        <v>40</v>
      </c>
      <c r="W31" s="55" t="n">
        <f aca="false">W30-V31</f>
        <v>2564</v>
      </c>
      <c r="X31" s="7" t="n">
        <f aca="false">N31+O31+S31+U31+V31</f>
        <v>44.8</v>
      </c>
      <c r="Y31" s="54" t="n">
        <f aca="false">IF(L31&lt;0,L31*-1,0)</f>
        <v>0</v>
      </c>
      <c r="Z31" s="54" t="n">
        <f aca="false">X31+Y31</f>
        <v>44.8</v>
      </c>
      <c r="AA31" s="58" t="n">
        <v>0</v>
      </c>
      <c r="AB31" s="59" t="n">
        <v>43</v>
      </c>
      <c r="AC31" s="59" t="n">
        <v>14</v>
      </c>
      <c r="AD31" s="60" t="n">
        <f aca="false">AD30+1</f>
        <v>22</v>
      </c>
      <c r="AE31" s="95"/>
      <c r="AF31" s="97"/>
      <c r="AG31" s="96"/>
    </row>
    <row r="32" customFormat="false" ht="11.1" hidden="false" customHeight="true" outlineLevel="0" collapsed="false">
      <c r="A32" s="60" t="n">
        <f aca="false">A31+1</f>
        <v>23</v>
      </c>
      <c r="B32" s="75" t="n">
        <v>6881.04</v>
      </c>
      <c r="C32" s="55" t="n">
        <v>219311</v>
      </c>
      <c r="D32" s="59" t="n">
        <f aca="false">C32-C31</f>
        <v>31</v>
      </c>
      <c r="E32" s="55" t="n">
        <f aca="false">C32-152000</f>
        <v>67311</v>
      </c>
      <c r="F32" s="54" t="n">
        <f aca="false">D32/$D$2</f>
        <v>15.6289387446433</v>
      </c>
      <c r="G32" s="54" t="n">
        <v>40</v>
      </c>
      <c r="H32" s="58" t="n">
        <v>0.7</v>
      </c>
      <c r="I32" s="54" t="n">
        <f aca="false">G32+H32</f>
        <v>40.7</v>
      </c>
      <c r="J32" s="83" t="n">
        <f aca="false">IF(L32&gt;0,L32,0)</f>
        <v>19.7289387446433</v>
      </c>
      <c r="K32" s="54" t="n">
        <f aca="false">I32+J32</f>
        <v>60.4289387446433</v>
      </c>
      <c r="L32" s="54" t="n">
        <f aca="false">F32-(I32-X32)</f>
        <v>19.7289387446433</v>
      </c>
      <c r="M32" s="90" t="n">
        <v>4.8</v>
      </c>
      <c r="N32" s="54" t="n">
        <v>0</v>
      </c>
      <c r="O32" s="54" t="n">
        <v>0</v>
      </c>
      <c r="P32" s="7" t="n">
        <f aca="false">M32-(N32+O32)</f>
        <v>4.8</v>
      </c>
      <c r="Q32" s="54" t="n">
        <v>0</v>
      </c>
      <c r="R32" s="54" t="n">
        <v>0</v>
      </c>
      <c r="S32" s="54" t="n">
        <f aca="false">SUM(P32:R32)</f>
        <v>4.8</v>
      </c>
      <c r="T32" s="55"/>
      <c r="U32" s="54" t="n">
        <v>0</v>
      </c>
      <c r="V32" s="54" t="n">
        <v>40</v>
      </c>
      <c r="W32" s="55" t="n">
        <f aca="false">W31-V32</f>
        <v>2524</v>
      </c>
      <c r="X32" s="7" t="n">
        <f aca="false">N32+O32+S32+U32+V32</f>
        <v>44.8</v>
      </c>
      <c r="Y32" s="54" t="n">
        <f aca="false">IF(L32&lt;0,L32*-1,0)</f>
        <v>0</v>
      </c>
      <c r="Z32" s="54" t="n">
        <f aca="false">X32+Y32</f>
        <v>44.8</v>
      </c>
      <c r="AA32" s="58" t="n">
        <v>0</v>
      </c>
      <c r="AB32" s="59" t="n">
        <v>39</v>
      </c>
      <c r="AC32" s="84" t="n">
        <v>20</v>
      </c>
      <c r="AD32" s="60" t="n">
        <f aca="false">AD31+1</f>
        <v>23</v>
      </c>
      <c r="AE32" s="95"/>
      <c r="AF32" s="97"/>
      <c r="AG32" s="96"/>
    </row>
    <row r="33" customFormat="false" ht="11.1" hidden="false" customHeight="true" outlineLevel="0" collapsed="false">
      <c r="A33" s="60" t="n">
        <f aca="false">A32+1</f>
        <v>24</v>
      </c>
      <c r="B33" s="75" t="n">
        <v>6881.05</v>
      </c>
      <c r="C33" s="55" t="n">
        <v>219341</v>
      </c>
      <c r="D33" s="59" t="n">
        <f aca="false">C33-C32</f>
        <v>30</v>
      </c>
      <c r="E33" s="55" t="n">
        <f aca="false">C33-152000</f>
        <v>67341</v>
      </c>
      <c r="F33" s="54" t="n">
        <f aca="false">D33/$D$2</f>
        <v>15.1247794303</v>
      </c>
      <c r="G33" s="54" t="n">
        <v>40</v>
      </c>
      <c r="H33" s="58" t="n">
        <v>0.7</v>
      </c>
      <c r="I33" s="54" t="n">
        <f aca="false">G33+H33</f>
        <v>40.7</v>
      </c>
      <c r="J33" s="83" t="n">
        <f aca="false">IF(L33&gt;0,L33,0)</f>
        <v>18.2247794303</v>
      </c>
      <c r="K33" s="54" t="n">
        <f aca="false">I33+J33</f>
        <v>58.9247794303</v>
      </c>
      <c r="L33" s="54" t="n">
        <f aca="false">F33-(I33-X33)</f>
        <v>18.2247794303</v>
      </c>
      <c r="M33" s="90" t="n">
        <v>4.8</v>
      </c>
      <c r="N33" s="54" t="n">
        <v>0</v>
      </c>
      <c r="O33" s="54" t="n">
        <v>0</v>
      </c>
      <c r="P33" s="7" t="n">
        <f aca="false">M33-(N33+O33)</f>
        <v>4.8</v>
      </c>
      <c r="Q33" s="54" t="n">
        <v>0</v>
      </c>
      <c r="R33" s="54" t="n">
        <v>0</v>
      </c>
      <c r="S33" s="54" t="n">
        <f aca="false">SUM(P33:R33)</f>
        <v>4.8</v>
      </c>
      <c r="T33" s="55"/>
      <c r="U33" s="54" t="n">
        <v>0</v>
      </c>
      <c r="V33" s="54" t="n">
        <v>39</v>
      </c>
      <c r="W33" s="55" t="n">
        <f aca="false">W32-V33</f>
        <v>2485</v>
      </c>
      <c r="X33" s="7" t="n">
        <f aca="false">N33+O33+S33+U33+V33</f>
        <v>43.8</v>
      </c>
      <c r="Y33" s="54" t="n">
        <f aca="false">IF(L33&lt;0,L33*-1,0)</f>
        <v>0</v>
      </c>
      <c r="Z33" s="54" t="n">
        <f aca="false">X33+Y33</f>
        <v>43.8</v>
      </c>
      <c r="AA33" s="58" t="n">
        <v>0</v>
      </c>
      <c r="AB33" s="59" t="n">
        <v>43</v>
      </c>
      <c r="AC33" s="84" t="n">
        <v>16</v>
      </c>
      <c r="AD33" s="60" t="n">
        <f aca="false">AD32+1</f>
        <v>24</v>
      </c>
      <c r="AE33" s="95"/>
      <c r="AF33" s="97"/>
      <c r="AG33" s="96"/>
    </row>
    <row r="34" customFormat="false" ht="11.1" hidden="false" customHeight="true" outlineLevel="0" collapsed="false">
      <c r="A34" s="60" t="n">
        <f aca="false">A33+1</f>
        <v>25</v>
      </c>
      <c r="B34" s="75" t="n">
        <v>6881.08</v>
      </c>
      <c r="C34" s="55" t="n">
        <v>219433</v>
      </c>
      <c r="D34" s="59" t="n">
        <f aca="false">C34-C33</f>
        <v>92</v>
      </c>
      <c r="E34" s="55" t="n">
        <f aca="false">C34-152000</f>
        <v>67433</v>
      </c>
      <c r="F34" s="54" t="n">
        <f aca="false">D34/$D$2</f>
        <v>46.3826569195866</v>
      </c>
      <c r="G34" s="54" t="n">
        <v>39</v>
      </c>
      <c r="H34" s="58" t="n">
        <v>0.67</v>
      </c>
      <c r="I34" s="54" t="n">
        <f aca="false">G34+H34</f>
        <v>39.67</v>
      </c>
      <c r="J34" s="83" t="n">
        <f aca="false">IF(L34&gt;0,L34,0)</f>
        <v>51.5126569195866</v>
      </c>
      <c r="K34" s="54" t="n">
        <f aca="false">I34+J34</f>
        <v>91.1826569195866</v>
      </c>
      <c r="L34" s="54" t="n">
        <f aca="false">F34-(I34-X34)</f>
        <v>51.5126569195866</v>
      </c>
      <c r="M34" s="90" t="n">
        <v>4.8</v>
      </c>
      <c r="N34" s="54" t="n">
        <v>0</v>
      </c>
      <c r="O34" s="54" t="n">
        <v>0</v>
      </c>
      <c r="P34" s="7" t="n">
        <f aca="false">M34-(N34+O34)</f>
        <v>4.8</v>
      </c>
      <c r="Q34" s="54" t="n">
        <v>0</v>
      </c>
      <c r="R34" s="54" t="n">
        <v>0</v>
      </c>
      <c r="S34" s="54" t="n">
        <f aca="false">SUM(P34:R34)</f>
        <v>4.8</v>
      </c>
      <c r="T34" s="55"/>
      <c r="U34" s="54" t="n">
        <v>0</v>
      </c>
      <c r="V34" s="54" t="n">
        <v>40</v>
      </c>
      <c r="W34" s="55" t="n">
        <f aca="false">W33-V34</f>
        <v>2445</v>
      </c>
      <c r="X34" s="7" t="n">
        <f aca="false">N34+O34+S34+U34+V34</f>
        <v>44.8</v>
      </c>
      <c r="Y34" s="54" t="n">
        <f aca="false">IF(L34&lt;0,L34*-1,0)</f>
        <v>0</v>
      </c>
      <c r="Z34" s="54" t="n">
        <f aca="false">X34+Y34</f>
        <v>44.8</v>
      </c>
      <c r="AA34" s="58" t="n">
        <v>0.32</v>
      </c>
      <c r="AB34" s="59" t="n">
        <v>36</v>
      </c>
      <c r="AC34" s="84" t="n">
        <v>11</v>
      </c>
      <c r="AD34" s="60" t="n">
        <f aca="false">AD33+1</f>
        <v>25</v>
      </c>
      <c r="AE34" s="95"/>
      <c r="AF34" s="97"/>
      <c r="AG34" s="96"/>
    </row>
    <row r="35" customFormat="false" ht="11.1" hidden="false" customHeight="true" outlineLevel="0" collapsed="false">
      <c r="A35" s="60" t="n">
        <f aca="false">A34+1</f>
        <v>26</v>
      </c>
      <c r="B35" s="75" t="n">
        <v>6881.08</v>
      </c>
      <c r="C35" s="55" t="n">
        <v>219433</v>
      </c>
      <c r="D35" s="59" t="n">
        <f aca="false">C35-C34</f>
        <v>0</v>
      </c>
      <c r="E35" s="55" t="n">
        <f aca="false">C35-152000</f>
        <v>67433</v>
      </c>
      <c r="F35" s="54" t="n">
        <f aca="false">D35/$D$2</f>
        <v>0</v>
      </c>
      <c r="G35" s="54" t="n">
        <v>38</v>
      </c>
      <c r="H35" s="58" t="n">
        <v>0.64</v>
      </c>
      <c r="I35" s="54" t="n">
        <f aca="false">G35+H35</f>
        <v>38.64</v>
      </c>
      <c r="J35" s="83" t="n">
        <f aca="false">IF(L35&gt;0,L35,0)</f>
        <v>5.16</v>
      </c>
      <c r="K35" s="54" t="n">
        <f aca="false">I35+J35</f>
        <v>43.8</v>
      </c>
      <c r="L35" s="54" t="n">
        <f aca="false">F35-(I35-X35)</f>
        <v>5.16</v>
      </c>
      <c r="M35" s="90" t="n">
        <v>4.8</v>
      </c>
      <c r="N35" s="54" t="n">
        <v>0</v>
      </c>
      <c r="O35" s="54" t="n">
        <v>0</v>
      </c>
      <c r="P35" s="7" t="n">
        <f aca="false">M35-(N35+O35)</f>
        <v>4.8</v>
      </c>
      <c r="Q35" s="54" t="n">
        <v>0</v>
      </c>
      <c r="R35" s="54" t="n">
        <v>0</v>
      </c>
      <c r="S35" s="54" t="n">
        <f aca="false">SUM(P35:R35)</f>
        <v>4.8</v>
      </c>
      <c r="T35" s="55"/>
      <c r="U35" s="54" t="n">
        <v>0</v>
      </c>
      <c r="V35" s="54" t="n">
        <v>39</v>
      </c>
      <c r="W35" s="55" t="n">
        <f aca="false">W34-V35</f>
        <v>2406</v>
      </c>
      <c r="X35" s="7" t="n">
        <f aca="false">N35+O35+S35+U35+V35</f>
        <v>43.8</v>
      </c>
      <c r="Y35" s="54" t="n">
        <f aca="false">IF(L35&lt;0,L35*-1,0)</f>
        <v>0</v>
      </c>
      <c r="Z35" s="54" t="n">
        <f aca="false">X35+Y35</f>
        <v>43.8</v>
      </c>
      <c r="AA35" s="58" t="n">
        <v>0</v>
      </c>
      <c r="AB35" s="59" t="n">
        <v>36</v>
      </c>
      <c r="AC35" s="59" t="n">
        <v>11</v>
      </c>
      <c r="AD35" s="60" t="n">
        <f aca="false">AD34+1</f>
        <v>26</v>
      </c>
      <c r="AE35" s="95"/>
      <c r="AF35" s="97"/>
      <c r="AG35" s="96"/>
    </row>
    <row r="36" customFormat="false" ht="11.1" hidden="false" customHeight="true" outlineLevel="0" collapsed="false">
      <c r="A36" s="60" t="n">
        <f aca="false">A35+1</f>
        <v>27</v>
      </c>
      <c r="B36" s="75" t="n">
        <v>6881.12</v>
      </c>
      <c r="C36" s="55" t="n">
        <v>219556</v>
      </c>
      <c r="D36" s="59" t="n">
        <f aca="false">C36-C35</f>
        <v>123</v>
      </c>
      <c r="E36" s="55" t="n">
        <f aca="false">C36-152000</f>
        <v>67556</v>
      </c>
      <c r="F36" s="54" t="n">
        <f aca="false">D36/$D$2</f>
        <v>62.0115956642299</v>
      </c>
      <c r="G36" s="54" t="n">
        <v>39</v>
      </c>
      <c r="H36" s="58" t="n">
        <v>0.59</v>
      </c>
      <c r="I36" s="54" t="n">
        <f aca="false">G36+H36</f>
        <v>39.59</v>
      </c>
      <c r="J36" s="83" t="n">
        <f aca="false">IF(L36&gt;0,L36,0)</f>
        <v>67.2215956642299</v>
      </c>
      <c r="K36" s="54" t="n">
        <f aca="false">I36+J36</f>
        <v>106.81159566423</v>
      </c>
      <c r="L36" s="54" t="n">
        <f aca="false">F36-(I36-X36)</f>
        <v>67.2215956642299</v>
      </c>
      <c r="M36" s="90" t="n">
        <v>4.8</v>
      </c>
      <c r="N36" s="54" t="n">
        <v>0</v>
      </c>
      <c r="O36" s="54" t="n">
        <v>0</v>
      </c>
      <c r="P36" s="7" t="n">
        <f aca="false">M36-(N36+O36)</f>
        <v>4.8</v>
      </c>
      <c r="Q36" s="54" t="n">
        <v>0</v>
      </c>
      <c r="R36" s="54" t="n">
        <v>0</v>
      </c>
      <c r="S36" s="54" t="n">
        <f aca="false">SUM(P36:R36)</f>
        <v>4.8</v>
      </c>
      <c r="T36" s="55"/>
      <c r="U36" s="54" t="n">
        <v>0</v>
      </c>
      <c r="V36" s="54" t="n">
        <v>40</v>
      </c>
      <c r="W36" s="55" t="n">
        <f aca="false">W35-V36</f>
        <v>2366</v>
      </c>
      <c r="X36" s="7" t="n">
        <f aca="false">N36+O36+S36+U36+V36</f>
        <v>44.8</v>
      </c>
      <c r="Y36" s="54" t="n">
        <f aca="false">IF(L36&lt;0,L36*-1,0)</f>
        <v>0</v>
      </c>
      <c r="Z36" s="54" t="n">
        <f aca="false">X36+Y36</f>
        <v>44.8</v>
      </c>
      <c r="AA36" s="58" t="n">
        <v>0.13</v>
      </c>
      <c r="AB36" s="59" t="n">
        <v>36</v>
      </c>
      <c r="AC36" s="59" t="n">
        <v>27</v>
      </c>
      <c r="AD36" s="60" t="n">
        <f aca="false">AD35+1</f>
        <v>27</v>
      </c>
      <c r="AE36" s="95"/>
      <c r="AF36" s="97"/>
      <c r="AG36" s="96"/>
    </row>
    <row r="37" customFormat="false" ht="11.1" hidden="false" customHeight="true" outlineLevel="0" collapsed="false">
      <c r="A37" s="60" t="n">
        <f aca="false">A36+1</f>
        <v>28</v>
      </c>
      <c r="B37" s="75" t="n">
        <v>6881.16</v>
      </c>
      <c r="C37" s="55" t="n">
        <v>219678</v>
      </c>
      <c r="D37" s="59" t="n">
        <f aca="false">C37-C36</f>
        <v>122</v>
      </c>
      <c r="E37" s="55" t="n">
        <f aca="false">C37-152000</f>
        <v>67678</v>
      </c>
      <c r="F37" s="54" t="n">
        <f aca="false">D37/$D$2</f>
        <v>61.5074363498866</v>
      </c>
      <c r="G37" s="54" t="n">
        <v>39</v>
      </c>
      <c r="H37" s="58" t="n">
        <v>0.57</v>
      </c>
      <c r="I37" s="54" t="n">
        <f aca="false">G37+H37</f>
        <v>39.57</v>
      </c>
      <c r="J37" s="83" t="n">
        <f aca="false">IF(L37&gt;0,L37,0)</f>
        <v>66.7374363498866</v>
      </c>
      <c r="K37" s="54" t="n">
        <f aca="false">I37+J37</f>
        <v>106.307436349887</v>
      </c>
      <c r="L37" s="54" t="n">
        <f aca="false">F37-(I37-X37)</f>
        <v>66.7374363498866</v>
      </c>
      <c r="M37" s="90" t="n">
        <v>4.8</v>
      </c>
      <c r="N37" s="54" t="n">
        <v>0</v>
      </c>
      <c r="O37" s="54" t="n">
        <v>0</v>
      </c>
      <c r="P37" s="7" t="n">
        <f aca="false">M37-(N37+O37)</f>
        <v>4.8</v>
      </c>
      <c r="Q37" s="54" t="n">
        <v>0</v>
      </c>
      <c r="R37" s="54" t="n">
        <v>0</v>
      </c>
      <c r="S37" s="54" t="n">
        <f aca="false">SUM(P37:R37)</f>
        <v>4.8</v>
      </c>
      <c r="T37" s="55"/>
      <c r="U37" s="54" t="n">
        <v>0</v>
      </c>
      <c r="V37" s="54" t="n">
        <v>40</v>
      </c>
      <c r="W37" s="55" t="n">
        <f aca="false">W36-V37</f>
        <v>2326</v>
      </c>
      <c r="X37" s="7" t="n">
        <f aca="false">N37+O37+S37+U37+V37</f>
        <v>44.8</v>
      </c>
      <c r="Y37" s="54" t="n">
        <f aca="false">IF(L37&lt;0,L37*-1,0)</f>
        <v>0</v>
      </c>
      <c r="Z37" s="54" t="n">
        <f aca="false">X37+Y37</f>
        <v>44.8</v>
      </c>
      <c r="AA37" s="58" t="n">
        <v>0.32</v>
      </c>
      <c r="AB37" s="59" t="n">
        <v>28</v>
      </c>
      <c r="AC37" s="59" t="n">
        <v>20</v>
      </c>
      <c r="AD37" s="60" t="n">
        <f aca="false">AD36+1</f>
        <v>28</v>
      </c>
      <c r="AE37" s="95"/>
      <c r="AF37" s="97"/>
      <c r="AG37" s="96"/>
    </row>
    <row r="38" customFormat="false" ht="11.1" hidden="false" customHeight="true" outlineLevel="0" collapsed="false">
      <c r="A38" s="60" t="n">
        <f aca="false">A37+1</f>
        <v>29</v>
      </c>
      <c r="B38" s="75" t="n">
        <v>6881.16</v>
      </c>
      <c r="C38" s="55" t="n">
        <v>219678</v>
      </c>
      <c r="D38" s="59" t="n">
        <f aca="false">C38-C37</f>
        <v>0</v>
      </c>
      <c r="E38" s="55" t="n">
        <f aca="false">C38-152000</f>
        <v>67678</v>
      </c>
      <c r="F38" s="54" t="n">
        <f aca="false">D38/$D$2</f>
        <v>0</v>
      </c>
      <c r="G38" s="54" t="n">
        <v>39</v>
      </c>
      <c r="H38" s="58" t="n">
        <v>0.54</v>
      </c>
      <c r="I38" s="54" t="n">
        <f aca="false">G38+H38</f>
        <v>39.54</v>
      </c>
      <c r="J38" s="83" t="n">
        <f aca="false">IF(L38&gt;0,L38,0)</f>
        <v>6.26</v>
      </c>
      <c r="K38" s="54" t="n">
        <f aca="false">I38+J38</f>
        <v>45.8</v>
      </c>
      <c r="L38" s="54" t="n">
        <f aca="false">F38-(I38-X38)</f>
        <v>6.26</v>
      </c>
      <c r="M38" s="90" t="n">
        <v>4.8</v>
      </c>
      <c r="N38" s="54" t="n">
        <v>0</v>
      </c>
      <c r="O38" s="54" t="n">
        <v>0</v>
      </c>
      <c r="P38" s="7" t="n">
        <f aca="false">M38-(N38+O38)</f>
        <v>4.8</v>
      </c>
      <c r="Q38" s="54" t="n">
        <v>0</v>
      </c>
      <c r="R38" s="54" t="n">
        <v>0</v>
      </c>
      <c r="S38" s="54" t="n">
        <f aca="false">SUM(P38:R38)</f>
        <v>4.8</v>
      </c>
      <c r="T38" s="55"/>
      <c r="U38" s="54" t="n">
        <v>0</v>
      </c>
      <c r="V38" s="54" t="n">
        <v>41</v>
      </c>
      <c r="W38" s="55" t="n">
        <f aca="false">W37-V38</f>
        <v>2285</v>
      </c>
      <c r="X38" s="7" t="n">
        <f aca="false">N38+O38+S38+U38+V38</f>
        <v>45.8</v>
      </c>
      <c r="Y38" s="54" t="n">
        <f aca="false">IF(L38&lt;0,L38*-1,0)</f>
        <v>0</v>
      </c>
      <c r="Z38" s="54" t="n">
        <f aca="false">X38+Y38</f>
        <v>45.8</v>
      </c>
      <c r="AA38" s="58" t="n">
        <v>0</v>
      </c>
      <c r="AB38" s="84" t="n">
        <v>32</v>
      </c>
      <c r="AC38" s="59" t="n">
        <v>8</v>
      </c>
      <c r="AD38" s="60" t="n">
        <f aca="false">AD37+1</f>
        <v>29</v>
      </c>
      <c r="AE38" s="95"/>
      <c r="AF38" s="97"/>
      <c r="AG38" s="96"/>
    </row>
    <row r="39" customFormat="false" ht="11.1" hidden="false" customHeight="true" outlineLevel="0" collapsed="false">
      <c r="A39" s="60" t="n">
        <v>30</v>
      </c>
      <c r="B39" s="75" t="n">
        <v>6881.16</v>
      </c>
      <c r="C39" s="55" t="n">
        <v>219678</v>
      </c>
      <c r="D39" s="59" t="n">
        <f aca="false">C39-C38</f>
        <v>0</v>
      </c>
      <c r="E39" s="55" t="n">
        <f aca="false">C39-152000</f>
        <v>67678</v>
      </c>
      <c r="F39" s="54" t="n">
        <f aca="false">D39/$D$2</f>
        <v>0</v>
      </c>
      <c r="G39" s="54" t="n">
        <v>38</v>
      </c>
      <c r="H39" s="58" t="n">
        <v>0.49</v>
      </c>
      <c r="I39" s="54" t="n">
        <f aca="false">G39+H39</f>
        <v>38.49</v>
      </c>
      <c r="J39" s="83" t="n">
        <f aca="false">IF(L39&gt;0,L39,0)</f>
        <v>7.31</v>
      </c>
      <c r="K39" s="54" t="n">
        <f aca="false">I39+J39</f>
        <v>45.8</v>
      </c>
      <c r="L39" s="54" t="n">
        <f aca="false">F39-(I39-X39)</f>
        <v>7.31</v>
      </c>
      <c r="M39" s="90" t="n">
        <v>4.8</v>
      </c>
      <c r="N39" s="54" t="n">
        <v>0</v>
      </c>
      <c r="O39" s="54" t="n">
        <v>0</v>
      </c>
      <c r="P39" s="7" t="n">
        <f aca="false">M39-(N39+O39)</f>
        <v>4.8</v>
      </c>
      <c r="Q39" s="54" t="n">
        <v>0</v>
      </c>
      <c r="R39" s="54" t="n">
        <v>0</v>
      </c>
      <c r="S39" s="54" t="n">
        <f aca="false">SUM(P39:R39)</f>
        <v>4.8</v>
      </c>
      <c r="T39" s="55"/>
      <c r="U39" s="54" t="n">
        <v>0</v>
      </c>
      <c r="V39" s="54" t="n">
        <v>41</v>
      </c>
      <c r="W39" s="55" t="n">
        <f aca="false">W38-V39</f>
        <v>2244</v>
      </c>
      <c r="X39" s="7" t="n">
        <f aca="false">N39+O39+S39+U39+V39</f>
        <v>45.8</v>
      </c>
      <c r="Y39" s="54" t="n">
        <f aca="false">IF(L39&lt;0,L39*-1,0)</f>
        <v>0</v>
      </c>
      <c r="Z39" s="54" t="n">
        <f aca="false">X39+Y39</f>
        <v>45.8</v>
      </c>
      <c r="AA39" s="58" t="n">
        <v>0</v>
      </c>
      <c r="AB39" s="84" t="n">
        <v>29</v>
      </c>
      <c r="AC39" s="59" t="n">
        <v>11</v>
      </c>
      <c r="AD39" s="60" t="n">
        <v>30</v>
      </c>
      <c r="AE39" s="95"/>
      <c r="AF39" s="97"/>
      <c r="AG39" s="96"/>
    </row>
    <row r="40" customFormat="false" ht="11.1" hidden="false" customHeight="true" outlineLevel="0" collapsed="false">
      <c r="A40" s="60" t="n">
        <v>31</v>
      </c>
      <c r="B40" s="75" t="n">
        <v>6881.16</v>
      </c>
      <c r="C40" s="55" t="n">
        <v>219678</v>
      </c>
      <c r="D40" s="59" t="n">
        <f aca="false">C40-C39</f>
        <v>0</v>
      </c>
      <c r="E40" s="55" t="n">
        <f aca="false">C40-152000</f>
        <v>67678</v>
      </c>
      <c r="F40" s="54" t="n">
        <f aca="false">D40/$D$2</f>
        <v>0</v>
      </c>
      <c r="G40" s="54" t="n">
        <v>37</v>
      </c>
      <c r="H40" s="58" t="n">
        <v>0.46</v>
      </c>
      <c r="I40" s="54" t="n">
        <f aca="false">G40+H40</f>
        <v>37.46</v>
      </c>
      <c r="J40" s="83" t="n">
        <f aca="false">IF(L40&gt;0,L40,0)</f>
        <v>8.34</v>
      </c>
      <c r="K40" s="54" t="n">
        <f aca="false">I40+J40</f>
        <v>45.8</v>
      </c>
      <c r="L40" s="54" t="n">
        <f aca="false">F40-(I40-X40)</f>
        <v>8.34</v>
      </c>
      <c r="M40" s="90" t="n">
        <v>4.8</v>
      </c>
      <c r="N40" s="54" t="n">
        <v>0</v>
      </c>
      <c r="O40" s="54" t="n">
        <v>0</v>
      </c>
      <c r="P40" s="7" t="n">
        <f aca="false">M40-(N40+O40)</f>
        <v>4.8</v>
      </c>
      <c r="Q40" s="54" t="n">
        <v>0</v>
      </c>
      <c r="R40" s="54" t="n">
        <v>0</v>
      </c>
      <c r="S40" s="54" t="n">
        <f aca="false">SUM(P40:R40)</f>
        <v>4.8</v>
      </c>
      <c r="T40" s="55"/>
      <c r="U40" s="54" t="n">
        <v>0</v>
      </c>
      <c r="V40" s="54" t="n">
        <v>41</v>
      </c>
      <c r="W40" s="55" t="n">
        <f aca="false">W39-V40</f>
        <v>2203</v>
      </c>
      <c r="X40" s="7" t="n">
        <f aca="false">N40+O40+S40+U40+V40</f>
        <v>45.8</v>
      </c>
      <c r="Y40" s="54" t="n">
        <f aca="false">IF(L40&lt;0,L40*-1,0)</f>
        <v>0</v>
      </c>
      <c r="Z40" s="54" t="n">
        <f aca="false">X40+Y40</f>
        <v>45.8</v>
      </c>
      <c r="AA40" s="58" t="n">
        <v>0</v>
      </c>
      <c r="AB40" s="84" t="n">
        <v>29</v>
      </c>
      <c r="AC40" s="59" t="n">
        <v>1</v>
      </c>
      <c r="AD40" s="60" t="n">
        <v>31</v>
      </c>
      <c r="AE40" s="95"/>
      <c r="AF40" s="95"/>
      <c r="AG40" s="96"/>
    </row>
    <row r="41" customFormat="false" ht="3" hidden="false" customHeight="true" outlineLevel="0" collapsed="false">
      <c r="A41" s="76"/>
      <c r="B41" s="85"/>
      <c r="C41" s="78"/>
      <c r="D41" s="76"/>
      <c r="E41" s="78"/>
      <c r="F41" s="76"/>
      <c r="G41" s="85"/>
      <c r="H41" s="80"/>
      <c r="I41" s="76"/>
      <c r="J41" s="76"/>
      <c r="K41" s="76"/>
      <c r="L41" s="76"/>
      <c r="M41" s="100"/>
      <c r="N41" s="85"/>
      <c r="O41" s="76"/>
      <c r="P41" s="76"/>
      <c r="Q41" s="76"/>
      <c r="R41" s="76"/>
      <c r="S41" s="76"/>
      <c r="T41" s="78"/>
      <c r="U41" s="76"/>
      <c r="V41" s="85"/>
      <c r="W41" s="76"/>
      <c r="X41" s="76"/>
      <c r="Y41" s="76"/>
      <c r="Z41" s="76"/>
      <c r="AA41" s="80"/>
      <c r="AB41" s="81" t="n">
        <v>39</v>
      </c>
      <c r="AC41" s="81"/>
      <c r="AD41" s="82"/>
      <c r="AE41" s="95"/>
      <c r="AF41" s="95"/>
      <c r="AG41" s="96"/>
    </row>
    <row r="42" customFormat="false" ht="11.1" hidden="false" customHeight="true" outlineLevel="0" collapsed="false">
      <c r="A42" s="54" t="s">
        <v>46</v>
      </c>
      <c r="B42" s="54"/>
      <c r="C42" s="55"/>
      <c r="D42" s="55"/>
      <c r="E42" s="55"/>
      <c r="F42" s="55" t="n">
        <f aca="false">SUM(F10:F40)</f>
        <v>308.041341063776</v>
      </c>
      <c r="G42" s="55" t="n">
        <f aca="false">SUM(G10:G40)</f>
        <v>1267</v>
      </c>
      <c r="H42" s="58" t="n">
        <f aca="false">SUM(H10:H40)</f>
        <v>17.56</v>
      </c>
      <c r="I42" s="55" t="n">
        <f aca="false">SUM(I10:I40)</f>
        <v>1284.56</v>
      </c>
      <c r="J42" s="55" t="n">
        <f aca="false">SUM(J10:J40)</f>
        <v>479.523997983363</v>
      </c>
      <c r="K42" s="55" t="n">
        <f aca="false">SUM(K10:K40)</f>
        <v>1764.08399798336</v>
      </c>
      <c r="L42" s="55" t="n">
        <f aca="false">SUM(L10:L40)</f>
        <v>453.381341063776</v>
      </c>
      <c r="M42" s="90" t="n">
        <f aca="false">SUM(M10:M40)</f>
        <v>145.9</v>
      </c>
      <c r="N42" s="55" t="n">
        <f aca="false">SUM(N10:N40)</f>
        <v>0</v>
      </c>
      <c r="O42" s="55" t="n">
        <f aca="false">SUM(O10:O40)</f>
        <v>0</v>
      </c>
      <c r="P42" s="55" t="n">
        <f aca="false">SUM(P10:P40)</f>
        <v>145.9</v>
      </c>
      <c r="Q42" s="55" t="n">
        <f aca="false">SUM(Q10:Q40)</f>
        <v>0</v>
      </c>
      <c r="R42" s="55" t="n">
        <f aca="false">SUM(R10:R40)</f>
        <v>0</v>
      </c>
      <c r="S42" s="55" t="n">
        <f aca="false">SUM(S10:S40)</f>
        <v>145.9</v>
      </c>
      <c r="T42" s="55"/>
      <c r="U42" s="55" t="n">
        <f aca="false">SUM(U10:U40)</f>
        <v>0</v>
      </c>
      <c r="V42" s="55" t="n">
        <f aca="false">SUM(V10:V40)</f>
        <v>1284</v>
      </c>
      <c r="W42" s="55"/>
      <c r="X42" s="55" t="n">
        <f aca="false">SUM(X10:X40)</f>
        <v>1429.9</v>
      </c>
      <c r="Y42" s="55" t="n">
        <f aca="false">SUM(Y10:Y40)</f>
        <v>26.1426569195866</v>
      </c>
      <c r="Z42" s="55" t="n">
        <f aca="false">SUM(Z10:Z40)</f>
        <v>1456.04265691959</v>
      </c>
      <c r="AA42" s="58" t="n">
        <f aca="false">SUM(AA10:AA40)</f>
        <v>1.23</v>
      </c>
      <c r="AB42" s="59" t="n">
        <f aca="false">AVERAGE(AB10:AB40)</f>
        <v>39</v>
      </c>
      <c r="AC42" s="59" t="n">
        <f aca="false">AVERAGE(AC10:AC40)</f>
        <v>14.9354838709677</v>
      </c>
      <c r="AD42" s="60" t="s">
        <v>59</v>
      </c>
      <c r="AE42" s="95"/>
      <c r="AF42" s="95"/>
      <c r="AG42" s="96"/>
    </row>
    <row r="43" customFormat="false" ht="11.1" hidden="false" customHeight="true" outlineLevel="0" collapsed="false">
      <c r="A43" s="54" t="s">
        <v>48</v>
      </c>
      <c r="B43" s="54"/>
      <c r="C43" s="55"/>
      <c r="D43" s="55" t="n">
        <f aca="false">SUM(D10:D40)</f>
        <v>611</v>
      </c>
      <c r="E43" s="55"/>
      <c r="F43" s="55" t="n">
        <f aca="false">F42*$D$2</f>
        <v>611</v>
      </c>
      <c r="G43" s="55" t="n">
        <f aca="false">G42*$D$2</f>
        <v>2513.0945</v>
      </c>
      <c r="H43" s="58" t="n">
        <f aca="false">H42*$D$2</f>
        <v>34.83026</v>
      </c>
      <c r="I43" s="55" t="n">
        <f aca="false">I42*$D$2</f>
        <v>2547.92476</v>
      </c>
      <c r="J43" s="55" t="n">
        <f aca="false">J42*$D$2</f>
        <v>951.13585</v>
      </c>
      <c r="K43" s="55" t="n">
        <f aca="false">K42*$D$2</f>
        <v>3499.06061</v>
      </c>
      <c r="L43" s="55" t="n">
        <f aca="false">L42*$D$2</f>
        <v>899.28189</v>
      </c>
      <c r="M43" s="90" t="n">
        <f aca="false">M42*$D$2</f>
        <v>289.39265</v>
      </c>
      <c r="N43" s="55" t="n">
        <f aca="false">N42*$D$2</f>
        <v>0</v>
      </c>
      <c r="O43" s="55" t="n">
        <f aca="false">O42*$D$2</f>
        <v>0</v>
      </c>
      <c r="P43" s="55" t="n">
        <f aca="false">P42*$D$2</f>
        <v>289.39265</v>
      </c>
      <c r="Q43" s="55" t="n">
        <f aca="false">Q42*$D$2</f>
        <v>0</v>
      </c>
      <c r="R43" s="55" t="n">
        <f aca="false">R42*$D$2</f>
        <v>0</v>
      </c>
      <c r="S43" s="55" t="n">
        <f aca="false">S42*$D$2</f>
        <v>289.39265</v>
      </c>
      <c r="T43" s="55"/>
      <c r="U43" s="55" t="n">
        <f aca="false">U42*$D$2</f>
        <v>0</v>
      </c>
      <c r="V43" s="55" t="n">
        <f aca="false">V42*$D$2</f>
        <v>2546.814</v>
      </c>
      <c r="W43" s="55"/>
      <c r="X43" s="55" t="n">
        <f aca="false">X42*$D$2</f>
        <v>2836.20665</v>
      </c>
      <c r="Y43" s="55" t="n">
        <f aca="false">Y42*$D$2</f>
        <v>51.85396</v>
      </c>
      <c r="Z43" s="55" t="n">
        <f aca="false">Z42*$D$2</f>
        <v>2888.06061</v>
      </c>
      <c r="AA43" s="58"/>
      <c r="AB43" s="59" t="n">
        <f aca="false">MAX(AB10:AB40)</f>
        <v>53</v>
      </c>
      <c r="AC43" s="59" t="n">
        <f aca="false">MAX(AC10:AC40)</f>
        <v>27</v>
      </c>
      <c r="AD43" s="60" t="s">
        <v>49</v>
      </c>
      <c r="AE43" s="95"/>
      <c r="AF43" s="95"/>
      <c r="AG43" s="96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9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5"/>
      <c r="AF44" s="95"/>
      <c r="AG44" s="96"/>
    </row>
    <row r="45" customFormat="false" ht="11.1" hidden="false" customHeight="true" outlineLevel="0" collapsed="false">
      <c r="A45" s="54" t="s">
        <v>50</v>
      </c>
      <c r="B45" s="54"/>
      <c r="C45" s="55"/>
      <c r="D45" s="55"/>
      <c r="E45" s="55"/>
      <c r="F45" s="55"/>
      <c r="G45" s="55"/>
      <c r="H45" s="58"/>
      <c r="I45" s="55"/>
      <c r="J45" s="55"/>
      <c r="K45" s="55"/>
      <c r="L45" s="55"/>
      <c r="M45" s="90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8"/>
      <c r="AB45" s="59" t="n">
        <f aca="false">MIN(AB10:AB40)</f>
        <v>28</v>
      </c>
      <c r="AC45" s="59" t="n">
        <f aca="false">MIN(AC10:AC40)</f>
        <v>1</v>
      </c>
      <c r="AD45" s="60" t="s">
        <v>51</v>
      </c>
      <c r="AE45" s="95"/>
      <c r="AF45" s="95"/>
      <c r="AG45" s="96"/>
    </row>
    <row r="46" customFormat="false" ht="11.1" hidden="false" customHeight="true" outlineLevel="0" collapsed="false">
      <c r="A46" s="54" t="s">
        <v>52</v>
      </c>
      <c r="B46" s="54"/>
      <c r="C46" s="55"/>
      <c r="D46" s="55"/>
      <c r="E46" s="55"/>
      <c r="F46" s="55"/>
      <c r="G46" s="55"/>
      <c r="H46" s="58"/>
      <c r="I46" s="55"/>
      <c r="J46" s="55"/>
      <c r="K46" s="55"/>
      <c r="L46" s="55"/>
      <c r="M46" s="90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8"/>
      <c r="AB46" s="59"/>
      <c r="AC46" s="59"/>
      <c r="AD46" s="60"/>
      <c r="AE46" s="95"/>
      <c r="AF46" s="95"/>
      <c r="AG46" s="96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9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5"/>
      <c r="AF47" s="95"/>
      <c r="AG47" s="96"/>
    </row>
    <row r="48" customFormat="false" ht="11.1" hidden="false" customHeight="true" outlineLevel="0" collapsed="false">
      <c r="A48" s="54" t="s">
        <v>53</v>
      </c>
      <c r="B48" s="54"/>
      <c r="C48" s="55"/>
      <c r="D48" s="55"/>
      <c r="E48" s="55"/>
      <c r="F48" s="55" t="n">
        <f aca="false">F8+F42</f>
        <v>1115.70456264179</v>
      </c>
      <c r="G48" s="55" t="n">
        <f aca="false">G8+G42</f>
        <v>4785</v>
      </c>
      <c r="H48" s="58" t="n">
        <f aca="false">H8+H42</f>
        <v>44.14</v>
      </c>
      <c r="I48" s="55" t="n">
        <f aca="false">I8+I42</f>
        <v>4829.14</v>
      </c>
      <c r="J48" s="55" t="n">
        <f aca="false">J8+J42</f>
        <v>799.955265944038</v>
      </c>
      <c r="K48" s="55" t="n">
        <f aca="false">K8+K42</f>
        <v>5629.09526594404</v>
      </c>
      <c r="L48" s="55" t="n">
        <f aca="false">L8+L42</f>
        <v>556.764562641795</v>
      </c>
      <c r="M48" s="90" t="n">
        <f aca="false">M8+M42</f>
        <v>465.2</v>
      </c>
      <c r="N48" s="55" t="n">
        <f aca="false">N8+N42</f>
        <v>0</v>
      </c>
      <c r="O48" s="55" t="n">
        <f aca="false">O8+O42</f>
        <v>79.8835</v>
      </c>
      <c r="P48" s="55" t="n">
        <f aca="false">P8+P42</f>
        <v>385.3165</v>
      </c>
      <c r="Q48" s="55" t="n">
        <f aca="false">Q8+Q42</f>
        <v>0</v>
      </c>
      <c r="R48" s="55" t="n">
        <f aca="false">R8+R42</f>
        <v>0</v>
      </c>
      <c r="S48" s="55" t="n">
        <f aca="false">S8+S42</f>
        <v>385.3165</v>
      </c>
      <c r="T48" s="55"/>
      <c r="U48" s="55" t="n">
        <f aca="false">U8+U42</f>
        <v>0</v>
      </c>
      <c r="V48" s="55" t="n">
        <f aca="false">V8+V42</f>
        <v>3805</v>
      </c>
      <c r="W48" s="55" t="n">
        <f aca="false">W40</f>
        <v>2203</v>
      </c>
      <c r="X48" s="55" t="n">
        <f aca="false">X8+X42</f>
        <v>4270.2</v>
      </c>
      <c r="Y48" s="55" t="n">
        <f aca="false">Y8+Y42</f>
        <v>243.190703302244</v>
      </c>
      <c r="Z48" s="55" t="n">
        <f aca="false">Z8+Z42</f>
        <v>4513.39070330224</v>
      </c>
      <c r="AA48" s="58" t="n">
        <f aca="false">AA8+AA42</f>
        <v>3.05</v>
      </c>
      <c r="AB48" s="59"/>
      <c r="AC48" s="59"/>
      <c r="AD48" s="60"/>
      <c r="AE48" s="95"/>
      <c r="AF48" s="95"/>
      <c r="AG48" s="96"/>
    </row>
    <row r="49" customFormat="false" ht="11.1" hidden="false" customHeight="true" outlineLevel="0" collapsed="false">
      <c r="A49" s="54" t="s">
        <v>54</v>
      </c>
      <c r="B49" s="54"/>
      <c r="C49" s="55"/>
      <c r="D49" s="55" t="n">
        <f aca="false">D8+D43</f>
        <v>2213</v>
      </c>
      <c r="E49" s="55" t="n">
        <f aca="false">E40</f>
        <v>67678</v>
      </c>
      <c r="F49" s="55" t="n">
        <f aca="false">F48*$D$2</f>
        <v>2213</v>
      </c>
      <c r="G49" s="55" t="n">
        <f aca="false">G48*$D$2</f>
        <v>9491.0475</v>
      </c>
      <c r="H49" s="58" t="n">
        <f aca="false">H48*$D$2</f>
        <v>87.55169</v>
      </c>
      <c r="I49" s="55" t="n">
        <f aca="false">I48*$D$2</f>
        <v>9578.59919</v>
      </c>
      <c r="J49" s="55" t="n">
        <f aca="false">J48*$D$2</f>
        <v>1586.71127</v>
      </c>
      <c r="K49" s="55" t="n">
        <f aca="false">K48*$D$2</f>
        <v>11165.31046</v>
      </c>
      <c r="L49" s="55" t="n">
        <f aca="false">L48*$D$2</f>
        <v>1104.34251</v>
      </c>
      <c r="M49" s="90" t="n">
        <f aca="false">M48*$D$2</f>
        <v>922.7242</v>
      </c>
      <c r="N49" s="55" t="n">
        <f aca="false">N48*$D$2</f>
        <v>0</v>
      </c>
      <c r="O49" s="55" t="n">
        <f aca="false">O48*$D$2</f>
        <v>158.44892225</v>
      </c>
      <c r="P49" s="55" t="n">
        <f aca="false">P48*$D$2</f>
        <v>764.27527775</v>
      </c>
      <c r="Q49" s="55" t="n">
        <f aca="false">Q48*$D$2</f>
        <v>0</v>
      </c>
      <c r="R49" s="55" t="n">
        <f aca="false">R48*$D$2</f>
        <v>0</v>
      </c>
      <c r="S49" s="55" t="n">
        <f aca="false">S48*$D$2</f>
        <v>764.27527775</v>
      </c>
      <c r="T49" s="55" t="n">
        <f aca="false">T48*$D$2</f>
        <v>0</v>
      </c>
      <c r="U49" s="55" t="n">
        <f aca="false">U48*$D$2</f>
        <v>0</v>
      </c>
      <c r="V49" s="55" t="n">
        <f aca="false">V48*$D$2</f>
        <v>7547.2175</v>
      </c>
      <c r="W49" s="55" t="n">
        <f aca="false">W48*$D$2</f>
        <v>4369.6505</v>
      </c>
      <c r="X49" s="55" t="n">
        <f aca="false">X48*$D$2</f>
        <v>8469.9417</v>
      </c>
      <c r="Y49" s="55" t="n">
        <f aca="false">Y48*$D$2</f>
        <v>482.36876</v>
      </c>
      <c r="Z49" s="55" t="n">
        <f aca="false">Z48*$D$2</f>
        <v>8952.31046</v>
      </c>
      <c r="AA49" s="58"/>
      <c r="AB49" s="59"/>
      <c r="AC49" s="59"/>
      <c r="AD49" s="60"/>
      <c r="AE49" s="95"/>
      <c r="AF49" s="95"/>
      <c r="AG49" s="96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98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5"/>
      <c r="AF50" s="95"/>
      <c r="AG50" s="96"/>
    </row>
    <row r="51" customFormat="false" ht="11.1" hidden="false" customHeight="true" outlineLevel="0" collapsed="false">
      <c r="A51" s="54"/>
      <c r="B51" s="86"/>
      <c r="C51" s="55"/>
      <c r="D51" s="54"/>
      <c r="E51" s="55"/>
      <c r="F51" s="54"/>
      <c r="G51" s="54"/>
      <c r="H51" s="58"/>
      <c r="I51" s="54"/>
      <c r="J51" s="54"/>
      <c r="K51" s="54"/>
      <c r="L51" s="54"/>
      <c r="M51" s="90"/>
      <c r="N51" s="54"/>
      <c r="O51" s="54"/>
      <c r="P51" s="54"/>
      <c r="Q51" s="54"/>
      <c r="R51" s="54"/>
      <c r="S51" s="54"/>
      <c r="T51" s="55"/>
      <c r="U51" s="54"/>
      <c r="V51" s="54"/>
      <c r="W51" s="55"/>
      <c r="X51" s="54"/>
      <c r="Y51" s="54"/>
      <c r="Z51" s="54"/>
      <c r="AA51" s="58"/>
      <c r="AB51" s="59"/>
      <c r="AC51" s="59"/>
      <c r="AD51" s="60"/>
      <c r="AE51" s="91"/>
      <c r="AF51" s="91"/>
    </row>
    <row r="52" customFormat="false" ht="11.1" hidden="false" customHeight="true" outlineLevel="0" collapsed="false">
      <c r="A52" s="54"/>
      <c r="B52" s="75"/>
      <c r="C52" s="55"/>
      <c r="D52" s="84"/>
      <c r="E52" s="55"/>
      <c r="F52" s="54"/>
      <c r="G52" s="54"/>
      <c r="H52" s="58"/>
      <c r="I52" s="87"/>
      <c r="J52" s="54"/>
      <c r="K52" s="45"/>
      <c r="L52" s="54"/>
      <c r="M52" s="90"/>
      <c r="N52" s="54"/>
      <c r="O52" s="54"/>
      <c r="P52" s="54"/>
      <c r="Q52" s="54"/>
      <c r="R52" s="54"/>
      <c r="S52" s="54"/>
      <c r="T52" s="55"/>
      <c r="U52" s="54"/>
      <c r="V52" s="54"/>
      <c r="W52" s="55"/>
      <c r="X52" s="54"/>
      <c r="Y52" s="54"/>
      <c r="Z52" s="54"/>
      <c r="AA52" s="58"/>
      <c r="AB52" s="59"/>
      <c r="AC52" s="59"/>
      <c r="AD52" s="60"/>
      <c r="AE52" s="91"/>
      <c r="AF52" s="91"/>
    </row>
    <row r="53" customFormat="false" ht="11.1" hidden="false" customHeight="true" outlineLevel="0" collapsed="false">
      <c r="A53" s="84"/>
      <c r="B53" s="84"/>
      <c r="C53" s="55"/>
      <c r="D53" s="55"/>
      <c r="E53" s="55"/>
      <c r="F53" s="84"/>
      <c r="G53" s="84"/>
      <c r="H53" s="58"/>
      <c r="I53" s="84"/>
      <c r="J53" s="84"/>
      <c r="K53" s="84"/>
      <c r="L53" s="84"/>
      <c r="M53" s="90"/>
      <c r="N53" s="83"/>
      <c r="O53" s="83"/>
      <c r="P53" s="83"/>
      <c r="Q53" s="84"/>
      <c r="R53" s="84"/>
      <c r="S53" s="84"/>
      <c r="T53" s="55"/>
      <c r="U53" s="84"/>
      <c r="V53" s="84"/>
      <c r="W53" s="55"/>
      <c r="X53" s="84"/>
      <c r="Y53" s="84"/>
      <c r="Z53" s="84"/>
      <c r="AA53" s="58"/>
      <c r="AB53" s="59"/>
      <c r="AC53" s="59"/>
      <c r="AD53" s="60"/>
      <c r="AE53" s="101"/>
      <c r="AF53" s="101"/>
    </row>
    <row r="54" customFormat="false" ht="11.1" hidden="false" customHeight="true" outlineLevel="0" collapsed="false">
      <c r="A54" s="84"/>
      <c r="B54" s="56"/>
      <c r="C54" s="55"/>
      <c r="D54" s="55"/>
      <c r="E54" s="55"/>
      <c r="F54" s="84"/>
      <c r="G54" s="84"/>
      <c r="H54" s="58"/>
      <c r="I54" s="84"/>
      <c r="J54" s="84"/>
      <c r="K54" s="84"/>
      <c r="L54" s="84"/>
      <c r="M54" s="90"/>
      <c r="N54" s="83"/>
      <c r="O54" s="83"/>
      <c r="P54" s="84"/>
      <c r="Q54" s="84"/>
      <c r="R54" s="84"/>
      <c r="S54" s="55"/>
      <c r="T54" s="84"/>
      <c r="U54" s="84"/>
      <c r="V54" s="55"/>
      <c r="W54" s="84"/>
      <c r="X54" s="84"/>
      <c r="Y54" s="84"/>
      <c r="Z54" s="56"/>
      <c r="AA54" s="58"/>
      <c r="AB54" s="59"/>
      <c r="AC54" s="60"/>
      <c r="AD54" s="101"/>
      <c r="AE54" s="101"/>
    </row>
    <row r="55" customFormat="false" ht="11.1" hidden="false" customHeight="true" outlineLevel="0" collapsed="false">
      <c r="A55" s="84"/>
      <c r="B55" s="84"/>
      <c r="C55" s="55"/>
      <c r="D55" s="84"/>
      <c r="E55" s="55"/>
      <c r="F55" s="84"/>
      <c r="G55" s="88"/>
      <c r="H55" s="58"/>
      <c r="I55" s="84"/>
      <c r="J55" s="84"/>
      <c r="K55" s="84"/>
      <c r="L55" s="84"/>
      <c r="M55" s="90"/>
      <c r="N55" s="83"/>
      <c r="O55" s="83"/>
      <c r="P55" s="84"/>
      <c r="Q55" s="84"/>
      <c r="R55" s="84"/>
      <c r="S55" s="55"/>
      <c r="T55" s="84"/>
      <c r="U55" s="84"/>
      <c r="V55" s="55"/>
      <c r="W55" s="84"/>
      <c r="X55" s="84"/>
      <c r="Y55" s="84"/>
      <c r="Z55" s="56"/>
      <c r="AA55" s="58"/>
      <c r="AB55" s="59"/>
      <c r="AC55" s="60"/>
      <c r="AD55" s="101"/>
      <c r="AE55" s="101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7" width="5.66"/>
    <col collapsed="false" customWidth="true" hidden="false" outlineLevel="0" max="2" min="2" style="47" width="7.82"/>
    <col collapsed="false" customWidth="true" hidden="false" outlineLevel="0" max="3" min="3" style="48" width="7.66"/>
    <col collapsed="false" customWidth="true" hidden="false" outlineLevel="0" max="4" min="4" style="47" width="6.99"/>
    <col collapsed="false" customWidth="true" hidden="false" outlineLevel="0" max="5" min="5" style="48" width="7.66"/>
    <col collapsed="false" customWidth="true" hidden="false" outlineLevel="0" max="6" min="6" style="47" width="7.66"/>
    <col collapsed="false" customWidth="true" hidden="false" outlineLevel="0" max="7" min="7" style="47" width="7.16"/>
    <col collapsed="false" customWidth="true" hidden="false" outlineLevel="0" max="8" min="8" style="51" width="6.66"/>
    <col collapsed="false" customWidth="true" hidden="false" outlineLevel="0" max="9" min="9" style="47" width="7.99"/>
    <col collapsed="false" customWidth="true" hidden="false" outlineLevel="0" max="10" min="10" style="47" width="6.66"/>
    <col collapsed="false" customWidth="true" hidden="false" outlineLevel="0" max="12" min="11" style="47" width="7.16"/>
    <col collapsed="false" customWidth="true" hidden="false" outlineLevel="0" max="13" min="13" style="50" width="6.16"/>
    <col collapsed="false" customWidth="true" hidden="false" outlineLevel="0" max="14" min="14" style="50" width="7.32"/>
    <col collapsed="false" customWidth="true" hidden="false" outlineLevel="0" max="15" min="15" style="50" width="6.49"/>
    <col collapsed="false" customWidth="true" hidden="false" outlineLevel="0" max="16" min="16" style="47" width="7.16"/>
    <col collapsed="false" customWidth="true" hidden="false" outlineLevel="0" max="17" min="17" style="47" width="6.32"/>
    <col collapsed="false" customWidth="true" hidden="false" outlineLevel="0" max="18" min="18" style="47" width="5.82"/>
    <col collapsed="false" customWidth="true" hidden="false" outlineLevel="0" max="19" min="19" style="48" width="6.82"/>
    <col collapsed="false" customWidth="true" hidden="false" outlineLevel="0" max="20" min="20" style="47" width="7.66"/>
    <col collapsed="false" customWidth="true" hidden="false" outlineLevel="0" max="21" min="21" style="47" width="5.99"/>
    <col collapsed="false" customWidth="true" hidden="false" outlineLevel="0" max="22" min="22" style="48" width="6.66"/>
    <col collapsed="false" customWidth="true" hidden="false" outlineLevel="0" max="23" min="23" style="47" width="6.82"/>
    <col collapsed="false" customWidth="true" hidden="false" outlineLevel="0" max="25" min="24" style="47" width="7.82"/>
    <col collapsed="false" customWidth="true" hidden="false" outlineLevel="0" max="26" min="26" style="49" width="8.16"/>
    <col collapsed="false" customWidth="true" hidden="false" outlineLevel="0" max="27" min="27" style="51" width="4.66"/>
    <col collapsed="false" customWidth="true" hidden="false" outlineLevel="0" max="28" min="28" style="52" width="4.66"/>
    <col collapsed="false" customWidth="true" hidden="false" outlineLevel="0" max="29" min="29" style="53" width="4.66"/>
    <col collapsed="false" customWidth="true" hidden="false" outlineLevel="0" max="30" min="30" style="47" width="5.66"/>
    <col collapsed="false" customWidth="false" hidden="false" outlineLevel="0" max="257" min="31" style="47" width="9.32"/>
  </cols>
  <sheetData>
    <row r="1" customFormat="false" ht="14.1" hidden="false" customHeight="true" outlineLevel="0" collapsed="false">
      <c r="A1" s="54"/>
      <c r="B1" s="54"/>
      <c r="C1" s="55"/>
      <c r="D1" s="54"/>
      <c r="E1" s="55"/>
      <c r="F1" s="54"/>
      <c r="G1" s="54"/>
      <c r="H1" s="58"/>
      <c r="I1" s="54"/>
      <c r="J1" s="54"/>
      <c r="K1" s="57" t="s">
        <v>0</v>
      </c>
      <c r="L1" s="54"/>
      <c r="M1" s="54"/>
      <c r="N1" s="54"/>
      <c r="O1" s="54"/>
      <c r="P1" s="54"/>
      <c r="Q1" s="54"/>
      <c r="R1" s="54"/>
      <c r="S1" s="55"/>
      <c r="T1" s="54"/>
      <c r="U1" s="54"/>
      <c r="V1" s="55"/>
      <c r="W1" s="54"/>
      <c r="X1" s="54"/>
      <c r="Y1" s="54"/>
      <c r="Z1" s="56"/>
      <c r="AA1" s="58"/>
      <c r="AB1" s="59"/>
      <c r="AC1" s="60"/>
      <c r="AD1" s="91"/>
      <c r="AE1" s="91"/>
    </row>
    <row r="2" customFormat="false" ht="14.1" hidden="false" customHeight="true" outlineLevel="0" collapsed="false">
      <c r="A2" s="54" t="s">
        <v>1</v>
      </c>
      <c r="B2" s="54"/>
      <c r="C2" s="55"/>
      <c r="D2" s="61" t="n">
        <v>1.9835</v>
      </c>
      <c r="E2" s="55"/>
      <c r="F2" s="54"/>
      <c r="G2" s="54"/>
      <c r="H2" s="58"/>
      <c r="I2" s="54"/>
      <c r="J2" s="54"/>
      <c r="K2" s="62" t="s">
        <v>60</v>
      </c>
      <c r="L2" s="62"/>
      <c r="M2" s="62"/>
      <c r="N2" s="62"/>
      <c r="O2" s="62"/>
      <c r="P2" s="62"/>
      <c r="Q2" s="62"/>
      <c r="R2" s="62"/>
      <c r="S2" s="62"/>
      <c r="T2" s="62"/>
      <c r="U2" s="54"/>
      <c r="V2" s="55"/>
      <c r="W2" s="54"/>
      <c r="X2" s="54"/>
      <c r="Y2" s="54"/>
      <c r="Z2" s="56"/>
      <c r="AA2" s="58"/>
      <c r="AB2" s="59"/>
      <c r="AC2" s="60"/>
      <c r="AD2" s="91"/>
      <c r="AE2" s="91"/>
    </row>
    <row r="3" customFormat="false" ht="11.1" hidden="false" customHeight="true" outlineLevel="0" collapsed="false">
      <c r="A3" s="54"/>
      <c r="B3" s="54"/>
      <c r="C3" s="55"/>
      <c r="D3" s="63"/>
      <c r="E3" s="55"/>
      <c r="F3" s="54"/>
      <c r="G3" s="54"/>
      <c r="H3" s="58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54"/>
      <c r="U3" s="54"/>
      <c r="V3" s="55"/>
      <c r="W3" s="54"/>
      <c r="X3" s="54"/>
      <c r="Y3" s="54"/>
      <c r="Z3" s="56"/>
      <c r="AA3" s="58"/>
      <c r="AB3" s="59"/>
      <c r="AC3" s="60"/>
      <c r="AD3" s="91"/>
      <c r="AE3" s="91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1"/>
      <c r="AF4" s="91"/>
    </row>
    <row r="5" customFormat="false" ht="11.1" hidden="false" customHeight="true" outlineLevel="0" collapsed="false">
      <c r="A5" s="69" t="s">
        <v>61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61</v>
      </c>
      <c r="AE5" s="91"/>
      <c r="AF5" s="91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3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5"/>
      <c r="AF6" s="95"/>
      <c r="AG6" s="96"/>
    </row>
    <row r="7" customFormat="false" ht="11.1" hidden="false" customHeight="true" outlineLevel="0" collapsed="false">
      <c r="A7" s="54" t="s">
        <v>44</v>
      </c>
      <c r="B7" s="54"/>
      <c r="C7" s="55"/>
      <c r="D7" s="55"/>
      <c r="E7" s="55"/>
      <c r="F7" s="55"/>
      <c r="G7" s="55"/>
      <c r="H7" s="58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8"/>
      <c r="AB7" s="59"/>
      <c r="AC7" s="59"/>
      <c r="AD7" s="60"/>
      <c r="AE7" s="95"/>
      <c r="AF7" s="96"/>
      <c r="AG7" s="96"/>
    </row>
    <row r="8" s="48" customFormat="true" ht="11.1" hidden="false" customHeight="true" outlineLevel="0" collapsed="false">
      <c r="A8" s="55" t="s">
        <v>45</v>
      </c>
      <c r="B8" s="75" t="n">
        <f aca="false">JAN!B40</f>
        <v>6881.16</v>
      </c>
      <c r="C8" s="55" t="n">
        <f aca="false">JAN!C40</f>
        <v>219678</v>
      </c>
      <c r="D8" s="55" t="n">
        <f aca="false">JAN!$D$49</f>
        <v>2213</v>
      </c>
      <c r="E8" s="55" t="n">
        <f aca="false">JAN!$E$40</f>
        <v>67678</v>
      </c>
      <c r="F8" s="55" t="n">
        <f aca="false">JAN!F48</f>
        <v>1115.70456264179</v>
      </c>
      <c r="G8" s="55" t="n">
        <f aca="false">JAN!G48</f>
        <v>4785</v>
      </c>
      <c r="H8" s="58" t="n">
        <f aca="false">JAN!H48</f>
        <v>44.14</v>
      </c>
      <c r="I8" s="55" t="n">
        <f aca="false">JAN!I48</f>
        <v>4829.14</v>
      </c>
      <c r="J8" s="55" t="n">
        <f aca="false">JAN!J48</f>
        <v>799.955265944038</v>
      </c>
      <c r="K8" s="55" t="n">
        <f aca="false">JAN!K48</f>
        <v>5629.09526594404</v>
      </c>
      <c r="L8" s="55" t="n">
        <f aca="false">JAN!L48</f>
        <v>556.764562641795</v>
      </c>
      <c r="M8" s="55" t="n">
        <f aca="false">JAN!M48</f>
        <v>465.2</v>
      </c>
      <c r="N8" s="55" t="n">
        <f aca="false">JAN!N48</f>
        <v>0</v>
      </c>
      <c r="O8" s="55" t="n">
        <f aca="false">JAN!O48</f>
        <v>79.8835</v>
      </c>
      <c r="P8" s="55" t="n">
        <f aca="false">JAN!P48</f>
        <v>385.3165</v>
      </c>
      <c r="Q8" s="55" t="n">
        <f aca="false">JAN!Q48</f>
        <v>0</v>
      </c>
      <c r="R8" s="55" t="n">
        <f aca="false">JAN!R48</f>
        <v>0</v>
      </c>
      <c r="S8" s="55" t="n">
        <f aca="false">JAN!S48</f>
        <v>385.3165</v>
      </c>
      <c r="T8" s="55" t="n">
        <f aca="false">JAN!T48</f>
        <v>0</v>
      </c>
      <c r="U8" s="55" t="n">
        <f aca="false">JAN!U48</f>
        <v>0</v>
      </c>
      <c r="V8" s="55" t="n">
        <f aca="false">JAN!V48</f>
        <v>3805</v>
      </c>
      <c r="W8" s="55" t="n">
        <f aca="false">JAN!W48</f>
        <v>2203</v>
      </c>
      <c r="X8" s="55" t="n">
        <f aca="false">JAN!X48</f>
        <v>4270.2</v>
      </c>
      <c r="Y8" s="55" t="n">
        <f aca="false">JAN!Y48</f>
        <v>243.190703302244</v>
      </c>
      <c r="Z8" s="55" t="n">
        <f aca="false">JAN!Z48</f>
        <v>4513.39070330224</v>
      </c>
      <c r="AA8" s="58" t="n">
        <f aca="false">JAN!AA48</f>
        <v>3.05</v>
      </c>
      <c r="AB8" s="59"/>
      <c r="AC8" s="59"/>
      <c r="AD8" s="60"/>
      <c r="AE8" s="97"/>
      <c r="AF8" s="95"/>
      <c r="AG8" s="97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5"/>
      <c r="AF9" s="95"/>
      <c r="AG9" s="96"/>
    </row>
    <row r="10" customFormat="false" ht="11.1" hidden="false" customHeight="true" outlineLevel="0" collapsed="false">
      <c r="A10" s="60" t="n">
        <v>1</v>
      </c>
      <c r="B10" s="75" t="n">
        <v>6881.17</v>
      </c>
      <c r="C10" s="55" t="n">
        <v>219709</v>
      </c>
      <c r="D10" s="59" t="n">
        <f aca="false">C10-C8</f>
        <v>31</v>
      </c>
      <c r="E10" s="55" t="n">
        <f aca="false">C10-152000</f>
        <v>67709</v>
      </c>
      <c r="F10" s="54" t="n">
        <f aca="false">D10/$D$2</f>
        <v>15.6289387446433</v>
      </c>
      <c r="G10" s="54" t="n">
        <v>34</v>
      </c>
      <c r="H10" s="58" t="n">
        <v>0.44</v>
      </c>
      <c r="I10" s="54" t="n">
        <f aca="false">G10+H10</f>
        <v>34.44</v>
      </c>
      <c r="J10" s="83" t="n">
        <f aca="false">IF(L10&gt;0,L10,0)</f>
        <v>26.9889387446433</v>
      </c>
      <c r="K10" s="54" t="n">
        <f aca="false">I10+J10</f>
        <v>61.4289387446433</v>
      </c>
      <c r="L10" s="54" t="n">
        <f aca="false">F10-(I10-X10)</f>
        <v>26.9889387446433</v>
      </c>
      <c r="M10" s="54" t="n">
        <v>4.8</v>
      </c>
      <c r="N10" s="54" t="n">
        <v>0</v>
      </c>
      <c r="O10" s="54" t="n">
        <v>0</v>
      </c>
      <c r="P10" s="7" t="n">
        <f aca="false">M10-(N10+O10)</f>
        <v>4.8</v>
      </c>
      <c r="Q10" s="54" t="n">
        <v>0</v>
      </c>
      <c r="R10" s="54" t="n">
        <v>0</v>
      </c>
      <c r="S10" s="54" t="n">
        <f aca="false">SUM(P10:R10)</f>
        <v>4.8</v>
      </c>
      <c r="T10" s="55"/>
      <c r="U10" s="54" t="n">
        <v>0</v>
      </c>
      <c r="V10" s="54" t="n">
        <v>41</v>
      </c>
      <c r="W10" s="55" t="n">
        <f aca="false">W8-V10</f>
        <v>2162</v>
      </c>
      <c r="X10" s="7" t="n">
        <f aca="false">N10+O10+S10+U10+V10</f>
        <v>45.8</v>
      </c>
      <c r="Y10" s="54" t="n">
        <f aca="false">IF(L10&lt;0,L10*-1,0)</f>
        <v>0</v>
      </c>
      <c r="Z10" s="54" t="n">
        <f aca="false">X10+Y10</f>
        <v>45.8</v>
      </c>
      <c r="AA10" s="58" t="n">
        <v>0</v>
      </c>
      <c r="AB10" s="59" t="n">
        <v>37</v>
      </c>
      <c r="AC10" s="59" t="n">
        <v>0</v>
      </c>
      <c r="AD10" s="60" t="n">
        <v>1</v>
      </c>
      <c r="AE10" s="96"/>
      <c r="AF10" s="97"/>
      <c r="AG10" s="96"/>
    </row>
    <row r="11" customFormat="false" ht="11.1" hidden="false" customHeight="true" outlineLevel="0" collapsed="false">
      <c r="A11" s="60" t="n">
        <f aca="false">A10+1</f>
        <v>2</v>
      </c>
      <c r="B11" s="75" t="n">
        <v>6881.17</v>
      </c>
      <c r="C11" s="55" t="n">
        <v>219709</v>
      </c>
      <c r="D11" s="59" t="n">
        <f aca="false">C11-C10</f>
        <v>0</v>
      </c>
      <c r="E11" s="55" t="n">
        <f aca="false">C11-152000</f>
        <v>67709</v>
      </c>
      <c r="F11" s="54" t="n">
        <f aca="false">D11/$D$2</f>
        <v>0</v>
      </c>
      <c r="G11" s="54" t="n">
        <v>39</v>
      </c>
      <c r="H11" s="58" t="n">
        <v>0.42</v>
      </c>
      <c r="I11" s="54" t="n">
        <f aca="false">G11+H11</f>
        <v>39.42</v>
      </c>
      <c r="J11" s="83" t="n">
        <f aca="false">IF(L11&gt;0,L11,0)</f>
        <v>6.38</v>
      </c>
      <c r="K11" s="54" t="n">
        <f aca="false">I11+J11</f>
        <v>45.8</v>
      </c>
      <c r="L11" s="54" t="n">
        <f aca="false">F11-(I11-X11)</f>
        <v>6.38</v>
      </c>
      <c r="M11" s="54" t="n">
        <v>4.8</v>
      </c>
      <c r="N11" s="54" t="n">
        <v>0</v>
      </c>
      <c r="O11" s="54" t="n">
        <v>0</v>
      </c>
      <c r="P11" s="7" t="n">
        <f aca="false">M11-(N11+O11)</f>
        <v>4.8</v>
      </c>
      <c r="Q11" s="54" t="n">
        <v>0</v>
      </c>
      <c r="R11" s="54" t="n">
        <v>0</v>
      </c>
      <c r="S11" s="54" t="n">
        <f aca="false">SUM(P11:R11)</f>
        <v>4.8</v>
      </c>
      <c r="T11" s="55"/>
      <c r="U11" s="54" t="n">
        <v>0</v>
      </c>
      <c r="V11" s="54" t="n">
        <v>41</v>
      </c>
      <c r="W11" s="55" t="n">
        <f aca="false">W10-V11</f>
        <v>2121</v>
      </c>
      <c r="X11" s="7" t="n">
        <f aca="false">N11+O11+S11+U11+V11</f>
        <v>45.8</v>
      </c>
      <c r="Y11" s="54" t="n">
        <f aca="false">IF(L11&lt;0,L11*-1,0)</f>
        <v>0</v>
      </c>
      <c r="Z11" s="54" t="n">
        <f aca="false">X11+Y11</f>
        <v>45.8</v>
      </c>
      <c r="AA11" s="58" t="n">
        <v>0</v>
      </c>
      <c r="AB11" s="59" t="n">
        <v>38</v>
      </c>
      <c r="AC11" s="59" t="n">
        <v>9</v>
      </c>
      <c r="AD11" s="60" t="n">
        <f aca="false">AD10+1</f>
        <v>2</v>
      </c>
      <c r="AE11" s="96"/>
      <c r="AF11" s="97"/>
      <c r="AG11" s="96"/>
    </row>
    <row r="12" customFormat="false" ht="11.1" hidden="false" customHeight="true" outlineLevel="0" collapsed="false">
      <c r="A12" s="60" t="n">
        <f aca="false">A11+1</f>
        <v>3</v>
      </c>
      <c r="B12" s="75" t="n">
        <v>6881.17</v>
      </c>
      <c r="C12" s="55" t="n">
        <v>219709</v>
      </c>
      <c r="D12" s="59" t="n">
        <f aca="false">C12-C11</f>
        <v>0</v>
      </c>
      <c r="E12" s="55" t="n">
        <f aca="false">C12-152000</f>
        <v>67709</v>
      </c>
      <c r="F12" s="54" t="n">
        <f aca="false">D12/$D$2</f>
        <v>0</v>
      </c>
      <c r="G12" s="54" t="n">
        <v>40</v>
      </c>
      <c r="H12" s="58" t="n">
        <v>0.58</v>
      </c>
      <c r="I12" s="54" t="n">
        <f aca="false">G12+H12</f>
        <v>40.58</v>
      </c>
      <c r="J12" s="83" t="n">
        <f aca="false">IF(L12&gt;0,L12,0)</f>
        <v>5.22</v>
      </c>
      <c r="K12" s="54" t="n">
        <f aca="false">I12+J12</f>
        <v>45.8</v>
      </c>
      <c r="L12" s="54" t="n">
        <f aca="false">F12-(I12-X12)</f>
        <v>5.22</v>
      </c>
      <c r="M12" s="54" t="n">
        <v>4.8</v>
      </c>
      <c r="N12" s="54" t="n">
        <v>0</v>
      </c>
      <c r="O12" s="54" t="n">
        <v>0</v>
      </c>
      <c r="P12" s="7" t="n">
        <f aca="false">M12-(N12+O12)</f>
        <v>4.8</v>
      </c>
      <c r="Q12" s="54" t="n">
        <v>0</v>
      </c>
      <c r="R12" s="54" t="n">
        <v>0</v>
      </c>
      <c r="S12" s="54" t="n">
        <f aca="false">SUM(P12:R12)</f>
        <v>4.8</v>
      </c>
      <c r="T12" s="55"/>
      <c r="U12" s="54" t="n">
        <v>0</v>
      </c>
      <c r="V12" s="54" t="n">
        <v>41</v>
      </c>
      <c r="W12" s="55" t="n">
        <f aca="false">W11-V12</f>
        <v>2080</v>
      </c>
      <c r="X12" s="7" t="n">
        <f aca="false">N12+O12+S12+U12+V12</f>
        <v>45.8</v>
      </c>
      <c r="Y12" s="54" t="n">
        <f aca="false">IF(L12&lt;0,L12*-1,0)</f>
        <v>0</v>
      </c>
      <c r="Z12" s="54" t="n">
        <f aca="false">X12+Y12</f>
        <v>45.8</v>
      </c>
      <c r="AA12" s="58" t="n">
        <v>0</v>
      </c>
      <c r="AB12" s="59" t="n">
        <v>47</v>
      </c>
      <c r="AC12" s="59" t="n">
        <v>13</v>
      </c>
      <c r="AD12" s="60" t="n">
        <f aca="false">AD11+1</f>
        <v>3</v>
      </c>
      <c r="AE12" s="96"/>
      <c r="AF12" s="97"/>
      <c r="AG12" s="96"/>
    </row>
    <row r="13" customFormat="false" ht="11.1" hidden="false" customHeight="true" outlineLevel="0" collapsed="false">
      <c r="A13" s="60" t="n">
        <f aca="false">A12+1</f>
        <v>4</v>
      </c>
      <c r="B13" s="75" t="n">
        <v>6881.17</v>
      </c>
      <c r="C13" s="55" t="n">
        <v>219709</v>
      </c>
      <c r="D13" s="59" t="n">
        <f aca="false">C13-C12</f>
        <v>0</v>
      </c>
      <c r="E13" s="55" t="n">
        <f aca="false">C13-152000</f>
        <v>67709</v>
      </c>
      <c r="F13" s="54" t="n">
        <f aca="false">D13/$D$2</f>
        <v>0</v>
      </c>
      <c r="G13" s="54" t="n">
        <v>40</v>
      </c>
      <c r="H13" s="58" t="n">
        <v>0.72</v>
      </c>
      <c r="I13" s="54" t="n">
        <f aca="false">G13+H13</f>
        <v>40.72</v>
      </c>
      <c r="J13" s="83" t="n">
        <f aca="false">IF(L13&gt;0,L13,0)</f>
        <v>5.08</v>
      </c>
      <c r="K13" s="54" t="n">
        <f aca="false">I13+J13</f>
        <v>45.8</v>
      </c>
      <c r="L13" s="54" t="n">
        <f aca="false">F13-(I13-X13)</f>
        <v>5.08</v>
      </c>
      <c r="M13" s="54" t="n">
        <v>4.8</v>
      </c>
      <c r="N13" s="54" t="n">
        <v>0</v>
      </c>
      <c r="O13" s="54" t="n">
        <v>0</v>
      </c>
      <c r="P13" s="7" t="n">
        <f aca="false">M13-(N13+O13)</f>
        <v>4.8</v>
      </c>
      <c r="Q13" s="54" t="n">
        <v>0</v>
      </c>
      <c r="R13" s="54" t="n">
        <v>0</v>
      </c>
      <c r="S13" s="54" t="n">
        <f aca="false">SUM(P13:R13)</f>
        <v>4.8</v>
      </c>
      <c r="T13" s="55"/>
      <c r="U13" s="54" t="n">
        <v>0</v>
      </c>
      <c r="V13" s="54" t="n">
        <v>41</v>
      </c>
      <c r="W13" s="55" t="n">
        <f aca="false">W12-V13</f>
        <v>2039</v>
      </c>
      <c r="X13" s="7" t="n">
        <f aca="false">N13+O13+S13+U13+V13</f>
        <v>45.8</v>
      </c>
      <c r="Y13" s="54" t="n">
        <f aca="false">IF(L13&lt;0,L13*-1,0)</f>
        <v>0</v>
      </c>
      <c r="Z13" s="54" t="n">
        <f aca="false">X13+Y13</f>
        <v>45.8</v>
      </c>
      <c r="AA13" s="58" t="n">
        <v>0</v>
      </c>
      <c r="AB13" s="59" t="n">
        <v>48</v>
      </c>
      <c r="AC13" s="59" t="n">
        <v>25</v>
      </c>
      <c r="AD13" s="60" t="n">
        <f aca="false">AD12+1</f>
        <v>4</v>
      </c>
      <c r="AE13" s="96"/>
      <c r="AF13" s="97"/>
      <c r="AG13" s="96"/>
    </row>
    <row r="14" customFormat="false" ht="11.1" hidden="false" customHeight="true" outlineLevel="0" collapsed="false">
      <c r="A14" s="60" t="n">
        <f aca="false">A13+1</f>
        <v>5</v>
      </c>
      <c r="B14" s="75" t="n">
        <v>6881.17</v>
      </c>
      <c r="C14" s="55" t="n">
        <v>219709</v>
      </c>
      <c r="D14" s="59" t="n">
        <f aca="false">C14-C13</f>
        <v>0</v>
      </c>
      <c r="E14" s="55" t="n">
        <f aca="false">C14-152000</f>
        <v>67709</v>
      </c>
      <c r="F14" s="54" t="n">
        <f aca="false">D14/$D$2</f>
        <v>0</v>
      </c>
      <c r="G14" s="54" t="n">
        <v>42</v>
      </c>
      <c r="H14" s="58" t="n">
        <v>0.8</v>
      </c>
      <c r="I14" s="54" t="n">
        <f aca="false">G14+H14</f>
        <v>42.8</v>
      </c>
      <c r="J14" s="83" t="n">
        <f aca="false">IF(L14&gt;0,L14,0)</f>
        <v>3</v>
      </c>
      <c r="K14" s="54" t="n">
        <f aca="false">I14+J14</f>
        <v>45.8</v>
      </c>
      <c r="L14" s="54" t="n">
        <f aca="false">F14-(I14-X14)</f>
        <v>3</v>
      </c>
      <c r="M14" s="54" t="n">
        <v>4.8</v>
      </c>
      <c r="N14" s="54" t="n">
        <v>0</v>
      </c>
      <c r="O14" s="54" t="n">
        <v>0</v>
      </c>
      <c r="P14" s="7" t="n">
        <f aca="false">M14-(N14+O14)</f>
        <v>4.8</v>
      </c>
      <c r="Q14" s="54" t="n">
        <v>0</v>
      </c>
      <c r="R14" s="54" t="n">
        <v>0</v>
      </c>
      <c r="S14" s="54" t="n">
        <f aca="false">SUM(P14:R14)</f>
        <v>4.8</v>
      </c>
      <c r="T14" s="55"/>
      <c r="U14" s="54" t="n">
        <v>0</v>
      </c>
      <c r="V14" s="54" t="n">
        <v>41</v>
      </c>
      <c r="W14" s="55" t="n">
        <f aca="false">W13-V14</f>
        <v>1998</v>
      </c>
      <c r="X14" s="7" t="n">
        <f aca="false">N14+O14+S14+U14+V14</f>
        <v>45.8</v>
      </c>
      <c r="Y14" s="54" t="n">
        <f aca="false">IF(L14&lt;0,L14*-1,0)</f>
        <v>0</v>
      </c>
      <c r="Z14" s="54" t="n">
        <f aca="false">X14+Y14</f>
        <v>45.8</v>
      </c>
      <c r="AA14" s="58" t="n">
        <v>0</v>
      </c>
      <c r="AB14" s="59" t="n">
        <v>50</v>
      </c>
      <c r="AC14" s="59" t="n">
        <v>21</v>
      </c>
      <c r="AD14" s="60" t="n">
        <f aca="false">AD13+1</f>
        <v>5</v>
      </c>
      <c r="AE14" s="96"/>
      <c r="AF14" s="97"/>
      <c r="AG14" s="96"/>
    </row>
    <row r="15" customFormat="false" ht="11.1" hidden="false" customHeight="true" outlineLevel="0" collapsed="false">
      <c r="A15" s="60" t="n">
        <f aca="false">A14+1</f>
        <v>6</v>
      </c>
      <c r="B15" s="75" t="n">
        <v>6881.17</v>
      </c>
      <c r="C15" s="55" t="n">
        <v>219709</v>
      </c>
      <c r="D15" s="59" t="n">
        <f aca="false">C15-C14</f>
        <v>0</v>
      </c>
      <c r="E15" s="55" t="n">
        <f aca="false">C15-152000</f>
        <v>67709</v>
      </c>
      <c r="F15" s="54" t="n">
        <f aca="false">D15/$D$2</f>
        <v>0</v>
      </c>
      <c r="G15" s="54" t="n">
        <v>43</v>
      </c>
      <c r="H15" s="58" t="n">
        <v>0.9</v>
      </c>
      <c r="I15" s="54" t="n">
        <f aca="false">G15+H15</f>
        <v>43.9</v>
      </c>
      <c r="J15" s="83" t="n">
        <f aca="false">IF(L15&gt;0,L15,0)</f>
        <v>1.9</v>
      </c>
      <c r="K15" s="54" t="n">
        <f aca="false">I15+J15</f>
        <v>45.8</v>
      </c>
      <c r="L15" s="54" t="n">
        <f aca="false">F15-(I15-X15)</f>
        <v>1.9</v>
      </c>
      <c r="M15" s="54" t="n">
        <v>4.8</v>
      </c>
      <c r="N15" s="54" t="n">
        <v>0</v>
      </c>
      <c r="O15" s="54" t="n">
        <v>0</v>
      </c>
      <c r="P15" s="7" t="n">
        <f aca="false">M15-(N15+O15)</f>
        <v>4.8</v>
      </c>
      <c r="Q15" s="54" t="n">
        <v>0</v>
      </c>
      <c r="R15" s="54" t="n">
        <v>0</v>
      </c>
      <c r="S15" s="54" t="n">
        <f aca="false">SUM(P15:R15)</f>
        <v>4.8</v>
      </c>
      <c r="T15" s="55"/>
      <c r="U15" s="54" t="n">
        <v>0</v>
      </c>
      <c r="V15" s="54" t="n">
        <v>41</v>
      </c>
      <c r="W15" s="55" t="n">
        <f aca="false">W14-V15</f>
        <v>1957</v>
      </c>
      <c r="X15" s="7" t="n">
        <f aca="false">N15+O15+S15+U15+V15</f>
        <v>45.8</v>
      </c>
      <c r="Y15" s="54" t="n">
        <f aca="false">IF(L15&lt;0,L15*-1,0)</f>
        <v>0</v>
      </c>
      <c r="Z15" s="54" t="n">
        <f aca="false">X15+Y15</f>
        <v>45.8</v>
      </c>
      <c r="AA15" s="58" t="n">
        <v>0</v>
      </c>
      <c r="AB15" s="59" t="n">
        <v>50</v>
      </c>
      <c r="AC15" s="59" t="n">
        <v>25</v>
      </c>
      <c r="AD15" s="60" t="n">
        <f aca="false">AD14+1</f>
        <v>6</v>
      </c>
      <c r="AE15" s="95"/>
      <c r="AF15" s="97"/>
      <c r="AG15" s="96"/>
    </row>
    <row r="16" customFormat="false" ht="11.1" hidden="false" customHeight="true" outlineLevel="0" collapsed="false">
      <c r="A16" s="60" t="n">
        <f aca="false">A15+1</f>
        <v>7</v>
      </c>
      <c r="B16" s="75" t="n">
        <v>6881.2</v>
      </c>
      <c r="C16" s="55" t="n">
        <v>219801</v>
      </c>
      <c r="D16" s="59" t="n">
        <f aca="false">C16-C15</f>
        <v>92</v>
      </c>
      <c r="E16" s="55" t="n">
        <f aca="false">C16-152000</f>
        <v>67801</v>
      </c>
      <c r="F16" s="54" t="n">
        <f aca="false">D16/$D$2</f>
        <v>46.3826569195866</v>
      </c>
      <c r="G16" s="54" t="n">
        <v>43</v>
      </c>
      <c r="H16" s="58" t="n">
        <v>1.1</v>
      </c>
      <c r="I16" s="54" t="n">
        <f aca="false">G16+H16</f>
        <v>44.1</v>
      </c>
      <c r="J16" s="83" t="n">
        <f aca="false">IF(L16&gt;0,L16,0)</f>
        <v>43.0826569195866</v>
      </c>
      <c r="K16" s="54" t="n">
        <f aca="false">I16+J16</f>
        <v>87.1826569195866</v>
      </c>
      <c r="L16" s="54" t="n">
        <f aca="false">F16-(I16-X16)</f>
        <v>43.0826569195866</v>
      </c>
      <c r="M16" s="54" t="n">
        <v>4.8</v>
      </c>
      <c r="N16" s="54" t="n">
        <v>0</v>
      </c>
      <c r="O16" s="54" t="n">
        <v>0</v>
      </c>
      <c r="P16" s="7" t="n">
        <f aca="false">M16-(N16+O16)</f>
        <v>4.8</v>
      </c>
      <c r="Q16" s="54" t="n">
        <v>0</v>
      </c>
      <c r="R16" s="54" t="n">
        <v>0</v>
      </c>
      <c r="S16" s="54" t="n">
        <f aca="false">SUM(P16:R16)</f>
        <v>4.8</v>
      </c>
      <c r="T16" s="55"/>
      <c r="U16" s="54" t="n">
        <v>0</v>
      </c>
      <c r="V16" s="54" t="n">
        <v>36</v>
      </c>
      <c r="W16" s="55" t="n">
        <f aca="false">W15-V16</f>
        <v>1921</v>
      </c>
      <c r="X16" s="7" t="n">
        <f aca="false">N16+O16+S16+U16+V16</f>
        <v>40.8</v>
      </c>
      <c r="Y16" s="54" t="n">
        <f aca="false">IF(L16&lt;0,L16*-1,0)</f>
        <v>0</v>
      </c>
      <c r="Z16" s="54" t="n">
        <f aca="false">X16+Y16</f>
        <v>40.8</v>
      </c>
      <c r="AA16" s="58" t="n">
        <v>0.01</v>
      </c>
      <c r="AB16" s="59" t="n">
        <v>47</v>
      </c>
      <c r="AC16" s="59" t="n">
        <v>32</v>
      </c>
      <c r="AD16" s="60" t="n">
        <f aca="false">AD15+1</f>
        <v>7</v>
      </c>
      <c r="AE16" s="95"/>
      <c r="AF16" s="97"/>
      <c r="AG16" s="96"/>
    </row>
    <row r="17" customFormat="false" ht="11.1" hidden="false" customHeight="true" outlineLevel="0" collapsed="false">
      <c r="A17" s="60" t="n">
        <f aca="false">A16+1</f>
        <v>8</v>
      </c>
      <c r="B17" s="75" t="n">
        <v>6881.21</v>
      </c>
      <c r="C17" s="55" t="n">
        <v>219832</v>
      </c>
      <c r="D17" s="59" t="n">
        <f aca="false">C17-C16</f>
        <v>31</v>
      </c>
      <c r="E17" s="55" t="n">
        <f aca="false">C17-152000</f>
        <v>67832</v>
      </c>
      <c r="F17" s="54" t="n">
        <f aca="false">D17/$D$2</f>
        <v>15.6289387446433</v>
      </c>
      <c r="G17" s="54" t="n">
        <v>43</v>
      </c>
      <c r="H17" s="58" t="n">
        <v>1.5</v>
      </c>
      <c r="I17" s="54" t="n">
        <f aca="false">G17+H17</f>
        <v>44.5</v>
      </c>
      <c r="J17" s="83" t="n">
        <f aca="false">IF(L17&gt;0,L17,0)</f>
        <v>14.9289387446433</v>
      </c>
      <c r="K17" s="54" t="n">
        <f aca="false">I17+J17</f>
        <v>59.4289387446433</v>
      </c>
      <c r="L17" s="54" t="n">
        <f aca="false">F17-(I17-X17)</f>
        <v>14.9289387446433</v>
      </c>
      <c r="M17" s="54" t="n">
        <v>4.8</v>
      </c>
      <c r="N17" s="54" t="n">
        <v>0</v>
      </c>
      <c r="O17" s="54" t="n">
        <v>0</v>
      </c>
      <c r="P17" s="7" t="n">
        <f aca="false">M17-(N17+O17)</f>
        <v>4.8</v>
      </c>
      <c r="Q17" s="54" t="n">
        <v>0</v>
      </c>
      <c r="R17" s="54" t="n">
        <v>0</v>
      </c>
      <c r="S17" s="54" t="n">
        <f aca="false">SUM(P17:R17)</f>
        <v>4.8</v>
      </c>
      <c r="T17" s="55"/>
      <c r="U17" s="54" t="n">
        <v>0</v>
      </c>
      <c r="V17" s="54" t="n">
        <v>39</v>
      </c>
      <c r="W17" s="55" t="n">
        <f aca="false">W16-V17</f>
        <v>1882</v>
      </c>
      <c r="X17" s="7" t="n">
        <f aca="false">N17+O17+S17+U17+V17</f>
        <v>43.8</v>
      </c>
      <c r="Y17" s="54" t="n">
        <f aca="false">IF(L17&lt;0,L17*-1,0)</f>
        <v>0</v>
      </c>
      <c r="Z17" s="54" t="n">
        <f aca="false">X17+Y17</f>
        <v>43.8</v>
      </c>
      <c r="AA17" s="58" t="n">
        <v>0.08</v>
      </c>
      <c r="AB17" s="59" t="n">
        <v>36</v>
      </c>
      <c r="AC17" s="59" t="n">
        <v>21</v>
      </c>
      <c r="AD17" s="60" t="n">
        <f aca="false">AD16+1</f>
        <v>8</v>
      </c>
      <c r="AE17" s="95"/>
      <c r="AF17" s="97"/>
      <c r="AG17" s="96"/>
    </row>
    <row r="18" customFormat="false" ht="11.1" hidden="false" customHeight="true" outlineLevel="0" collapsed="false">
      <c r="A18" s="60" t="n">
        <f aca="false">A17+1</f>
        <v>9</v>
      </c>
      <c r="B18" s="75" t="n">
        <v>6881.22</v>
      </c>
      <c r="C18" s="55" t="n">
        <v>219862</v>
      </c>
      <c r="D18" s="59" t="n">
        <f aca="false">C18-C17</f>
        <v>30</v>
      </c>
      <c r="E18" s="55" t="n">
        <f aca="false">C18-152000</f>
        <v>67862</v>
      </c>
      <c r="F18" s="54" t="n">
        <f aca="false">D18/$D$2</f>
        <v>15.1247794303</v>
      </c>
      <c r="G18" s="54" t="n">
        <v>44</v>
      </c>
      <c r="H18" s="58" t="n">
        <v>2</v>
      </c>
      <c r="I18" s="54" t="n">
        <f aca="false">G18+H18</f>
        <v>46</v>
      </c>
      <c r="J18" s="83" t="n">
        <f aca="false">IF(L18&gt;0,L18,0)</f>
        <v>13.9247794303</v>
      </c>
      <c r="K18" s="54" t="n">
        <f aca="false">I18+J18</f>
        <v>59.9247794303</v>
      </c>
      <c r="L18" s="54" t="n">
        <f aca="false">F18-(I18-X18)</f>
        <v>13.9247794303</v>
      </c>
      <c r="M18" s="54" t="n">
        <v>4.8</v>
      </c>
      <c r="N18" s="54" t="n">
        <v>0</v>
      </c>
      <c r="O18" s="54" t="n">
        <v>0</v>
      </c>
      <c r="P18" s="7" t="n">
        <f aca="false">M18-(N18+O18)</f>
        <v>4.8</v>
      </c>
      <c r="Q18" s="54" t="n">
        <v>0</v>
      </c>
      <c r="R18" s="54" t="n">
        <v>0</v>
      </c>
      <c r="S18" s="54" t="n">
        <f aca="false">SUM(P18:R18)</f>
        <v>4.8</v>
      </c>
      <c r="T18" s="55"/>
      <c r="U18" s="54" t="n">
        <v>0</v>
      </c>
      <c r="V18" s="54" t="n">
        <v>40</v>
      </c>
      <c r="W18" s="55" t="n">
        <f aca="false">W17-V18</f>
        <v>1842</v>
      </c>
      <c r="X18" s="7" t="n">
        <f aca="false">N18+O18+S18+U18+V18</f>
        <v>44.8</v>
      </c>
      <c r="Y18" s="54" t="n">
        <f aca="false">IF(L18&lt;0,L18*-1,0)</f>
        <v>0</v>
      </c>
      <c r="Z18" s="54" t="n">
        <f aca="false">X18+Y18</f>
        <v>44.8</v>
      </c>
      <c r="AA18" s="58" t="n">
        <v>0</v>
      </c>
      <c r="AB18" s="84" t="n">
        <v>32</v>
      </c>
      <c r="AC18" s="59" t="n">
        <v>7</v>
      </c>
      <c r="AD18" s="60" t="n">
        <f aca="false">AD17+1</f>
        <v>9</v>
      </c>
      <c r="AE18" s="95"/>
      <c r="AF18" s="97"/>
      <c r="AG18" s="96"/>
    </row>
    <row r="19" customFormat="false" ht="11.1" hidden="false" customHeight="true" outlineLevel="0" collapsed="false">
      <c r="A19" s="60" t="n">
        <f aca="false">A18+1</f>
        <v>10</v>
      </c>
      <c r="B19" s="75" t="n">
        <v>6881.23</v>
      </c>
      <c r="C19" s="55" t="n">
        <v>219893</v>
      </c>
      <c r="D19" s="59" t="n">
        <f aca="false">C19-C18</f>
        <v>31</v>
      </c>
      <c r="E19" s="55" t="n">
        <f aca="false">C19-152000</f>
        <v>67893</v>
      </c>
      <c r="F19" s="54" t="n">
        <f aca="false">D19/$D$2</f>
        <v>15.6289387446433</v>
      </c>
      <c r="G19" s="54" t="n">
        <v>44</v>
      </c>
      <c r="H19" s="58" t="n">
        <v>2.6</v>
      </c>
      <c r="I19" s="54" t="n">
        <f aca="false">G19+H19</f>
        <v>46.6</v>
      </c>
      <c r="J19" s="83" t="n">
        <f aca="false">IF(L19&gt;0,L19,0)</f>
        <v>13.8289387446433</v>
      </c>
      <c r="K19" s="54" t="n">
        <f aca="false">I19+J19</f>
        <v>60.4289387446433</v>
      </c>
      <c r="L19" s="54" t="n">
        <f aca="false">F19-(I19-X19)</f>
        <v>13.8289387446433</v>
      </c>
      <c r="M19" s="54" t="n">
        <v>4.8</v>
      </c>
      <c r="N19" s="54" t="n">
        <v>0</v>
      </c>
      <c r="O19" s="54" t="n">
        <v>0</v>
      </c>
      <c r="P19" s="7" t="n">
        <f aca="false">M19-(N19+O19)</f>
        <v>4.8</v>
      </c>
      <c r="Q19" s="54" t="n">
        <v>0</v>
      </c>
      <c r="R19" s="54" t="n">
        <v>0</v>
      </c>
      <c r="S19" s="54" t="n">
        <f aca="false">SUM(P19:R19)</f>
        <v>4.8</v>
      </c>
      <c r="T19" s="55"/>
      <c r="U19" s="54" t="n">
        <v>0</v>
      </c>
      <c r="V19" s="54" t="n">
        <v>40</v>
      </c>
      <c r="W19" s="55" t="n">
        <f aca="false">W18-V19</f>
        <v>1802</v>
      </c>
      <c r="X19" s="7" t="n">
        <f aca="false">N19+O19+S19+U19+V19</f>
        <v>44.8</v>
      </c>
      <c r="Y19" s="54" t="n">
        <f aca="false">IF(L19&lt;0,L19*-1,0)</f>
        <v>0</v>
      </c>
      <c r="Z19" s="54" t="n">
        <f aca="false">X19+Y19</f>
        <v>44.8</v>
      </c>
      <c r="AA19" s="58" t="n">
        <v>0</v>
      </c>
      <c r="AB19" s="59" t="n">
        <v>41</v>
      </c>
      <c r="AC19" s="59" t="n">
        <v>12</v>
      </c>
      <c r="AD19" s="60" t="n">
        <f aca="false">AD18+1</f>
        <v>10</v>
      </c>
      <c r="AE19" s="95"/>
      <c r="AF19" s="97"/>
      <c r="AG19" s="96"/>
    </row>
    <row r="20" customFormat="false" ht="11.1" hidden="false" customHeight="true" outlineLevel="0" collapsed="false">
      <c r="A20" s="60" t="n">
        <f aca="false">A19+1</f>
        <v>11</v>
      </c>
      <c r="B20" s="75" t="n">
        <v>6881.24</v>
      </c>
      <c r="C20" s="55" t="n">
        <v>219924</v>
      </c>
      <c r="D20" s="59" t="n">
        <f aca="false">C20-C19</f>
        <v>31</v>
      </c>
      <c r="E20" s="55" t="n">
        <f aca="false">C20-152000</f>
        <v>67924</v>
      </c>
      <c r="F20" s="54" t="n">
        <f aca="false">D20/$D$2</f>
        <v>15.6289387446433</v>
      </c>
      <c r="G20" s="54" t="n">
        <v>44</v>
      </c>
      <c r="H20" s="58" t="n">
        <v>2.4</v>
      </c>
      <c r="I20" s="54" t="n">
        <f aca="false">G20+H20</f>
        <v>46.4</v>
      </c>
      <c r="J20" s="83" t="n">
        <f aca="false">IF(L20&gt;0,L20,0)</f>
        <v>14.0289387446433</v>
      </c>
      <c r="K20" s="54" t="n">
        <f aca="false">I20+J20</f>
        <v>60.4289387446433</v>
      </c>
      <c r="L20" s="54" t="n">
        <f aca="false">F20-(I20-X20)</f>
        <v>14.0289387446433</v>
      </c>
      <c r="M20" s="54" t="n">
        <v>4.8</v>
      </c>
      <c r="N20" s="54" t="n">
        <v>0</v>
      </c>
      <c r="O20" s="54" t="n">
        <v>0</v>
      </c>
      <c r="P20" s="7" t="n">
        <f aca="false">M20-(N20+O20)</f>
        <v>4.8</v>
      </c>
      <c r="Q20" s="54" t="n">
        <v>0</v>
      </c>
      <c r="R20" s="54" t="n">
        <v>0</v>
      </c>
      <c r="S20" s="54" t="n">
        <f aca="false">SUM(P20:R20)</f>
        <v>4.8</v>
      </c>
      <c r="T20" s="55"/>
      <c r="U20" s="54" t="n">
        <v>0</v>
      </c>
      <c r="V20" s="54" t="n">
        <v>40</v>
      </c>
      <c r="W20" s="55" t="n">
        <f aca="false">W19-V20</f>
        <v>1762</v>
      </c>
      <c r="X20" s="7" t="n">
        <f aca="false">N20+O20+S20+U20+V20</f>
        <v>44.8</v>
      </c>
      <c r="Y20" s="54" t="n">
        <f aca="false">IF(L20&lt;0,L20*-1,0)</f>
        <v>0</v>
      </c>
      <c r="Z20" s="54" t="n">
        <f aca="false">X20+Y20</f>
        <v>44.8</v>
      </c>
      <c r="AA20" s="58" t="n">
        <v>0</v>
      </c>
      <c r="AB20" s="59" t="n">
        <v>41</v>
      </c>
      <c r="AC20" s="59" t="n">
        <v>26</v>
      </c>
      <c r="AD20" s="60" t="n">
        <f aca="false">AD19+1</f>
        <v>11</v>
      </c>
      <c r="AE20" s="95"/>
      <c r="AF20" s="97"/>
      <c r="AG20" s="96"/>
    </row>
    <row r="21" customFormat="false" ht="11.1" hidden="false" customHeight="true" outlineLevel="0" collapsed="false">
      <c r="A21" s="60" t="n">
        <f aca="false">A20+1</f>
        <v>12</v>
      </c>
      <c r="B21" s="75" t="n">
        <v>6881.24</v>
      </c>
      <c r="C21" s="55" t="n">
        <v>219924</v>
      </c>
      <c r="D21" s="59" t="n">
        <f aca="false">C21-C20</f>
        <v>0</v>
      </c>
      <c r="E21" s="55" t="n">
        <f aca="false">C21-152000</f>
        <v>67924</v>
      </c>
      <c r="F21" s="54" t="n">
        <f aca="false">D21/$D$2</f>
        <v>0</v>
      </c>
      <c r="G21" s="54" t="n">
        <v>44</v>
      </c>
      <c r="H21" s="58" t="n">
        <v>2.1</v>
      </c>
      <c r="I21" s="54" t="n">
        <f aca="false">G21+H21</f>
        <v>46.1</v>
      </c>
      <c r="J21" s="83" t="n">
        <f aca="false">IF(L21&gt;0,L21,0)</f>
        <v>0</v>
      </c>
      <c r="K21" s="54" t="n">
        <f aca="false">I21+J21</f>
        <v>46.1</v>
      </c>
      <c r="L21" s="54" t="n">
        <f aca="false">F21-(I21-X21)</f>
        <v>-1.3</v>
      </c>
      <c r="M21" s="54" t="n">
        <v>4.8</v>
      </c>
      <c r="N21" s="54" t="n">
        <v>0</v>
      </c>
      <c r="O21" s="54" t="n">
        <v>0</v>
      </c>
      <c r="P21" s="7" t="n">
        <f aca="false">M21-(N21+O21)</f>
        <v>4.8</v>
      </c>
      <c r="Q21" s="54" t="n">
        <v>0</v>
      </c>
      <c r="R21" s="54" t="n">
        <v>0</v>
      </c>
      <c r="S21" s="54" t="n">
        <f aca="false">SUM(P21:R21)</f>
        <v>4.8</v>
      </c>
      <c r="T21" s="55"/>
      <c r="U21" s="54" t="n">
        <v>0</v>
      </c>
      <c r="V21" s="54" t="n">
        <v>40</v>
      </c>
      <c r="W21" s="55" t="n">
        <f aca="false">W20-V21</f>
        <v>1722</v>
      </c>
      <c r="X21" s="7" t="n">
        <f aca="false">N21+O21+S21+U21+V21</f>
        <v>44.8</v>
      </c>
      <c r="Y21" s="54" t="n">
        <f aca="false">IF(L21&lt;0,L21*-1,0)</f>
        <v>1.3</v>
      </c>
      <c r="Z21" s="54" t="n">
        <f aca="false">X21+Y21</f>
        <v>46.1</v>
      </c>
      <c r="AA21" s="58" t="n">
        <v>0</v>
      </c>
      <c r="AB21" s="59" t="n">
        <v>46</v>
      </c>
      <c r="AC21" s="59" t="n">
        <v>24</v>
      </c>
      <c r="AD21" s="60" t="n">
        <f aca="false">AD20+1</f>
        <v>12</v>
      </c>
      <c r="AE21" s="95"/>
      <c r="AF21" s="97"/>
      <c r="AG21" s="96"/>
    </row>
    <row r="22" customFormat="false" ht="11.1" hidden="false" customHeight="true" outlineLevel="0" collapsed="false">
      <c r="A22" s="60" t="n">
        <f aca="false">A21+1</f>
        <v>13</v>
      </c>
      <c r="B22" s="75" t="n">
        <v>6881.25</v>
      </c>
      <c r="C22" s="55" t="n">
        <v>219954</v>
      </c>
      <c r="D22" s="59" t="n">
        <f aca="false">C22-C21</f>
        <v>30</v>
      </c>
      <c r="E22" s="55" t="n">
        <f aca="false">C22-152000</f>
        <v>67954</v>
      </c>
      <c r="F22" s="54" t="n">
        <f aca="false">D22/$D$2</f>
        <v>15.1247794303</v>
      </c>
      <c r="G22" s="54" t="n">
        <v>43</v>
      </c>
      <c r="H22" s="58" t="n">
        <v>1.9</v>
      </c>
      <c r="I22" s="54" t="n">
        <f aca="false">G22+H22</f>
        <v>44.9</v>
      </c>
      <c r="J22" s="83" t="n">
        <f aca="false">IF(L22&gt;0,L22,0)</f>
        <v>16.0247794303</v>
      </c>
      <c r="K22" s="54" t="n">
        <f aca="false">I22+J22</f>
        <v>60.9247794303</v>
      </c>
      <c r="L22" s="54" t="n">
        <f aca="false">F22-(I22-X22)</f>
        <v>16.0247794303</v>
      </c>
      <c r="M22" s="54" t="n">
        <v>4.8</v>
      </c>
      <c r="N22" s="54" t="n">
        <v>0</v>
      </c>
      <c r="O22" s="54" t="n">
        <v>0</v>
      </c>
      <c r="P22" s="7" t="n">
        <f aca="false">M22-(N22+O22)</f>
        <v>4.8</v>
      </c>
      <c r="Q22" s="54" t="n">
        <v>0</v>
      </c>
      <c r="R22" s="54" t="n">
        <v>0</v>
      </c>
      <c r="S22" s="54" t="n">
        <f aca="false">SUM(P22:R22)</f>
        <v>4.8</v>
      </c>
      <c r="T22" s="55"/>
      <c r="U22" s="54" t="n">
        <v>0</v>
      </c>
      <c r="V22" s="54" t="n">
        <v>41</v>
      </c>
      <c r="W22" s="55" t="n">
        <f aca="false">W21-V22</f>
        <v>1681</v>
      </c>
      <c r="X22" s="7" t="n">
        <f aca="false">N22+O22+S22+U22+V22</f>
        <v>45.8</v>
      </c>
      <c r="Y22" s="54" t="n">
        <f aca="false">IF(L22&lt;0,L22*-1,0)</f>
        <v>0</v>
      </c>
      <c r="Z22" s="54" t="n">
        <f aca="false">X22+Y22</f>
        <v>45.8</v>
      </c>
      <c r="AA22" s="58" t="n">
        <v>0.12</v>
      </c>
      <c r="AB22" s="59" t="n">
        <v>47</v>
      </c>
      <c r="AC22" s="59" t="n">
        <v>25</v>
      </c>
      <c r="AD22" s="60" t="n">
        <f aca="false">AD21+1</f>
        <v>13</v>
      </c>
      <c r="AE22" s="95"/>
      <c r="AF22" s="97"/>
      <c r="AG22" s="96"/>
    </row>
    <row r="23" customFormat="false" ht="11.1" hidden="false" customHeight="true" outlineLevel="0" collapsed="false">
      <c r="A23" s="60" t="n">
        <f aca="false">A22+1</f>
        <v>14</v>
      </c>
      <c r="B23" s="75" t="n">
        <v>6881.26</v>
      </c>
      <c r="C23" s="55" t="n">
        <v>219985</v>
      </c>
      <c r="D23" s="59" t="n">
        <f aca="false">C23-C22</f>
        <v>31</v>
      </c>
      <c r="E23" s="55" t="n">
        <f aca="false">C23-152000</f>
        <v>67985</v>
      </c>
      <c r="F23" s="54" t="n">
        <f aca="false">D23/$D$2</f>
        <v>15.6289387446433</v>
      </c>
      <c r="G23" s="54" t="n">
        <v>42</v>
      </c>
      <c r="H23" s="58" t="n">
        <v>1.8</v>
      </c>
      <c r="I23" s="54" t="n">
        <f aca="false">G23+H23</f>
        <v>43.8</v>
      </c>
      <c r="J23" s="83" t="n">
        <f aca="false">IF(L23&gt;0,L23,0)</f>
        <v>17.6289387446433</v>
      </c>
      <c r="K23" s="54" t="n">
        <f aca="false">I23+J23</f>
        <v>61.4289387446433</v>
      </c>
      <c r="L23" s="54" t="n">
        <f aca="false">F23-(I23-X23)</f>
        <v>17.6289387446433</v>
      </c>
      <c r="M23" s="54" t="n">
        <v>4.8</v>
      </c>
      <c r="N23" s="54" t="n">
        <v>0</v>
      </c>
      <c r="O23" s="54" t="n">
        <v>0</v>
      </c>
      <c r="P23" s="7" t="n">
        <f aca="false">M23-(N23+O23)</f>
        <v>4.8</v>
      </c>
      <c r="Q23" s="54" t="n">
        <v>0</v>
      </c>
      <c r="R23" s="54" t="n">
        <v>0</v>
      </c>
      <c r="S23" s="54" t="n">
        <f aca="false">SUM(P23:R23)</f>
        <v>4.8</v>
      </c>
      <c r="T23" s="55"/>
      <c r="U23" s="54" t="n">
        <v>0</v>
      </c>
      <c r="V23" s="54" t="n">
        <v>41</v>
      </c>
      <c r="W23" s="55" t="n">
        <f aca="false">W22-V23</f>
        <v>1640</v>
      </c>
      <c r="X23" s="7" t="n">
        <f aca="false">N23+O23+S23+U23+V23</f>
        <v>45.8</v>
      </c>
      <c r="Y23" s="54" t="n">
        <f aca="false">IF(L23&lt;0,L23*-1,0)</f>
        <v>0</v>
      </c>
      <c r="Z23" s="54" t="n">
        <f aca="false">X23+Y23</f>
        <v>45.8</v>
      </c>
      <c r="AA23" s="58" t="n">
        <v>0.19</v>
      </c>
      <c r="AB23" s="84" t="n">
        <v>36</v>
      </c>
      <c r="AC23" s="59" t="n">
        <v>14</v>
      </c>
      <c r="AD23" s="60" t="n">
        <f aca="false">AD22+1</f>
        <v>14</v>
      </c>
      <c r="AE23" s="95"/>
      <c r="AF23" s="97"/>
      <c r="AG23" s="96"/>
    </row>
    <row r="24" customFormat="false" ht="11.1" hidden="false" customHeight="true" outlineLevel="0" collapsed="false">
      <c r="A24" s="60" t="n">
        <f aca="false">A23+1</f>
        <v>15</v>
      </c>
      <c r="B24" s="75" t="n">
        <v>6881.27</v>
      </c>
      <c r="C24" s="55" t="n">
        <v>220016</v>
      </c>
      <c r="D24" s="59" t="n">
        <f aca="false">C24-C23</f>
        <v>31</v>
      </c>
      <c r="E24" s="55" t="n">
        <f aca="false">C24-152000</f>
        <v>68016</v>
      </c>
      <c r="F24" s="54" t="n">
        <f aca="false">D24/$D$2</f>
        <v>15.6289387446433</v>
      </c>
      <c r="G24" s="54" t="n">
        <v>42</v>
      </c>
      <c r="H24" s="58" t="n">
        <v>1.5</v>
      </c>
      <c r="I24" s="54" t="n">
        <f aca="false">G24+H24</f>
        <v>43.5</v>
      </c>
      <c r="J24" s="83" t="n">
        <f aca="false">IF(L24&gt;0,L24,0)</f>
        <v>18.9289387446433</v>
      </c>
      <c r="K24" s="54" t="n">
        <f aca="false">I24+J24</f>
        <v>62.4289387446433</v>
      </c>
      <c r="L24" s="54" t="n">
        <f aca="false">F24-(I24-X24)</f>
        <v>18.9289387446433</v>
      </c>
      <c r="M24" s="54" t="n">
        <v>4.8</v>
      </c>
      <c r="N24" s="54" t="n">
        <v>0</v>
      </c>
      <c r="O24" s="54" t="n">
        <v>0</v>
      </c>
      <c r="P24" s="7" t="n">
        <f aca="false">M24-(N24+O24)</f>
        <v>4.8</v>
      </c>
      <c r="Q24" s="54" t="n">
        <v>0</v>
      </c>
      <c r="R24" s="54" t="n">
        <v>0</v>
      </c>
      <c r="S24" s="54" t="n">
        <f aca="false">SUM(P24:R24)</f>
        <v>4.8</v>
      </c>
      <c r="T24" s="55"/>
      <c r="U24" s="54" t="n">
        <v>0</v>
      </c>
      <c r="V24" s="54" t="n">
        <v>42</v>
      </c>
      <c r="W24" s="55" t="n">
        <f aca="false">W23-V24</f>
        <v>1598</v>
      </c>
      <c r="X24" s="7" t="n">
        <f aca="false">N24+O24+S24+U24+V24</f>
        <v>46.8</v>
      </c>
      <c r="Y24" s="54" t="n">
        <f aca="false">IF(L24&lt;0,L24*-1,0)</f>
        <v>0</v>
      </c>
      <c r="Z24" s="54" t="n">
        <f aca="false">X24+Y24</f>
        <v>46.8</v>
      </c>
      <c r="AA24" s="58" t="n">
        <v>0</v>
      </c>
      <c r="AB24" s="84" t="n">
        <v>36</v>
      </c>
      <c r="AC24" s="59" t="n">
        <v>10</v>
      </c>
      <c r="AD24" s="60" t="n">
        <f aca="false">AD23+1</f>
        <v>15</v>
      </c>
      <c r="AE24" s="95"/>
      <c r="AF24" s="97"/>
      <c r="AG24" s="96"/>
    </row>
    <row r="25" customFormat="false" ht="11.1" hidden="false" customHeight="true" outlineLevel="0" collapsed="false">
      <c r="A25" s="60" t="n">
        <f aca="false">A24+1</f>
        <v>16</v>
      </c>
      <c r="B25" s="75" t="n">
        <v>6881.28</v>
      </c>
      <c r="C25" s="55" t="n">
        <v>220046</v>
      </c>
      <c r="D25" s="59" t="n">
        <f aca="false">C25-C24</f>
        <v>30</v>
      </c>
      <c r="E25" s="55" t="n">
        <f aca="false">C25-152000</f>
        <v>68046</v>
      </c>
      <c r="F25" s="54" t="n">
        <f aca="false">D25/$D$2</f>
        <v>15.1247794303</v>
      </c>
      <c r="G25" s="54" t="n">
        <v>42</v>
      </c>
      <c r="H25" s="58" t="n">
        <v>1.6</v>
      </c>
      <c r="I25" s="54" t="n">
        <f aca="false">G25+H25</f>
        <v>43.6</v>
      </c>
      <c r="J25" s="83" t="n">
        <f aca="false">IF(L25&gt;0,L25,0)</f>
        <v>18.3247794303</v>
      </c>
      <c r="K25" s="54" t="n">
        <f aca="false">I25+J25</f>
        <v>61.9247794303</v>
      </c>
      <c r="L25" s="54" t="n">
        <f aca="false">F25-(I25-X25)</f>
        <v>18.3247794303</v>
      </c>
      <c r="M25" s="54" t="n">
        <v>4.8</v>
      </c>
      <c r="N25" s="54" t="n">
        <v>0</v>
      </c>
      <c r="O25" s="54" t="n">
        <v>0</v>
      </c>
      <c r="P25" s="7" t="n">
        <f aca="false">M25-(N25+O25)</f>
        <v>4.8</v>
      </c>
      <c r="Q25" s="54" t="n">
        <v>0</v>
      </c>
      <c r="R25" s="54" t="n">
        <v>0</v>
      </c>
      <c r="S25" s="54" t="n">
        <f aca="false">SUM(P25:R25)</f>
        <v>4.8</v>
      </c>
      <c r="T25" s="55"/>
      <c r="U25" s="54" t="n">
        <v>0</v>
      </c>
      <c r="V25" s="54" t="n">
        <v>42</v>
      </c>
      <c r="W25" s="55" t="n">
        <f aca="false">W24-V25</f>
        <v>1556</v>
      </c>
      <c r="X25" s="7" t="n">
        <f aca="false">N25+O25+S25+U25+V25</f>
        <v>46.8</v>
      </c>
      <c r="Y25" s="54" t="n">
        <f aca="false">IF(L25&lt;0,L25*-1,0)</f>
        <v>0</v>
      </c>
      <c r="Z25" s="54" t="n">
        <f aca="false">X25+Y25</f>
        <v>46.8</v>
      </c>
      <c r="AA25" s="58" t="n">
        <v>0</v>
      </c>
      <c r="AB25" s="84" t="n">
        <v>41</v>
      </c>
      <c r="AC25" s="59" t="n">
        <v>12</v>
      </c>
      <c r="AD25" s="60" t="n">
        <f aca="false">AD24+1</f>
        <v>16</v>
      </c>
      <c r="AE25" s="95"/>
      <c r="AF25" s="97"/>
      <c r="AG25" s="96"/>
    </row>
    <row r="26" customFormat="false" ht="11.1" hidden="false" customHeight="true" outlineLevel="0" collapsed="false">
      <c r="A26" s="60" t="n">
        <f aca="false">A25+1</f>
        <v>17</v>
      </c>
      <c r="B26" s="75" t="n">
        <v>6881.29</v>
      </c>
      <c r="C26" s="55" t="n">
        <v>220077</v>
      </c>
      <c r="D26" s="59" t="n">
        <f aca="false">C26-C25</f>
        <v>31</v>
      </c>
      <c r="E26" s="55" t="n">
        <f aca="false">C26-152000</f>
        <v>68077</v>
      </c>
      <c r="F26" s="54" t="n">
        <f aca="false">D26/$D$2</f>
        <v>15.6289387446433</v>
      </c>
      <c r="G26" s="54" t="n">
        <v>43</v>
      </c>
      <c r="H26" s="58" t="n">
        <v>1.6</v>
      </c>
      <c r="I26" s="54" t="n">
        <f aca="false">G26+H26</f>
        <v>44.6</v>
      </c>
      <c r="J26" s="83" t="n">
        <f aca="false">IF(L26&gt;0,L26,0)</f>
        <v>17.8289387446433</v>
      </c>
      <c r="K26" s="54" t="n">
        <f aca="false">I26+J26</f>
        <v>62.4289387446433</v>
      </c>
      <c r="L26" s="54" t="n">
        <f aca="false">F26-(I26-X26)</f>
        <v>17.8289387446433</v>
      </c>
      <c r="M26" s="54" t="n">
        <v>4.8</v>
      </c>
      <c r="N26" s="54" t="n">
        <v>0</v>
      </c>
      <c r="O26" s="54" t="n">
        <v>0</v>
      </c>
      <c r="P26" s="7" t="n">
        <f aca="false">M26-(N26+O26)</f>
        <v>4.8</v>
      </c>
      <c r="Q26" s="54" t="n">
        <v>0</v>
      </c>
      <c r="R26" s="54" t="n">
        <v>0</v>
      </c>
      <c r="S26" s="54" t="n">
        <f aca="false">SUM(P26:R26)</f>
        <v>4.8</v>
      </c>
      <c r="T26" s="55"/>
      <c r="U26" s="54" t="n">
        <v>0</v>
      </c>
      <c r="V26" s="54" t="n">
        <v>42</v>
      </c>
      <c r="W26" s="55" t="n">
        <f aca="false">W25-V26</f>
        <v>1514</v>
      </c>
      <c r="X26" s="7" t="n">
        <f aca="false">N26+O26+S26+U26+V26</f>
        <v>46.8</v>
      </c>
      <c r="Y26" s="54" t="n">
        <f aca="false">IF(L26&lt;0,L26*-1,0)</f>
        <v>0</v>
      </c>
      <c r="Z26" s="54" t="n">
        <f aca="false">X26+Y26</f>
        <v>46.8</v>
      </c>
      <c r="AA26" s="58" t="n">
        <v>0</v>
      </c>
      <c r="AB26" s="84" t="n">
        <v>49</v>
      </c>
      <c r="AC26" s="59" t="n">
        <v>20</v>
      </c>
      <c r="AD26" s="60" t="n">
        <f aca="false">AD25+1</f>
        <v>17</v>
      </c>
      <c r="AE26" s="95"/>
      <c r="AF26" s="97"/>
      <c r="AG26" s="96"/>
    </row>
    <row r="27" customFormat="false" ht="11.1" hidden="false" customHeight="true" outlineLevel="0" collapsed="false">
      <c r="A27" s="60" t="n">
        <f aca="false">A26+1</f>
        <v>18</v>
      </c>
      <c r="B27" s="75" t="n">
        <v>6881.29</v>
      </c>
      <c r="C27" s="55" t="n">
        <v>220077</v>
      </c>
      <c r="D27" s="59" t="n">
        <f aca="false">C27-C26</f>
        <v>0</v>
      </c>
      <c r="E27" s="55" t="n">
        <f aca="false">C27-152000</f>
        <v>68077</v>
      </c>
      <c r="F27" s="54" t="n">
        <f aca="false">D27/$D$2</f>
        <v>0</v>
      </c>
      <c r="G27" s="54" t="n">
        <v>44</v>
      </c>
      <c r="H27" s="58" t="n">
        <v>1.6</v>
      </c>
      <c r="I27" s="54" t="n">
        <f aca="false">G27+H27</f>
        <v>45.6</v>
      </c>
      <c r="J27" s="83" t="n">
        <f aca="false">IF(L27&gt;0,L27,0)</f>
        <v>1.2</v>
      </c>
      <c r="K27" s="54" t="n">
        <f aca="false">I27+J27</f>
        <v>46.8</v>
      </c>
      <c r="L27" s="54" t="n">
        <f aca="false">F27-(I27-X27)</f>
        <v>1.2</v>
      </c>
      <c r="M27" s="54" t="n">
        <v>4.8</v>
      </c>
      <c r="N27" s="54" t="n">
        <v>0</v>
      </c>
      <c r="O27" s="54" t="n">
        <v>0</v>
      </c>
      <c r="P27" s="7" t="n">
        <f aca="false">M27-(N27+O27)</f>
        <v>4.8</v>
      </c>
      <c r="Q27" s="54" t="n">
        <v>0</v>
      </c>
      <c r="R27" s="54" t="n">
        <v>0</v>
      </c>
      <c r="S27" s="54" t="n">
        <f aca="false">SUM(P27:R27)</f>
        <v>4.8</v>
      </c>
      <c r="T27" s="55"/>
      <c r="U27" s="54" t="n">
        <v>0</v>
      </c>
      <c r="V27" s="54" t="n">
        <v>42</v>
      </c>
      <c r="W27" s="55" t="n">
        <f aca="false">W26-V27</f>
        <v>1472</v>
      </c>
      <c r="X27" s="7" t="n">
        <f aca="false">N27+O27+S27+U27+V27</f>
        <v>46.8</v>
      </c>
      <c r="Y27" s="54" t="n">
        <f aca="false">IF(L27&lt;0,L27*-1,0)</f>
        <v>0</v>
      </c>
      <c r="Z27" s="54" t="n">
        <f aca="false">X27+Y27</f>
        <v>46.8</v>
      </c>
      <c r="AA27" s="102" t="n">
        <v>0.02</v>
      </c>
      <c r="AB27" s="84" t="n">
        <v>46</v>
      </c>
      <c r="AC27" s="59" t="n">
        <v>30</v>
      </c>
      <c r="AD27" s="60" t="n">
        <f aca="false">AD26+1</f>
        <v>18</v>
      </c>
      <c r="AE27" s="95"/>
      <c r="AF27" s="97"/>
      <c r="AG27" s="96"/>
    </row>
    <row r="28" customFormat="false" ht="11.1" hidden="false" customHeight="true" outlineLevel="0" collapsed="false">
      <c r="A28" s="60" t="n">
        <f aca="false">A27+1</f>
        <v>19</v>
      </c>
      <c r="B28" s="75" t="n">
        <v>6881.3</v>
      </c>
      <c r="C28" s="103" t="n">
        <v>220107</v>
      </c>
      <c r="D28" s="59" t="n">
        <f aca="false">C28-C27</f>
        <v>30</v>
      </c>
      <c r="E28" s="55" t="n">
        <f aca="false">C28-152000</f>
        <v>68107</v>
      </c>
      <c r="F28" s="54" t="n">
        <f aca="false">D28/$D$2</f>
        <v>15.1247794303</v>
      </c>
      <c r="G28" s="54" t="n">
        <v>44</v>
      </c>
      <c r="H28" s="58" t="n">
        <v>1.6</v>
      </c>
      <c r="I28" s="54" t="n">
        <f aca="false">G28+H28</f>
        <v>45.6</v>
      </c>
      <c r="J28" s="83" t="n">
        <f aca="false">IF(L28&gt;0,L28,0)</f>
        <v>15.3247794303</v>
      </c>
      <c r="K28" s="54" t="n">
        <f aca="false">I28+J28</f>
        <v>60.9247794303</v>
      </c>
      <c r="L28" s="54" t="n">
        <f aca="false">F28-(I28-X28)</f>
        <v>15.3247794303</v>
      </c>
      <c r="M28" s="54" t="n">
        <v>4.8</v>
      </c>
      <c r="N28" s="54" t="n">
        <v>0</v>
      </c>
      <c r="O28" s="54" t="n">
        <v>0</v>
      </c>
      <c r="P28" s="7" t="n">
        <f aca="false">M28-(N28+O28)</f>
        <v>4.8</v>
      </c>
      <c r="Q28" s="54" t="n">
        <v>0</v>
      </c>
      <c r="R28" s="54" t="n">
        <v>0</v>
      </c>
      <c r="S28" s="54" t="n">
        <f aca="false">SUM(P28:R28)</f>
        <v>4.8</v>
      </c>
      <c r="T28" s="55"/>
      <c r="U28" s="54" t="n">
        <v>0</v>
      </c>
      <c r="V28" s="54" t="n">
        <v>41</v>
      </c>
      <c r="W28" s="55" t="n">
        <f aca="false">W27-V28</f>
        <v>1431</v>
      </c>
      <c r="X28" s="7" t="n">
        <f aca="false">N28+O28+S28+U28+V28</f>
        <v>45.8</v>
      </c>
      <c r="Y28" s="54" t="n">
        <f aca="false">IF(L28&lt;0,L28*-1,0)</f>
        <v>0</v>
      </c>
      <c r="Z28" s="54" t="n">
        <f aca="false">X28+Y28</f>
        <v>45.8</v>
      </c>
      <c r="AA28" s="58" t="n">
        <v>0</v>
      </c>
      <c r="AB28" s="84" t="n">
        <v>49</v>
      </c>
      <c r="AC28" s="59" t="n">
        <v>29</v>
      </c>
      <c r="AD28" s="60" t="n">
        <f aca="false">AD27+1</f>
        <v>19</v>
      </c>
      <c r="AE28" s="95"/>
      <c r="AF28" s="97"/>
      <c r="AG28" s="96"/>
    </row>
    <row r="29" customFormat="false" ht="11.1" hidden="false" customHeight="true" outlineLevel="0" collapsed="false">
      <c r="A29" s="60" t="n">
        <f aca="false">A28+1</f>
        <v>20</v>
      </c>
      <c r="B29" s="75" t="n">
        <v>6881.32</v>
      </c>
      <c r="C29" s="55" t="n">
        <v>220169</v>
      </c>
      <c r="D29" s="59" t="n">
        <f aca="false">C29-C28</f>
        <v>62</v>
      </c>
      <c r="E29" s="55" t="n">
        <f aca="false">C29-152000</f>
        <v>68169</v>
      </c>
      <c r="F29" s="54" t="n">
        <f aca="false">D29/$D$2</f>
        <v>31.2578774892866</v>
      </c>
      <c r="G29" s="54" t="n">
        <v>44</v>
      </c>
      <c r="H29" s="58" t="n">
        <v>1.5</v>
      </c>
      <c r="I29" s="54" t="n">
        <f aca="false">G29+H29</f>
        <v>45.5</v>
      </c>
      <c r="J29" s="83" t="n">
        <f aca="false">IF(L29&gt;0,L29,0)</f>
        <v>30.2578774892866</v>
      </c>
      <c r="K29" s="54" t="n">
        <f aca="false">I29+J29</f>
        <v>75.7578774892866</v>
      </c>
      <c r="L29" s="54" t="n">
        <f aca="false">F29-(I29-X29)</f>
        <v>30.2578774892866</v>
      </c>
      <c r="M29" s="54" t="n">
        <v>4.5</v>
      </c>
      <c r="N29" s="54" t="n">
        <v>0</v>
      </c>
      <c r="O29" s="54" t="n">
        <v>0</v>
      </c>
      <c r="P29" s="7" t="n">
        <f aca="false">M29-(N29+O29)</f>
        <v>4.5</v>
      </c>
      <c r="Q29" s="54" t="n">
        <v>0</v>
      </c>
      <c r="R29" s="54" t="n">
        <v>0</v>
      </c>
      <c r="S29" s="54" t="n">
        <f aca="false">SUM(P29:R29)</f>
        <v>4.5</v>
      </c>
      <c r="T29" s="55"/>
      <c r="U29" s="54" t="n">
        <v>0</v>
      </c>
      <c r="V29" s="54" t="n">
        <v>40</v>
      </c>
      <c r="W29" s="55" t="n">
        <f aca="false">W28-V29</f>
        <v>1391</v>
      </c>
      <c r="X29" s="7" t="n">
        <f aca="false">N29+O29+S29+U29+V29</f>
        <v>44.5</v>
      </c>
      <c r="Y29" s="54" t="n">
        <f aca="false">IF(L29&lt;0,L29*-1,0)</f>
        <v>0</v>
      </c>
      <c r="Z29" s="54" t="n">
        <f aca="false">X29+Y29</f>
        <v>44.5</v>
      </c>
      <c r="AA29" s="58" t="n">
        <v>0</v>
      </c>
      <c r="AB29" s="84" t="n">
        <v>49</v>
      </c>
      <c r="AC29" s="59" t="n">
        <v>29</v>
      </c>
      <c r="AD29" s="60" t="n">
        <f aca="false">AD28+1</f>
        <v>20</v>
      </c>
      <c r="AE29" s="95"/>
      <c r="AF29" s="97"/>
      <c r="AG29" s="96"/>
    </row>
    <row r="30" customFormat="false" ht="11.1" hidden="false" customHeight="true" outlineLevel="0" collapsed="false">
      <c r="A30" s="60" t="n">
        <f aca="false">A29+1</f>
        <v>21</v>
      </c>
      <c r="B30" s="75" t="n">
        <v>6881.34</v>
      </c>
      <c r="C30" s="55" t="n">
        <v>220230</v>
      </c>
      <c r="D30" s="59" t="n">
        <f aca="false">C30-C29</f>
        <v>61</v>
      </c>
      <c r="E30" s="55" t="n">
        <f aca="false">C30-152000</f>
        <v>68230</v>
      </c>
      <c r="F30" s="54" t="n">
        <f aca="false">D30/$D$2</f>
        <v>30.7537181749433</v>
      </c>
      <c r="G30" s="54" t="n">
        <v>44</v>
      </c>
      <c r="H30" s="58" t="n">
        <v>1.6</v>
      </c>
      <c r="I30" s="54" t="n">
        <f aca="false">G30+H30</f>
        <v>45.6</v>
      </c>
      <c r="J30" s="83" t="n">
        <f aca="false">IF(L30&gt;0,L30,0)</f>
        <v>30.5537181749433</v>
      </c>
      <c r="K30" s="54" t="n">
        <f aca="false">I30+J30</f>
        <v>76.1537181749433</v>
      </c>
      <c r="L30" s="54" t="n">
        <f aca="false">F30-(I30-X30)</f>
        <v>30.5537181749433</v>
      </c>
      <c r="M30" s="54" t="n">
        <v>4.4</v>
      </c>
      <c r="N30" s="54" t="n">
        <v>0</v>
      </c>
      <c r="O30" s="54" t="n">
        <v>0</v>
      </c>
      <c r="P30" s="7" t="n">
        <f aca="false">M30-(N30+O30)</f>
        <v>4.4</v>
      </c>
      <c r="Q30" s="54" t="n">
        <v>0</v>
      </c>
      <c r="R30" s="54" t="n">
        <v>0</v>
      </c>
      <c r="S30" s="54" t="n">
        <f aca="false">SUM(P30:R30)</f>
        <v>4.4</v>
      </c>
      <c r="T30" s="55"/>
      <c r="U30" s="54" t="n">
        <v>0</v>
      </c>
      <c r="V30" s="54" t="n">
        <v>41</v>
      </c>
      <c r="W30" s="55" t="n">
        <f aca="false">W29-V30</f>
        <v>1350</v>
      </c>
      <c r="X30" s="7" t="n">
        <f aca="false">N30+O30+S30+U30+V30</f>
        <v>45.4</v>
      </c>
      <c r="Y30" s="54" t="n">
        <f aca="false">IF(L30&lt;0,L30*-1,0)</f>
        <v>0</v>
      </c>
      <c r="Z30" s="54" t="n">
        <f aca="false">X30+Y30</f>
        <v>45.4</v>
      </c>
      <c r="AA30" s="58" t="n">
        <v>0</v>
      </c>
      <c r="AB30" s="59" t="n">
        <v>52</v>
      </c>
      <c r="AC30" s="59" t="n">
        <v>30</v>
      </c>
      <c r="AD30" s="60" t="n">
        <f aca="false">AD29+1</f>
        <v>21</v>
      </c>
      <c r="AE30" s="95"/>
      <c r="AF30" s="97"/>
      <c r="AG30" s="96"/>
    </row>
    <row r="31" customFormat="false" ht="11.1" hidden="false" customHeight="true" outlineLevel="0" collapsed="false">
      <c r="A31" s="60" t="n">
        <f aca="false">A30+1</f>
        <v>22</v>
      </c>
      <c r="B31" s="75" t="n">
        <v>6881.36</v>
      </c>
      <c r="C31" s="55" t="n">
        <v>220291</v>
      </c>
      <c r="D31" s="59" t="n">
        <f aca="false">C31-C30</f>
        <v>61</v>
      </c>
      <c r="E31" s="55" t="n">
        <f aca="false">C31-152000</f>
        <v>68291</v>
      </c>
      <c r="F31" s="54" t="n">
        <f aca="false">D31/$D$2</f>
        <v>30.7537181749433</v>
      </c>
      <c r="G31" s="54" t="n">
        <v>43</v>
      </c>
      <c r="H31" s="58" t="n">
        <v>1.7</v>
      </c>
      <c r="I31" s="54" t="n">
        <f aca="false">G31+H31</f>
        <v>44.7</v>
      </c>
      <c r="J31" s="83" t="n">
        <f aca="false">IF(L31&gt;0,L31,0)</f>
        <v>32.5537181749433</v>
      </c>
      <c r="K31" s="54" t="n">
        <f aca="false">I31+J31</f>
        <v>77.2537181749433</v>
      </c>
      <c r="L31" s="54" t="n">
        <f aca="false">F31-(I31-X31)</f>
        <v>32.5537181749433</v>
      </c>
      <c r="M31" s="54" t="n">
        <v>4.5</v>
      </c>
      <c r="N31" s="54" t="n">
        <v>0</v>
      </c>
      <c r="O31" s="54" t="n">
        <v>0</v>
      </c>
      <c r="P31" s="7" t="n">
        <f aca="false">M31-(N31+O31)</f>
        <v>4.5</v>
      </c>
      <c r="Q31" s="54" t="n">
        <v>0</v>
      </c>
      <c r="R31" s="54" t="n">
        <v>0</v>
      </c>
      <c r="S31" s="54" t="n">
        <f aca="false">SUM(P31:R31)</f>
        <v>4.5</v>
      </c>
      <c r="T31" s="55"/>
      <c r="U31" s="54" t="n">
        <v>0</v>
      </c>
      <c r="V31" s="54" t="n">
        <v>42</v>
      </c>
      <c r="W31" s="55" t="n">
        <f aca="false">W30-V31</f>
        <v>1308</v>
      </c>
      <c r="X31" s="7" t="n">
        <f aca="false">N31+O31+S31+U31+V31</f>
        <v>46.5</v>
      </c>
      <c r="Y31" s="54" t="n">
        <f aca="false">IF(L31&lt;0,L31*-1,0)</f>
        <v>0</v>
      </c>
      <c r="Z31" s="54" t="n">
        <f aca="false">X31+Y31</f>
        <v>46.5</v>
      </c>
      <c r="AA31" s="58" t="n">
        <v>0</v>
      </c>
      <c r="AB31" s="59" t="n">
        <v>50</v>
      </c>
      <c r="AC31" s="59" t="n">
        <v>27</v>
      </c>
      <c r="AD31" s="60" t="n">
        <f aca="false">AD30+1</f>
        <v>22</v>
      </c>
      <c r="AE31" s="95"/>
      <c r="AF31" s="97"/>
      <c r="AG31" s="96"/>
    </row>
    <row r="32" customFormat="false" ht="11.1" hidden="false" customHeight="true" outlineLevel="0" collapsed="false">
      <c r="A32" s="60" t="n">
        <f aca="false">A31+1</f>
        <v>23</v>
      </c>
      <c r="B32" s="75" t="n">
        <v>6881.38</v>
      </c>
      <c r="C32" s="55" t="n">
        <v>220353</v>
      </c>
      <c r="D32" s="59" t="n">
        <f aca="false">C32-C31</f>
        <v>62</v>
      </c>
      <c r="E32" s="55" t="n">
        <f aca="false">C32-152000</f>
        <v>68353</v>
      </c>
      <c r="F32" s="54" t="n">
        <f aca="false">D32/$D$2</f>
        <v>31.2578774892866</v>
      </c>
      <c r="G32" s="54" t="n">
        <v>43</v>
      </c>
      <c r="H32" s="58" t="n">
        <v>1.8</v>
      </c>
      <c r="I32" s="54" t="n">
        <f aca="false">G32+H32</f>
        <v>44.8</v>
      </c>
      <c r="J32" s="83" t="n">
        <f aca="false">IF(L32&gt;0,L32,0)</f>
        <v>33.2578774892866</v>
      </c>
      <c r="K32" s="54" t="n">
        <f aca="false">I32+J32</f>
        <v>78.0578774892866</v>
      </c>
      <c r="L32" s="54" t="n">
        <f aca="false">F32-(I32-X32)</f>
        <v>33.2578774892866</v>
      </c>
      <c r="M32" s="54" t="n">
        <v>4.8</v>
      </c>
      <c r="N32" s="54" t="n">
        <v>0</v>
      </c>
      <c r="O32" s="54" t="n">
        <v>0</v>
      </c>
      <c r="P32" s="7" t="n">
        <f aca="false">M32-(N32+O32)</f>
        <v>4.8</v>
      </c>
      <c r="Q32" s="54" t="n">
        <v>0</v>
      </c>
      <c r="R32" s="54" t="n">
        <v>0</v>
      </c>
      <c r="S32" s="54" t="n">
        <f aca="false">SUM(P32:R32)</f>
        <v>4.8</v>
      </c>
      <c r="T32" s="55"/>
      <c r="U32" s="54" t="n">
        <v>0</v>
      </c>
      <c r="V32" s="54" t="n">
        <v>42</v>
      </c>
      <c r="W32" s="55" t="n">
        <f aca="false">W31-V32</f>
        <v>1266</v>
      </c>
      <c r="X32" s="7" t="n">
        <f aca="false">N32+O32+S32+U32+V32</f>
        <v>46.8</v>
      </c>
      <c r="Y32" s="54" t="n">
        <f aca="false">IF(L32&lt;0,L32*-1,0)</f>
        <v>0</v>
      </c>
      <c r="Z32" s="54" t="n">
        <f aca="false">X32+Y32</f>
        <v>46.8</v>
      </c>
      <c r="AA32" s="58" t="n">
        <v>0.09</v>
      </c>
      <c r="AB32" s="59" t="n">
        <v>41</v>
      </c>
      <c r="AC32" s="84" t="n">
        <v>21</v>
      </c>
      <c r="AD32" s="60" t="n">
        <f aca="false">AD31+1</f>
        <v>23</v>
      </c>
      <c r="AE32" s="95"/>
      <c r="AF32" s="97"/>
      <c r="AG32" s="96"/>
    </row>
    <row r="33" customFormat="false" ht="11.1" hidden="false" customHeight="true" outlineLevel="0" collapsed="false">
      <c r="A33" s="60" t="n">
        <f aca="false">A32+1</f>
        <v>24</v>
      </c>
      <c r="B33" s="75" t="n">
        <v>6881.4</v>
      </c>
      <c r="C33" s="55" t="n">
        <v>220414</v>
      </c>
      <c r="D33" s="59" t="n">
        <f aca="false">C33-C32</f>
        <v>61</v>
      </c>
      <c r="E33" s="55" t="n">
        <f aca="false">C33-152000</f>
        <v>68414</v>
      </c>
      <c r="F33" s="54" t="n">
        <f aca="false">D33/$D$2</f>
        <v>30.7537181749433</v>
      </c>
      <c r="G33" s="54" t="n">
        <v>42</v>
      </c>
      <c r="H33" s="58" t="n">
        <v>2</v>
      </c>
      <c r="I33" s="54" t="n">
        <f aca="false">G33+H33</f>
        <v>44</v>
      </c>
      <c r="J33" s="83" t="n">
        <f aca="false">IF(L33&gt;0,L33,0)</f>
        <v>33.5537181749433</v>
      </c>
      <c r="K33" s="54" t="n">
        <f aca="false">I33+J33</f>
        <v>77.5537181749433</v>
      </c>
      <c r="L33" s="54" t="n">
        <f aca="false">F33-(I33-X33)</f>
        <v>33.5537181749433</v>
      </c>
      <c r="M33" s="54" t="n">
        <v>4.8</v>
      </c>
      <c r="N33" s="54" t="n">
        <v>0</v>
      </c>
      <c r="O33" s="54" t="n">
        <v>0</v>
      </c>
      <c r="P33" s="7" t="n">
        <f aca="false">M33-(N33+O33)</f>
        <v>4.8</v>
      </c>
      <c r="Q33" s="54" t="n">
        <v>0</v>
      </c>
      <c r="R33" s="54" t="n">
        <v>0</v>
      </c>
      <c r="S33" s="54" t="n">
        <f aca="false">SUM(P33:R33)</f>
        <v>4.8</v>
      </c>
      <c r="T33" s="55"/>
      <c r="U33" s="54" t="n">
        <v>0</v>
      </c>
      <c r="V33" s="54" t="n">
        <v>42</v>
      </c>
      <c r="W33" s="55" t="n">
        <f aca="false">W32-V33</f>
        <v>1224</v>
      </c>
      <c r="X33" s="7" t="n">
        <f aca="false">N33+O33+S33+U33+V33</f>
        <v>46.8</v>
      </c>
      <c r="Y33" s="54" t="n">
        <f aca="false">IF(L33&lt;0,L33*-1,0)</f>
        <v>0</v>
      </c>
      <c r="Z33" s="54" t="n">
        <f aca="false">X33+Y33</f>
        <v>46.8</v>
      </c>
      <c r="AA33" s="58" t="n">
        <v>0.02</v>
      </c>
      <c r="AB33" s="59" t="n">
        <v>38</v>
      </c>
      <c r="AC33" s="84" t="n">
        <v>22</v>
      </c>
      <c r="AD33" s="60" t="n">
        <f aca="false">AD32+1</f>
        <v>24</v>
      </c>
      <c r="AE33" s="95"/>
      <c r="AF33" s="97"/>
      <c r="AG33" s="96"/>
    </row>
    <row r="34" customFormat="false" ht="11.1" hidden="false" customHeight="true" outlineLevel="0" collapsed="false">
      <c r="A34" s="60" t="n">
        <f aca="false">A33+1</f>
        <v>25</v>
      </c>
      <c r="B34" s="75" t="n">
        <v>6881.42</v>
      </c>
      <c r="C34" s="55" t="n">
        <v>220475</v>
      </c>
      <c r="D34" s="59" t="n">
        <f aca="false">C34-C33</f>
        <v>61</v>
      </c>
      <c r="E34" s="55" t="n">
        <f aca="false">C34-152000</f>
        <v>68475</v>
      </c>
      <c r="F34" s="54" t="n">
        <f aca="false">D34/$D$2</f>
        <v>30.7537181749433</v>
      </c>
      <c r="G34" s="54" t="n">
        <v>40</v>
      </c>
      <c r="H34" s="58" t="n">
        <v>2.1</v>
      </c>
      <c r="I34" s="54" t="n">
        <f aca="false">G34+H34</f>
        <v>42.1</v>
      </c>
      <c r="J34" s="83" t="n">
        <f aca="false">IF(L34&gt;0,L34,0)</f>
        <v>35.4537181749433</v>
      </c>
      <c r="K34" s="54" t="n">
        <f aca="false">I34+J34</f>
        <v>77.5537181749433</v>
      </c>
      <c r="L34" s="54" t="n">
        <f aca="false">F34-(I34-X34)</f>
        <v>35.4537181749433</v>
      </c>
      <c r="M34" s="54" t="n">
        <v>4.8</v>
      </c>
      <c r="N34" s="54" t="n">
        <v>0</v>
      </c>
      <c r="O34" s="54" t="n">
        <v>0</v>
      </c>
      <c r="P34" s="7" t="n">
        <f aca="false">M34-(N34+O34)</f>
        <v>4.8</v>
      </c>
      <c r="Q34" s="54" t="n">
        <v>0</v>
      </c>
      <c r="R34" s="54" t="n">
        <v>0</v>
      </c>
      <c r="S34" s="54" t="n">
        <f aca="false">SUM(P34:R34)</f>
        <v>4.8</v>
      </c>
      <c r="T34" s="55"/>
      <c r="U34" s="54" t="n">
        <v>0</v>
      </c>
      <c r="V34" s="54" t="n">
        <v>42</v>
      </c>
      <c r="W34" s="55" t="n">
        <f aca="false">W33-V34</f>
        <v>1182</v>
      </c>
      <c r="X34" s="7" t="n">
        <f aca="false">N34+O34+S34+U34+V34</f>
        <v>46.8</v>
      </c>
      <c r="Y34" s="54" t="n">
        <f aca="false">IF(L34&lt;0,L34*-1,0)</f>
        <v>0</v>
      </c>
      <c r="Z34" s="54" t="n">
        <f aca="false">X34+Y34</f>
        <v>46.8</v>
      </c>
      <c r="AA34" s="58" t="n">
        <v>0</v>
      </c>
      <c r="AB34" s="59" t="n">
        <v>39</v>
      </c>
      <c r="AC34" s="84" t="n">
        <v>22</v>
      </c>
      <c r="AD34" s="60" t="n">
        <f aca="false">AD33+1</f>
        <v>25</v>
      </c>
      <c r="AE34" s="95"/>
      <c r="AF34" s="97"/>
      <c r="AG34" s="96"/>
    </row>
    <row r="35" customFormat="false" ht="11.1" hidden="false" customHeight="true" outlineLevel="0" collapsed="false">
      <c r="A35" s="60" t="n">
        <f aca="false">A34+1</f>
        <v>26</v>
      </c>
      <c r="B35" s="75" t="n">
        <v>6881.45</v>
      </c>
      <c r="C35" s="55" t="n">
        <v>220567</v>
      </c>
      <c r="D35" s="59" t="n">
        <f aca="false">C35-C34</f>
        <v>92</v>
      </c>
      <c r="E35" s="55" t="n">
        <f aca="false">C35-152000</f>
        <v>68567</v>
      </c>
      <c r="F35" s="54" t="n">
        <f aca="false">D35/$D$2</f>
        <v>46.3826569195866</v>
      </c>
      <c r="G35" s="54" t="n">
        <v>44</v>
      </c>
      <c r="H35" s="58" t="n">
        <v>2.6</v>
      </c>
      <c r="I35" s="54" t="n">
        <f aca="false">G35+H35</f>
        <v>46.6</v>
      </c>
      <c r="J35" s="83" t="n">
        <f aca="false">IF(L35&gt;0,L35,0)</f>
        <v>46.5826569195866</v>
      </c>
      <c r="K35" s="54" t="n">
        <f aca="false">I35+J35</f>
        <v>93.1826569195866</v>
      </c>
      <c r="L35" s="54" t="n">
        <f aca="false">F35-(I35-X35)</f>
        <v>46.5826569195866</v>
      </c>
      <c r="M35" s="54" t="n">
        <v>4.8</v>
      </c>
      <c r="N35" s="54" t="n">
        <v>0</v>
      </c>
      <c r="O35" s="54" t="n">
        <v>0</v>
      </c>
      <c r="P35" s="7" t="n">
        <f aca="false">M35-(N35+O35)</f>
        <v>4.8</v>
      </c>
      <c r="Q35" s="54" t="n">
        <v>0</v>
      </c>
      <c r="R35" s="54" t="n">
        <v>0</v>
      </c>
      <c r="S35" s="54" t="n">
        <f aca="false">SUM(P35:R35)</f>
        <v>4.8</v>
      </c>
      <c r="T35" s="55"/>
      <c r="U35" s="54" t="n">
        <v>0</v>
      </c>
      <c r="V35" s="54" t="n">
        <v>42</v>
      </c>
      <c r="W35" s="55" t="n">
        <f aca="false">W34-V35</f>
        <v>1140</v>
      </c>
      <c r="X35" s="7" t="n">
        <f aca="false">N35+O35+S35+U35+V35</f>
        <v>46.8</v>
      </c>
      <c r="Y35" s="54" t="n">
        <f aca="false">IF(L35&lt;0,L35*-1,0)</f>
        <v>0</v>
      </c>
      <c r="Z35" s="54" t="n">
        <f aca="false">X35+Y35</f>
        <v>46.8</v>
      </c>
      <c r="AA35" s="58" t="n">
        <v>0.18</v>
      </c>
      <c r="AB35" s="59" t="n">
        <v>40</v>
      </c>
      <c r="AC35" s="59" t="n">
        <v>21</v>
      </c>
      <c r="AD35" s="60" t="n">
        <f aca="false">AD34+1</f>
        <v>26</v>
      </c>
      <c r="AE35" s="95"/>
      <c r="AF35" s="97"/>
      <c r="AG35" s="96"/>
    </row>
    <row r="36" customFormat="false" ht="11.1" hidden="false" customHeight="true" outlineLevel="0" collapsed="false">
      <c r="A36" s="60" t="n">
        <f aca="false">A35+1</f>
        <v>27</v>
      </c>
      <c r="B36" s="75" t="n">
        <v>6881.47</v>
      </c>
      <c r="C36" s="55" t="n">
        <v>220629</v>
      </c>
      <c r="D36" s="59" t="n">
        <f aca="false">C36-C35</f>
        <v>62</v>
      </c>
      <c r="E36" s="55" t="n">
        <f aca="false">C36-152000</f>
        <v>68629</v>
      </c>
      <c r="F36" s="54" t="n">
        <f aca="false">D36/$D$2</f>
        <v>31.2578774892866</v>
      </c>
      <c r="G36" s="54" t="n">
        <v>46</v>
      </c>
      <c r="H36" s="58" t="n">
        <v>2.3</v>
      </c>
      <c r="I36" s="54" t="n">
        <f aca="false">G36+H36</f>
        <v>48.3</v>
      </c>
      <c r="J36" s="83" t="n">
        <f aca="false">IF(L36&gt;0,L36,0)</f>
        <v>29.5578774892866</v>
      </c>
      <c r="K36" s="54" t="n">
        <f aca="false">I36+J36</f>
        <v>77.8578774892866</v>
      </c>
      <c r="L36" s="54" t="n">
        <f aca="false">F36-(I36-X36)</f>
        <v>29.5578774892866</v>
      </c>
      <c r="M36" s="54" t="n">
        <v>4.6</v>
      </c>
      <c r="N36" s="54" t="n">
        <v>0</v>
      </c>
      <c r="O36" s="54" t="n">
        <v>0</v>
      </c>
      <c r="P36" s="7" t="n">
        <f aca="false">M36-(N36+O36)</f>
        <v>4.6</v>
      </c>
      <c r="Q36" s="54" t="n">
        <v>0</v>
      </c>
      <c r="R36" s="54" t="n">
        <v>0</v>
      </c>
      <c r="S36" s="54" t="n">
        <f aca="false">SUM(P36:R36)</f>
        <v>4.6</v>
      </c>
      <c r="T36" s="55"/>
      <c r="U36" s="54" t="n">
        <v>0</v>
      </c>
      <c r="V36" s="54" t="n">
        <v>42</v>
      </c>
      <c r="W36" s="55" t="n">
        <f aca="false">W35-V36</f>
        <v>1098</v>
      </c>
      <c r="X36" s="7" t="n">
        <f aca="false">N36+O36+S36+U36+V36</f>
        <v>46.6</v>
      </c>
      <c r="Y36" s="54" t="n">
        <f aca="false">IF(L36&lt;0,L36*-1,0)</f>
        <v>0</v>
      </c>
      <c r="Z36" s="54" t="n">
        <f aca="false">X36+Y36</f>
        <v>46.6</v>
      </c>
      <c r="AA36" s="58" t="n">
        <v>0.12</v>
      </c>
      <c r="AB36" s="59" t="n">
        <v>41</v>
      </c>
      <c r="AC36" s="59" t="n">
        <v>30</v>
      </c>
      <c r="AD36" s="60" t="n">
        <f aca="false">AD35+1</f>
        <v>27</v>
      </c>
      <c r="AE36" s="95"/>
      <c r="AF36" s="97"/>
      <c r="AG36" s="96"/>
    </row>
    <row r="37" customFormat="false" ht="11.1" hidden="false" customHeight="true" outlineLevel="0" collapsed="false">
      <c r="A37" s="60" t="n">
        <v>28</v>
      </c>
      <c r="B37" s="75" t="n">
        <v>6881.5</v>
      </c>
      <c r="C37" s="55" t="n">
        <v>220721</v>
      </c>
      <c r="D37" s="59" t="n">
        <f aca="false">C37-C36</f>
        <v>92</v>
      </c>
      <c r="E37" s="55" t="n">
        <f aca="false">C37-152000</f>
        <v>68721</v>
      </c>
      <c r="F37" s="54" t="n">
        <f aca="false">D37/$D$2</f>
        <v>46.3826569195866</v>
      </c>
      <c r="G37" s="54" t="n">
        <v>49</v>
      </c>
      <c r="H37" s="58" t="n">
        <v>2.4</v>
      </c>
      <c r="I37" s="54" t="n">
        <f aca="false">G37+H37</f>
        <v>51.4</v>
      </c>
      <c r="J37" s="83" t="n">
        <f aca="false">IF(L37&gt;0,L37,0)</f>
        <v>41.3826569195866</v>
      </c>
      <c r="K37" s="54" t="n">
        <f aca="false">I37+J37</f>
        <v>92.7826569195866</v>
      </c>
      <c r="L37" s="54" t="n">
        <f aca="false">F37-(I37-X37)</f>
        <v>41.3826569195866</v>
      </c>
      <c r="M37" s="54" t="n">
        <v>4.4</v>
      </c>
      <c r="N37" s="54" t="n">
        <v>0</v>
      </c>
      <c r="O37" s="54" t="n">
        <v>0</v>
      </c>
      <c r="P37" s="7" t="n">
        <f aca="false">M37-(N37+O37)</f>
        <v>4.4</v>
      </c>
      <c r="Q37" s="54" t="n">
        <v>0</v>
      </c>
      <c r="R37" s="54" t="n">
        <v>0</v>
      </c>
      <c r="S37" s="54" t="n">
        <f aca="false">SUM(P37:R37)</f>
        <v>4.4</v>
      </c>
      <c r="T37" s="55"/>
      <c r="U37" s="54" t="n">
        <v>0</v>
      </c>
      <c r="V37" s="54" t="n">
        <v>42</v>
      </c>
      <c r="W37" s="55" t="n">
        <f aca="false">W36-V37</f>
        <v>1056</v>
      </c>
      <c r="X37" s="7" t="n">
        <f aca="false">N37+O37+S37+U37+V37</f>
        <v>46.4</v>
      </c>
      <c r="Y37" s="54" t="n">
        <f aca="false">IF(L37&lt;0,L37*-1,0)</f>
        <v>0</v>
      </c>
      <c r="Z37" s="54" t="n">
        <f aca="false">X37+Y37</f>
        <v>46.4</v>
      </c>
      <c r="AA37" s="58" t="n">
        <v>0.46</v>
      </c>
      <c r="AB37" s="59" t="n">
        <v>39</v>
      </c>
      <c r="AC37" s="59" t="n">
        <v>21</v>
      </c>
      <c r="AD37" s="60" t="n">
        <v>28</v>
      </c>
      <c r="AE37" s="95"/>
      <c r="AF37" s="97"/>
      <c r="AG37" s="96"/>
    </row>
    <row r="38" customFormat="false" ht="3" hidden="false" customHeight="true" outlineLevel="0" collapsed="false">
      <c r="A38" s="76"/>
      <c r="B38" s="76"/>
      <c r="C38" s="78"/>
      <c r="D38" s="76"/>
      <c r="E38" s="78"/>
      <c r="F38" s="76"/>
      <c r="G38" s="76"/>
      <c r="H38" s="80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8"/>
      <c r="U38" s="76"/>
      <c r="V38" s="76"/>
      <c r="W38" s="76"/>
      <c r="X38" s="76"/>
      <c r="Y38" s="76"/>
      <c r="Z38" s="76"/>
      <c r="AA38" s="80"/>
      <c r="AB38" s="81"/>
      <c r="AC38" s="81"/>
      <c r="AD38" s="82"/>
      <c r="AE38" s="95"/>
      <c r="AF38" s="95"/>
      <c r="AG38" s="96"/>
    </row>
    <row r="39" customFormat="false" ht="11.1" hidden="false" customHeight="true" outlineLevel="0" collapsed="false">
      <c r="A39" s="54" t="s">
        <v>46</v>
      </c>
      <c r="B39" s="54"/>
      <c r="C39" s="55"/>
      <c r="D39" s="55"/>
      <c r="E39" s="55"/>
      <c r="F39" s="55" t="n">
        <f aca="false">SUM(F10:F37)</f>
        <v>525.838164860096</v>
      </c>
      <c r="G39" s="55" t="n">
        <f aca="false">SUM(G10:G37)</f>
        <v>1195</v>
      </c>
      <c r="H39" s="58" t="n">
        <f aca="false">SUM(H10:H37)</f>
        <v>45.16</v>
      </c>
      <c r="I39" s="55" t="n">
        <f aca="false">SUM(I10:I37)</f>
        <v>1240.16</v>
      </c>
      <c r="J39" s="55" t="n">
        <f aca="false">SUM(J10:J37)</f>
        <v>566.778164860096</v>
      </c>
      <c r="K39" s="55" t="n">
        <f aca="false">SUM(K10:K37)</f>
        <v>1806.9381648601</v>
      </c>
      <c r="L39" s="55" t="n">
        <f aca="false">SUM(L10:L37)</f>
        <v>565.478164860096</v>
      </c>
      <c r="M39" s="55" t="n">
        <f aca="false">SUM(M10:M37)</f>
        <v>132.8</v>
      </c>
      <c r="N39" s="55" t="n">
        <f aca="false">SUM(N10:N37)</f>
        <v>0</v>
      </c>
      <c r="O39" s="55" t="n">
        <f aca="false">SUM(O10:O37)</f>
        <v>0</v>
      </c>
      <c r="P39" s="55" t="n">
        <f aca="false">SUM(P10:P37)</f>
        <v>132.8</v>
      </c>
      <c r="Q39" s="55" t="n">
        <f aca="false">SUM(Q10:Q37)</f>
        <v>0</v>
      </c>
      <c r="R39" s="55" t="n">
        <f aca="false">SUM(R10:R37)</f>
        <v>0</v>
      </c>
      <c r="S39" s="55" t="n">
        <f aca="false">SUM(S10:S37)</f>
        <v>132.8</v>
      </c>
      <c r="T39" s="55"/>
      <c r="U39" s="55" t="n">
        <f aca="false">SUM(U10:U37)</f>
        <v>0</v>
      </c>
      <c r="V39" s="55" t="n">
        <f aca="false">SUM(V10:V37)</f>
        <v>1147</v>
      </c>
      <c r="W39" s="55"/>
      <c r="X39" s="55" t="n">
        <f aca="false">SUM(X10:X37)</f>
        <v>1279.8</v>
      </c>
      <c r="Y39" s="55" t="n">
        <f aca="false">SUM(Y10:Y37)</f>
        <v>1.3</v>
      </c>
      <c r="Z39" s="55" t="n">
        <f aca="false">SUM(Z10:Z37)</f>
        <v>1281.1</v>
      </c>
      <c r="AA39" s="58" t="n">
        <f aca="false">SUM(AA10:AA37)</f>
        <v>1.29</v>
      </c>
      <c r="AB39" s="59" t="n">
        <f aca="false">AVERAGE(AB10:AB37)</f>
        <v>43.0714285714286</v>
      </c>
      <c r="AC39" s="59" t="n">
        <f aca="false">AVERAGE(AC10:AC37)</f>
        <v>20.6428571428571</v>
      </c>
      <c r="AD39" s="60" t="s">
        <v>59</v>
      </c>
      <c r="AE39" s="95"/>
      <c r="AF39" s="95"/>
      <c r="AG39" s="96"/>
    </row>
    <row r="40" customFormat="false" ht="11.1" hidden="false" customHeight="true" outlineLevel="0" collapsed="false">
      <c r="A40" s="54" t="s">
        <v>48</v>
      </c>
      <c r="B40" s="54"/>
      <c r="C40" s="55"/>
      <c r="D40" s="55" t="n">
        <f aca="false">SUM(D10:D37)</f>
        <v>1043</v>
      </c>
      <c r="E40" s="55"/>
      <c r="F40" s="55" t="n">
        <f aca="false">F39*$D$2</f>
        <v>1043</v>
      </c>
      <c r="G40" s="55" t="n">
        <f aca="false">G39*$D$2</f>
        <v>2370.2825</v>
      </c>
      <c r="H40" s="58" t="n">
        <f aca="false">H39*$D$2</f>
        <v>89.57486</v>
      </c>
      <c r="I40" s="55" t="n">
        <f aca="false">I39*$D$2</f>
        <v>2459.85736</v>
      </c>
      <c r="J40" s="55" t="n">
        <f aca="false">J39*$D$2</f>
        <v>1124.20449</v>
      </c>
      <c r="K40" s="55" t="n">
        <f aca="false">K39*$D$2</f>
        <v>3584.06185</v>
      </c>
      <c r="L40" s="55" t="n">
        <f aca="false">L39*$D$2</f>
        <v>1121.62594</v>
      </c>
      <c r="M40" s="55" t="n">
        <f aca="false">M39*$D$2</f>
        <v>263.4088</v>
      </c>
      <c r="N40" s="55" t="n">
        <f aca="false">N39*$D$2</f>
        <v>0</v>
      </c>
      <c r="O40" s="55" t="n">
        <f aca="false">O39*$D$2</f>
        <v>0</v>
      </c>
      <c r="P40" s="55" t="n">
        <f aca="false">P39*$D$2</f>
        <v>263.4088</v>
      </c>
      <c r="Q40" s="55" t="n">
        <f aca="false">Q39*$D$2</f>
        <v>0</v>
      </c>
      <c r="R40" s="55" t="n">
        <f aca="false">R39*$D$2</f>
        <v>0</v>
      </c>
      <c r="S40" s="55" t="n">
        <f aca="false">S39*$D$2</f>
        <v>263.4088</v>
      </c>
      <c r="T40" s="55"/>
      <c r="U40" s="55" t="n">
        <f aca="false">U39*$D$2</f>
        <v>0</v>
      </c>
      <c r="V40" s="55" t="n">
        <f aca="false">V39*$D$2</f>
        <v>2275.0745</v>
      </c>
      <c r="W40" s="55"/>
      <c r="X40" s="55" t="n">
        <f aca="false">X39*$D$2</f>
        <v>2538.4833</v>
      </c>
      <c r="Y40" s="55" t="n">
        <f aca="false">Y39*$D$2</f>
        <v>2.57855000000001</v>
      </c>
      <c r="Z40" s="55" t="n">
        <f aca="false">Z39*$D$2</f>
        <v>2541.06185</v>
      </c>
      <c r="AA40" s="58"/>
      <c r="AB40" s="59" t="n">
        <f aca="false">MAX(AB10:AB37)</f>
        <v>52</v>
      </c>
      <c r="AC40" s="59" t="n">
        <f aca="false">MAX(AC10:AC37)</f>
        <v>32</v>
      </c>
      <c r="AD40" s="60" t="s">
        <v>49</v>
      </c>
      <c r="AE40" s="95"/>
      <c r="AF40" s="95"/>
      <c r="AG40" s="96"/>
    </row>
    <row r="41" customFormat="false" ht="3" hidden="false" customHeight="true" outlineLevel="0" collapsed="false">
      <c r="A41" s="76"/>
      <c r="B41" s="76"/>
      <c r="C41" s="78"/>
      <c r="D41" s="78"/>
      <c r="E41" s="78"/>
      <c r="F41" s="78"/>
      <c r="G41" s="78"/>
      <c r="H41" s="80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6"/>
      <c r="X41" s="78"/>
      <c r="Y41" s="78"/>
      <c r="Z41" s="78"/>
      <c r="AA41" s="58"/>
      <c r="AB41" s="59"/>
      <c r="AC41" s="59"/>
      <c r="AD41" s="60"/>
      <c r="AE41" s="95"/>
      <c r="AF41" s="95"/>
      <c r="AG41" s="96"/>
    </row>
    <row r="42" customFormat="false" ht="11.1" hidden="false" customHeight="true" outlineLevel="0" collapsed="false">
      <c r="A42" s="54" t="s">
        <v>50</v>
      </c>
      <c r="B42" s="54"/>
      <c r="C42" s="55"/>
      <c r="D42" s="55"/>
      <c r="E42" s="55"/>
      <c r="F42" s="55"/>
      <c r="G42" s="55"/>
      <c r="H42" s="58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8"/>
      <c r="AB42" s="59" t="n">
        <f aca="false">MIN(AB10:AB37)</f>
        <v>32</v>
      </c>
      <c r="AC42" s="59" t="n">
        <f aca="false">MIN(AC10:AC37)</f>
        <v>0</v>
      </c>
      <c r="AD42" s="60" t="s">
        <v>51</v>
      </c>
      <c r="AE42" s="95"/>
      <c r="AF42" s="95"/>
      <c r="AG42" s="96"/>
    </row>
    <row r="43" customFormat="false" ht="11.1" hidden="false" customHeight="true" outlineLevel="0" collapsed="false">
      <c r="A43" s="54" t="s">
        <v>52</v>
      </c>
      <c r="B43" s="54"/>
      <c r="C43" s="55"/>
      <c r="D43" s="55"/>
      <c r="E43" s="55"/>
      <c r="F43" s="55"/>
      <c r="G43" s="55"/>
      <c r="H43" s="58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8"/>
      <c r="AB43" s="59"/>
      <c r="AC43" s="59"/>
      <c r="AD43" s="60"/>
      <c r="AE43" s="95"/>
      <c r="AF43" s="95"/>
      <c r="AG43" s="96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80"/>
      <c r="AB44" s="59"/>
      <c r="AC44" s="59"/>
      <c r="AD44" s="60"/>
      <c r="AE44" s="95"/>
      <c r="AF44" s="95"/>
      <c r="AG44" s="96"/>
    </row>
    <row r="45" customFormat="false" ht="11.1" hidden="false" customHeight="true" outlineLevel="0" collapsed="false">
      <c r="A45" s="54" t="s">
        <v>53</v>
      </c>
      <c r="B45" s="54"/>
      <c r="C45" s="55"/>
      <c r="D45" s="55"/>
      <c r="E45" s="55"/>
      <c r="F45" s="55" t="n">
        <f aca="false">F8+F39</f>
        <v>1641.54272750189</v>
      </c>
      <c r="G45" s="55" t="n">
        <f aca="false">G8+G39</f>
        <v>5980</v>
      </c>
      <c r="H45" s="58" t="n">
        <f aca="false">H8+H39</f>
        <v>89.3</v>
      </c>
      <c r="I45" s="55" t="n">
        <f aca="false">I8+I39</f>
        <v>6069.3</v>
      </c>
      <c r="J45" s="55" t="n">
        <f aca="false">J8+J39</f>
        <v>1366.73343080413</v>
      </c>
      <c r="K45" s="55" t="n">
        <f aca="false">K8+K39</f>
        <v>7436.03343080413</v>
      </c>
      <c r="L45" s="55" t="n">
        <f aca="false">L8+L39</f>
        <v>1122.24272750189</v>
      </c>
      <c r="M45" s="55" t="n">
        <f aca="false">M8+M39</f>
        <v>598</v>
      </c>
      <c r="N45" s="55" t="n">
        <f aca="false">N8+N39</f>
        <v>0</v>
      </c>
      <c r="O45" s="55" t="n">
        <f aca="false">O8+O39</f>
        <v>79.8835</v>
      </c>
      <c r="P45" s="55" t="n">
        <f aca="false">P8+P39</f>
        <v>518.1165</v>
      </c>
      <c r="Q45" s="55" t="n">
        <f aca="false">Q8+Q39</f>
        <v>0</v>
      </c>
      <c r="R45" s="55" t="n">
        <f aca="false">R8+R39</f>
        <v>0</v>
      </c>
      <c r="S45" s="55" t="n">
        <f aca="false">S8+S39</f>
        <v>518.1165</v>
      </c>
      <c r="T45" s="55"/>
      <c r="U45" s="55" t="n">
        <f aca="false">U8+U39</f>
        <v>0</v>
      </c>
      <c r="V45" s="55" t="n">
        <f aca="false">V8+V39</f>
        <v>4952</v>
      </c>
      <c r="W45" s="55" t="n">
        <f aca="false">W37</f>
        <v>1056</v>
      </c>
      <c r="X45" s="55" t="n">
        <f aca="false">X8+X39</f>
        <v>5550</v>
      </c>
      <c r="Y45" s="55" t="n">
        <f aca="false">Y8+Y39</f>
        <v>244.490703302244</v>
      </c>
      <c r="Z45" s="55" t="n">
        <f aca="false">Z8+Z39</f>
        <v>5794.49070330224</v>
      </c>
      <c r="AA45" s="58" t="n">
        <f aca="false">AA8+AA39</f>
        <v>4.34</v>
      </c>
      <c r="AB45" s="59"/>
      <c r="AC45" s="59"/>
      <c r="AD45" s="60"/>
      <c r="AE45" s="95"/>
      <c r="AF45" s="95"/>
      <c r="AG45" s="96"/>
    </row>
    <row r="46" customFormat="false" ht="11.1" hidden="false" customHeight="true" outlineLevel="0" collapsed="false">
      <c r="A46" s="54" t="s">
        <v>54</v>
      </c>
      <c r="B46" s="54"/>
      <c r="C46" s="55"/>
      <c r="D46" s="55" t="n">
        <f aca="false">D8+D40</f>
        <v>3256</v>
      </c>
      <c r="E46" s="55" t="n">
        <f aca="false">E37</f>
        <v>68721</v>
      </c>
      <c r="F46" s="55" t="n">
        <f aca="false">F45*$D$2</f>
        <v>3256</v>
      </c>
      <c r="G46" s="55" t="n">
        <f aca="false">G45*$D$2</f>
        <v>11861.33</v>
      </c>
      <c r="H46" s="58" t="n">
        <f aca="false">H45*$D$2</f>
        <v>177.12655</v>
      </c>
      <c r="I46" s="55" t="n">
        <f aca="false">I45*$D$2</f>
        <v>12038.45655</v>
      </c>
      <c r="J46" s="55" t="n">
        <f aca="false">J45*$D$2</f>
        <v>2710.91576</v>
      </c>
      <c r="K46" s="55" t="n">
        <f aca="false">K45*$D$2</f>
        <v>14749.37231</v>
      </c>
      <c r="L46" s="55" t="n">
        <f aca="false">L45*$D$2</f>
        <v>2225.96845</v>
      </c>
      <c r="M46" s="55" t="n">
        <f aca="false">M45*$D$2</f>
        <v>1186.133</v>
      </c>
      <c r="N46" s="55" t="n">
        <f aca="false">N45*$D$2</f>
        <v>0</v>
      </c>
      <c r="O46" s="55" t="n">
        <f aca="false">O45*$D$2</f>
        <v>158.44892225</v>
      </c>
      <c r="P46" s="55" t="n">
        <f aca="false">P45*$D$2</f>
        <v>1027.68407775</v>
      </c>
      <c r="Q46" s="55" t="n">
        <f aca="false">Q45*$D$2</f>
        <v>0</v>
      </c>
      <c r="R46" s="55" t="n">
        <f aca="false">R45*$D$2</f>
        <v>0</v>
      </c>
      <c r="S46" s="55" t="n">
        <f aca="false">S45*$D$2</f>
        <v>1027.68407775</v>
      </c>
      <c r="T46" s="55" t="n">
        <f aca="false">T45*$D$2</f>
        <v>0</v>
      </c>
      <c r="U46" s="55" t="n">
        <f aca="false">U45*$D$2</f>
        <v>0</v>
      </c>
      <c r="V46" s="55" t="n">
        <f aca="false">V45*$D$2</f>
        <v>9822.292</v>
      </c>
      <c r="W46" s="55" t="n">
        <f aca="false">W45*$D$2</f>
        <v>2094.576</v>
      </c>
      <c r="X46" s="55" t="n">
        <f aca="false">X45*$D$2</f>
        <v>11008.425</v>
      </c>
      <c r="Y46" s="55" t="n">
        <f aca="false">Y45*$D$2</f>
        <v>484.94731</v>
      </c>
      <c r="Z46" s="55" t="n">
        <f aca="false">Z45*$D$2</f>
        <v>11493.37231</v>
      </c>
      <c r="AA46" s="58"/>
      <c r="AB46" s="59"/>
      <c r="AC46" s="59"/>
      <c r="AD46" s="60"/>
      <c r="AE46" s="95"/>
      <c r="AF46" s="95"/>
      <c r="AG46" s="96"/>
    </row>
    <row r="47" customFormat="false" ht="3" hidden="false" customHeight="true" outlineLevel="0" collapsed="false">
      <c r="A47" s="76"/>
      <c r="B47" s="76"/>
      <c r="C47" s="78"/>
      <c r="D47" s="76"/>
      <c r="E47" s="78"/>
      <c r="F47" s="76"/>
      <c r="G47" s="76"/>
      <c r="H47" s="80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8"/>
      <c r="U47" s="76"/>
      <c r="V47" s="76"/>
      <c r="W47" s="78"/>
      <c r="X47" s="76"/>
      <c r="Y47" s="76"/>
      <c r="Z47" s="76"/>
      <c r="AA47" s="58"/>
      <c r="AB47" s="59"/>
      <c r="AC47" s="59"/>
      <c r="AD47" s="60"/>
      <c r="AE47" s="95"/>
      <c r="AF47" s="95"/>
      <c r="AG47" s="96"/>
    </row>
    <row r="48" customFormat="false" ht="11.1" hidden="false" customHeight="true" outlineLevel="0" collapsed="false">
      <c r="A48" s="54"/>
      <c r="B48" s="86"/>
      <c r="C48" s="55"/>
      <c r="D48" s="54"/>
      <c r="E48" s="55"/>
      <c r="F48" s="54"/>
      <c r="G48" s="54"/>
      <c r="H48" s="58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5"/>
      <c r="U48" s="54"/>
      <c r="V48" s="54"/>
      <c r="W48" s="55"/>
      <c r="X48" s="54"/>
      <c r="Y48" s="54"/>
      <c r="Z48" s="54"/>
      <c r="AA48" s="58"/>
      <c r="AB48" s="59"/>
      <c r="AC48" s="59"/>
      <c r="AD48" s="60"/>
      <c r="AE48" s="91"/>
      <c r="AF48" s="91"/>
    </row>
    <row r="49" customFormat="false" ht="11.1" hidden="false" customHeight="true" outlineLevel="0" collapsed="false">
      <c r="A49" s="54"/>
      <c r="B49" s="75"/>
      <c r="C49" s="55"/>
      <c r="D49" s="84"/>
      <c r="E49" s="55"/>
      <c r="F49" s="54"/>
      <c r="G49" s="54"/>
      <c r="H49" s="4"/>
      <c r="I49" s="55"/>
      <c r="J49" s="54"/>
      <c r="K49" s="45"/>
      <c r="L49" s="54"/>
      <c r="M49" s="54"/>
      <c r="N49" s="54"/>
      <c r="O49" s="54"/>
      <c r="P49" s="54"/>
      <c r="Q49" s="54"/>
      <c r="R49" s="54"/>
      <c r="S49" s="54"/>
      <c r="T49" s="55"/>
      <c r="U49" s="54"/>
      <c r="V49" s="54"/>
      <c r="W49" s="55"/>
      <c r="X49" s="54"/>
      <c r="Y49" s="54"/>
      <c r="Z49" s="54"/>
      <c r="AA49" s="58"/>
      <c r="AB49" s="59"/>
      <c r="AC49" s="59"/>
      <c r="AD49" s="60"/>
      <c r="AE49" s="91"/>
      <c r="AF49" s="91"/>
    </row>
    <row r="50" customFormat="false" ht="11.1" hidden="false" customHeight="true" outlineLevel="0" collapsed="false">
      <c r="A50" s="84"/>
      <c r="B50" s="84"/>
      <c r="C50" s="55"/>
      <c r="D50" s="55"/>
      <c r="E50" s="55"/>
      <c r="F50" s="84"/>
      <c r="G50" s="84"/>
      <c r="H50" s="58"/>
      <c r="I50" s="55"/>
      <c r="J50" s="84"/>
      <c r="K50" s="84"/>
      <c r="L50" s="84"/>
      <c r="M50" s="83"/>
      <c r="N50" s="83"/>
      <c r="O50" s="83"/>
      <c r="P50" s="83"/>
      <c r="Q50" s="84"/>
      <c r="R50" s="84"/>
      <c r="S50" s="84"/>
      <c r="T50" s="55"/>
      <c r="U50" s="84"/>
      <c r="V50" s="84"/>
      <c r="W50" s="55"/>
      <c r="X50" s="84"/>
      <c r="Y50" s="84"/>
      <c r="Z50" s="84"/>
      <c r="AA50" s="58"/>
      <c r="AB50" s="59"/>
      <c r="AC50" s="59"/>
      <c r="AD50" s="60"/>
      <c r="AE50" s="101"/>
      <c r="AF50" s="101"/>
    </row>
    <row r="51" customFormat="false" ht="11.1" hidden="false" customHeight="true" outlineLevel="0" collapsed="false">
      <c r="A51" s="84"/>
      <c r="B51" s="56"/>
      <c r="C51" s="55"/>
      <c r="D51" s="55"/>
      <c r="E51" s="55"/>
      <c r="F51" s="84"/>
      <c r="G51" s="84"/>
      <c r="H51" s="58"/>
      <c r="I51" s="55"/>
      <c r="J51" s="84"/>
      <c r="K51" s="84"/>
      <c r="L51" s="84"/>
      <c r="M51" s="83"/>
      <c r="N51" s="83"/>
      <c r="O51" s="83"/>
      <c r="P51" s="83"/>
      <c r="Q51" s="84"/>
      <c r="R51" s="84"/>
      <c r="S51" s="84"/>
      <c r="T51" s="55"/>
      <c r="U51" s="84"/>
      <c r="V51" s="84"/>
      <c r="W51" s="55"/>
      <c r="X51" s="84"/>
      <c r="Y51" s="84"/>
      <c r="Z51" s="84"/>
      <c r="AA51" s="58"/>
      <c r="AB51" s="59"/>
      <c r="AC51" s="59"/>
      <c r="AD51" s="60"/>
      <c r="AE51" s="101"/>
      <c r="AF51" s="101"/>
    </row>
    <row r="52" customFormat="false" ht="11.1" hidden="false" customHeight="true" outlineLevel="0" collapsed="false">
      <c r="A52" s="84"/>
      <c r="B52" s="84"/>
      <c r="C52" s="55"/>
      <c r="D52" s="84"/>
      <c r="E52" s="55"/>
      <c r="F52" s="84"/>
      <c r="G52" s="88"/>
      <c r="H52" s="58"/>
      <c r="I52" s="84"/>
      <c r="J52" s="84"/>
      <c r="K52" s="84"/>
      <c r="L52" s="84"/>
      <c r="M52" s="83"/>
      <c r="N52" s="83"/>
      <c r="O52" s="83"/>
      <c r="P52" s="83"/>
      <c r="Q52" s="84"/>
      <c r="R52" s="84"/>
      <c r="S52" s="84"/>
      <c r="T52" s="55"/>
      <c r="U52" s="84"/>
      <c r="V52" s="84"/>
      <c r="W52" s="55"/>
      <c r="X52" s="84"/>
      <c r="Y52" s="84"/>
      <c r="Z52" s="84"/>
      <c r="AA52" s="58"/>
      <c r="AB52" s="59"/>
      <c r="AC52" s="59"/>
      <c r="AD52" s="60"/>
      <c r="AE52" s="101"/>
      <c r="AF52" s="101"/>
    </row>
    <row r="53" customFormat="false" ht="11.1" hidden="false" customHeight="true" outlineLevel="0" collapsed="false">
      <c r="P53" s="50"/>
      <c r="S53" s="47"/>
      <c r="T53" s="48"/>
      <c r="V53" s="47"/>
      <c r="W53" s="48"/>
      <c r="Z53" s="47"/>
      <c r="AC53" s="52"/>
      <c r="AD53" s="53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7" width="5.66"/>
    <col collapsed="false" customWidth="true" hidden="false" outlineLevel="0" max="2" min="2" style="47" width="7.82"/>
    <col collapsed="false" customWidth="true" hidden="false" outlineLevel="0" max="3" min="3" style="48" width="7.66"/>
    <col collapsed="false" customWidth="true" hidden="false" outlineLevel="0" max="4" min="4" style="47" width="6.99"/>
    <col collapsed="false" customWidth="true" hidden="false" outlineLevel="0" max="5" min="5" style="48" width="7.66"/>
    <col collapsed="false" customWidth="true" hidden="false" outlineLevel="0" max="6" min="6" style="47" width="7.66"/>
    <col collapsed="false" customWidth="true" hidden="false" outlineLevel="0" max="7" min="7" style="47" width="7.16"/>
    <col collapsed="false" customWidth="true" hidden="false" outlineLevel="0" max="8" min="8" style="51" width="6.66"/>
    <col collapsed="false" customWidth="true" hidden="false" outlineLevel="0" max="9" min="9" style="47" width="7.99"/>
    <col collapsed="false" customWidth="true" hidden="false" outlineLevel="0" max="10" min="10" style="47" width="6.66"/>
    <col collapsed="false" customWidth="true" hidden="false" outlineLevel="0" max="12" min="11" style="47" width="7.16"/>
    <col collapsed="false" customWidth="true" hidden="false" outlineLevel="0" max="13" min="13" style="50" width="6.16"/>
    <col collapsed="false" customWidth="true" hidden="false" outlineLevel="0" max="14" min="14" style="50" width="7.32"/>
    <col collapsed="false" customWidth="true" hidden="false" outlineLevel="0" max="15" min="15" style="50" width="6.49"/>
    <col collapsed="false" customWidth="true" hidden="false" outlineLevel="0" max="16" min="16" style="47" width="7.16"/>
    <col collapsed="false" customWidth="true" hidden="false" outlineLevel="0" max="17" min="17" style="47" width="6.32"/>
    <col collapsed="false" customWidth="true" hidden="false" outlineLevel="0" max="18" min="18" style="47" width="5.82"/>
    <col collapsed="false" customWidth="true" hidden="false" outlineLevel="0" max="19" min="19" style="48" width="6.82"/>
    <col collapsed="false" customWidth="true" hidden="false" outlineLevel="0" max="20" min="20" style="47" width="7.66"/>
    <col collapsed="false" customWidth="true" hidden="false" outlineLevel="0" max="21" min="21" style="47" width="5.99"/>
    <col collapsed="false" customWidth="true" hidden="false" outlineLevel="0" max="22" min="22" style="48" width="6.66"/>
    <col collapsed="false" customWidth="true" hidden="false" outlineLevel="0" max="23" min="23" style="47" width="6.82"/>
    <col collapsed="false" customWidth="true" hidden="false" outlineLevel="0" max="25" min="24" style="47" width="7.82"/>
    <col collapsed="false" customWidth="true" hidden="false" outlineLevel="0" max="26" min="26" style="49" width="8.16"/>
    <col collapsed="false" customWidth="true" hidden="false" outlineLevel="0" max="27" min="27" style="51" width="4.66"/>
    <col collapsed="false" customWidth="true" hidden="false" outlineLevel="0" max="28" min="28" style="52" width="4.66"/>
    <col collapsed="false" customWidth="true" hidden="false" outlineLevel="0" max="29" min="29" style="53" width="4.66"/>
    <col collapsed="false" customWidth="true" hidden="false" outlineLevel="0" max="30" min="30" style="47" width="5.66"/>
    <col collapsed="false" customWidth="false" hidden="false" outlineLevel="0" max="257" min="31" style="47" width="9.32"/>
  </cols>
  <sheetData>
    <row r="1" customFormat="false" ht="14.1" hidden="false" customHeight="true" outlineLevel="0" collapsed="false">
      <c r="A1" s="54"/>
      <c r="B1" s="54"/>
      <c r="C1" s="55"/>
      <c r="D1" s="54"/>
      <c r="E1" s="55"/>
      <c r="F1" s="54"/>
      <c r="G1" s="54"/>
      <c r="H1" s="58"/>
      <c r="I1" s="54"/>
      <c r="J1" s="54"/>
      <c r="K1" s="57" t="s">
        <v>0</v>
      </c>
      <c r="L1" s="54"/>
      <c r="M1" s="54"/>
      <c r="N1" s="54"/>
      <c r="O1" s="54"/>
      <c r="P1" s="54"/>
      <c r="Q1" s="54"/>
      <c r="R1" s="54"/>
      <c r="S1" s="55"/>
      <c r="T1" s="54"/>
      <c r="U1" s="54"/>
      <c r="V1" s="55"/>
      <c r="W1" s="54"/>
      <c r="X1" s="54"/>
      <c r="Y1" s="54"/>
      <c r="Z1" s="56"/>
      <c r="AA1" s="58"/>
      <c r="AB1" s="59"/>
      <c r="AC1" s="60"/>
      <c r="AD1" s="91"/>
      <c r="AE1" s="91"/>
    </row>
    <row r="2" customFormat="false" ht="14.1" hidden="false" customHeight="true" outlineLevel="0" collapsed="false">
      <c r="A2" s="54" t="s">
        <v>1</v>
      </c>
      <c r="B2" s="54"/>
      <c r="C2" s="55"/>
      <c r="D2" s="61" t="n">
        <v>1.9835</v>
      </c>
      <c r="E2" s="55"/>
      <c r="F2" s="54"/>
      <c r="G2" s="54"/>
      <c r="H2" s="58"/>
      <c r="I2" s="54"/>
      <c r="J2" s="54"/>
      <c r="K2" s="62" t="s">
        <v>62</v>
      </c>
      <c r="L2" s="62"/>
      <c r="M2" s="62"/>
      <c r="N2" s="62"/>
      <c r="O2" s="62"/>
      <c r="P2" s="62"/>
      <c r="Q2" s="62"/>
      <c r="R2" s="62"/>
      <c r="S2" s="62"/>
      <c r="T2" s="62"/>
      <c r="U2" s="54"/>
      <c r="V2" s="55"/>
      <c r="W2" s="54"/>
      <c r="X2" s="54"/>
      <c r="Y2" s="54"/>
      <c r="Z2" s="56"/>
      <c r="AA2" s="58"/>
      <c r="AB2" s="59"/>
      <c r="AC2" s="60"/>
      <c r="AD2" s="91"/>
      <c r="AE2" s="91"/>
    </row>
    <row r="3" customFormat="false" ht="11.1" hidden="false" customHeight="true" outlineLevel="0" collapsed="false">
      <c r="A3" s="54"/>
      <c r="B3" s="54"/>
      <c r="C3" s="55"/>
      <c r="D3" s="63"/>
      <c r="E3" s="55"/>
      <c r="F3" s="54"/>
      <c r="G3" s="54"/>
      <c r="H3" s="58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54"/>
      <c r="U3" s="54"/>
      <c r="V3" s="55"/>
      <c r="W3" s="54"/>
      <c r="X3" s="54"/>
      <c r="Y3" s="54"/>
      <c r="Z3" s="56"/>
      <c r="AA3" s="58"/>
      <c r="AB3" s="59"/>
      <c r="AC3" s="60"/>
      <c r="AD3" s="91"/>
      <c r="AE3" s="91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1"/>
      <c r="AF4" s="91"/>
    </row>
    <row r="5" customFormat="false" ht="11.1" hidden="false" customHeight="true" outlineLevel="0" collapsed="false">
      <c r="A5" s="69" t="s">
        <v>63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63</v>
      </c>
      <c r="AE5" s="91"/>
      <c r="AF5" s="91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3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5"/>
      <c r="AF6" s="95"/>
      <c r="AG6" s="96"/>
    </row>
    <row r="7" customFormat="false" ht="11.1" hidden="false" customHeight="true" outlineLevel="0" collapsed="false">
      <c r="A7" s="54" t="s">
        <v>44</v>
      </c>
      <c r="B7" s="54"/>
      <c r="C7" s="55"/>
      <c r="D7" s="55"/>
      <c r="E7" s="55"/>
      <c r="F7" s="55"/>
      <c r="G7" s="55"/>
      <c r="H7" s="58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8"/>
      <c r="AB7" s="59"/>
      <c r="AC7" s="59"/>
      <c r="AD7" s="60"/>
      <c r="AE7" s="95"/>
      <c r="AF7" s="96"/>
      <c r="AG7" s="96"/>
    </row>
    <row r="8" s="48" customFormat="true" ht="11.1" hidden="false" customHeight="true" outlineLevel="0" collapsed="false">
      <c r="A8" s="55" t="s">
        <v>45</v>
      </c>
      <c r="B8" s="75" t="n">
        <f aca="false">FEB!B37</f>
        <v>6881.5</v>
      </c>
      <c r="C8" s="55" t="n">
        <f aca="false">FEB!C37</f>
        <v>220721</v>
      </c>
      <c r="D8" s="55" t="n">
        <f aca="false">FEB!$D$46</f>
        <v>3256</v>
      </c>
      <c r="E8" s="55" t="n">
        <f aca="false">FEB!$E$37</f>
        <v>68721</v>
      </c>
      <c r="F8" s="55" t="n">
        <f aca="false">FEB!F45</f>
        <v>1641.54272750189</v>
      </c>
      <c r="G8" s="55" t="n">
        <f aca="false">FEB!G45</f>
        <v>5980</v>
      </c>
      <c r="H8" s="58" t="n">
        <f aca="false">FEB!H45</f>
        <v>89.3</v>
      </c>
      <c r="I8" s="55" t="n">
        <f aca="false">FEB!I45</f>
        <v>6069.3</v>
      </c>
      <c r="J8" s="55" t="n">
        <f aca="false">FEB!J45</f>
        <v>1366.73343080413</v>
      </c>
      <c r="K8" s="55" t="n">
        <f aca="false">FEB!K45</f>
        <v>7436.03343080413</v>
      </c>
      <c r="L8" s="55" t="n">
        <f aca="false">FEB!L45</f>
        <v>1122.24272750189</v>
      </c>
      <c r="M8" s="55" t="n">
        <f aca="false">FEB!M45</f>
        <v>598</v>
      </c>
      <c r="N8" s="55" t="n">
        <f aca="false">FEB!N45</f>
        <v>0</v>
      </c>
      <c r="O8" s="55" t="n">
        <f aca="false">FEB!O45</f>
        <v>79.8835</v>
      </c>
      <c r="P8" s="55" t="n">
        <f aca="false">FEB!P45</f>
        <v>518.1165</v>
      </c>
      <c r="Q8" s="55" t="n">
        <f aca="false">FEB!Q45</f>
        <v>0</v>
      </c>
      <c r="R8" s="55" t="n">
        <f aca="false">FEB!R45</f>
        <v>0</v>
      </c>
      <c r="S8" s="55" t="n">
        <f aca="false">FEB!S45</f>
        <v>518.1165</v>
      </c>
      <c r="T8" s="55" t="n">
        <f aca="false">FEB!T45</f>
        <v>0</v>
      </c>
      <c r="U8" s="55" t="n">
        <f aca="false">FEB!U45</f>
        <v>0</v>
      </c>
      <c r="V8" s="55" t="n">
        <f aca="false">FEB!V45</f>
        <v>4952</v>
      </c>
      <c r="W8" s="55" t="n">
        <f aca="false">FEB!W45</f>
        <v>1056</v>
      </c>
      <c r="X8" s="55" t="n">
        <f aca="false">FEB!X45</f>
        <v>5550</v>
      </c>
      <c r="Y8" s="55" t="n">
        <f aca="false">FEB!Y45</f>
        <v>244.490703302244</v>
      </c>
      <c r="Z8" s="55" t="n">
        <f aca="false">FEB!Z45</f>
        <v>5794.49070330224</v>
      </c>
      <c r="AA8" s="58" t="n">
        <f aca="false">FEB!AA45</f>
        <v>4.34</v>
      </c>
      <c r="AB8" s="59"/>
      <c r="AC8" s="59"/>
      <c r="AD8" s="60"/>
      <c r="AE8" s="97"/>
      <c r="AF8" s="95"/>
      <c r="AG8" s="97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5"/>
      <c r="AF9" s="95"/>
      <c r="AG9" s="96"/>
    </row>
    <row r="10" customFormat="false" ht="11.1" hidden="false" customHeight="true" outlineLevel="0" collapsed="false">
      <c r="A10" s="60" t="n">
        <v>1</v>
      </c>
      <c r="B10" s="75" t="n">
        <v>6881.52</v>
      </c>
      <c r="C10" s="55" t="n">
        <v>220782</v>
      </c>
      <c r="D10" s="59" t="n">
        <f aca="false">C10-C8</f>
        <v>61</v>
      </c>
      <c r="E10" s="55" t="n">
        <f aca="false">C10-152000</f>
        <v>68782</v>
      </c>
      <c r="F10" s="54" t="n">
        <f aca="false">D10/$D$2</f>
        <v>30.7537181749433</v>
      </c>
      <c r="G10" s="54" t="n">
        <v>48</v>
      </c>
      <c r="H10" s="102" t="n">
        <v>2.7</v>
      </c>
      <c r="I10" s="54" t="n">
        <f aca="false">G10+H10</f>
        <v>50.7</v>
      </c>
      <c r="J10" s="83" t="n">
        <f aca="false">IF(L10&gt;0,L10,0)</f>
        <v>26.4537181749433</v>
      </c>
      <c r="K10" s="54" t="n">
        <f aca="false">I10+J10</f>
        <v>77.1537181749433</v>
      </c>
      <c r="L10" s="54" t="n">
        <f aca="false">F10-(I10-X10)</f>
        <v>26.4537181749433</v>
      </c>
      <c r="M10" s="54" t="n">
        <v>4.4</v>
      </c>
      <c r="N10" s="54" t="n">
        <v>0</v>
      </c>
      <c r="O10" s="54" t="n">
        <v>0</v>
      </c>
      <c r="P10" s="7" t="n">
        <f aca="false">M10-(N10+O10)</f>
        <v>4.4</v>
      </c>
      <c r="Q10" s="54" t="n">
        <v>0</v>
      </c>
      <c r="R10" s="54" t="n">
        <v>0</v>
      </c>
      <c r="S10" s="54" t="n">
        <f aca="false">SUM(P10:R10)</f>
        <v>4.4</v>
      </c>
      <c r="T10" s="55"/>
      <c r="U10" s="54" t="n">
        <v>0</v>
      </c>
      <c r="V10" s="54" t="n">
        <v>42</v>
      </c>
      <c r="W10" s="55" t="n">
        <f aca="false">W8-V10</f>
        <v>1014</v>
      </c>
      <c r="X10" s="7" t="n">
        <f aca="false">N10+O10+S10+U10+V10</f>
        <v>46.4</v>
      </c>
      <c r="Y10" s="54" t="n">
        <f aca="false">IF(L10&lt;0,L10*-1,0)</f>
        <v>0</v>
      </c>
      <c r="Z10" s="54" t="n">
        <f aca="false">X10+Y10</f>
        <v>46.4</v>
      </c>
      <c r="AA10" s="58" t="n">
        <v>0.08</v>
      </c>
      <c r="AB10" s="59" t="n">
        <v>40</v>
      </c>
      <c r="AC10" s="59" t="n">
        <v>24</v>
      </c>
      <c r="AD10" s="60" t="n">
        <v>1</v>
      </c>
      <c r="AE10" s="96"/>
      <c r="AF10" s="97"/>
      <c r="AG10" s="96"/>
    </row>
    <row r="11" customFormat="false" ht="11.1" hidden="false" customHeight="true" outlineLevel="0" collapsed="false">
      <c r="A11" s="60" t="n">
        <f aca="false">A10+1</f>
        <v>2</v>
      </c>
      <c r="B11" s="75" t="n">
        <v>6881.52</v>
      </c>
      <c r="C11" s="55" t="n">
        <v>220782</v>
      </c>
      <c r="D11" s="59" t="n">
        <f aca="false">C11-C10</f>
        <v>0</v>
      </c>
      <c r="E11" s="55" t="n">
        <f aca="false">C11-152000</f>
        <v>68782</v>
      </c>
      <c r="F11" s="54" t="n">
        <f aca="false">D11/$D$2</f>
        <v>0</v>
      </c>
      <c r="G11" s="54" t="n">
        <v>45</v>
      </c>
      <c r="H11" s="102" t="n">
        <v>3.8</v>
      </c>
      <c r="I11" s="54" t="n">
        <f aca="false">G11+H11</f>
        <v>48.8</v>
      </c>
      <c r="J11" s="83" t="n">
        <f aca="false">IF(L11&gt;0,L11,0)</f>
        <v>0</v>
      </c>
      <c r="K11" s="54" t="n">
        <f aca="false">I11+J11</f>
        <v>48.8</v>
      </c>
      <c r="L11" s="54" t="n">
        <f aca="false">F11-(I11-X11)</f>
        <v>-2.4</v>
      </c>
      <c r="M11" s="54" t="n">
        <v>4.4</v>
      </c>
      <c r="N11" s="54" t="n">
        <v>0</v>
      </c>
      <c r="O11" s="54" t="n">
        <v>0</v>
      </c>
      <c r="P11" s="7" t="n">
        <f aca="false">M11-(N11+O11)</f>
        <v>4.4</v>
      </c>
      <c r="Q11" s="54" t="n">
        <v>0</v>
      </c>
      <c r="R11" s="54" t="n">
        <v>0</v>
      </c>
      <c r="S11" s="54" t="n">
        <f aca="false">SUM(P11:R11)</f>
        <v>4.4</v>
      </c>
      <c r="T11" s="55"/>
      <c r="U11" s="54" t="n">
        <v>0</v>
      </c>
      <c r="V11" s="54" t="n">
        <v>42</v>
      </c>
      <c r="W11" s="55" t="n">
        <f aca="false">W10-V11</f>
        <v>972</v>
      </c>
      <c r="X11" s="7" t="n">
        <f aca="false">N11+O11+S11+U11+V11</f>
        <v>46.4</v>
      </c>
      <c r="Y11" s="54" t="n">
        <f aca="false">IF(L11&lt;0,L11*-1,0)</f>
        <v>2.4</v>
      </c>
      <c r="Z11" s="54" t="n">
        <f aca="false">X11+Y11</f>
        <v>48.8</v>
      </c>
      <c r="AA11" s="58" t="n">
        <v>0</v>
      </c>
      <c r="AB11" s="59" t="n">
        <v>42</v>
      </c>
      <c r="AC11" s="59" t="n">
        <v>16</v>
      </c>
      <c r="AD11" s="60" t="n">
        <f aca="false">AD10+1</f>
        <v>2</v>
      </c>
      <c r="AE11" s="96"/>
      <c r="AF11" s="97"/>
      <c r="AG11" s="96"/>
    </row>
    <row r="12" customFormat="false" ht="11.1" hidden="false" customHeight="true" outlineLevel="0" collapsed="false">
      <c r="A12" s="60" t="n">
        <f aca="false">A11+1</f>
        <v>3</v>
      </c>
      <c r="B12" s="75" t="n">
        <v>6881.52</v>
      </c>
      <c r="C12" s="55" t="n">
        <v>220782</v>
      </c>
      <c r="D12" s="59" t="n">
        <f aca="false">C12-C11</f>
        <v>0</v>
      </c>
      <c r="E12" s="55" t="n">
        <f aca="false">C12-152000</f>
        <v>68782</v>
      </c>
      <c r="F12" s="54" t="n">
        <f aca="false">D12/$D$2</f>
        <v>0</v>
      </c>
      <c r="G12" s="54" t="n">
        <v>45</v>
      </c>
      <c r="H12" s="102" t="n">
        <v>2.9</v>
      </c>
      <c r="I12" s="54" t="n">
        <f aca="false">G12+H12</f>
        <v>47.9</v>
      </c>
      <c r="J12" s="83" t="n">
        <f aca="false">IF(L12&gt;0,L12,0)</f>
        <v>0</v>
      </c>
      <c r="K12" s="54" t="n">
        <f aca="false">I12+J12</f>
        <v>47.9</v>
      </c>
      <c r="L12" s="54" t="n">
        <f aca="false">F12-(I12-X12)</f>
        <v>-1.5</v>
      </c>
      <c r="M12" s="54" t="n">
        <v>4.4</v>
      </c>
      <c r="N12" s="54" t="n">
        <v>0</v>
      </c>
      <c r="O12" s="54" t="n">
        <v>0</v>
      </c>
      <c r="P12" s="7" t="n">
        <f aca="false">M12-(N12+O12)</f>
        <v>4.4</v>
      </c>
      <c r="Q12" s="54" t="n">
        <v>0</v>
      </c>
      <c r="R12" s="54" t="n">
        <v>0</v>
      </c>
      <c r="S12" s="54" t="n">
        <f aca="false">SUM(P12:R12)</f>
        <v>4.4</v>
      </c>
      <c r="T12" s="55"/>
      <c r="U12" s="54" t="n">
        <v>0</v>
      </c>
      <c r="V12" s="54" t="n">
        <v>42</v>
      </c>
      <c r="W12" s="55" t="n">
        <f aca="false">W11-V12</f>
        <v>930</v>
      </c>
      <c r="X12" s="7" t="n">
        <f aca="false">N12+O12+S12+U12+V12</f>
        <v>46.4</v>
      </c>
      <c r="Y12" s="54" t="n">
        <f aca="false">IF(L12&lt;0,L12*-1,0)</f>
        <v>1.5</v>
      </c>
      <c r="Z12" s="54" t="n">
        <f aca="false">X12+Y12</f>
        <v>47.9</v>
      </c>
      <c r="AA12" s="58" t="n">
        <v>0</v>
      </c>
      <c r="AB12" s="59" t="n">
        <v>41</v>
      </c>
      <c r="AC12" s="59" t="n">
        <v>24</v>
      </c>
      <c r="AD12" s="60" t="n">
        <f aca="false">AD11+1</f>
        <v>3</v>
      </c>
      <c r="AE12" s="96"/>
      <c r="AF12" s="97"/>
      <c r="AG12" s="96"/>
    </row>
    <row r="13" customFormat="false" ht="11.1" hidden="false" customHeight="true" outlineLevel="0" collapsed="false">
      <c r="A13" s="60" t="n">
        <f aca="false">A12+1</f>
        <v>4</v>
      </c>
      <c r="B13" s="75" t="n">
        <v>6881.52</v>
      </c>
      <c r="C13" s="55" t="n">
        <v>220782</v>
      </c>
      <c r="D13" s="59" t="n">
        <f aca="false">C13-C12</f>
        <v>0</v>
      </c>
      <c r="E13" s="55" t="n">
        <f aca="false">C13-152000</f>
        <v>68782</v>
      </c>
      <c r="F13" s="54" t="n">
        <f aca="false">D13/$D$2</f>
        <v>0</v>
      </c>
      <c r="G13" s="54" t="n">
        <v>45</v>
      </c>
      <c r="H13" s="102" t="n">
        <v>3.5</v>
      </c>
      <c r="I13" s="54" t="n">
        <f aca="false">G13+H13</f>
        <v>48.5</v>
      </c>
      <c r="J13" s="83" t="n">
        <f aca="false">IF(L13&gt;0,L13,0)</f>
        <v>0</v>
      </c>
      <c r="K13" s="54" t="n">
        <f aca="false">I13+J13</f>
        <v>48.5</v>
      </c>
      <c r="L13" s="54" t="n">
        <f aca="false">F13-(I13-X13)</f>
        <v>-3.1</v>
      </c>
      <c r="M13" s="54" t="n">
        <v>4.4</v>
      </c>
      <c r="N13" s="54" t="n">
        <v>0</v>
      </c>
      <c r="O13" s="54" t="n">
        <v>0</v>
      </c>
      <c r="P13" s="7" t="n">
        <f aca="false">M13-(N13+O13)</f>
        <v>4.4</v>
      </c>
      <c r="Q13" s="54" t="n">
        <v>0</v>
      </c>
      <c r="R13" s="54" t="n">
        <v>0</v>
      </c>
      <c r="S13" s="54" t="n">
        <f aca="false">SUM(P13:R13)</f>
        <v>4.4</v>
      </c>
      <c r="T13" s="55"/>
      <c r="U13" s="54" t="n">
        <v>0</v>
      </c>
      <c r="V13" s="54" t="n">
        <v>41</v>
      </c>
      <c r="W13" s="55" t="n">
        <f aca="false">W12-V13</f>
        <v>889</v>
      </c>
      <c r="X13" s="7" t="n">
        <f aca="false">N13+O13+S13+U13+V13</f>
        <v>45.4</v>
      </c>
      <c r="Y13" s="54" t="n">
        <f aca="false">IF(L13&lt;0,L13*-1,0)</f>
        <v>3.1</v>
      </c>
      <c r="Z13" s="54" t="n">
        <f aca="false">X13+Y13</f>
        <v>48.5</v>
      </c>
      <c r="AA13" s="58" t="n">
        <v>0</v>
      </c>
      <c r="AB13" s="59" t="n">
        <v>48</v>
      </c>
      <c r="AC13" s="59" t="n">
        <v>20</v>
      </c>
      <c r="AD13" s="60" t="n">
        <f aca="false">AD12+1</f>
        <v>4</v>
      </c>
      <c r="AE13" s="96"/>
      <c r="AF13" s="97"/>
      <c r="AG13" s="96"/>
    </row>
    <row r="14" customFormat="false" ht="11.1" hidden="false" customHeight="true" outlineLevel="0" collapsed="false">
      <c r="A14" s="60" t="n">
        <f aca="false">A13+1</f>
        <v>5</v>
      </c>
      <c r="B14" s="75" t="n">
        <v>6881.54</v>
      </c>
      <c r="C14" s="55" t="n">
        <v>220843</v>
      </c>
      <c r="D14" s="59" t="n">
        <f aca="false">C14-C13</f>
        <v>61</v>
      </c>
      <c r="E14" s="55" t="n">
        <f aca="false">C14-152000</f>
        <v>68843</v>
      </c>
      <c r="F14" s="54" t="n">
        <f aca="false">D14/$D$2</f>
        <v>30.7537181749433</v>
      </c>
      <c r="G14" s="54" t="n">
        <v>49</v>
      </c>
      <c r="H14" s="102" t="n">
        <v>2.3</v>
      </c>
      <c r="I14" s="54" t="n">
        <f aca="false">G14+H14</f>
        <v>51.3</v>
      </c>
      <c r="J14" s="83" t="n">
        <f aca="false">IF(L14&gt;0,L14,0)</f>
        <v>25.5537181749433</v>
      </c>
      <c r="K14" s="54" t="n">
        <f aca="false">I14+J14</f>
        <v>76.8537181749433</v>
      </c>
      <c r="L14" s="54" t="n">
        <f aca="false">F14-(I14-X14)</f>
        <v>25.5537181749433</v>
      </c>
      <c r="M14" s="54" t="n">
        <v>4.1</v>
      </c>
      <c r="N14" s="54" t="n">
        <v>0</v>
      </c>
      <c r="O14" s="54" t="n">
        <v>0</v>
      </c>
      <c r="P14" s="7" t="n">
        <f aca="false">M14-(N14+O14)</f>
        <v>4.1</v>
      </c>
      <c r="Q14" s="54" t="n">
        <v>0</v>
      </c>
      <c r="R14" s="54" t="n">
        <v>0</v>
      </c>
      <c r="S14" s="54" t="n">
        <f aca="false">SUM(P14:R14)</f>
        <v>4.1</v>
      </c>
      <c r="T14" s="55"/>
      <c r="U14" s="54" t="n">
        <v>0</v>
      </c>
      <c r="V14" s="54" t="n">
        <v>42</v>
      </c>
      <c r="W14" s="55" t="n">
        <f aca="false">W13-V14</f>
        <v>847</v>
      </c>
      <c r="X14" s="7" t="n">
        <f aca="false">N14+O14+S14+U14+V14</f>
        <v>46.1</v>
      </c>
      <c r="Y14" s="54" t="n">
        <f aca="false">IF(L14&lt;0,L14*-1,0)</f>
        <v>0</v>
      </c>
      <c r="Z14" s="54" t="n">
        <f aca="false">X14+Y14</f>
        <v>46.1</v>
      </c>
      <c r="AA14" s="58" t="n">
        <v>0</v>
      </c>
      <c r="AB14" s="59" t="n">
        <v>54</v>
      </c>
      <c r="AC14" s="59" t="n">
        <v>30</v>
      </c>
      <c r="AD14" s="60" t="n">
        <f aca="false">AD13+1</f>
        <v>5</v>
      </c>
      <c r="AE14" s="96"/>
      <c r="AF14" s="97"/>
      <c r="AG14" s="96"/>
    </row>
    <row r="15" customFormat="false" ht="11.1" hidden="false" customHeight="true" outlineLevel="0" collapsed="false">
      <c r="A15" s="60" t="n">
        <f aca="false">A14+1</f>
        <v>6</v>
      </c>
      <c r="B15" s="75" t="n">
        <v>6881.57</v>
      </c>
      <c r="C15" s="55" t="n">
        <v>220935</v>
      </c>
      <c r="D15" s="59" t="n">
        <f aca="false">C15-C14</f>
        <v>92</v>
      </c>
      <c r="E15" s="55" t="n">
        <f aca="false">C15-152000</f>
        <v>68935</v>
      </c>
      <c r="F15" s="54" t="n">
        <f aca="false">D15/$D$2</f>
        <v>46.3826569195866</v>
      </c>
      <c r="G15" s="54" t="n">
        <v>51</v>
      </c>
      <c r="H15" s="102" t="n">
        <v>2.4</v>
      </c>
      <c r="I15" s="54" t="n">
        <f aca="false">G15+H15</f>
        <v>53.4</v>
      </c>
      <c r="J15" s="83" t="n">
        <f aca="false">IF(L15&gt;0,L15,0)</f>
        <v>38.1826569195866</v>
      </c>
      <c r="K15" s="54" t="n">
        <f aca="false">I15+J15</f>
        <v>91.5826569195866</v>
      </c>
      <c r="L15" s="54" t="n">
        <f aca="false">F15-(I15-X15)</f>
        <v>38.1826569195866</v>
      </c>
      <c r="M15" s="54" t="n">
        <v>3.2</v>
      </c>
      <c r="N15" s="54" t="n">
        <v>0</v>
      </c>
      <c r="O15" s="54" t="n">
        <v>0</v>
      </c>
      <c r="P15" s="7" t="n">
        <f aca="false">M15-(N15+O15)</f>
        <v>3.2</v>
      </c>
      <c r="Q15" s="54" t="n">
        <v>0</v>
      </c>
      <c r="R15" s="54" t="n">
        <v>0</v>
      </c>
      <c r="S15" s="54" t="n">
        <f aca="false">SUM(P15:R15)</f>
        <v>3.2</v>
      </c>
      <c r="T15" s="55"/>
      <c r="U15" s="54" t="n">
        <v>0</v>
      </c>
      <c r="V15" s="54" t="n">
        <v>42</v>
      </c>
      <c r="W15" s="55" t="n">
        <f aca="false">W14-V15</f>
        <v>805</v>
      </c>
      <c r="X15" s="7" t="n">
        <f aca="false">N15+O15+S15+U15+V15</f>
        <v>45.2</v>
      </c>
      <c r="Y15" s="54" t="n">
        <f aca="false">IF(L15&lt;0,L15*-1,0)</f>
        <v>0</v>
      </c>
      <c r="Z15" s="54" t="n">
        <f aca="false">X15+Y15</f>
        <v>45.2</v>
      </c>
      <c r="AA15" s="58" t="n">
        <v>0</v>
      </c>
      <c r="AB15" s="59" t="n">
        <v>54</v>
      </c>
      <c r="AC15" s="59" t="n">
        <v>32</v>
      </c>
      <c r="AD15" s="60" t="n">
        <f aca="false">AD14+1</f>
        <v>6</v>
      </c>
      <c r="AE15" s="95"/>
      <c r="AF15" s="97"/>
      <c r="AG15" s="96"/>
    </row>
    <row r="16" customFormat="false" ht="11.1" hidden="false" customHeight="true" outlineLevel="0" collapsed="false">
      <c r="A16" s="60" t="n">
        <f aca="false">A15+1</f>
        <v>7</v>
      </c>
      <c r="B16" s="75" t="n">
        <v>6881.61</v>
      </c>
      <c r="C16" s="55" t="n">
        <v>221058</v>
      </c>
      <c r="D16" s="59" t="n">
        <f aca="false">C16-C15</f>
        <v>123</v>
      </c>
      <c r="E16" s="55" t="n">
        <f aca="false">C16-152000</f>
        <v>69058</v>
      </c>
      <c r="F16" s="54" t="n">
        <f aca="false">D16/$D$2</f>
        <v>62.0115956642299</v>
      </c>
      <c r="G16" s="54" t="n">
        <v>52</v>
      </c>
      <c r="H16" s="102" t="n">
        <v>2.5</v>
      </c>
      <c r="I16" s="54" t="n">
        <f aca="false">G16+H16</f>
        <v>54.5</v>
      </c>
      <c r="J16" s="83" t="n">
        <f aca="false">IF(L16&gt;0,L16,0)</f>
        <v>55.1115956642299</v>
      </c>
      <c r="K16" s="54" t="n">
        <f aca="false">I16+J16</f>
        <v>109.61159566423</v>
      </c>
      <c r="L16" s="54" t="n">
        <f aca="false">F16-(I16-X16)</f>
        <v>55.1115956642299</v>
      </c>
      <c r="M16" s="54" t="n">
        <v>5.6</v>
      </c>
      <c r="N16" s="54" t="n">
        <v>0</v>
      </c>
      <c r="O16" s="54" t="n">
        <v>0</v>
      </c>
      <c r="P16" s="7" t="n">
        <f aca="false">M16-(N16+O16)</f>
        <v>5.6</v>
      </c>
      <c r="Q16" s="54" t="n">
        <v>0</v>
      </c>
      <c r="R16" s="54" t="n">
        <v>0</v>
      </c>
      <c r="S16" s="54" t="n">
        <f aca="false">SUM(P16:R16)</f>
        <v>5.6</v>
      </c>
      <c r="T16" s="55"/>
      <c r="U16" s="54" t="n">
        <v>0</v>
      </c>
      <c r="V16" s="54" t="n">
        <v>42</v>
      </c>
      <c r="W16" s="55" t="n">
        <f aca="false">W15-V16</f>
        <v>763</v>
      </c>
      <c r="X16" s="7" t="n">
        <f aca="false">N16+O16+S16+U16+V16</f>
        <v>47.6</v>
      </c>
      <c r="Y16" s="54" t="n">
        <f aca="false">IF(L16&lt;0,L16*-1,0)</f>
        <v>0</v>
      </c>
      <c r="Z16" s="54" t="n">
        <f aca="false">X16+Y16</f>
        <v>47.6</v>
      </c>
      <c r="AA16" s="58" t="n">
        <v>0.09</v>
      </c>
      <c r="AB16" s="59" t="n">
        <v>47</v>
      </c>
      <c r="AC16" s="59" t="n">
        <v>32</v>
      </c>
      <c r="AD16" s="60" t="n">
        <f aca="false">AD15+1</f>
        <v>7</v>
      </c>
      <c r="AE16" s="95"/>
      <c r="AF16" s="97"/>
      <c r="AG16" s="96"/>
    </row>
    <row r="17" customFormat="false" ht="11.1" hidden="false" customHeight="true" outlineLevel="0" collapsed="false">
      <c r="A17" s="60" t="n">
        <f aca="false">A16+1</f>
        <v>8</v>
      </c>
      <c r="B17" s="75" t="n">
        <v>6881.64</v>
      </c>
      <c r="C17" s="55" t="n">
        <v>221150</v>
      </c>
      <c r="D17" s="59" t="n">
        <f aca="false">C17-C16</f>
        <v>92</v>
      </c>
      <c r="E17" s="55" t="n">
        <f aca="false">C17-152000</f>
        <v>69150</v>
      </c>
      <c r="F17" s="54" t="n">
        <f aca="false">D17/$D$2</f>
        <v>46.3826569195866</v>
      </c>
      <c r="G17" s="54" t="n">
        <v>58</v>
      </c>
      <c r="H17" s="102" t="n">
        <v>2.8</v>
      </c>
      <c r="I17" s="54" t="n">
        <f aca="false">G17+H17</f>
        <v>60.8</v>
      </c>
      <c r="J17" s="83" t="n">
        <f aca="false">IF(L17&gt;0,L17,0)</f>
        <v>34.0826569195866</v>
      </c>
      <c r="K17" s="54" t="n">
        <f aca="false">I17+J17</f>
        <v>94.8826569195866</v>
      </c>
      <c r="L17" s="54" t="n">
        <f aca="false">F17-(I17-X17)</f>
        <v>34.0826569195866</v>
      </c>
      <c r="M17" s="54" t="n">
        <v>5.5</v>
      </c>
      <c r="N17" s="54" t="n">
        <v>0</v>
      </c>
      <c r="O17" s="54" t="n">
        <v>0</v>
      </c>
      <c r="P17" s="7" t="n">
        <f aca="false">M17-(N17+O17)</f>
        <v>5.5</v>
      </c>
      <c r="Q17" s="54" t="n">
        <v>0</v>
      </c>
      <c r="R17" s="54" t="n">
        <v>0</v>
      </c>
      <c r="S17" s="54" t="n">
        <f aca="false">SUM(P17:R17)</f>
        <v>5.5</v>
      </c>
      <c r="T17" s="55"/>
      <c r="U17" s="54" t="n">
        <v>0</v>
      </c>
      <c r="V17" s="54" t="n">
        <v>43</v>
      </c>
      <c r="W17" s="55" t="n">
        <f aca="false">W16-V17</f>
        <v>720</v>
      </c>
      <c r="X17" s="7" t="n">
        <f aca="false">N17+O17+S17+U17+V17</f>
        <v>48.5</v>
      </c>
      <c r="Y17" s="54" t="n">
        <f aca="false">IF(L17&lt;0,L17*-1,0)</f>
        <v>0</v>
      </c>
      <c r="Z17" s="54" t="n">
        <f aca="false">X17+Y17</f>
        <v>48.5</v>
      </c>
      <c r="AA17" s="58" t="n">
        <v>0.15</v>
      </c>
      <c r="AB17" s="59" t="n">
        <v>52</v>
      </c>
      <c r="AC17" s="59" t="n">
        <v>32</v>
      </c>
      <c r="AD17" s="60" t="n">
        <f aca="false">AD16+1</f>
        <v>8</v>
      </c>
      <c r="AE17" s="95"/>
      <c r="AF17" s="97"/>
      <c r="AG17" s="96"/>
    </row>
    <row r="18" customFormat="false" ht="11.1" hidden="false" customHeight="true" outlineLevel="0" collapsed="false">
      <c r="A18" s="60" t="n">
        <f aca="false">A17+1</f>
        <v>9</v>
      </c>
      <c r="B18" s="75" t="n">
        <v>6881.66</v>
      </c>
      <c r="C18" s="55" t="n">
        <v>221211</v>
      </c>
      <c r="D18" s="59" t="n">
        <f aca="false">C18-C17</f>
        <v>61</v>
      </c>
      <c r="E18" s="55" t="n">
        <f aca="false">C18-152000</f>
        <v>69211</v>
      </c>
      <c r="F18" s="54" t="n">
        <f aca="false">D18/$D$2</f>
        <v>30.7537181749433</v>
      </c>
      <c r="G18" s="54" t="n">
        <v>68</v>
      </c>
      <c r="H18" s="102" t="n">
        <v>3.6</v>
      </c>
      <c r="I18" s="54" t="n">
        <f aca="false">G18+H18</f>
        <v>71.6</v>
      </c>
      <c r="J18" s="83" t="n">
        <f aca="false">IF(L18&gt;0,L18,0)</f>
        <v>8.35371817494329</v>
      </c>
      <c r="K18" s="54" t="n">
        <f aca="false">I18+J18</f>
        <v>79.9537181749433</v>
      </c>
      <c r="L18" s="54" t="n">
        <f aca="false">F18-(I18-X18)</f>
        <v>8.35371817494329</v>
      </c>
      <c r="M18" s="54" t="n">
        <v>5.2</v>
      </c>
      <c r="N18" s="54" t="n">
        <v>0</v>
      </c>
      <c r="O18" s="54" t="n">
        <v>0</v>
      </c>
      <c r="P18" s="7" t="n">
        <f aca="false">M18-(N18+O18)</f>
        <v>5.2</v>
      </c>
      <c r="Q18" s="54" t="n">
        <v>0</v>
      </c>
      <c r="R18" s="54" t="n">
        <v>0</v>
      </c>
      <c r="S18" s="54" t="n">
        <f aca="false">SUM(P18:R18)</f>
        <v>5.2</v>
      </c>
      <c r="T18" s="55"/>
      <c r="U18" s="54" t="n">
        <v>0</v>
      </c>
      <c r="V18" s="54" t="n">
        <v>44</v>
      </c>
      <c r="W18" s="55" t="n">
        <f aca="false">W17-V18</f>
        <v>676</v>
      </c>
      <c r="X18" s="7" t="n">
        <f aca="false">N18+O18+S18+U18+V18</f>
        <v>49.2</v>
      </c>
      <c r="Y18" s="54" t="n">
        <f aca="false">IF(L18&lt;0,L18*-1,0)</f>
        <v>0</v>
      </c>
      <c r="Z18" s="54" t="n">
        <f aca="false">X18+Y18</f>
        <v>49.2</v>
      </c>
      <c r="AA18" s="58" t="n">
        <v>0</v>
      </c>
      <c r="AB18" s="84" t="n">
        <v>50</v>
      </c>
      <c r="AC18" s="59" t="n">
        <v>32</v>
      </c>
      <c r="AD18" s="60" t="n">
        <f aca="false">AD17+1</f>
        <v>9</v>
      </c>
      <c r="AE18" s="95"/>
      <c r="AF18" s="97"/>
      <c r="AG18" s="96"/>
    </row>
    <row r="19" customFormat="false" ht="11.1" hidden="false" customHeight="true" outlineLevel="0" collapsed="false">
      <c r="A19" s="60" t="n">
        <f aca="false">A18+1</f>
        <v>10</v>
      </c>
      <c r="B19" s="75" t="n">
        <v>6881.69</v>
      </c>
      <c r="C19" s="55" t="n">
        <v>221303</v>
      </c>
      <c r="D19" s="59" t="n">
        <f aca="false">C19-C18</f>
        <v>92</v>
      </c>
      <c r="E19" s="55" t="n">
        <f aca="false">C19-152000</f>
        <v>69303</v>
      </c>
      <c r="F19" s="54" t="n">
        <f aca="false">D19/$D$2</f>
        <v>46.3826569195866</v>
      </c>
      <c r="G19" s="54" t="n">
        <v>73</v>
      </c>
      <c r="H19" s="102" t="n">
        <v>3.2</v>
      </c>
      <c r="I19" s="54" t="n">
        <f aca="false">G19+H19</f>
        <v>76.2</v>
      </c>
      <c r="J19" s="83" t="n">
        <f aca="false">IF(L19&gt;0,L19,0)</f>
        <v>19.4826569195866</v>
      </c>
      <c r="K19" s="54" t="n">
        <f aca="false">I19+J19</f>
        <v>95.6826569195866</v>
      </c>
      <c r="L19" s="54" t="n">
        <f aca="false">F19-(I19-X19)</f>
        <v>19.4826569195866</v>
      </c>
      <c r="M19" s="104" t="n">
        <v>5.3</v>
      </c>
      <c r="N19" s="104" t="n">
        <v>0</v>
      </c>
      <c r="O19" s="54" t="n">
        <v>0</v>
      </c>
      <c r="P19" s="7" t="n">
        <f aca="false">M19-(N19+O19)</f>
        <v>5.3</v>
      </c>
      <c r="Q19" s="54" t="n">
        <v>0</v>
      </c>
      <c r="R19" s="54" t="n">
        <v>0</v>
      </c>
      <c r="S19" s="54" t="n">
        <f aca="false">SUM(P19:R19)</f>
        <v>5.3</v>
      </c>
      <c r="T19" s="55"/>
      <c r="U19" s="54" t="n">
        <v>0</v>
      </c>
      <c r="V19" s="54" t="n">
        <v>44</v>
      </c>
      <c r="W19" s="55" t="n">
        <f aca="false">W18-V19</f>
        <v>632</v>
      </c>
      <c r="X19" s="7" t="n">
        <f aca="false">N19+O19+S19+U19+V19</f>
        <v>49.3</v>
      </c>
      <c r="Y19" s="54" t="n">
        <f aca="false">IF(L19&lt;0,L19*-1,0)</f>
        <v>0</v>
      </c>
      <c r="Z19" s="54" t="n">
        <f aca="false">X19+Y19</f>
        <v>49.3</v>
      </c>
      <c r="AA19" s="58" t="n">
        <v>0.07</v>
      </c>
      <c r="AB19" s="59" t="n">
        <v>44</v>
      </c>
      <c r="AC19" s="59" t="n">
        <v>26</v>
      </c>
      <c r="AD19" s="60" t="n">
        <f aca="false">AD18+1</f>
        <v>10</v>
      </c>
      <c r="AE19" s="95"/>
      <c r="AF19" s="97"/>
      <c r="AG19" s="96"/>
    </row>
    <row r="20" customFormat="false" ht="11.1" hidden="false" customHeight="true" outlineLevel="0" collapsed="false">
      <c r="A20" s="60" t="n">
        <f aca="false">A19+1</f>
        <v>11</v>
      </c>
      <c r="B20" s="75" t="n">
        <v>6881.72</v>
      </c>
      <c r="C20" s="55" t="n">
        <v>221395</v>
      </c>
      <c r="D20" s="59" t="n">
        <f aca="false">C20-C19</f>
        <v>92</v>
      </c>
      <c r="E20" s="55" t="n">
        <f aca="false">C20-152000</f>
        <v>69395</v>
      </c>
      <c r="F20" s="54" t="n">
        <f aca="false">D20/$D$2</f>
        <v>46.3826569195866</v>
      </c>
      <c r="G20" s="54" t="n">
        <v>70</v>
      </c>
      <c r="H20" s="102" t="n">
        <v>3.7</v>
      </c>
      <c r="I20" s="54" t="n">
        <f aca="false">G20+H20</f>
        <v>73.7</v>
      </c>
      <c r="J20" s="83" t="n">
        <f aca="false">IF(L20&gt;0,L20,0)</f>
        <v>20.9826569195866</v>
      </c>
      <c r="K20" s="54" t="n">
        <f aca="false">I20+J20</f>
        <v>94.6826569195866</v>
      </c>
      <c r="L20" s="54" t="n">
        <f aca="false">F20-(I20-X20)</f>
        <v>20.9826569195866</v>
      </c>
      <c r="M20" s="104" t="n">
        <v>5.3</v>
      </c>
      <c r="N20" s="104" t="n">
        <v>0</v>
      </c>
      <c r="O20" s="54" t="n">
        <v>0</v>
      </c>
      <c r="P20" s="7" t="n">
        <f aca="false">M20-(N20+O20)</f>
        <v>5.3</v>
      </c>
      <c r="Q20" s="54" t="n">
        <v>0</v>
      </c>
      <c r="R20" s="54" t="n">
        <v>0</v>
      </c>
      <c r="S20" s="54" t="n">
        <f aca="false">SUM(P20:R20)</f>
        <v>5.3</v>
      </c>
      <c r="T20" s="55"/>
      <c r="U20" s="54" t="n">
        <v>0</v>
      </c>
      <c r="V20" s="54" t="n">
        <v>43</v>
      </c>
      <c r="W20" s="55" t="n">
        <f aca="false">W19-V20</f>
        <v>589</v>
      </c>
      <c r="X20" s="7" t="n">
        <f aca="false">N20+O20+S20+U20+V20</f>
        <v>48.3</v>
      </c>
      <c r="Y20" s="54" t="n">
        <f aca="false">IF(L20&lt;0,L20*-1,0)</f>
        <v>0</v>
      </c>
      <c r="Z20" s="54" t="n">
        <f aca="false">X20+Y20</f>
        <v>48.3</v>
      </c>
      <c r="AA20" s="58" t="n">
        <v>0.01</v>
      </c>
      <c r="AB20" s="59" t="n">
        <v>33</v>
      </c>
      <c r="AC20" s="59" t="n">
        <v>25</v>
      </c>
      <c r="AD20" s="60" t="n">
        <f aca="false">AD19+1</f>
        <v>11</v>
      </c>
      <c r="AE20" s="95"/>
      <c r="AF20" s="97"/>
      <c r="AG20" s="96"/>
    </row>
    <row r="21" customFormat="false" ht="11.1" hidden="false" customHeight="true" outlineLevel="0" collapsed="false">
      <c r="A21" s="60" t="n">
        <f aca="false">A20+1</f>
        <v>12</v>
      </c>
      <c r="B21" s="75" t="n">
        <v>6881.74</v>
      </c>
      <c r="C21" s="55" t="n">
        <v>221456</v>
      </c>
      <c r="D21" s="59" t="n">
        <f aca="false">C21-C20</f>
        <v>61</v>
      </c>
      <c r="E21" s="55" t="n">
        <f aca="false">C21-152000</f>
        <v>69456</v>
      </c>
      <c r="F21" s="54" t="n">
        <f aca="false">D21/$D$2</f>
        <v>30.7537181749433</v>
      </c>
      <c r="G21" s="54" t="n">
        <v>71</v>
      </c>
      <c r="H21" s="102" t="n">
        <v>2.9</v>
      </c>
      <c r="I21" s="54" t="n">
        <f aca="false">G21+H21</f>
        <v>73.9</v>
      </c>
      <c r="J21" s="83" t="n">
        <f aca="false">IF(L21&gt;0,L21,0)</f>
        <v>4.95371817494328</v>
      </c>
      <c r="K21" s="54" t="n">
        <f aca="false">I21+J21</f>
        <v>78.8537181749433</v>
      </c>
      <c r="L21" s="54" t="n">
        <f aca="false">F21-(I21-X21)</f>
        <v>4.95371817494328</v>
      </c>
      <c r="M21" s="104" t="n">
        <v>5.1</v>
      </c>
      <c r="N21" s="104" t="n">
        <v>0</v>
      </c>
      <c r="O21" s="54" t="n">
        <v>0</v>
      </c>
      <c r="P21" s="7" t="n">
        <f aca="false">M21-(N21+O21)</f>
        <v>5.1</v>
      </c>
      <c r="Q21" s="54" t="n">
        <v>0</v>
      </c>
      <c r="R21" s="54" t="n">
        <v>0</v>
      </c>
      <c r="S21" s="54" t="n">
        <f aca="false">SUM(P21:R21)</f>
        <v>5.1</v>
      </c>
      <c r="T21" s="55"/>
      <c r="U21" s="54" t="n">
        <v>0</v>
      </c>
      <c r="V21" s="54" t="n">
        <v>43</v>
      </c>
      <c r="W21" s="55" t="n">
        <f aca="false">W20-V21</f>
        <v>546</v>
      </c>
      <c r="X21" s="7" t="n">
        <f aca="false">N21+O21+S21+U21+V21</f>
        <v>48.1</v>
      </c>
      <c r="Y21" s="54" t="n">
        <f aca="false">IF(L21&lt;0,L21*-1,0)</f>
        <v>0</v>
      </c>
      <c r="Z21" s="54" t="n">
        <f aca="false">X21+Y21</f>
        <v>48.1</v>
      </c>
      <c r="AA21" s="58" t="n">
        <v>0</v>
      </c>
      <c r="AB21" s="59" t="n">
        <v>42</v>
      </c>
      <c r="AC21" s="59" t="n">
        <v>28</v>
      </c>
      <c r="AD21" s="60" t="n">
        <f aca="false">AD20+1</f>
        <v>12</v>
      </c>
      <c r="AE21" s="95"/>
      <c r="AF21" s="97"/>
      <c r="AG21" s="96"/>
    </row>
    <row r="22" customFormat="false" ht="11.1" hidden="false" customHeight="true" outlineLevel="0" collapsed="false">
      <c r="A22" s="60" t="n">
        <f aca="false">A21+1</f>
        <v>13</v>
      </c>
      <c r="B22" s="75" t="n">
        <v>6881.76</v>
      </c>
      <c r="C22" s="55" t="n">
        <v>221517</v>
      </c>
      <c r="D22" s="59" t="n">
        <f aca="false">C22-C21</f>
        <v>61</v>
      </c>
      <c r="E22" s="55" t="n">
        <f aca="false">C22-152000</f>
        <v>69517</v>
      </c>
      <c r="F22" s="54" t="n">
        <f aca="false">D22/$D$2</f>
        <v>30.7537181749433</v>
      </c>
      <c r="G22" s="54" t="n">
        <v>70</v>
      </c>
      <c r="H22" s="102" t="n">
        <v>4.7</v>
      </c>
      <c r="I22" s="54" t="n">
        <f aca="false">G22+H22</f>
        <v>74.7</v>
      </c>
      <c r="J22" s="83" t="n">
        <f aca="false">IF(L22&gt;0,L22,0)</f>
        <v>4.15371817494328</v>
      </c>
      <c r="K22" s="54" t="n">
        <f aca="false">I22+J22</f>
        <v>78.8537181749433</v>
      </c>
      <c r="L22" s="54" t="n">
        <f aca="false">F22-(I22-X22)</f>
        <v>4.15371817494328</v>
      </c>
      <c r="M22" s="104" t="n">
        <v>5.1</v>
      </c>
      <c r="N22" s="104" t="n">
        <v>0</v>
      </c>
      <c r="O22" s="54" t="n">
        <v>0</v>
      </c>
      <c r="P22" s="7" t="n">
        <f aca="false">M22-(N22+O22)</f>
        <v>5.1</v>
      </c>
      <c r="Q22" s="54" t="n">
        <v>0</v>
      </c>
      <c r="R22" s="54" t="n">
        <v>0</v>
      </c>
      <c r="S22" s="54" t="n">
        <f aca="false">SUM(P22:R22)</f>
        <v>5.1</v>
      </c>
      <c r="T22" s="55"/>
      <c r="U22" s="54" t="n">
        <v>0</v>
      </c>
      <c r="V22" s="54" t="n">
        <v>43</v>
      </c>
      <c r="W22" s="55" t="n">
        <f aca="false">W21-V22</f>
        <v>503</v>
      </c>
      <c r="X22" s="7" t="n">
        <f aca="false">N22+O22+S22+U22+V22</f>
        <v>48.1</v>
      </c>
      <c r="Y22" s="54" t="n">
        <f aca="false">IF(L22&lt;0,L22*-1,0)</f>
        <v>0</v>
      </c>
      <c r="Z22" s="54" t="n">
        <f aca="false">X22+Y22</f>
        <v>48.1</v>
      </c>
      <c r="AA22" s="58" t="n">
        <v>0</v>
      </c>
      <c r="AB22" s="59" t="n">
        <v>50</v>
      </c>
      <c r="AC22" s="59" t="n">
        <v>25</v>
      </c>
      <c r="AD22" s="60" t="n">
        <f aca="false">AD21+1</f>
        <v>13</v>
      </c>
      <c r="AE22" s="95"/>
      <c r="AF22" s="97"/>
      <c r="AG22" s="96"/>
    </row>
    <row r="23" customFormat="false" ht="11.1" hidden="false" customHeight="true" outlineLevel="0" collapsed="false">
      <c r="A23" s="60" t="n">
        <f aca="false">A22+1</f>
        <v>14</v>
      </c>
      <c r="B23" s="75" t="n">
        <v>6881.78</v>
      </c>
      <c r="C23" s="55" t="n">
        <v>221579</v>
      </c>
      <c r="D23" s="59" t="n">
        <f aca="false">C23-C22</f>
        <v>62</v>
      </c>
      <c r="E23" s="55" t="n">
        <f aca="false">C23-152000</f>
        <v>69579</v>
      </c>
      <c r="F23" s="54" t="n">
        <f aca="false">D23/$D$2</f>
        <v>31.2578774892866</v>
      </c>
      <c r="G23" s="54" t="n">
        <v>71</v>
      </c>
      <c r="H23" s="58" t="n">
        <v>4.3</v>
      </c>
      <c r="I23" s="54" t="n">
        <f aca="false">G23+H23</f>
        <v>75.3</v>
      </c>
      <c r="J23" s="83" t="n">
        <f aca="false">IF(L23&gt;0,L23,0)</f>
        <v>4.05787748928662</v>
      </c>
      <c r="K23" s="54" t="n">
        <f aca="false">I23+J23</f>
        <v>79.3578774892866</v>
      </c>
      <c r="L23" s="54" t="n">
        <f aca="false">F23-(I23-X23)</f>
        <v>4.05787748928662</v>
      </c>
      <c r="M23" s="54" t="n">
        <v>5.1</v>
      </c>
      <c r="N23" s="54" t="n">
        <v>0</v>
      </c>
      <c r="O23" s="54" t="n">
        <v>0</v>
      </c>
      <c r="P23" s="7" t="n">
        <f aca="false">M23-(N23+O23)</f>
        <v>5.1</v>
      </c>
      <c r="Q23" s="54" t="n">
        <v>0</v>
      </c>
      <c r="R23" s="54" t="n">
        <v>0</v>
      </c>
      <c r="S23" s="54" t="n">
        <f aca="false">SUM(P23:R23)</f>
        <v>5.1</v>
      </c>
      <c r="T23" s="55"/>
      <c r="U23" s="54" t="n">
        <v>0</v>
      </c>
      <c r="V23" s="54" t="n">
        <v>43</v>
      </c>
      <c r="W23" s="55" t="n">
        <f aca="false">W22-V23</f>
        <v>460</v>
      </c>
      <c r="X23" s="7" t="n">
        <f aca="false">N23+O23+S23+U23+V23</f>
        <v>48.1</v>
      </c>
      <c r="Y23" s="54" t="n">
        <f aca="false">IF(L23&lt;0,L23*-1,0)</f>
        <v>0</v>
      </c>
      <c r="Z23" s="54" t="n">
        <f aca="false">X23+Y23</f>
        <v>48.1</v>
      </c>
      <c r="AA23" s="58" t="n">
        <v>0</v>
      </c>
      <c r="AB23" s="84" t="n">
        <v>49</v>
      </c>
      <c r="AC23" s="59" t="n">
        <v>22</v>
      </c>
      <c r="AD23" s="60" t="n">
        <f aca="false">AD22+1</f>
        <v>14</v>
      </c>
      <c r="AE23" s="95"/>
      <c r="AF23" s="97"/>
      <c r="AG23" s="96"/>
    </row>
    <row r="24" customFormat="false" ht="11.1" hidden="false" customHeight="true" outlineLevel="0" collapsed="false">
      <c r="A24" s="60" t="n">
        <f aca="false">A23+1</f>
        <v>15</v>
      </c>
      <c r="B24" s="75" t="n">
        <v>6881.8</v>
      </c>
      <c r="C24" s="55" t="n">
        <v>221640</v>
      </c>
      <c r="D24" s="59" t="n">
        <f aca="false">C24-C23</f>
        <v>61</v>
      </c>
      <c r="E24" s="55" t="n">
        <f aca="false">C24-152000</f>
        <v>69640</v>
      </c>
      <c r="F24" s="54" t="n">
        <f aca="false">D24/$D$2</f>
        <v>30.7537181749433</v>
      </c>
      <c r="G24" s="54" t="n">
        <v>72</v>
      </c>
      <c r="H24" s="58" t="n">
        <v>5.8</v>
      </c>
      <c r="I24" s="54" t="n">
        <f aca="false">G24+H24</f>
        <v>77.8</v>
      </c>
      <c r="J24" s="83" t="n">
        <f aca="false">IF(L24&gt;0,L24,0)</f>
        <v>0</v>
      </c>
      <c r="K24" s="54" t="n">
        <f aca="false">I24+J24</f>
        <v>77.8</v>
      </c>
      <c r="L24" s="54" t="n">
        <f aca="false">F24-(I24-X24)</f>
        <v>-0.946281825056715</v>
      </c>
      <c r="M24" s="54" t="n">
        <v>5.1</v>
      </c>
      <c r="N24" s="54" t="n">
        <v>0</v>
      </c>
      <c r="O24" s="54" t="n">
        <v>0</v>
      </c>
      <c r="P24" s="7" t="n">
        <f aca="false">M24-(N24+O24)</f>
        <v>5.1</v>
      </c>
      <c r="Q24" s="54" t="n">
        <v>0</v>
      </c>
      <c r="R24" s="54" t="n">
        <v>0</v>
      </c>
      <c r="S24" s="54" t="n">
        <f aca="false">SUM(P24:R24)</f>
        <v>5.1</v>
      </c>
      <c r="T24" s="55"/>
      <c r="U24" s="54" t="n">
        <v>0</v>
      </c>
      <c r="V24" s="54" t="n">
        <v>41</v>
      </c>
      <c r="W24" s="55" t="n">
        <f aca="false">W23-V24</f>
        <v>419</v>
      </c>
      <c r="X24" s="7" t="n">
        <f aca="false">N24+O24+S24+U24+V24</f>
        <v>46.1</v>
      </c>
      <c r="Y24" s="54" t="n">
        <f aca="false">IF(L24&lt;0,L24*-1,0)</f>
        <v>0.946281825056715</v>
      </c>
      <c r="Z24" s="54" t="n">
        <f aca="false">X24+Y24</f>
        <v>47.0462818250567</v>
      </c>
      <c r="AA24" s="58" t="n">
        <v>0</v>
      </c>
      <c r="AB24" s="84" t="n">
        <v>43</v>
      </c>
      <c r="AC24" s="59" t="n">
        <v>18</v>
      </c>
      <c r="AD24" s="60" t="n">
        <f aca="false">AD23+1</f>
        <v>15</v>
      </c>
      <c r="AE24" s="95"/>
      <c r="AF24" s="97"/>
      <c r="AG24" s="96"/>
    </row>
    <row r="25" customFormat="false" ht="11.1" hidden="false" customHeight="true" outlineLevel="0" collapsed="false">
      <c r="A25" s="60" t="n">
        <f aca="false">A24+1</f>
        <v>16</v>
      </c>
      <c r="B25" s="75" t="n">
        <v>6881.84</v>
      </c>
      <c r="C25" s="55" t="n">
        <v>221763</v>
      </c>
      <c r="D25" s="59" t="n">
        <f aca="false">C25-C24</f>
        <v>123</v>
      </c>
      <c r="E25" s="55" t="n">
        <f aca="false">C25-152000</f>
        <v>69763</v>
      </c>
      <c r="F25" s="54" t="n">
        <f aca="false">D25/$D$2</f>
        <v>62.0115956642299</v>
      </c>
      <c r="G25" s="54" t="n">
        <v>72</v>
      </c>
      <c r="H25" s="58" t="n">
        <v>4.2</v>
      </c>
      <c r="I25" s="54" t="n">
        <f aca="false">G25+H25</f>
        <v>76.2</v>
      </c>
      <c r="J25" s="83" t="n">
        <f aca="false">IF(L25&gt;0,L25,0)</f>
        <v>30.9115956642299</v>
      </c>
      <c r="K25" s="54" t="n">
        <f aca="false">I25+J25</f>
        <v>107.11159566423</v>
      </c>
      <c r="L25" s="54" t="n">
        <f aca="false">F25-(I25-X25)</f>
        <v>30.9115956642299</v>
      </c>
      <c r="M25" s="54" t="n">
        <v>5.1</v>
      </c>
      <c r="N25" s="54" t="n">
        <v>0</v>
      </c>
      <c r="O25" s="54" t="n">
        <v>0</v>
      </c>
      <c r="P25" s="7" t="n">
        <f aca="false">M25-(N25+O25)</f>
        <v>5.1</v>
      </c>
      <c r="Q25" s="54" t="n">
        <v>0</v>
      </c>
      <c r="R25" s="54" t="n">
        <v>0</v>
      </c>
      <c r="S25" s="54" t="n">
        <f aca="false">SUM(P25:R25)</f>
        <v>5.1</v>
      </c>
      <c r="T25" s="55"/>
      <c r="U25" s="54" t="n">
        <v>0</v>
      </c>
      <c r="V25" s="54" t="n">
        <v>40</v>
      </c>
      <c r="W25" s="55" t="n">
        <f aca="false">W24-V25</f>
        <v>379</v>
      </c>
      <c r="X25" s="7" t="n">
        <f aca="false">N25+O25+S25+U25+V25</f>
        <v>45.1</v>
      </c>
      <c r="Y25" s="54" t="n">
        <f aca="false">IF(L25&lt;0,L25*-1,0)</f>
        <v>0</v>
      </c>
      <c r="Z25" s="54" t="n">
        <f aca="false">X25+Y25</f>
        <v>45.1</v>
      </c>
      <c r="AA25" s="58" t="n">
        <v>0.13</v>
      </c>
      <c r="AB25" s="84" t="n">
        <v>47</v>
      </c>
      <c r="AC25" s="59" t="n">
        <v>27</v>
      </c>
      <c r="AD25" s="60" t="n">
        <f aca="false">AD24+1</f>
        <v>16</v>
      </c>
      <c r="AE25" s="95"/>
      <c r="AF25" s="99"/>
      <c r="AG25" s="96"/>
    </row>
    <row r="26" customFormat="false" ht="11.1" hidden="false" customHeight="true" outlineLevel="0" collapsed="false">
      <c r="A26" s="60" t="n">
        <f aca="false">A25+1</f>
        <v>17</v>
      </c>
      <c r="B26" s="75" t="n">
        <v>6881.87</v>
      </c>
      <c r="C26" s="55" t="n">
        <v>221855</v>
      </c>
      <c r="D26" s="59" t="n">
        <f aca="false">C26-C25</f>
        <v>92</v>
      </c>
      <c r="E26" s="55" t="n">
        <f aca="false">C26-152000</f>
        <v>69855</v>
      </c>
      <c r="F26" s="54" t="n">
        <f aca="false">D26/$D$2</f>
        <v>46.3826569195866</v>
      </c>
      <c r="G26" s="54" t="n">
        <v>80</v>
      </c>
      <c r="H26" s="58" t="n">
        <v>3.3</v>
      </c>
      <c r="I26" s="54" t="n">
        <f aca="false">G26+H26</f>
        <v>83.3</v>
      </c>
      <c r="J26" s="83" t="n">
        <f aca="false">IF(L26&gt;0,L26,0)</f>
        <v>8.18265691958659</v>
      </c>
      <c r="K26" s="54" t="n">
        <f aca="false">I26+J26</f>
        <v>91.4826569195866</v>
      </c>
      <c r="L26" s="54" t="n">
        <f aca="false">F26-(I26-X26)</f>
        <v>8.18265691958659</v>
      </c>
      <c r="M26" s="54" t="n">
        <v>5.1</v>
      </c>
      <c r="N26" s="54" t="n">
        <v>0</v>
      </c>
      <c r="O26" s="54" t="n">
        <v>0</v>
      </c>
      <c r="P26" s="7" t="n">
        <f aca="false">M26-(N26+O26)</f>
        <v>5.1</v>
      </c>
      <c r="Q26" s="54" t="n">
        <v>0</v>
      </c>
      <c r="R26" s="54" t="n">
        <v>0</v>
      </c>
      <c r="S26" s="54" t="n">
        <f aca="false">SUM(P26:R26)</f>
        <v>5.1</v>
      </c>
      <c r="T26" s="55"/>
      <c r="U26" s="54" t="n">
        <v>0</v>
      </c>
      <c r="V26" s="54" t="n">
        <v>40</v>
      </c>
      <c r="W26" s="55" t="n">
        <f aca="false">W25-V26</f>
        <v>339</v>
      </c>
      <c r="X26" s="7" t="n">
        <f aca="false">N26+O26+S26+U26+V26</f>
        <v>45.1</v>
      </c>
      <c r="Y26" s="54" t="n">
        <f aca="false">IF(L26&lt;0,L26*-1,0)</f>
        <v>0</v>
      </c>
      <c r="Z26" s="54" t="n">
        <f aca="false">X26+Y26</f>
        <v>45.1</v>
      </c>
      <c r="AA26" s="58" t="n">
        <v>0.12</v>
      </c>
      <c r="AB26" s="84" t="n">
        <v>39</v>
      </c>
      <c r="AC26" s="59" t="n">
        <v>25</v>
      </c>
      <c r="AD26" s="60" t="n">
        <f aca="false">AD25+1</f>
        <v>17</v>
      </c>
      <c r="AE26" s="95"/>
      <c r="AF26" s="97"/>
      <c r="AG26" s="96"/>
    </row>
    <row r="27" customFormat="false" ht="11.1" hidden="false" customHeight="true" outlineLevel="0" collapsed="false">
      <c r="A27" s="60" t="n">
        <f aca="false">A26+1</f>
        <v>18</v>
      </c>
      <c r="B27" s="75" t="n">
        <v>6881.9</v>
      </c>
      <c r="C27" s="55" t="n">
        <v>221947</v>
      </c>
      <c r="D27" s="59" t="n">
        <f aca="false">C27-C26</f>
        <v>92</v>
      </c>
      <c r="E27" s="55" t="n">
        <f aca="false">C27-152000</f>
        <v>69947</v>
      </c>
      <c r="F27" s="54" t="n">
        <f aca="false">D27/$D$2</f>
        <v>46.3826569195866</v>
      </c>
      <c r="G27" s="54" t="n">
        <v>63</v>
      </c>
      <c r="H27" s="58" t="n">
        <v>4.5</v>
      </c>
      <c r="I27" s="54" t="n">
        <f aca="false">G27+H27</f>
        <v>67.5</v>
      </c>
      <c r="J27" s="83" t="n">
        <f aca="false">IF(L27&gt;0,L27,0)</f>
        <v>23.9826569195866</v>
      </c>
      <c r="K27" s="54" t="n">
        <f aca="false">I27+J27</f>
        <v>91.4826569195866</v>
      </c>
      <c r="L27" s="54" t="n">
        <f aca="false">F27-(I27-X27)</f>
        <v>23.9826569195866</v>
      </c>
      <c r="M27" s="54" t="n">
        <v>5.1</v>
      </c>
      <c r="N27" s="54" t="n">
        <v>0</v>
      </c>
      <c r="O27" s="54" t="n">
        <v>0</v>
      </c>
      <c r="P27" s="7" t="n">
        <f aca="false">M27-(N27+O27)</f>
        <v>5.1</v>
      </c>
      <c r="Q27" s="54" t="n">
        <v>0</v>
      </c>
      <c r="R27" s="54" t="n">
        <v>0</v>
      </c>
      <c r="S27" s="54" t="n">
        <f aca="false">SUM(P27:R27)</f>
        <v>5.1</v>
      </c>
      <c r="T27" s="55"/>
      <c r="U27" s="54" t="n">
        <v>0</v>
      </c>
      <c r="V27" s="54" t="n">
        <v>40</v>
      </c>
      <c r="W27" s="55" t="n">
        <f aca="false">W26-V27</f>
        <v>299</v>
      </c>
      <c r="X27" s="7" t="n">
        <f aca="false">N27+O27+S27+U27+V27</f>
        <v>45.1</v>
      </c>
      <c r="Y27" s="54" t="n">
        <f aca="false">IF(L27&lt;0,L27*-1,0)</f>
        <v>0</v>
      </c>
      <c r="Z27" s="54" t="n">
        <f aca="false">X27+Y27</f>
        <v>45.1</v>
      </c>
      <c r="AA27" s="58" t="n">
        <v>0</v>
      </c>
      <c r="AB27" s="84" t="n">
        <v>46</v>
      </c>
      <c r="AC27" s="59" t="n">
        <v>22</v>
      </c>
      <c r="AD27" s="60" t="n">
        <f aca="false">AD26+1</f>
        <v>18</v>
      </c>
      <c r="AE27" s="95"/>
      <c r="AF27" s="97"/>
      <c r="AG27" s="96"/>
    </row>
    <row r="28" customFormat="false" ht="11.1" hidden="false" customHeight="true" outlineLevel="0" collapsed="false">
      <c r="A28" s="60" t="n">
        <f aca="false">A27+1</f>
        <v>19</v>
      </c>
      <c r="B28" s="75" t="n">
        <v>6881.92</v>
      </c>
      <c r="C28" s="103" t="n">
        <v>222008</v>
      </c>
      <c r="D28" s="59" t="n">
        <f aca="false">C28-C27</f>
        <v>61</v>
      </c>
      <c r="E28" s="55" t="n">
        <f aca="false">C28-152000</f>
        <v>70008</v>
      </c>
      <c r="F28" s="54" t="n">
        <f aca="false">D28/$D$2</f>
        <v>30.7537181749433</v>
      </c>
      <c r="G28" s="54" t="n">
        <v>72</v>
      </c>
      <c r="H28" s="58" t="n">
        <v>3.7</v>
      </c>
      <c r="I28" s="54" t="n">
        <f aca="false">G28+H28</f>
        <v>75.7</v>
      </c>
      <c r="J28" s="83" t="n">
        <f aca="false">IF(L28&gt;0,L28,0)</f>
        <v>0.453718174943276</v>
      </c>
      <c r="K28" s="54" t="n">
        <f aca="false">I28+J28</f>
        <v>76.1537181749433</v>
      </c>
      <c r="L28" s="54" t="n">
        <f aca="false">F28-(I28-X28)</f>
        <v>0.453718174943276</v>
      </c>
      <c r="M28" s="54" t="n">
        <v>5.4</v>
      </c>
      <c r="N28" s="54" t="n">
        <v>0</v>
      </c>
      <c r="O28" s="54" t="n">
        <v>0</v>
      </c>
      <c r="P28" s="7" t="n">
        <f aca="false">M28-(N28+O28)</f>
        <v>5.4</v>
      </c>
      <c r="Q28" s="54" t="n">
        <v>0</v>
      </c>
      <c r="R28" s="54" t="n">
        <v>0</v>
      </c>
      <c r="S28" s="54" t="n">
        <f aca="false">SUM(P28:R28)</f>
        <v>5.4</v>
      </c>
      <c r="T28" s="55"/>
      <c r="U28" s="54" t="n">
        <v>0</v>
      </c>
      <c r="V28" s="54" t="n">
        <v>40</v>
      </c>
      <c r="W28" s="55" t="n">
        <f aca="false">W27-V28</f>
        <v>259</v>
      </c>
      <c r="X28" s="7" t="n">
        <f aca="false">N28+O28+S28+U28+V28</f>
        <v>45.4</v>
      </c>
      <c r="Y28" s="54" t="n">
        <f aca="false">IF(L28&lt;0,L28*-1,0)</f>
        <v>0</v>
      </c>
      <c r="Z28" s="54" t="n">
        <f aca="false">X28+Y28</f>
        <v>45.4</v>
      </c>
      <c r="AA28" s="58" t="n">
        <v>0</v>
      </c>
      <c r="AB28" s="84" t="n">
        <v>56</v>
      </c>
      <c r="AC28" s="59" t="n">
        <v>25</v>
      </c>
      <c r="AD28" s="60" t="n">
        <f aca="false">AD27+1</f>
        <v>19</v>
      </c>
      <c r="AE28" s="95"/>
      <c r="AF28" s="97"/>
      <c r="AG28" s="96"/>
    </row>
    <row r="29" customFormat="false" ht="11.1" hidden="false" customHeight="true" outlineLevel="0" collapsed="false">
      <c r="A29" s="60" t="n">
        <f aca="false">A28+1</f>
        <v>20</v>
      </c>
      <c r="B29" s="75" t="n">
        <v>6881.95</v>
      </c>
      <c r="C29" s="55" t="n">
        <v>222100</v>
      </c>
      <c r="D29" s="59" t="n">
        <f aca="false">C29-C28</f>
        <v>92</v>
      </c>
      <c r="E29" s="55" t="n">
        <f aca="false">C29-152000</f>
        <v>70100</v>
      </c>
      <c r="F29" s="54" t="n">
        <f aca="false">D29/$D$2</f>
        <v>46.3826569195866</v>
      </c>
      <c r="G29" s="54" t="n">
        <v>85</v>
      </c>
      <c r="H29" s="58" t="n">
        <v>3.8</v>
      </c>
      <c r="I29" s="54" t="n">
        <f aca="false">G29+H29</f>
        <v>88.8</v>
      </c>
      <c r="J29" s="83" t="n">
        <f aca="false">IF(L29&gt;0,L29,0)</f>
        <v>3.78265691958659</v>
      </c>
      <c r="K29" s="54" t="n">
        <f aca="false">I29+J29</f>
        <v>92.5826569195866</v>
      </c>
      <c r="L29" s="54" t="n">
        <f aca="false">F29-(I29-X29)</f>
        <v>3.78265691958659</v>
      </c>
      <c r="M29" s="54" t="n">
        <v>6.2</v>
      </c>
      <c r="N29" s="54" t="n">
        <v>0</v>
      </c>
      <c r="O29" s="54" t="n">
        <v>0</v>
      </c>
      <c r="P29" s="7" t="n">
        <f aca="false">M29-(N29+O29)</f>
        <v>6.2</v>
      </c>
      <c r="Q29" s="54" t="n">
        <v>0</v>
      </c>
      <c r="R29" s="54" t="n">
        <v>0</v>
      </c>
      <c r="S29" s="54" t="n">
        <f aca="false">SUM(P29:R29)</f>
        <v>6.2</v>
      </c>
      <c r="T29" s="55"/>
      <c r="U29" s="54" t="n">
        <v>0</v>
      </c>
      <c r="V29" s="54" t="n">
        <v>40</v>
      </c>
      <c r="W29" s="55" t="n">
        <f aca="false">W28-V29</f>
        <v>219</v>
      </c>
      <c r="X29" s="7" t="n">
        <f aca="false">N29+O29+S29+U29+V29</f>
        <v>46.2</v>
      </c>
      <c r="Y29" s="54" t="n">
        <f aca="false">IF(L29&lt;0,L29*-1,0)</f>
        <v>0</v>
      </c>
      <c r="Z29" s="54" t="n">
        <f aca="false">X29+Y29</f>
        <v>46.2</v>
      </c>
      <c r="AA29" s="58" t="n">
        <v>0</v>
      </c>
      <c r="AB29" s="84" t="n">
        <v>64</v>
      </c>
      <c r="AC29" s="59" t="n">
        <v>31</v>
      </c>
      <c r="AD29" s="60" t="n">
        <f aca="false">AD28+1</f>
        <v>20</v>
      </c>
      <c r="AE29" s="95"/>
      <c r="AF29" s="97"/>
      <c r="AG29" s="96"/>
    </row>
    <row r="30" customFormat="false" ht="11.1" hidden="false" customHeight="true" outlineLevel="0" collapsed="false">
      <c r="A30" s="60" t="n">
        <f aca="false">A29+1</f>
        <v>21</v>
      </c>
      <c r="B30" s="75" t="n">
        <v>6882</v>
      </c>
      <c r="C30" s="55" t="n">
        <v>222253</v>
      </c>
      <c r="D30" s="59" t="n">
        <f aca="false">C30-C29</f>
        <v>153</v>
      </c>
      <c r="E30" s="55" t="n">
        <f aca="false">C30-152000</f>
        <v>70253</v>
      </c>
      <c r="F30" s="54" t="n">
        <f aca="false">D30/$D$2</f>
        <v>77.1363750945299</v>
      </c>
      <c r="G30" s="104" t="n">
        <v>102</v>
      </c>
      <c r="H30" s="58" t="n">
        <v>4.6</v>
      </c>
      <c r="I30" s="54" t="n">
        <f aca="false">G30+H30</f>
        <v>106.6</v>
      </c>
      <c r="J30" s="83" t="n">
        <f aca="false">IF(L30&gt;0,L30,0)</f>
        <v>32.5363750945299</v>
      </c>
      <c r="K30" s="54" t="n">
        <f aca="false">I30+J30</f>
        <v>139.13637509453</v>
      </c>
      <c r="L30" s="54" t="n">
        <f aca="false">F30-(I30-X30)</f>
        <v>32.5363750945299</v>
      </c>
      <c r="M30" s="54" t="n">
        <v>22</v>
      </c>
      <c r="N30" s="54" t="n">
        <v>0</v>
      </c>
      <c r="O30" s="54" t="n">
        <v>0</v>
      </c>
      <c r="P30" s="7" t="n">
        <f aca="false">M30-(N30+O30)</f>
        <v>22</v>
      </c>
      <c r="Q30" s="54" t="n">
        <v>0</v>
      </c>
      <c r="R30" s="54" t="n">
        <v>0</v>
      </c>
      <c r="S30" s="54" t="n">
        <f aca="false">SUM(P30:R30)</f>
        <v>22</v>
      </c>
      <c r="T30" s="55"/>
      <c r="U30" s="54" t="n">
        <v>0</v>
      </c>
      <c r="V30" s="54" t="n">
        <v>40</v>
      </c>
      <c r="W30" s="55" t="n">
        <f aca="false">W29-V30</f>
        <v>179</v>
      </c>
      <c r="X30" s="7" t="n">
        <f aca="false">N30+O30+S30+U30+V30</f>
        <v>62</v>
      </c>
      <c r="Y30" s="54" t="n">
        <f aca="false">IF(L30&lt;0,L30*-1,0)</f>
        <v>0</v>
      </c>
      <c r="Z30" s="54" t="n">
        <f aca="false">X30+Y30</f>
        <v>62</v>
      </c>
      <c r="AA30" s="58" t="n">
        <v>0</v>
      </c>
      <c r="AB30" s="59" t="n">
        <v>64</v>
      </c>
      <c r="AC30" s="59" t="n">
        <v>33</v>
      </c>
      <c r="AD30" s="60" t="n">
        <f aca="false">AD29+1</f>
        <v>21</v>
      </c>
      <c r="AE30" s="95"/>
      <c r="AF30" s="97"/>
      <c r="AG30" s="96"/>
    </row>
    <row r="31" customFormat="false" ht="11.1" hidden="false" customHeight="true" outlineLevel="0" collapsed="false">
      <c r="A31" s="60" t="n">
        <f aca="false">A30+1</f>
        <v>22</v>
      </c>
      <c r="B31" s="75" t="n">
        <v>6882.1</v>
      </c>
      <c r="C31" s="55" t="n">
        <v>222564</v>
      </c>
      <c r="D31" s="59" t="n">
        <f aca="false">C31-C30</f>
        <v>311</v>
      </c>
      <c r="E31" s="55" t="n">
        <f aca="false">C31-152000</f>
        <v>70564</v>
      </c>
      <c r="F31" s="54" t="n">
        <f aca="false">D31/$D$2</f>
        <v>156.793546760776</v>
      </c>
      <c r="G31" s="54" t="n">
        <v>126</v>
      </c>
      <c r="H31" s="58" t="n">
        <v>5.5</v>
      </c>
      <c r="I31" s="54" t="n">
        <f aca="false">G31+H31</f>
        <v>131.5</v>
      </c>
      <c r="J31" s="83" t="n">
        <f aca="false">IF(L31&gt;0,L31,0)</f>
        <v>73.7935467607764</v>
      </c>
      <c r="K31" s="54" t="n">
        <f aca="false">I31+J31</f>
        <v>205.293546760776</v>
      </c>
      <c r="L31" s="54" t="n">
        <f aca="false">F31-(I31-X31)</f>
        <v>73.7935467607764</v>
      </c>
      <c r="M31" s="54" t="n">
        <v>8.5</v>
      </c>
      <c r="N31" s="54" t="n">
        <v>0</v>
      </c>
      <c r="O31" s="54" t="n">
        <v>0</v>
      </c>
      <c r="P31" s="7" t="n">
        <f aca="false">M31-(N31+O31)</f>
        <v>8.5</v>
      </c>
      <c r="Q31" s="54" t="n">
        <v>0</v>
      </c>
      <c r="R31" s="54" t="n">
        <v>0</v>
      </c>
      <c r="S31" s="54" t="n">
        <f aca="false">SUM(P31:R31)</f>
        <v>8.5</v>
      </c>
      <c r="T31" s="55"/>
      <c r="U31" s="54" t="n">
        <v>0</v>
      </c>
      <c r="V31" s="54" t="n">
        <v>40</v>
      </c>
      <c r="W31" s="55" t="n">
        <f aca="false">W30-V31</f>
        <v>139</v>
      </c>
      <c r="X31" s="7" t="n">
        <f aca="false">N31+O31+S31+U31+V31</f>
        <v>48.5</v>
      </c>
      <c r="Y31" s="54" t="n">
        <f aca="false">IF(L31&lt;0,L31*-1,0)</f>
        <v>0</v>
      </c>
      <c r="Z31" s="54" t="n">
        <f aca="false">X31+Y31</f>
        <v>48.5</v>
      </c>
      <c r="AA31" s="58" t="n">
        <v>0.02</v>
      </c>
      <c r="AB31" s="59" t="n">
        <v>63</v>
      </c>
      <c r="AC31" s="59" t="n">
        <v>34</v>
      </c>
      <c r="AD31" s="60" t="n">
        <f aca="false">AD30+1</f>
        <v>22</v>
      </c>
      <c r="AE31" s="95"/>
      <c r="AF31" s="97"/>
      <c r="AG31" s="96"/>
    </row>
    <row r="32" customFormat="false" ht="11.1" hidden="false" customHeight="true" outlineLevel="0" collapsed="false">
      <c r="A32" s="60" t="n">
        <f aca="false">A31+1</f>
        <v>23</v>
      </c>
      <c r="B32" s="75" t="n">
        <v>6882.24</v>
      </c>
      <c r="C32" s="55" t="n">
        <v>222998</v>
      </c>
      <c r="D32" s="59" t="n">
        <f aca="false">C32-C31</f>
        <v>434</v>
      </c>
      <c r="E32" s="55" t="n">
        <f aca="false">C32-152000</f>
        <v>70998</v>
      </c>
      <c r="F32" s="54" t="n">
        <f aca="false">D32/$D$2</f>
        <v>218.805142425006</v>
      </c>
      <c r="G32" s="54" t="n">
        <v>155</v>
      </c>
      <c r="H32" s="58" t="n">
        <v>6.6</v>
      </c>
      <c r="I32" s="54" t="n">
        <f aca="false">G32+H32</f>
        <v>161.6</v>
      </c>
      <c r="J32" s="83" t="n">
        <f aca="false">IF(L32&gt;0,L32,0)</f>
        <v>111.205142425006</v>
      </c>
      <c r="K32" s="54" t="n">
        <f aca="false">I32+J32</f>
        <v>272.805142425006</v>
      </c>
      <c r="L32" s="54" t="n">
        <f aca="false">F32-(I32-X32)</f>
        <v>111.205142425006</v>
      </c>
      <c r="M32" s="54" t="n">
        <v>14</v>
      </c>
      <c r="N32" s="54" t="n">
        <v>0</v>
      </c>
      <c r="O32" s="54" t="n">
        <v>0</v>
      </c>
      <c r="P32" s="7" t="n">
        <f aca="false">M32-(N32+O32)</f>
        <v>14</v>
      </c>
      <c r="Q32" s="54" t="n">
        <v>0</v>
      </c>
      <c r="R32" s="54" t="n">
        <v>0</v>
      </c>
      <c r="S32" s="54" t="n">
        <f aca="false">SUM(P32:R32)</f>
        <v>14</v>
      </c>
      <c r="T32" s="55"/>
      <c r="U32" s="54" t="n">
        <v>0</v>
      </c>
      <c r="V32" s="54" t="n">
        <v>40</v>
      </c>
      <c r="W32" s="55" t="n">
        <f aca="false">W31-V32</f>
        <v>99</v>
      </c>
      <c r="X32" s="7" t="n">
        <f aca="false">N32+O32+S32+U32+V32</f>
        <v>54</v>
      </c>
      <c r="Y32" s="54" t="n">
        <f aca="false">IF(L32&lt;0,L32*-1,0)</f>
        <v>0</v>
      </c>
      <c r="Z32" s="54" t="n">
        <f aca="false">X32+Y32</f>
        <v>54</v>
      </c>
      <c r="AA32" s="58" t="n">
        <v>0.04</v>
      </c>
      <c r="AB32" s="59" t="n">
        <v>56</v>
      </c>
      <c r="AC32" s="84" t="n">
        <v>35</v>
      </c>
      <c r="AD32" s="60" t="n">
        <f aca="false">AD31+1</f>
        <v>23</v>
      </c>
      <c r="AE32" s="95"/>
      <c r="AF32" s="97"/>
      <c r="AG32" s="96"/>
    </row>
    <row r="33" customFormat="false" ht="11.1" hidden="false" customHeight="true" outlineLevel="0" collapsed="false">
      <c r="A33" s="60" t="n">
        <f aca="false">A32+1</f>
        <v>24</v>
      </c>
      <c r="B33" s="75" t="n">
        <v>6882.39</v>
      </c>
      <c r="C33" s="55" t="n">
        <v>223464</v>
      </c>
      <c r="D33" s="59" t="n">
        <f aca="false">C33-C32</f>
        <v>466</v>
      </c>
      <c r="E33" s="55" t="n">
        <f aca="false">C33-152000</f>
        <v>71464</v>
      </c>
      <c r="F33" s="54" t="n">
        <f aca="false">D33/$D$2</f>
        <v>234.938240483993</v>
      </c>
      <c r="G33" s="54" t="n">
        <v>159</v>
      </c>
      <c r="H33" s="58" t="n">
        <v>7.3</v>
      </c>
      <c r="I33" s="54" t="n">
        <f aca="false">G33+H33</f>
        <v>166.3</v>
      </c>
      <c r="J33" s="83" t="n">
        <f aca="false">IF(L33&gt;0,L33,0)</f>
        <v>122.638240483993</v>
      </c>
      <c r="K33" s="54" t="n">
        <f aca="false">I33+J33</f>
        <v>288.938240483993</v>
      </c>
      <c r="L33" s="54" t="n">
        <f aca="false">F33-(I33-X33)</f>
        <v>122.638240483993</v>
      </c>
      <c r="M33" s="54" t="n">
        <v>14</v>
      </c>
      <c r="N33" s="54" t="n">
        <v>0</v>
      </c>
      <c r="O33" s="54" t="n">
        <v>0</v>
      </c>
      <c r="P33" s="7" t="n">
        <f aca="false">M33-(N33+O33)</f>
        <v>14</v>
      </c>
      <c r="Q33" s="54" t="n">
        <v>0</v>
      </c>
      <c r="R33" s="54" t="n">
        <v>0</v>
      </c>
      <c r="S33" s="54" t="n">
        <f aca="false">SUM(P33:R33)</f>
        <v>14</v>
      </c>
      <c r="T33" s="55"/>
      <c r="U33" s="54" t="n">
        <v>0</v>
      </c>
      <c r="V33" s="54" t="n">
        <v>40</v>
      </c>
      <c r="W33" s="55" t="n">
        <f aca="false">W32-V33</f>
        <v>59</v>
      </c>
      <c r="X33" s="7" t="n">
        <f aca="false">N33+O33+S33+U33+V33</f>
        <v>54</v>
      </c>
      <c r="Y33" s="54" t="n">
        <f aca="false">IF(L33&lt;0,L33*-1,0)</f>
        <v>0</v>
      </c>
      <c r="Z33" s="54" t="n">
        <f aca="false">X33+Y33</f>
        <v>54</v>
      </c>
      <c r="AA33" s="58" t="n">
        <v>0</v>
      </c>
      <c r="AB33" s="59" t="n">
        <v>61</v>
      </c>
      <c r="AC33" s="84" t="n">
        <v>30</v>
      </c>
      <c r="AD33" s="60" t="n">
        <f aca="false">AD32+1</f>
        <v>24</v>
      </c>
      <c r="AE33" s="95"/>
      <c r="AF33" s="97"/>
      <c r="AG33" s="96"/>
    </row>
    <row r="34" customFormat="false" ht="11.1" hidden="false" customHeight="true" outlineLevel="0" collapsed="false">
      <c r="A34" s="60" t="n">
        <f aca="false">A33+1</f>
        <v>25</v>
      </c>
      <c r="B34" s="75" t="n">
        <v>6882.57</v>
      </c>
      <c r="C34" s="55" t="n">
        <v>224023</v>
      </c>
      <c r="D34" s="59" t="n">
        <f aca="false">C34-C33</f>
        <v>559</v>
      </c>
      <c r="E34" s="55" t="n">
        <f aca="false">C34-152000</f>
        <v>72023</v>
      </c>
      <c r="F34" s="54" t="n">
        <f aca="false">D34/$D$2</f>
        <v>281.825056717923</v>
      </c>
      <c r="G34" s="54" t="n">
        <v>168</v>
      </c>
      <c r="H34" s="58" t="n">
        <v>12</v>
      </c>
      <c r="I34" s="54" t="n">
        <f aca="false">G34+H34</f>
        <v>180</v>
      </c>
      <c r="J34" s="83" t="n">
        <f aca="false">IF(L34&gt;0,L34,0)</f>
        <v>154.825056717923</v>
      </c>
      <c r="K34" s="54" t="n">
        <f aca="false">I34+J34</f>
        <v>334.825056717923</v>
      </c>
      <c r="L34" s="54" t="n">
        <f aca="false">F34-(I34-X34)</f>
        <v>154.825056717923</v>
      </c>
      <c r="M34" s="54" t="n">
        <v>13</v>
      </c>
      <c r="N34" s="54" t="n">
        <v>0</v>
      </c>
      <c r="O34" s="54" t="n">
        <v>0</v>
      </c>
      <c r="P34" s="7" t="n">
        <f aca="false">M34-(N34+O34)</f>
        <v>13</v>
      </c>
      <c r="Q34" s="54" t="n">
        <v>0</v>
      </c>
      <c r="R34" s="54" t="n">
        <v>0</v>
      </c>
      <c r="S34" s="54" t="n">
        <f aca="false">SUM(P34:R34)</f>
        <v>13</v>
      </c>
      <c r="T34" s="55"/>
      <c r="U34" s="54" t="n">
        <v>0</v>
      </c>
      <c r="V34" s="54" t="n">
        <v>40</v>
      </c>
      <c r="W34" s="55" t="n">
        <f aca="false">W33-V34</f>
        <v>19</v>
      </c>
      <c r="X34" s="7" t="n">
        <f aca="false">N34+O34+S34+U34+V34</f>
        <v>53</v>
      </c>
      <c r="Y34" s="54" t="n">
        <f aca="false">IF(L34&lt;0,L34*-1,0)</f>
        <v>0</v>
      </c>
      <c r="Z34" s="54" t="n">
        <f aca="false">X34+Y34</f>
        <v>53</v>
      </c>
      <c r="AA34" s="58" t="n">
        <v>0</v>
      </c>
      <c r="AB34" s="59" t="n">
        <v>64</v>
      </c>
      <c r="AC34" s="84" t="n">
        <v>34</v>
      </c>
      <c r="AD34" s="60" t="n">
        <f aca="false">AD33+1</f>
        <v>25</v>
      </c>
      <c r="AE34" s="95"/>
      <c r="AF34" s="97"/>
      <c r="AG34" s="96"/>
    </row>
    <row r="35" customFormat="false" ht="11.1" hidden="false" customHeight="true" outlineLevel="0" collapsed="false">
      <c r="A35" s="60" t="n">
        <f aca="false">A34+1</f>
        <v>26</v>
      </c>
      <c r="B35" s="75" t="n">
        <v>6882.73</v>
      </c>
      <c r="C35" s="55" t="n">
        <v>224520</v>
      </c>
      <c r="D35" s="59" t="n">
        <f aca="false">C35-C34</f>
        <v>497</v>
      </c>
      <c r="E35" s="55" t="n">
        <f aca="false">C35-152000</f>
        <v>72520</v>
      </c>
      <c r="F35" s="54" t="n">
        <f aca="false">D35/$D$2</f>
        <v>250.567179228636</v>
      </c>
      <c r="G35" s="54" t="n">
        <v>186</v>
      </c>
      <c r="H35" s="58" t="n">
        <v>18</v>
      </c>
      <c r="I35" s="54" t="n">
        <f aca="false">G35+H35</f>
        <v>204</v>
      </c>
      <c r="J35" s="83" t="n">
        <f aca="false">IF(L35&gt;0,L35,0)</f>
        <v>118.567179228636</v>
      </c>
      <c r="K35" s="54" t="n">
        <f aca="false">I35+J35</f>
        <v>322.567179228636</v>
      </c>
      <c r="L35" s="54" t="n">
        <f aca="false">F35-(I35-X35)</f>
        <v>118.567179228636</v>
      </c>
      <c r="M35" s="54" t="n">
        <v>32</v>
      </c>
      <c r="N35" s="54" t="n">
        <v>1.68</v>
      </c>
      <c r="O35" s="54" t="n">
        <v>0</v>
      </c>
      <c r="P35" s="7" t="n">
        <f aca="false">M35-(N35+O35)</f>
        <v>30.32</v>
      </c>
      <c r="Q35" s="54" t="n">
        <v>0</v>
      </c>
      <c r="R35" s="54" t="n">
        <v>0</v>
      </c>
      <c r="S35" s="54" t="n">
        <f aca="false">SUM(P35:R35)</f>
        <v>30.32</v>
      </c>
      <c r="T35" s="55"/>
      <c r="U35" s="54" t="n">
        <v>0</v>
      </c>
      <c r="V35" s="54" t="n">
        <v>40</v>
      </c>
      <c r="W35" s="55" t="n">
        <f aca="false">W34-V35</f>
        <v>-21</v>
      </c>
      <c r="X35" s="7" t="n">
        <f aca="false">N35+O35+S35+U35+V35</f>
        <v>72</v>
      </c>
      <c r="Y35" s="54" t="n">
        <f aca="false">IF(L35&lt;0,L35*-1,0)</f>
        <v>0</v>
      </c>
      <c r="Z35" s="54" t="n">
        <f aca="false">X35+Y35</f>
        <v>72</v>
      </c>
      <c r="AA35" s="58" t="n">
        <v>0.04</v>
      </c>
      <c r="AB35" s="59" t="n">
        <v>61</v>
      </c>
      <c r="AC35" s="59" t="n">
        <v>33</v>
      </c>
      <c r="AD35" s="60" t="n">
        <f aca="false">AD34+1</f>
        <v>26</v>
      </c>
      <c r="AE35" s="95"/>
      <c r="AF35" s="97"/>
      <c r="AG35" s="96"/>
    </row>
    <row r="36" customFormat="false" ht="11.1" hidden="false" customHeight="true" outlineLevel="0" collapsed="false">
      <c r="A36" s="60" t="n">
        <f aca="false">A35+1</f>
        <v>27</v>
      </c>
      <c r="B36" s="75" t="n">
        <v>6882.93</v>
      </c>
      <c r="C36" s="55" t="n">
        <v>225142</v>
      </c>
      <c r="D36" s="59" t="n">
        <f aca="false">C36-C35</f>
        <v>622</v>
      </c>
      <c r="E36" s="55" t="n">
        <f aca="false">C36-152000</f>
        <v>73142</v>
      </c>
      <c r="F36" s="54" t="n">
        <f aca="false">D36/$D$2</f>
        <v>313.587093521553</v>
      </c>
      <c r="G36" s="54" t="n">
        <v>197</v>
      </c>
      <c r="H36" s="58" t="n">
        <v>38</v>
      </c>
      <c r="I36" s="54" t="n">
        <f aca="false">G36+H36</f>
        <v>235</v>
      </c>
      <c r="J36" s="83" t="n">
        <f aca="false">IF(L36&gt;0,L36,0)</f>
        <v>152.587093521553</v>
      </c>
      <c r="K36" s="54" t="n">
        <f aca="false">I36+J36</f>
        <v>387.587093521553</v>
      </c>
      <c r="L36" s="54" t="n">
        <f aca="false">F36-(I36-X36)</f>
        <v>152.587093521553</v>
      </c>
      <c r="M36" s="54" t="n">
        <v>34</v>
      </c>
      <c r="N36" s="54" t="n">
        <v>5</v>
      </c>
      <c r="O36" s="54" t="n">
        <v>0</v>
      </c>
      <c r="P36" s="7" t="n">
        <f aca="false">M36-(N36+O36)</f>
        <v>29</v>
      </c>
      <c r="Q36" s="54" t="n">
        <v>0</v>
      </c>
      <c r="R36" s="54" t="n">
        <v>0</v>
      </c>
      <c r="S36" s="54" t="n">
        <f aca="false">SUM(P36:R36)</f>
        <v>29</v>
      </c>
      <c r="T36" s="55"/>
      <c r="U36" s="54" t="n">
        <v>0</v>
      </c>
      <c r="V36" s="54" t="n">
        <v>40</v>
      </c>
      <c r="W36" s="55" t="n">
        <f aca="false">W35-V36</f>
        <v>-61</v>
      </c>
      <c r="X36" s="7" t="n">
        <f aca="false">N36+O36+S36+U36+V36</f>
        <v>74</v>
      </c>
      <c r="Y36" s="54" t="n">
        <f aca="false">IF(L36&lt;0,L36*-1,0)</f>
        <v>0</v>
      </c>
      <c r="Z36" s="54" t="n">
        <f aca="false">X36+Y36</f>
        <v>74</v>
      </c>
      <c r="AA36" s="58" t="n">
        <v>0</v>
      </c>
      <c r="AB36" s="59" t="n">
        <v>55</v>
      </c>
      <c r="AC36" s="59" t="n">
        <v>30</v>
      </c>
      <c r="AD36" s="60" t="n">
        <f aca="false">AD35+1</f>
        <v>27</v>
      </c>
      <c r="AE36" s="95"/>
      <c r="AF36" s="97"/>
      <c r="AG36" s="96"/>
    </row>
    <row r="37" customFormat="false" ht="11.1" hidden="false" customHeight="true" outlineLevel="0" collapsed="false">
      <c r="A37" s="60" t="n">
        <f aca="false">A36+1</f>
        <v>28</v>
      </c>
      <c r="B37" s="75" t="n">
        <v>6883.12</v>
      </c>
      <c r="C37" s="55" t="n">
        <v>225705</v>
      </c>
      <c r="D37" s="59" t="n">
        <f aca="false">C37-C36</f>
        <v>563</v>
      </c>
      <c r="E37" s="55" t="n">
        <f aca="false">C37-152000</f>
        <v>73705</v>
      </c>
      <c r="F37" s="54" t="n">
        <f aca="false">D37/$D$2</f>
        <v>283.841693975296</v>
      </c>
      <c r="G37" s="54" t="n">
        <v>174</v>
      </c>
      <c r="H37" s="58" t="n">
        <v>35</v>
      </c>
      <c r="I37" s="54" t="n">
        <f aca="false">G37+H37</f>
        <v>209</v>
      </c>
      <c r="J37" s="83" t="n">
        <f aca="false">IF(L37&gt;0,L37,0)</f>
        <v>150.841693975296</v>
      </c>
      <c r="K37" s="54" t="n">
        <f aca="false">I37+J37</f>
        <v>359.841693975296</v>
      </c>
      <c r="L37" s="54" t="n">
        <f aca="false">F37-(I37-X37)</f>
        <v>150.841693975296</v>
      </c>
      <c r="M37" s="54" t="n">
        <v>36</v>
      </c>
      <c r="N37" s="54" t="n">
        <v>5</v>
      </c>
      <c r="O37" s="54" t="n">
        <v>0</v>
      </c>
      <c r="P37" s="7" t="n">
        <f aca="false">M37-(N37+O37)</f>
        <v>31</v>
      </c>
      <c r="Q37" s="54" t="n">
        <v>0</v>
      </c>
      <c r="R37" s="54" t="n">
        <v>0</v>
      </c>
      <c r="S37" s="54" t="n">
        <f aca="false">SUM(P37:R37)</f>
        <v>31</v>
      </c>
      <c r="T37" s="55"/>
      <c r="U37" s="54" t="n">
        <v>0</v>
      </c>
      <c r="V37" s="54" t="n">
        <v>40</v>
      </c>
      <c r="W37" s="55" t="n">
        <f aca="false">W36-V37</f>
        <v>-101</v>
      </c>
      <c r="X37" s="7" t="n">
        <f aca="false">N37+O37+S37+U37+V37</f>
        <v>76</v>
      </c>
      <c r="Y37" s="54" t="n">
        <f aca="false">IF(L37&lt;0,L37*-1,0)</f>
        <v>0</v>
      </c>
      <c r="Z37" s="54" t="n">
        <f aca="false">X37+Y37</f>
        <v>76</v>
      </c>
      <c r="AA37" s="58" t="n">
        <v>0</v>
      </c>
      <c r="AB37" s="59" t="n">
        <v>53</v>
      </c>
      <c r="AC37" s="59" t="n">
        <v>27</v>
      </c>
      <c r="AD37" s="60" t="n">
        <f aca="false">AD36+1</f>
        <v>28</v>
      </c>
      <c r="AE37" s="95"/>
      <c r="AF37" s="97"/>
      <c r="AG37" s="96"/>
    </row>
    <row r="38" customFormat="false" ht="11.1" hidden="false" customHeight="true" outlineLevel="0" collapsed="false">
      <c r="A38" s="60" t="n">
        <f aca="false">A37+1</f>
        <v>29</v>
      </c>
      <c r="B38" s="75" t="n">
        <v>6883.25</v>
      </c>
      <c r="C38" s="55" t="n">
        <v>226145</v>
      </c>
      <c r="D38" s="59" t="n">
        <f aca="false">C38-C37</f>
        <v>440</v>
      </c>
      <c r="E38" s="55" t="n">
        <f aca="false">C38-152000</f>
        <v>74145</v>
      </c>
      <c r="F38" s="54" t="n">
        <f aca="false">D38/$D$2</f>
        <v>221.830098311066</v>
      </c>
      <c r="G38" s="54" t="n">
        <v>156</v>
      </c>
      <c r="H38" s="58" t="n">
        <v>33</v>
      </c>
      <c r="I38" s="54" t="n">
        <f aca="false">G38+H38</f>
        <v>189</v>
      </c>
      <c r="J38" s="83" t="n">
        <f aca="false">IF(L38&gt;0,L38,0)</f>
        <v>115.830098311066</v>
      </c>
      <c r="K38" s="54" t="n">
        <f aca="false">I38+J38</f>
        <v>304.830098311066</v>
      </c>
      <c r="L38" s="54" t="n">
        <f aca="false">F38-(I38-X38)</f>
        <v>115.830098311066</v>
      </c>
      <c r="M38" s="54" t="n">
        <v>43</v>
      </c>
      <c r="N38" s="54" t="n">
        <v>5</v>
      </c>
      <c r="O38" s="54" t="n">
        <v>0</v>
      </c>
      <c r="P38" s="7" t="n">
        <f aca="false">M38-(N38+O38)</f>
        <v>38</v>
      </c>
      <c r="Q38" s="54" t="n">
        <v>0</v>
      </c>
      <c r="R38" s="54" t="n">
        <v>0</v>
      </c>
      <c r="S38" s="54" t="n">
        <f aca="false">SUM(P38:R38)</f>
        <v>38</v>
      </c>
      <c r="T38" s="55"/>
      <c r="U38" s="54" t="n">
        <v>0</v>
      </c>
      <c r="V38" s="54" t="n">
        <v>40</v>
      </c>
      <c r="W38" s="55" t="n">
        <f aca="false">W37-V38</f>
        <v>-141</v>
      </c>
      <c r="X38" s="7" t="n">
        <f aca="false">N38+O38+S38+U38+V38</f>
        <v>83</v>
      </c>
      <c r="Y38" s="54" t="n">
        <f aca="false">IF(L38&lt;0,L38*-1,0)</f>
        <v>0</v>
      </c>
      <c r="Z38" s="54" t="n">
        <f aca="false">X38+Y38</f>
        <v>83</v>
      </c>
      <c r="AA38" s="58" t="n">
        <v>0.03</v>
      </c>
      <c r="AB38" s="84" t="n">
        <v>50</v>
      </c>
      <c r="AC38" s="59" t="n">
        <v>31</v>
      </c>
      <c r="AD38" s="60" t="n">
        <f aca="false">AD37+1</f>
        <v>29</v>
      </c>
      <c r="AE38" s="95"/>
      <c r="AF38" s="97"/>
      <c r="AG38" s="96"/>
    </row>
    <row r="39" customFormat="false" ht="11.1" hidden="false" customHeight="true" outlineLevel="0" collapsed="false">
      <c r="A39" s="60" t="n">
        <v>30</v>
      </c>
      <c r="B39" s="75" t="n">
        <v>6883.42</v>
      </c>
      <c r="C39" s="55" t="n">
        <v>226680</v>
      </c>
      <c r="D39" s="59" t="n">
        <f aca="false">C39-C38</f>
        <v>535</v>
      </c>
      <c r="E39" s="55" t="n">
        <f aca="false">C39-152000</f>
        <v>74680</v>
      </c>
      <c r="F39" s="54" t="n">
        <f aca="false">D39/$D$2</f>
        <v>269.725233173683</v>
      </c>
      <c r="G39" s="54" t="n">
        <v>143</v>
      </c>
      <c r="H39" s="58" t="n">
        <v>28</v>
      </c>
      <c r="I39" s="54" t="n">
        <f aca="false">G39+H39</f>
        <v>171</v>
      </c>
      <c r="J39" s="83" t="n">
        <f aca="false">IF(L39&gt;0,L39,0)</f>
        <v>150.725233173683</v>
      </c>
      <c r="K39" s="54" t="n">
        <f aca="false">I39+J39</f>
        <v>321.725233173683</v>
      </c>
      <c r="L39" s="54" t="n">
        <f aca="false">F39-(I39-X39)</f>
        <v>150.725233173683</v>
      </c>
      <c r="M39" s="54" t="n">
        <v>12</v>
      </c>
      <c r="N39" s="54" t="n">
        <v>5</v>
      </c>
      <c r="O39" s="54" t="n">
        <v>0</v>
      </c>
      <c r="P39" s="7" t="n">
        <f aca="false">M39-(N39+O39)</f>
        <v>7</v>
      </c>
      <c r="Q39" s="54" t="n">
        <v>0</v>
      </c>
      <c r="R39" s="54" t="n">
        <v>0</v>
      </c>
      <c r="S39" s="54" t="n">
        <f aca="false">SUM(P39:R39)</f>
        <v>7</v>
      </c>
      <c r="T39" s="55"/>
      <c r="U39" s="54" t="n">
        <v>0</v>
      </c>
      <c r="V39" s="54" t="n">
        <v>40</v>
      </c>
      <c r="W39" s="55" t="n">
        <f aca="false">W38-V39</f>
        <v>-181</v>
      </c>
      <c r="X39" s="7" t="n">
        <f aca="false">N39+O39+S39+U39+V39</f>
        <v>52</v>
      </c>
      <c r="Y39" s="54" t="n">
        <f aca="false">IF(L39&lt;0,L39*-1,0)</f>
        <v>0</v>
      </c>
      <c r="Z39" s="54" t="n">
        <f aca="false">X39+Y39</f>
        <v>52</v>
      </c>
      <c r="AA39" s="58" t="n">
        <v>0</v>
      </c>
      <c r="AB39" s="84" t="n">
        <v>55</v>
      </c>
      <c r="AC39" s="59" t="n">
        <v>29</v>
      </c>
      <c r="AD39" s="60" t="n">
        <v>30</v>
      </c>
      <c r="AE39" s="95"/>
      <c r="AF39" s="97"/>
      <c r="AG39" s="96"/>
    </row>
    <row r="40" customFormat="false" ht="11.1" hidden="false" customHeight="true" outlineLevel="0" collapsed="false">
      <c r="A40" s="60" t="n">
        <v>31</v>
      </c>
      <c r="B40" s="75" t="n">
        <v>6883.57</v>
      </c>
      <c r="C40" s="55" t="n">
        <v>227152</v>
      </c>
      <c r="D40" s="59" t="n">
        <f aca="false">C40-C39</f>
        <v>472</v>
      </c>
      <c r="E40" s="55" t="n">
        <f aca="false">C40-152000</f>
        <v>75152</v>
      </c>
      <c r="F40" s="54" t="n">
        <f aca="false">D40/$D$2</f>
        <v>237.963196370053</v>
      </c>
      <c r="G40" s="54" t="n">
        <v>151</v>
      </c>
      <c r="H40" s="58" t="n">
        <v>31</v>
      </c>
      <c r="I40" s="54" t="n">
        <f aca="false">G40+H40</f>
        <v>182</v>
      </c>
      <c r="J40" s="83" t="n">
        <f aca="false">IF(L40&gt;0,L40,0)</f>
        <v>108.963196370053</v>
      </c>
      <c r="K40" s="54" t="n">
        <f aca="false">I40+J40</f>
        <v>290.963196370053</v>
      </c>
      <c r="L40" s="54" t="n">
        <f aca="false">F40-(I40-X40)</f>
        <v>108.963196370053</v>
      </c>
      <c r="M40" s="54" t="n">
        <v>13</v>
      </c>
      <c r="N40" s="54" t="n">
        <v>5</v>
      </c>
      <c r="O40" s="54" t="n">
        <v>0</v>
      </c>
      <c r="P40" s="7" t="n">
        <f aca="false">M40-(N40+O40)</f>
        <v>8</v>
      </c>
      <c r="Q40" s="54" t="n">
        <v>0</v>
      </c>
      <c r="R40" s="54" t="n">
        <v>0</v>
      </c>
      <c r="S40" s="54" t="n">
        <f aca="false">SUM(P40:R40)</f>
        <v>8</v>
      </c>
      <c r="T40" s="55"/>
      <c r="U40" s="54" t="n">
        <v>0</v>
      </c>
      <c r="V40" s="54" t="n">
        <v>40</v>
      </c>
      <c r="W40" s="55" t="n">
        <f aca="false">W39-V40</f>
        <v>-221</v>
      </c>
      <c r="X40" s="7" t="n">
        <f aca="false">N40+O40+S40+U40+V40</f>
        <v>53</v>
      </c>
      <c r="Y40" s="54" t="n">
        <f aca="false">IF(L40&lt;0,L40*-1,0)</f>
        <v>0</v>
      </c>
      <c r="Z40" s="54" t="n">
        <f aca="false">X40+Y40</f>
        <v>53</v>
      </c>
      <c r="AA40" s="58" t="n">
        <v>0</v>
      </c>
      <c r="AB40" s="84" t="n">
        <v>60</v>
      </c>
      <c r="AC40" s="59" t="n">
        <v>30</v>
      </c>
      <c r="AD40" s="60" t="n">
        <v>31</v>
      </c>
      <c r="AE40" s="95"/>
      <c r="AF40" s="95"/>
      <c r="AG40" s="96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80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5"/>
      <c r="AF41" s="95"/>
      <c r="AG41" s="96"/>
    </row>
    <row r="42" customFormat="false" ht="11.1" hidden="false" customHeight="true" outlineLevel="0" collapsed="false">
      <c r="A42" s="54" t="s">
        <v>46</v>
      </c>
      <c r="B42" s="54"/>
      <c r="C42" s="55"/>
      <c r="D42" s="55"/>
      <c r="E42" s="55"/>
      <c r="F42" s="55" t="n">
        <f aca="false">SUM(F10:F40)</f>
        <v>3242.24855054197</v>
      </c>
      <c r="G42" s="55" t="n">
        <f aca="false">SUM(G10:G40)</f>
        <v>2977</v>
      </c>
      <c r="H42" s="58" t="n">
        <f aca="false">SUM(H10:H40)</f>
        <v>289.6</v>
      </c>
      <c r="I42" s="55" t="n">
        <f aca="false">SUM(I10:I40)</f>
        <v>3266.6</v>
      </c>
      <c r="J42" s="55" t="n">
        <f aca="false">SUM(J10:J40)</f>
        <v>1601.19483236703</v>
      </c>
      <c r="K42" s="55" t="n">
        <f aca="false">SUM(K10:K40)</f>
        <v>4867.79483236703</v>
      </c>
      <c r="L42" s="55" t="n">
        <f aca="false">SUM(L10:L40)</f>
        <v>1593.24855054197</v>
      </c>
      <c r="M42" s="55" t="n">
        <f aca="false">SUM(M10:M40)</f>
        <v>340.6</v>
      </c>
      <c r="N42" s="55" t="n">
        <f aca="false">SUM(N10:N40)</f>
        <v>26.68</v>
      </c>
      <c r="O42" s="55" t="n">
        <f aca="false">SUM(O10:O40)</f>
        <v>0</v>
      </c>
      <c r="P42" s="55" t="n">
        <f aca="false">SUM(P10:P40)</f>
        <v>313.92</v>
      </c>
      <c r="Q42" s="55" t="n">
        <f aca="false">SUM(Q10:Q40)</f>
        <v>0</v>
      </c>
      <c r="R42" s="55" t="n">
        <f aca="false">SUM(R10:R40)</f>
        <v>0</v>
      </c>
      <c r="S42" s="55" t="n">
        <f aca="false">SUM(S10:S40)</f>
        <v>313.92</v>
      </c>
      <c r="T42" s="55"/>
      <c r="U42" s="55" t="n">
        <f aca="false">SUM(U10:U40)</f>
        <v>0</v>
      </c>
      <c r="V42" s="55" t="n">
        <f aca="false">SUM(V10:V40)</f>
        <v>1277</v>
      </c>
      <c r="W42" s="55"/>
      <c r="X42" s="55" t="n">
        <f aca="false">SUM(X10:X40)</f>
        <v>1617.6</v>
      </c>
      <c r="Y42" s="55" t="n">
        <f aca="false">SUM(Y10:Y40)</f>
        <v>7.94628182505672</v>
      </c>
      <c r="Z42" s="55" t="n">
        <f aca="false">SUM(Z10:Z40)</f>
        <v>1625.54628182506</v>
      </c>
      <c r="AA42" s="58" t="n">
        <f aca="false">SUM(AA10:AA40)</f>
        <v>0.78</v>
      </c>
      <c r="AB42" s="59" t="n">
        <f aca="false">AVERAGE(AB10:AB40)</f>
        <v>51.0645161290323</v>
      </c>
      <c r="AC42" s="59" t="n">
        <f aca="false">AVERAGE(AC10:AC40)</f>
        <v>27.8064516129032</v>
      </c>
      <c r="AD42" s="60" t="s">
        <v>59</v>
      </c>
      <c r="AE42" s="95"/>
      <c r="AF42" s="95"/>
      <c r="AG42" s="96"/>
    </row>
    <row r="43" customFormat="false" ht="11.1" hidden="false" customHeight="true" outlineLevel="0" collapsed="false">
      <c r="A43" s="54" t="s">
        <v>48</v>
      </c>
      <c r="B43" s="54"/>
      <c r="C43" s="55"/>
      <c r="D43" s="55" t="n">
        <f aca="false">SUM(D10:D40)</f>
        <v>6431</v>
      </c>
      <c r="E43" s="55"/>
      <c r="F43" s="55" t="n">
        <f aca="false">F42*$D$2</f>
        <v>6431</v>
      </c>
      <c r="G43" s="55" t="n">
        <f aca="false">G42*$D$2</f>
        <v>5904.8795</v>
      </c>
      <c r="H43" s="58" t="n">
        <f aca="false">H42*$D$2</f>
        <v>574.4216</v>
      </c>
      <c r="I43" s="55" t="n">
        <f aca="false">I42*$D$2</f>
        <v>6479.3011</v>
      </c>
      <c r="J43" s="55" t="n">
        <f aca="false">J42*$D$2</f>
        <v>3175.96995</v>
      </c>
      <c r="K43" s="55" t="n">
        <f aca="false">K42*$D$2</f>
        <v>9655.27105</v>
      </c>
      <c r="L43" s="55" t="n">
        <f aca="false">L42*$D$2</f>
        <v>3160.2085</v>
      </c>
      <c r="M43" s="55" t="n">
        <f aca="false">M42*$D$2</f>
        <v>675.5801</v>
      </c>
      <c r="N43" s="55" t="n">
        <f aca="false">N42*$D$2</f>
        <v>52.91978</v>
      </c>
      <c r="O43" s="55" t="n">
        <f aca="false">O42*$D$2</f>
        <v>0</v>
      </c>
      <c r="P43" s="55" t="n">
        <f aca="false">P42*$D$2</f>
        <v>622.66032</v>
      </c>
      <c r="Q43" s="55" t="n">
        <f aca="false">Q42*$D$2</f>
        <v>0</v>
      </c>
      <c r="R43" s="55" t="n">
        <f aca="false">R42*$D$2</f>
        <v>0</v>
      </c>
      <c r="S43" s="55" t="n">
        <f aca="false">S42*$D$2</f>
        <v>622.66032</v>
      </c>
      <c r="T43" s="55"/>
      <c r="U43" s="55" t="n">
        <f aca="false">U42*$D$2</f>
        <v>0</v>
      </c>
      <c r="V43" s="55" t="n">
        <f aca="false">V42*$D$2</f>
        <v>2532.9295</v>
      </c>
      <c r="W43" s="55"/>
      <c r="X43" s="55" t="n">
        <f aca="false">X42*$D$2</f>
        <v>3208.5096</v>
      </c>
      <c r="Y43" s="55" t="n">
        <f aca="false">Y42*$D$2</f>
        <v>15.76145</v>
      </c>
      <c r="Z43" s="55" t="n">
        <f aca="false">Z42*$D$2</f>
        <v>3224.27105</v>
      </c>
      <c r="AA43" s="58"/>
      <c r="AB43" s="59" t="n">
        <f aca="false">MAX(AB10:AB40)</f>
        <v>64</v>
      </c>
      <c r="AC43" s="59" t="n">
        <f aca="false">MAX(AC10:AC40)</f>
        <v>35</v>
      </c>
      <c r="AD43" s="60" t="s">
        <v>49</v>
      </c>
      <c r="AE43" s="95"/>
      <c r="AF43" s="95"/>
      <c r="AG43" s="96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5"/>
      <c r="AF44" s="95"/>
      <c r="AG44" s="96"/>
    </row>
    <row r="45" customFormat="false" ht="11.1" hidden="false" customHeight="true" outlineLevel="0" collapsed="false">
      <c r="A45" s="54" t="s">
        <v>50</v>
      </c>
      <c r="B45" s="54"/>
      <c r="C45" s="55"/>
      <c r="D45" s="55"/>
      <c r="E45" s="55"/>
      <c r="F45" s="55"/>
      <c r="G45" s="55"/>
      <c r="H45" s="58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8"/>
      <c r="AB45" s="59" t="n">
        <f aca="false">MIN(AB10:AB40)</f>
        <v>33</v>
      </c>
      <c r="AC45" s="59" t="n">
        <f aca="false">MIN(AC10:AC40)</f>
        <v>16</v>
      </c>
      <c r="AD45" s="60" t="s">
        <v>51</v>
      </c>
      <c r="AE45" s="95"/>
      <c r="AF45" s="95"/>
      <c r="AG45" s="96"/>
    </row>
    <row r="46" customFormat="false" ht="11.1" hidden="false" customHeight="true" outlineLevel="0" collapsed="false">
      <c r="A46" s="54" t="s">
        <v>52</v>
      </c>
      <c r="B46" s="54"/>
      <c r="C46" s="55"/>
      <c r="D46" s="55"/>
      <c r="E46" s="55"/>
      <c r="F46" s="55"/>
      <c r="G46" s="55"/>
      <c r="H46" s="58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8"/>
      <c r="AB46" s="59"/>
      <c r="AC46" s="59"/>
      <c r="AD46" s="60"/>
      <c r="AE46" s="95"/>
      <c r="AF46" s="95"/>
      <c r="AG46" s="96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5"/>
      <c r="AF47" s="95"/>
      <c r="AG47" s="96"/>
    </row>
    <row r="48" customFormat="false" ht="11.1" hidden="false" customHeight="true" outlineLevel="0" collapsed="false">
      <c r="A48" s="54" t="s">
        <v>53</v>
      </c>
      <c r="B48" s="54"/>
      <c r="C48" s="55"/>
      <c r="D48" s="55"/>
      <c r="E48" s="55"/>
      <c r="F48" s="55" t="n">
        <f aca="false">F8+F42</f>
        <v>4883.79127804386</v>
      </c>
      <c r="G48" s="55" t="n">
        <f aca="false">G8+G42</f>
        <v>8957</v>
      </c>
      <c r="H48" s="58" t="n">
        <f aca="false">H8+H42</f>
        <v>378.9</v>
      </c>
      <c r="I48" s="55" t="n">
        <f aca="false">I8+I42</f>
        <v>9335.9</v>
      </c>
      <c r="J48" s="55" t="n">
        <f aca="false">J8+J42</f>
        <v>2967.92826317116</v>
      </c>
      <c r="K48" s="55" t="n">
        <f aca="false">K8+K42</f>
        <v>12303.8282631712</v>
      </c>
      <c r="L48" s="55" t="n">
        <f aca="false">L8+L42</f>
        <v>2715.49127804386</v>
      </c>
      <c r="M48" s="55" t="n">
        <f aca="false">M8+M42</f>
        <v>938.6</v>
      </c>
      <c r="N48" s="55" t="n">
        <f aca="false">N8+N42</f>
        <v>26.68</v>
      </c>
      <c r="O48" s="55" t="n">
        <f aca="false">O8+O42</f>
        <v>79.8835</v>
      </c>
      <c r="P48" s="55" t="n">
        <f aca="false">P8+P42</f>
        <v>832.0365</v>
      </c>
      <c r="Q48" s="55" t="n">
        <f aca="false">Q8+Q42</f>
        <v>0</v>
      </c>
      <c r="R48" s="55" t="n">
        <f aca="false">R8+R42</f>
        <v>0</v>
      </c>
      <c r="S48" s="55" t="n">
        <f aca="false">S8+S42</f>
        <v>832.0365</v>
      </c>
      <c r="T48" s="55"/>
      <c r="U48" s="55" t="n">
        <f aca="false">U8+U42</f>
        <v>0</v>
      </c>
      <c r="V48" s="55" t="n">
        <f aca="false">V8+V42</f>
        <v>6229</v>
      </c>
      <c r="W48" s="55" t="n">
        <f aca="false">W40</f>
        <v>-221</v>
      </c>
      <c r="X48" s="55" t="n">
        <f aca="false">X8+X42</f>
        <v>7167.6</v>
      </c>
      <c r="Y48" s="55" t="n">
        <f aca="false">Y8+Y42</f>
        <v>252.4369851273</v>
      </c>
      <c r="Z48" s="55" t="n">
        <f aca="false">Z8+Z42</f>
        <v>7420.0369851273</v>
      </c>
      <c r="AA48" s="58" t="n">
        <f aca="false">AA8+AA42</f>
        <v>5.12</v>
      </c>
      <c r="AB48" s="59"/>
      <c r="AC48" s="59"/>
      <c r="AD48" s="60"/>
      <c r="AE48" s="95"/>
      <c r="AF48" s="95"/>
      <c r="AG48" s="96"/>
    </row>
    <row r="49" customFormat="false" ht="11.1" hidden="false" customHeight="true" outlineLevel="0" collapsed="false">
      <c r="A49" s="54" t="s">
        <v>54</v>
      </c>
      <c r="B49" s="54"/>
      <c r="C49" s="55"/>
      <c r="D49" s="55" t="n">
        <f aca="false">D8+D43</f>
        <v>9687</v>
      </c>
      <c r="E49" s="55" t="n">
        <f aca="false">E40</f>
        <v>75152</v>
      </c>
      <c r="F49" s="55" t="n">
        <f aca="false">F48*$D$2</f>
        <v>9687</v>
      </c>
      <c r="G49" s="55" t="n">
        <f aca="false">G48*$D$2</f>
        <v>17766.2095</v>
      </c>
      <c r="H49" s="58" t="n">
        <f aca="false">H48*$D$2</f>
        <v>751.54815</v>
      </c>
      <c r="I49" s="55" t="n">
        <f aca="false">I48*$D$2</f>
        <v>18517.75765</v>
      </c>
      <c r="J49" s="55" t="n">
        <f aca="false">J48*$D$2</f>
        <v>5886.88571</v>
      </c>
      <c r="K49" s="55" t="n">
        <f aca="false">K48*$D$2</f>
        <v>24404.64336</v>
      </c>
      <c r="L49" s="55" t="n">
        <f aca="false">L48*$D$2</f>
        <v>5386.17695</v>
      </c>
      <c r="M49" s="55" t="n">
        <f aca="false">M48*$D$2</f>
        <v>1861.7131</v>
      </c>
      <c r="N49" s="55" t="n">
        <f aca="false">N48*$D$2</f>
        <v>52.91978</v>
      </c>
      <c r="O49" s="55" t="n">
        <f aca="false">O48*$D$2</f>
        <v>158.44892225</v>
      </c>
      <c r="P49" s="55" t="n">
        <f aca="false">P48*$D$2</f>
        <v>1650.34439775</v>
      </c>
      <c r="Q49" s="55" t="n">
        <f aca="false">Q48*$D$2</f>
        <v>0</v>
      </c>
      <c r="R49" s="55" t="n">
        <f aca="false">R48*$D$2</f>
        <v>0</v>
      </c>
      <c r="S49" s="55" t="n">
        <f aca="false">S48*$D$2</f>
        <v>1650.34439775</v>
      </c>
      <c r="T49" s="55" t="n">
        <f aca="false">T48*$D$2</f>
        <v>0</v>
      </c>
      <c r="U49" s="55" t="n">
        <f aca="false">U48*$D$2</f>
        <v>0</v>
      </c>
      <c r="V49" s="55" t="n">
        <f aca="false">V48*$D$2</f>
        <v>12355.2215</v>
      </c>
      <c r="W49" s="55" t="n">
        <f aca="false">W48*$D$2</f>
        <v>-438.3535</v>
      </c>
      <c r="X49" s="55" t="n">
        <f aca="false">X48*$D$2</f>
        <v>14216.9346</v>
      </c>
      <c r="Y49" s="55" t="n">
        <f aca="false">Y48*$D$2</f>
        <v>500.70876</v>
      </c>
      <c r="Z49" s="55" t="n">
        <f aca="false">Z48*$D$2</f>
        <v>14717.64336</v>
      </c>
      <c r="AA49" s="58"/>
      <c r="AB49" s="59"/>
      <c r="AC49" s="59"/>
      <c r="AD49" s="60"/>
      <c r="AE49" s="95"/>
      <c r="AF49" s="95"/>
      <c r="AG49" s="96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5"/>
      <c r="AF50" s="95"/>
      <c r="AG50" s="96"/>
    </row>
    <row r="51" customFormat="false" ht="11.1" hidden="false" customHeight="true" outlineLevel="0" collapsed="false">
      <c r="A51" s="54"/>
      <c r="B51" s="86"/>
      <c r="C51" s="55"/>
      <c r="D51" s="54"/>
      <c r="E51" s="55"/>
      <c r="F51" s="54"/>
      <c r="G51" s="54"/>
      <c r="H51" s="58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5"/>
      <c r="U51" s="54"/>
      <c r="V51" s="54"/>
      <c r="W51" s="55"/>
      <c r="X51" s="54"/>
      <c r="Y51" s="54"/>
      <c r="Z51" s="54"/>
      <c r="AA51" s="58"/>
      <c r="AB51" s="59"/>
      <c r="AC51" s="59"/>
      <c r="AD51" s="60"/>
      <c r="AE51" s="91"/>
      <c r="AF51" s="91"/>
    </row>
    <row r="52" customFormat="false" ht="11.1" hidden="false" customHeight="true" outlineLevel="0" collapsed="false">
      <c r="A52" s="54"/>
      <c r="B52" s="75"/>
      <c r="C52" s="55"/>
      <c r="D52" s="84"/>
      <c r="E52" s="55"/>
      <c r="F52" s="54"/>
      <c r="G52" s="54"/>
      <c r="H52" s="58"/>
      <c r="I52" s="87"/>
      <c r="J52" s="54"/>
      <c r="K52" s="45"/>
      <c r="L52" s="54"/>
      <c r="M52" s="54"/>
      <c r="N52" s="54"/>
      <c r="O52" s="54"/>
      <c r="P52" s="54"/>
      <c r="Q52" s="54"/>
      <c r="R52" s="54"/>
      <c r="S52" s="54"/>
      <c r="T52" s="55"/>
      <c r="U52" s="54"/>
      <c r="V52" s="54"/>
      <c r="W52" s="55"/>
      <c r="X52" s="54"/>
      <c r="Y52" s="54"/>
      <c r="Z52" s="54"/>
      <c r="AA52" s="58"/>
      <c r="AB52" s="59"/>
      <c r="AC52" s="59"/>
      <c r="AD52" s="60"/>
      <c r="AE52" s="91"/>
      <c r="AF52" s="91"/>
    </row>
    <row r="53" customFormat="false" ht="11.1" hidden="false" customHeight="true" outlineLevel="0" collapsed="false">
      <c r="A53" s="84"/>
      <c r="B53" s="84"/>
      <c r="C53" s="55"/>
      <c r="D53" s="55"/>
      <c r="E53" s="55"/>
      <c r="F53" s="84"/>
      <c r="G53" s="84"/>
      <c r="H53" s="58"/>
      <c r="I53" s="84"/>
      <c r="J53" s="84"/>
      <c r="K53" s="84"/>
      <c r="L53" s="84"/>
      <c r="M53" s="83"/>
      <c r="N53" s="83"/>
      <c r="O53" s="83"/>
      <c r="P53" s="83"/>
      <c r="Q53" s="84"/>
      <c r="R53" s="84"/>
      <c r="S53" s="84"/>
      <c r="T53" s="55"/>
      <c r="U53" s="84"/>
      <c r="V53" s="84"/>
      <c r="W53" s="55"/>
      <c r="X53" s="84"/>
      <c r="Y53" s="84"/>
      <c r="Z53" s="84"/>
      <c r="AA53" s="58"/>
      <c r="AB53" s="59"/>
      <c r="AC53" s="59"/>
      <c r="AD53" s="60"/>
      <c r="AE53" s="101"/>
      <c r="AF53" s="101"/>
    </row>
    <row r="54" customFormat="false" ht="11.1" hidden="false" customHeight="true" outlineLevel="0" collapsed="false">
      <c r="A54" s="84"/>
      <c r="B54" s="56"/>
      <c r="C54" s="55"/>
      <c r="D54" s="55"/>
      <c r="E54" s="55"/>
      <c r="F54" s="84"/>
      <c r="G54" s="84"/>
      <c r="H54" s="58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5"/>
      <c r="T54" s="84"/>
      <c r="U54" s="84"/>
      <c r="V54" s="55"/>
      <c r="W54" s="84"/>
      <c r="X54" s="84"/>
      <c r="Y54" s="84"/>
      <c r="Z54" s="56"/>
      <c r="AA54" s="58"/>
      <c r="AB54" s="59"/>
      <c r="AC54" s="60"/>
      <c r="AD54" s="101"/>
      <c r="AE54" s="101"/>
    </row>
    <row r="55" customFormat="false" ht="11.1" hidden="false" customHeight="true" outlineLevel="0" collapsed="false">
      <c r="A55" s="84"/>
      <c r="B55" s="84"/>
      <c r="C55" s="55"/>
      <c r="D55" s="84"/>
      <c r="E55" s="55"/>
      <c r="F55" s="84"/>
      <c r="G55" s="88"/>
      <c r="H55" s="58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5"/>
      <c r="T55" s="84"/>
      <c r="U55" s="84"/>
      <c r="V55" s="55"/>
      <c r="W55" s="84"/>
      <c r="X55" s="84"/>
      <c r="Y55" s="84"/>
      <c r="Z55" s="56"/>
      <c r="AA55" s="58"/>
      <c r="AB55" s="59"/>
      <c r="AC55" s="60"/>
      <c r="AD55" s="101"/>
      <c r="AE55" s="101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S10" activeCellId="0" sqref="S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105" width="6.66"/>
    <col collapsed="false" customWidth="true" hidden="false" outlineLevel="0" max="9" min="9" style="0" width="7.99"/>
    <col collapsed="false" customWidth="true" hidden="false" outlineLevel="0" max="11" min="10" style="0" width="6.66"/>
    <col collapsed="false" customWidth="true" hidden="false" outlineLevel="0" max="12" min="12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2" width="8.1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6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44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9"/>
      <c r="AA1" s="11"/>
      <c r="AB1" s="12"/>
      <c r="AC1" s="13"/>
      <c r="AD1" s="106"/>
      <c r="AE1" s="106"/>
    </row>
    <row r="2" customFormat="false" ht="14.1" hidden="false" customHeight="true" outlineLevel="0" collapsed="false">
      <c r="A2" s="7" t="s">
        <v>1</v>
      </c>
      <c r="B2" s="7"/>
      <c r="C2" s="8"/>
      <c r="D2" s="14" t="n">
        <v>1.9835</v>
      </c>
      <c r="E2" s="8"/>
      <c r="F2" s="7"/>
      <c r="G2" s="7"/>
      <c r="H2" s="44"/>
      <c r="I2" s="7"/>
      <c r="J2" s="7"/>
      <c r="K2" s="107" t="s">
        <v>64</v>
      </c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7"/>
      <c r="X2" s="7"/>
      <c r="Y2" s="7"/>
      <c r="Z2" s="9"/>
      <c r="AA2" s="11"/>
      <c r="AB2" s="12"/>
      <c r="AC2" s="13"/>
      <c r="AD2" s="106"/>
      <c r="AE2" s="106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44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 t="n">
        <v>5</v>
      </c>
      <c r="Z3" s="9"/>
      <c r="AA3" s="11"/>
      <c r="AB3" s="12"/>
      <c r="AC3" s="13"/>
      <c r="AD3" s="106"/>
      <c r="AE3" s="106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0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  <c r="AE4" s="106"/>
      <c r="AF4" s="106"/>
    </row>
    <row r="5" customFormat="false" ht="11.1" hidden="false" customHeight="true" outlineLevel="0" collapsed="false">
      <c r="A5" s="22" t="s">
        <v>65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0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16" t="s">
        <v>66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65</v>
      </c>
      <c r="AE5" s="106"/>
      <c r="AF5" s="106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109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7" t="n">
        <f aca="false">25400+3900+3900+150</f>
        <v>33350</v>
      </c>
      <c r="X6" s="26"/>
      <c r="Y6" s="26"/>
      <c r="Z6" s="26"/>
      <c r="AA6" s="11"/>
      <c r="AB6" s="13"/>
      <c r="AC6" s="13"/>
      <c r="AD6" s="13"/>
      <c r="AE6" s="106"/>
      <c r="AF6" s="106"/>
    </row>
    <row r="7" customFormat="false" ht="11.1" hidden="false" customHeight="true" outlineLevel="0" collapsed="false">
      <c r="A7" s="7" t="s">
        <v>44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11"/>
      <c r="AB7" s="12"/>
      <c r="AC7" s="12"/>
      <c r="AD7" s="13"/>
      <c r="AE7" s="106"/>
    </row>
    <row r="8" s="1" customFormat="true" ht="11.1" hidden="false" customHeight="true" outlineLevel="0" collapsed="false">
      <c r="A8" s="8" t="s">
        <v>45</v>
      </c>
      <c r="B8" s="31" t="n">
        <f aca="false">MAR!B40</f>
        <v>6883.57</v>
      </c>
      <c r="C8" s="8" t="n">
        <f aca="false">MAR!C40</f>
        <v>227152</v>
      </c>
      <c r="D8" s="8" t="n">
        <f aca="false">MAR!D49</f>
        <v>9687</v>
      </c>
      <c r="E8" s="8" t="n">
        <f aca="false">MAR!E49</f>
        <v>75152</v>
      </c>
      <c r="F8" s="8" t="n">
        <f aca="false">MAR!F48</f>
        <v>4883.79127804386</v>
      </c>
      <c r="G8" s="8" t="n">
        <f aca="false">MAR!G48</f>
        <v>8957</v>
      </c>
      <c r="H8" s="12" t="n">
        <f aca="false">MAR!H48</f>
        <v>378.9</v>
      </c>
      <c r="I8" s="8" t="n">
        <f aca="false">MAR!I48</f>
        <v>9335.9</v>
      </c>
      <c r="J8" s="8" t="n">
        <f aca="false">MAR!J48</f>
        <v>2967.92826317116</v>
      </c>
      <c r="K8" s="8" t="n">
        <f aca="false">MAR!K48</f>
        <v>12303.8282631712</v>
      </c>
      <c r="L8" s="8" t="n">
        <f aca="false">MAR!L48</f>
        <v>2715.49127804386</v>
      </c>
      <c r="M8" s="8" t="n">
        <f aca="false">MAR!M48</f>
        <v>938.6</v>
      </c>
      <c r="N8" s="8" t="n">
        <f aca="false">MAR!N48</f>
        <v>26.68</v>
      </c>
      <c r="O8" s="8" t="n">
        <f aca="false">MAR!O48</f>
        <v>79.8835</v>
      </c>
      <c r="P8" s="8" t="n">
        <f aca="false">MAR!P48</f>
        <v>832.0365</v>
      </c>
      <c r="Q8" s="8" t="n">
        <f aca="false">MAR!Q48</f>
        <v>0</v>
      </c>
      <c r="R8" s="8" t="n">
        <f aca="false">MAR!R48</f>
        <v>0</v>
      </c>
      <c r="S8" s="8" t="n">
        <f aca="false">MAR!S48</f>
        <v>832.0365</v>
      </c>
      <c r="T8" s="8" t="n">
        <f aca="false">MAR!T48</f>
        <v>0</v>
      </c>
      <c r="U8" s="8" t="n">
        <f aca="false">MAR!U48</f>
        <v>0</v>
      </c>
      <c r="V8" s="8" t="n">
        <f aca="false">MAR!V48</f>
        <v>6229</v>
      </c>
      <c r="W8" s="8" t="n">
        <v>16814</v>
      </c>
      <c r="X8" s="8" t="n">
        <f aca="false">MAR!X48</f>
        <v>7167.6</v>
      </c>
      <c r="Y8" s="8" t="n">
        <f aca="false">MAR!Y48</f>
        <v>252.4369851273</v>
      </c>
      <c r="Z8" s="8" t="n">
        <f aca="false">MAR!Z48</f>
        <v>7420.0369851273</v>
      </c>
      <c r="AA8" s="11" t="n">
        <f aca="false">MAR!AA48</f>
        <v>5.12</v>
      </c>
      <c r="AB8" s="12"/>
      <c r="AC8" s="12"/>
      <c r="AD8" s="13"/>
      <c r="AE8" s="110"/>
      <c r="AF8" s="106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111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  <c r="AE9" s="106"/>
      <c r="AF9" s="106"/>
    </row>
    <row r="10" customFormat="false" ht="11.1" hidden="false" customHeight="true" outlineLevel="0" collapsed="false">
      <c r="A10" s="13" t="n">
        <v>1</v>
      </c>
      <c r="B10" s="31" t="n">
        <v>6883.8</v>
      </c>
      <c r="C10" s="8" t="n">
        <v>227876</v>
      </c>
      <c r="D10" s="12" t="n">
        <f aca="false">C10-C8</f>
        <v>724</v>
      </c>
      <c r="E10" s="8" t="n">
        <f aca="false">C10-152000</f>
        <v>75876</v>
      </c>
      <c r="F10" s="7" t="n">
        <f aca="false">D10/$D$2</f>
        <v>365.011343584573</v>
      </c>
      <c r="G10" s="7" t="n">
        <v>185</v>
      </c>
      <c r="H10" s="44" t="n">
        <v>43</v>
      </c>
      <c r="I10" s="7" t="n">
        <f aca="false">G10+H10</f>
        <v>228</v>
      </c>
      <c r="J10" s="112" t="n">
        <f aca="false">IF(L10&gt;0,L10,0)</f>
        <v>190.011343584573</v>
      </c>
      <c r="K10" s="7" t="n">
        <f aca="false">I10+J10</f>
        <v>418.011343584573</v>
      </c>
      <c r="L10" s="7" t="n">
        <f aca="false">F10-(I10-X10)</f>
        <v>190.011343584573</v>
      </c>
      <c r="M10" s="7" t="n">
        <v>13</v>
      </c>
      <c r="N10" s="7" t="n">
        <v>10</v>
      </c>
      <c r="O10" s="7" t="n">
        <v>0</v>
      </c>
      <c r="P10" s="7" t="n">
        <f aca="false">M10-(N10+O10)</f>
        <v>3</v>
      </c>
      <c r="Q10" s="7" t="n">
        <v>0</v>
      </c>
      <c r="R10" s="7" t="n">
        <v>0</v>
      </c>
      <c r="S10" s="7" t="n">
        <f aca="false">SUM(P10:R10)</f>
        <v>3</v>
      </c>
      <c r="T10" s="8"/>
      <c r="U10" s="7" t="n">
        <v>0</v>
      </c>
      <c r="V10" s="7" t="n">
        <v>40</v>
      </c>
      <c r="W10" s="8" t="n">
        <f aca="false">W8-V10</f>
        <v>16774</v>
      </c>
      <c r="X10" s="7" t="n">
        <f aca="false">N10+O10+S10+U10+V10</f>
        <v>53</v>
      </c>
      <c r="Y10" s="7" t="n">
        <f aca="false">IF(L10&lt;0,L10*-1,0)</f>
        <v>0</v>
      </c>
      <c r="Z10" s="7" t="n">
        <f aca="false">X10+Y10</f>
        <v>53</v>
      </c>
      <c r="AA10" s="11" t="n">
        <v>0</v>
      </c>
      <c r="AB10" s="12" t="n">
        <v>63</v>
      </c>
      <c r="AC10" s="12" t="n">
        <v>32</v>
      </c>
      <c r="AD10" s="13" t="n">
        <v>1</v>
      </c>
      <c r="AE10" s="12"/>
      <c r="AF10" s="12"/>
      <c r="AH10" s="7"/>
    </row>
    <row r="11" customFormat="false" ht="11.1" hidden="false" customHeight="true" outlineLevel="0" collapsed="false">
      <c r="A11" s="13" t="n">
        <f aca="false">A10+1</f>
        <v>2</v>
      </c>
      <c r="B11" s="31" t="n">
        <v>6884.11</v>
      </c>
      <c r="C11" s="8" t="n">
        <v>228855</v>
      </c>
      <c r="D11" s="12" t="n">
        <f aca="false">C11-C10</f>
        <v>979</v>
      </c>
      <c r="E11" s="8" t="n">
        <f aca="false">C11-152000</f>
        <v>76855</v>
      </c>
      <c r="F11" s="7" t="n">
        <f aca="false">D11/$D$2</f>
        <v>493.571968742123</v>
      </c>
      <c r="G11" s="7" t="n">
        <v>247</v>
      </c>
      <c r="H11" s="44" t="n">
        <v>59</v>
      </c>
      <c r="I11" s="7" t="n">
        <f aca="false">G11+H11</f>
        <v>306</v>
      </c>
      <c r="J11" s="112" t="n">
        <f aca="false">IF(L11&gt;0,L11,0)</f>
        <v>250.571968742123</v>
      </c>
      <c r="K11" s="7" t="n">
        <f aca="false">I11+J11</f>
        <v>556.571968742123</v>
      </c>
      <c r="L11" s="7" t="n">
        <f aca="false">F11-(I11-X11)</f>
        <v>250.571968742123</v>
      </c>
      <c r="M11" s="7" t="n">
        <v>26</v>
      </c>
      <c r="N11" s="7" t="n">
        <v>10</v>
      </c>
      <c r="O11" s="7" t="n">
        <f aca="false">6.09*1.05</f>
        <v>6.3945</v>
      </c>
      <c r="P11" s="7" t="n">
        <f aca="false">M11-(N11+O11)</f>
        <v>9.6055</v>
      </c>
      <c r="Q11" s="7" t="n">
        <v>0</v>
      </c>
      <c r="R11" s="7" t="n">
        <v>0</v>
      </c>
      <c r="S11" s="7" t="n">
        <f aca="false">SUM(P11:R11)</f>
        <v>9.6055</v>
      </c>
      <c r="T11" s="8"/>
      <c r="U11" s="7" t="n">
        <v>0</v>
      </c>
      <c r="V11" s="7" t="n">
        <v>37</v>
      </c>
      <c r="W11" s="8" t="n">
        <f aca="false">W10-V11</f>
        <v>16737</v>
      </c>
      <c r="X11" s="7" t="n">
        <f aca="false">N11+O11+S11+U11+V11</f>
        <v>63</v>
      </c>
      <c r="Y11" s="7" t="n">
        <f aca="false">IF(L11&lt;0,L11*-1,0)</f>
        <v>0</v>
      </c>
      <c r="Z11" s="7" t="n">
        <f aca="false">X11+Y11</f>
        <v>63</v>
      </c>
      <c r="AA11" s="11" t="n">
        <v>0</v>
      </c>
      <c r="AB11" s="12" t="n">
        <v>65</v>
      </c>
      <c r="AC11" s="12" t="n">
        <v>34</v>
      </c>
      <c r="AD11" s="13" t="n">
        <f aca="false">AD10+1</f>
        <v>2</v>
      </c>
      <c r="AE11" s="12"/>
      <c r="AF11" s="12"/>
      <c r="AH11" s="7"/>
    </row>
    <row r="12" customFormat="false" ht="11.1" hidden="false" customHeight="true" outlineLevel="0" collapsed="false">
      <c r="A12" s="13" t="n">
        <f aca="false">A11+1</f>
        <v>3</v>
      </c>
      <c r="B12" s="31" t="n">
        <v>6883.45</v>
      </c>
      <c r="C12" s="8" t="n">
        <v>229938</v>
      </c>
      <c r="D12" s="12" t="n">
        <f aca="false">C12-C11</f>
        <v>1083</v>
      </c>
      <c r="E12" s="8" t="n">
        <f aca="false">C12-152000</f>
        <v>77938</v>
      </c>
      <c r="F12" s="7" t="n">
        <f aca="false">D12/$D$2</f>
        <v>546.004537433829</v>
      </c>
      <c r="G12" s="7" t="n">
        <v>273</v>
      </c>
      <c r="H12" s="44" t="n">
        <v>57</v>
      </c>
      <c r="I12" s="7" t="n">
        <f aca="false">G12+H12</f>
        <v>330</v>
      </c>
      <c r="J12" s="112" t="n">
        <f aca="false">IF(L12&gt;0,L12,0)</f>
        <v>287.004537433829</v>
      </c>
      <c r="K12" s="7" t="n">
        <f aca="false">I12+J12</f>
        <v>617.004537433829</v>
      </c>
      <c r="L12" s="7" t="n">
        <f aca="false">F12-(I12-X12)</f>
        <v>287.004537433829</v>
      </c>
      <c r="M12" s="7" t="n">
        <v>35</v>
      </c>
      <c r="N12" s="7" t="n">
        <v>5</v>
      </c>
      <c r="O12" s="7" t="n">
        <f aca="false">12.4*1.05</f>
        <v>13.02</v>
      </c>
      <c r="P12" s="7" t="n">
        <f aca="false">M12-(N12+O12)</f>
        <v>16.98</v>
      </c>
      <c r="Q12" s="7" t="n">
        <v>0</v>
      </c>
      <c r="R12" s="7" t="n">
        <v>0</v>
      </c>
      <c r="S12" s="7" t="n">
        <f aca="false">SUM(P12:R12)</f>
        <v>16.98</v>
      </c>
      <c r="T12" s="8"/>
      <c r="U12" s="7" t="n">
        <v>0</v>
      </c>
      <c r="V12" s="7" t="n">
        <v>36</v>
      </c>
      <c r="W12" s="8" t="n">
        <f aca="false">W11-V12</f>
        <v>16701</v>
      </c>
      <c r="X12" s="7" t="n">
        <f aca="false">N12+O12+S12+U12+V12</f>
        <v>71</v>
      </c>
      <c r="Y12" s="7" t="n">
        <f aca="false">IF(L12&lt;0,L12*-1,0)</f>
        <v>0</v>
      </c>
      <c r="Z12" s="7" t="n">
        <f aca="false">X12+Y12</f>
        <v>71</v>
      </c>
      <c r="AA12" s="11" t="n">
        <v>0</v>
      </c>
      <c r="AB12" s="12" t="n">
        <v>63</v>
      </c>
      <c r="AC12" s="12" t="n">
        <v>39</v>
      </c>
      <c r="AD12" s="13" t="n">
        <f aca="false">AD11+1</f>
        <v>3</v>
      </c>
      <c r="AE12" s="12"/>
      <c r="AF12" s="12"/>
      <c r="AH12" s="7"/>
    </row>
    <row r="13" customFormat="false" ht="11.1" hidden="false" customHeight="true" outlineLevel="0" collapsed="false">
      <c r="A13" s="13" t="n">
        <f aca="false">A12+1</f>
        <v>4</v>
      </c>
      <c r="B13" s="31" t="n">
        <v>6884.72</v>
      </c>
      <c r="C13" s="8" t="n">
        <v>230798</v>
      </c>
      <c r="D13" s="12" t="n">
        <f aca="false">C13-C12</f>
        <v>860</v>
      </c>
      <c r="E13" s="8" t="n">
        <f aca="false">C13-152000</f>
        <v>78798</v>
      </c>
      <c r="F13" s="7" t="n">
        <f aca="false">D13/$D$2</f>
        <v>433.577010335266</v>
      </c>
      <c r="G13" s="7" t="n">
        <v>325</v>
      </c>
      <c r="H13" s="44" t="n">
        <v>18</v>
      </c>
      <c r="I13" s="7" t="n">
        <f aca="false">G13+H13</f>
        <v>343</v>
      </c>
      <c r="J13" s="112" t="n">
        <f aca="false">IF(L13&gt;0,L13,0)</f>
        <v>178.577010335266</v>
      </c>
      <c r="K13" s="7" t="n">
        <f aca="false">I13+J13</f>
        <v>521.577010335266</v>
      </c>
      <c r="L13" s="7" t="n">
        <f aca="false">F13-(I13-X13)</f>
        <v>178.577010335266</v>
      </c>
      <c r="M13" s="7" t="n">
        <v>53</v>
      </c>
      <c r="N13" s="7" t="n">
        <v>0</v>
      </c>
      <c r="O13" s="7" t="n">
        <f aca="false">20.45*1.05</f>
        <v>21.4725</v>
      </c>
      <c r="P13" s="7" t="n">
        <f aca="false">M13-(N13+O13)</f>
        <v>31.5275</v>
      </c>
      <c r="Q13" s="7" t="n">
        <v>0</v>
      </c>
      <c r="R13" s="7" t="n">
        <v>0</v>
      </c>
      <c r="S13" s="7" t="n">
        <f aca="false">SUM(P13:R13)</f>
        <v>31.5275</v>
      </c>
      <c r="T13" s="8"/>
      <c r="U13" s="7" t="n">
        <v>0</v>
      </c>
      <c r="V13" s="7" t="n">
        <v>35</v>
      </c>
      <c r="W13" s="8" t="n">
        <f aca="false">W12-V13</f>
        <v>16666</v>
      </c>
      <c r="X13" s="7" t="n">
        <f aca="false">N13+O13+S13+U13+V13</f>
        <v>88</v>
      </c>
      <c r="Y13" s="7" t="n">
        <f aca="false">IF(L13&lt;0,L13*-1,0)</f>
        <v>0</v>
      </c>
      <c r="Z13" s="7" t="n">
        <f aca="false">X13+Y13</f>
        <v>88</v>
      </c>
      <c r="AA13" s="11" t="n">
        <v>0</v>
      </c>
      <c r="AB13" s="12" t="n">
        <v>61</v>
      </c>
      <c r="AC13" s="12" t="n">
        <v>38</v>
      </c>
      <c r="AD13" s="13" t="n">
        <f aca="false">AD12+1</f>
        <v>4</v>
      </c>
      <c r="AE13" s="12"/>
      <c r="AF13" s="12"/>
      <c r="AH13" s="7"/>
    </row>
    <row r="14" customFormat="false" ht="11.1" hidden="false" customHeight="true" outlineLevel="0" collapsed="false">
      <c r="A14" s="13" t="n">
        <f aca="false">A13+1</f>
        <v>5</v>
      </c>
      <c r="B14" s="31" t="n">
        <v>6884.97</v>
      </c>
      <c r="C14" s="8" t="n">
        <v>231594</v>
      </c>
      <c r="D14" s="12" t="n">
        <f aca="false">C14-C13</f>
        <v>796</v>
      </c>
      <c r="E14" s="8" t="n">
        <f aca="false">C14-152000</f>
        <v>79594</v>
      </c>
      <c r="F14" s="7" t="n">
        <f aca="false">D14/$D$2</f>
        <v>401.310814217293</v>
      </c>
      <c r="G14" s="7" t="n">
        <v>331</v>
      </c>
      <c r="H14" s="44" t="n">
        <v>16</v>
      </c>
      <c r="I14" s="7" t="n">
        <f aca="false">G14+H14</f>
        <v>347</v>
      </c>
      <c r="J14" s="112" t="n">
        <f aca="false">IF(L14&gt;0,L14,0)</f>
        <v>104.310814217293</v>
      </c>
      <c r="K14" s="7" t="n">
        <f aca="false">I14+J14</f>
        <v>451.310814217293</v>
      </c>
      <c r="L14" s="7" t="n">
        <f aca="false">F14-(I14-X14)</f>
        <v>104.310814217293</v>
      </c>
      <c r="M14" s="7" t="n">
        <v>15</v>
      </c>
      <c r="N14" s="7" t="n">
        <v>0</v>
      </c>
      <c r="O14" s="7" t="n">
        <f aca="false">5.68*1.05</f>
        <v>5.964</v>
      </c>
      <c r="P14" s="7" t="n">
        <f aca="false">M14-(N14+O14)</f>
        <v>9.036</v>
      </c>
      <c r="Q14" s="7" t="n">
        <v>0</v>
      </c>
      <c r="R14" s="7" t="n">
        <v>0</v>
      </c>
      <c r="S14" s="7" t="n">
        <f aca="false">SUM(P14:R14)</f>
        <v>9.036</v>
      </c>
      <c r="T14" s="8"/>
      <c r="U14" s="7" t="n">
        <v>0</v>
      </c>
      <c r="V14" s="7" t="n">
        <v>35</v>
      </c>
      <c r="W14" s="8" t="n">
        <f aca="false">W13-V14</f>
        <v>16631</v>
      </c>
      <c r="X14" s="7" t="n">
        <f aca="false">N14+O14+S14+U14+V14</f>
        <v>50</v>
      </c>
      <c r="Y14" s="7" t="n">
        <f aca="false">IF(L14&lt;0,L14*-1,0)</f>
        <v>0</v>
      </c>
      <c r="Z14" s="7" t="n">
        <f aca="false">X14+Y14</f>
        <v>50</v>
      </c>
      <c r="AA14" s="11" t="n">
        <v>0</v>
      </c>
      <c r="AB14" s="12" t="n">
        <v>60</v>
      </c>
      <c r="AC14" s="12" t="n">
        <v>39</v>
      </c>
      <c r="AD14" s="13" t="n">
        <f aca="false">AD13+1</f>
        <v>5</v>
      </c>
      <c r="AE14" s="12"/>
      <c r="AF14" s="12"/>
      <c r="AH14" s="7"/>
    </row>
    <row r="15" customFormat="false" ht="11.1" hidden="false" customHeight="true" outlineLevel="0" collapsed="false">
      <c r="A15" s="13" t="n">
        <f aca="false">A14+1</f>
        <v>6</v>
      </c>
      <c r="B15" s="31" t="n">
        <v>6885.22</v>
      </c>
      <c r="C15" s="8" t="n">
        <v>232399</v>
      </c>
      <c r="D15" s="12" t="n">
        <f aca="false">C15-C14</f>
        <v>805</v>
      </c>
      <c r="E15" s="8" t="n">
        <f aca="false">C15-152000</f>
        <v>80399</v>
      </c>
      <c r="F15" s="7" t="n">
        <f aca="false">D15/$D$2</f>
        <v>405.848248046383</v>
      </c>
      <c r="G15" s="7" t="n">
        <v>305</v>
      </c>
      <c r="H15" s="44" t="n">
        <v>15</v>
      </c>
      <c r="I15" s="7" t="n">
        <f aca="false">G15+H15</f>
        <v>320</v>
      </c>
      <c r="J15" s="112" t="n">
        <f aca="false">IF(L15&gt;0,L15,0)</f>
        <v>142.848248046383</v>
      </c>
      <c r="K15" s="7" t="n">
        <f aca="false">I15+J15</f>
        <v>462.848248046383</v>
      </c>
      <c r="L15" s="7" t="n">
        <f aca="false">F15-(I15-X15)</f>
        <v>142.848248046383</v>
      </c>
      <c r="M15" s="7" t="n">
        <v>22</v>
      </c>
      <c r="N15" s="7" t="n">
        <v>0</v>
      </c>
      <c r="O15" s="7" t="n">
        <f aca="false">17.55*1.05</f>
        <v>18.4275</v>
      </c>
      <c r="P15" s="7" t="n">
        <f aca="false">M15-(N15+O15)</f>
        <v>3.5725</v>
      </c>
      <c r="Q15" s="7" t="n">
        <v>0</v>
      </c>
      <c r="R15" s="7" t="n">
        <v>0</v>
      </c>
      <c r="S15" s="7" t="n">
        <f aca="false">SUM(P15:R15)</f>
        <v>3.5725</v>
      </c>
      <c r="T15" s="8"/>
      <c r="U15" s="7" t="n">
        <v>0</v>
      </c>
      <c r="V15" s="7" t="n">
        <v>35</v>
      </c>
      <c r="W15" s="8" t="n">
        <f aca="false">W14-V15</f>
        <v>16596</v>
      </c>
      <c r="X15" s="7" t="n">
        <f aca="false">N15+O15+S15+U15+V15</f>
        <v>57</v>
      </c>
      <c r="Y15" s="7" t="n">
        <f aca="false">IF(L15&lt;0,L15*-1,0)</f>
        <v>0</v>
      </c>
      <c r="Z15" s="7" t="n">
        <f aca="false">X15+Y15</f>
        <v>57</v>
      </c>
      <c r="AA15" s="11" t="n">
        <v>0.26</v>
      </c>
      <c r="AB15" s="12" t="n">
        <v>57</v>
      </c>
      <c r="AC15" s="12" t="n">
        <v>35</v>
      </c>
      <c r="AD15" s="13" t="n">
        <f aca="false">AD14+1</f>
        <v>6</v>
      </c>
      <c r="AE15" s="12"/>
      <c r="AF15" s="12"/>
      <c r="AH15" s="7"/>
    </row>
    <row r="16" customFormat="false" ht="11.1" hidden="false" customHeight="true" outlineLevel="0" collapsed="false">
      <c r="A16" s="13" t="n">
        <f aca="false">A15+1</f>
        <v>7</v>
      </c>
      <c r="B16" s="31" t="n">
        <v>6885.47</v>
      </c>
      <c r="C16" s="8" t="n">
        <v>233204</v>
      </c>
      <c r="D16" s="12" t="n">
        <f aca="false">C16-C15</f>
        <v>805</v>
      </c>
      <c r="E16" s="8" t="n">
        <f aca="false">C16-152000</f>
        <v>81204</v>
      </c>
      <c r="F16" s="7" t="n">
        <f aca="false">D16/$D$2</f>
        <v>405.848248046383</v>
      </c>
      <c r="G16" s="7" t="n">
        <v>252</v>
      </c>
      <c r="H16" s="44" t="n">
        <v>12</v>
      </c>
      <c r="I16" s="7" t="n">
        <f aca="false">G16+H16</f>
        <v>264</v>
      </c>
      <c r="J16" s="112" t="n">
        <f aca="false">IF(L16&gt;0,L16,0)</f>
        <v>209.848248046383</v>
      </c>
      <c r="K16" s="7" t="n">
        <f aca="false">I16+J16</f>
        <v>473.848248046383</v>
      </c>
      <c r="L16" s="7" t="n">
        <f aca="false">F16-(I16-X16)</f>
        <v>209.848248046383</v>
      </c>
      <c r="M16" s="7" t="n">
        <v>33</v>
      </c>
      <c r="N16" s="7" t="n">
        <v>0</v>
      </c>
      <c r="O16" s="7" t="n">
        <f aca="false">22.04*1.05</f>
        <v>23.142</v>
      </c>
      <c r="P16" s="7" t="n">
        <f aca="false">M16-(N16+O16)</f>
        <v>9.858</v>
      </c>
      <c r="Q16" s="7" t="n">
        <v>0</v>
      </c>
      <c r="R16" s="7" t="n">
        <v>0</v>
      </c>
      <c r="S16" s="7" t="n">
        <f aca="false">SUM(P16:R16)</f>
        <v>9.858</v>
      </c>
      <c r="T16" s="8"/>
      <c r="U16" s="7" t="n">
        <v>0</v>
      </c>
      <c r="V16" s="7" t="n">
        <v>35</v>
      </c>
      <c r="W16" s="8" t="n">
        <f aca="false">W15-V16</f>
        <v>16561</v>
      </c>
      <c r="X16" s="7" t="n">
        <f aca="false">N16+O16+S16+U16+V16</f>
        <v>68</v>
      </c>
      <c r="Y16" s="7" t="n">
        <f aca="false">IF(L16&lt;0,L16*-1,0)</f>
        <v>0</v>
      </c>
      <c r="Z16" s="7" t="n">
        <f aca="false">X16+Y16</f>
        <v>68</v>
      </c>
      <c r="AA16" s="11" t="n">
        <v>0</v>
      </c>
      <c r="AB16" s="12" t="n">
        <v>54</v>
      </c>
      <c r="AC16" s="12" t="n">
        <v>36</v>
      </c>
      <c r="AD16" s="13" t="n">
        <f aca="false">AD15+1</f>
        <v>7</v>
      </c>
      <c r="AE16" s="12"/>
      <c r="AF16" s="12"/>
      <c r="AH16" s="7"/>
    </row>
    <row r="17" customFormat="false" ht="11.1" hidden="false" customHeight="true" outlineLevel="0" collapsed="false">
      <c r="A17" s="13" t="n">
        <f aca="false">A16+1</f>
        <v>8</v>
      </c>
      <c r="B17" s="31" t="n">
        <v>6885.72</v>
      </c>
      <c r="C17" s="8" t="n">
        <v>234010</v>
      </c>
      <c r="D17" s="12" t="n">
        <f aca="false">C17-C16</f>
        <v>806</v>
      </c>
      <c r="E17" s="8" t="n">
        <f aca="false">C17-152000</f>
        <v>82010</v>
      </c>
      <c r="F17" s="7" t="n">
        <f aca="false">D17/$D$2</f>
        <v>406.352407360726</v>
      </c>
      <c r="G17" s="7" t="n">
        <v>227</v>
      </c>
      <c r="H17" s="44" t="n">
        <v>10</v>
      </c>
      <c r="I17" s="7" t="n">
        <f aca="false">G17+H17</f>
        <v>237</v>
      </c>
      <c r="J17" s="112" t="n">
        <f aca="false">IF(L17&gt;0,L17,0)</f>
        <v>237.352407360726</v>
      </c>
      <c r="K17" s="7" t="n">
        <f aca="false">I17+J17</f>
        <v>474.352407360726</v>
      </c>
      <c r="L17" s="7" t="n">
        <f aca="false">F17-(I17-X17)</f>
        <v>237.352407360726</v>
      </c>
      <c r="M17" s="7" t="n">
        <v>33</v>
      </c>
      <c r="N17" s="7" t="n">
        <v>0</v>
      </c>
      <c r="O17" s="7" t="n">
        <f aca="false">25.83*1.05</f>
        <v>27.1215</v>
      </c>
      <c r="P17" s="7" t="n">
        <f aca="false">M17-(N17+O17)</f>
        <v>5.8785</v>
      </c>
      <c r="Q17" s="7" t="n">
        <v>0</v>
      </c>
      <c r="R17" s="7" t="n">
        <v>0</v>
      </c>
      <c r="S17" s="7" t="n">
        <f aca="false">SUM(P17:R17)</f>
        <v>5.8785</v>
      </c>
      <c r="T17" s="7"/>
      <c r="U17" s="7" t="n">
        <v>0</v>
      </c>
      <c r="V17" s="7" t="n">
        <v>35</v>
      </c>
      <c r="W17" s="8" t="n">
        <f aca="false">W16-V17</f>
        <v>16526</v>
      </c>
      <c r="X17" s="7" t="n">
        <f aca="false">N17+O17+S17+U17+V17</f>
        <v>68</v>
      </c>
      <c r="Y17" s="7" t="n">
        <f aca="false">IF(L17&lt;0,L17*-1,0)</f>
        <v>0</v>
      </c>
      <c r="Z17" s="7" t="n">
        <f aca="false">X17+Y17</f>
        <v>68</v>
      </c>
      <c r="AA17" s="11" t="n">
        <v>0.09</v>
      </c>
      <c r="AB17" s="12" t="n">
        <v>51</v>
      </c>
      <c r="AC17" s="12" t="n">
        <v>32</v>
      </c>
      <c r="AD17" s="13" t="n">
        <f aca="false">AD16+1</f>
        <v>8</v>
      </c>
      <c r="AE17" s="12"/>
      <c r="AF17" s="12"/>
      <c r="AH17" s="7"/>
    </row>
    <row r="18" customFormat="false" ht="11.1" hidden="false" customHeight="true" outlineLevel="0" collapsed="false">
      <c r="A18" s="13" t="n">
        <f aca="false">A17+1</f>
        <v>9</v>
      </c>
      <c r="B18" s="31" t="n">
        <v>6885.88</v>
      </c>
      <c r="C18" s="8" t="n">
        <v>234526</v>
      </c>
      <c r="D18" s="12" t="n">
        <f aca="false">C18-C17</f>
        <v>516</v>
      </c>
      <c r="E18" s="8" t="n">
        <f aca="false">C18-152000</f>
        <v>82526</v>
      </c>
      <c r="F18" s="7" t="n">
        <f aca="false">D18/$D$2</f>
        <v>260.14620620116</v>
      </c>
      <c r="G18" s="7" t="n">
        <v>195</v>
      </c>
      <c r="H18" s="44" t="n">
        <v>9.4</v>
      </c>
      <c r="I18" s="7" t="n">
        <f aca="false">G18+H18</f>
        <v>204.4</v>
      </c>
      <c r="J18" s="112" t="n">
        <f aca="false">IF(L18&gt;0,L18,0)</f>
        <v>152.74620620116</v>
      </c>
      <c r="K18" s="7" t="n">
        <f aca="false">I18+J18</f>
        <v>357.14620620116</v>
      </c>
      <c r="L18" s="7" t="n">
        <f aca="false">F18-(I18-X18)</f>
        <v>152.74620620116</v>
      </c>
      <c r="M18" s="7" t="n">
        <v>61</v>
      </c>
      <c r="N18" s="7" t="n">
        <v>0</v>
      </c>
      <c r="O18" s="7" t="n">
        <f aca="false">51.09*1.05</f>
        <v>53.6445</v>
      </c>
      <c r="P18" s="7" t="n">
        <f aca="false">M18-(N18+O18)</f>
        <v>7.35549999999999</v>
      </c>
      <c r="Q18" s="7" t="n">
        <v>0</v>
      </c>
      <c r="R18" s="7" t="n">
        <v>0</v>
      </c>
      <c r="S18" s="7" t="n">
        <f aca="false">SUM(P18:R18)</f>
        <v>7.35549999999999</v>
      </c>
      <c r="T18" s="7"/>
      <c r="U18" s="7" t="n">
        <v>0</v>
      </c>
      <c r="V18" s="7" t="n">
        <v>36</v>
      </c>
      <c r="W18" s="8" t="n">
        <f aca="false">W17-V18</f>
        <v>16490</v>
      </c>
      <c r="X18" s="7" t="n">
        <f aca="false">N18+O18+S18+U18+V18</f>
        <v>97</v>
      </c>
      <c r="Y18" s="7" t="n">
        <f aca="false">IF(L18&lt;0,L18*-1,0)</f>
        <v>0</v>
      </c>
      <c r="Z18" s="7" t="n">
        <f aca="false">X18+Y18</f>
        <v>97</v>
      </c>
      <c r="AA18" s="11" t="n">
        <v>0</v>
      </c>
      <c r="AB18" s="41" t="n">
        <v>55</v>
      </c>
      <c r="AC18" s="12" t="n">
        <v>25</v>
      </c>
      <c r="AD18" s="13" t="n">
        <f aca="false">AD17+1</f>
        <v>9</v>
      </c>
      <c r="AE18" s="12"/>
      <c r="AF18" s="12"/>
      <c r="AH18" s="7"/>
    </row>
    <row r="19" customFormat="false" ht="11.1" hidden="false" customHeight="true" outlineLevel="0" collapsed="false">
      <c r="A19" s="13" t="n">
        <f aca="false">A18+1</f>
        <v>10</v>
      </c>
      <c r="B19" s="31" t="n">
        <v>6886.08</v>
      </c>
      <c r="C19" s="8" t="n">
        <v>235173</v>
      </c>
      <c r="D19" s="12" t="n">
        <f aca="false">C19-C18</f>
        <v>647</v>
      </c>
      <c r="E19" s="8" t="n">
        <f aca="false">C19-152000</f>
        <v>83173</v>
      </c>
      <c r="F19" s="7" t="n">
        <f aca="false">D19/$D$2</f>
        <v>326.191076380136</v>
      </c>
      <c r="G19" s="7" t="n">
        <v>231</v>
      </c>
      <c r="H19" s="44" t="n">
        <v>15</v>
      </c>
      <c r="I19" s="7" t="n">
        <f aca="false">G19+H19</f>
        <v>246</v>
      </c>
      <c r="J19" s="112" t="n">
        <f aca="false">IF(L19&gt;0,L19,0)</f>
        <v>201.191076380136</v>
      </c>
      <c r="K19" s="7" t="n">
        <f aca="false">I19+J19</f>
        <v>447.191076380136</v>
      </c>
      <c r="L19" s="7" t="n">
        <f aca="false">F19-(I19-X19)</f>
        <v>201.191076380136</v>
      </c>
      <c r="M19" s="7" t="n">
        <v>85</v>
      </c>
      <c r="N19" s="7" t="n">
        <v>0</v>
      </c>
      <c r="O19" s="7" t="n">
        <f aca="false">68.27*1.05</f>
        <v>71.6835</v>
      </c>
      <c r="P19" s="7" t="n">
        <f aca="false">M19-(N19+O19)</f>
        <v>13.3165</v>
      </c>
      <c r="Q19" s="7" t="n">
        <v>0</v>
      </c>
      <c r="R19" s="7" t="n">
        <v>0</v>
      </c>
      <c r="S19" s="7" t="n">
        <f aca="false">SUM(P19:R19)</f>
        <v>13.3165</v>
      </c>
      <c r="T19" s="7"/>
      <c r="U19" s="7" t="n">
        <v>0</v>
      </c>
      <c r="V19" s="7" t="n">
        <v>36</v>
      </c>
      <c r="W19" s="8" t="n">
        <f aca="false">W18-V19</f>
        <v>16454</v>
      </c>
      <c r="X19" s="7" t="n">
        <f aca="false">N19+O19+S19+U19+V19</f>
        <v>121</v>
      </c>
      <c r="Y19" s="7" t="n">
        <f aca="false">IF(L19&lt;0,L19*-1,0)</f>
        <v>0</v>
      </c>
      <c r="Z19" s="7" t="n">
        <f aca="false">X19+Y19</f>
        <v>121</v>
      </c>
      <c r="AA19" s="11" t="n">
        <v>0.09</v>
      </c>
      <c r="AB19" s="12" t="n">
        <v>40</v>
      </c>
      <c r="AC19" s="12" t="n">
        <v>27</v>
      </c>
      <c r="AD19" s="13" t="n">
        <f aca="false">AD18+1</f>
        <v>10</v>
      </c>
      <c r="AE19" s="12"/>
      <c r="AF19" s="12"/>
      <c r="AH19" s="7"/>
    </row>
    <row r="20" customFormat="false" ht="11.1" hidden="false" customHeight="true" outlineLevel="0" collapsed="false">
      <c r="A20" s="13" t="n">
        <f aca="false">A19+1</f>
        <v>11</v>
      </c>
      <c r="B20" s="31" t="n">
        <v>6886.21</v>
      </c>
      <c r="C20" s="8" t="n">
        <v>235597</v>
      </c>
      <c r="D20" s="12" t="n">
        <f aca="false">C20-C19</f>
        <v>424</v>
      </c>
      <c r="E20" s="8" t="n">
        <f aca="false">C20-152000</f>
        <v>83597</v>
      </c>
      <c r="F20" s="7" t="n">
        <f aca="false">D20/$D$2</f>
        <v>213.763549281573</v>
      </c>
      <c r="G20" s="7" t="n">
        <v>210</v>
      </c>
      <c r="H20" s="44" t="n">
        <v>13</v>
      </c>
      <c r="I20" s="7" t="n">
        <f aca="false">G20+H20</f>
        <v>223</v>
      </c>
      <c r="J20" s="112" t="n">
        <f aca="false">IF(L20&gt;0,L20,0)</f>
        <v>119.763549281573</v>
      </c>
      <c r="K20" s="7" t="n">
        <f aca="false">I20+J20</f>
        <v>342.763549281573</v>
      </c>
      <c r="L20" s="7" t="n">
        <f aca="false">F20-(I20-X20)</f>
        <v>119.763549281573</v>
      </c>
      <c r="M20" s="7" t="n">
        <v>94</v>
      </c>
      <c r="N20" s="7" t="n">
        <v>0</v>
      </c>
      <c r="O20" s="7" t="n">
        <f aca="false">79.85*1.05</f>
        <v>83.8425</v>
      </c>
      <c r="P20" s="7" t="n">
        <f aca="false">M20-(N20+O20)</f>
        <v>10.1575</v>
      </c>
      <c r="Q20" s="7" t="n">
        <v>0</v>
      </c>
      <c r="R20" s="7" t="n">
        <v>0</v>
      </c>
      <c r="S20" s="7" t="n">
        <f aca="false">SUM(P20:R20)</f>
        <v>10.1575</v>
      </c>
      <c r="T20" s="7"/>
      <c r="U20" s="7" t="n">
        <v>0</v>
      </c>
      <c r="V20" s="7" t="n">
        <v>35</v>
      </c>
      <c r="W20" s="8" t="n">
        <f aca="false">W19-V20</f>
        <v>16419</v>
      </c>
      <c r="X20" s="7" t="n">
        <f aca="false">N20+O20+S20+U20+V20</f>
        <v>129</v>
      </c>
      <c r="Y20" s="7" t="n">
        <f aca="false">IF(L20&lt;0,L20*-1,0)</f>
        <v>0</v>
      </c>
      <c r="Z20" s="7" t="n">
        <f aca="false">X20+Y20</f>
        <v>129</v>
      </c>
      <c r="AA20" s="11" t="n">
        <v>0.03</v>
      </c>
      <c r="AB20" s="12" t="n">
        <v>45</v>
      </c>
      <c r="AC20" s="12" t="n">
        <v>25</v>
      </c>
      <c r="AD20" s="13" t="n">
        <f aca="false">AD19+1</f>
        <v>11</v>
      </c>
      <c r="AE20" s="12"/>
      <c r="AF20" s="12"/>
      <c r="AH20" s="7"/>
    </row>
    <row r="21" customFormat="false" ht="11.1" hidden="false" customHeight="true" outlineLevel="0" collapsed="false">
      <c r="A21" s="13" t="n">
        <f aca="false">A20+1</f>
        <v>12</v>
      </c>
      <c r="B21" s="31" t="n">
        <v>6886.35</v>
      </c>
      <c r="C21" s="8" t="n">
        <v>236054</v>
      </c>
      <c r="D21" s="12" t="n">
        <f aca="false">C21-C20</f>
        <v>457</v>
      </c>
      <c r="E21" s="8" t="n">
        <f aca="false">C21-152000</f>
        <v>84054</v>
      </c>
      <c r="F21" s="7" t="n">
        <f aca="false">D21/$D$2</f>
        <v>230.400806654903</v>
      </c>
      <c r="G21" s="7" t="n">
        <v>206</v>
      </c>
      <c r="H21" s="44" t="n">
        <v>12</v>
      </c>
      <c r="I21" s="7" t="n">
        <f aca="false">G21+H21</f>
        <v>218</v>
      </c>
      <c r="J21" s="112" t="n">
        <f aca="false">IF(L21&gt;0,L21,0)</f>
        <v>129.400806654903</v>
      </c>
      <c r="K21" s="7" t="n">
        <f aca="false">I21+J21</f>
        <v>347.400806654903</v>
      </c>
      <c r="L21" s="7" t="n">
        <f aca="false">F21-(I21-X21)</f>
        <v>129.400806654903</v>
      </c>
      <c r="M21" s="7" t="n">
        <v>82</v>
      </c>
      <c r="N21" s="7" t="n">
        <v>0</v>
      </c>
      <c r="O21" s="7" t="n">
        <f aca="false">68.8*1.05</f>
        <v>72.24</v>
      </c>
      <c r="P21" s="7" t="n">
        <f aca="false">M21-(N21+O21)</f>
        <v>9.76000000000001</v>
      </c>
      <c r="Q21" s="7" t="n">
        <v>0</v>
      </c>
      <c r="R21" s="7" t="n">
        <v>0</v>
      </c>
      <c r="S21" s="7" t="n">
        <f aca="false">SUM(P21:R21)</f>
        <v>9.76000000000001</v>
      </c>
      <c r="T21" s="7"/>
      <c r="U21" s="7" t="n">
        <v>0</v>
      </c>
      <c r="V21" s="7" t="n">
        <v>35</v>
      </c>
      <c r="W21" s="8" t="n">
        <f aca="false">W20-V21</f>
        <v>16384</v>
      </c>
      <c r="X21" s="7" t="n">
        <f aca="false">N21+O21+S21+U21+V21</f>
        <v>117</v>
      </c>
      <c r="Y21" s="7" t="n">
        <f aca="false">IF(L21&lt;0,L21*-1,0)</f>
        <v>0</v>
      </c>
      <c r="Z21" s="7" t="n">
        <f aca="false">X21+Y21</f>
        <v>117</v>
      </c>
      <c r="AA21" s="11" t="n">
        <v>0.12</v>
      </c>
      <c r="AB21" s="12" t="n">
        <v>40</v>
      </c>
      <c r="AC21" s="12" t="n">
        <v>28</v>
      </c>
      <c r="AD21" s="13" t="n">
        <f aca="false">AD20+1</f>
        <v>12</v>
      </c>
      <c r="AE21" s="12"/>
      <c r="AF21" s="12"/>
      <c r="AH21" s="7"/>
    </row>
    <row r="22" customFormat="false" ht="11.1" hidden="false" customHeight="true" outlineLevel="0" collapsed="false">
      <c r="A22" s="13" t="n">
        <f aca="false">A21+1</f>
        <v>13</v>
      </c>
      <c r="B22" s="31" t="n">
        <v>6886.46</v>
      </c>
      <c r="C22" s="8" t="n">
        <v>236412</v>
      </c>
      <c r="D22" s="12" t="n">
        <f aca="false">C22-C21</f>
        <v>358</v>
      </c>
      <c r="E22" s="8" t="n">
        <f aca="false">C22-152000</f>
        <v>84412</v>
      </c>
      <c r="F22" s="7" t="n">
        <f aca="false">D22/$D$2</f>
        <v>180.489034534913</v>
      </c>
      <c r="G22" s="7" t="n">
        <v>174</v>
      </c>
      <c r="H22" s="44" t="n">
        <v>9.4</v>
      </c>
      <c r="I22" s="7" t="n">
        <f aca="false">G22+H22</f>
        <v>183.4</v>
      </c>
      <c r="J22" s="112" t="n">
        <f aca="false">IF(L22&gt;0,L22,0)</f>
        <v>115.089034534913</v>
      </c>
      <c r="K22" s="7" t="n">
        <f aca="false">I22+J22</f>
        <v>298.489034534913</v>
      </c>
      <c r="L22" s="7" t="n">
        <f aca="false">F22-(I22-X22)</f>
        <v>115.089034534913</v>
      </c>
      <c r="M22" s="7" t="n">
        <v>83</v>
      </c>
      <c r="N22" s="7" t="n">
        <v>0</v>
      </c>
      <c r="O22" s="7" t="n">
        <f aca="false">73.26*1.05</f>
        <v>76.923</v>
      </c>
      <c r="P22" s="7" t="n">
        <f aca="false">M22-(N22+O22)</f>
        <v>6.077</v>
      </c>
      <c r="Q22" s="7" t="n">
        <v>0</v>
      </c>
      <c r="R22" s="7" t="n">
        <v>0</v>
      </c>
      <c r="S22" s="7" t="n">
        <f aca="false">SUM(P22:R22)</f>
        <v>6.077</v>
      </c>
      <c r="T22" s="7"/>
      <c r="U22" s="7" t="n">
        <v>0</v>
      </c>
      <c r="V22" s="7" t="n">
        <v>35</v>
      </c>
      <c r="W22" s="8" t="n">
        <f aca="false">W21-V22</f>
        <v>16349</v>
      </c>
      <c r="X22" s="7" t="n">
        <f aca="false">N22+O22+S22+U22+V22</f>
        <v>118</v>
      </c>
      <c r="Y22" s="7" t="n">
        <f aca="false">IF(L22&lt;0,L22*-1,0)</f>
        <v>0</v>
      </c>
      <c r="Z22" s="7" t="n">
        <f aca="false">X22+Y22</f>
        <v>118</v>
      </c>
      <c r="AA22" s="11" t="n">
        <v>0</v>
      </c>
      <c r="AB22" s="12" t="n">
        <v>53</v>
      </c>
      <c r="AC22" s="12" t="n">
        <v>24</v>
      </c>
      <c r="AD22" s="13" t="n">
        <f aca="false">AD21+1</f>
        <v>13</v>
      </c>
      <c r="AE22" s="12"/>
      <c r="AF22" s="12"/>
      <c r="AH22" s="7"/>
    </row>
    <row r="23" customFormat="false" ht="11.1" hidden="false" customHeight="true" outlineLevel="0" collapsed="false">
      <c r="A23" s="13" t="n">
        <f aca="false">A22+1</f>
        <v>14</v>
      </c>
      <c r="B23" s="31" t="n">
        <v>6886.63</v>
      </c>
      <c r="C23" s="8" t="n">
        <v>236966</v>
      </c>
      <c r="D23" s="12" t="n">
        <f aca="false">C23-C22</f>
        <v>554</v>
      </c>
      <c r="E23" s="8" t="n">
        <f aca="false">C23-152000</f>
        <v>84966</v>
      </c>
      <c r="F23" s="7" t="n">
        <f aca="false">D23/$D$2</f>
        <v>279.304260146206</v>
      </c>
      <c r="G23" s="7" t="n">
        <v>211</v>
      </c>
      <c r="H23" s="44" t="n">
        <v>12</v>
      </c>
      <c r="I23" s="7" t="n">
        <f aca="false">G23+H23</f>
        <v>223</v>
      </c>
      <c r="J23" s="112" t="n">
        <f aca="false">IF(L23&gt;0,L23,0)</f>
        <v>177.304260146206</v>
      </c>
      <c r="K23" s="7" t="n">
        <f aca="false">I23+J23</f>
        <v>400.304260146206</v>
      </c>
      <c r="L23" s="7" t="n">
        <f aca="false">F23-(I23-X23)</f>
        <v>177.304260146206</v>
      </c>
      <c r="M23" s="7" t="n">
        <v>86</v>
      </c>
      <c r="N23" s="7" t="n">
        <v>0</v>
      </c>
      <c r="O23" s="7" t="n">
        <f aca="false">76.42*1.05</f>
        <v>80.241</v>
      </c>
      <c r="P23" s="7" t="n">
        <f aca="false">M23-(N23+O23)</f>
        <v>5.759</v>
      </c>
      <c r="Q23" s="7" t="n">
        <v>0</v>
      </c>
      <c r="R23" s="7" t="n">
        <v>0</v>
      </c>
      <c r="S23" s="7" t="n">
        <f aca="false">SUM(P23:R23)</f>
        <v>5.759</v>
      </c>
      <c r="T23" s="7"/>
      <c r="U23" s="7" t="n">
        <v>0</v>
      </c>
      <c r="V23" s="7" t="n">
        <v>35</v>
      </c>
      <c r="W23" s="8" t="n">
        <f aca="false">W22-V23</f>
        <v>16314</v>
      </c>
      <c r="X23" s="7" t="n">
        <f aca="false">N23+O23+S23+U23+V23</f>
        <v>121</v>
      </c>
      <c r="Y23" s="7" t="n">
        <f aca="false">IF(L23&lt;0,L23*-1,0)</f>
        <v>0</v>
      </c>
      <c r="Z23" s="7" t="n">
        <f aca="false">X23+Y23</f>
        <v>121</v>
      </c>
      <c r="AA23" s="11" t="n">
        <v>0</v>
      </c>
      <c r="AB23" s="41" t="n">
        <v>57</v>
      </c>
      <c r="AC23" s="12" t="n">
        <v>29</v>
      </c>
      <c r="AD23" s="13" t="n">
        <f aca="false">AD22+1</f>
        <v>14</v>
      </c>
      <c r="AE23" s="12"/>
      <c r="AF23" s="12"/>
      <c r="AH23" s="7"/>
    </row>
    <row r="24" customFormat="false" ht="11.1" hidden="false" customHeight="true" outlineLevel="0" collapsed="false">
      <c r="A24" s="13" t="n">
        <f aca="false">A23+1</f>
        <v>15</v>
      </c>
      <c r="B24" s="31" t="n">
        <v>6886.9</v>
      </c>
      <c r="C24" s="8" t="n">
        <v>237847</v>
      </c>
      <c r="D24" s="12" t="n">
        <f aca="false">C24-C23</f>
        <v>881</v>
      </c>
      <c r="E24" s="8" t="n">
        <f aca="false">C24-152000</f>
        <v>85847</v>
      </c>
      <c r="F24" s="7" t="n">
        <f aca="false">D24/$D$2</f>
        <v>444.164355936476</v>
      </c>
      <c r="G24" s="7" t="n">
        <v>237</v>
      </c>
      <c r="H24" s="44" t="n">
        <v>14</v>
      </c>
      <c r="I24" s="7" t="n">
        <f aca="false">G24+H24</f>
        <v>251</v>
      </c>
      <c r="J24" s="112" t="n">
        <f aca="false">IF(L24&gt;0,L24,0)</f>
        <v>324.164355936476</v>
      </c>
      <c r="K24" s="7" t="n">
        <f aca="false">I24+J24</f>
        <v>575.164355936476</v>
      </c>
      <c r="L24" s="7" t="n">
        <f aca="false">F24-(I24-X24)</f>
        <v>324.164355936476</v>
      </c>
      <c r="M24" s="7" t="n">
        <v>96</v>
      </c>
      <c r="N24" s="7" t="n">
        <v>0</v>
      </c>
      <c r="O24" s="7" t="n">
        <f aca="false">76.9*1.05</f>
        <v>80.745</v>
      </c>
      <c r="P24" s="7" t="n">
        <f aca="false">M24-(N24+O24)</f>
        <v>15.255</v>
      </c>
      <c r="Q24" s="7" t="n">
        <v>0</v>
      </c>
      <c r="R24" s="7" t="n">
        <v>0</v>
      </c>
      <c r="S24" s="7" t="n">
        <f aca="false">SUM(P24:R24)</f>
        <v>15.255</v>
      </c>
      <c r="T24" s="7"/>
      <c r="U24" s="7" t="n">
        <v>0</v>
      </c>
      <c r="V24" s="7" t="n">
        <v>35</v>
      </c>
      <c r="W24" s="8" t="n">
        <f aca="false">W23-V24</f>
        <v>16279</v>
      </c>
      <c r="X24" s="7" t="n">
        <f aca="false">N24+O24+S24+U24+V24</f>
        <v>131</v>
      </c>
      <c r="Y24" s="7" t="n">
        <f aca="false">IF(L24&lt;0,L24*-1,0)</f>
        <v>0</v>
      </c>
      <c r="Z24" s="7" t="n">
        <f aca="false">X24+Y24</f>
        <v>131</v>
      </c>
      <c r="AA24" s="11" t="n">
        <v>0</v>
      </c>
      <c r="AB24" s="41" t="n">
        <v>63</v>
      </c>
      <c r="AC24" s="12" t="n">
        <v>32</v>
      </c>
      <c r="AD24" s="13" t="n">
        <f aca="false">AD23+1</f>
        <v>15</v>
      </c>
      <c r="AE24" s="12"/>
      <c r="AF24" s="12"/>
      <c r="AH24" s="7"/>
    </row>
    <row r="25" customFormat="false" ht="11.1" hidden="false" customHeight="true" outlineLevel="0" collapsed="false">
      <c r="A25" s="13" t="n">
        <f aca="false">A24+1</f>
        <v>16</v>
      </c>
      <c r="B25" s="31" t="n">
        <v>6887.18</v>
      </c>
      <c r="C25" s="8" t="n">
        <v>238766</v>
      </c>
      <c r="D25" s="12" t="n">
        <f aca="false">C25-C24</f>
        <v>919</v>
      </c>
      <c r="E25" s="8" t="n">
        <f aca="false">C25-152000</f>
        <v>86766</v>
      </c>
      <c r="F25" s="7" t="n">
        <f aca="false">D25/$D$2</f>
        <v>463.322409881523</v>
      </c>
      <c r="G25" s="7" t="n">
        <v>310</v>
      </c>
      <c r="H25" s="44" t="n">
        <v>17</v>
      </c>
      <c r="I25" s="7" t="n">
        <f aca="false">G25+H25</f>
        <v>327</v>
      </c>
      <c r="J25" s="112" t="n">
        <f aca="false">IF(L25&gt;0,L25,0)</f>
        <v>270.322409881523</v>
      </c>
      <c r="K25" s="7" t="n">
        <f aca="false">I25+J25</f>
        <v>597.322409881523</v>
      </c>
      <c r="L25" s="7" t="n">
        <f aca="false">F25-(I25-X25)</f>
        <v>270.322409881523</v>
      </c>
      <c r="M25" s="7" t="n">
        <v>99</v>
      </c>
      <c r="N25" s="7" t="n">
        <v>0</v>
      </c>
      <c r="O25" s="7" t="n">
        <f aca="false">77.64*1.05</f>
        <v>81.522</v>
      </c>
      <c r="P25" s="7" t="n">
        <f aca="false">M25-(N25+O25)</f>
        <v>17.478</v>
      </c>
      <c r="Q25" s="7" t="n">
        <v>0</v>
      </c>
      <c r="R25" s="7" t="n">
        <v>0</v>
      </c>
      <c r="S25" s="7" t="n">
        <f aca="false">SUM(P25:R25)</f>
        <v>17.478</v>
      </c>
      <c r="T25" s="7"/>
      <c r="U25" s="7" t="n">
        <v>0</v>
      </c>
      <c r="V25" s="7" t="n">
        <v>35</v>
      </c>
      <c r="W25" s="8" t="n">
        <f aca="false">W24-V25</f>
        <v>16244</v>
      </c>
      <c r="X25" s="7" t="n">
        <f aca="false">N25+O25+S25+U25+V25</f>
        <v>134</v>
      </c>
      <c r="Y25" s="7" t="n">
        <f aca="false">IF(L25&lt;0,L25*-1,0)</f>
        <v>0</v>
      </c>
      <c r="Z25" s="7" t="n">
        <f aca="false">X25+Y25</f>
        <v>134</v>
      </c>
      <c r="AA25" s="11" t="n">
        <v>0</v>
      </c>
      <c r="AB25" s="41" t="n">
        <v>68</v>
      </c>
      <c r="AC25" s="12" t="n">
        <v>33</v>
      </c>
      <c r="AD25" s="13" t="n">
        <f aca="false">AD24+1</f>
        <v>16</v>
      </c>
      <c r="AE25" s="12"/>
      <c r="AF25" s="12"/>
      <c r="AH25" s="7"/>
    </row>
    <row r="26" customFormat="false" ht="11.1" hidden="false" customHeight="true" outlineLevel="0" collapsed="false">
      <c r="A26" s="13" t="n">
        <f aca="false">A25+1</f>
        <v>17</v>
      </c>
      <c r="B26" s="31" t="n">
        <v>6887.6</v>
      </c>
      <c r="C26" s="8" t="n">
        <v>240151</v>
      </c>
      <c r="D26" s="12" t="n">
        <f aca="false">C26-C25</f>
        <v>1385</v>
      </c>
      <c r="E26" s="8" t="n">
        <f aca="false">C26-152000</f>
        <v>88151</v>
      </c>
      <c r="F26" s="7" t="n">
        <f aca="false">D26/$D$2</f>
        <v>698.260650365516</v>
      </c>
      <c r="G26" s="7" t="n">
        <v>460</v>
      </c>
      <c r="H26" s="44" t="n">
        <v>44</v>
      </c>
      <c r="I26" s="7" t="n">
        <f aca="false">G26+H26</f>
        <v>504</v>
      </c>
      <c r="J26" s="112" t="n">
        <f aca="false">IF(L26&gt;0,L26,0)</f>
        <v>313.260650365516</v>
      </c>
      <c r="K26" s="7" t="n">
        <f aca="false">I26+J26</f>
        <v>817.260650365516</v>
      </c>
      <c r="L26" s="7" t="n">
        <f aca="false">F26-(I26-X26)</f>
        <v>313.260650365516</v>
      </c>
      <c r="M26" s="7" t="n">
        <v>84</v>
      </c>
      <c r="N26" s="7" t="n">
        <v>0</v>
      </c>
      <c r="O26" s="7" t="n">
        <f aca="false">71.18*1.05</f>
        <v>74.739</v>
      </c>
      <c r="P26" s="7" t="n">
        <f aca="false">M26-(N26+O26)</f>
        <v>9.261</v>
      </c>
      <c r="Q26" s="7" t="n">
        <v>0</v>
      </c>
      <c r="R26" s="7" t="n">
        <v>0</v>
      </c>
      <c r="S26" s="7" t="n">
        <f aca="false">SUM(P26:R26)</f>
        <v>9.261</v>
      </c>
      <c r="T26" s="7"/>
      <c r="U26" s="7" t="n">
        <v>0</v>
      </c>
      <c r="V26" s="7" t="n">
        <v>35</v>
      </c>
      <c r="W26" s="8" t="n">
        <f aca="false">W25-V26</f>
        <v>16209</v>
      </c>
      <c r="X26" s="7" t="n">
        <f aca="false">N26+O26+S26+U26+V26</f>
        <v>119</v>
      </c>
      <c r="Y26" s="7" t="n">
        <f aca="false">IF(L26&lt;0,L26*-1,0)</f>
        <v>0</v>
      </c>
      <c r="Z26" s="7" t="n">
        <f aca="false">X26+Y26</f>
        <v>119</v>
      </c>
      <c r="AA26" s="11" t="n">
        <v>0</v>
      </c>
      <c r="AB26" s="41" t="n">
        <v>72</v>
      </c>
      <c r="AC26" s="12" t="n">
        <v>36</v>
      </c>
      <c r="AD26" s="13" t="n">
        <f aca="false">AD25+1</f>
        <v>17</v>
      </c>
      <c r="AE26" s="12"/>
      <c r="AF26" s="12"/>
      <c r="AH26" s="7"/>
    </row>
    <row r="27" customFormat="false" ht="11.1" hidden="false" customHeight="true" outlineLevel="0" collapsed="false">
      <c r="A27" s="13" t="n">
        <f aca="false">A26+1</f>
        <v>18</v>
      </c>
      <c r="B27" s="31" t="n">
        <v>6888.13</v>
      </c>
      <c r="C27" s="8" t="n">
        <v>241902</v>
      </c>
      <c r="D27" s="12" t="n">
        <f aca="false">C27-C26</f>
        <v>1751</v>
      </c>
      <c r="E27" s="8" t="n">
        <f aca="false">C27-152000</f>
        <v>89902</v>
      </c>
      <c r="F27" s="7" t="n">
        <f aca="false">D27/$D$2</f>
        <v>882.782959415175</v>
      </c>
      <c r="G27" s="7" t="n">
        <v>672</v>
      </c>
      <c r="H27" s="44" t="n">
        <v>100</v>
      </c>
      <c r="I27" s="7" t="n">
        <f aca="false">G27+H27</f>
        <v>772</v>
      </c>
      <c r="J27" s="112" t="n">
        <f aca="false">IF(L27&gt;0,L27,0)</f>
        <v>248.632959415175</v>
      </c>
      <c r="K27" s="7" t="n">
        <f aca="false">I27+J27</f>
        <v>1020.63295941518</v>
      </c>
      <c r="L27" s="7" t="n">
        <f aca="false">F27-(I27-X27)</f>
        <v>248.632959415175</v>
      </c>
      <c r="M27" s="7" t="n">
        <v>80</v>
      </c>
      <c r="N27" s="7" t="n">
        <v>0</v>
      </c>
      <c r="O27" s="7" t="n">
        <f aca="false">61.71*1.05</f>
        <v>64.7955</v>
      </c>
      <c r="P27" s="7" t="n">
        <f aca="false">M27-(N27+O27)</f>
        <v>15.2045</v>
      </c>
      <c r="Q27" s="7" t="n">
        <v>0</v>
      </c>
      <c r="R27" s="7" t="n">
        <v>0</v>
      </c>
      <c r="S27" s="7" t="n">
        <f aca="false">SUM(P27:R27)</f>
        <v>15.2045</v>
      </c>
      <c r="T27" s="7"/>
      <c r="U27" s="7" t="n">
        <v>22.85</v>
      </c>
      <c r="V27" s="7" t="n">
        <v>35</v>
      </c>
      <c r="W27" s="8" t="n">
        <f aca="false">W26-V27</f>
        <v>16174</v>
      </c>
      <c r="X27" s="7" t="n">
        <f aca="false">N27+O27+S27+U27+V27</f>
        <v>137.85</v>
      </c>
      <c r="Y27" s="7" t="n">
        <f aca="false">IF(L27&lt;0,L27*-1,0)</f>
        <v>0</v>
      </c>
      <c r="Z27" s="7" t="n">
        <f aca="false">X27+Y27</f>
        <v>137.85</v>
      </c>
      <c r="AA27" s="11" t="n">
        <v>0</v>
      </c>
      <c r="AB27" s="41" t="n">
        <v>73</v>
      </c>
      <c r="AC27" s="12" t="n">
        <v>40</v>
      </c>
      <c r="AD27" s="13" t="n">
        <f aca="false">AD26+1</f>
        <v>18</v>
      </c>
      <c r="AE27" s="12"/>
      <c r="AF27" s="12"/>
      <c r="AH27" s="7"/>
    </row>
    <row r="28" customFormat="false" ht="11.1" hidden="false" customHeight="true" outlineLevel="0" collapsed="false">
      <c r="A28" s="13" t="n">
        <f aca="false">A27+1</f>
        <v>19</v>
      </c>
      <c r="B28" s="31" t="n">
        <v>6888.78</v>
      </c>
      <c r="C28" s="8" t="n">
        <v>244068</v>
      </c>
      <c r="D28" s="12" t="n">
        <f aca="false">C28-C27</f>
        <v>2166</v>
      </c>
      <c r="E28" s="8" t="n">
        <f aca="false">C28-152000</f>
        <v>92068</v>
      </c>
      <c r="F28" s="7" t="n">
        <f aca="false">D28/$D$2</f>
        <v>1092.00907486766</v>
      </c>
      <c r="G28" s="7" t="n">
        <v>895</v>
      </c>
      <c r="H28" s="44" t="n">
        <v>148</v>
      </c>
      <c r="I28" s="7" t="n">
        <f aca="false">G28+H28</f>
        <v>1043</v>
      </c>
      <c r="J28" s="112" t="n">
        <f aca="false">IF(L28&gt;0,L28,0)</f>
        <v>211.929074867658</v>
      </c>
      <c r="K28" s="7" t="n">
        <f aca="false">I28+J28</f>
        <v>1254.92907486766</v>
      </c>
      <c r="L28" s="7" t="n">
        <f aca="false">F28-(I28-X28)</f>
        <v>211.929074867658</v>
      </c>
      <c r="M28" s="7" t="n">
        <v>99</v>
      </c>
      <c r="N28" s="7" t="n">
        <v>0</v>
      </c>
      <c r="O28" s="7" t="n">
        <f aca="false">58.04*1.05</f>
        <v>60.942</v>
      </c>
      <c r="P28" s="7" t="n">
        <f aca="false">M28-(N28+O28)</f>
        <v>38.058</v>
      </c>
      <c r="Q28" s="7" t="n">
        <v>0</v>
      </c>
      <c r="R28" s="7" t="n">
        <v>0</v>
      </c>
      <c r="S28" s="7" t="n">
        <f aca="false">SUM(P28:R28)</f>
        <v>38.058</v>
      </c>
      <c r="T28" s="7"/>
      <c r="U28" s="7" t="n">
        <v>28.92</v>
      </c>
      <c r="V28" s="7" t="n">
        <v>35</v>
      </c>
      <c r="W28" s="8" t="n">
        <f aca="false">W27-V28</f>
        <v>16139</v>
      </c>
      <c r="X28" s="7" t="n">
        <f aca="false">N28+O28+S28+U28+V28</f>
        <v>162.92</v>
      </c>
      <c r="Y28" s="7" t="n">
        <f aca="false">IF(L28&lt;0,L28*-1,0)</f>
        <v>0</v>
      </c>
      <c r="Z28" s="7" t="n">
        <f aca="false">X28+Y28</f>
        <v>162.92</v>
      </c>
      <c r="AA28" s="11" t="n">
        <v>0</v>
      </c>
      <c r="AB28" s="41" t="n">
        <v>64</v>
      </c>
      <c r="AC28" s="12" t="n">
        <v>43</v>
      </c>
      <c r="AD28" s="13" t="n">
        <f aca="false">AD27+1</f>
        <v>19</v>
      </c>
      <c r="AE28" s="12"/>
      <c r="AF28" s="12"/>
      <c r="AH28" s="7"/>
    </row>
    <row r="29" customFormat="false" ht="11.1" hidden="false" customHeight="true" outlineLevel="0" collapsed="false">
      <c r="A29" s="13" t="n">
        <f aca="false">A28+1</f>
        <v>20</v>
      </c>
      <c r="B29" s="31" t="n">
        <v>6889.44</v>
      </c>
      <c r="C29" s="8" t="n">
        <v>246283</v>
      </c>
      <c r="D29" s="12" t="n">
        <f aca="false">C29-C28</f>
        <v>2215</v>
      </c>
      <c r="E29" s="8" t="n">
        <f aca="false">C29-152000</f>
        <v>94283</v>
      </c>
      <c r="F29" s="7" t="n">
        <f aca="false">D29/$D$2</f>
        <v>1116.71288127048</v>
      </c>
      <c r="G29" s="7" t="n">
        <v>931</v>
      </c>
      <c r="H29" s="44" t="n">
        <v>145</v>
      </c>
      <c r="I29" s="7" t="n">
        <f aca="false">G29+H29</f>
        <v>1076</v>
      </c>
      <c r="J29" s="112" t="n">
        <f aca="false">IF(L29&gt;0,L29,0)</f>
        <v>208.682881270481</v>
      </c>
      <c r="K29" s="7" t="n">
        <f aca="false">I29+J29</f>
        <v>1284.68288127048</v>
      </c>
      <c r="L29" s="7" t="n">
        <f aca="false">F29-(I29-X29)</f>
        <v>208.682881270481</v>
      </c>
      <c r="M29" s="7" t="n">
        <v>93</v>
      </c>
      <c r="N29" s="7" t="n">
        <v>0</v>
      </c>
      <c r="O29" s="7" t="n">
        <f aca="false">66.65*1.05</f>
        <v>69.9825</v>
      </c>
      <c r="P29" s="7" t="n">
        <f aca="false">M29-(N29+O29)</f>
        <v>23.0175</v>
      </c>
      <c r="Q29" s="7" t="n">
        <v>0</v>
      </c>
      <c r="R29" s="7" t="n">
        <v>0</v>
      </c>
      <c r="S29" s="7" t="n">
        <f aca="false">SUM(P29:R29)</f>
        <v>23.0175</v>
      </c>
      <c r="T29" s="7"/>
      <c r="U29" s="7" t="n">
        <v>39.97</v>
      </c>
      <c r="V29" s="7" t="n">
        <v>35</v>
      </c>
      <c r="W29" s="8" t="n">
        <f aca="false">W28-V29</f>
        <v>16104</v>
      </c>
      <c r="X29" s="7" t="n">
        <f aca="false">N29+O29+S29+U29+V29</f>
        <v>167.97</v>
      </c>
      <c r="Y29" s="7" t="n">
        <f aca="false">IF(L29&lt;0,L29*-1,0)</f>
        <v>0</v>
      </c>
      <c r="Z29" s="7" t="n">
        <f aca="false">X29+Y29</f>
        <v>167.97</v>
      </c>
      <c r="AA29" s="11" t="n">
        <v>0</v>
      </c>
      <c r="AB29" s="41" t="n">
        <v>56</v>
      </c>
      <c r="AC29" s="12" t="n">
        <v>45</v>
      </c>
      <c r="AD29" s="13" t="n">
        <f aca="false">AD28+1</f>
        <v>20</v>
      </c>
      <c r="AE29" s="12"/>
      <c r="AF29" s="12"/>
      <c r="AH29" s="7"/>
    </row>
    <row r="30" customFormat="false" ht="11.1" hidden="false" customHeight="true" outlineLevel="0" collapsed="false">
      <c r="A30" s="13" t="n">
        <f aca="false">A29+1</f>
        <v>21</v>
      </c>
      <c r="B30" s="31" t="n">
        <v>6890.01</v>
      </c>
      <c r="C30" s="8" t="n">
        <v>248202</v>
      </c>
      <c r="D30" s="12" t="n">
        <f aca="false">C30-C29</f>
        <v>1919</v>
      </c>
      <c r="E30" s="8" t="n">
        <f aca="false">C30-152000</f>
        <v>96202</v>
      </c>
      <c r="F30" s="7" t="n">
        <f aca="false">D30/$D$2</f>
        <v>967.481724224855</v>
      </c>
      <c r="G30" s="7" t="n">
        <v>804</v>
      </c>
      <c r="H30" s="44" t="n">
        <v>116</v>
      </c>
      <c r="I30" s="7" t="n">
        <f aca="false">G30+H30</f>
        <v>920</v>
      </c>
      <c r="J30" s="112" t="n">
        <f aca="false">IF(L30&gt;0,L30,0)</f>
        <v>216.721724224855</v>
      </c>
      <c r="K30" s="7" t="n">
        <f aca="false">I30+J30</f>
        <v>1136.72172422486</v>
      </c>
      <c r="L30" s="7" t="n">
        <f aca="false">F30-(I30-X30)</f>
        <v>216.721724224855</v>
      </c>
      <c r="M30" s="7" t="n">
        <v>94</v>
      </c>
      <c r="N30" s="7" t="n">
        <v>0</v>
      </c>
      <c r="O30" s="7" t="n">
        <f aca="false">63.16*1.05</f>
        <v>66.318</v>
      </c>
      <c r="P30" s="7" t="n">
        <f aca="false">M30-(N30+O30)</f>
        <v>27.682</v>
      </c>
      <c r="Q30" s="7" t="n">
        <v>0</v>
      </c>
      <c r="R30" s="7" t="n">
        <v>0</v>
      </c>
      <c r="S30" s="7" t="n">
        <f aca="false">SUM(P30:R30)</f>
        <v>27.682</v>
      </c>
      <c r="T30" s="7"/>
      <c r="U30" s="7" t="n">
        <v>40.24</v>
      </c>
      <c r="V30" s="7" t="n">
        <v>35</v>
      </c>
      <c r="W30" s="8" t="n">
        <f aca="false">W29-V30</f>
        <v>16069</v>
      </c>
      <c r="X30" s="7" t="n">
        <f aca="false">N30+O30+S30+U30+V30</f>
        <v>169.24</v>
      </c>
      <c r="Y30" s="7" t="n">
        <f aca="false">IF(L30&lt;0,L30*-1,0)</f>
        <v>0</v>
      </c>
      <c r="Z30" s="7" t="n">
        <f aca="false">X30+Y30</f>
        <v>169.24</v>
      </c>
      <c r="AA30" s="11" t="n">
        <v>0.01</v>
      </c>
      <c r="AB30" s="12" t="n">
        <v>52</v>
      </c>
      <c r="AC30" s="12" t="n">
        <v>34</v>
      </c>
      <c r="AD30" s="13" t="n">
        <f aca="false">AD29+1</f>
        <v>21</v>
      </c>
      <c r="AE30" s="12"/>
      <c r="AF30" s="12"/>
      <c r="AH30" s="7"/>
    </row>
    <row r="31" customFormat="false" ht="11.1" hidden="false" customHeight="true" outlineLevel="0" collapsed="false">
      <c r="A31" s="13" t="n">
        <f aca="false">A30+1</f>
        <v>22</v>
      </c>
      <c r="B31" s="31" t="n">
        <v>6890.39</v>
      </c>
      <c r="C31" s="8" t="n">
        <v>249494</v>
      </c>
      <c r="D31" s="12" t="n">
        <f aca="false">C31-C30</f>
        <v>1292</v>
      </c>
      <c r="E31" s="8" t="n">
        <f aca="false">C31-152000</f>
        <v>97494</v>
      </c>
      <c r="F31" s="7" t="n">
        <f aca="false">D31/$D$2</f>
        <v>651.373834131586</v>
      </c>
      <c r="G31" s="7" t="n">
        <v>632</v>
      </c>
      <c r="H31" s="44" t="n">
        <v>54</v>
      </c>
      <c r="I31" s="7" t="n">
        <f aca="false">G31+H31</f>
        <v>686</v>
      </c>
      <c r="J31" s="112" t="n">
        <f aca="false">IF(L31&gt;0,L31,0)</f>
        <v>135.693834131586</v>
      </c>
      <c r="K31" s="7" t="n">
        <f aca="false">I31+J31</f>
        <v>821.693834131585</v>
      </c>
      <c r="L31" s="7" t="n">
        <f aca="false">F31-(I31-X31)</f>
        <v>135.693834131586</v>
      </c>
      <c r="M31" s="7" t="n">
        <v>95</v>
      </c>
      <c r="N31" s="7" t="n">
        <v>0</v>
      </c>
      <c r="O31" s="7" t="n">
        <f aca="false">61.97*1.05</f>
        <v>65.0685</v>
      </c>
      <c r="P31" s="7" t="n">
        <f aca="false">M31-(N31+O31)</f>
        <v>29.9315</v>
      </c>
      <c r="Q31" s="7" t="n">
        <v>0</v>
      </c>
      <c r="R31" s="7" t="n">
        <v>0</v>
      </c>
      <c r="S31" s="7" t="n">
        <f aca="false">SUM(P31:R31)</f>
        <v>29.9315</v>
      </c>
      <c r="T31" s="7"/>
      <c r="U31" s="7" t="n">
        <v>40.32</v>
      </c>
      <c r="V31" s="7" t="n">
        <v>35</v>
      </c>
      <c r="W31" s="8" t="n">
        <f aca="false">W30-V31</f>
        <v>16034</v>
      </c>
      <c r="X31" s="7" t="n">
        <f aca="false">N31+O31+S31+U31+V31</f>
        <v>170.32</v>
      </c>
      <c r="Y31" s="7" t="n">
        <f aca="false">IF(L31&lt;0,L31*-1,0)</f>
        <v>0</v>
      </c>
      <c r="Z31" s="7" t="n">
        <f aca="false">X31+Y31</f>
        <v>170.32</v>
      </c>
      <c r="AA31" s="11" t="n">
        <v>0.08</v>
      </c>
      <c r="AB31" s="12" t="n">
        <v>47</v>
      </c>
      <c r="AC31" s="12" t="n">
        <v>31</v>
      </c>
      <c r="AD31" s="13" t="n">
        <f aca="false">AD30+1</f>
        <v>22</v>
      </c>
      <c r="AE31" s="12"/>
      <c r="AF31" s="12"/>
      <c r="AH31" s="7"/>
    </row>
    <row r="32" customFormat="false" ht="11.1" hidden="false" customHeight="true" outlineLevel="0" collapsed="false">
      <c r="A32" s="13" t="n">
        <f aca="false">A31+1</f>
        <v>23</v>
      </c>
      <c r="B32" s="31" t="n">
        <v>6890.72</v>
      </c>
      <c r="C32" s="8" t="n">
        <v>250617</v>
      </c>
      <c r="D32" s="12" t="n">
        <f aca="false">C32-C31</f>
        <v>1123</v>
      </c>
      <c r="E32" s="8" t="n">
        <f aca="false">C32-152000</f>
        <v>98617</v>
      </c>
      <c r="F32" s="7" t="n">
        <f aca="false">D32/$D$2</f>
        <v>566.170910007562</v>
      </c>
      <c r="G32" s="7" t="n">
        <v>508</v>
      </c>
      <c r="H32" s="44" t="n">
        <v>24</v>
      </c>
      <c r="I32" s="7" t="n">
        <f aca="false">G32+H32</f>
        <v>532</v>
      </c>
      <c r="J32" s="112" t="n">
        <f aca="false">IF(L32&gt;0,L32,0)</f>
        <v>173.180910007562</v>
      </c>
      <c r="K32" s="7" t="n">
        <f aca="false">I32+J32</f>
        <v>705.180910007562</v>
      </c>
      <c r="L32" s="7" t="n">
        <f aca="false">F32-(I32-X32)</f>
        <v>173.180910007562</v>
      </c>
      <c r="M32" s="7" t="n">
        <v>92</v>
      </c>
      <c r="N32" s="7" t="n">
        <v>0</v>
      </c>
      <c r="O32" s="7" t="n">
        <f aca="false">62.72*1.05</f>
        <v>65.856</v>
      </c>
      <c r="P32" s="7" t="n">
        <f aca="false">M32-(N32+O32)</f>
        <v>26.144</v>
      </c>
      <c r="Q32" s="7" t="n">
        <v>0</v>
      </c>
      <c r="R32" s="7" t="n">
        <v>0</v>
      </c>
      <c r="S32" s="7" t="n">
        <f aca="false">SUM(P32:R32)</f>
        <v>26.144</v>
      </c>
      <c r="T32" s="7"/>
      <c r="U32" s="7" t="n">
        <v>12.01</v>
      </c>
      <c r="V32" s="7" t="n">
        <v>35</v>
      </c>
      <c r="W32" s="8" t="n">
        <f aca="false">W31-V32</f>
        <v>15999</v>
      </c>
      <c r="X32" s="7" t="n">
        <f aca="false">N32+O32+S32+U32+V32</f>
        <v>139.01</v>
      </c>
      <c r="Y32" s="7" t="n">
        <f aca="false">IF(L32&lt;0,L32*-1,0)</f>
        <v>0</v>
      </c>
      <c r="Z32" s="7" t="n">
        <f aca="false">X32+Y32</f>
        <v>139.01</v>
      </c>
      <c r="AA32" s="11" t="n">
        <v>0</v>
      </c>
      <c r="AB32" s="12" t="n">
        <v>56</v>
      </c>
      <c r="AC32" s="41" t="n">
        <v>26</v>
      </c>
      <c r="AD32" s="13" t="n">
        <f aca="false">AD31+1</f>
        <v>23</v>
      </c>
      <c r="AE32" s="12"/>
      <c r="AF32" s="12"/>
      <c r="AH32" s="7"/>
    </row>
    <row r="33" customFormat="false" ht="11.1" hidden="false" customHeight="true" outlineLevel="0" collapsed="false">
      <c r="A33" s="13" t="n">
        <f aca="false">A32+1</f>
        <v>24</v>
      </c>
      <c r="B33" s="31" t="n">
        <v>6891.02</v>
      </c>
      <c r="C33" s="8" t="n">
        <v>251638</v>
      </c>
      <c r="D33" s="12" t="n">
        <f aca="false">C33-C32</f>
        <v>1021</v>
      </c>
      <c r="E33" s="8" t="n">
        <f aca="false">C33-152000</f>
        <v>99638</v>
      </c>
      <c r="F33" s="7" t="n">
        <f aca="false">D33/$D$2</f>
        <v>514.746659944542</v>
      </c>
      <c r="G33" s="7" t="n">
        <v>548</v>
      </c>
      <c r="H33" s="44" t="n">
        <v>34</v>
      </c>
      <c r="I33" s="7" t="n">
        <f aca="false">G33+H33</f>
        <v>582</v>
      </c>
      <c r="J33" s="112" t="n">
        <f aca="false">IF(L33&gt;0,L33,0)</f>
        <v>78.7466599445424</v>
      </c>
      <c r="K33" s="7" t="n">
        <f aca="false">I33+J33</f>
        <v>660.746659944542</v>
      </c>
      <c r="L33" s="7" t="n">
        <f aca="false">F33-(I33-X33)</f>
        <v>78.7466599445424</v>
      </c>
      <c r="M33" s="7" t="n">
        <v>111</v>
      </c>
      <c r="N33" s="7" t="n">
        <v>0</v>
      </c>
      <c r="O33" s="7" t="n">
        <f aca="false">71.61*1.05</f>
        <v>75.1905</v>
      </c>
      <c r="P33" s="7" t="n">
        <f aca="false">M33-(N33+O33)</f>
        <v>35.8095</v>
      </c>
      <c r="Q33" s="7" t="n">
        <v>0</v>
      </c>
      <c r="R33" s="7" t="n">
        <v>0</v>
      </c>
      <c r="S33" s="7" t="n">
        <f aca="false">SUM(P33:R33)</f>
        <v>35.8095</v>
      </c>
      <c r="T33" s="7"/>
      <c r="U33" s="7" t="n">
        <v>0</v>
      </c>
      <c r="V33" s="7" t="n">
        <v>35</v>
      </c>
      <c r="W33" s="8" t="n">
        <f aca="false">W32-V33</f>
        <v>15964</v>
      </c>
      <c r="X33" s="7" t="n">
        <f aca="false">N33+O33+S33+U33+V33</f>
        <v>146</v>
      </c>
      <c r="Y33" s="7" t="n">
        <f aca="false">IF(L33&lt;0,L33*-1,0)</f>
        <v>0</v>
      </c>
      <c r="Z33" s="7" t="n">
        <f aca="false">X33+Y33</f>
        <v>146</v>
      </c>
      <c r="AA33" s="11" t="n">
        <v>0</v>
      </c>
      <c r="AB33" s="12" t="n">
        <v>65</v>
      </c>
      <c r="AC33" s="41" t="n">
        <v>33</v>
      </c>
      <c r="AD33" s="13" t="n">
        <f aca="false">AD32+1</f>
        <v>24</v>
      </c>
      <c r="AE33" s="12"/>
      <c r="AF33" s="12"/>
      <c r="AH33" s="7"/>
    </row>
    <row r="34" customFormat="false" ht="11.1" hidden="false" customHeight="true" outlineLevel="0" collapsed="false">
      <c r="A34" s="13" t="n">
        <f aca="false">A33+1</f>
        <v>25</v>
      </c>
      <c r="B34" s="31" t="n">
        <v>6891.41</v>
      </c>
      <c r="C34" s="8" t="n">
        <v>252977</v>
      </c>
      <c r="D34" s="12" t="n">
        <f aca="false">C34-C33</f>
        <v>1339</v>
      </c>
      <c r="E34" s="8" t="n">
        <f aca="false">C34-152000</f>
        <v>100977</v>
      </c>
      <c r="F34" s="7" t="n">
        <f aca="false">D34/$D$2</f>
        <v>675.069321905722</v>
      </c>
      <c r="G34" s="7" t="n">
        <v>677</v>
      </c>
      <c r="H34" s="44" t="n">
        <v>61</v>
      </c>
      <c r="I34" s="7" t="n">
        <f aca="false">G34+H34</f>
        <v>738</v>
      </c>
      <c r="J34" s="112" t="n">
        <f aca="false">IF(L34&gt;0,L34,0)</f>
        <v>122.819321905722</v>
      </c>
      <c r="K34" s="7" t="n">
        <f aca="false">I34+J34</f>
        <v>860.819321905722</v>
      </c>
      <c r="L34" s="7" t="n">
        <f aca="false">F34-(I34-X34)</f>
        <v>122.819321905722</v>
      </c>
      <c r="M34" s="7" t="n">
        <v>144</v>
      </c>
      <c r="N34" s="7" t="n">
        <v>0</v>
      </c>
      <c r="O34" s="7" t="n">
        <f aca="false">63.97*1.05</f>
        <v>67.1685</v>
      </c>
      <c r="P34" s="7" t="n">
        <f aca="false">M34-(N34+O34)</f>
        <v>76.8315</v>
      </c>
      <c r="Q34" s="7" t="n">
        <v>0</v>
      </c>
      <c r="R34" s="7" t="n">
        <v>0</v>
      </c>
      <c r="S34" s="7" t="n">
        <f aca="false">SUM(P34:R34)</f>
        <v>76.8315</v>
      </c>
      <c r="T34" s="7"/>
      <c r="U34" s="7" t="n">
        <v>6.75</v>
      </c>
      <c r="V34" s="7" t="n">
        <v>35</v>
      </c>
      <c r="W34" s="8" t="n">
        <f aca="false">W33-V34</f>
        <v>15929</v>
      </c>
      <c r="X34" s="7" t="n">
        <f aca="false">N34+O34+S34+U34+V34</f>
        <v>185.75</v>
      </c>
      <c r="Y34" s="7" t="n">
        <f aca="false">IF(L34&lt;0,L34*-1,0)</f>
        <v>0</v>
      </c>
      <c r="Z34" s="7" t="n">
        <f aca="false">X34+Y34</f>
        <v>185.75</v>
      </c>
      <c r="AA34" s="11" t="n">
        <v>0</v>
      </c>
      <c r="AB34" s="12" t="n">
        <v>70</v>
      </c>
      <c r="AC34" s="41" t="n">
        <v>37</v>
      </c>
      <c r="AD34" s="13" t="n">
        <f aca="false">AD33+1</f>
        <v>25</v>
      </c>
      <c r="AE34" s="12"/>
      <c r="AF34" s="12"/>
      <c r="AH34" s="7"/>
    </row>
    <row r="35" customFormat="false" ht="11.1" hidden="false" customHeight="true" outlineLevel="0" collapsed="false">
      <c r="A35" s="13" t="n">
        <f aca="false">A34+1</f>
        <v>26</v>
      </c>
      <c r="B35" s="31" t="n">
        <v>6891.99</v>
      </c>
      <c r="C35" s="8" t="n">
        <v>254968</v>
      </c>
      <c r="D35" s="12" t="n">
        <f aca="false">C35-C34</f>
        <v>1991</v>
      </c>
      <c r="E35" s="8" t="n">
        <f aca="false">C35-152000</f>
        <v>102968</v>
      </c>
      <c r="F35" s="7" t="n">
        <f aca="false">D35/$D$2</f>
        <v>1003.78119485758</v>
      </c>
      <c r="G35" s="7" t="n">
        <v>943</v>
      </c>
      <c r="H35" s="44" t="n">
        <v>110</v>
      </c>
      <c r="I35" s="7" t="n">
        <f aca="false">G35+H35</f>
        <v>1053</v>
      </c>
      <c r="J35" s="112" t="n">
        <f aca="false">IF(L35&gt;0,L35,0)</f>
        <v>171.411194857575</v>
      </c>
      <c r="K35" s="7" t="n">
        <f aca="false">I35+J35</f>
        <v>1224.41119485758</v>
      </c>
      <c r="L35" s="7" t="n">
        <f aca="false">F35-(I35-X35)</f>
        <v>171.411194857575</v>
      </c>
      <c r="M35" s="7" t="n">
        <v>145</v>
      </c>
      <c r="N35" s="7" t="n">
        <v>0</v>
      </c>
      <c r="O35" s="7" t="n">
        <f aca="false">61.54*1.05</f>
        <v>64.617</v>
      </c>
      <c r="P35" s="7" t="n">
        <f aca="false">M35-(N35+O35)</f>
        <v>80.383</v>
      </c>
      <c r="Q35" s="7" t="n">
        <v>0</v>
      </c>
      <c r="R35" s="7" t="n">
        <v>11</v>
      </c>
      <c r="S35" s="7" t="n">
        <f aca="false">SUM(P35:R35)</f>
        <v>91.383</v>
      </c>
      <c r="T35" s="7"/>
      <c r="U35" s="7" t="n">
        <v>29.63</v>
      </c>
      <c r="V35" s="7" t="n">
        <v>35</v>
      </c>
      <c r="W35" s="8" t="n">
        <f aca="false">W34-V35</f>
        <v>15894</v>
      </c>
      <c r="X35" s="7" t="n">
        <f aca="false">N35+O35+S35+U35+V35</f>
        <v>220.63</v>
      </c>
      <c r="Y35" s="7" t="n">
        <f aca="false">IF(L35&lt;0,L35*-1,0)</f>
        <v>0</v>
      </c>
      <c r="Z35" s="7" t="n">
        <f aca="false">X35+Y35</f>
        <v>220.63</v>
      </c>
      <c r="AA35" s="11" t="n">
        <v>0</v>
      </c>
      <c r="AB35" s="12" t="n">
        <v>74</v>
      </c>
      <c r="AC35" s="12" t="n">
        <v>38</v>
      </c>
      <c r="AD35" s="13" t="n">
        <f aca="false">AD34+1</f>
        <v>26</v>
      </c>
      <c r="AE35" s="12"/>
      <c r="AF35" s="12"/>
      <c r="AH35" s="3"/>
    </row>
    <row r="36" customFormat="false" ht="11.1" hidden="false" customHeight="true" outlineLevel="0" collapsed="false">
      <c r="A36" s="13" t="n">
        <f aca="false">A35+1</f>
        <v>27</v>
      </c>
      <c r="B36" s="31" t="n">
        <v>6892.65</v>
      </c>
      <c r="C36" s="8" t="n">
        <v>257256</v>
      </c>
      <c r="D36" s="12" t="n">
        <f aca="false">C36-C35</f>
        <v>2288</v>
      </c>
      <c r="E36" s="8" t="n">
        <f aca="false">C36-152000</f>
        <v>105256</v>
      </c>
      <c r="F36" s="7" t="n">
        <f aca="false">D36/$D$2</f>
        <v>1153.51651121754</v>
      </c>
      <c r="G36" s="7" t="n">
        <v>1120</v>
      </c>
      <c r="H36" s="44" t="n">
        <v>112</v>
      </c>
      <c r="I36" s="7" t="n">
        <f aca="false">G36+H36</f>
        <v>1232</v>
      </c>
      <c r="J36" s="112" t="n">
        <f aca="false">IF(L36&gt;0,L36,0)</f>
        <v>128.576511217545</v>
      </c>
      <c r="K36" s="7" t="n">
        <f aca="false">I36+J36</f>
        <v>1360.57651121754</v>
      </c>
      <c r="L36" s="7" t="n">
        <f aca="false">F36-(I36-X36)</f>
        <v>128.576511217545</v>
      </c>
      <c r="M36" s="7" t="n">
        <v>153</v>
      </c>
      <c r="N36" s="7" t="n">
        <v>0</v>
      </c>
      <c r="O36" s="7" t="n">
        <f aca="false">58.57*1.05</f>
        <v>61.4985</v>
      </c>
      <c r="P36" s="7" t="n">
        <f aca="false">M36-(N36+O36)</f>
        <v>91.5015</v>
      </c>
      <c r="Q36" s="7" t="n">
        <v>0</v>
      </c>
      <c r="R36" s="7" t="n">
        <v>14</v>
      </c>
      <c r="S36" s="7" t="n">
        <f aca="false">SUM(P36:R36)</f>
        <v>105.5015</v>
      </c>
      <c r="T36" s="8"/>
      <c r="U36" s="7" t="n">
        <v>5.06</v>
      </c>
      <c r="V36" s="7" t="n">
        <v>35</v>
      </c>
      <c r="W36" s="8" t="n">
        <f aca="false">W35-V36</f>
        <v>15859</v>
      </c>
      <c r="X36" s="7" t="n">
        <f aca="false">N36+O36+S36+U36+V36</f>
        <v>207.06</v>
      </c>
      <c r="Y36" s="7" t="n">
        <f aca="false">IF(L36&lt;0,L36*-1,0)</f>
        <v>0</v>
      </c>
      <c r="Z36" s="7" t="n">
        <f aca="false">X36+Y36</f>
        <v>207.06</v>
      </c>
      <c r="AA36" s="11" t="n">
        <v>0.04</v>
      </c>
      <c r="AB36" s="12" t="n">
        <v>75</v>
      </c>
      <c r="AC36" s="12" t="n">
        <v>40</v>
      </c>
      <c r="AD36" s="13" t="n">
        <f aca="false">AD35+1</f>
        <v>27</v>
      </c>
      <c r="AE36" s="12"/>
      <c r="AF36" s="12"/>
      <c r="AH36" s="7"/>
    </row>
    <row r="37" customFormat="false" ht="11.1" hidden="false" customHeight="true" outlineLevel="0" collapsed="false">
      <c r="A37" s="13" t="n">
        <f aca="false">A36+1</f>
        <v>28</v>
      </c>
      <c r="B37" s="31" t="n">
        <v>6893.42</v>
      </c>
      <c r="C37" s="8" t="n">
        <v>259938</v>
      </c>
      <c r="D37" s="12" t="n">
        <f aca="false">C37-C36</f>
        <v>2682</v>
      </c>
      <c r="E37" s="8" t="n">
        <f aca="false">C37-152000</f>
        <v>107938</v>
      </c>
      <c r="F37" s="7" t="n">
        <f aca="false">D37/$D$2</f>
        <v>1352.15528106882</v>
      </c>
      <c r="G37" s="7" t="n">
        <v>1300</v>
      </c>
      <c r="H37" s="44" t="n">
        <v>122</v>
      </c>
      <c r="I37" s="7" t="n">
        <f aca="false">G37+H37</f>
        <v>1422</v>
      </c>
      <c r="J37" s="112" t="n">
        <f aca="false">IF(L37&gt;0,L37,0)</f>
        <v>177.645281068818</v>
      </c>
      <c r="K37" s="7" t="n">
        <f aca="false">I37+J37</f>
        <v>1599.64528106882</v>
      </c>
      <c r="L37" s="7" t="n">
        <f aca="false">F37-(I37-X37)</f>
        <v>177.645281068818</v>
      </c>
      <c r="M37" s="7" t="n">
        <v>189</v>
      </c>
      <c r="N37" s="7" t="n">
        <v>0</v>
      </c>
      <c r="O37" s="7" t="n">
        <f aca="false">64.89*1.05</f>
        <v>68.1345</v>
      </c>
      <c r="P37" s="7" t="n">
        <f aca="false">M37-(N37+O37)</f>
        <v>120.8655</v>
      </c>
      <c r="Q37" s="7" t="n">
        <v>0</v>
      </c>
      <c r="R37" s="7" t="n">
        <v>14</v>
      </c>
      <c r="S37" s="7" t="n">
        <f aca="false">SUM(P37:R37)</f>
        <v>134.8655</v>
      </c>
      <c r="T37" s="8"/>
      <c r="U37" s="7" t="n">
        <v>9.49</v>
      </c>
      <c r="V37" s="7" t="n">
        <v>35</v>
      </c>
      <c r="W37" s="8" t="n">
        <f aca="false">W36-V37</f>
        <v>15824</v>
      </c>
      <c r="X37" s="7" t="n">
        <f aca="false">N37+O37+S37+U37+V37</f>
        <v>247.49</v>
      </c>
      <c r="Y37" s="7" t="n">
        <f aca="false">IF(L37&lt;0,L37*-1,0)</f>
        <v>0</v>
      </c>
      <c r="Z37" s="7" t="n">
        <f aca="false">X37+Y37</f>
        <v>247.49</v>
      </c>
      <c r="AA37" s="11" t="n">
        <v>0</v>
      </c>
      <c r="AB37" s="12" t="n">
        <v>77</v>
      </c>
      <c r="AC37" s="12" t="n">
        <v>43</v>
      </c>
      <c r="AD37" s="13" t="n">
        <f aca="false">AD36+1</f>
        <v>28</v>
      </c>
      <c r="AE37" s="12"/>
      <c r="AF37" s="12"/>
      <c r="AH37" s="7"/>
    </row>
    <row r="38" customFormat="false" ht="11.1" hidden="false" customHeight="true" outlineLevel="0" collapsed="false">
      <c r="A38" s="13" t="n">
        <f aca="false">A37+1</f>
        <v>29</v>
      </c>
      <c r="B38" s="31" t="n">
        <v>6894.28</v>
      </c>
      <c r="C38" s="8" t="n">
        <v>262955</v>
      </c>
      <c r="D38" s="12" t="n">
        <f aca="false">C38-C37</f>
        <v>3017</v>
      </c>
      <c r="E38" s="8" t="n">
        <f aca="false">C38-152000</f>
        <v>110955</v>
      </c>
      <c r="F38" s="7" t="n">
        <f aca="false">D38/$D$2</f>
        <v>1521.04865137383</v>
      </c>
      <c r="G38" s="7" t="n">
        <v>1410</v>
      </c>
      <c r="H38" s="44" t="n">
        <v>151</v>
      </c>
      <c r="I38" s="7" t="n">
        <f aca="false">G38+H38</f>
        <v>1561</v>
      </c>
      <c r="J38" s="112" t="n">
        <f aca="false">IF(L38&gt;0,L38,0)</f>
        <v>239.798651373834</v>
      </c>
      <c r="K38" s="7" t="n">
        <f aca="false">I38+J38</f>
        <v>1800.79865137383</v>
      </c>
      <c r="L38" s="7" t="n">
        <f aca="false">F38-(I38-X38)</f>
        <v>239.798651373834</v>
      </c>
      <c r="M38" s="7" t="n">
        <v>203</v>
      </c>
      <c r="N38" s="7" t="n">
        <v>0</v>
      </c>
      <c r="O38" s="7" t="n">
        <f aca="false">60.51*1.05</f>
        <v>63.5355</v>
      </c>
      <c r="P38" s="7" t="n">
        <f aca="false">M38-(N38+O38)</f>
        <v>139.4645</v>
      </c>
      <c r="Q38" s="7" t="n">
        <v>0</v>
      </c>
      <c r="R38" s="7" t="n">
        <v>15</v>
      </c>
      <c r="S38" s="7" t="n">
        <f aca="false">SUM(P38:R38)</f>
        <v>154.4645</v>
      </c>
      <c r="T38" s="8"/>
      <c r="U38" s="7" t="n">
        <v>26.75</v>
      </c>
      <c r="V38" s="7" t="n">
        <v>35</v>
      </c>
      <c r="W38" s="8" t="n">
        <f aca="false">W37-V38</f>
        <v>15789</v>
      </c>
      <c r="X38" s="7" t="n">
        <f aca="false">N38+O38+S38+U38+V38</f>
        <v>279.75</v>
      </c>
      <c r="Y38" s="7" t="n">
        <f aca="false">IF(L38&lt;0,L38*-1,0)</f>
        <v>0</v>
      </c>
      <c r="Z38" s="7" t="n">
        <f aca="false">X38+Y38</f>
        <v>279.75</v>
      </c>
      <c r="AA38" s="11" t="n">
        <v>0</v>
      </c>
      <c r="AB38" s="41" t="n">
        <v>79</v>
      </c>
      <c r="AC38" s="12" t="n">
        <v>42</v>
      </c>
      <c r="AD38" s="13" t="n">
        <f aca="false">AD37+1</f>
        <v>29</v>
      </c>
      <c r="AE38" s="12"/>
      <c r="AF38" s="12"/>
      <c r="AH38" s="7"/>
    </row>
    <row r="39" customFormat="false" ht="11.1" hidden="false" customHeight="true" outlineLevel="0" collapsed="false">
      <c r="A39" s="13" t="n">
        <v>30</v>
      </c>
      <c r="B39" s="31" t="n">
        <v>6895.12</v>
      </c>
      <c r="C39" s="8" t="n">
        <v>265923</v>
      </c>
      <c r="D39" s="12" t="n">
        <f aca="false">C39-C38</f>
        <v>2968</v>
      </c>
      <c r="E39" s="8" t="n">
        <f aca="false">C39-152000</f>
        <v>113923</v>
      </c>
      <c r="F39" s="7" t="n">
        <f aca="false">D39/$D$2</f>
        <v>1496.34484497101</v>
      </c>
      <c r="G39" s="7" t="n">
        <v>1550</v>
      </c>
      <c r="H39" s="44" t="n">
        <v>149</v>
      </c>
      <c r="I39" s="7" t="n">
        <f aca="false">G39+H39</f>
        <v>1699</v>
      </c>
      <c r="J39" s="112" t="n">
        <f aca="false">IF(L39&gt;0,L39,0)</f>
        <v>123.454844971011</v>
      </c>
      <c r="K39" s="7" t="n">
        <f aca="false">I39+J39</f>
        <v>1822.45484497101</v>
      </c>
      <c r="L39" s="7" t="n">
        <f aca="false">F39-(I39-X39)</f>
        <v>123.454844971011</v>
      </c>
      <c r="M39" s="7" t="n">
        <v>234</v>
      </c>
      <c r="N39" s="7" t="n">
        <v>0</v>
      </c>
      <c r="O39" s="7" t="n">
        <f aca="false">71.19*1.05</f>
        <v>74.7495</v>
      </c>
      <c r="P39" s="7" t="n">
        <f aca="false">M39-(N39+O39)</f>
        <v>159.2505</v>
      </c>
      <c r="Q39" s="7" t="n">
        <v>17</v>
      </c>
      <c r="R39" s="7" t="n">
        <v>25</v>
      </c>
      <c r="S39" s="7" t="n">
        <f aca="false">SUM(P39:R39)</f>
        <v>201.2505</v>
      </c>
      <c r="T39" s="8"/>
      <c r="U39" s="7" t="n">
        <v>15.11</v>
      </c>
      <c r="V39" s="7" t="n">
        <v>35</v>
      </c>
      <c r="W39" s="8" t="n">
        <f aca="false">W38-V39</f>
        <v>15754</v>
      </c>
      <c r="X39" s="7" t="n">
        <f aca="false">N39+O39+S39+U39+V39</f>
        <v>326.11</v>
      </c>
      <c r="Y39" s="7" t="n">
        <f aca="false">IF(L39&lt;0,L39*-1,0)</f>
        <v>0</v>
      </c>
      <c r="Z39" s="7" t="n">
        <f aca="false">X39+Y39</f>
        <v>326.11</v>
      </c>
      <c r="AA39" s="11" t="n">
        <v>0</v>
      </c>
      <c r="AB39" s="41" t="n">
        <v>79</v>
      </c>
      <c r="AC39" s="12" t="n">
        <v>41</v>
      </c>
      <c r="AD39" s="13" t="n">
        <v>30</v>
      </c>
      <c r="AE39" s="12"/>
      <c r="AF39" s="12"/>
      <c r="AH39" s="7"/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111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2"/>
      <c r="X40" s="32"/>
      <c r="Y40" s="32"/>
      <c r="Z40" s="32"/>
      <c r="AA40" s="36"/>
      <c r="AB40" s="37"/>
      <c r="AC40" s="37"/>
      <c r="AD40" s="38"/>
      <c r="AE40" s="106"/>
      <c r="AF40" s="106"/>
    </row>
    <row r="41" customFormat="false" ht="11.1" hidden="false" customHeight="true" outlineLevel="0" collapsed="false">
      <c r="A41" s="7" t="s">
        <v>46</v>
      </c>
      <c r="B41" s="7"/>
      <c r="C41" s="8"/>
      <c r="D41" s="8"/>
      <c r="E41" s="8"/>
      <c r="F41" s="8" t="n">
        <f aca="false">SUM(F10:F39)</f>
        <v>19546.7607764053</v>
      </c>
      <c r="G41" s="8" t="n">
        <f aca="false">SUM(G10:G39)</f>
        <v>16369</v>
      </c>
      <c r="H41" s="8" t="n">
        <f aca="false">SUM(H10:H39)</f>
        <v>1701.8</v>
      </c>
      <c r="I41" s="8" t="n">
        <f aca="false">SUM(I10:I39)</f>
        <v>18070.8</v>
      </c>
      <c r="J41" s="8" t="n">
        <f aca="false">SUM(J10:J39)</f>
        <v>5641.06077640534</v>
      </c>
      <c r="K41" s="8" t="n">
        <f aca="false">SUM(K10:K39)</f>
        <v>23711.8607764053</v>
      </c>
      <c r="L41" s="8" t="n">
        <f aca="false">SUM(L10:L39)</f>
        <v>5641.06077640534</v>
      </c>
      <c r="M41" s="8" t="n">
        <f aca="false">SUM(M10:M39)</f>
        <v>2732</v>
      </c>
      <c r="N41" s="8" t="n">
        <f aca="false">SUM(N10:N39)</f>
        <v>25</v>
      </c>
      <c r="O41" s="8" t="n">
        <f aca="false">SUM(O10:O39)</f>
        <v>1658.979</v>
      </c>
      <c r="P41" s="8" t="n">
        <f aca="false">SUM(P10:P39)</f>
        <v>1048.021</v>
      </c>
      <c r="Q41" s="8" t="n">
        <f aca="false">SUM(Q10:Q39)</f>
        <v>17</v>
      </c>
      <c r="R41" s="8" t="n">
        <f aca="false">SUM(R10:R39)</f>
        <v>79</v>
      </c>
      <c r="S41" s="8" t="n">
        <f aca="false">SUM(S10:S39)</f>
        <v>1144.021</v>
      </c>
      <c r="T41" s="8"/>
      <c r="U41" s="8" t="n">
        <f aca="false">SUM(U10:U39)</f>
        <v>277.1</v>
      </c>
      <c r="V41" s="8" t="n">
        <f aca="false">SUM(V10:V39)</f>
        <v>1060</v>
      </c>
      <c r="W41" s="8"/>
      <c r="X41" s="8" t="n">
        <f aca="false">SUM(X10:X39)</f>
        <v>4165.1</v>
      </c>
      <c r="Y41" s="8" t="n">
        <f aca="false">SUM(Y10:Y39)</f>
        <v>0</v>
      </c>
      <c r="Z41" s="8" t="n">
        <f aca="false">SUM(Z10:Z39)</f>
        <v>4165.1</v>
      </c>
      <c r="AA41" s="11" t="n">
        <f aca="false">SUM(AA10:AA39)</f>
        <v>0.72</v>
      </c>
      <c r="AB41" s="12" t="n">
        <f aca="false">AVERAGE(AB10:AB39)</f>
        <v>61.1333333333333</v>
      </c>
      <c r="AC41" s="12" t="n">
        <f aca="false">AVERAGE(AC10:AC39)</f>
        <v>34.5666666666667</v>
      </c>
      <c r="AD41" s="13" t="s">
        <v>47</v>
      </c>
      <c r="AE41" s="106"/>
      <c r="AF41" s="106"/>
    </row>
    <row r="42" customFormat="false" ht="11.1" hidden="false" customHeight="true" outlineLevel="0" collapsed="false">
      <c r="A42" s="7" t="s">
        <v>48</v>
      </c>
      <c r="B42" s="7"/>
      <c r="C42" s="8"/>
      <c r="D42" s="8" t="n">
        <f aca="false">SUM(D10:D39)</f>
        <v>38771</v>
      </c>
      <c r="E42" s="8"/>
      <c r="F42" s="8" t="n">
        <f aca="false">F41*$D$2</f>
        <v>38771</v>
      </c>
      <c r="G42" s="8" t="n">
        <f aca="false">G41*$D$2</f>
        <v>32467.9115</v>
      </c>
      <c r="H42" s="8" t="n">
        <f aca="false">H41*$D$2</f>
        <v>3375.5203</v>
      </c>
      <c r="I42" s="8" t="n">
        <f aca="false">I41*$D$2</f>
        <v>35843.4318</v>
      </c>
      <c r="J42" s="8" t="n">
        <f aca="false">J41*$D$2</f>
        <v>11189.04405</v>
      </c>
      <c r="K42" s="8" t="n">
        <f aca="false">K41*$D$2</f>
        <v>47032.47585</v>
      </c>
      <c r="L42" s="8" t="n">
        <f aca="false">L41*$D$2</f>
        <v>11189.04405</v>
      </c>
      <c r="M42" s="8" t="n">
        <f aca="false">M41*$D$2</f>
        <v>5418.922</v>
      </c>
      <c r="N42" s="8" t="n">
        <f aca="false">N41*$D$2</f>
        <v>49.5875</v>
      </c>
      <c r="O42" s="8" t="n">
        <f aca="false">O41*$D$2</f>
        <v>3290.5848465</v>
      </c>
      <c r="P42" s="8" t="n">
        <f aca="false">P41*$D$2</f>
        <v>2078.7496535</v>
      </c>
      <c r="Q42" s="8" t="n">
        <f aca="false">Q41*$D$2</f>
        <v>33.7195</v>
      </c>
      <c r="R42" s="8" t="n">
        <f aca="false">R41*$D$2</f>
        <v>156.6965</v>
      </c>
      <c r="S42" s="8" t="n">
        <f aca="false">S41*$D$2</f>
        <v>2269.1656535</v>
      </c>
      <c r="T42" s="8"/>
      <c r="U42" s="8" t="n">
        <f aca="false">U41*$D$2</f>
        <v>549.62785</v>
      </c>
      <c r="V42" s="8" t="n">
        <f aca="false">V41*$D$2</f>
        <v>2102.51</v>
      </c>
      <c r="W42" s="8"/>
      <c r="X42" s="8" t="n">
        <f aca="false">X41*$D$2</f>
        <v>8261.47585</v>
      </c>
      <c r="Y42" s="8" t="n">
        <f aca="false">Y41*$D$2</f>
        <v>0</v>
      </c>
      <c r="Z42" s="8" t="n">
        <f aca="false">Z41*$D$2</f>
        <v>8261.47585</v>
      </c>
      <c r="AA42" s="11"/>
      <c r="AB42" s="12" t="n">
        <f aca="false">MAX(AB10:AB39)</f>
        <v>79</v>
      </c>
      <c r="AC42" s="12" t="n">
        <f aca="false">MAX(AC10:AC39)</f>
        <v>45</v>
      </c>
      <c r="AD42" s="13" t="s">
        <v>49</v>
      </c>
      <c r="AE42" s="106"/>
      <c r="AF42" s="106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  <c r="AE43" s="106"/>
      <c r="AF43" s="106"/>
    </row>
    <row r="44" customFormat="false" ht="11.1" hidden="false" customHeight="true" outlineLevel="0" collapsed="false">
      <c r="A44" s="7" t="s">
        <v>50</v>
      </c>
      <c r="B44" s="7"/>
      <c r="C44" s="8"/>
      <c r="D44" s="8"/>
      <c r="E44" s="8"/>
      <c r="F44" s="8" t="n">
        <f aca="false">F7+F41</f>
        <v>19546.7607764053</v>
      </c>
      <c r="G44" s="8" t="n">
        <f aca="false">G7+G41</f>
        <v>16369</v>
      </c>
      <c r="H44" s="12" t="n">
        <f aca="false">H7+H41</f>
        <v>1701.8</v>
      </c>
      <c r="I44" s="8" t="n">
        <f aca="false">I7+I41</f>
        <v>18070.8</v>
      </c>
      <c r="J44" s="8" t="n">
        <f aca="false">J7+J41</f>
        <v>5641.06077640534</v>
      </c>
      <c r="K44" s="8" t="n">
        <f aca="false">K7+K41</f>
        <v>23711.8607764053</v>
      </c>
      <c r="L44" s="8" t="n">
        <f aca="false">L7+L41</f>
        <v>5641.06077640534</v>
      </c>
      <c r="M44" s="8" t="n">
        <f aca="false">M7+M41</f>
        <v>2732</v>
      </c>
      <c r="N44" s="8" t="n">
        <f aca="false">N7+N41</f>
        <v>25</v>
      </c>
      <c r="O44" s="8" t="n">
        <f aca="false">O7+O41</f>
        <v>1658.979</v>
      </c>
      <c r="P44" s="8" t="n">
        <f aca="false">P7+P41</f>
        <v>1048.021</v>
      </c>
      <c r="Q44" s="8" t="n">
        <f aca="false">Q7+Q41</f>
        <v>17</v>
      </c>
      <c r="R44" s="8" t="n">
        <f aca="false">R7+R41</f>
        <v>79</v>
      </c>
      <c r="S44" s="8" t="n">
        <f aca="false">S7+S41</f>
        <v>1144.021</v>
      </c>
      <c r="T44" s="8" t="n">
        <f aca="false">T39</f>
        <v>0</v>
      </c>
      <c r="U44" s="8" t="n">
        <f aca="false">U7+U41</f>
        <v>277.1</v>
      </c>
      <c r="V44" s="8" t="n">
        <f aca="false">V7+V41</f>
        <v>1060</v>
      </c>
      <c r="W44" s="8"/>
      <c r="X44" s="8" t="n">
        <f aca="false">X7+X41</f>
        <v>4165.1</v>
      </c>
      <c r="Y44" s="8" t="n">
        <f aca="false">Y7+Y41</f>
        <v>0</v>
      </c>
      <c r="Z44" s="8" t="n">
        <f aca="false">Z7+Z41</f>
        <v>4165.1</v>
      </c>
      <c r="AA44" s="11"/>
      <c r="AB44" s="12" t="n">
        <f aca="false">MIN(AB10:AB39)</f>
        <v>40</v>
      </c>
      <c r="AC44" s="12" t="n">
        <f aca="false">MIN(AC10:AC39)</f>
        <v>24</v>
      </c>
      <c r="AD44" s="13" t="s">
        <v>51</v>
      </c>
      <c r="AE44" s="106"/>
      <c r="AF44" s="106"/>
    </row>
    <row r="45" customFormat="false" ht="11.1" hidden="false" customHeight="true" outlineLevel="0" collapsed="false">
      <c r="A45" s="7" t="s">
        <v>52</v>
      </c>
      <c r="B45" s="7"/>
      <c r="C45" s="8"/>
      <c r="D45" s="8"/>
      <c r="E45" s="8"/>
      <c r="F45" s="8" t="n">
        <f aca="false">F44*$D$2</f>
        <v>38771</v>
      </c>
      <c r="G45" s="8" t="n">
        <f aca="false">G44*$D$2</f>
        <v>32467.9115</v>
      </c>
      <c r="H45" s="12" t="n">
        <f aca="false">H44*$D$2</f>
        <v>3375.5203</v>
      </c>
      <c r="I45" s="8" t="n">
        <f aca="false">I44*$D$2</f>
        <v>35843.4318</v>
      </c>
      <c r="J45" s="8" t="n">
        <f aca="false">J44*$D$2</f>
        <v>11189.04405</v>
      </c>
      <c r="K45" s="8" t="n">
        <f aca="false">K44*$D$2</f>
        <v>47032.47585</v>
      </c>
      <c r="L45" s="8" t="n">
        <f aca="false">L44*$D$2</f>
        <v>11189.04405</v>
      </c>
      <c r="M45" s="8" t="n">
        <f aca="false">M44*$D$2</f>
        <v>5418.922</v>
      </c>
      <c r="N45" s="8" t="n">
        <f aca="false">N44*$D$2</f>
        <v>49.5875</v>
      </c>
      <c r="O45" s="8" t="n">
        <f aca="false">O44*$D$2</f>
        <v>3290.5848465</v>
      </c>
      <c r="P45" s="8" t="n">
        <f aca="false">P44*$D$2</f>
        <v>2078.7496535</v>
      </c>
      <c r="Q45" s="8" t="n">
        <f aca="false">Q44*$D$2</f>
        <v>33.7195</v>
      </c>
      <c r="R45" s="8" t="n">
        <f aca="false">R44*$D$2</f>
        <v>156.6965</v>
      </c>
      <c r="S45" s="8" t="n">
        <f aca="false">S44*$D$2</f>
        <v>2269.1656535</v>
      </c>
      <c r="T45" s="8" t="n">
        <f aca="false">T44*$D$2</f>
        <v>0</v>
      </c>
      <c r="U45" s="8" t="n">
        <f aca="false">U44*$D$2</f>
        <v>549.62785</v>
      </c>
      <c r="V45" s="8" t="n">
        <f aca="false">V44*$D$2</f>
        <v>2102.51</v>
      </c>
      <c r="W45" s="8"/>
      <c r="X45" s="8" t="n">
        <f aca="false">X44*$D$2</f>
        <v>8261.47585</v>
      </c>
      <c r="Y45" s="8" t="n">
        <f aca="false">Y44*$D$2</f>
        <v>0</v>
      </c>
      <c r="Z45" s="8" t="n">
        <f aca="false">Z44*$D$2</f>
        <v>8261.47585</v>
      </c>
      <c r="AA45" s="11"/>
      <c r="AB45" s="12"/>
      <c r="AC45" s="12"/>
      <c r="AD45" s="13"/>
      <c r="AE45" s="106"/>
      <c r="AF45" s="106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  <c r="AE46" s="106"/>
      <c r="AF46" s="106"/>
    </row>
    <row r="47" customFormat="false" ht="11.1" hidden="false" customHeight="true" outlineLevel="0" collapsed="false">
      <c r="A47" s="7" t="s">
        <v>53</v>
      </c>
      <c r="B47" s="7"/>
      <c r="C47" s="8"/>
      <c r="D47" s="8"/>
      <c r="E47" s="8"/>
      <c r="F47" s="8" t="n">
        <f aca="false">F8+F41</f>
        <v>24430.5520544492</v>
      </c>
      <c r="G47" s="8" t="n">
        <f aca="false">G8+G41</f>
        <v>25326</v>
      </c>
      <c r="H47" s="12" t="n">
        <f aca="false">H8+H41</f>
        <v>2080.7</v>
      </c>
      <c r="I47" s="8" t="n">
        <f aca="false">I8+I41</f>
        <v>27406.7</v>
      </c>
      <c r="J47" s="8" t="n">
        <f aca="false">J8+J41</f>
        <v>8608.98903957651</v>
      </c>
      <c r="K47" s="8" t="n">
        <f aca="false">K8+K41</f>
        <v>36015.6890395765</v>
      </c>
      <c r="L47" s="8" t="n">
        <f aca="false">L8+L41</f>
        <v>8356.55205444921</v>
      </c>
      <c r="M47" s="8" t="n">
        <f aca="false">M8+M41</f>
        <v>3670.6</v>
      </c>
      <c r="N47" s="8" t="n">
        <f aca="false">N8+N41</f>
        <v>51.68</v>
      </c>
      <c r="O47" s="8" t="n">
        <f aca="false">O8+O41</f>
        <v>1738.8625</v>
      </c>
      <c r="P47" s="8" t="n">
        <f aca="false">P8+P41</f>
        <v>1880.0575</v>
      </c>
      <c r="Q47" s="8" t="n">
        <f aca="false">Q8+Q41</f>
        <v>17</v>
      </c>
      <c r="R47" s="8" t="n">
        <f aca="false">R8+R41</f>
        <v>79</v>
      </c>
      <c r="S47" s="8" t="n">
        <f aca="false">S8+S41</f>
        <v>1976.0575</v>
      </c>
      <c r="T47" s="8"/>
      <c r="U47" s="8" t="n">
        <f aca="false">U8+U41</f>
        <v>277.1</v>
      </c>
      <c r="V47" s="8" t="n">
        <f aca="false">V8+V41</f>
        <v>7289</v>
      </c>
      <c r="W47" s="8" t="n">
        <f aca="false">W39</f>
        <v>15754</v>
      </c>
      <c r="X47" s="8" t="n">
        <f aca="false">X8+X41</f>
        <v>11332.7</v>
      </c>
      <c r="Y47" s="8" t="n">
        <f aca="false">Y8+Y41</f>
        <v>252.4369851273</v>
      </c>
      <c r="Z47" s="8" t="n">
        <f aca="false">Z8+Z41</f>
        <v>11585.1369851273</v>
      </c>
      <c r="AA47" s="11" t="n">
        <f aca="false">AA8+AA41</f>
        <v>5.84</v>
      </c>
      <c r="AB47" s="12"/>
      <c r="AC47" s="12"/>
      <c r="AD47" s="13"/>
      <c r="AE47" s="106"/>
      <c r="AF47" s="106"/>
    </row>
    <row r="48" customFormat="false" ht="11.1" hidden="false" customHeight="true" outlineLevel="0" collapsed="false">
      <c r="A48" s="7" t="s">
        <v>54</v>
      </c>
      <c r="B48" s="7"/>
      <c r="C48" s="8"/>
      <c r="D48" s="8" t="n">
        <f aca="false">D8+D42</f>
        <v>48458</v>
      </c>
      <c r="E48" s="8" t="n">
        <f aca="false">E39</f>
        <v>113923</v>
      </c>
      <c r="F48" s="8" t="n">
        <f aca="false">F47*$D$2</f>
        <v>48458</v>
      </c>
      <c r="G48" s="8" t="n">
        <f aca="false">G47*$D$2</f>
        <v>50234.121</v>
      </c>
      <c r="H48" s="12" t="n">
        <f aca="false">H47*$D$2</f>
        <v>4127.06845</v>
      </c>
      <c r="I48" s="8" t="n">
        <f aca="false">I47*$D$2</f>
        <v>54361.18945</v>
      </c>
      <c r="J48" s="8" t="n">
        <f aca="false">J47*$D$2</f>
        <v>17075.92976</v>
      </c>
      <c r="K48" s="8" t="n">
        <f aca="false">K47*$D$2</f>
        <v>71437.11921</v>
      </c>
      <c r="L48" s="8" t="n">
        <f aca="false">L47*$D$2</f>
        <v>16575.221</v>
      </c>
      <c r="M48" s="8" t="n">
        <f aca="false">M47*$D$2</f>
        <v>7280.6351</v>
      </c>
      <c r="N48" s="8" t="n">
        <f aca="false">N47*$D$2</f>
        <v>102.50728</v>
      </c>
      <c r="O48" s="8" t="n">
        <f aca="false">O47*$D$2</f>
        <v>3449.03376875</v>
      </c>
      <c r="P48" s="8" t="n">
        <f aca="false">P47*$D$2</f>
        <v>3729.09405125</v>
      </c>
      <c r="Q48" s="8" t="n">
        <f aca="false">Q47*$D$2</f>
        <v>33.7195</v>
      </c>
      <c r="R48" s="8" t="n">
        <f aca="false">R47*$D$2</f>
        <v>156.6965</v>
      </c>
      <c r="S48" s="8" t="n">
        <f aca="false">S47*$D$2</f>
        <v>3919.51005125</v>
      </c>
      <c r="T48" s="8" t="n">
        <f aca="false">T47*$D$2</f>
        <v>0</v>
      </c>
      <c r="U48" s="8" t="n">
        <f aca="false">U47*$D$2</f>
        <v>549.62785</v>
      </c>
      <c r="V48" s="8" t="n">
        <f aca="false">V47*$D$2</f>
        <v>14457.7315</v>
      </c>
      <c r="W48" s="8" t="n">
        <f aca="false">W47*$D$2</f>
        <v>31248.059</v>
      </c>
      <c r="X48" s="8" t="n">
        <f aca="false">X47*$D$2</f>
        <v>22478.41045</v>
      </c>
      <c r="Y48" s="8" t="n">
        <f aca="false">Y47*$D$2</f>
        <v>500.70876</v>
      </c>
      <c r="Z48" s="8" t="n">
        <f aca="false">Z47*$D$2</f>
        <v>22979.11921</v>
      </c>
      <c r="AA48" s="11"/>
      <c r="AB48" s="12"/>
      <c r="AC48" s="12"/>
      <c r="AD48" s="13"/>
      <c r="AE48" s="106"/>
      <c r="AF48" s="106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111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  <c r="AE49" s="106"/>
      <c r="AF49" s="106"/>
    </row>
    <row r="50" customFormat="false" ht="14.1" hidden="false" customHeight="true" outlineLevel="0" collapsed="false">
      <c r="A50" s="42"/>
      <c r="B50" s="43"/>
      <c r="C50" s="8"/>
      <c r="D50" s="7"/>
      <c r="E50" s="8"/>
      <c r="F50" s="7"/>
      <c r="G50" s="7"/>
      <c r="H50" s="4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8"/>
      <c r="U50" s="7"/>
      <c r="V50" s="7"/>
      <c r="W50" s="8"/>
      <c r="X50" s="7"/>
      <c r="Y50" s="7"/>
      <c r="Z50" s="0"/>
      <c r="AA50" s="11" t="n">
        <v>34790</v>
      </c>
      <c r="AB50" s="12" t="n">
        <v>56</v>
      </c>
      <c r="AC50" s="12" t="n">
        <v>32</v>
      </c>
      <c r="AD50" s="13" t="s">
        <v>47</v>
      </c>
      <c r="AE50" s="106"/>
      <c r="AF50" s="106"/>
    </row>
    <row r="51" customFormat="false" ht="11.1" hidden="false" customHeight="true" outlineLevel="0" collapsed="false">
      <c r="A51" s="7"/>
      <c r="B51" s="31"/>
      <c r="C51" s="8"/>
      <c r="D51" s="41"/>
      <c r="E51" s="8"/>
      <c r="F51" s="7"/>
      <c r="G51" s="7"/>
      <c r="H51" s="41"/>
      <c r="I51" s="44"/>
      <c r="J51" s="7"/>
      <c r="K51" s="45"/>
      <c r="L51" s="7"/>
      <c r="M51" s="7"/>
      <c r="N51" s="7"/>
      <c r="O51" s="7"/>
      <c r="P51" s="7"/>
      <c r="Q51" s="7"/>
      <c r="R51" s="7"/>
      <c r="S51" s="7"/>
      <c r="T51" s="8"/>
      <c r="U51" s="7"/>
      <c r="V51" s="7"/>
      <c r="W51" s="8"/>
      <c r="X51" s="7"/>
      <c r="Y51" s="7"/>
      <c r="Z51" s="7"/>
      <c r="AA51" s="11"/>
      <c r="AB51" s="12" t="n">
        <v>67</v>
      </c>
      <c r="AC51" s="12" t="n">
        <v>40</v>
      </c>
      <c r="AD51" s="13" t="s">
        <v>67</v>
      </c>
      <c r="AE51" s="106"/>
      <c r="AF51" s="106"/>
    </row>
    <row r="52" customFormat="false" ht="11.1" hidden="false" customHeight="true" outlineLevel="0" collapsed="false">
      <c r="B52" s="41"/>
      <c r="C52" s="8"/>
      <c r="D52" s="8"/>
      <c r="E52" s="8"/>
      <c r="F52" s="41"/>
      <c r="G52" s="41"/>
      <c r="H52" s="44"/>
      <c r="I52" s="41"/>
      <c r="J52" s="41"/>
      <c r="K52" s="41"/>
      <c r="L52" s="41"/>
      <c r="M52" s="39"/>
      <c r="N52" s="39"/>
      <c r="O52" s="39"/>
      <c r="P52" s="39"/>
      <c r="Q52" s="41"/>
      <c r="R52" s="41"/>
      <c r="S52" s="41"/>
      <c r="T52" s="8"/>
      <c r="U52" s="41"/>
      <c r="V52" s="41"/>
      <c r="W52" s="8"/>
      <c r="X52" s="41"/>
      <c r="Y52" s="41"/>
      <c r="Z52" s="41"/>
      <c r="AA52" s="11"/>
      <c r="AB52" s="12" t="n">
        <v>36</v>
      </c>
      <c r="AC52" s="12" t="n">
        <v>22</v>
      </c>
      <c r="AD52" s="13" t="s">
        <v>68</v>
      </c>
      <c r="AE52" s="113"/>
      <c r="AF52" s="113"/>
    </row>
    <row r="53" customFormat="false" ht="11.1" hidden="false" customHeight="true" outlineLevel="0" collapsed="false">
      <c r="A53" s="41"/>
      <c r="B53" s="9"/>
      <c r="C53" s="8"/>
      <c r="D53" s="8"/>
      <c r="E53" s="8"/>
      <c r="F53" s="41"/>
      <c r="G53" s="41"/>
      <c r="H53" s="44"/>
      <c r="I53" s="41"/>
      <c r="J53" s="41"/>
      <c r="K53" s="41"/>
      <c r="L53" s="41"/>
      <c r="M53" s="39"/>
      <c r="N53" s="39"/>
      <c r="O53" s="39"/>
      <c r="P53" s="39"/>
      <c r="Q53" s="41"/>
      <c r="R53" s="41"/>
      <c r="S53" s="41"/>
      <c r="T53" s="8"/>
      <c r="U53" s="41"/>
      <c r="V53" s="41"/>
      <c r="W53" s="8"/>
      <c r="X53" s="41"/>
      <c r="Y53" s="41"/>
      <c r="Z53" s="0"/>
      <c r="AA53" s="11" t="n">
        <v>35156</v>
      </c>
      <c r="AB53" s="12" t="n">
        <v>60</v>
      </c>
      <c r="AC53" s="12" t="n">
        <v>32</v>
      </c>
      <c r="AD53" s="13" t="s">
        <v>47</v>
      </c>
      <c r="AE53" s="113"/>
      <c r="AF53" s="113"/>
    </row>
    <row r="54" customFormat="false" ht="11.1" hidden="false" customHeight="true" outlineLevel="0" collapsed="false">
      <c r="A54" s="41"/>
      <c r="B54" s="41"/>
      <c r="C54" s="8"/>
      <c r="D54" s="41"/>
      <c r="E54" s="8"/>
      <c r="F54" s="41"/>
      <c r="G54" s="46"/>
      <c r="H54" s="44"/>
      <c r="I54" s="41"/>
      <c r="J54" s="41"/>
      <c r="K54" s="41"/>
      <c r="L54" s="41"/>
      <c r="M54" s="39"/>
      <c r="N54" s="39"/>
      <c r="O54" s="39"/>
      <c r="P54" s="41"/>
      <c r="Q54" s="41"/>
      <c r="R54" s="41"/>
      <c r="S54" s="8"/>
      <c r="T54" s="41"/>
      <c r="U54" s="41"/>
      <c r="V54" s="8"/>
      <c r="W54" s="41"/>
      <c r="X54" s="41"/>
      <c r="Y54" s="41"/>
      <c r="Z54" s="9"/>
      <c r="AA54" s="11" t="n">
        <v>76</v>
      </c>
      <c r="AB54" s="12" t="n">
        <v>42</v>
      </c>
      <c r="AC54" s="13" t="s">
        <v>67</v>
      </c>
      <c r="AD54" s="113"/>
      <c r="AE54" s="113"/>
    </row>
    <row r="55" customFormat="false" ht="11.1" hidden="false" customHeight="true" outlineLevel="0" collapsed="false">
      <c r="AA55" s="4" t="n">
        <v>41</v>
      </c>
      <c r="AB55" s="5" t="n">
        <v>21</v>
      </c>
      <c r="AC55" s="13" t="s">
        <v>68</v>
      </c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H10" activePane="bottomRight" state="frozen"/>
      <selection pane="topLeft" activeCell="A1" activeCellId="0" sqref="A1"/>
      <selection pane="topRight" activeCell="H1" activeCellId="0" sqref="H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7" width="7.16"/>
    <col collapsed="false" customWidth="true" hidden="false" outlineLevel="0" max="2" min="2" style="47" width="7.82"/>
    <col collapsed="false" customWidth="true" hidden="false" outlineLevel="0" max="3" min="3" style="48" width="7.66"/>
    <col collapsed="false" customWidth="true" hidden="false" outlineLevel="0" max="4" min="4" style="47" width="6.99"/>
    <col collapsed="false" customWidth="true" hidden="false" outlineLevel="0" max="5" min="5" style="48" width="7.66"/>
    <col collapsed="false" customWidth="true" hidden="false" outlineLevel="0" max="6" min="6" style="47" width="7.66"/>
    <col collapsed="false" customWidth="true" hidden="false" outlineLevel="0" max="7" min="7" style="47" width="7.16"/>
    <col collapsed="false" customWidth="true" hidden="false" outlineLevel="0" max="8" min="8" style="49" width="6.66"/>
    <col collapsed="false" customWidth="true" hidden="false" outlineLevel="0" max="9" min="9" style="47" width="7.99"/>
    <col collapsed="false" customWidth="true" hidden="false" outlineLevel="0" max="10" min="10" style="47" width="6.66"/>
    <col collapsed="false" customWidth="true" hidden="false" outlineLevel="0" max="12" min="11" style="47" width="7.16"/>
    <col collapsed="false" customWidth="true" hidden="false" outlineLevel="0" max="13" min="13" style="50" width="6.16"/>
    <col collapsed="false" customWidth="true" hidden="false" outlineLevel="0" max="14" min="14" style="50" width="7.32"/>
    <col collapsed="false" customWidth="true" hidden="false" outlineLevel="0" max="15" min="15" style="50" width="6.49"/>
    <col collapsed="false" customWidth="true" hidden="false" outlineLevel="0" max="16" min="16" style="47" width="7.16"/>
    <col collapsed="false" customWidth="true" hidden="false" outlineLevel="0" max="17" min="17" style="47" width="6.32"/>
    <col collapsed="false" customWidth="true" hidden="false" outlineLevel="0" max="18" min="18" style="47" width="5.82"/>
    <col collapsed="false" customWidth="true" hidden="false" outlineLevel="0" max="19" min="19" style="48" width="6.82"/>
    <col collapsed="false" customWidth="true" hidden="false" outlineLevel="0" max="20" min="20" style="47" width="7.66"/>
    <col collapsed="false" customWidth="true" hidden="false" outlineLevel="0" max="21" min="21" style="47" width="5.99"/>
    <col collapsed="false" customWidth="true" hidden="false" outlineLevel="0" max="22" min="22" style="48" width="6.66"/>
    <col collapsed="false" customWidth="true" hidden="false" outlineLevel="0" max="23" min="23" style="47" width="6.82"/>
    <col collapsed="false" customWidth="true" hidden="false" outlineLevel="0" max="25" min="24" style="47" width="7.82"/>
    <col collapsed="false" customWidth="true" hidden="false" outlineLevel="0" max="26" min="26" style="49" width="8.16"/>
    <col collapsed="false" customWidth="true" hidden="false" outlineLevel="0" max="27" min="27" style="51" width="4.32"/>
    <col collapsed="false" customWidth="true" hidden="false" outlineLevel="0" max="28" min="28" style="52" width="4.66"/>
    <col collapsed="false" customWidth="true" hidden="false" outlineLevel="0" max="29" min="29" style="53" width="4.66"/>
    <col collapsed="false" customWidth="true" hidden="false" outlineLevel="0" max="30" min="30" style="47" width="5.66"/>
    <col collapsed="false" customWidth="false" hidden="false" outlineLevel="0" max="257" min="31" style="47" width="9.32"/>
  </cols>
  <sheetData>
    <row r="1" customFormat="false" ht="14.1" hidden="false" customHeight="true" outlineLevel="0" collapsed="false">
      <c r="A1" s="54"/>
      <c r="B1" s="54"/>
      <c r="C1" s="55"/>
      <c r="D1" s="54"/>
      <c r="E1" s="55"/>
      <c r="F1" s="54"/>
      <c r="G1" s="54"/>
      <c r="H1" s="56"/>
      <c r="I1" s="54"/>
      <c r="J1" s="54"/>
      <c r="K1" s="57" t="s">
        <v>0</v>
      </c>
      <c r="L1" s="54"/>
      <c r="M1" s="54"/>
      <c r="N1" s="54"/>
      <c r="O1" s="54"/>
      <c r="P1" s="54"/>
      <c r="Q1" s="54"/>
      <c r="R1" s="54"/>
      <c r="S1" s="55"/>
      <c r="T1" s="54"/>
      <c r="U1" s="54"/>
      <c r="V1" s="55"/>
      <c r="W1" s="54"/>
      <c r="X1" s="54"/>
      <c r="Y1" s="54"/>
      <c r="Z1" s="56"/>
      <c r="AA1" s="58"/>
      <c r="AB1" s="59"/>
      <c r="AC1" s="60"/>
      <c r="AD1" s="91"/>
      <c r="AE1" s="91"/>
    </row>
    <row r="2" customFormat="false" ht="14.1" hidden="false" customHeight="true" outlineLevel="0" collapsed="false">
      <c r="A2" s="54" t="s">
        <v>1</v>
      </c>
      <c r="B2" s="54"/>
      <c r="C2" s="55"/>
      <c r="D2" s="61" t="n">
        <v>1.9835</v>
      </c>
      <c r="E2" s="55"/>
      <c r="F2" s="54"/>
      <c r="G2" s="54"/>
      <c r="H2" s="56"/>
      <c r="I2" s="54"/>
      <c r="J2" s="54"/>
      <c r="K2" s="62" t="s">
        <v>69</v>
      </c>
      <c r="L2" s="62"/>
      <c r="M2" s="62"/>
      <c r="N2" s="62"/>
      <c r="O2" s="62"/>
      <c r="P2" s="62"/>
      <c r="Q2" s="62"/>
      <c r="R2" s="62"/>
      <c r="S2" s="62"/>
      <c r="T2" s="62"/>
      <c r="U2" s="54"/>
      <c r="V2" s="55"/>
      <c r="W2" s="54"/>
      <c r="X2" s="54"/>
      <c r="Y2" s="54"/>
      <c r="Z2" s="56"/>
      <c r="AA2" s="58"/>
      <c r="AB2" s="59"/>
      <c r="AC2" s="60"/>
      <c r="AD2" s="91"/>
      <c r="AE2" s="91"/>
    </row>
    <row r="3" customFormat="false" ht="11.1" hidden="false" customHeight="true" outlineLevel="0" collapsed="false">
      <c r="A3" s="54"/>
      <c r="B3" s="54"/>
      <c r="C3" s="55"/>
      <c r="D3" s="63"/>
      <c r="E3" s="55"/>
      <c r="F3" s="54"/>
      <c r="G3" s="54"/>
      <c r="H3" s="56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54"/>
      <c r="U3" s="54"/>
      <c r="V3" s="55"/>
      <c r="W3" s="54"/>
      <c r="X3" s="54"/>
      <c r="Y3" s="54"/>
      <c r="Z3" s="56"/>
      <c r="AA3" s="58"/>
      <c r="AB3" s="59"/>
      <c r="AC3" s="60"/>
      <c r="AD3" s="91"/>
      <c r="AE3" s="91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1"/>
      <c r="AF4" s="91"/>
    </row>
    <row r="5" customFormat="false" ht="11.1" hidden="false" customHeight="true" outlineLevel="0" collapsed="false">
      <c r="A5" s="69" t="s">
        <v>70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70</v>
      </c>
      <c r="AE5" s="91"/>
      <c r="AF5" s="91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114"/>
      <c r="X6" s="72"/>
      <c r="Y6" s="72"/>
      <c r="Z6" s="72"/>
      <c r="AA6" s="58"/>
      <c r="AB6" s="60"/>
      <c r="AC6" s="60"/>
      <c r="AD6" s="60"/>
      <c r="AE6" s="95"/>
      <c r="AF6" s="95"/>
      <c r="AG6" s="96"/>
    </row>
    <row r="7" customFormat="false" ht="11.1" hidden="false" customHeight="true" outlineLevel="0" collapsed="false">
      <c r="A7" s="54" t="s">
        <v>44</v>
      </c>
      <c r="B7" s="54"/>
      <c r="C7" s="55"/>
      <c r="D7" s="55"/>
      <c r="E7" s="55"/>
      <c r="F7" s="55" t="n">
        <f aca="false">APR!F44</f>
        <v>19546.7607764053</v>
      </c>
      <c r="G7" s="55" t="n">
        <f aca="false">APR!G44</f>
        <v>16369</v>
      </c>
      <c r="H7" s="56" t="n">
        <f aca="false">APR!H44</f>
        <v>1701.8</v>
      </c>
      <c r="I7" s="55" t="n">
        <f aca="false">APR!I44</f>
        <v>18070.8</v>
      </c>
      <c r="J7" s="55" t="n">
        <f aca="false">APR!J44</f>
        <v>5641.06077640534</v>
      </c>
      <c r="K7" s="55" t="n">
        <f aca="false">APR!K44</f>
        <v>23711.8607764053</v>
      </c>
      <c r="L7" s="55" t="n">
        <f aca="false">APR!L44</f>
        <v>5641.06077640534</v>
      </c>
      <c r="M7" s="55" t="n">
        <f aca="false">APR!M44</f>
        <v>2732</v>
      </c>
      <c r="N7" s="55" t="n">
        <f aca="false">APR!N44</f>
        <v>25</v>
      </c>
      <c r="O7" s="55" t="n">
        <f aca="false">APR!O44</f>
        <v>1658.979</v>
      </c>
      <c r="P7" s="55" t="n">
        <f aca="false">APR!P44</f>
        <v>1048.021</v>
      </c>
      <c r="Q7" s="55" t="n">
        <f aca="false">APR!Q44</f>
        <v>17</v>
      </c>
      <c r="R7" s="55" t="n">
        <f aca="false">APR!R44</f>
        <v>79</v>
      </c>
      <c r="S7" s="55" t="n">
        <f aca="false">APR!S44</f>
        <v>1144.021</v>
      </c>
      <c r="T7" s="55" t="n">
        <f aca="false">APR!T44</f>
        <v>0</v>
      </c>
      <c r="U7" s="55" t="n">
        <f aca="false">APR!U44</f>
        <v>277.1</v>
      </c>
      <c r="V7" s="55" t="n">
        <f aca="false">APR!V44</f>
        <v>1060</v>
      </c>
      <c r="W7" s="55"/>
      <c r="X7" s="55" t="n">
        <f aca="false">APR!X44</f>
        <v>4165.1</v>
      </c>
      <c r="Y7" s="55" t="n">
        <f aca="false">APR!Y44</f>
        <v>0</v>
      </c>
      <c r="Z7" s="55" t="n">
        <f aca="false">APR!Z44</f>
        <v>4165.1</v>
      </c>
      <c r="AA7" s="58"/>
      <c r="AB7" s="59"/>
      <c r="AC7" s="59"/>
      <c r="AD7" s="60"/>
      <c r="AE7" s="95"/>
      <c r="AF7" s="96"/>
      <c r="AG7" s="96"/>
    </row>
    <row r="8" s="48" customFormat="true" ht="11.1" hidden="false" customHeight="true" outlineLevel="0" collapsed="false">
      <c r="A8" s="55" t="s">
        <v>45</v>
      </c>
      <c r="B8" s="75" t="n">
        <f aca="false">APR!B39</f>
        <v>6895.12</v>
      </c>
      <c r="C8" s="55" t="n">
        <f aca="false">APR!C39</f>
        <v>265923</v>
      </c>
      <c r="D8" s="55" t="n">
        <f aca="false">APR!D48</f>
        <v>48458</v>
      </c>
      <c r="E8" s="55" t="n">
        <f aca="false">APR!E48</f>
        <v>113923</v>
      </c>
      <c r="F8" s="55" t="n">
        <f aca="false">APR!F47</f>
        <v>24430.5520544492</v>
      </c>
      <c r="G8" s="55" t="n">
        <f aca="false">APR!G47</f>
        <v>25326</v>
      </c>
      <c r="H8" s="56" t="n">
        <f aca="false">APR!H47</f>
        <v>2080.7</v>
      </c>
      <c r="I8" s="55" t="n">
        <f aca="false">APR!I47</f>
        <v>27406.7</v>
      </c>
      <c r="J8" s="55" t="n">
        <f aca="false">APR!J47</f>
        <v>8608.98903957651</v>
      </c>
      <c r="K8" s="55" t="n">
        <f aca="false">APR!K47</f>
        <v>36015.6890395765</v>
      </c>
      <c r="L8" s="55" t="n">
        <f aca="false">APR!L47</f>
        <v>8356.55205444921</v>
      </c>
      <c r="M8" s="55" t="n">
        <f aca="false">APR!M47</f>
        <v>3670.6</v>
      </c>
      <c r="N8" s="55" t="n">
        <f aca="false">APR!N47</f>
        <v>51.68</v>
      </c>
      <c r="O8" s="55" t="n">
        <f aca="false">APR!O47</f>
        <v>1738.8625</v>
      </c>
      <c r="P8" s="55" t="n">
        <f aca="false">APR!P47</f>
        <v>1880.0575</v>
      </c>
      <c r="Q8" s="55" t="n">
        <f aca="false">APR!Q47</f>
        <v>17</v>
      </c>
      <c r="R8" s="55" t="n">
        <f aca="false">APR!R47</f>
        <v>79</v>
      </c>
      <c r="S8" s="55" t="n">
        <f aca="false">APR!S47</f>
        <v>1976.0575</v>
      </c>
      <c r="T8" s="55" t="n">
        <f aca="false">APR!T47</f>
        <v>0</v>
      </c>
      <c r="U8" s="55" t="n">
        <f aca="false">APR!U47</f>
        <v>277.1</v>
      </c>
      <c r="V8" s="55" t="n">
        <f aca="false">APR!V47</f>
        <v>7289</v>
      </c>
      <c r="W8" s="55" t="n">
        <f aca="false">APR!W47</f>
        <v>15754</v>
      </c>
      <c r="X8" s="55" t="n">
        <f aca="false">APR!X47</f>
        <v>11332.7</v>
      </c>
      <c r="Y8" s="55" t="n">
        <f aca="false">APR!Y47</f>
        <v>252.4369851273</v>
      </c>
      <c r="Z8" s="55" t="n">
        <f aca="false">APR!Z47</f>
        <v>11585.1369851273</v>
      </c>
      <c r="AA8" s="58" t="n">
        <f aca="false">APR!AA47</f>
        <v>5.84</v>
      </c>
      <c r="AB8" s="59"/>
      <c r="AC8" s="59"/>
      <c r="AD8" s="60"/>
      <c r="AE8" s="97"/>
      <c r="AF8" s="95"/>
      <c r="AG8" s="97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5"/>
      <c r="AF9" s="95"/>
      <c r="AG9" s="96"/>
    </row>
    <row r="10" customFormat="false" ht="11.1" hidden="false" customHeight="true" outlineLevel="0" collapsed="false">
      <c r="A10" s="60" t="n">
        <v>1</v>
      </c>
      <c r="B10" s="75" t="n">
        <v>6896.05</v>
      </c>
      <c r="C10" s="55" t="n">
        <v>269234</v>
      </c>
      <c r="D10" s="59" t="n">
        <f aca="false">C10-C8</f>
        <v>3311</v>
      </c>
      <c r="E10" s="55" t="n">
        <f aca="false">C10-152000</f>
        <v>117234</v>
      </c>
      <c r="F10" s="54" t="n">
        <f aca="false">D10/$D$2</f>
        <v>1669.27148979077</v>
      </c>
      <c r="G10" s="54" t="n">
        <v>1780</v>
      </c>
      <c r="H10" s="56" t="n">
        <v>159</v>
      </c>
      <c r="I10" s="54" t="n">
        <f aca="false">G10+H10</f>
        <v>1939</v>
      </c>
      <c r="J10" s="83" t="n">
        <f aca="false">IF(L10&gt;0,L10)</f>
        <v>112.321489790774</v>
      </c>
      <c r="K10" s="54" t="n">
        <f aca="false">I10+J10</f>
        <v>2051.32148979077</v>
      </c>
      <c r="L10" s="54" t="n">
        <f aca="false">F10-(I10-X10)</f>
        <v>112.321489790774</v>
      </c>
      <c r="M10" s="54" t="n">
        <v>250</v>
      </c>
      <c r="N10" s="54" t="n">
        <v>0</v>
      </c>
      <c r="O10" s="54" t="n">
        <f aca="false">78.16*1.05</f>
        <v>82.068</v>
      </c>
      <c r="P10" s="7" t="n">
        <f aca="false">M10-(N10+O10)</f>
        <v>167.932</v>
      </c>
      <c r="Q10" s="54" t="n">
        <v>30</v>
      </c>
      <c r="R10" s="54" t="n">
        <v>29</v>
      </c>
      <c r="S10" s="54" t="n">
        <f aca="false">SUM(P10:R10)</f>
        <v>226.932</v>
      </c>
      <c r="T10" s="55"/>
      <c r="U10" s="54" t="n">
        <v>24.05</v>
      </c>
      <c r="V10" s="54" t="n">
        <v>49</v>
      </c>
      <c r="W10" s="55" t="n">
        <f aca="false">W8-V10</f>
        <v>15705</v>
      </c>
      <c r="X10" s="7" t="n">
        <f aca="false">N10+O10+S10+U10+V10</f>
        <v>382.05</v>
      </c>
      <c r="Y10" s="54" t="n">
        <f aca="false">IF(L10&lt;0,L10*-1,0)</f>
        <v>0</v>
      </c>
      <c r="Z10" s="54" t="n">
        <f aca="false">X10+Y10</f>
        <v>382.05</v>
      </c>
      <c r="AA10" s="58" t="n">
        <v>0</v>
      </c>
      <c r="AB10" s="59" t="n">
        <v>77</v>
      </c>
      <c r="AC10" s="59" t="n">
        <v>41</v>
      </c>
      <c r="AD10" s="60" t="n">
        <v>1</v>
      </c>
      <c r="AE10" s="96"/>
      <c r="AF10" s="97"/>
      <c r="AG10" s="96"/>
    </row>
    <row r="11" customFormat="false" ht="11.1" hidden="false" customHeight="true" outlineLevel="0" collapsed="false">
      <c r="A11" s="60" t="n">
        <f aca="false">A10+1</f>
        <v>2</v>
      </c>
      <c r="B11" s="75" t="n">
        <v>6897.15</v>
      </c>
      <c r="C11" s="55" t="n">
        <v>273186</v>
      </c>
      <c r="D11" s="59" t="n">
        <f aca="false">C11-C10</f>
        <v>3952</v>
      </c>
      <c r="E11" s="55" t="n">
        <f aca="false">C11-152000</f>
        <v>121186</v>
      </c>
      <c r="F11" s="54" t="n">
        <f aca="false">D11/$D$2</f>
        <v>1992.43761028485</v>
      </c>
      <c r="G11" s="54" t="n">
        <v>2040</v>
      </c>
      <c r="H11" s="56" t="n">
        <v>161</v>
      </c>
      <c r="I11" s="54" t="n">
        <f aca="false">G11+H11</f>
        <v>2201</v>
      </c>
      <c r="J11" s="83" t="n">
        <f aca="false">IF(L11&gt;0,L11,0)</f>
        <v>195.29761028485</v>
      </c>
      <c r="K11" s="54" t="n">
        <f aca="false">I11+J11</f>
        <v>2396.29761028485</v>
      </c>
      <c r="L11" s="54" t="n">
        <f aca="false">F11-(I11-X11)</f>
        <v>195.29761028485</v>
      </c>
      <c r="M11" s="54" t="n">
        <v>256</v>
      </c>
      <c r="N11" s="54" t="n">
        <v>0</v>
      </c>
      <c r="O11" s="54" t="n">
        <v>83.6535</v>
      </c>
      <c r="P11" s="7" t="n">
        <f aca="false">M11-(N11+O11)</f>
        <v>172.3465</v>
      </c>
      <c r="Q11" s="54" t="n">
        <v>33</v>
      </c>
      <c r="R11" s="54" t="n">
        <v>29</v>
      </c>
      <c r="S11" s="54" t="n">
        <f aca="false">SUM(P11:R11)</f>
        <v>234.3465</v>
      </c>
      <c r="T11" s="55"/>
      <c r="U11" s="54" t="n">
        <v>33.86</v>
      </c>
      <c r="V11" s="54" t="n">
        <v>52</v>
      </c>
      <c r="W11" s="55" t="n">
        <f aca="false">W10-V11</f>
        <v>15653</v>
      </c>
      <c r="X11" s="7" t="n">
        <f aca="false">N11+O11+S11+U11+V11</f>
        <v>403.86</v>
      </c>
      <c r="Y11" s="54" t="n">
        <f aca="false">IF(L11&lt;0,L11*-1,0)</f>
        <v>0</v>
      </c>
      <c r="Z11" s="54" t="n">
        <f aca="false">X11+Y11</f>
        <v>403.86</v>
      </c>
      <c r="AA11" s="58" t="n">
        <v>0</v>
      </c>
      <c r="AB11" s="59" t="n">
        <v>72</v>
      </c>
      <c r="AC11" s="59" t="n">
        <v>34</v>
      </c>
      <c r="AD11" s="60" t="n">
        <f aca="false">AD10+1</f>
        <v>2</v>
      </c>
      <c r="AE11" s="96"/>
      <c r="AF11" s="97"/>
      <c r="AG11" s="96"/>
    </row>
    <row r="12" customFormat="false" ht="11.1" hidden="false" customHeight="true" outlineLevel="0" collapsed="false">
      <c r="A12" s="60" t="n">
        <f aca="false">A11+1</f>
        <v>3</v>
      </c>
      <c r="B12" s="75" t="n">
        <v>6898.03</v>
      </c>
      <c r="C12" s="55" t="n">
        <v>276370</v>
      </c>
      <c r="D12" s="59" t="n">
        <f aca="false">C12-C11</f>
        <v>3184</v>
      </c>
      <c r="E12" s="55" t="n">
        <f aca="false">C12-152000</f>
        <v>124370</v>
      </c>
      <c r="F12" s="54" t="n">
        <f aca="false">D12/$D$2</f>
        <v>1605.24325686917</v>
      </c>
      <c r="G12" s="54" t="n">
        <v>1780</v>
      </c>
      <c r="H12" s="56" t="n">
        <v>112</v>
      </c>
      <c r="I12" s="54" t="n">
        <f aca="false">G12+H12</f>
        <v>1892</v>
      </c>
      <c r="J12" s="83" t="n">
        <f aca="false">IF(L12&gt;0,L12,0)</f>
        <v>138.873256869171</v>
      </c>
      <c r="K12" s="54" t="n">
        <f aca="false">I12+J12</f>
        <v>2030.87325686917</v>
      </c>
      <c r="L12" s="54" t="n">
        <f aca="false">F12-(I12-X12)</f>
        <v>138.873256869171</v>
      </c>
      <c r="M12" s="54" t="n">
        <v>263</v>
      </c>
      <c r="N12" s="54" t="n">
        <v>0</v>
      </c>
      <c r="O12" s="54" t="n">
        <f aca="false">87.82*1.05</f>
        <v>92.211</v>
      </c>
      <c r="P12" s="7" t="n">
        <f aca="false">M12-(N12+O12)</f>
        <v>170.789</v>
      </c>
      <c r="Q12" s="54" t="n">
        <v>61</v>
      </c>
      <c r="R12" s="54" t="n">
        <v>37</v>
      </c>
      <c r="S12" s="54" t="n">
        <f aca="false">SUM(P12:R12)</f>
        <v>268.789</v>
      </c>
      <c r="T12" s="55"/>
      <c r="U12" s="54" t="n">
        <v>13.63</v>
      </c>
      <c r="V12" s="54" t="n">
        <v>51</v>
      </c>
      <c r="W12" s="55" t="n">
        <f aca="false">W11-V12</f>
        <v>15602</v>
      </c>
      <c r="X12" s="7" t="n">
        <f aca="false">N12+O12+S12+U12+V12</f>
        <v>425.63</v>
      </c>
      <c r="Y12" s="54" t="n">
        <f aca="false">IF(L12&lt;0,L12*-1,0)</f>
        <v>0</v>
      </c>
      <c r="Z12" s="54" t="n">
        <f aca="false">X12+Y12</f>
        <v>425.63</v>
      </c>
      <c r="AA12" s="58" t="n">
        <v>0.22</v>
      </c>
      <c r="AB12" s="59" t="n">
        <v>42</v>
      </c>
      <c r="AC12" s="59" t="n">
        <v>32</v>
      </c>
      <c r="AD12" s="60" t="n">
        <f aca="false">AD11+1</f>
        <v>3</v>
      </c>
      <c r="AE12" s="96"/>
      <c r="AF12" s="97"/>
      <c r="AG12" s="96"/>
    </row>
    <row r="13" customFormat="false" ht="11.1" hidden="false" customHeight="true" outlineLevel="0" collapsed="false">
      <c r="A13" s="60" t="n">
        <f aca="false">A12+1</f>
        <v>4</v>
      </c>
      <c r="B13" s="75" t="n">
        <v>6898.6</v>
      </c>
      <c r="C13" s="55" t="n">
        <v>278448</v>
      </c>
      <c r="D13" s="59" t="n">
        <f aca="false">C13-C12</f>
        <v>2078</v>
      </c>
      <c r="E13" s="55" t="n">
        <f aca="false">C13-152000</f>
        <v>126448</v>
      </c>
      <c r="F13" s="54" t="n">
        <f aca="false">D13/$D$2</f>
        <v>1047.64305520544</v>
      </c>
      <c r="G13" s="54" t="n">
        <v>1280</v>
      </c>
      <c r="H13" s="56" t="n">
        <v>50</v>
      </c>
      <c r="I13" s="54" t="n">
        <f aca="false">G13+H13</f>
        <v>1330</v>
      </c>
      <c r="J13" s="83" t="n">
        <f aca="false">IF(L13&gt;0,L13,0)</f>
        <v>124.253055205445</v>
      </c>
      <c r="K13" s="54" t="n">
        <f aca="false">I13+J13</f>
        <v>1454.25305520545</v>
      </c>
      <c r="L13" s="54" t="n">
        <f aca="false">F13-(I13-X13)</f>
        <v>124.253055205445</v>
      </c>
      <c r="M13" s="54" t="n">
        <v>240</v>
      </c>
      <c r="N13" s="54" t="n">
        <v>0</v>
      </c>
      <c r="O13" s="54" t="n">
        <f aca="false">81.01*1.05</f>
        <v>85.0605</v>
      </c>
      <c r="P13" s="7" t="n">
        <f aca="false">M13-(N13+O13)</f>
        <v>154.9395</v>
      </c>
      <c r="Q13" s="54" t="n">
        <v>62</v>
      </c>
      <c r="R13" s="54" t="n">
        <v>40</v>
      </c>
      <c r="S13" s="54" t="n">
        <f aca="false">SUM(P13:R13)</f>
        <v>256.9395</v>
      </c>
      <c r="T13" s="55"/>
      <c r="U13" s="54" t="n">
        <v>14.61</v>
      </c>
      <c r="V13" s="54" t="n">
        <v>50</v>
      </c>
      <c r="W13" s="55" t="n">
        <f aca="false">W12-V13</f>
        <v>15552</v>
      </c>
      <c r="X13" s="7" t="n">
        <f aca="false">N13+O13+S13+U13+V13</f>
        <v>406.61</v>
      </c>
      <c r="Y13" s="54" t="n">
        <f aca="false">IF(L13&lt;0,L13*-1,0)</f>
        <v>0</v>
      </c>
      <c r="Z13" s="54" t="n">
        <f aca="false">X13+Y13</f>
        <v>406.61</v>
      </c>
      <c r="AA13" s="58" t="n">
        <v>0</v>
      </c>
      <c r="AB13" s="59" t="n">
        <v>51</v>
      </c>
      <c r="AC13" s="59" t="n">
        <v>27</v>
      </c>
      <c r="AD13" s="60" t="n">
        <f aca="false">AD12+1</f>
        <v>4</v>
      </c>
      <c r="AE13" s="96"/>
      <c r="AF13" s="97"/>
      <c r="AG13" s="96"/>
    </row>
    <row r="14" customFormat="false" ht="11.1" hidden="false" customHeight="true" outlineLevel="0" collapsed="false">
      <c r="A14" s="60" t="n">
        <f aca="false">A13+1</f>
        <v>5</v>
      </c>
      <c r="B14" s="75" t="n">
        <v>6899.06</v>
      </c>
      <c r="C14" s="55" t="n">
        <v>280127</v>
      </c>
      <c r="D14" s="59" t="n">
        <f aca="false">C14-C13</f>
        <v>1679</v>
      </c>
      <c r="E14" s="55" t="n">
        <f aca="false">C14-152000</f>
        <v>128127</v>
      </c>
      <c r="F14" s="54" t="n">
        <f aca="false">D14/$D$2</f>
        <v>846.483488782455</v>
      </c>
      <c r="G14" s="54" t="n">
        <v>1090</v>
      </c>
      <c r="H14" s="56" t="n">
        <v>33</v>
      </c>
      <c r="I14" s="54" t="n">
        <f aca="false">G14+H14</f>
        <v>1123</v>
      </c>
      <c r="J14" s="83" t="n">
        <f aca="false">IF(L14&gt;0,L14,0)</f>
        <v>103.463488782455</v>
      </c>
      <c r="K14" s="54" t="n">
        <f aca="false">I14+J14</f>
        <v>1226.46348878246</v>
      </c>
      <c r="L14" s="54" t="n">
        <f aca="false">F14-(I14-X14)</f>
        <v>103.463488782455</v>
      </c>
      <c r="M14" s="54" t="n">
        <v>224</v>
      </c>
      <c r="N14" s="54" t="n">
        <v>2</v>
      </c>
      <c r="O14" s="54" t="n">
        <f aca="false">59.32*1.05</f>
        <v>62.286</v>
      </c>
      <c r="P14" s="7" t="n">
        <f aca="false">M14-(N14+O14)</f>
        <v>159.714</v>
      </c>
      <c r="Q14" s="54" t="n">
        <v>62</v>
      </c>
      <c r="R14" s="54" t="n">
        <v>40</v>
      </c>
      <c r="S14" s="54" t="n">
        <f aca="false">SUM(P14:R14)</f>
        <v>261.714</v>
      </c>
      <c r="T14" s="55"/>
      <c r="U14" s="54" t="n">
        <v>3.98</v>
      </c>
      <c r="V14" s="54" t="n">
        <v>50</v>
      </c>
      <c r="W14" s="55" t="n">
        <f aca="false">W13-V14</f>
        <v>15502</v>
      </c>
      <c r="X14" s="7" t="n">
        <f aca="false">N14+O14+S14+U14+V14</f>
        <v>379.98</v>
      </c>
      <c r="Y14" s="54" t="n">
        <f aca="false">IF(L14&lt;0,L14*-1,0)</f>
        <v>0</v>
      </c>
      <c r="Z14" s="54" t="n">
        <f aca="false">X14+Y14</f>
        <v>379.98</v>
      </c>
      <c r="AA14" s="58" t="n">
        <v>0.01</v>
      </c>
      <c r="AB14" s="59" t="n">
        <v>57</v>
      </c>
      <c r="AC14" s="59" t="n">
        <v>34</v>
      </c>
      <c r="AD14" s="60" t="n">
        <f aca="false">AD13+1</f>
        <v>5</v>
      </c>
      <c r="AE14" s="96"/>
      <c r="AF14" s="97"/>
      <c r="AG14" s="96"/>
    </row>
    <row r="15" customFormat="false" ht="11.1" hidden="false" customHeight="true" outlineLevel="0" collapsed="false">
      <c r="A15" s="60" t="n">
        <f aca="false">A14+1</f>
        <v>6</v>
      </c>
      <c r="B15" s="75" t="n">
        <v>6899.38</v>
      </c>
      <c r="C15" s="55" t="n">
        <v>281302</v>
      </c>
      <c r="D15" s="59" t="n">
        <f aca="false">C15-C14</f>
        <v>1175</v>
      </c>
      <c r="E15" s="55" t="n">
        <f aca="false">C15-152000</f>
        <v>129302</v>
      </c>
      <c r="F15" s="54" t="n">
        <f aca="false">D15/$D$2</f>
        <v>592.387194353416</v>
      </c>
      <c r="G15" s="54" t="n">
        <v>928</v>
      </c>
      <c r="H15" s="56" t="n">
        <v>21</v>
      </c>
      <c r="I15" s="54" t="n">
        <f aca="false">G15+H15</f>
        <v>949</v>
      </c>
      <c r="J15" s="83" t="n">
        <f aca="false">IF(L15&gt;0,L15,0)</f>
        <v>32.2271943534156</v>
      </c>
      <c r="K15" s="54" t="n">
        <f aca="false">I15+J15</f>
        <v>981.227194353416</v>
      </c>
      <c r="L15" s="54" t="n">
        <f aca="false">F15-(I15-X15)</f>
        <v>32.2271943534156</v>
      </c>
      <c r="M15" s="54" t="n">
        <v>221</v>
      </c>
      <c r="N15" s="54" t="n">
        <v>2</v>
      </c>
      <c r="O15" s="54" t="n">
        <f aca="false">48.28*1.05</f>
        <v>50.694</v>
      </c>
      <c r="P15" s="7" t="n">
        <f aca="false">M15-(N15+O15)</f>
        <v>168.306</v>
      </c>
      <c r="Q15" s="54" t="n">
        <v>61</v>
      </c>
      <c r="R15" s="54" t="n">
        <v>40</v>
      </c>
      <c r="S15" s="54" t="n">
        <f aca="false">SUM(P15:R15)</f>
        <v>269.306</v>
      </c>
      <c r="T15" s="55"/>
      <c r="U15" s="54" t="n">
        <v>16.84</v>
      </c>
      <c r="V15" s="54" t="n">
        <v>50</v>
      </c>
      <c r="W15" s="55" t="n">
        <f aca="false">W14-V15</f>
        <v>15452</v>
      </c>
      <c r="X15" s="7" t="n">
        <f aca="false">N15+O15+S15+U15+V15</f>
        <v>388.84</v>
      </c>
      <c r="Y15" s="54" t="n">
        <f aca="false">IF(L15&lt;0,L15*-1,0)</f>
        <v>0</v>
      </c>
      <c r="Z15" s="54" t="n">
        <f aca="false">X15+Y15</f>
        <v>388.84</v>
      </c>
      <c r="AA15" s="58" t="n">
        <v>0</v>
      </c>
      <c r="AB15" s="59" t="n">
        <v>63</v>
      </c>
      <c r="AC15" s="59" t="n">
        <v>35</v>
      </c>
      <c r="AD15" s="60" t="n">
        <f aca="false">AD14+1</f>
        <v>6</v>
      </c>
      <c r="AE15" s="95"/>
      <c r="AF15" s="97"/>
      <c r="AG15" s="96"/>
    </row>
    <row r="16" customFormat="false" ht="11.1" hidden="false" customHeight="true" outlineLevel="0" collapsed="false">
      <c r="A16" s="60" t="n">
        <f aca="false">A15+1</f>
        <v>7</v>
      </c>
      <c r="B16" s="75" t="n">
        <v>6899.64</v>
      </c>
      <c r="C16" s="55" t="n">
        <v>282257</v>
      </c>
      <c r="D16" s="59" t="n">
        <f aca="false">C16-C15</f>
        <v>955</v>
      </c>
      <c r="E16" s="55" t="n">
        <f aca="false">C16-152000</f>
        <v>130257</v>
      </c>
      <c r="F16" s="54" t="n">
        <f aca="false">D16/$D$2</f>
        <v>481.472145197883</v>
      </c>
      <c r="G16" s="54" t="n">
        <v>872</v>
      </c>
      <c r="H16" s="56" t="n">
        <v>15</v>
      </c>
      <c r="I16" s="54" t="n">
        <f aca="false">G16+H16</f>
        <v>887</v>
      </c>
      <c r="J16" s="83" t="n">
        <f aca="false">IF(L16&gt;0,L16,0)</f>
        <v>11.9821451978825</v>
      </c>
      <c r="K16" s="54" t="n">
        <f aca="false">I16+J16</f>
        <v>898.982145197883</v>
      </c>
      <c r="L16" s="54" t="n">
        <f aca="false">F16-(I16-X16)</f>
        <v>11.9821451978825</v>
      </c>
      <c r="M16" s="54" t="n">
        <v>240</v>
      </c>
      <c r="N16" s="54" t="n">
        <v>2</v>
      </c>
      <c r="O16" s="54" t="n">
        <f aca="false">49.16*1.05</f>
        <v>51.618</v>
      </c>
      <c r="P16" s="7" t="n">
        <f aca="false">M16-(N16+O16)</f>
        <v>186.382</v>
      </c>
      <c r="Q16" s="54" t="n">
        <v>71</v>
      </c>
      <c r="R16" s="54" t="n">
        <v>45</v>
      </c>
      <c r="S16" s="54" t="n">
        <f aca="false">SUM(P16:R16)</f>
        <v>302.382</v>
      </c>
      <c r="T16" s="55"/>
      <c r="U16" s="54" t="n">
        <v>11.51</v>
      </c>
      <c r="V16" s="54" t="n">
        <v>50</v>
      </c>
      <c r="W16" s="55" t="n">
        <f aca="false">W15-V16</f>
        <v>15402</v>
      </c>
      <c r="X16" s="7" t="n">
        <f aca="false">N16+O16+S16+U16+V16</f>
        <v>417.51</v>
      </c>
      <c r="Y16" s="54" t="n">
        <f aca="false">IF(L16&lt;0,L16*-1,0)</f>
        <v>0</v>
      </c>
      <c r="Z16" s="54" t="n">
        <f aca="false">X16+Y16</f>
        <v>417.51</v>
      </c>
      <c r="AA16" s="58" t="n">
        <v>0</v>
      </c>
      <c r="AB16" s="59" t="n">
        <v>67</v>
      </c>
      <c r="AC16" s="59" t="n">
        <v>38</v>
      </c>
      <c r="AD16" s="60" t="n">
        <f aca="false">AD15+1</f>
        <v>7</v>
      </c>
      <c r="AE16" s="95"/>
      <c r="AF16" s="97"/>
      <c r="AG16" s="96"/>
    </row>
    <row r="17" customFormat="false" ht="11.1" hidden="false" customHeight="true" outlineLevel="0" collapsed="false">
      <c r="A17" s="60" t="n">
        <f aca="false">A16+1</f>
        <v>8</v>
      </c>
      <c r="B17" s="75" t="n">
        <v>6899.92</v>
      </c>
      <c r="C17" s="55" t="n">
        <v>283286</v>
      </c>
      <c r="D17" s="59" t="n">
        <f aca="false">C17-C16</f>
        <v>1029</v>
      </c>
      <c r="E17" s="55" t="n">
        <f aca="false">C17-152000</f>
        <v>131286</v>
      </c>
      <c r="F17" s="54" t="n">
        <f aca="false">D17/$D$2</f>
        <v>518.779934459289</v>
      </c>
      <c r="G17" s="54" t="n">
        <v>986</v>
      </c>
      <c r="H17" s="56" t="n">
        <v>7.8</v>
      </c>
      <c r="I17" s="54" t="n">
        <f aca="false">G17+H17</f>
        <v>993.8</v>
      </c>
      <c r="J17" s="83" t="n">
        <f aca="false">IF(L17&gt;0,L17,0)</f>
        <v>8.49993445928919</v>
      </c>
      <c r="K17" s="54" t="n">
        <f aca="false">I17+J17</f>
        <v>1002.29993445929</v>
      </c>
      <c r="L17" s="54" t="n">
        <f aca="false">F17-(I17-X17)</f>
        <v>8.49993445928919</v>
      </c>
      <c r="M17" s="54" t="n">
        <v>251</v>
      </c>
      <c r="N17" s="54" t="n">
        <v>2</v>
      </c>
      <c r="O17" s="54" t="n">
        <f aca="false">40.42*1.05</f>
        <v>42.441</v>
      </c>
      <c r="P17" s="7" t="n">
        <f aca="false">M17-(N17+O17)</f>
        <v>206.559</v>
      </c>
      <c r="Q17" s="54" t="n">
        <v>87</v>
      </c>
      <c r="R17" s="54" t="n">
        <v>53</v>
      </c>
      <c r="S17" s="54" t="n">
        <f aca="false">SUM(P17:R17)</f>
        <v>346.559</v>
      </c>
      <c r="T17" s="55"/>
      <c r="U17" s="54" t="n">
        <v>42.52</v>
      </c>
      <c r="V17" s="54" t="n">
        <v>50</v>
      </c>
      <c r="W17" s="55" t="n">
        <f aca="false">W16-V17</f>
        <v>15352</v>
      </c>
      <c r="X17" s="7" t="n">
        <f aca="false">N17+O17+S17+U17+V17</f>
        <v>483.52</v>
      </c>
      <c r="Y17" s="54" t="n">
        <f aca="false">IF(L17&lt;0,L17*-1,0)</f>
        <v>0</v>
      </c>
      <c r="Z17" s="54" t="n">
        <f aca="false">X17+Y17</f>
        <v>483.52</v>
      </c>
      <c r="AA17" s="58" t="n">
        <v>0</v>
      </c>
      <c r="AB17" s="59" t="n">
        <v>80</v>
      </c>
      <c r="AC17" s="59" t="n">
        <v>34</v>
      </c>
      <c r="AD17" s="60" t="n">
        <f aca="false">AD16+1</f>
        <v>8</v>
      </c>
      <c r="AE17" s="95"/>
      <c r="AF17" s="97"/>
      <c r="AG17" s="96"/>
    </row>
    <row r="18" customFormat="false" ht="11.1" hidden="false" customHeight="true" outlineLevel="0" collapsed="false">
      <c r="A18" s="60" t="n">
        <f aca="false">A17+1</f>
        <v>9</v>
      </c>
      <c r="B18" s="75" t="n">
        <v>6900.39</v>
      </c>
      <c r="C18" s="55" t="n">
        <v>285024</v>
      </c>
      <c r="D18" s="59" t="n">
        <f aca="false">C18-C17</f>
        <v>1738</v>
      </c>
      <c r="E18" s="55" t="n">
        <f aca="false">C18-152000</f>
        <v>133024</v>
      </c>
      <c r="F18" s="54" t="n">
        <f aca="false">D18/$D$2</f>
        <v>876.228888328712</v>
      </c>
      <c r="G18" s="54" t="n">
        <v>1290</v>
      </c>
      <c r="H18" s="56" t="n">
        <v>30</v>
      </c>
      <c r="I18" s="54" t="n">
        <f aca="false">G18+H18</f>
        <v>1320</v>
      </c>
      <c r="J18" s="83" t="n">
        <f aca="false">IF(L18&gt;0,L18,0)</f>
        <v>98.3788883287118</v>
      </c>
      <c r="K18" s="54" t="n">
        <f aca="false">I18+J18</f>
        <v>1418.37888832871</v>
      </c>
      <c r="L18" s="54" t="n">
        <f aca="false">F18-(I18-X18)</f>
        <v>98.3788883287118</v>
      </c>
      <c r="M18" s="54" t="n">
        <v>266</v>
      </c>
      <c r="N18" s="54" t="n">
        <v>2</v>
      </c>
      <c r="O18" s="54" t="n">
        <f aca="false">52.17*1.05</f>
        <v>54.7785</v>
      </c>
      <c r="P18" s="7" t="n">
        <f aca="false">M18-(N18+O18)</f>
        <v>209.2215</v>
      </c>
      <c r="Q18" s="54" t="n">
        <v>96</v>
      </c>
      <c r="R18" s="54" t="n">
        <v>64</v>
      </c>
      <c r="S18" s="54" t="n">
        <f aca="false">SUM(P18:R18)</f>
        <v>369.2215</v>
      </c>
      <c r="T18" s="55"/>
      <c r="U18" s="54" t="n">
        <v>66.15</v>
      </c>
      <c r="V18" s="54" t="n">
        <v>50</v>
      </c>
      <c r="W18" s="55" t="n">
        <f aca="false">W17-V18</f>
        <v>15302</v>
      </c>
      <c r="X18" s="7" t="n">
        <f aca="false">N18+O18+S18+U18+V18</f>
        <v>542.15</v>
      </c>
      <c r="Y18" s="54" t="n">
        <f aca="false">IF(L18&lt;0,L18*-1,0)</f>
        <v>0</v>
      </c>
      <c r="Z18" s="54" t="n">
        <f aca="false">X18+Y18</f>
        <v>542.15</v>
      </c>
      <c r="AA18" s="58" t="n">
        <v>0</v>
      </c>
      <c r="AB18" s="59" t="n">
        <v>78</v>
      </c>
      <c r="AC18" s="59" t="n">
        <v>43</v>
      </c>
      <c r="AD18" s="60" t="n">
        <f aca="false">AD17+1</f>
        <v>9</v>
      </c>
      <c r="AE18" s="95"/>
      <c r="AF18" s="97"/>
      <c r="AG18" s="96"/>
    </row>
    <row r="19" customFormat="false" ht="11.1" hidden="false" customHeight="true" outlineLevel="0" collapsed="false">
      <c r="A19" s="60" t="n">
        <f aca="false">A18+1</f>
        <v>10</v>
      </c>
      <c r="B19" s="75" t="n">
        <v>6900.85</v>
      </c>
      <c r="C19" s="55" t="n">
        <v>286727</v>
      </c>
      <c r="D19" s="59" t="n">
        <f aca="false">C19-C18</f>
        <v>1703</v>
      </c>
      <c r="E19" s="55" t="n">
        <f aca="false">C19-152000</f>
        <v>134727</v>
      </c>
      <c r="F19" s="54" t="n">
        <f aca="false">D19/$D$2</f>
        <v>858.583312326695</v>
      </c>
      <c r="G19" s="54" t="n">
        <v>1450</v>
      </c>
      <c r="H19" s="56" t="n">
        <v>48</v>
      </c>
      <c r="I19" s="54" t="n">
        <f aca="false">G19+H19</f>
        <v>1498</v>
      </c>
      <c r="J19" s="83" t="n">
        <f aca="false">IF(L19&gt;0,L19,0)</f>
        <v>0</v>
      </c>
      <c r="K19" s="54" t="n">
        <f aca="false">I19+J19</f>
        <v>1498</v>
      </c>
      <c r="L19" s="54" t="n">
        <f aca="false">F19-(I19-X19)</f>
        <v>-31.4066876733048</v>
      </c>
      <c r="M19" s="54" t="n">
        <v>294</v>
      </c>
      <c r="N19" s="54" t="n">
        <v>2</v>
      </c>
      <c r="O19" s="54" t="n">
        <f aca="false">74.33*1.05</f>
        <v>78.0465</v>
      </c>
      <c r="P19" s="7" t="n">
        <f aca="false">M19-(N19+O19)</f>
        <v>213.9535</v>
      </c>
      <c r="Q19" s="54" t="n">
        <v>94</v>
      </c>
      <c r="R19" s="54" t="n">
        <v>71</v>
      </c>
      <c r="S19" s="54" t="n">
        <f aca="false">SUM(P19:R19)</f>
        <v>378.9535</v>
      </c>
      <c r="T19" s="55"/>
      <c r="U19" s="54" t="n">
        <v>99.01</v>
      </c>
      <c r="V19" s="54" t="n">
        <v>50</v>
      </c>
      <c r="W19" s="55" t="n">
        <f aca="false">W18-V19</f>
        <v>15252</v>
      </c>
      <c r="X19" s="7" t="n">
        <f aca="false">N19+O19+S19+U19+V19</f>
        <v>608.01</v>
      </c>
      <c r="Y19" s="54" t="n">
        <f aca="false">IF(L19&lt;0,L19*-1,0)</f>
        <v>31.4066876733048</v>
      </c>
      <c r="Z19" s="54" t="n">
        <f aca="false">X19+Y19</f>
        <v>639.416687673305</v>
      </c>
      <c r="AA19" s="58" t="n">
        <v>0</v>
      </c>
      <c r="AB19" s="59" t="n">
        <v>77</v>
      </c>
      <c r="AC19" s="59" t="n">
        <v>45</v>
      </c>
      <c r="AD19" s="60" t="n">
        <f aca="false">AD18+1</f>
        <v>10</v>
      </c>
      <c r="AE19" s="95"/>
      <c r="AF19" s="97"/>
      <c r="AG19" s="96"/>
    </row>
    <row r="20" customFormat="false" ht="11.1" hidden="false" customHeight="true" outlineLevel="0" collapsed="false">
      <c r="A20" s="60" t="n">
        <f aca="false">A19+1</f>
        <v>11</v>
      </c>
      <c r="B20" s="75" t="n">
        <v>6901.38</v>
      </c>
      <c r="C20" s="55" t="n">
        <v>288700</v>
      </c>
      <c r="D20" s="59" t="n">
        <f aca="false">C20-C19</f>
        <v>1973</v>
      </c>
      <c r="E20" s="55" t="n">
        <f aca="false">C20-152000</f>
        <v>136700</v>
      </c>
      <c r="F20" s="54" t="n">
        <f aca="false">D20/$D$2</f>
        <v>994.706327199395</v>
      </c>
      <c r="G20" s="54" t="n">
        <v>1670</v>
      </c>
      <c r="H20" s="56" t="n">
        <v>41</v>
      </c>
      <c r="I20" s="54" t="n">
        <f aca="false">G20+H20</f>
        <v>1711</v>
      </c>
      <c r="J20" s="83" t="n">
        <f aca="false">IF(L20&gt;0,L20,0)</f>
        <v>0</v>
      </c>
      <c r="K20" s="54" t="n">
        <f aca="false">I20+J20</f>
        <v>1711</v>
      </c>
      <c r="L20" s="54" t="n">
        <f aca="false">F20-(I20-X20)</f>
        <v>-16.553672800605</v>
      </c>
      <c r="M20" s="54" t="n">
        <v>319</v>
      </c>
      <c r="N20" s="54" t="n">
        <v>2</v>
      </c>
      <c r="O20" s="54" t="n">
        <f aca="false">85.26*1.05</f>
        <v>89.523</v>
      </c>
      <c r="P20" s="7" t="n">
        <f aca="false">M20-(N20+O20)</f>
        <v>227.477</v>
      </c>
      <c r="Q20" s="54" t="n">
        <v>94</v>
      </c>
      <c r="R20" s="54" t="n">
        <v>77</v>
      </c>
      <c r="S20" s="54" t="n">
        <f aca="false">SUM(P20:R20)</f>
        <v>398.477</v>
      </c>
      <c r="T20" s="55"/>
      <c r="U20" s="54" t="n">
        <v>159.74</v>
      </c>
      <c r="V20" s="54" t="n">
        <v>50</v>
      </c>
      <c r="W20" s="55" t="n">
        <f aca="false">W19-V20</f>
        <v>15202</v>
      </c>
      <c r="X20" s="7" t="n">
        <f aca="false">N20+O20+S20+U20+V20</f>
        <v>699.74</v>
      </c>
      <c r="Y20" s="54" t="n">
        <f aca="false">IF(L20&lt;0,L20*-1,0)</f>
        <v>16.553672800605</v>
      </c>
      <c r="Z20" s="54" t="n">
        <f aca="false">X20+Y20</f>
        <v>716.293672800605</v>
      </c>
      <c r="AA20" s="58" t="n">
        <v>0</v>
      </c>
      <c r="AB20" s="59" t="n">
        <v>76</v>
      </c>
      <c r="AC20" s="59" t="n">
        <v>45</v>
      </c>
      <c r="AD20" s="60" t="n">
        <f aca="false">AD19+1</f>
        <v>11</v>
      </c>
      <c r="AE20" s="95"/>
      <c r="AF20" s="97"/>
      <c r="AG20" s="96"/>
    </row>
    <row r="21" customFormat="false" ht="11.1" hidden="false" customHeight="true" outlineLevel="0" collapsed="false">
      <c r="A21" s="60" t="n">
        <f aca="false">A20+1</f>
        <v>12</v>
      </c>
      <c r="B21" s="75" t="n">
        <v>6902.14</v>
      </c>
      <c r="C21" s="55" t="n">
        <v>291541</v>
      </c>
      <c r="D21" s="59" t="n">
        <f aca="false">C21-C20</f>
        <v>2841</v>
      </c>
      <c r="E21" s="55" t="n">
        <f aca="false">C21-152000</f>
        <v>139541</v>
      </c>
      <c r="F21" s="54" t="n">
        <f aca="false">D21/$D$2</f>
        <v>1432.31661204941</v>
      </c>
      <c r="G21" s="54" t="n">
        <v>2070</v>
      </c>
      <c r="H21" s="56" t="n">
        <v>93</v>
      </c>
      <c r="I21" s="54" t="n">
        <f aca="false">G21+H21</f>
        <v>2163</v>
      </c>
      <c r="J21" s="83" t="n">
        <f aca="false">IF(L21&gt;0,L21,0)</f>
        <v>12.7866120494077</v>
      </c>
      <c r="K21" s="54" t="n">
        <f aca="false">I21+J21</f>
        <v>2175.78661204941</v>
      </c>
      <c r="L21" s="54" t="n">
        <f aca="false">F21-(I21-X21)</f>
        <v>12.7866120494077</v>
      </c>
      <c r="M21" s="54" t="n">
        <v>300</v>
      </c>
      <c r="N21" s="54" t="n">
        <v>2</v>
      </c>
      <c r="O21" s="54" t="n">
        <f aca="false">72.16*1.05</f>
        <v>75.768</v>
      </c>
      <c r="P21" s="7" t="n">
        <f aca="false">M21-(N21+O21)</f>
        <v>222.232</v>
      </c>
      <c r="Q21" s="54" t="n">
        <v>103</v>
      </c>
      <c r="R21" s="54" t="n">
        <v>85</v>
      </c>
      <c r="S21" s="54" t="n">
        <f aca="false">SUM(P21:R21)</f>
        <v>410.232</v>
      </c>
      <c r="T21" s="55"/>
      <c r="U21" s="54" t="n">
        <v>205.47</v>
      </c>
      <c r="V21" s="54" t="n">
        <v>50</v>
      </c>
      <c r="W21" s="55" t="n">
        <f aca="false">W20-V21</f>
        <v>15152</v>
      </c>
      <c r="X21" s="7" t="n">
        <f aca="false">N21+O21+S21+U21+V21</f>
        <v>743.47</v>
      </c>
      <c r="Y21" s="54" t="n">
        <f aca="false">IF(L21&lt;0,L21*-1,0)</f>
        <v>0</v>
      </c>
      <c r="Z21" s="54" t="n">
        <f aca="false">X21+Y21</f>
        <v>743.47</v>
      </c>
      <c r="AA21" s="58" t="n">
        <v>0</v>
      </c>
      <c r="AB21" s="59" t="n">
        <v>77</v>
      </c>
      <c r="AC21" s="59" t="n">
        <v>45</v>
      </c>
      <c r="AD21" s="60" t="n">
        <f aca="false">AD20+1</f>
        <v>12</v>
      </c>
      <c r="AE21" s="95"/>
      <c r="AF21" s="97"/>
      <c r="AG21" s="96"/>
    </row>
    <row r="22" customFormat="false" ht="11.1" hidden="false" customHeight="true" outlineLevel="0" collapsed="false">
      <c r="A22" s="60" t="n">
        <f aca="false">A21+1</f>
        <v>13</v>
      </c>
      <c r="B22" s="75" t="n">
        <v>6903.01</v>
      </c>
      <c r="C22" s="55" t="n">
        <v>294815</v>
      </c>
      <c r="D22" s="59" t="n">
        <f aca="false">C22-C21</f>
        <v>3274</v>
      </c>
      <c r="E22" s="55" t="n">
        <f aca="false">C22-152000</f>
        <v>142815</v>
      </c>
      <c r="F22" s="54" t="n">
        <f aca="false">D22/$D$2</f>
        <v>1650.61759516007</v>
      </c>
      <c r="G22" s="54" t="n">
        <v>2240</v>
      </c>
      <c r="H22" s="56" t="n">
        <v>157</v>
      </c>
      <c r="I22" s="54" t="n">
        <f aca="false">G22+H22</f>
        <v>2397</v>
      </c>
      <c r="J22" s="83" t="n">
        <f aca="false">IF(L22&gt;0,L22,0)</f>
        <v>1.65759516007051</v>
      </c>
      <c r="K22" s="54" t="n">
        <f aca="false">I22+J22</f>
        <v>2398.65759516007</v>
      </c>
      <c r="L22" s="54" t="n">
        <f aca="false">F22-(I22-X22)</f>
        <v>1.65759516007051</v>
      </c>
      <c r="M22" s="54" t="n">
        <v>294</v>
      </c>
      <c r="N22" s="54" t="n">
        <v>2</v>
      </c>
      <c r="O22" s="54" t="n">
        <f aca="false">58.41*1.05</f>
        <v>61.3305</v>
      </c>
      <c r="P22" s="7" t="n">
        <f aca="false">M22-(N22+O22)</f>
        <v>230.6695</v>
      </c>
      <c r="Q22" s="54" t="n">
        <v>104</v>
      </c>
      <c r="R22" s="54" t="n">
        <v>89</v>
      </c>
      <c r="S22" s="54" t="n">
        <f aca="false">SUM(P22:R22)</f>
        <v>423.6695</v>
      </c>
      <c r="T22" s="55"/>
      <c r="U22" s="54" t="n">
        <v>211.04</v>
      </c>
      <c r="V22" s="54" t="n">
        <v>50</v>
      </c>
      <c r="W22" s="55" t="n">
        <f aca="false">W21-V22</f>
        <v>15102</v>
      </c>
      <c r="X22" s="7" t="n">
        <f aca="false">N22+O22+S22+U22+V22</f>
        <v>748.04</v>
      </c>
      <c r="Y22" s="54" t="n">
        <f aca="false">IF(L22&lt;0,L22*-1,0)</f>
        <v>0</v>
      </c>
      <c r="Z22" s="54" t="n">
        <f aca="false">X22+Y22</f>
        <v>748.04</v>
      </c>
      <c r="AA22" s="58" t="n">
        <v>0.08</v>
      </c>
      <c r="AB22" s="59" t="n">
        <v>73</v>
      </c>
      <c r="AC22" s="59" t="n">
        <v>49</v>
      </c>
      <c r="AD22" s="60" t="n">
        <f aca="false">AD21+1</f>
        <v>13</v>
      </c>
      <c r="AE22" s="95"/>
      <c r="AF22" s="97"/>
      <c r="AG22" s="96"/>
    </row>
    <row r="23" customFormat="false" ht="11.1" hidden="false" customHeight="true" outlineLevel="0" collapsed="false">
      <c r="A23" s="60" t="n">
        <f aca="false">A22+1</f>
        <v>14</v>
      </c>
      <c r="B23" s="75" t="n">
        <v>6904.09</v>
      </c>
      <c r="C23" s="55" t="n">
        <v>298877</v>
      </c>
      <c r="D23" s="59" t="n">
        <f aca="false">C23-C22</f>
        <v>4062</v>
      </c>
      <c r="E23" s="55" t="n">
        <f aca="false">C23-152000</f>
        <v>146877</v>
      </c>
      <c r="F23" s="54" t="n">
        <f aca="false">D23/$D$2</f>
        <v>2047.89513486262</v>
      </c>
      <c r="G23" s="54" t="n">
        <v>2760</v>
      </c>
      <c r="H23" s="56" t="n">
        <v>134</v>
      </c>
      <c r="I23" s="54" t="n">
        <f aca="false">G23+H23</f>
        <v>2894</v>
      </c>
      <c r="J23" s="83" t="n">
        <f aca="false">IF(L23&gt;0,L23,0)</f>
        <v>0</v>
      </c>
      <c r="K23" s="54" t="n">
        <f aca="false">I23+J23</f>
        <v>2894</v>
      </c>
      <c r="L23" s="54" t="n">
        <f aca="false">F23-(I23-X23)</f>
        <v>-7.5048651373836</v>
      </c>
      <c r="M23" s="54" t="n">
        <v>287</v>
      </c>
      <c r="N23" s="54" t="n">
        <v>2</v>
      </c>
      <c r="O23" s="54" t="n">
        <v>45.5</v>
      </c>
      <c r="P23" s="7" t="n">
        <f aca="false">M23-(N23+O23)</f>
        <v>239.5</v>
      </c>
      <c r="Q23" s="54" t="n">
        <v>182</v>
      </c>
      <c r="R23" s="54" t="n">
        <v>89</v>
      </c>
      <c r="S23" s="54" t="n">
        <f aca="false">SUM(P23:R23)</f>
        <v>510.5</v>
      </c>
      <c r="T23" s="55"/>
      <c r="U23" s="54" t="n">
        <v>230.6</v>
      </c>
      <c r="V23" s="54" t="n">
        <v>50</v>
      </c>
      <c r="W23" s="55" t="n">
        <f aca="false">W22-V23</f>
        <v>15052</v>
      </c>
      <c r="X23" s="7" t="n">
        <f aca="false">N23+O23+S23+U23+V23</f>
        <v>838.6</v>
      </c>
      <c r="Y23" s="54" t="n">
        <f aca="false">IF(L23&lt;0,L23*-1,0)</f>
        <v>7.5048651373836</v>
      </c>
      <c r="Z23" s="54" t="n">
        <f aca="false">X23+Y23</f>
        <v>846.104865137384</v>
      </c>
      <c r="AA23" s="58" t="n">
        <v>0</v>
      </c>
      <c r="AB23" s="59" t="n">
        <v>72</v>
      </c>
      <c r="AC23" s="59" t="n">
        <v>42</v>
      </c>
      <c r="AD23" s="60" t="n">
        <f aca="false">AD22+1</f>
        <v>14</v>
      </c>
      <c r="AE23" s="95"/>
      <c r="AF23" s="97"/>
      <c r="AG23" s="96"/>
    </row>
    <row r="24" customFormat="false" ht="11.1" hidden="false" customHeight="true" outlineLevel="0" collapsed="false">
      <c r="A24" s="60" t="n">
        <f aca="false">A23+1</f>
        <v>15</v>
      </c>
      <c r="B24" s="75" t="n">
        <v>6905.08</v>
      </c>
      <c r="C24" s="55" t="n">
        <v>302704</v>
      </c>
      <c r="D24" s="59" t="n">
        <f aca="false">C24-C23</f>
        <v>3827</v>
      </c>
      <c r="E24" s="55" t="n">
        <f aca="false">C24-152000</f>
        <v>150704</v>
      </c>
      <c r="F24" s="54" t="n">
        <f aca="false">D24/$D$2</f>
        <v>1929.41769599193</v>
      </c>
      <c r="G24" s="54" t="n">
        <v>2720</v>
      </c>
      <c r="H24" s="56" t="n">
        <v>78</v>
      </c>
      <c r="I24" s="54" t="n">
        <f aca="false">G24+H24</f>
        <v>2798</v>
      </c>
      <c r="J24" s="83" t="n">
        <f aca="false">IF(L24&gt;0,L24,0)</f>
        <v>28.7076959919334</v>
      </c>
      <c r="K24" s="104" t="n">
        <f aca="false">I24+J24</f>
        <v>2826.70769599193</v>
      </c>
      <c r="L24" s="54" t="n">
        <f aca="false">F24-(I24-X24)</f>
        <v>28.7076959919334</v>
      </c>
      <c r="M24" s="54" t="n">
        <v>297</v>
      </c>
      <c r="N24" s="54" t="n">
        <v>2</v>
      </c>
      <c r="O24" s="54" t="n">
        <v>46.26</v>
      </c>
      <c r="P24" s="7" t="n">
        <f aca="false">M24-(N24+O24)</f>
        <v>248.74</v>
      </c>
      <c r="Q24" s="54" t="n">
        <v>199</v>
      </c>
      <c r="R24" s="54" t="n">
        <v>89</v>
      </c>
      <c r="S24" s="54" t="n">
        <f aca="false">SUM(P24:R24)</f>
        <v>536.74</v>
      </c>
      <c r="T24" s="55"/>
      <c r="U24" s="54" t="n">
        <v>262.29</v>
      </c>
      <c r="V24" s="54" t="n">
        <v>50</v>
      </c>
      <c r="W24" s="55" t="n">
        <f aca="false">W23-V24</f>
        <v>15002</v>
      </c>
      <c r="X24" s="7" t="n">
        <f aca="false">N24+O24+S24+U24+V24</f>
        <v>897.29</v>
      </c>
      <c r="Y24" s="54" t="n">
        <f aca="false">IF(L24&lt;0,L24*-1,0)</f>
        <v>0</v>
      </c>
      <c r="Z24" s="54" t="n">
        <f aca="false">X24+Y24</f>
        <v>897.29</v>
      </c>
      <c r="AA24" s="58" t="n">
        <v>0</v>
      </c>
      <c r="AB24" s="59" t="n">
        <v>73</v>
      </c>
      <c r="AC24" s="59" t="n">
        <v>46</v>
      </c>
      <c r="AD24" s="60" t="n">
        <f aca="false">AD23+1</f>
        <v>15</v>
      </c>
      <c r="AE24" s="95"/>
      <c r="AF24" s="97"/>
      <c r="AG24" s="96"/>
    </row>
    <row r="25" customFormat="false" ht="11.1" hidden="false" customHeight="true" outlineLevel="0" collapsed="false">
      <c r="A25" s="60" t="n">
        <f aca="false">A24+1</f>
        <v>16</v>
      </c>
      <c r="B25" s="75" t="n">
        <v>6906.05</v>
      </c>
      <c r="C25" s="55" t="n">
        <v>306445</v>
      </c>
      <c r="D25" s="59" t="n">
        <f aca="false">C25-C24</f>
        <v>3741</v>
      </c>
      <c r="E25" s="55" t="n">
        <f aca="false">C25-152000</f>
        <v>154445</v>
      </c>
      <c r="F25" s="54" t="n">
        <f aca="false">D25/$D$2</f>
        <v>1886.05999495841</v>
      </c>
      <c r="G25" s="54" t="n">
        <v>2730</v>
      </c>
      <c r="H25" s="56" t="n">
        <v>110</v>
      </c>
      <c r="I25" s="54" t="n">
        <f aca="false">G25+H25</f>
        <v>2840</v>
      </c>
      <c r="J25" s="83" t="n">
        <f aca="false">IF(L25&gt;0,L25,0)</f>
        <v>0</v>
      </c>
      <c r="K25" s="54" t="n">
        <f aca="false">I25+J25</f>
        <v>2840</v>
      </c>
      <c r="L25" s="54" t="n">
        <f aca="false">F25-(I25-X25)</f>
        <v>-23.350005041593</v>
      </c>
      <c r="M25" s="54" t="n">
        <v>313</v>
      </c>
      <c r="N25" s="54" t="n">
        <v>2</v>
      </c>
      <c r="O25" s="54" t="n">
        <v>67.58</v>
      </c>
      <c r="P25" s="7" t="n">
        <f aca="false">M25-(N25+O25)</f>
        <v>243.42</v>
      </c>
      <c r="Q25" s="54" t="n">
        <v>200</v>
      </c>
      <c r="R25" s="54" t="n">
        <v>91</v>
      </c>
      <c r="S25" s="54" t="n">
        <f aca="false">SUM(P25:R25)</f>
        <v>534.42</v>
      </c>
      <c r="T25" s="55"/>
      <c r="U25" s="54" t="n">
        <v>275.59</v>
      </c>
      <c r="V25" s="54" t="n">
        <v>51</v>
      </c>
      <c r="W25" s="55" t="n">
        <f aca="false">W24-V25</f>
        <v>14951</v>
      </c>
      <c r="X25" s="7" t="n">
        <f aca="false">N25+O25+S25+U25+V25</f>
        <v>930.59</v>
      </c>
      <c r="Y25" s="54" t="n">
        <f aca="false">IF(L25&lt;0,L25*-1,0)</f>
        <v>23.350005041593</v>
      </c>
      <c r="Z25" s="54" t="n">
        <f aca="false">X25+Y25</f>
        <v>953.940005041593</v>
      </c>
      <c r="AA25" s="58" t="n">
        <v>0</v>
      </c>
      <c r="AB25" s="59" t="n">
        <v>73</v>
      </c>
      <c r="AC25" s="59" t="n">
        <v>46</v>
      </c>
      <c r="AD25" s="60" t="n">
        <f aca="false">AD24+1</f>
        <v>16</v>
      </c>
      <c r="AE25" s="95"/>
      <c r="AF25" s="97"/>
      <c r="AG25" s="96"/>
    </row>
    <row r="26" customFormat="false" ht="11.1" hidden="false" customHeight="true" outlineLevel="0" collapsed="false">
      <c r="A26" s="60" t="n">
        <f aca="false">A25+1</f>
        <v>17</v>
      </c>
      <c r="B26" s="75" t="n">
        <v>6906.87</v>
      </c>
      <c r="C26" s="55" t="n">
        <v>309633</v>
      </c>
      <c r="D26" s="59" t="n">
        <f aca="false">C26-C25</f>
        <v>3188</v>
      </c>
      <c r="E26" s="55" t="n">
        <f aca="false">C26-152000</f>
        <v>157633</v>
      </c>
      <c r="F26" s="54" t="n">
        <f aca="false">D26/$D$2</f>
        <v>1607.25989412654</v>
      </c>
      <c r="G26" s="54" t="n">
        <v>2540</v>
      </c>
      <c r="H26" s="56" t="n">
        <v>98</v>
      </c>
      <c r="I26" s="54" t="n">
        <f aca="false">G26+H26</f>
        <v>2638</v>
      </c>
      <c r="J26" s="83" t="n">
        <f aca="false">IF(L26&gt;0,L26,0)</f>
        <v>0</v>
      </c>
      <c r="K26" s="104" t="n">
        <f aca="false">I26+J26</f>
        <v>2638</v>
      </c>
      <c r="L26" s="54" t="n">
        <f aca="false">F26-(I26-X26)</f>
        <v>-51.4801058734561</v>
      </c>
      <c r="M26" s="54" t="n">
        <v>324</v>
      </c>
      <c r="N26" s="54" t="n">
        <v>2</v>
      </c>
      <c r="O26" s="54" t="n">
        <v>76.04</v>
      </c>
      <c r="P26" s="7" t="n">
        <f aca="false">M26-(N26+O26)</f>
        <v>245.96</v>
      </c>
      <c r="Q26" s="54" t="n">
        <v>231</v>
      </c>
      <c r="R26" s="54" t="n">
        <v>91</v>
      </c>
      <c r="S26" s="54" t="n">
        <f aca="false">SUM(P26:R26)</f>
        <v>567.96</v>
      </c>
      <c r="T26" s="55"/>
      <c r="U26" s="54" t="n">
        <v>282.26</v>
      </c>
      <c r="V26" s="54" t="n">
        <v>51</v>
      </c>
      <c r="W26" s="55" t="n">
        <f aca="false">W25-V26</f>
        <v>14900</v>
      </c>
      <c r="X26" s="7" t="n">
        <f aca="false">N26+O26+S26+U26+V26</f>
        <v>979.26</v>
      </c>
      <c r="Y26" s="54" t="n">
        <f aca="false">IF(L26&lt;0,L26*-1,0)</f>
        <v>51.4801058734561</v>
      </c>
      <c r="Z26" s="54" t="n">
        <f aca="false">X26+Y26</f>
        <v>1030.74010587346</v>
      </c>
      <c r="AA26" s="58" t="n">
        <v>0</v>
      </c>
      <c r="AB26" s="59" t="n">
        <v>74</v>
      </c>
      <c r="AC26" s="59" t="n">
        <v>49</v>
      </c>
      <c r="AD26" s="60" t="n">
        <f aca="false">AD25+1</f>
        <v>17</v>
      </c>
      <c r="AE26" s="95"/>
      <c r="AF26" s="97"/>
      <c r="AG26" s="96"/>
    </row>
    <row r="27" customFormat="false" ht="11.1" hidden="false" customHeight="true" outlineLevel="0" collapsed="false">
      <c r="A27" s="60" t="n">
        <f aca="false">A26+1</f>
        <v>18</v>
      </c>
      <c r="B27" s="75" t="n">
        <v>6907.61</v>
      </c>
      <c r="C27" s="55" t="n">
        <v>312528</v>
      </c>
      <c r="D27" s="59" t="n">
        <f aca="false">C27-C26</f>
        <v>2895</v>
      </c>
      <c r="E27" s="55" t="n">
        <f aca="false">C27-152000</f>
        <v>160528</v>
      </c>
      <c r="F27" s="54" t="n">
        <f aca="false">D27/$D$2</f>
        <v>1459.54121502395</v>
      </c>
      <c r="G27" s="54" t="n">
        <v>2300</v>
      </c>
      <c r="H27" s="56" t="n">
        <v>73</v>
      </c>
      <c r="I27" s="54" t="n">
        <f aca="false">G27+H27</f>
        <v>2373</v>
      </c>
      <c r="J27" s="83" t="n">
        <f aca="false">IF(L27&gt;0,L27,0)</f>
        <v>83.5412150239477</v>
      </c>
      <c r="K27" s="54" t="n">
        <f aca="false">I27+J27</f>
        <v>2456.54121502395</v>
      </c>
      <c r="L27" s="54" t="n">
        <f aca="false">F27-(I27-X27)</f>
        <v>83.5412150239477</v>
      </c>
      <c r="M27" s="54" t="n">
        <v>309</v>
      </c>
      <c r="N27" s="54" t="n">
        <v>2</v>
      </c>
      <c r="O27" s="54" t="n">
        <v>72.16</v>
      </c>
      <c r="P27" s="7" t="n">
        <f aca="false">M27-(N27+O27)</f>
        <v>234.84</v>
      </c>
      <c r="Q27" s="54" t="n">
        <v>248</v>
      </c>
      <c r="R27" s="54" t="n">
        <v>91</v>
      </c>
      <c r="S27" s="54" t="n">
        <f aca="false">SUM(P27:R27)</f>
        <v>573.84</v>
      </c>
      <c r="T27" s="55"/>
      <c r="U27" s="54" t="n">
        <v>299</v>
      </c>
      <c r="V27" s="54" t="n">
        <v>50</v>
      </c>
      <c r="W27" s="55" t="n">
        <f aca="false">W26-V27</f>
        <v>14850</v>
      </c>
      <c r="X27" s="7" t="n">
        <f aca="false">N27+O27+S27+U27+V27</f>
        <v>997</v>
      </c>
      <c r="Y27" s="54" t="n">
        <f aca="false">IF(L27&lt;0,L27*-1,0)</f>
        <v>0</v>
      </c>
      <c r="Z27" s="54" t="n">
        <f aca="false">X27+Y27</f>
        <v>997</v>
      </c>
      <c r="AA27" s="58" t="n">
        <v>0</v>
      </c>
      <c r="AB27" s="59" t="n">
        <v>74</v>
      </c>
      <c r="AC27" s="59" t="n">
        <v>49</v>
      </c>
      <c r="AD27" s="60" t="n">
        <f aca="false">AD26+1</f>
        <v>18</v>
      </c>
      <c r="AE27" s="95"/>
      <c r="AF27" s="97"/>
      <c r="AG27" s="96"/>
    </row>
    <row r="28" customFormat="false" ht="11.1" hidden="false" customHeight="true" outlineLevel="0" collapsed="false">
      <c r="A28" s="60" t="n">
        <f aca="false">A27+1</f>
        <v>19</v>
      </c>
      <c r="B28" s="75" t="n">
        <v>6908.34</v>
      </c>
      <c r="C28" s="103" t="n">
        <v>315399</v>
      </c>
      <c r="D28" s="59" t="n">
        <f aca="false">C28-C27</f>
        <v>2871</v>
      </c>
      <c r="E28" s="55" t="n">
        <f aca="false">C28-152000</f>
        <v>163399</v>
      </c>
      <c r="F28" s="54" t="n">
        <f aca="false">D28/$D$2</f>
        <v>1447.44139147971</v>
      </c>
      <c r="G28" s="54" t="n">
        <v>2370</v>
      </c>
      <c r="H28" s="56" t="n">
        <v>63</v>
      </c>
      <c r="I28" s="54" t="n">
        <f aca="false">G28+H28</f>
        <v>2433</v>
      </c>
      <c r="J28" s="83" t="n">
        <f aca="false">IF(L28&gt;0,L28,0)</f>
        <v>0</v>
      </c>
      <c r="K28" s="54" t="n">
        <f aca="false">I28+J28</f>
        <v>2433</v>
      </c>
      <c r="L28" s="54" t="n">
        <f aca="false">F28-(I28-X28)</f>
        <v>-33.5786085202924</v>
      </c>
      <c r="M28" s="54" t="n">
        <v>304</v>
      </c>
      <c r="N28" s="54" t="n">
        <v>2</v>
      </c>
      <c r="O28" s="54" t="n">
        <v>65.31</v>
      </c>
      <c r="P28" s="7" t="n">
        <f aca="false">M28-(N28+O28)</f>
        <v>236.69</v>
      </c>
      <c r="Q28" s="54" t="n">
        <v>251</v>
      </c>
      <c r="R28" s="54" t="n">
        <v>93</v>
      </c>
      <c r="S28" s="54" t="n">
        <f aca="false">SUM(P28:R28)</f>
        <v>580.69</v>
      </c>
      <c r="T28" s="55"/>
      <c r="U28" s="54" t="n">
        <v>254.98</v>
      </c>
      <c r="V28" s="54" t="n">
        <v>49</v>
      </c>
      <c r="W28" s="55" t="n">
        <f aca="false">W27-V28</f>
        <v>14801</v>
      </c>
      <c r="X28" s="7" t="n">
        <f aca="false">N28+O28+S28+U28+V28</f>
        <v>951.98</v>
      </c>
      <c r="Y28" s="54" t="n">
        <f aca="false">IF(L28&lt;0,L28*-1,0)</f>
        <v>33.5786085202924</v>
      </c>
      <c r="Z28" s="54" t="n">
        <f aca="false">X28+Y28</f>
        <v>985.558608520292</v>
      </c>
      <c r="AA28" s="58" t="n">
        <v>0.2</v>
      </c>
      <c r="AB28" s="59" t="n">
        <v>69</v>
      </c>
      <c r="AC28" s="59" t="n">
        <v>46</v>
      </c>
      <c r="AD28" s="60" t="n">
        <f aca="false">AD27+1</f>
        <v>19</v>
      </c>
      <c r="AE28" s="95"/>
      <c r="AF28" s="97"/>
      <c r="AG28" s="96"/>
    </row>
    <row r="29" customFormat="false" ht="11.1" hidden="false" customHeight="true" outlineLevel="0" collapsed="false">
      <c r="A29" s="60" t="n">
        <f aca="false">A28+1</f>
        <v>20</v>
      </c>
      <c r="B29" s="75" t="n">
        <v>6909.04</v>
      </c>
      <c r="C29" s="55" t="n">
        <v>318165</v>
      </c>
      <c r="D29" s="59" t="n">
        <f aca="false">C29-C28</f>
        <v>2766</v>
      </c>
      <c r="E29" s="55" t="n">
        <f aca="false">C29-152000</f>
        <v>166165</v>
      </c>
      <c r="F29" s="54" t="n">
        <f aca="false">D29/$D$2</f>
        <v>1394.50466347366</v>
      </c>
      <c r="G29" s="54" t="n">
        <v>2280</v>
      </c>
      <c r="H29" s="56" t="n">
        <v>67</v>
      </c>
      <c r="I29" s="54" t="n">
        <f aca="false">G29+H29</f>
        <v>2347</v>
      </c>
      <c r="J29" s="83" t="n">
        <f aca="false">IF(L29&gt;0,L29,0)</f>
        <v>0</v>
      </c>
      <c r="K29" s="54" t="n">
        <f aca="false">I29+J29</f>
        <v>2347</v>
      </c>
      <c r="L29" s="54" t="n">
        <f aca="false">F29-(I29-X29)</f>
        <v>-41.6453365263424</v>
      </c>
      <c r="M29" s="54" t="n">
        <v>272</v>
      </c>
      <c r="N29" s="54" t="n">
        <v>2</v>
      </c>
      <c r="O29" s="54" t="n">
        <v>52.34</v>
      </c>
      <c r="P29" s="7" t="n">
        <f aca="false">M29-(N29+O29)</f>
        <v>217.66</v>
      </c>
      <c r="Q29" s="54" t="n">
        <v>254</v>
      </c>
      <c r="R29" s="54" t="n">
        <v>88</v>
      </c>
      <c r="S29" s="54" t="n">
        <f aca="false">SUM(P29:R29)</f>
        <v>559.66</v>
      </c>
      <c r="T29" s="55"/>
      <c r="U29" s="54" t="n">
        <v>247.85</v>
      </c>
      <c r="V29" s="54" t="n">
        <v>49</v>
      </c>
      <c r="W29" s="55" t="n">
        <f aca="false">W28-V29</f>
        <v>14752</v>
      </c>
      <c r="X29" s="7" t="n">
        <f aca="false">N29+O29+S29+U29+V29</f>
        <v>910.85</v>
      </c>
      <c r="Y29" s="54" t="n">
        <f aca="false">IF(L29&lt;0,L29*-1,0)</f>
        <v>41.6453365263424</v>
      </c>
      <c r="Z29" s="54" t="n">
        <f aca="false">X29+Y29</f>
        <v>952.495336526342</v>
      </c>
      <c r="AA29" s="58" t="n">
        <v>0</v>
      </c>
      <c r="AB29" s="59" t="n">
        <v>72</v>
      </c>
      <c r="AC29" s="59" t="n">
        <v>41</v>
      </c>
      <c r="AD29" s="60" t="n">
        <f aca="false">AD28+1</f>
        <v>20</v>
      </c>
      <c r="AE29" s="95"/>
      <c r="AF29" s="97"/>
      <c r="AG29" s="96"/>
    </row>
    <row r="30" customFormat="false" ht="11.1" hidden="false" customHeight="true" outlineLevel="0" collapsed="false">
      <c r="A30" s="60" t="n">
        <f aca="false">A29+1</f>
        <v>21</v>
      </c>
      <c r="B30" s="115" t="n">
        <v>6809.67</v>
      </c>
      <c r="C30" s="55" t="n">
        <v>320673</v>
      </c>
      <c r="D30" s="59" t="n">
        <f aca="false">C30-C29</f>
        <v>2508</v>
      </c>
      <c r="E30" s="55" t="n">
        <f aca="false">C30-152000</f>
        <v>168673</v>
      </c>
      <c r="F30" s="54" t="n">
        <f aca="false">D30/$D$2</f>
        <v>1264.43156037308</v>
      </c>
      <c r="G30" s="54" t="n">
        <v>2260</v>
      </c>
      <c r="H30" s="56" t="n">
        <v>39</v>
      </c>
      <c r="I30" s="54" t="n">
        <f aca="false">G30+H30</f>
        <v>2299</v>
      </c>
      <c r="J30" s="83" t="n">
        <f aca="false">IF(L30&gt;0,L30,0)</f>
        <v>0</v>
      </c>
      <c r="K30" s="54" t="n">
        <f aca="false">I30+J30</f>
        <v>2299</v>
      </c>
      <c r="L30" s="54" t="n">
        <f aca="false">F30-(I30-X30)</f>
        <v>-55.398439626922</v>
      </c>
      <c r="M30" s="54" t="n">
        <v>286</v>
      </c>
      <c r="N30" s="54" t="n">
        <v>2</v>
      </c>
      <c r="O30" s="54" t="n">
        <f aca="false">40.47*1.05</f>
        <v>42.4935</v>
      </c>
      <c r="P30" s="7" t="n">
        <f aca="false">M30-(N30+O30)</f>
        <v>241.5065</v>
      </c>
      <c r="Q30" s="54" t="n">
        <v>284</v>
      </c>
      <c r="R30" s="54" t="n">
        <v>86</v>
      </c>
      <c r="S30" s="54" t="n">
        <f aca="false">SUM(P30:R30)</f>
        <v>611.5065</v>
      </c>
      <c r="T30" s="55"/>
      <c r="U30" s="54" t="n">
        <v>273.17</v>
      </c>
      <c r="V30" s="54" t="n">
        <v>50</v>
      </c>
      <c r="W30" s="55" t="n">
        <f aca="false">W29-V30</f>
        <v>14702</v>
      </c>
      <c r="X30" s="7" t="n">
        <f aca="false">N30+O30+S30+U30+V30</f>
        <v>979.17</v>
      </c>
      <c r="Y30" s="54" t="n">
        <f aca="false">IF(L30&lt;0,L30*-1,0)</f>
        <v>55.398439626922</v>
      </c>
      <c r="Z30" s="54" t="n">
        <f aca="false">X30+Y30</f>
        <v>1034.56843962692</v>
      </c>
      <c r="AA30" s="58" t="n">
        <v>0</v>
      </c>
      <c r="AB30" s="59" t="n">
        <v>62</v>
      </c>
      <c r="AC30" s="59" t="n">
        <v>36</v>
      </c>
      <c r="AD30" s="60" t="n">
        <f aca="false">AD29+1</f>
        <v>21</v>
      </c>
      <c r="AE30" s="95"/>
      <c r="AF30" s="97"/>
      <c r="AG30" s="96"/>
    </row>
    <row r="31" customFormat="false" ht="11.1" hidden="false" customHeight="true" outlineLevel="0" collapsed="false">
      <c r="A31" s="60" t="n">
        <f aca="false">A30+1</f>
        <v>22</v>
      </c>
      <c r="B31" s="75" t="n">
        <v>6910.03</v>
      </c>
      <c r="C31" s="55" t="n">
        <v>322107</v>
      </c>
      <c r="D31" s="59" t="n">
        <f aca="false">C31-C30</f>
        <v>1434</v>
      </c>
      <c r="E31" s="55" t="n">
        <f aca="false">C31-152000</f>
        <v>170107</v>
      </c>
      <c r="F31" s="54" t="n">
        <f aca="false">D31/$D$2</f>
        <v>722.964456768339</v>
      </c>
      <c r="G31" s="54" t="n">
        <v>1780</v>
      </c>
      <c r="H31" s="56" t="n">
        <v>22</v>
      </c>
      <c r="I31" s="54" t="n">
        <f aca="false">G31+H31</f>
        <v>1802</v>
      </c>
      <c r="J31" s="83" t="n">
        <f aca="false">IF(L31&gt;0,L31,0)</f>
        <v>0</v>
      </c>
      <c r="K31" s="54" t="n">
        <f aca="false">I31+J31</f>
        <v>1802</v>
      </c>
      <c r="L31" s="54" t="n">
        <f aca="false">F31-(I31-X31)</f>
        <v>-96.1855432316612</v>
      </c>
      <c r="M31" s="54" t="n">
        <v>279</v>
      </c>
      <c r="N31" s="54" t="n">
        <v>2</v>
      </c>
      <c r="O31" s="54" t="n">
        <f aca="false">38.22*1.05</f>
        <v>40.131</v>
      </c>
      <c r="P31" s="7" t="n">
        <f aca="false">M31-(N31+O31)</f>
        <v>236.869</v>
      </c>
      <c r="Q31" s="54" t="n">
        <v>299</v>
      </c>
      <c r="R31" s="54" t="n">
        <v>85</v>
      </c>
      <c r="S31" s="104" t="n">
        <f aca="false">SUM(P31:R31)</f>
        <v>620.869</v>
      </c>
      <c r="T31" s="55"/>
      <c r="U31" s="54" t="n">
        <v>269.85</v>
      </c>
      <c r="V31" s="54" t="n">
        <v>50</v>
      </c>
      <c r="W31" s="55" t="n">
        <f aca="false">W30-V31</f>
        <v>14652</v>
      </c>
      <c r="X31" s="7" t="n">
        <f aca="false">N31+O31+S31+U31+V31</f>
        <v>982.85</v>
      </c>
      <c r="Y31" s="54" t="n">
        <f aca="false">IF(L31&lt;0,L31*-1,0)</f>
        <v>96.1855432316612</v>
      </c>
      <c r="Z31" s="54" t="n">
        <f aca="false">X31+Y31</f>
        <v>1079.03554323166</v>
      </c>
      <c r="AA31" s="58" t="n">
        <v>0</v>
      </c>
      <c r="AB31" s="59" t="n">
        <v>73</v>
      </c>
      <c r="AC31" s="59" t="n">
        <v>36</v>
      </c>
      <c r="AD31" s="60" t="n">
        <f aca="false">AD30+1</f>
        <v>22</v>
      </c>
      <c r="AE31" s="95"/>
      <c r="AF31" s="97"/>
      <c r="AG31" s="96"/>
    </row>
    <row r="32" customFormat="false" ht="11.1" hidden="false" customHeight="true" outlineLevel="0" collapsed="false">
      <c r="A32" s="60" t="n">
        <f aca="false">A31+1</f>
        <v>23</v>
      </c>
      <c r="B32" s="75" t="n">
        <v>6910.4</v>
      </c>
      <c r="C32" s="55" t="n">
        <v>323592</v>
      </c>
      <c r="D32" s="59" t="n">
        <f aca="false">C32-C31</f>
        <v>1485</v>
      </c>
      <c r="E32" s="55" t="n">
        <f aca="false">C32-152000</f>
        <v>171592</v>
      </c>
      <c r="F32" s="54" t="n">
        <f aca="false">D32/$D$2</f>
        <v>748.676581799849</v>
      </c>
      <c r="G32" s="54" t="n">
        <v>1730</v>
      </c>
      <c r="H32" s="56" t="n">
        <v>40</v>
      </c>
      <c r="I32" s="54" t="n">
        <f aca="false">G32+H32</f>
        <v>1770</v>
      </c>
      <c r="J32" s="83" t="n">
        <f aca="false">IF(L32&gt;0,L32,0)</f>
        <v>0</v>
      </c>
      <c r="K32" s="54" t="n">
        <f aca="false">I32+J32</f>
        <v>1770</v>
      </c>
      <c r="L32" s="54" t="n">
        <f aca="false">F32-(I32-X32)</f>
        <v>-19.9734182001513</v>
      </c>
      <c r="M32" s="54" t="n">
        <v>279</v>
      </c>
      <c r="N32" s="54" t="n">
        <v>2</v>
      </c>
      <c r="O32" s="54" t="n">
        <v>36.81</v>
      </c>
      <c r="P32" s="7" t="n">
        <f aca="false">M32-(N32+O32)</f>
        <v>240.19</v>
      </c>
      <c r="Q32" s="54" t="n">
        <v>297</v>
      </c>
      <c r="R32" s="54" t="n">
        <v>84</v>
      </c>
      <c r="S32" s="54" t="n">
        <f aca="false">SUM(P32:R32)</f>
        <v>621.19</v>
      </c>
      <c r="T32" s="55"/>
      <c r="U32" s="54" t="n">
        <v>292.35</v>
      </c>
      <c r="V32" s="54" t="n">
        <v>49</v>
      </c>
      <c r="W32" s="55" t="n">
        <f aca="false">W31-V32</f>
        <v>14603</v>
      </c>
      <c r="X32" s="7" t="n">
        <f aca="false">N32+O32+S32+U32+V32</f>
        <v>1001.35</v>
      </c>
      <c r="Y32" s="54" t="n">
        <f aca="false">IF(L32&lt;0,L32*-1,0)</f>
        <v>19.9734182001513</v>
      </c>
      <c r="Z32" s="54" t="n">
        <f aca="false">X32+Y32</f>
        <v>1021.32341820015</v>
      </c>
      <c r="AA32" s="58" t="n">
        <v>0</v>
      </c>
      <c r="AB32" s="59" t="n">
        <v>79</v>
      </c>
      <c r="AC32" s="59" t="n">
        <v>44</v>
      </c>
      <c r="AD32" s="60" t="n">
        <f aca="false">AD31+1</f>
        <v>23</v>
      </c>
      <c r="AE32" s="95"/>
      <c r="AF32" s="97"/>
      <c r="AG32" s="96"/>
    </row>
    <row r="33" customFormat="false" ht="11.1" hidden="false" customHeight="true" outlineLevel="0" collapsed="false">
      <c r="A33" s="60" t="n">
        <f aca="false">A32+1</f>
        <v>24</v>
      </c>
      <c r="B33" s="75" t="n">
        <v>6910.78</v>
      </c>
      <c r="C33" s="55" t="n">
        <v>325117</v>
      </c>
      <c r="D33" s="59" t="n">
        <f aca="false">C33-C32</f>
        <v>1525</v>
      </c>
      <c r="E33" s="55" t="n">
        <f aca="false">C33-152000</f>
        <v>173117</v>
      </c>
      <c r="F33" s="54" t="n">
        <f aca="false">D33/$D$2</f>
        <v>768.842954373582</v>
      </c>
      <c r="G33" s="54" t="n">
        <v>1840</v>
      </c>
      <c r="H33" s="56" t="n">
        <v>11</v>
      </c>
      <c r="I33" s="54" t="n">
        <f aca="false">G33+H33</f>
        <v>1851</v>
      </c>
      <c r="J33" s="83" t="n">
        <f aca="false">IF(L33&gt;0,L33,0)</f>
        <v>0</v>
      </c>
      <c r="K33" s="54" t="n">
        <f aca="false">I33+J33</f>
        <v>1851</v>
      </c>
      <c r="L33" s="54" t="n">
        <f aca="false">F33-(I33-X33)</f>
        <v>-26.0270456264178</v>
      </c>
      <c r="M33" s="54" t="n">
        <v>317</v>
      </c>
      <c r="N33" s="54" t="n">
        <v>2</v>
      </c>
      <c r="O33" s="54" t="n">
        <v>52.44</v>
      </c>
      <c r="P33" s="7" t="n">
        <f aca="false">M33-(N33+O33)</f>
        <v>262.56</v>
      </c>
      <c r="Q33" s="54" t="n">
        <v>296</v>
      </c>
      <c r="R33" s="54" t="n">
        <v>84</v>
      </c>
      <c r="S33" s="54" t="n">
        <f aca="false">SUM(P33:R33)</f>
        <v>642.56</v>
      </c>
      <c r="T33" s="55"/>
      <c r="U33" s="54" t="n">
        <v>309.13</v>
      </c>
      <c r="V33" s="54" t="n">
        <v>50</v>
      </c>
      <c r="W33" s="55" t="n">
        <f aca="false">W32-V33</f>
        <v>14553</v>
      </c>
      <c r="X33" s="7" t="n">
        <f aca="false">N33+O33+S33+U33+V33</f>
        <v>1056.13</v>
      </c>
      <c r="Y33" s="54" t="n">
        <f aca="false">IF(L33&lt;0,L33*-1,0)</f>
        <v>26.0270456264178</v>
      </c>
      <c r="Z33" s="54" t="n">
        <f aca="false">X33+Y33</f>
        <v>1082.15704562642</v>
      </c>
      <c r="AA33" s="58" t="n">
        <v>0</v>
      </c>
      <c r="AB33" s="59" t="n">
        <v>81</v>
      </c>
      <c r="AC33" s="59" t="n">
        <v>47</v>
      </c>
      <c r="AD33" s="60" t="n">
        <f aca="false">AD32+1</f>
        <v>24</v>
      </c>
      <c r="AE33" s="95"/>
      <c r="AF33" s="97"/>
      <c r="AG33" s="96"/>
    </row>
    <row r="34" customFormat="false" ht="11.1" hidden="false" customHeight="true" outlineLevel="0" collapsed="false">
      <c r="A34" s="60" t="n">
        <f aca="false">A33+1</f>
        <v>25</v>
      </c>
      <c r="B34" s="75" t="n">
        <v>6911.18</v>
      </c>
      <c r="C34" s="55" t="n">
        <v>326727</v>
      </c>
      <c r="D34" s="59" t="n">
        <f aca="false">C34-C33</f>
        <v>1610</v>
      </c>
      <c r="E34" s="55" t="n">
        <f aca="false">C34-152000</f>
        <v>174727</v>
      </c>
      <c r="F34" s="54" t="n">
        <f aca="false">D34/$D$2</f>
        <v>811.696496092765</v>
      </c>
      <c r="G34" s="54" t="n">
        <v>1890</v>
      </c>
      <c r="H34" s="56" t="n">
        <v>6.9</v>
      </c>
      <c r="I34" s="54" t="n">
        <f aca="false">G34+H34</f>
        <v>1896.9</v>
      </c>
      <c r="J34" s="83" t="n">
        <f aca="false">IF(L34&gt;0,L34,0)</f>
        <v>0</v>
      </c>
      <c r="K34" s="54" t="n">
        <f aca="false">I34+J34</f>
        <v>1896.9</v>
      </c>
      <c r="L34" s="54" t="n">
        <f aca="false">F34-(I34-X34)</f>
        <v>-55.9035039072348</v>
      </c>
      <c r="M34" s="54" t="n">
        <v>299</v>
      </c>
      <c r="N34" s="54" t="n">
        <v>2</v>
      </c>
      <c r="O34" s="54" t="n">
        <f aca="false">55.37*1.05</f>
        <v>58.1385</v>
      </c>
      <c r="P34" s="7" t="n">
        <f aca="false">M34-(N34+O34)</f>
        <v>238.8615</v>
      </c>
      <c r="Q34" s="54" t="n">
        <v>297</v>
      </c>
      <c r="R34" s="54" t="n">
        <v>85</v>
      </c>
      <c r="S34" s="54" t="n">
        <f aca="false">SUM(P34:R34)</f>
        <v>620.8615</v>
      </c>
      <c r="T34" s="55"/>
      <c r="U34" s="54" t="n">
        <v>298.3</v>
      </c>
      <c r="V34" s="54" t="n">
        <v>50</v>
      </c>
      <c r="W34" s="55" t="n">
        <f aca="false">W33-V34</f>
        <v>14503</v>
      </c>
      <c r="X34" s="7" t="n">
        <f aca="false">N34+O34+S34+U34+V34</f>
        <v>1029.3</v>
      </c>
      <c r="Y34" s="54" t="n">
        <f aca="false">IF(L34&lt;0,L34*-1,0)</f>
        <v>55.9035039072348</v>
      </c>
      <c r="Z34" s="54" t="n">
        <f aca="false">X34+Y34</f>
        <v>1085.20350390723</v>
      </c>
      <c r="AA34" s="58" t="n">
        <v>0</v>
      </c>
      <c r="AB34" s="59" t="n">
        <v>83</v>
      </c>
      <c r="AC34" s="59" t="n">
        <v>49</v>
      </c>
      <c r="AD34" s="60" t="n">
        <f aca="false">AD33+1</f>
        <v>25</v>
      </c>
      <c r="AE34" s="95"/>
      <c r="AF34" s="97"/>
      <c r="AG34" s="96"/>
    </row>
    <row r="35" customFormat="false" ht="11.1" hidden="false" customHeight="true" outlineLevel="0" collapsed="false">
      <c r="A35" s="60" t="n">
        <f aca="false">A34+1</f>
        <v>26</v>
      </c>
      <c r="B35" s="75" t="n">
        <v>6911.6</v>
      </c>
      <c r="C35" s="55" t="n">
        <v>328426</v>
      </c>
      <c r="D35" s="59" t="n">
        <f aca="false">C35-C34</f>
        <v>1699</v>
      </c>
      <c r="E35" s="55" t="n">
        <f aca="false">C35-152000</f>
        <v>176426</v>
      </c>
      <c r="F35" s="54" t="n">
        <f aca="false">D35/$D$2</f>
        <v>856.566675069322</v>
      </c>
      <c r="G35" s="54" t="n">
        <v>1860</v>
      </c>
      <c r="H35" s="56" t="n">
        <v>5.6</v>
      </c>
      <c r="I35" s="54" t="n">
        <f aca="false">G35+H35</f>
        <v>1865.6</v>
      </c>
      <c r="J35" s="83" t="n">
        <f aca="false">IF(L35&gt;0,L35,0)</f>
        <v>0</v>
      </c>
      <c r="K35" s="54" t="n">
        <f aca="false">I35+J35</f>
        <v>1865.6</v>
      </c>
      <c r="L35" s="54" t="n">
        <f aca="false">F35-(I35-X35)</f>
        <v>-52.2133249306781</v>
      </c>
      <c r="M35" s="54" t="n">
        <v>305</v>
      </c>
      <c r="N35" s="54" t="n">
        <v>2</v>
      </c>
      <c r="O35" s="54" t="n">
        <f aca="false">61.78*1.05</f>
        <v>64.869</v>
      </c>
      <c r="P35" s="7" t="n">
        <f aca="false">M35-(N35+O35)</f>
        <v>238.131</v>
      </c>
      <c r="Q35" s="54" t="n">
        <v>230</v>
      </c>
      <c r="R35" s="54" t="n">
        <v>87</v>
      </c>
      <c r="S35" s="54" t="n">
        <f aca="false">SUM(P35:R35)</f>
        <v>555.131</v>
      </c>
      <c r="T35" s="55"/>
      <c r="U35" s="54" t="n">
        <v>285.82</v>
      </c>
      <c r="V35" s="54" t="n">
        <v>49</v>
      </c>
      <c r="W35" s="55" t="n">
        <f aca="false">W34-V35</f>
        <v>14454</v>
      </c>
      <c r="X35" s="7" t="n">
        <f aca="false">N35+O35+S35+U35+V35</f>
        <v>956.82</v>
      </c>
      <c r="Y35" s="54" t="n">
        <f aca="false">IF(L35&lt;0,L35*-1,0)</f>
        <v>52.2133249306781</v>
      </c>
      <c r="Z35" s="54" t="n">
        <f aca="false">X35+Y35</f>
        <v>1009.03332493068</v>
      </c>
      <c r="AA35" s="58" t="n">
        <v>0</v>
      </c>
      <c r="AB35" s="59" t="n">
        <v>84</v>
      </c>
      <c r="AC35" s="59" t="n">
        <v>49</v>
      </c>
      <c r="AD35" s="60" t="n">
        <f aca="false">AD34+1</f>
        <v>26</v>
      </c>
      <c r="AE35" s="95"/>
      <c r="AF35" s="97"/>
      <c r="AG35" s="96"/>
    </row>
    <row r="36" customFormat="false" ht="11.1" hidden="false" customHeight="true" outlineLevel="0" collapsed="false">
      <c r="A36" s="60" t="n">
        <f aca="false">A35+1</f>
        <v>27</v>
      </c>
      <c r="B36" s="75" t="n">
        <v>6912.06</v>
      </c>
      <c r="C36" s="55" t="n">
        <v>330289</v>
      </c>
      <c r="D36" s="59" t="n">
        <f aca="false">C36-C35</f>
        <v>1863</v>
      </c>
      <c r="E36" s="55" t="n">
        <f aca="false">C36-152000</f>
        <v>178289</v>
      </c>
      <c r="F36" s="54" t="n">
        <f aca="false">D36/$D$2</f>
        <v>939.248802621628</v>
      </c>
      <c r="G36" s="54" t="n">
        <v>1910</v>
      </c>
      <c r="H36" s="56" t="n">
        <v>2.2</v>
      </c>
      <c r="I36" s="54" t="n">
        <f aca="false">G36+H36</f>
        <v>1912.2</v>
      </c>
      <c r="J36" s="83" t="n">
        <f aca="false">IF(L36&gt;0,L36,0)</f>
        <v>0</v>
      </c>
      <c r="K36" s="54" t="n">
        <f aca="false">I36+J36</f>
        <v>1912.2</v>
      </c>
      <c r="L36" s="54" t="n">
        <f aca="false">F36-(I36-X36)</f>
        <v>-64.1911973783716</v>
      </c>
      <c r="M36" s="54" t="n">
        <v>307</v>
      </c>
      <c r="N36" s="54" t="n">
        <v>2</v>
      </c>
      <c r="O36" s="54" t="n">
        <f aca="false">63.24*1.05</f>
        <v>66.402</v>
      </c>
      <c r="P36" s="7" t="n">
        <f aca="false">M36-(N36+O36)</f>
        <v>238.598</v>
      </c>
      <c r="Q36" s="54" t="n">
        <v>200</v>
      </c>
      <c r="R36" s="54" t="n">
        <v>88</v>
      </c>
      <c r="S36" s="54" t="n">
        <f aca="false">SUM(P36:R36)</f>
        <v>526.598</v>
      </c>
      <c r="T36" s="55"/>
      <c r="U36" s="54" t="n">
        <v>264.76</v>
      </c>
      <c r="V36" s="54" t="n">
        <v>49</v>
      </c>
      <c r="W36" s="55" t="n">
        <f aca="false">W35-V36</f>
        <v>14405</v>
      </c>
      <c r="X36" s="7" t="n">
        <f aca="false">N36+O36+S36+U36+V36</f>
        <v>908.76</v>
      </c>
      <c r="Y36" s="54" t="n">
        <f aca="false">IF(L36&lt;0,L36*-1,0)</f>
        <v>64.1911973783716</v>
      </c>
      <c r="Z36" s="54" t="n">
        <f aca="false">X36+Y36</f>
        <v>972.951197378372</v>
      </c>
      <c r="AA36" s="58" t="n">
        <v>0</v>
      </c>
      <c r="AB36" s="59" t="n">
        <v>80</v>
      </c>
      <c r="AC36" s="59" t="n">
        <v>47</v>
      </c>
      <c r="AD36" s="60" t="n">
        <f aca="false">AD35+1</f>
        <v>27</v>
      </c>
      <c r="AE36" s="95"/>
      <c r="AF36" s="97"/>
      <c r="AG36" s="96"/>
    </row>
    <row r="37" customFormat="false" ht="11.1" hidden="false" customHeight="true" outlineLevel="0" collapsed="false">
      <c r="A37" s="60" t="n">
        <v>28</v>
      </c>
      <c r="B37" s="75" t="n">
        <v>6912.55</v>
      </c>
      <c r="C37" s="55" t="n">
        <v>332287</v>
      </c>
      <c r="D37" s="59" t="n">
        <f aca="false">C37-C36</f>
        <v>1998</v>
      </c>
      <c r="E37" s="55" t="n">
        <f aca="false">C37-152000</f>
        <v>180287</v>
      </c>
      <c r="F37" s="54" t="n">
        <f aca="false">D37/$D$2</f>
        <v>1007.31031005798</v>
      </c>
      <c r="G37" s="54" t="n">
        <v>1900</v>
      </c>
      <c r="H37" s="56" t="n">
        <v>1.4</v>
      </c>
      <c r="I37" s="54" t="n">
        <f aca="false">G37+H37</f>
        <v>1901.4</v>
      </c>
      <c r="J37" s="83" t="n">
        <f aca="false">IF(L37&gt;0,L37,0)</f>
        <v>11.7603100579782</v>
      </c>
      <c r="K37" s="54" t="n">
        <f aca="false">I37+J37</f>
        <v>1913.16031005798</v>
      </c>
      <c r="L37" s="54" t="n">
        <f aca="false">F37-(I37-X37)</f>
        <v>11.7603100579782</v>
      </c>
      <c r="M37" s="54" t="n">
        <v>316</v>
      </c>
      <c r="N37" s="54" t="n">
        <v>2</v>
      </c>
      <c r="O37" s="54" t="n">
        <f aca="false">60.09*1.05</f>
        <v>63.0945</v>
      </c>
      <c r="P37" s="7" t="n">
        <f aca="false">M37-(N37+O37)</f>
        <v>250.9055</v>
      </c>
      <c r="Q37" s="54" t="n">
        <v>201</v>
      </c>
      <c r="R37" s="54" t="n">
        <v>89</v>
      </c>
      <c r="S37" s="54" t="n">
        <f aca="false">SUM(P37:R37)</f>
        <v>540.9055</v>
      </c>
      <c r="T37" s="55"/>
      <c r="U37" s="54" t="n">
        <v>250.85</v>
      </c>
      <c r="V37" s="54" t="n">
        <v>49</v>
      </c>
      <c r="W37" s="55" t="n">
        <f aca="false">W36-V37</f>
        <v>14356</v>
      </c>
      <c r="X37" s="7" t="n">
        <f aca="false">N37+O37+S37+U37+V37</f>
        <v>905.85</v>
      </c>
      <c r="Y37" s="54" t="n">
        <f aca="false">IF(L37&lt;0,L37*-1,0)</f>
        <v>0</v>
      </c>
      <c r="Z37" s="54" t="n">
        <f aca="false">X37+Y37</f>
        <v>905.85</v>
      </c>
      <c r="AA37" s="58" t="n">
        <v>0</v>
      </c>
      <c r="AB37" s="59" t="n">
        <v>79</v>
      </c>
      <c r="AC37" s="59" t="n">
        <v>51</v>
      </c>
      <c r="AD37" s="60" t="n">
        <v>28</v>
      </c>
      <c r="AE37" s="95"/>
      <c r="AF37" s="97"/>
      <c r="AG37" s="96"/>
    </row>
    <row r="38" customFormat="false" ht="11.1" hidden="false" customHeight="true" outlineLevel="0" collapsed="false">
      <c r="A38" s="60" t="n">
        <v>29</v>
      </c>
      <c r="B38" s="75" t="n">
        <v>6912.91</v>
      </c>
      <c r="C38" s="55" t="n">
        <v>333754</v>
      </c>
      <c r="D38" s="59" t="n">
        <f aca="false">C38-C37</f>
        <v>1467</v>
      </c>
      <c r="E38" s="55" t="n">
        <f aca="false">C38-152000</f>
        <v>181754</v>
      </c>
      <c r="F38" s="54" t="n">
        <f aca="false">D38/$D$2</f>
        <v>739.601714141669</v>
      </c>
      <c r="G38" s="54" t="n">
        <v>1690</v>
      </c>
      <c r="H38" s="56" t="n">
        <v>1.1</v>
      </c>
      <c r="I38" s="54" t="n">
        <f aca="false">G38+H38</f>
        <v>1691.1</v>
      </c>
      <c r="J38" s="83" t="n">
        <f aca="false">IF(L38&gt;0,L38,0)</f>
        <v>0</v>
      </c>
      <c r="K38" s="54" t="n">
        <f aca="false">I38+J38</f>
        <v>1691.1</v>
      </c>
      <c r="L38" s="54" t="n">
        <f aca="false">F38-(I38-X38)</f>
        <v>-44.5482858583312</v>
      </c>
      <c r="M38" s="54" t="n">
        <v>320</v>
      </c>
      <c r="N38" s="54" t="n">
        <v>2</v>
      </c>
      <c r="O38" s="54" t="n">
        <f aca="false">70.07*1.05</f>
        <v>73.5735</v>
      </c>
      <c r="P38" s="7" t="n">
        <f aca="false">M38-(N38+O38)</f>
        <v>244.4265</v>
      </c>
      <c r="Q38" s="54" t="n">
        <v>202</v>
      </c>
      <c r="R38" s="54" t="n">
        <v>90</v>
      </c>
      <c r="S38" s="54" t="n">
        <f aca="false">SUM(P38:R38)</f>
        <v>536.4265</v>
      </c>
      <c r="T38" s="55"/>
      <c r="U38" s="54" t="n">
        <v>245.95</v>
      </c>
      <c r="V38" s="54" t="n">
        <v>49</v>
      </c>
      <c r="W38" s="55" t="n">
        <f aca="false">W37-V38</f>
        <v>14307</v>
      </c>
      <c r="X38" s="7" t="n">
        <f aca="false">N38+O38+S38+U38+V38</f>
        <v>906.95</v>
      </c>
      <c r="Y38" s="54" t="n">
        <f aca="false">IF(L38&lt;0,L38*-1,0)</f>
        <v>44.5482858583312</v>
      </c>
      <c r="Z38" s="54" t="n">
        <f aca="false">X38+Y38</f>
        <v>951.498285858331</v>
      </c>
      <c r="AA38" s="58" t="n">
        <v>0</v>
      </c>
      <c r="AB38" s="59" t="n">
        <v>77</v>
      </c>
      <c r="AC38" s="59" t="n">
        <v>43</v>
      </c>
      <c r="AD38" s="60" t="n">
        <v>29</v>
      </c>
      <c r="AE38" s="95"/>
      <c r="AF38" s="97"/>
      <c r="AG38" s="96"/>
    </row>
    <row r="39" customFormat="false" ht="11.1" hidden="false" customHeight="true" outlineLevel="0" collapsed="false">
      <c r="A39" s="60" t="n">
        <v>30</v>
      </c>
      <c r="B39" s="75" t="n">
        <v>6913.1</v>
      </c>
      <c r="C39" s="55" t="n">
        <v>334532</v>
      </c>
      <c r="D39" s="59" t="n">
        <f aca="false">C39-C38</f>
        <v>778</v>
      </c>
      <c r="E39" s="55" t="n">
        <f aca="false">C39-152000</f>
        <v>182532</v>
      </c>
      <c r="F39" s="54" t="n">
        <f aca="false">D39/$D$2</f>
        <v>392.235946559113</v>
      </c>
      <c r="G39" s="54" t="n">
        <v>1400</v>
      </c>
      <c r="H39" s="56" t="n">
        <v>0.8</v>
      </c>
      <c r="I39" s="54" t="n">
        <f aca="false">G39+H39</f>
        <v>1400.8</v>
      </c>
      <c r="J39" s="83" t="n">
        <f aca="false">IF(L39&gt;0,L39,0)</f>
        <v>0</v>
      </c>
      <c r="K39" s="54" t="n">
        <f aca="false">I39+J39</f>
        <v>1400.8</v>
      </c>
      <c r="L39" s="54" t="n">
        <f aca="false">F39-(I39-X39)</f>
        <v>-87.5240534408873</v>
      </c>
      <c r="M39" s="54" t="n">
        <v>326</v>
      </c>
      <c r="N39" s="54" t="n">
        <v>2</v>
      </c>
      <c r="O39" s="54" t="n">
        <f aca="false">78.58*1.05</f>
        <v>82.509</v>
      </c>
      <c r="P39" s="7" t="n">
        <f aca="false">M39-(N39+O39)</f>
        <v>241.491</v>
      </c>
      <c r="Q39" s="54" t="n">
        <v>202</v>
      </c>
      <c r="R39" s="54" t="n">
        <v>90</v>
      </c>
      <c r="S39" s="54" t="n">
        <f aca="false">SUM(P39:R39)</f>
        <v>533.491</v>
      </c>
      <c r="T39" s="55"/>
      <c r="U39" s="54" t="n">
        <v>254.04</v>
      </c>
      <c r="V39" s="54" t="n">
        <v>49</v>
      </c>
      <c r="W39" s="55" t="n">
        <f aca="false">W38-V39</f>
        <v>14258</v>
      </c>
      <c r="X39" s="7" t="n">
        <f aca="false">N39+O39+S39+U39+V39</f>
        <v>921.04</v>
      </c>
      <c r="Y39" s="54" t="n">
        <f aca="false">IF(L39&lt;0,L39*-1,0)</f>
        <v>87.5240534408873</v>
      </c>
      <c r="Z39" s="54" t="n">
        <f aca="false">X39+Y39</f>
        <v>1008.56405344089</v>
      </c>
      <c r="AA39" s="58" t="n">
        <v>0</v>
      </c>
      <c r="AB39" s="59" t="n">
        <v>78</v>
      </c>
      <c r="AC39" s="59" t="n">
        <v>45</v>
      </c>
      <c r="AD39" s="60" t="n">
        <v>30</v>
      </c>
      <c r="AE39" s="95"/>
      <c r="AF39" s="97"/>
      <c r="AG39" s="96"/>
    </row>
    <row r="40" customFormat="false" ht="11.1" hidden="false" customHeight="true" outlineLevel="0" collapsed="false">
      <c r="A40" s="60" t="n">
        <v>31</v>
      </c>
      <c r="B40" s="75" t="n">
        <v>6913.31</v>
      </c>
      <c r="C40" s="55" t="n">
        <v>335395</v>
      </c>
      <c r="D40" s="59" t="n">
        <f aca="false">C40-C39</f>
        <v>863</v>
      </c>
      <c r="E40" s="55" t="n">
        <f aca="false">C40-152000</f>
        <v>183395</v>
      </c>
      <c r="F40" s="54" t="n">
        <f aca="false">D40/$D$2</f>
        <v>435.089488278296</v>
      </c>
      <c r="G40" s="54" t="n">
        <v>1400</v>
      </c>
      <c r="H40" s="56" t="n">
        <v>0.66</v>
      </c>
      <c r="I40" s="54" t="n">
        <f aca="false">G40+H40</f>
        <v>1400.66</v>
      </c>
      <c r="J40" s="83" t="n">
        <f aca="false">IF(L40&gt;0,L40,0)</f>
        <v>0</v>
      </c>
      <c r="K40" s="54" t="n">
        <f aca="false">I40+J40</f>
        <v>1400.66</v>
      </c>
      <c r="L40" s="54" t="n">
        <f aca="false">F40-(I40-X40)</f>
        <v>-30.3605117217041</v>
      </c>
      <c r="M40" s="54" t="n">
        <v>360</v>
      </c>
      <c r="N40" s="54" t="n">
        <v>2</v>
      </c>
      <c r="O40" s="54" t="n">
        <f aca="false">109.53*1.05</f>
        <v>115.0065</v>
      </c>
      <c r="P40" s="7" t="n">
        <f aca="false">M40-(N40+O40)</f>
        <v>242.9935</v>
      </c>
      <c r="Q40" s="54" t="n">
        <v>203</v>
      </c>
      <c r="R40" s="54" t="n">
        <v>91</v>
      </c>
      <c r="S40" s="54" t="n">
        <f aca="false">SUM(P40:R40)</f>
        <v>536.9935</v>
      </c>
      <c r="T40" s="55"/>
      <c r="U40" s="54" t="n">
        <v>232.21</v>
      </c>
      <c r="V40" s="54" t="n">
        <v>49</v>
      </c>
      <c r="W40" s="55" t="n">
        <f aca="false">W39-V40</f>
        <v>14209</v>
      </c>
      <c r="X40" s="7" t="n">
        <f aca="false">N40+O40+S40+U40+V40</f>
        <v>935.21</v>
      </c>
      <c r="Y40" s="54" t="n">
        <f aca="false">IF(L40&lt;0,L40*-1,0)</f>
        <v>30.3605117217041</v>
      </c>
      <c r="Z40" s="54" t="n">
        <f aca="false">X40+Y40</f>
        <v>965.570511721704</v>
      </c>
      <c r="AA40" s="58" t="n">
        <v>0</v>
      </c>
      <c r="AB40" s="59" t="n">
        <v>80</v>
      </c>
      <c r="AC40" s="59" t="n">
        <v>45</v>
      </c>
      <c r="AD40" s="60" t="n">
        <v>31</v>
      </c>
      <c r="AE40" s="95"/>
      <c r="AF40" s="97"/>
      <c r="AG40" s="96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5"/>
      <c r="AF41" s="95"/>
      <c r="AG41" s="96"/>
    </row>
    <row r="42" customFormat="false" ht="11.1" hidden="false" customHeight="true" outlineLevel="0" collapsed="false">
      <c r="A42" s="54" t="s">
        <v>46</v>
      </c>
      <c r="B42" s="54"/>
      <c r="C42" s="55"/>
      <c r="D42" s="55"/>
      <c r="E42" s="55"/>
      <c r="F42" s="55" t="n">
        <f aca="false">SUM(F10:F40)</f>
        <v>35024.95588606</v>
      </c>
      <c r="G42" s="55" t="n">
        <f aca="false">SUM(G10:G40)</f>
        <v>56836</v>
      </c>
      <c r="H42" s="56" t="n">
        <f aca="false">SUM(H10:H40)</f>
        <v>1681.46</v>
      </c>
      <c r="I42" s="55" t="n">
        <f aca="false">SUM(I10:I40)</f>
        <v>58517.46</v>
      </c>
      <c r="J42" s="55" t="n">
        <f aca="false">SUM(J10:J40)</f>
        <v>963.750491555331</v>
      </c>
      <c r="K42" s="55" t="n">
        <f aca="false">SUM(K10:K40)</f>
        <v>59481.2104915553</v>
      </c>
      <c r="L42" s="55" t="n">
        <f aca="false">SUM(L10:L40)</f>
        <v>225.905886059995</v>
      </c>
      <c r="M42" s="55" t="n">
        <f aca="false">SUM(M10:M40)</f>
        <v>8918</v>
      </c>
      <c r="N42" s="55" t="n">
        <f aca="false">SUM(N10:N40)</f>
        <v>54</v>
      </c>
      <c r="O42" s="55" t="n">
        <f aca="false">SUM(O10:O40)</f>
        <v>2030.136</v>
      </c>
      <c r="P42" s="55" t="n">
        <f aca="false">SUM(P10:P40)</f>
        <v>6833.864</v>
      </c>
      <c r="Q42" s="55" t="n">
        <f aca="false">SUM(Q10:Q40)</f>
        <v>5234</v>
      </c>
      <c r="R42" s="55" t="n">
        <f aca="false">SUM(R10:R40)</f>
        <v>2290</v>
      </c>
      <c r="S42" s="55" t="n">
        <f aca="false">SUM(S10:S40)</f>
        <v>14357.864</v>
      </c>
      <c r="T42" s="55"/>
      <c r="U42" s="55" t="n">
        <f aca="false">SUM(U10:U40)</f>
        <v>5731.41</v>
      </c>
      <c r="V42" s="55" t="n">
        <f aca="false">SUM(V10:V40)</f>
        <v>1545</v>
      </c>
      <c r="W42" s="55"/>
      <c r="X42" s="55" t="n">
        <f aca="false">SUM(X10:X40)</f>
        <v>23718.41</v>
      </c>
      <c r="Y42" s="55" t="n">
        <f aca="false">SUM(Y10:Y40)</f>
        <v>737.844605495337</v>
      </c>
      <c r="Z42" s="55" t="n">
        <f aca="false">SUM(Z10:Z40)</f>
        <v>24456.2546054953</v>
      </c>
      <c r="AA42" s="58" t="n">
        <f aca="false">SUM(AA10:AA40)</f>
        <v>0.51</v>
      </c>
      <c r="AB42" s="59" t="n">
        <f aca="false">AVERAGE(AB10:AB40)</f>
        <v>72.6774193548387</v>
      </c>
      <c r="AC42" s="59" t="n">
        <f aca="false">AVERAGE(AC10:AC40)</f>
        <v>42.3548387096774</v>
      </c>
      <c r="AD42" s="60" t="s">
        <v>71</v>
      </c>
      <c r="AE42" s="95"/>
      <c r="AF42" s="95"/>
      <c r="AG42" s="96"/>
    </row>
    <row r="43" customFormat="false" ht="11.1" hidden="false" customHeight="true" outlineLevel="0" collapsed="false">
      <c r="A43" s="54" t="s">
        <v>48</v>
      </c>
      <c r="B43" s="54"/>
      <c r="C43" s="55"/>
      <c r="D43" s="55" t="n">
        <f aca="false">SUM(D10:D40)</f>
        <v>69472</v>
      </c>
      <c r="E43" s="55"/>
      <c r="F43" s="55" t="n">
        <f aca="false">F42*$D$2</f>
        <v>69472</v>
      </c>
      <c r="G43" s="55" t="n">
        <f aca="false">G42*$D$2</f>
        <v>112734.206</v>
      </c>
      <c r="H43" s="56" t="n">
        <f aca="false">H42*$D$2</f>
        <v>3335.17591</v>
      </c>
      <c r="I43" s="55" t="n">
        <f aca="false">I42*$D$2</f>
        <v>116069.38191</v>
      </c>
      <c r="J43" s="55" t="n">
        <f aca="false">J42*$D$2</f>
        <v>1911.5991</v>
      </c>
      <c r="K43" s="55" t="n">
        <f aca="false">K42*$D$2</f>
        <v>117980.98101</v>
      </c>
      <c r="L43" s="55" t="n">
        <f aca="false">L42*$D$2</f>
        <v>448.084325</v>
      </c>
      <c r="M43" s="55" t="n">
        <f aca="false">M42*$D$2</f>
        <v>17688.853</v>
      </c>
      <c r="N43" s="55" t="n">
        <f aca="false">N42*$D$2</f>
        <v>107.109</v>
      </c>
      <c r="O43" s="55" t="n">
        <f aca="false">O42*$D$2</f>
        <v>4026.774756</v>
      </c>
      <c r="P43" s="55" t="n">
        <f aca="false">P42*$D$2</f>
        <v>13554.969244</v>
      </c>
      <c r="Q43" s="55" t="n">
        <f aca="false">Q42*$D$2</f>
        <v>10381.639</v>
      </c>
      <c r="R43" s="55" t="n">
        <f aca="false">R42*$D$2</f>
        <v>4542.215</v>
      </c>
      <c r="S43" s="55" t="n">
        <f aca="false">S42*$D$2</f>
        <v>28478.823244</v>
      </c>
      <c r="T43" s="55"/>
      <c r="U43" s="55" t="n">
        <f aca="false">U42*$D$2</f>
        <v>11368.251735</v>
      </c>
      <c r="V43" s="55" t="n">
        <f aca="false">V42*$D$2</f>
        <v>3064.5075</v>
      </c>
      <c r="W43" s="55"/>
      <c r="X43" s="116" t="n">
        <f aca="false">X42*$D$2</f>
        <v>47045.466235</v>
      </c>
      <c r="Y43" s="55" t="n">
        <f aca="false">Y42*$D$2</f>
        <v>1463.514775</v>
      </c>
      <c r="Z43" s="55" t="n">
        <f aca="false">Z42*$D$2</f>
        <v>48508.98101</v>
      </c>
      <c r="AA43" s="58"/>
      <c r="AB43" s="59" t="n">
        <f aca="false">MAX(AB10:AB40)</f>
        <v>84</v>
      </c>
      <c r="AC43" s="59" t="n">
        <f aca="false">MAX(AC10:AC40)</f>
        <v>51</v>
      </c>
      <c r="AD43" s="60" t="s">
        <v>49</v>
      </c>
      <c r="AE43" s="95"/>
      <c r="AF43" s="95"/>
      <c r="AG43" s="96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9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5"/>
      <c r="AF44" s="95"/>
      <c r="AG44" s="96"/>
    </row>
    <row r="45" customFormat="false" ht="11.1" hidden="false" customHeight="true" outlineLevel="0" collapsed="false">
      <c r="A45" s="54" t="s">
        <v>50</v>
      </c>
      <c r="B45" s="54"/>
      <c r="C45" s="55"/>
      <c r="D45" s="55"/>
      <c r="E45" s="55"/>
      <c r="F45" s="55" t="n">
        <f aca="false">F7+F42</f>
        <v>54571.7166624653</v>
      </c>
      <c r="G45" s="55" t="n">
        <f aca="false">G7+G42</f>
        <v>73205</v>
      </c>
      <c r="H45" s="56" t="n">
        <f aca="false">H7+H42</f>
        <v>3383.26</v>
      </c>
      <c r="I45" s="55" t="n">
        <f aca="false">I7+I42</f>
        <v>76588.26</v>
      </c>
      <c r="J45" s="55" t="n">
        <f aca="false">J7+J42</f>
        <v>6604.81126796068</v>
      </c>
      <c r="K45" s="55" t="n">
        <f aca="false">K7+K42</f>
        <v>83193.0712679607</v>
      </c>
      <c r="L45" s="55" t="n">
        <f aca="false">L7+L42</f>
        <v>5866.96666246534</v>
      </c>
      <c r="M45" s="55" t="n">
        <f aca="false">M7+M42</f>
        <v>11650</v>
      </c>
      <c r="N45" s="55" t="n">
        <f aca="false">N7+N42</f>
        <v>79</v>
      </c>
      <c r="O45" s="55" t="n">
        <f aca="false">O7+O42</f>
        <v>3689.115</v>
      </c>
      <c r="P45" s="55" t="n">
        <f aca="false">P7+P42</f>
        <v>7881.885</v>
      </c>
      <c r="Q45" s="55" t="n">
        <f aca="false">Q7+Q42</f>
        <v>5251</v>
      </c>
      <c r="R45" s="55" t="n">
        <f aca="false">R7+R42</f>
        <v>2369</v>
      </c>
      <c r="S45" s="55" t="n">
        <f aca="false">S7+S42</f>
        <v>15501.885</v>
      </c>
      <c r="T45" s="55" t="n">
        <f aca="false">T7+T42</f>
        <v>0</v>
      </c>
      <c r="U45" s="55" t="n">
        <f aca="false">U7+U42</f>
        <v>6008.51</v>
      </c>
      <c r="V45" s="55" t="n">
        <f aca="false">V7+V42</f>
        <v>2605</v>
      </c>
      <c r="W45" s="55"/>
      <c r="X45" s="55" t="n">
        <f aca="false">X7+X42</f>
        <v>27883.51</v>
      </c>
      <c r="Y45" s="55" t="n">
        <f aca="false">Y7+Y42</f>
        <v>737.844605495337</v>
      </c>
      <c r="Z45" s="55" t="n">
        <f aca="false">Z7+Z42</f>
        <v>28621.3546054953</v>
      </c>
      <c r="AA45" s="58"/>
      <c r="AB45" s="59" t="n">
        <f aca="false">MIN(AB10:AB40)</f>
        <v>42</v>
      </c>
      <c r="AC45" s="59" t="n">
        <f aca="false">MIN(AC10:AC40)</f>
        <v>27</v>
      </c>
      <c r="AD45" s="60" t="s">
        <v>51</v>
      </c>
      <c r="AE45" s="95"/>
      <c r="AF45" s="95"/>
      <c r="AG45" s="96"/>
    </row>
    <row r="46" customFormat="false" ht="11.1" hidden="false" customHeight="true" outlineLevel="0" collapsed="false">
      <c r="A46" s="54" t="s">
        <v>52</v>
      </c>
      <c r="B46" s="54"/>
      <c r="C46" s="55"/>
      <c r="D46" s="55"/>
      <c r="E46" s="55"/>
      <c r="F46" s="55" t="n">
        <f aca="false">F45*$D$2</f>
        <v>108243</v>
      </c>
      <c r="G46" s="55" t="n">
        <f aca="false">G45*$D$2</f>
        <v>145202.1175</v>
      </c>
      <c r="H46" s="56" t="n">
        <f aca="false">H45*$D$2</f>
        <v>6710.69621</v>
      </c>
      <c r="I46" s="55" t="n">
        <f aca="false">I45*$D$2</f>
        <v>151912.81371</v>
      </c>
      <c r="J46" s="55" t="n">
        <f aca="false">J45*$D$2</f>
        <v>13100.64315</v>
      </c>
      <c r="K46" s="55" t="n">
        <f aca="false">K45*$D$2</f>
        <v>165013.45686</v>
      </c>
      <c r="L46" s="55" t="n">
        <f aca="false">L45*$D$2</f>
        <v>11637.128375</v>
      </c>
      <c r="M46" s="55" t="n">
        <f aca="false">M45*$D$2</f>
        <v>23107.775</v>
      </c>
      <c r="N46" s="55" t="n">
        <f aca="false">N45*$D$2</f>
        <v>156.6965</v>
      </c>
      <c r="O46" s="55" t="n">
        <f aca="false">O45*$D$2</f>
        <v>7317.3596025</v>
      </c>
      <c r="P46" s="55" t="n">
        <f aca="false">P45*$D$2</f>
        <v>15633.7188975</v>
      </c>
      <c r="Q46" s="55" t="n">
        <f aca="false">Q45*$D$2</f>
        <v>10415.3585</v>
      </c>
      <c r="R46" s="55" t="n">
        <f aca="false">R45*$D$2</f>
        <v>4698.9115</v>
      </c>
      <c r="S46" s="55" t="n">
        <f aca="false">S45*$D$2</f>
        <v>30747.9888975</v>
      </c>
      <c r="T46" s="55" t="n">
        <f aca="false">T45*$D$2</f>
        <v>0</v>
      </c>
      <c r="U46" s="55" t="n">
        <f aca="false">U45*$D$2</f>
        <v>11917.879585</v>
      </c>
      <c r="V46" s="55" t="n">
        <f aca="false">V45*$D$2</f>
        <v>5167.0175</v>
      </c>
      <c r="W46" s="55"/>
      <c r="X46" s="55" t="n">
        <f aca="false">X45*$D$2</f>
        <v>55306.942085</v>
      </c>
      <c r="Y46" s="55" t="n">
        <f aca="false">Y45*$D$2</f>
        <v>1463.514775</v>
      </c>
      <c r="Z46" s="55" t="n">
        <f aca="false">Z45*$D$2</f>
        <v>56770.45686</v>
      </c>
      <c r="AA46" s="58"/>
      <c r="AB46" s="59"/>
      <c r="AC46" s="59"/>
      <c r="AD46" s="60"/>
      <c r="AE46" s="95"/>
      <c r="AF46" s="95"/>
      <c r="AG46" s="96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79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5"/>
      <c r="AF47" s="95"/>
      <c r="AG47" s="96"/>
    </row>
    <row r="48" customFormat="false" ht="11.1" hidden="false" customHeight="true" outlineLevel="0" collapsed="false">
      <c r="A48" s="54" t="s">
        <v>53</v>
      </c>
      <c r="B48" s="54"/>
      <c r="C48" s="55"/>
      <c r="D48" s="55"/>
      <c r="E48" s="55"/>
      <c r="F48" s="55" t="n">
        <f aca="false">F8+F42</f>
        <v>59455.5079405092</v>
      </c>
      <c r="G48" s="55" t="n">
        <f aca="false">G8+G42</f>
        <v>82162</v>
      </c>
      <c r="H48" s="56" t="n">
        <f aca="false">H8+H42</f>
        <v>3762.16</v>
      </c>
      <c r="I48" s="55" t="n">
        <f aca="false">I8+I42</f>
        <v>85924.16</v>
      </c>
      <c r="J48" s="55" t="n">
        <f aca="false">J8+J42</f>
        <v>9572.73953113184</v>
      </c>
      <c r="K48" s="55" t="n">
        <f aca="false">K8+K42</f>
        <v>95496.8995311318</v>
      </c>
      <c r="L48" s="55" t="n">
        <f aca="false">L8+L42</f>
        <v>8582.4579405092</v>
      </c>
      <c r="M48" s="55" t="n">
        <f aca="false">M8+M42</f>
        <v>12588.6</v>
      </c>
      <c r="N48" s="55" t="n">
        <f aca="false">N8+N42</f>
        <v>105.68</v>
      </c>
      <c r="O48" s="55" t="n">
        <f aca="false">O8+O42</f>
        <v>3768.9985</v>
      </c>
      <c r="P48" s="55" t="n">
        <f aca="false">P8+P42</f>
        <v>8713.9215</v>
      </c>
      <c r="Q48" s="55" t="n">
        <f aca="false">Q8+Q42</f>
        <v>5251</v>
      </c>
      <c r="R48" s="55" t="n">
        <f aca="false">R8+R42</f>
        <v>2369</v>
      </c>
      <c r="S48" s="55" t="n">
        <f aca="false">S8+S42</f>
        <v>16333.9215</v>
      </c>
      <c r="T48" s="55"/>
      <c r="U48" s="55" t="n">
        <f aca="false">U8+U42</f>
        <v>6008.51</v>
      </c>
      <c r="V48" s="55" t="n">
        <f aca="false">V8+V42</f>
        <v>8834</v>
      </c>
      <c r="W48" s="55" t="n">
        <f aca="false">W40</f>
        <v>14209</v>
      </c>
      <c r="X48" s="55" t="n">
        <f aca="false">X8+X42</f>
        <v>35051.11</v>
      </c>
      <c r="Y48" s="55" t="n">
        <f aca="false">Y8+Y42</f>
        <v>990.281590622637</v>
      </c>
      <c r="Z48" s="55" t="n">
        <f aca="false">Z8+Z42</f>
        <v>36041.3915906226</v>
      </c>
      <c r="AA48" s="58" t="n">
        <f aca="false">AA8+AA42</f>
        <v>6.35</v>
      </c>
      <c r="AB48" s="59"/>
      <c r="AC48" s="59"/>
      <c r="AD48" s="60"/>
      <c r="AE48" s="95"/>
      <c r="AF48" s="95"/>
      <c r="AG48" s="96"/>
    </row>
    <row r="49" customFormat="false" ht="11.1" hidden="false" customHeight="true" outlineLevel="0" collapsed="false">
      <c r="A49" s="54" t="s">
        <v>54</v>
      </c>
      <c r="B49" s="54"/>
      <c r="C49" s="55"/>
      <c r="D49" s="55" t="n">
        <f aca="false">D8+D43</f>
        <v>117930</v>
      </c>
      <c r="E49" s="55" t="n">
        <f aca="false">E40</f>
        <v>183395</v>
      </c>
      <c r="F49" s="55" t="n">
        <f aca="false">F48*$D$2</f>
        <v>117930</v>
      </c>
      <c r="G49" s="55" t="n">
        <f aca="false">G48*$D$2</f>
        <v>162968.327</v>
      </c>
      <c r="H49" s="56" t="n">
        <f aca="false">H48*$D$2</f>
        <v>7462.24436</v>
      </c>
      <c r="I49" s="55" t="n">
        <f aca="false">I48*$D$2</f>
        <v>170430.57136</v>
      </c>
      <c r="J49" s="55" t="n">
        <f aca="false">J48*$D$2</f>
        <v>18987.52886</v>
      </c>
      <c r="K49" s="55" t="n">
        <f aca="false">K48*$D$2</f>
        <v>189418.10022</v>
      </c>
      <c r="L49" s="55" t="n">
        <f aca="false">L48*$D$2</f>
        <v>17023.305325</v>
      </c>
      <c r="M49" s="55" t="n">
        <f aca="false">M48*$D$2</f>
        <v>24969.4881</v>
      </c>
      <c r="N49" s="55" t="n">
        <f aca="false">N48*$D$2</f>
        <v>209.61628</v>
      </c>
      <c r="O49" s="55" t="n">
        <f aca="false">O48*$D$2</f>
        <v>7475.80852475</v>
      </c>
      <c r="P49" s="55" t="n">
        <f aca="false">P48*$D$2</f>
        <v>17284.06329525</v>
      </c>
      <c r="Q49" s="55" t="n">
        <f aca="false">Q48*$D$2</f>
        <v>10415.3585</v>
      </c>
      <c r="R49" s="55" t="n">
        <f aca="false">R48*$D$2</f>
        <v>4698.9115</v>
      </c>
      <c r="S49" s="55" t="n">
        <f aca="false">S48*$D$2</f>
        <v>32398.33329525</v>
      </c>
      <c r="T49" s="55" t="n">
        <f aca="false">T48*$D$2</f>
        <v>0</v>
      </c>
      <c r="U49" s="55" t="n">
        <f aca="false">U48*$D$2</f>
        <v>11917.879585</v>
      </c>
      <c r="V49" s="55" t="n">
        <f aca="false">V48*$D$2</f>
        <v>17522.239</v>
      </c>
      <c r="W49" s="55" t="n">
        <f aca="false">W48*$D$2</f>
        <v>28183.5515</v>
      </c>
      <c r="X49" s="55" t="n">
        <f aca="false">X48*$D$2</f>
        <v>69523.876685</v>
      </c>
      <c r="Y49" s="55" t="n">
        <f aca="false">Y48*$D$2</f>
        <v>1964.223535</v>
      </c>
      <c r="Z49" s="55" t="n">
        <f aca="false">Z48*$D$2</f>
        <v>71488.10022</v>
      </c>
      <c r="AA49" s="58"/>
      <c r="AB49" s="59"/>
      <c r="AC49" s="59"/>
      <c r="AD49" s="60"/>
      <c r="AE49" s="95"/>
      <c r="AF49" s="95"/>
      <c r="AG49" s="96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5"/>
      <c r="AF50" s="95"/>
      <c r="AG50" s="96"/>
    </row>
    <row r="51" customFormat="false" ht="11.1" hidden="false" customHeight="true" outlineLevel="0" collapsed="false">
      <c r="A51" s="117"/>
      <c r="B51" s="86"/>
      <c r="C51" s="55"/>
      <c r="D51" s="54"/>
      <c r="E51" s="55"/>
      <c r="F51" s="54"/>
      <c r="G51" s="54"/>
      <c r="H51" s="56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5"/>
      <c r="U51" s="54"/>
      <c r="V51" s="54"/>
      <c r="W51" s="55"/>
      <c r="X51" s="54"/>
      <c r="Y51" s="54"/>
      <c r="Z51" s="54"/>
      <c r="AA51" s="58"/>
      <c r="AB51" s="59"/>
      <c r="AC51" s="59"/>
      <c r="AD51" s="60"/>
      <c r="AE51" s="91"/>
      <c r="AF51" s="91"/>
    </row>
    <row r="52" customFormat="false" ht="11.1" hidden="false" customHeight="true" outlineLevel="0" collapsed="false">
      <c r="A52" s="54"/>
      <c r="B52" s="75"/>
      <c r="C52" s="55"/>
      <c r="D52" s="84"/>
      <c r="E52" s="55"/>
      <c r="F52" s="54"/>
      <c r="G52" s="84"/>
      <c r="H52" s="56"/>
      <c r="I52" s="103"/>
      <c r="J52" s="54"/>
      <c r="K52" s="45"/>
      <c r="L52" s="54"/>
      <c r="M52" s="54"/>
      <c r="N52" s="55"/>
      <c r="O52" s="118"/>
      <c r="P52" s="54"/>
      <c r="Q52" s="54"/>
      <c r="R52" s="55"/>
      <c r="S52" s="118"/>
      <c r="T52" s="55"/>
      <c r="U52" s="54"/>
      <c r="V52" s="55"/>
      <c r="W52" s="116"/>
      <c r="X52" s="54"/>
      <c r="Y52" s="54"/>
      <c r="Z52" s="56"/>
      <c r="AA52" s="58"/>
      <c r="AB52" s="59"/>
      <c r="AC52" s="60"/>
      <c r="AD52" s="91"/>
      <c r="AE52" s="91"/>
    </row>
    <row r="53" customFormat="false" ht="11.1" hidden="false" customHeight="true" outlineLevel="0" collapsed="false">
      <c r="A53" s="84"/>
      <c r="B53" s="84"/>
      <c r="C53" s="55"/>
      <c r="D53" s="55"/>
      <c r="E53" s="55"/>
      <c r="F53" s="84"/>
      <c r="G53" s="84"/>
      <c r="H53" s="56"/>
      <c r="I53" s="55"/>
      <c r="J53" s="84"/>
      <c r="K53" s="84"/>
      <c r="L53" s="83"/>
      <c r="M53" s="0"/>
      <c r="N53" s="103"/>
      <c r="O53" s="83"/>
      <c r="P53" s="84"/>
      <c r="Q53" s="84"/>
      <c r="R53" s="103"/>
      <c r="S53" s="55"/>
      <c r="T53" s="119"/>
      <c r="U53" s="84"/>
      <c r="V53" s="55"/>
      <c r="W53" s="84"/>
      <c r="X53" s="84"/>
      <c r="Y53" s="84"/>
      <c r="Z53" s="56"/>
      <c r="AA53" s="58"/>
      <c r="AB53" s="59"/>
      <c r="AC53" s="60"/>
      <c r="AD53" s="101"/>
      <c r="AE53" s="101"/>
    </row>
    <row r="54" customFormat="false" ht="11.1" hidden="false" customHeight="true" outlineLevel="0" collapsed="false">
      <c r="A54" s="84"/>
      <c r="B54" s="56"/>
      <c r="C54" s="55"/>
      <c r="D54" s="55"/>
      <c r="E54" s="55"/>
      <c r="F54" s="84"/>
      <c r="G54" s="84"/>
      <c r="H54" s="56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5"/>
      <c r="T54" s="84"/>
      <c r="U54" s="55"/>
      <c r="V54" s="55"/>
      <c r="W54" s="84"/>
      <c r="X54" s="84"/>
      <c r="Y54" s="84"/>
      <c r="Z54" s="56"/>
      <c r="AA54" s="58"/>
      <c r="AB54" s="59"/>
      <c r="AC54" s="60"/>
      <c r="AD54" s="101"/>
      <c r="AE54" s="101"/>
    </row>
    <row r="55" customFormat="false" ht="11.1" hidden="false" customHeight="true" outlineLevel="0" collapsed="false">
      <c r="A55" s="84"/>
      <c r="B55" s="0"/>
      <c r="C55" s="55"/>
      <c r="D55" s="0"/>
      <c r="E55" s="55"/>
      <c r="F55" s="84"/>
      <c r="G55" s="120"/>
      <c r="H55" s="121"/>
      <c r="I55" s="122"/>
      <c r="J55" s="84"/>
      <c r="K55" s="84"/>
      <c r="L55" s="84"/>
      <c r="M55" s="83"/>
      <c r="N55" s="83"/>
      <c r="O55" s="83"/>
      <c r="P55" s="84"/>
      <c r="Q55" s="84"/>
      <c r="R55" s="84"/>
      <c r="S55" s="55"/>
      <c r="T55" s="84"/>
      <c r="U55" s="84"/>
      <c r="V55" s="55"/>
      <c r="W55" s="84"/>
      <c r="X55" s="84"/>
      <c r="Y55" s="84"/>
      <c r="Z55" s="56"/>
      <c r="AA55" s="58"/>
      <c r="AB55" s="59"/>
      <c r="AC55" s="60"/>
      <c r="AD55" s="101"/>
      <c r="AE55" s="101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I10" activePane="bottomRight" state="frozen"/>
      <selection pane="topLeft" activeCell="A1" activeCellId="0" sqref="A1"/>
      <selection pane="topRight" activeCell="I1" activeCellId="0" sqref="I1"/>
      <selection pane="bottomLeft" activeCell="A10" activeCellId="0" sqref="A10"/>
      <selection pane="bottomRight" activeCell="S10" activeCellId="0" sqref="S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4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2" width="8.1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6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11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9"/>
      <c r="AA1" s="11"/>
      <c r="AB1" s="12"/>
      <c r="AC1" s="13"/>
      <c r="AD1" s="106"/>
      <c r="AE1" s="106"/>
    </row>
    <row r="2" customFormat="false" ht="14.1" hidden="false" customHeight="true" outlineLevel="0" collapsed="false">
      <c r="A2" s="7" t="s">
        <v>1</v>
      </c>
      <c r="B2" s="7"/>
      <c r="C2" s="8"/>
      <c r="D2" s="14" t="n">
        <v>1.9835</v>
      </c>
      <c r="E2" s="8"/>
      <c r="F2" s="7"/>
      <c r="G2" s="7"/>
      <c r="H2" s="11"/>
      <c r="I2" s="7"/>
      <c r="J2" s="7"/>
      <c r="K2" s="107" t="s">
        <v>72</v>
      </c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7"/>
      <c r="X2" s="7"/>
      <c r="Y2" s="7"/>
      <c r="Z2" s="9"/>
      <c r="AA2" s="11"/>
      <c r="AB2" s="12"/>
      <c r="AC2" s="13"/>
      <c r="AD2" s="106"/>
      <c r="AE2" s="106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11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9"/>
      <c r="AA3" s="11"/>
      <c r="AB3" s="12"/>
      <c r="AC3" s="13"/>
      <c r="AD3" s="106"/>
      <c r="AE3" s="106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20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  <c r="AE4" s="106"/>
      <c r="AF4" s="106"/>
    </row>
    <row r="5" customFormat="false" ht="11.1" hidden="false" customHeight="true" outlineLevel="0" collapsed="false">
      <c r="A5" s="22" t="s">
        <v>73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20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16" t="s">
        <v>66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73</v>
      </c>
      <c r="AE5" s="106"/>
      <c r="AF5" s="106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123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7"/>
      <c r="X6" s="26"/>
      <c r="Y6" s="26"/>
      <c r="Z6" s="26"/>
      <c r="AA6" s="11"/>
      <c r="AB6" s="13"/>
      <c r="AC6" s="13"/>
      <c r="AD6" s="13"/>
      <c r="AG6" s="124"/>
    </row>
    <row r="7" customFormat="false" ht="11.1" hidden="false" customHeight="true" outlineLevel="0" collapsed="false">
      <c r="A7" s="7" t="s">
        <v>44</v>
      </c>
      <c r="B7" s="7"/>
      <c r="C7" s="8"/>
      <c r="D7" s="8"/>
      <c r="E7" s="8"/>
      <c r="F7" s="8" t="n">
        <f aca="false">MAY!F45</f>
        <v>54571.7166624653</v>
      </c>
      <c r="G7" s="8" t="n">
        <f aca="false">MAY!G45</f>
        <v>73205</v>
      </c>
      <c r="H7" s="11" t="n">
        <f aca="false">MAY!H45</f>
        <v>3383.26</v>
      </c>
      <c r="I7" s="8" t="n">
        <f aca="false">MAY!I45</f>
        <v>76588.26</v>
      </c>
      <c r="J7" s="8" t="n">
        <f aca="false">MAY!J45</f>
        <v>6604.81126796068</v>
      </c>
      <c r="K7" s="8" t="n">
        <f aca="false">MAY!K45</f>
        <v>83193.0712679607</v>
      </c>
      <c r="L7" s="8" t="n">
        <f aca="false">MAY!L45</f>
        <v>5866.96666246534</v>
      </c>
      <c r="M7" s="8" t="n">
        <f aca="false">MAY!M45</f>
        <v>11650</v>
      </c>
      <c r="N7" s="8" t="n">
        <f aca="false">MAY!N45</f>
        <v>79</v>
      </c>
      <c r="O7" s="8" t="n">
        <f aca="false">MAY!O45</f>
        <v>3689.115</v>
      </c>
      <c r="P7" s="8" t="n">
        <f aca="false">MAY!P45</f>
        <v>7881.885</v>
      </c>
      <c r="Q7" s="8" t="n">
        <f aca="false">MAY!Q45</f>
        <v>5251</v>
      </c>
      <c r="R7" s="8" t="n">
        <f aca="false">MAY!R45</f>
        <v>2369</v>
      </c>
      <c r="S7" s="8" t="n">
        <f aca="false">MAY!S45</f>
        <v>15501.885</v>
      </c>
      <c r="T7" s="8" t="n">
        <f aca="false">MAY!T45</f>
        <v>0</v>
      </c>
      <c r="U7" s="8" t="n">
        <f aca="false">MAY!U45</f>
        <v>6008.51</v>
      </c>
      <c r="V7" s="8" t="n">
        <f aca="false">MAY!V45</f>
        <v>2605</v>
      </c>
      <c r="W7" s="8"/>
      <c r="X7" s="8" t="n">
        <f aca="false">MAY!X45</f>
        <v>27883.51</v>
      </c>
      <c r="Y7" s="8" t="n">
        <f aca="false">MAY!Y45</f>
        <v>737.844605495337</v>
      </c>
      <c r="Z7" s="8" t="n">
        <f aca="false">MAY!Z45</f>
        <v>28621.3546054953</v>
      </c>
      <c r="AA7" s="11"/>
      <c r="AB7" s="12"/>
      <c r="AC7" s="12"/>
      <c r="AD7" s="13"/>
      <c r="AE7" s="110"/>
      <c r="AG7" s="125"/>
    </row>
    <row r="8" s="1" customFormat="true" ht="11.1" hidden="false" customHeight="true" outlineLevel="0" collapsed="false">
      <c r="A8" s="8" t="s">
        <v>45</v>
      </c>
      <c r="B8" s="31" t="n">
        <f aca="false">MAY!B40</f>
        <v>6913.31</v>
      </c>
      <c r="C8" s="8" t="n">
        <f aca="false">MAY!C40</f>
        <v>335395</v>
      </c>
      <c r="D8" s="8" t="n">
        <f aca="false">MAY!D49</f>
        <v>117930</v>
      </c>
      <c r="E8" s="8" t="n">
        <f aca="false">MAY!E49</f>
        <v>183395</v>
      </c>
      <c r="F8" s="8" t="n">
        <f aca="false">MAY!F48</f>
        <v>59455.5079405092</v>
      </c>
      <c r="G8" s="8" t="n">
        <f aca="false">MAY!G48</f>
        <v>82162</v>
      </c>
      <c r="H8" s="11" t="n">
        <f aca="false">MAY!H48</f>
        <v>3762.16</v>
      </c>
      <c r="I8" s="8" t="n">
        <f aca="false">MAY!I48</f>
        <v>85924.16</v>
      </c>
      <c r="J8" s="8" t="n">
        <f aca="false">MAY!J48</f>
        <v>9572.73953113184</v>
      </c>
      <c r="K8" s="8" t="n">
        <f aca="false">MAY!K48</f>
        <v>95496.8995311318</v>
      </c>
      <c r="L8" s="8" t="n">
        <f aca="false">MAY!L48</f>
        <v>8582.4579405092</v>
      </c>
      <c r="M8" s="8" t="n">
        <f aca="false">MAY!M48</f>
        <v>12588.6</v>
      </c>
      <c r="N8" s="8" t="n">
        <f aca="false">MAY!N48</f>
        <v>105.68</v>
      </c>
      <c r="O8" s="8" t="n">
        <f aca="false">MAY!O48</f>
        <v>3768.9985</v>
      </c>
      <c r="P8" s="8" t="n">
        <f aca="false">MAY!P48</f>
        <v>8713.9215</v>
      </c>
      <c r="Q8" s="8" t="n">
        <f aca="false">MAY!Q48</f>
        <v>5251</v>
      </c>
      <c r="R8" s="8" t="n">
        <f aca="false">MAY!R48</f>
        <v>2369</v>
      </c>
      <c r="S8" s="8" t="n">
        <f aca="false">MAY!S48</f>
        <v>16333.9215</v>
      </c>
      <c r="T8" s="8" t="n">
        <f aca="false">MAY!T48</f>
        <v>0</v>
      </c>
      <c r="U8" s="8" t="n">
        <f aca="false">MAY!U48</f>
        <v>6008.51</v>
      </c>
      <c r="V8" s="8" t="n">
        <f aca="false">MAY!V48</f>
        <v>8834</v>
      </c>
      <c r="W8" s="8" t="n">
        <f aca="false">MAY!W48</f>
        <v>14209</v>
      </c>
      <c r="X8" s="8" t="n">
        <f aca="false">MAY!X48</f>
        <v>35051.11</v>
      </c>
      <c r="Y8" s="8" t="n">
        <f aca="false">MAY!Y48</f>
        <v>990.281590622637</v>
      </c>
      <c r="Z8" s="8" t="n">
        <f aca="false">MAY!Z48</f>
        <v>36041.3915906226</v>
      </c>
      <c r="AA8" s="11" t="n">
        <f aca="false">MAY!AA48</f>
        <v>6.35</v>
      </c>
      <c r="AB8" s="12"/>
      <c r="AC8" s="12"/>
      <c r="AD8" s="13"/>
      <c r="AE8" s="126"/>
      <c r="AF8" s="126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6"/>
      <c r="I9" s="32"/>
      <c r="J9" s="32"/>
      <c r="K9" s="32"/>
      <c r="L9" s="32"/>
      <c r="M9" s="32"/>
      <c r="N9" s="32"/>
      <c r="O9" s="32" t="n">
        <v>0</v>
      </c>
      <c r="P9" s="32"/>
      <c r="Q9" s="32"/>
      <c r="R9" s="32" t="n">
        <v>0</v>
      </c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  <c r="AE9" s="106"/>
      <c r="AF9" s="106"/>
    </row>
    <row r="10" customFormat="false" ht="11.1" hidden="false" customHeight="true" outlineLevel="0" collapsed="false">
      <c r="A10" s="13" t="n">
        <v>1</v>
      </c>
      <c r="B10" s="31" t="n">
        <v>6913.56</v>
      </c>
      <c r="C10" s="8" t="n">
        <v>336422</v>
      </c>
      <c r="D10" s="12" t="n">
        <f aca="false">C10-C8</f>
        <v>1027</v>
      </c>
      <c r="E10" s="8" t="n">
        <f aca="false">C10-152000</f>
        <v>184422</v>
      </c>
      <c r="F10" s="7" t="n">
        <f aca="false">D10/$D$2</f>
        <v>517.771615830603</v>
      </c>
      <c r="G10" s="7" t="n">
        <v>1400</v>
      </c>
      <c r="H10" s="11" t="n">
        <v>0.49</v>
      </c>
      <c r="I10" s="7" t="n">
        <f aca="false">G10+H10</f>
        <v>1400.49</v>
      </c>
      <c r="J10" s="112" t="n">
        <f aca="false">IF(L10&gt;0,L10,0)</f>
        <v>2.7916158306025</v>
      </c>
      <c r="K10" s="7" t="n">
        <f aca="false">I10+J10</f>
        <v>1403.2816158306</v>
      </c>
      <c r="L10" s="7" t="n">
        <f aca="false">F10-(I10-X10)</f>
        <v>2.7916158306025</v>
      </c>
      <c r="M10" s="7" t="n">
        <v>338</v>
      </c>
      <c r="N10" s="7" t="n">
        <v>2</v>
      </c>
      <c r="O10" s="54" t="n">
        <f aca="false">113.12*1.05</f>
        <v>118.776</v>
      </c>
      <c r="P10" s="7" t="n">
        <f aca="false">M10-(N10+O10)</f>
        <v>217.224</v>
      </c>
      <c r="Q10" s="7" t="n">
        <v>204</v>
      </c>
      <c r="R10" s="7" t="n">
        <v>89</v>
      </c>
      <c r="S10" s="7" t="n">
        <f aca="false">SUM(P10:R10)</f>
        <v>510.224</v>
      </c>
      <c r="T10" s="8"/>
      <c r="U10" s="7" t="n">
        <v>205.51</v>
      </c>
      <c r="V10" s="7" t="n">
        <v>49</v>
      </c>
      <c r="W10" s="8" t="n">
        <f aca="false">W8-V10</f>
        <v>14160</v>
      </c>
      <c r="X10" s="7" t="n">
        <f aca="false">N10+O10+S10+U10+V10</f>
        <v>885.51</v>
      </c>
      <c r="Y10" s="7" t="n">
        <f aca="false">IF(L10&lt;0,L10*-1,0)</f>
        <v>0</v>
      </c>
      <c r="Z10" s="7" t="n">
        <f aca="false">X10+Y10</f>
        <v>885.51</v>
      </c>
      <c r="AA10" s="11" t="n">
        <v>0</v>
      </c>
      <c r="AB10" s="12" t="n">
        <v>83</v>
      </c>
      <c r="AC10" s="12" t="n">
        <v>47</v>
      </c>
      <c r="AD10" s="13" t="n">
        <v>1</v>
      </c>
      <c r="AE10" s="12"/>
      <c r="AF10" s="12"/>
      <c r="AG10" s="127"/>
      <c r="AH10" s="7"/>
    </row>
    <row r="11" customFormat="false" ht="11.1" hidden="false" customHeight="true" outlineLevel="0" collapsed="false">
      <c r="A11" s="13" t="n">
        <f aca="false">A10+1</f>
        <v>2</v>
      </c>
      <c r="B11" s="31" t="n">
        <v>6913.76</v>
      </c>
      <c r="C11" s="8" t="n">
        <v>337244</v>
      </c>
      <c r="D11" s="12" t="n">
        <f aca="false">C11-C10</f>
        <v>822</v>
      </c>
      <c r="E11" s="8" t="n">
        <f aca="false">C11-152000</f>
        <v>185244</v>
      </c>
      <c r="F11" s="7" t="n">
        <f aca="false">D11/$D$2</f>
        <v>414.418956390219</v>
      </c>
      <c r="G11" s="7" t="n">
        <v>1400</v>
      </c>
      <c r="H11" s="11" t="n">
        <v>0.37</v>
      </c>
      <c r="I11" s="7" t="n">
        <f aca="false">G11+H11</f>
        <v>1400.37</v>
      </c>
      <c r="J11" s="112" t="n">
        <f aca="false">IF(L11&gt;0,L11,0)</f>
        <v>0</v>
      </c>
      <c r="K11" s="7" t="n">
        <f aca="false">I11+J11</f>
        <v>1400.37</v>
      </c>
      <c r="L11" s="7" t="n">
        <f aca="false">F11-(I11-X11)</f>
        <v>-70.5210436097805</v>
      </c>
      <c r="M11" s="7" t="n">
        <v>361</v>
      </c>
      <c r="N11" s="7" t="n">
        <v>2</v>
      </c>
      <c r="O11" s="54" t="n">
        <f aca="false">105.28*1.05</f>
        <v>110.544</v>
      </c>
      <c r="P11" s="7" t="n">
        <f aca="false">M11-(N11+O11)</f>
        <v>248.456</v>
      </c>
      <c r="Q11" s="7" t="n">
        <v>204</v>
      </c>
      <c r="R11" s="7" t="n">
        <v>88</v>
      </c>
      <c r="S11" s="7" t="n">
        <f aca="false">SUM(P11:R11)</f>
        <v>540.456</v>
      </c>
      <c r="T11" s="55"/>
      <c r="U11" s="7" t="n">
        <v>204.43</v>
      </c>
      <c r="V11" s="7" t="n">
        <v>58</v>
      </c>
      <c r="W11" s="8" t="n">
        <f aca="false">W10-V11</f>
        <v>14102</v>
      </c>
      <c r="X11" s="7" t="n">
        <f aca="false">N11+O11+S11+U11+V11</f>
        <v>915.43</v>
      </c>
      <c r="Y11" s="7" t="n">
        <f aca="false">IF(L11&lt;0,L11*-1,0)</f>
        <v>70.5210436097805</v>
      </c>
      <c r="Z11" s="7" t="n">
        <f aca="false">X11+Y11</f>
        <v>985.951043609781</v>
      </c>
      <c r="AA11" s="11" t="n">
        <v>0</v>
      </c>
      <c r="AB11" s="12" t="n">
        <v>82</v>
      </c>
      <c r="AC11" s="12" t="n">
        <v>47</v>
      </c>
      <c r="AD11" s="13" t="n">
        <f aca="false">AD10+1</f>
        <v>2</v>
      </c>
      <c r="AE11" s="12"/>
      <c r="AF11" s="12"/>
      <c r="AH11" s="7"/>
    </row>
    <row r="12" customFormat="false" ht="11.1" hidden="false" customHeight="true" outlineLevel="0" collapsed="false">
      <c r="A12" s="13" t="n">
        <f aca="false">A11+1</f>
        <v>3</v>
      </c>
      <c r="B12" s="31" t="n">
        <v>6913.94</v>
      </c>
      <c r="C12" s="8" t="n">
        <v>337984</v>
      </c>
      <c r="D12" s="12" t="n">
        <f aca="false">C12-C11</f>
        <v>740</v>
      </c>
      <c r="E12" s="8" t="n">
        <f aca="false">C12-152000</f>
        <v>185984</v>
      </c>
      <c r="F12" s="7" t="n">
        <f aca="false">D12/$D$2</f>
        <v>373.077892614066</v>
      </c>
      <c r="G12" s="7" t="n">
        <v>1310</v>
      </c>
      <c r="H12" s="11" t="n">
        <v>0.32</v>
      </c>
      <c r="I12" s="7" t="n">
        <f aca="false">G12+H12</f>
        <v>1310.32</v>
      </c>
      <c r="J12" s="112" t="n">
        <f aca="false">IF(L12&gt;0,L12,0)</f>
        <v>0</v>
      </c>
      <c r="K12" s="7" t="n">
        <f aca="false">I12+J12</f>
        <v>1310.32</v>
      </c>
      <c r="L12" s="7" t="n">
        <f aca="false">F12-(I12-X12)</f>
        <v>-52.0021073859339</v>
      </c>
      <c r="M12" s="7" t="n">
        <v>349</v>
      </c>
      <c r="N12" s="7" t="n">
        <v>2</v>
      </c>
      <c r="O12" s="7" t="n">
        <f aca="false">110.59*1.05</f>
        <v>116.1195</v>
      </c>
      <c r="P12" s="7" t="n">
        <f aca="false">M12-(N12+O12)</f>
        <v>230.8805</v>
      </c>
      <c r="Q12" s="7" t="n">
        <v>206</v>
      </c>
      <c r="R12" s="7" t="n">
        <v>89</v>
      </c>
      <c r="S12" s="7" t="n">
        <f aca="false">SUM(P12:R12)</f>
        <v>525.8805</v>
      </c>
      <c r="T12" s="55"/>
      <c r="U12" s="7" t="n">
        <v>174.24</v>
      </c>
      <c r="V12" s="7" t="n">
        <v>67</v>
      </c>
      <c r="W12" s="8" t="n">
        <f aca="false">W11-V12</f>
        <v>14035</v>
      </c>
      <c r="X12" s="7" t="n">
        <f aca="false">N12+O12+S12+U12+V12</f>
        <v>885.24</v>
      </c>
      <c r="Y12" s="7" t="n">
        <f aca="false">IF(L12&lt;0,L12*-1,0)</f>
        <v>52.0021073859339</v>
      </c>
      <c r="Z12" s="7" t="n">
        <f aca="false">X12+Y12</f>
        <v>937.242107385934</v>
      </c>
      <c r="AA12" s="11" t="n">
        <v>0</v>
      </c>
      <c r="AB12" s="12" t="n">
        <v>76</v>
      </c>
      <c r="AC12" s="12" t="n">
        <v>56</v>
      </c>
      <c r="AD12" s="13" t="n">
        <f aca="false">AD11+1</f>
        <v>3</v>
      </c>
      <c r="AE12" s="12"/>
      <c r="AF12" s="12"/>
      <c r="AH12" s="7"/>
    </row>
    <row r="13" customFormat="false" ht="11.1" hidden="false" customHeight="true" outlineLevel="0" collapsed="false">
      <c r="A13" s="13" t="n">
        <f aca="false">A12+1</f>
        <v>4</v>
      </c>
      <c r="B13" s="31" t="n">
        <v>6914.11</v>
      </c>
      <c r="C13" s="8" t="n">
        <v>338686</v>
      </c>
      <c r="D13" s="12" t="n">
        <f aca="false">C13-C12</f>
        <v>702</v>
      </c>
      <c r="E13" s="8" t="n">
        <f aca="false">C13-152000</f>
        <v>186686</v>
      </c>
      <c r="F13" s="7" t="n">
        <f aca="false">D13/$D$2</f>
        <v>353.919838669019</v>
      </c>
      <c r="G13" s="7" t="n">
        <v>1190</v>
      </c>
      <c r="H13" s="11" t="n">
        <v>0.25</v>
      </c>
      <c r="I13" s="7" t="n">
        <f aca="false">G13+H13</f>
        <v>1190.25</v>
      </c>
      <c r="J13" s="112" t="n">
        <f aca="false">IF(L13&gt;0,L13,0)</f>
        <v>0</v>
      </c>
      <c r="K13" s="7" t="n">
        <f aca="false">I13+J13</f>
        <v>1190.25</v>
      </c>
      <c r="L13" s="7" t="n">
        <f aca="false">F13-(I13-X13)</f>
        <v>-28.2801613309807</v>
      </c>
      <c r="M13" s="7" t="n">
        <v>327</v>
      </c>
      <c r="N13" s="7" t="n">
        <v>2</v>
      </c>
      <c r="O13" s="7" t="n">
        <f aca="false">101.81*1.05</f>
        <v>106.9005</v>
      </c>
      <c r="P13" s="7" t="n">
        <f aca="false">M13-(N13+O13)</f>
        <v>218.0995</v>
      </c>
      <c r="Q13" s="7" t="n">
        <v>184</v>
      </c>
      <c r="R13" s="7" t="n">
        <v>90</v>
      </c>
      <c r="S13" s="7" t="n">
        <f aca="false">SUM(P13:R13)</f>
        <v>492.0995</v>
      </c>
      <c r="T13" s="55"/>
      <c r="U13" s="7" t="n">
        <v>141.05</v>
      </c>
      <c r="V13" s="7" t="n">
        <v>66</v>
      </c>
      <c r="W13" s="8" t="n">
        <f aca="false">W12-V13</f>
        <v>13969</v>
      </c>
      <c r="X13" s="7" t="n">
        <f aca="false">N13+O13+S13+U13+V13</f>
        <v>808.05</v>
      </c>
      <c r="Y13" s="7" t="n">
        <f aca="false">IF(L13&lt;0,L13*-1,0)</f>
        <v>28.2801613309807</v>
      </c>
      <c r="Z13" s="7" t="n">
        <f aca="false">X13+Y13</f>
        <v>836.330161330981</v>
      </c>
      <c r="AA13" s="11" t="n">
        <v>0</v>
      </c>
      <c r="AB13" s="12" t="n">
        <v>71</v>
      </c>
      <c r="AC13" s="12" t="n">
        <v>45</v>
      </c>
      <c r="AD13" s="13" t="n">
        <f aca="false">AD12+1</f>
        <v>4</v>
      </c>
      <c r="AE13" s="12"/>
      <c r="AF13" s="12"/>
      <c r="AH13" s="7"/>
    </row>
    <row r="14" customFormat="false" ht="11.1" hidden="false" customHeight="true" outlineLevel="0" collapsed="false">
      <c r="A14" s="13" t="n">
        <f aca="false">A13+1</f>
        <v>5</v>
      </c>
      <c r="B14" s="31" t="n">
        <v>6914.14</v>
      </c>
      <c r="C14" s="8" t="n">
        <v>338810</v>
      </c>
      <c r="D14" s="12" t="n">
        <f aca="false">C14-C13</f>
        <v>124</v>
      </c>
      <c r="E14" s="8" t="n">
        <f aca="false">C14-152000</f>
        <v>186810</v>
      </c>
      <c r="F14" s="7" t="n">
        <f aca="false">D14/$D$2</f>
        <v>62.5157549785732</v>
      </c>
      <c r="G14" s="7" t="n">
        <v>970</v>
      </c>
      <c r="H14" s="11" t="n">
        <v>0.21</v>
      </c>
      <c r="I14" s="7" t="n">
        <f aca="false">G14+H14</f>
        <v>970.21</v>
      </c>
      <c r="J14" s="112" t="n">
        <f aca="false">IF(L14&gt;0,L14,0)</f>
        <v>0</v>
      </c>
      <c r="K14" s="7" t="n">
        <f aca="false">I14+J14</f>
        <v>970.21</v>
      </c>
      <c r="L14" s="7" t="n">
        <f aca="false">F14-(I14-X14)</f>
        <v>-106.354245021427</v>
      </c>
      <c r="M14" s="7" t="n">
        <v>325</v>
      </c>
      <c r="N14" s="7" t="n">
        <v>2</v>
      </c>
      <c r="O14" s="7" t="n">
        <f aca="false">96.59*1.05</f>
        <v>101.4195</v>
      </c>
      <c r="P14" s="7" t="n">
        <f aca="false">M14-(N14+O14)</f>
        <v>221.5805</v>
      </c>
      <c r="Q14" s="7" t="n">
        <v>171</v>
      </c>
      <c r="R14" s="7" t="n">
        <v>85</v>
      </c>
      <c r="S14" s="7" t="n">
        <f aca="false">SUM(P14:R14)</f>
        <v>477.5805</v>
      </c>
      <c r="T14" s="55"/>
      <c r="U14" s="7" t="n">
        <v>154.34</v>
      </c>
      <c r="V14" s="7" t="n">
        <v>66</v>
      </c>
      <c r="W14" s="8" t="n">
        <f aca="false">W13-V14</f>
        <v>13903</v>
      </c>
      <c r="X14" s="7" t="n">
        <f aca="false">N14+O14+S14+U14+V14</f>
        <v>801.34</v>
      </c>
      <c r="Y14" s="7" t="n">
        <f aca="false">IF(L14&lt;0,L14*-1,0)</f>
        <v>106.354245021427</v>
      </c>
      <c r="Z14" s="7" t="n">
        <f aca="false">X14+Y14</f>
        <v>907.694245021427</v>
      </c>
      <c r="AA14" s="11" t="n">
        <v>0</v>
      </c>
      <c r="AB14" s="12" t="n">
        <v>74</v>
      </c>
      <c r="AC14" s="12" t="n">
        <v>40</v>
      </c>
      <c r="AD14" s="13" t="n">
        <v>5</v>
      </c>
      <c r="AE14" s="12"/>
      <c r="AF14" s="12"/>
      <c r="AH14" s="7"/>
    </row>
    <row r="15" customFormat="false" ht="11.1" hidden="false" customHeight="true" outlineLevel="0" collapsed="false">
      <c r="A15" s="13" t="n">
        <f aca="false">A14+1</f>
        <v>6</v>
      </c>
      <c r="B15" s="31" t="n">
        <v>6914.18</v>
      </c>
      <c r="C15" s="8" t="n">
        <v>338976</v>
      </c>
      <c r="D15" s="12" t="n">
        <f aca="false">C15-C14</f>
        <v>166</v>
      </c>
      <c r="E15" s="8" t="n">
        <f aca="false">C15-152000</f>
        <v>186976</v>
      </c>
      <c r="F15" s="7" t="n">
        <f aca="false">D15/$D$2</f>
        <v>83.6904461809932</v>
      </c>
      <c r="G15" s="7" t="n">
        <v>894</v>
      </c>
      <c r="H15" s="11" t="n">
        <v>0.15</v>
      </c>
      <c r="I15" s="7" t="n">
        <f aca="false">G15+H15</f>
        <v>894.15</v>
      </c>
      <c r="J15" s="112" t="n">
        <f aca="false">IF(L15&gt;0,L15,0)</f>
        <v>0</v>
      </c>
      <c r="K15" s="7" t="n">
        <f aca="false">I15+J15</f>
        <v>894.15</v>
      </c>
      <c r="L15" s="7" t="n">
        <f aca="false">F15-(I15-X15)</f>
        <v>-54.3495538190068</v>
      </c>
      <c r="M15" s="7" t="n">
        <v>316</v>
      </c>
      <c r="N15" s="7" t="n">
        <v>2</v>
      </c>
      <c r="O15" s="7" t="n">
        <f aca="false">85.6*1.05</f>
        <v>89.88</v>
      </c>
      <c r="P15" s="7" t="n">
        <f aca="false">M15-(N15+O15)</f>
        <v>224.12</v>
      </c>
      <c r="Q15" s="7" t="n">
        <v>172</v>
      </c>
      <c r="R15" s="7" t="n">
        <v>81</v>
      </c>
      <c r="S15" s="7" t="n">
        <f aca="false">SUM(P15:R15)</f>
        <v>477.12</v>
      </c>
      <c r="T15" s="55"/>
      <c r="U15" s="7" t="n">
        <v>121.11</v>
      </c>
      <c r="V15" s="7" t="n">
        <v>66</v>
      </c>
      <c r="W15" s="8" t="n">
        <f aca="false">W14-V15</f>
        <v>13837</v>
      </c>
      <c r="X15" s="7" t="n">
        <f aca="false">N15+O15+S15+U15+V15</f>
        <v>756.11</v>
      </c>
      <c r="Y15" s="7" t="n">
        <f aca="false">IF(L15&lt;0,L15*-1,0)</f>
        <v>54.3495538190068</v>
      </c>
      <c r="Z15" s="7" t="n">
        <f aca="false">X15+Y15</f>
        <v>810.459553819007</v>
      </c>
      <c r="AA15" s="11" t="n">
        <v>0</v>
      </c>
      <c r="AB15" s="12" t="n">
        <v>83</v>
      </c>
      <c r="AC15" s="12" t="n">
        <v>46</v>
      </c>
      <c r="AD15" s="13" t="n">
        <f aca="false">AD14+1</f>
        <v>6</v>
      </c>
      <c r="AE15" s="12"/>
      <c r="AF15" s="12"/>
      <c r="AH15" s="7"/>
    </row>
    <row r="16" customFormat="false" ht="11.1" hidden="false" customHeight="true" outlineLevel="0" collapsed="false">
      <c r="A16" s="13" t="n">
        <f aca="false">A15+1</f>
        <v>7</v>
      </c>
      <c r="B16" s="31" t="n">
        <v>6914.24</v>
      </c>
      <c r="C16" s="8" t="n">
        <v>339225</v>
      </c>
      <c r="D16" s="12" t="n">
        <f aca="false">C16-C15</f>
        <v>249</v>
      </c>
      <c r="E16" s="8" t="n">
        <f aca="false">C16-152000</f>
        <v>187225</v>
      </c>
      <c r="F16" s="7" t="n">
        <f aca="false">D16/$D$2</f>
        <v>125.53566927149</v>
      </c>
      <c r="G16" s="7" t="n">
        <v>934</v>
      </c>
      <c r="H16" s="11" t="n">
        <v>0.12</v>
      </c>
      <c r="I16" s="7" t="n">
        <f aca="false">G16+H16</f>
        <v>934.12</v>
      </c>
      <c r="J16" s="112" t="n">
        <f aca="false">IF(L16&gt;0,L16,0)</f>
        <v>0</v>
      </c>
      <c r="K16" s="7" t="n">
        <f aca="false">I16+J16</f>
        <v>934.12</v>
      </c>
      <c r="L16" s="7" t="n">
        <f aca="false">F16-(I16-X16)</f>
        <v>-66.8443307285102</v>
      </c>
      <c r="M16" s="7" t="n">
        <v>315</v>
      </c>
      <c r="N16" s="7" t="n">
        <v>2</v>
      </c>
      <c r="O16" s="7" t="n">
        <f aca="false">86.29*1.05</f>
        <v>90.6045</v>
      </c>
      <c r="P16" s="7" t="n">
        <f aca="false">M16-(N16+O16)</f>
        <v>222.3955</v>
      </c>
      <c r="Q16" s="7" t="n">
        <v>174</v>
      </c>
      <c r="R16" s="7" t="n">
        <v>76</v>
      </c>
      <c r="S16" s="7" t="n">
        <f aca="false">SUM(P16:R16)</f>
        <v>472.3955</v>
      </c>
      <c r="T16" s="55"/>
      <c r="U16" s="7" t="n">
        <v>110.74</v>
      </c>
      <c r="V16" s="7" t="n">
        <v>66</v>
      </c>
      <c r="W16" s="8" t="n">
        <f aca="false">W15-V16</f>
        <v>13771</v>
      </c>
      <c r="X16" s="7" t="n">
        <f aca="false">N16+O16+S16+U16+V16</f>
        <v>741.74</v>
      </c>
      <c r="Y16" s="7" t="n">
        <f aca="false">IF(L16&lt;0,L16*-1,0)</f>
        <v>66.8443307285102</v>
      </c>
      <c r="Z16" s="7" t="n">
        <f aca="false">X16+Y16</f>
        <v>808.58433072851</v>
      </c>
      <c r="AA16" s="11" t="n">
        <v>0</v>
      </c>
      <c r="AB16" s="12" t="n">
        <v>88</v>
      </c>
      <c r="AC16" s="12" t="n">
        <v>54</v>
      </c>
      <c r="AD16" s="13" t="n">
        <f aca="false">AD15+1</f>
        <v>7</v>
      </c>
      <c r="AE16" s="12"/>
      <c r="AF16" s="12"/>
      <c r="AH16" s="7"/>
    </row>
    <row r="17" customFormat="false" ht="11.1" hidden="false" customHeight="true" outlineLevel="0" collapsed="false">
      <c r="A17" s="13" t="n">
        <f aca="false">A16+1</f>
        <v>8</v>
      </c>
      <c r="B17" s="31" t="n">
        <v>6914.29</v>
      </c>
      <c r="C17" s="8" t="n">
        <v>339432</v>
      </c>
      <c r="D17" s="12" t="n">
        <f aca="false">C17-C16</f>
        <v>207</v>
      </c>
      <c r="E17" s="8" t="n">
        <f aca="false">C17-152000</f>
        <v>187432</v>
      </c>
      <c r="F17" s="7" t="n">
        <f aca="false">D17/$D$2</f>
        <v>104.36097806907</v>
      </c>
      <c r="G17" s="7" t="n">
        <v>922</v>
      </c>
      <c r="H17" s="11" t="n">
        <v>0.12</v>
      </c>
      <c r="I17" s="7" t="n">
        <f aca="false">G17+H17</f>
        <v>922.12</v>
      </c>
      <c r="J17" s="112" t="n">
        <f aca="false">IF(L17&gt;0,L17,0)</f>
        <v>0</v>
      </c>
      <c r="K17" s="7" t="n">
        <f aca="false">I17+J17</f>
        <v>922.12</v>
      </c>
      <c r="L17" s="7" t="n">
        <f aca="false">F17-(I17-X17)</f>
        <v>-52.5390219309301</v>
      </c>
      <c r="M17" s="7" t="n">
        <v>327</v>
      </c>
      <c r="N17" s="7" t="n">
        <v>2</v>
      </c>
      <c r="O17" s="7" t="n">
        <v>92.3</v>
      </c>
      <c r="P17" s="7" t="n">
        <f aca="false">M17-(N17+O17)</f>
        <v>232.7</v>
      </c>
      <c r="Q17" s="7" t="n">
        <v>173</v>
      </c>
      <c r="R17" s="7" t="n">
        <v>74</v>
      </c>
      <c r="S17" s="7" t="n">
        <f aca="false">SUM(P17:R17)</f>
        <v>479.7</v>
      </c>
      <c r="T17" s="55"/>
      <c r="U17" s="7" t="n">
        <v>125.22</v>
      </c>
      <c r="V17" s="7" t="n">
        <v>66</v>
      </c>
      <c r="W17" s="8" t="n">
        <f aca="false">W16-V17</f>
        <v>13705</v>
      </c>
      <c r="X17" s="7" t="n">
        <f aca="false">N17+O17+S17+U17+V17</f>
        <v>765.22</v>
      </c>
      <c r="Y17" s="7" t="n">
        <f aca="false">IF(L17&lt;0,L17*-1,0)</f>
        <v>52.5390219309301</v>
      </c>
      <c r="Z17" s="7" t="n">
        <f aca="false">X17+Y17</f>
        <v>817.75902193093</v>
      </c>
      <c r="AA17" s="11" t="n">
        <v>0</v>
      </c>
      <c r="AB17" s="12" t="n">
        <v>85</v>
      </c>
      <c r="AC17" s="12" t="n">
        <v>52</v>
      </c>
      <c r="AD17" s="13" t="n">
        <f aca="false">AD16+1</f>
        <v>8</v>
      </c>
      <c r="AE17" s="12"/>
      <c r="AF17" s="12"/>
      <c r="AH17" s="7"/>
    </row>
    <row r="18" customFormat="false" ht="11.1" hidden="false" customHeight="true" outlineLevel="0" collapsed="false">
      <c r="A18" s="13" t="n">
        <f aca="false">A17+1</f>
        <v>9</v>
      </c>
      <c r="B18" s="31" t="n">
        <v>6914.33</v>
      </c>
      <c r="C18" s="8" t="n">
        <v>339597</v>
      </c>
      <c r="D18" s="12" t="n">
        <f aca="false">C18-C17</f>
        <v>165</v>
      </c>
      <c r="E18" s="8" t="n">
        <f aca="false">C18-152000</f>
        <v>187597</v>
      </c>
      <c r="F18" s="7" t="n">
        <f aca="false">D18/$D$2</f>
        <v>83.1862868666499</v>
      </c>
      <c r="G18" s="7" t="n">
        <v>885</v>
      </c>
      <c r="H18" s="11" t="n">
        <v>0.12</v>
      </c>
      <c r="I18" s="7" t="n">
        <f aca="false">G18+H18</f>
        <v>885.12</v>
      </c>
      <c r="J18" s="112" t="n">
        <f aca="false">IF(L18&gt;0,L18,0)</f>
        <v>0</v>
      </c>
      <c r="K18" s="7" t="n">
        <f aca="false">I18+J18</f>
        <v>885.12</v>
      </c>
      <c r="L18" s="7" t="n">
        <f aca="false">F18-(I18-X18)</f>
        <v>-68.8537131333501</v>
      </c>
      <c r="M18" s="7" t="n">
        <v>313</v>
      </c>
      <c r="N18" s="7" t="n">
        <v>2</v>
      </c>
      <c r="O18" s="7" t="n">
        <v>87.61</v>
      </c>
      <c r="P18" s="7" t="n">
        <f aca="false">M18-(N18+O18)</f>
        <v>223.39</v>
      </c>
      <c r="Q18" s="7" t="n">
        <v>175</v>
      </c>
      <c r="R18" s="7" t="n">
        <v>75</v>
      </c>
      <c r="S18" s="7" t="n">
        <f aca="false">SUM(P18:R18)</f>
        <v>473.39</v>
      </c>
      <c r="T18" s="55"/>
      <c r="U18" s="7" t="n">
        <v>103.08</v>
      </c>
      <c r="V18" s="7" t="n">
        <v>67</v>
      </c>
      <c r="W18" s="8" t="n">
        <f aca="false">W17-V18</f>
        <v>13638</v>
      </c>
      <c r="X18" s="7" t="n">
        <f aca="false">N18+O18+S18+U18+V18</f>
        <v>733.08</v>
      </c>
      <c r="Y18" s="7" t="n">
        <f aca="false">IF(L18&lt;0,L18*-1,0)</f>
        <v>68.8537131333501</v>
      </c>
      <c r="Z18" s="7" t="n">
        <f aca="false">X18+Y18</f>
        <v>801.93371313335</v>
      </c>
      <c r="AA18" s="11" t="n">
        <v>0</v>
      </c>
      <c r="AB18" s="12" t="n">
        <v>85</v>
      </c>
      <c r="AC18" s="12" t="n">
        <v>54</v>
      </c>
      <c r="AD18" s="13" t="n">
        <f aca="false">AD17+1</f>
        <v>9</v>
      </c>
      <c r="AE18" s="12"/>
      <c r="AF18" s="12"/>
      <c r="AH18" s="7"/>
    </row>
    <row r="19" customFormat="false" ht="11.1" hidden="false" customHeight="true" outlineLevel="0" collapsed="false">
      <c r="A19" s="13" t="n">
        <f aca="false">A18+1</f>
        <v>10</v>
      </c>
      <c r="B19" s="31" t="n">
        <v>6914.39</v>
      </c>
      <c r="C19" s="8" t="n">
        <v>339846</v>
      </c>
      <c r="D19" s="12" t="n">
        <f aca="false">C19-C18</f>
        <v>249</v>
      </c>
      <c r="E19" s="8" t="n">
        <f aca="false">C19-152000</f>
        <v>187846</v>
      </c>
      <c r="F19" s="7" t="n">
        <f aca="false">D19/$D$2</f>
        <v>125.53566927149</v>
      </c>
      <c r="G19" s="7" t="n">
        <v>884</v>
      </c>
      <c r="H19" s="11" t="n">
        <v>0.11</v>
      </c>
      <c r="I19" s="7" t="n">
        <f aca="false">G19+H19</f>
        <v>884.11</v>
      </c>
      <c r="J19" s="112" t="n">
        <f aca="false">IF(L19&gt;0,L19,0)</f>
        <v>0</v>
      </c>
      <c r="K19" s="7" t="n">
        <f aca="false">I19+J19</f>
        <v>884.11</v>
      </c>
      <c r="L19" s="7" t="n">
        <f aca="false">F19-(I19-X19)</f>
        <v>-3.60433072851019</v>
      </c>
      <c r="M19" s="7" t="n">
        <v>317</v>
      </c>
      <c r="N19" s="7" t="n">
        <v>2</v>
      </c>
      <c r="O19" s="7" t="n">
        <v>87.02</v>
      </c>
      <c r="P19" s="7" t="n">
        <f aca="false">M19-(N19+O19)</f>
        <v>227.98</v>
      </c>
      <c r="Q19" s="7" t="n">
        <v>173</v>
      </c>
      <c r="R19" s="7" t="n">
        <v>75</v>
      </c>
      <c r="S19" s="7" t="n">
        <f aca="false">SUM(P19:R19)</f>
        <v>475.98</v>
      </c>
      <c r="T19" s="55"/>
      <c r="U19" s="7" t="n">
        <v>122.97</v>
      </c>
      <c r="V19" s="7" t="n">
        <v>67</v>
      </c>
      <c r="W19" s="8" t="n">
        <f aca="false">W18-V19</f>
        <v>13571</v>
      </c>
      <c r="X19" s="7" t="n">
        <f aca="false">N19+O19+S19+U19+V19</f>
        <v>754.97</v>
      </c>
      <c r="Y19" s="7" t="n">
        <f aca="false">IF(L19&lt;0,L19*-1,0)</f>
        <v>3.60433072851019</v>
      </c>
      <c r="Z19" s="7" t="n">
        <f aca="false">X19+Y19</f>
        <v>758.57433072851</v>
      </c>
      <c r="AA19" s="11" t="n">
        <v>0</v>
      </c>
      <c r="AB19" s="12" t="n">
        <v>86</v>
      </c>
      <c r="AC19" s="12" t="n">
        <v>51</v>
      </c>
      <c r="AD19" s="13" t="n">
        <f aca="false">AD18+1</f>
        <v>10</v>
      </c>
      <c r="AE19" s="12"/>
      <c r="AF19" s="12"/>
      <c r="AH19" s="7"/>
    </row>
    <row r="20" customFormat="false" ht="11.1" hidden="false" customHeight="true" outlineLevel="0" collapsed="false">
      <c r="A20" s="13" t="n">
        <f aca="false">A19+1</f>
        <v>11</v>
      </c>
      <c r="B20" s="31" t="n">
        <v>6914.38</v>
      </c>
      <c r="C20" s="8" t="n">
        <v>339804</v>
      </c>
      <c r="D20" s="12" t="n">
        <f aca="false">C20-C19</f>
        <v>-42</v>
      </c>
      <c r="E20" s="8" t="n">
        <f aca="false">C20-152000</f>
        <v>187804</v>
      </c>
      <c r="F20" s="7" t="n">
        <f aca="false">D20/$D$2</f>
        <v>-21.17469120242</v>
      </c>
      <c r="G20" s="7" t="n">
        <v>802</v>
      </c>
      <c r="H20" s="11" t="n">
        <v>0.21</v>
      </c>
      <c r="I20" s="7" t="n">
        <f aca="false">G20+H20</f>
        <v>802.21</v>
      </c>
      <c r="J20" s="112" t="n">
        <f aca="false">IF(L20&gt;0,L20,0)</f>
        <v>0</v>
      </c>
      <c r="K20" s="7" t="n">
        <f aca="false">I20+J20</f>
        <v>802.21</v>
      </c>
      <c r="L20" s="7" t="n">
        <f aca="false">F20-(I20-X20)</f>
        <v>-54.15469120242</v>
      </c>
      <c r="M20" s="7" t="n">
        <v>325</v>
      </c>
      <c r="N20" s="7" t="n">
        <v>2</v>
      </c>
      <c r="O20" s="7" t="n">
        <f aca="false">89.17*1.05</f>
        <v>93.6285</v>
      </c>
      <c r="P20" s="7" t="n">
        <f aca="false">M20-(N20+O20)</f>
        <v>229.3715</v>
      </c>
      <c r="Q20" s="7" t="n">
        <v>167</v>
      </c>
      <c r="R20" s="7" t="n">
        <v>76</v>
      </c>
      <c r="S20" s="7" t="n">
        <f aca="false">SUM(P20:R20)</f>
        <v>472.3715</v>
      </c>
      <c r="T20" s="55"/>
      <c r="U20" s="7" t="n">
        <v>134.23</v>
      </c>
      <c r="V20" s="7" t="n">
        <v>67</v>
      </c>
      <c r="W20" s="8" t="n">
        <f aca="false">W19-V20</f>
        <v>13504</v>
      </c>
      <c r="X20" s="7" t="n">
        <f aca="false">N20+O20+S20+U20+V20</f>
        <v>769.23</v>
      </c>
      <c r="Y20" s="7" t="n">
        <f aca="false">IF(L20&lt;0,L20*-1,0)</f>
        <v>54.15469120242</v>
      </c>
      <c r="Z20" s="7" t="n">
        <f aca="false">X20+Y20</f>
        <v>823.38469120242</v>
      </c>
      <c r="AA20" s="11" t="n">
        <v>0</v>
      </c>
      <c r="AB20" s="12" t="n">
        <v>84</v>
      </c>
      <c r="AC20" s="12" t="n">
        <v>48</v>
      </c>
      <c r="AD20" s="13" t="n">
        <f aca="false">AD19+1</f>
        <v>11</v>
      </c>
      <c r="AE20" s="12"/>
      <c r="AF20" s="12"/>
      <c r="AH20" s="7"/>
    </row>
    <row r="21" customFormat="false" ht="11.1" hidden="false" customHeight="true" outlineLevel="0" collapsed="false">
      <c r="A21" s="13" t="n">
        <f aca="false">A20+1</f>
        <v>12</v>
      </c>
      <c r="B21" s="31" t="n">
        <v>6914.24</v>
      </c>
      <c r="C21" s="8" t="n">
        <v>339225</v>
      </c>
      <c r="D21" s="12" t="n">
        <f aca="false">C21-C20</f>
        <v>-579</v>
      </c>
      <c r="E21" s="8" t="n">
        <f aca="false">C21-152000</f>
        <v>187225</v>
      </c>
      <c r="F21" s="7" t="n">
        <f aca="false">D21/$D$2</f>
        <v>-291.908243004789</v>
      </c>
      <c r="G21" s="7" t="n">
        <v>721</v>
      </c>
      <c r="H21" s="11" t="n">
        <v>0.24</v>
      </c>
      <c r="I21" s="7" t="n">
        <f aca="false">G21+H21</f>
        <v>721.24</v>
      </c>
      <c r="J21" s="112" t="n">
        <f aca="false">IF(L21&gt;0,L21,0)</f>
        <v>0</v>
      </c>
      <c r="K21" s="7" t="n">
        <f aca="false">I21+J21</f>
        <v>721.24</v>
      </c>
      <c r="L21" s="7" t="n">
        <f aca="false">F21-(I21-X21)</f>
        <v>-206.548243004789</v>
      </c>
      <c r="M21" s="7" t="n">
        <v>337</v>
      </c>
      <c r="N21" s="7" t="n">
        <v>2</v>
      </c>
      <c r="O21" s="7" t="n">
        <f aca="false">100.12*1.05</f>
        <v>105.126</v>
      </c>
      <c r="P21" s="7" t="n">
        <f aca="false">M21-(N21+O21)</f>
        <v>229.874</v>
      </c>
      <c r="Q21" s="7" t="n">
        <v>158</v>
      </c>
      <c r="R21" s="7" t="n">
        <v>77</v>
      </c>
      <c r="S21" s="7" t="n">
        <f aca="false">SUM(P21:R21)</f>
        <v>464.874</v>
      </c>
      <c r="T21" s="55"/>
      <c r="U21" s="7" t="n">
        <v>168.6</v>
      </c>
      <c r="V21" s="7" t="n">
        <v>66</v>
      </c>
      <c r="W21" s="8" t="n">
        <f aca="false">W20-V21</f>
        <v>13438</v>
      </c>
      <c r="X21" s="7" t="n">
        <f aca="false">N21+O21+S21+U21+V21</f>
        <v>806.6</v>
      </c>
      <c r="Y21" s="7" t="n">
        <f aca="false">IF(L21&lt;0,L21*-1,0)</f>
        <v>206.548243004789</v>
      </c>
      <c r="Z21" s="7" t="n">
        <f aca="false">X21+Y21</f>
        <v>1013.14824300479</v>
      </c>
      <c r="AA21" s="11" t="n">
        <v>0</v>
      </c>
      <c r="AB21" s="12" t="n">
        <v>80</v>
      </c>
      <c r="AC21" s="12" t="n">
        <v>48</v>
      </c>
      <c r="AD21" s="13" t="n">
        <f aca="false">AD20+1</f>
        <v>12</v>
      </c>
      <c r="AE21" s="12"/>
      <c r="AF21" s="12"/>
      <c r="AH21" s="7"/>
    </row>
    <row r="22" customFormat="false" ht="11.1" hidden="false" customHeight="true" outlineLevel="0" collapsed="false">
      <c r="A22" s="13" t="n">
        <f aca="false">A21+1</f>
        <v>13</v>
      </c>
      <c r="B22" s="31" t="n">
        <v>6914.05</v>
      </c>
      <c r="C22" s="8" t="n">
        <v>338438</v>
      </c>
      <c r="D22" s="12" t="n">
        <f aca="false">C22-C21</f>
        <v>-787</v>
      </c>
      <c r="E22" s="8" t="n">
        <f aca="false">C22-152000</f>
        <v>186438</v>
      </c>
      <c r="F22" s="7" t="n">
        <f aca="false">D22/$D$2</f>
        <v>-396.773380388203</v>
      </c>
      <c r="G22" s="7" t="n">
        <v>634</v>
      </c>
      <c r="H22" s="11" t="n">
        <v>0.33</v>
      </c>
      <c r="I22" s="7" t="n">
        <f aca="false">G22+H22</f>
        <v>634.33</v>
      </c>
      <c r="J22" s="112" t="n">
        <f aca="false">IF(L22&gt;0,L22,0)</f>
        <v>0</v>
      </c>
      <c r="K22" s="7" t="n">
        <f aca="false">I22+J22</f>
        <v>634.33</v>
      </c>
      <c r="L22" s="7" t="n">
        <f aca="false">F22-(I22-X22)</f>
        <v>-214.283380388203</v>
      </c>
      <c r="M22" s="7" t="n">
        <v>338</v>
      </c>
      <c r="N22" s="7" t="n">
        <v>2</v>
      </c>
      <c r="O22" s="7" t="n">
        <f aca="false">103.09*1.05</f>
        <v>108.2445</v>
      </c>
      <c r="P22" s="7" t="n">
        <f aca="false">M22-(N22+O22)</f>
        <v>227.7555</v>
      </c>
      <c r="Q22" s="7" t="n">
        <v>157</v>
      </c>
      <c r="R22" s="7" t="n">
        <v>77</v>
      </c>
      <c r="S22" s="7" t="n">
        <f aca="false">SUM(P22:R22)</f>
        <v>461.7555</v>
      </c>
      <c r="T22" s="55"/>
      <c r="U22" s="7" t="n">
        <v>178.82</v>
      </c>
      <c r="V22" s="7" t="n">
        <v>66</v>
      </c>
      <c r="W22" s="8" t="n">
        <f aca="false">W21-V22</f>
        <v>13372</v>
      </c>
      <c r="X22" s="7" t="n">
        <f aca="false">N22+O22+S22+U22+V22</f>
        <v>816.82</v>
      </c>
      <c r="Y22" s="7" t="n">
        <f aca="false">IF(L22&lt;0,L22*-1,0)</f>
        <v>214.283380388203</v>
      </c>
      <c r="Z22" s="7" t="n">
        <f aca="false">X22+Y22</f>
        <v>1031.1033803882</v>
      </c>
      <c r="AA22" s="11" t="n">
        <v>0.02</v>
      </c>
      <c r="AB22" s="12" t="n">
        <v>60</v>
      </c>
      <c r="AC22" s="12" t="n">
        <v>39</v>
      </c>
      <c r="AD22" s="13" t="n">
        <f aca="false">AD21+1</f>
        <v>13</v>
      </c>
      <c r="AE22" s="12"/>
      <c r="AF22" s="12"/>
      <c r="AH22" s="7"/>
    </row>
    <row r="23" customFormat="false" ht="11.1" hidden="false" customHeight="true" outlineLevel="0" collapsed="false">
      <c r="A23" s="13" t="n">
        <f aca="false">A22+1</f>
        <v>14</v>
      </c>
      <c r="B23" s="31" t="n">
        <v>6913.93</v>
      </c>
      <c r="C23" s="8" t="n">
        <v>337943</v>
      </c>
      <c r="D23" s="12" t="n">
        <f aca="false">C23-C22</f>
        <v>-495</v>
      </c>
      <c r="E23" s="8" t="n">
        <f aca="false">C23-152000</f>
        <v>185943</v>
      </c>
      <c r="F23" s="7" t="n">
        <f aca="false">D23/$D$2</f>
        <v>-249.55886059995</v>
      </c>
      <c r="G23" s="7" t="n">
        <v>556</v>
      </c>
      <c r="H23" s="11" t="n">
        <v>0.4</v>
      </c>
      <c r="I23" s="7" t="n">
        <f aca="false">G23+H23</f>
        <v>556.4</v>
      </c>
      <c r="J23" s="112" t="n">
        <f aca="false">IF(L23&gt;0,L23,0)</f>
        <v>0</v>
      </c>
      <c r="K23" s="7" t="n">
        <f aca="false">I23+J23</f>
        <v>556.4</v>
      </c>
      <c r="L23" s="7" t="n">
        <f aca="false">F23-(I23-X23)</f>
        <v>-24.7888605999496</v>
      </c>
      <c r="M23" s="7" t="n">
        <v>308</v>
      </c>
      <c r="N23" s="7" t="n">
        <v>2</v>
      </c>
      <c r="O23" s="7" t="n">
        <f aca="false">86.93*1.05</f>
        <v>91.2765</v>
      </c>
      <c r="P23" s="7" t="n">
        <f aca="false">M23-(N23+O23)</f>
        <v>214.7235</v>
      </c>
      <c r="Q23" s="7" t="n">
        <v>157</v>
      </c>
      <c r="R23" s="7" t="n">
        <v>76</v>
      </c>
      <c r="S23" s="7" t="n">
        <f aca="false">SUM(P23:R23)</f>
        <v>447.7235</v>
      </c>
      <c r="T23" s="55"/>
      <c r="U23" s="7" t="n">
        <v>175.17</v>
      </c>
      <c r="V23" s="7" t="n">
        <v>65</v>
      </c>
      <c r="W23" s="8" t="n">
        <f aca="false">W22-V23</f>
        <v>13307</v>
      </c>
      <c r="X23" s="7" t="n">
        <f aca="false">N23+O23+S23+U23+V23</f>
        <v>781.17</v>
      </c>
      <c r="Y23" s="7" t="n">
        <f aca="false">IF(L23&lt;0,L23*-1,0)</f>
        <v>24.7888605999496</v>
      </c>
      <c r="Z23" s="7" t="n">
        <f aca="false">X23+Y23</f>
        <v>805.95886059995</v>
      </c>
      <c r="AA23" s="11" t="n">
        <v>0</v>
      </c>
      <c r="AB23" s="12" t="n">
        <v>67</v>
      </c>
      <c r="AC23" s="12" t="n">
        <v>30</v>
      </c>
      <c r="AD23" s="13" t="n">
        <f aca="false">AD22+1</f>
        <v>14</v>
      </c>
      <c r="AE23" s="12"/>
      <c r="AF23" s="12"/>
      <c r="AH23" s="7"/>
    </row>
    <row r="24" customFormat="false" ht="11.1" hidden="false" customHeight="true" outlineLevel="0" collapsed="false">
      <c r="A24" s="13" t="n">
        <f aca="false">A23+1</f>
        <v>15</v>
      </c>
      <c r="B24" s="31" t="n">
        <v>6913.75</v>
      </c>
      <c r="C24" s="8" t="n">
        <v>337203</v>
      </c>
      <c r="D24" s="12" t="n">
        <f aca="false">C24-C23</f>
        <v>-740</v>
      </c>
      <c r="E24" s="8" t="n">
        <f aca="false">C24-152000</f>
        <v>185203</v>
      </c>
      <c r="F24" s="7" t="n">
        <f aca="false">D24/$D$2</f>
        <v>-373.077892614066</v>
      </c>
      <c r="G24" s="7" t="n">
        <v>478</v>
      </c>
      <c r="H24" s="11" t="n">
        <v>0.3</v>
      </c>
      <c r="I24" s="7" t="n">
        <f aca="false">G24+H24</f>
        <v>478.3</v>
      </c>
      <c r="J24" s="112" t="n">
        <f aca="false">IF(L24&gt;0,L24,0)</f>
        <v>0</v>
      </c>
      <c r="K24" s="7" t="n">
        <f aca="false">I24+J24</f>
        <v>478.3</v>
      </c>
      <c r="L24" s="7" t="n">
        <f aca="false">F24-(I24-X24)</f>
        <v>-17.3778926140661</v>
      </c>
      <c r="M24" s="7" t="n">
        <v>315</v>
      </c>
      <c r="N24" s="7" t="n">
        <v>2</v>
      </c>
      <c r="O24" s="7" t="n">
        <f aca="false">81.09*1.05</f>
        <v>85.1445</v>
      </c>
      <c r="P24" s="7" t="n">
        <f aca="false">M24-(N24+O24)</f>
        <v>227.8555</v>
      </c>
      <c r="Q24" s="7" t="n">
        <v>157</v>
      </c>
      <c r="R24" s="7" t="n">
        <v>76</v>
      </c>
      <c r="S24" s="7" t="n">
        <f aca="false">SUM(P24:R24)</f>
        <v>460.8555</v>
      </c>
      <c r="T24" s="55"/>
      <c r="U24" s="7" t="n">
        <v>221</v>
      </c>
      <c r="V24" s="7" t="n">
        <v>65</v>
      </c>
      <c r="W24" s="8" t="n">
        <f aca="false">W23-V24</f>
        <v>13242</v>
      </c>
      <c r="X24" s="7" t="n">
        <f aca="false">N24+O24+S24+U24+V24</f>
        <v>834</v>
      </c>
      <c r="Y24" s="7" t="n">
        <f aca="false">IF(L24&lt;0,L24*-1,0)</f>
        <v>17.3778926140661</v>
      </c>
      <c r="Z24" s="7" t="n">
        <f aca="false">X24+Y24</f>
        <v>851.377892614066</v>
      </c>
      <c r="AA24" s="11" t="n">
        <v>0</v>
      </c>
      <c r="AB24" s="12" t="n">
        <v>77</v>
      </c>
      <c r="AC24" s="12" t="n">
        <v>40</v>
      </c>
      <c r="AD24" s="13" t="n">
        <f aca="false">AD23+1</f>
        <v>15</v>
      </c>
      <c r="AE24" s="12"/>
      <c r="AF24" s="12"/>
      <c r="AH24" s="7"/>
    </row>
    <row r="25" customFormat="false" ht="11.1" hidden="false" customHeight="true" outlineLevel="0" collapsed="false">
      <c r="A25" s="13" t="n">
        <f aca="false">A24+1</f>
        <v>16</v>
      </c>
      <c r="B25" s="31" t="n">
        <v>6913.57</v>
      </c>
      <c r="C25" s="8" t="n">
        <v>336464</v>
      </c>
      <c r="D25" s="12" t="n">
        <f aca="false">C25-C24</f>
        <v>-739</v>
      </c>
      <c r="E25" s="8" t="n">
        <f aca="false">C25-152000</f>
        <v>184464</v>
      </c>
      <c r="F25" s="7" t="n">
        <f aca="false">D25/$D$2</f>
        <v>-372.573733299723</v>
      </c>
      <c r="G25" s="7" t="n">
        <v>435</v>
      </c>
      <c r="H25" s="11" t="n">
        <v>0.16</v>
      </c>
      <c r="I25" s="7" t="n">
        <f aca="false">G25+H25</f>
        <v>435.16</v>
      </c>
      <c r="J25" s="112" t="n">
        <f aca="false">IF(L25&gt;0,L25,0)</f>
        <v>16.7962667002772</v>
      </c>
      <c r="K25" s="7" t="n">
        <f aca="false">I25+J25</f>
        <v>451.956266700277</v>
      </c>
      <c r="L25" s="7" t="n">
        <f aca="false">F25-(I25-X25)</f>
        <v>16.7962667002772</v>
      </c>
      <c r="M25" s="7" t="n">
        <v>292</v>
      </c>
      <c r="N25" s="7" t="n">
        <v>2</v>
      </c>
      <c r="O25" s="7" t="n">
        <f aca="false">62*1.05</f>
        <v>65.1</v>
      </c>
      <c r="P25" s="7" t="n">
        <f aca="false">M25-(N25+O25)</f>
        <v>224.9</v>
      </c>
      <c r="Q25" s="7" t="n">
        <v>156</v>
      </c>
      <c r="R25" s="7" t="n">
        <v>75</v>
      </c>
      <c r="S25" s="7" t="n">
        <f aca="false">SUM(P25:R25)</f>
        <v>455.9</v>
      </c>
      <c r="T25" s="55"/>
      <c r="U25" s="7" t="n">
        <v>236.53</v>
      </c>
      <c r="V25" s="7" t="n">
        <v>65</v>
      </c>
      <c r="W25" s="8" t="n">
        <f aca="false">W24-V25</f>
        <v>13177</v>
      </c>
      <c r="X25" s="7" t="n">
        <f aca="false">N25+O25+S25+U25+V25</f>
        <v>824.53</v>
      </c>
      <c r="Y25" s="7" t="n">
        <f aca="false">IF(L25&lt;0,L25*-1,0)</f>
        <v>0</v>
      </c>
      <c r="Z25" s="7" t="n">
        <f aca="false">X25+Y25</f>
        <v>824.53</v>
      </c>
      <c r="AA25" s="11" t="n">
        <v>0</v>
      </c>
      <c r="AB25" s="12" t="n">
        <v>85</v>
      </c>
      <c r="AC25" s="12" t="n">
        <v>49</v>
      </c>
      <c r="AD25" s="13" t="n">
        <f aca="false">AD24+1</f>
        <v>16</v>
      </c>
      <c r="AE25" s="12"/>
      <c r="AF25" s="12"/>
      <c r="AH25" s="7"/>
    </row>
    <row r="26" customFormat="false" ht="11.1" hidden="false" customHeight="true" outlineLevel="0" collapsed="false">
      <c r="A26" s="13" t="n">
        <f aca="false">A25+1</f>
        <v>17</v>
      </c>
      <c r="B26" s="31" t="n">
        <v>6913.32</v>
      </c>
      <c r="C26" s="8" t="n">
        <v>335436</v>
      </c>
      <c r="D26" s="12" t="n">
        <f aca="false">C26-C25</f>
        <v>-1028</v>
      </c>
      <c r="E26" s="8" t="n">
        <f aca="false">C26-152000</f>
        <v>183436</v>
      </c>
      <c r="F26" s="7" t="n">
        <f aca="false">D26/$D$2</f>
        <v>-518.275775144946</v>
      </c>
      <c r="G26" s="7" t="n">
        <v>428</v>
      </c>
      <c r="H26" s="11" t="n">
        <v>0.12</v>
      </c>
      <c r="I26" s="7" t="n">
        <f aca="false">G26+H26</f>
        <v>428.12</v>
      </c>
      <c r="J26" s="112" t="n">
        <f aca="false">IF(L26&gt;0,L26,0)</f>
        <v>0</v>
      </c>
      <c r="K26" s="7" t="n">
        <f aca="false">I26+J26</f>
        <v>428.12</v>
      </c>
      <c r="L26" s="7" t="n">
        <f aca="false">F26-(I26-X26)</f>
        <v>-78.7857751449458</v>
      </c>
      <c r="M26" s="7" t="n">
        <v>318</v>
      </c>
      <c r="N26" s="7" t="n">
        <v>2</v>
      </c>
      <c r="O26" s="7" t="n">
        <f aca="false">41.71*1.05</f>
        <v>43.7955</v>
      </c>
      <c r="P26" s="7" t="n">
        <f aca="false">M26-(N26+O26)</f>
        <v>272.2045</v>
      </c>
      <c r="Q26" s="7" t="n">
        <v>155</v>
      </c>
      <c r="R26" s="7" t="n">
        <v>75</v>
      </c>
      <c r="S26" s="7" t="n">
        <f aca="false">SUM(P26:R26)</f>
        <v>502.2045</v>
      </c>
      <c r="T26" s="55"/>
      <c r="U26" s="7" t="n">
        <v>254.61</v>
      </c>
      <c r="V26" s="7" t="n">
        <v>65</v>
      </c>
      <c r="W26" s="8" t="n">
        <f aca="false">W25-V26</f>
        <v>13112</v>
      </c>
      <c r="X26" s="7" t="n">
        <f aca="false">N26+O26+S26+U26+V26</f>
        <v>867.61</v>
      </c>
      <c r="Y26" s="7" t="n">
        <f aca="false">IF(L26&lt;0,L26*-1,0)</f>
        <v>78.7857751449458</v>
      </c>
      <c r="Z26" s="7" t="n">
        <f aca="false">X26+Y26</f>
        <v>946.395775144946</v>
      </c>
      <c r="AA26" s="11" t="n">
        <v>0</v>
      </c>
      <c r="AB26" s="12" t="n">
        <v>87</v>
      </c>
      <c r="AC26" s="12" t="n">
        <v>49</v>
      </c>
      <c r="AD26" s="13" t="n">
        <f aca="false">AD25+1</f>
        <v>17</v>
      </c>
      <c r="AE26" s="12"/>
      <c r="AF26" s="12"/>
      <c r="AH26" s="7"/>
    </row>
    <row r="27" customFormat="false" ht="11.1" hidden="false" customHeight="true" outlineLevel="0" collapsed="false">
      <c r="A27" s="13" t="n">
        <f aca="false">A26+1</f>
        <v>18</v>
      </c>
      <c r="B27" s="31" t="n">
        <v>6913.07</v>
      </c>
      <c r="C27" s="8" t="n">
        <v>334409</v>
      </c>
      <c r="D27" s="12" t="n">
        <f aca="false">C27-C26</f>
        <v>-1027</v>
      </c>
      <c r="E27" s="8" t="n">
        <f aca="false">C27-152000</f>
        <v>182409</v>
      </c>
      <c r="F27" s="7" t="n">
        <f aca="false">D27/$D$2</f>
        <v>-517.771615830603</v>
      </c>
      <c r="G27" s="7" t="n">
        <v>427</v>
      </c>
      <c r="H27" s="11" t="n">
        <v>0.08</v>
      </c>
      <c r="I27" s="7" t="n">
        <f aca="false">G27+H27</f>
        <v>427.08</v>
      </c>
      <c r="J27" s="112" t="n">
        <f aca="false">IF(L27&gt;0,L27,0)</f>
        <v>0</v>
      </c>
      <c r="K27" s="7" t="n">
        <f aca="false">I27+J27</f>
        <v>427.08</v>
      </c>
      <c r="L27" s="7" t="n">
        <f aca="false">F27-(I27-X27)</f>
        <v>-67.6916158306025</v>
      </c>
      <c r="M27" s="7" t="n">
        <v>333</v>
      </c>
      <c r="N27" s="7" t="n">
        <v>2</v>
      </c>
      <c r="O27" s="7" t="n">
        <f aca="false">75.33*1.05</f>
        <v>79.0965</v>
      </c>
      <c r="P27" s="7" t="n">
        <f aca="false">M27-(N27+O27)</f>
        <v>251.9035</v>
      </c>
      <c r="Q27" s="7" t="n">
        <v>155</v>
      </c>
      <c r="R27" s="7" t="n">
        <v>79</v>
      </c>
      <c r="S27" s="7" t="n">
        <f aca="false">SUM(P27:R27)</f>
        <v>485.9035</v>
      </c>
      <c r="T27" s="55"/>
      <c r="U27" s="7" t="n">
        <v>245.16</v>
      </c>
      <c r="V27" s="7" t="n">
        <v>65</v>
      </c>
      <c r="W27" s="8" t="n">
        <f aca="false">W26-V27</f>
        <v>13047</v>
      </c>
      <c r="X27" s="7" t="n">
        <f aca="false">N27+O27+S27+U27+V27</f>
        <v>877.16</v>
      </c>
      <c r="Y27" s="7" t="n">
        <f aca="false">IF(L27&lt;0,L27*-1,0)</f>
        <v>67.6916158306025</v>
      </c>
      <c r="Z27" s="7" t="n">
        <f aca="false">X27+Y27</f>
        <v>944.851615830602</v>
      </c>
      <c r="AA27" s="11" t="n">
        <v>0</v>
      </c>
      <c r="AB27" s="12" t="n">
        <v>86</v>
      </c>
      <c r="AC27" s="12" t="n">
        <v>49</v>
      </c>
      <c r="AD27" s="13" t="n">
        <f aca="false">AD26+1</f>
        <v>18</v>
      </c>
      <c r="AE27" s="12"/>
      <c r="AF27" s="12"/>
      <c r="AH27" s="7"/>
    </row>
    <row r="28" customFormat="false" ht="11.1" hidden="false" customHeight="true" outlineLevel="0" collapsed="false">
      <c r="A28" s="13" t="n">
        <f aca="false">A27+1</f>
        <v>19</v>
      </c>
      <c r="B28" s="31" t="n">
        <v>6912.83</v>
      </c>
      <c r="C28" s="8" t="n">
        <v>333387</v>
      </c>
      <c r="D28" s="12" t="n">
        <f aca="false">C28-C27</f>
        <v>-1022</v>
      </c>
      <c r="E28" s="8" t="n">
        <f aca="false">C28-152000</f>
        <v>181387</v>
      </c>
      <c r="F28" s="7" t="n">
        <f aca="false">D28/$D$2</f>
        <v>-515.250819258886</v>
      </c>
      <c r="G28" s="7" t="n">
        <v>406</v>
      </c>
      <c r="H28" s="11" t="n">
        <v>0.06</v>
      </c>
      <c r="I28" s="7" t="n">
        <f aca="false">G28+H28</f>
        <v>406.06</v>
      </c>
      <c r="J28" s="112" t="n">
        <f aca="false">IF(L28&gt;0,L28,0)</f>
        <v>3.75918074111416</v>
      </c>
      <c r="K28" s="7" t="n">
        <f aca="false">I28+J28</f>
        <v>409.819180741114</v>
      </c>
      <c r="L28" s="7" t="n">
        <f aca="false">F28-(I28-X28)</f>
        <v>3.75918074111416</v>
      </c>
      <c r="M28" s="7" t="n">
        <v>348</v>
      </c>
      <c r="N28" s="7" t="n">
        <v>2</v>
      </c>
      <c r="O28" s="7" t="n">
        <f aca="false">83.43*1.05</f>
        <v>87.6015</v>
      </c>
      <c r="P28" s="7" t="n">
        <f aca="false">M28-(N28+O28)</f>
        <v>258.3985</v>
      </c>
      <c r="Q28" s="7" t="n">
        <v>154</v>
      </c>
      <c r="R28" s="7" t="n">
        <v>80</v>
      </c>
      <c r="S28" s="7" t="n">
        <f aca="false">SUM(P28:R28)</f>
        <v>492.3985</v>
      </c>
      <c r="T28" s="55"/>
      <c r="U28" s="7" t="n">
        <v>278.07</v>
      </c>
      <c r="V28" s="7" t="n">
        <v>65</v>
      </c>
      <c r="W28" s="8" t="n">
        <f aca="false">W27-V28</f>
        <v>12982</v>
      </c>
      <c r="X28" s="7" t="n">
        <f aca="false">N28+O28+S28+U28+V28</f>
        <v>925.07</v>
      </c>
      <c r="Y28" s="7" t="n">
        <f aca="false">IF(L28&lt;0,L28*-1,0)</f>
        <v>0</v>
      </c>
      <c r="Z28" s="7" t="n">
        <f aca="false">X28+Y28</f>
        <v>925.07</v>
      </c>
      <c r="AA28" s="11" t="n">
        <v>0</v>
      </c>
      <c r="AB28" s="12" t="n">
        <v>86</v>
      </c>
      <c r="AC28" s="12" t="n">
        <v>50</v>
      </c>
      <c r="AD28" s="13" t="n">
        <f aca="false">AD27+1</f>
        <v>19</v>
      </c>
      <c r="AE28" s="12"/>
      <c r="AF28" s="12"/>
      <c r="AH28" s="7"/>
    </row>
    <row r="29" customFormat="false" ht="11.1" hidden="false" customHeight="true" outlineLevel="0" collapsed="false">
      <c r="A29" s="13" t="n">
        <f aca="false">A28+1</f>
        <v>20</v>
      </c>
      <c r="B29" s="31" t="n">
        <v>6912.49</v>
      </c>
      <c r="C29" s="8" t="n">
        <v>332042</v>
      </c>
      <c r="D29" s="12" t="n">
        <f aca="false">C29-C28</f>
        <v>-1345</v>
      </c>
      <c r="E29" s="8" t="n">
        <f aca="false">C29-152000</f>
        <v>180042</v>
      </c>
      <c r="F29" s="7" t="n">
        <f aca="false">D29/$D$2</f>
        <v>-678.094277791782</v>
      </c>
      <c r="G29" s="7" t="n">
        <v>391</v>
      </c>
      <c r="H29" s="11" t="n">
        <v>0.06</v>
      </c>
      <c r="I29" s="7" t="n">
        <f aca="false">G29+H29</f>
        <v>391.06</v>
      </c>
      <c r="J29" s="112" t="n">
        <f aca="false">IF(L29&gt;0,L29,0)</f>
        <v>0</v>
      </c>
      <c r="K29" s="7" t="n">
        <f aca="false">I29+J29</f>
        <v>391.06</v>
      </c>
      <c r="L29" s="7" t="n">
        <f aca="false">F29-(I29-X29)</f>
        <v>-125.054277791782</v>
      </c>
      <c r="M29" s="7" t="n">
        <v>360</v>
      </c>
      <c r="N29" s="7" t="n">
        <v>2</v>
      </c>
      <c r="O29" s="128" t="n">
        <f aca="false">94.68*1.05</f>
        <v>99.414</v>
      </c>
      <c r="P29" s="7" t="n">
        <f aca="false">M29-(N29+O29)</f>
        <v>258.586</v>
      </c>
      <c r="Q29" s="7" t="n">
        <v>155</v>
      </c>
      <c r="R29" s="7" t="n">
        <v>81</v>
      </c>
      <c r="S29" s="7" t="n">
        <f aca="false">SUM(P29:R29)</f>
        <v>494.586</v>
      </c>
      <c r="T29" s="55"/>
      <c r="U29" s="7" t="n">
        <v>284.1</v>
      </c>
      <c r="V29" s="7" t="n">
        <v>64</v>
      </c>
      <c r="W29" s="8" t="n">
        <f aca="false">W28-V29</f>
        <v>12918</v>
      </c>
      <c r="X29" s="7" t="n">
        <f aca="false">N29+O29+S29+U29+V29</f>
        <v>944.1</v>
      </c>
      <c r="Y29" s="7" t="n">
        <f aca="false">IF(L29&lt;0,L29*-1,0)</f>
        <v>125.054277791782</v>
      </c>
      <c r="Z29" s="7" t="n">
        <f aca="false">X29+Y29</f>
        <v>1069.15427779178</v>
      </c>
      <c r="AA29" s="11" t="n">
        <v>0</v>
      </c>
      <c r="AB29" s="12" t="n">
        <v>87</v>
      </c>
      <c r="AC29" s="12" t="n">
        <v>53</v>
      </c>
      <c r="AD29" s="13" t="n">
        <f aca="false">AD28+1</f>
        <v>20</v>
      </c>
      <c r="AE29" s="12"/>
      <c r="AF29" s="12"/>
      <c r="AH29" s="7"/>
    </row>
    <row r="30" customFormat="false" ht="11.1" hidden="false" customHeight="true" outlineLevel="0" collapsed="false">
      <c r="A30" s="13" t="n">
        <f aca="false">A29+1</f>
        <v>21</v>
      </c>
      <c r="B30" s="31" t="n">
        <v>6912.19</v>
      </c>
      <c r="C30" s="8" t="n">
        <v>330819</v>
      </c>
      <c r="D30" s="12" t="n">
        <f aca="false">C30-C29</f>
        <v>-1223</v>
      </c>
      <c r="E30" s="8" t="n">
        <f aca="false">C30-152000</f>
        <v>178819</v>
      </c>
      <c r="F30" s="7" t="n">
        <f aca="false">D30/$D$2</f>
        <v>-616.586841441896</v>
      </c>
      <c r="G30" s="7" t="n">
        <v>371</v>
      </c>
      <c r="H30" s="11" t="n">
        <v>0.05</v>
      </c>
      <c r="I30" s="7" t="n">
        <f aca="false">G30+H30</f>
        <v>371.05</v>
      </c>
      <c r="J30" s="112" t="n">
        <f aca="false">IF(L30&gt;0,L30,0)</f>
        <v>0</v>
      </c>
      <c r="K30" s="7" t="n">
        <f aca="false">I30+J30</f>
        <v>371.05</v>
      </c>
      <c r="L30" s="7" t="n">
        <f aca="false">F30-(I30-X30)</f>
        <v>-29.2568414418957</v>
      </c>
      <c r="M30" s="7" t="n">
        <v>351</v>
      </c>
      <c r="N30" s="7" t="n">
        <v>2</v>
      </c>
      <c r="O30" s="7" t="n">
        <f aca="false">92.91*1.05</f>
        <v>97.5555</v>
      </c>
      <c r="P30" s="7" t="n">
        <f aca="false">M30-(N30+O30)</f>
        <v>251.4445</v>
      </c>
      <c r="Q30" s="7" t="n">
        <v>166</v>
      </c>
      <c r="R30" s="7" t="n">
        <v>82</v>
      </c>
      <c r="S30" s="7" t="n">
        <f aca="false">SUM(P30:R30)</f>
        <v>499.4445</v>
      </c>
      <c r="T30" s="55"/>
      <c r="U30" s="7" t="n">
        <v>295.38</v>
      </c>
      <c r="V30" s="7" t="n">
        <v>64</v>
      </c>
      <c r="W30" s="8" t="n">
        <f aca="false">W29-V30</f>
        <v>12854</v>
      </c>
      <c r="X30" s="7" t="n">
        <f aca="false">N30+O30+S30+U30+V30</f>
        <v>958.38</v>
      </c>
      <c r="Y30" s="7" t="n">
        <f aca="false">IF(L30&lt;0,L30*-1,0)</f>
        <v>29.2568414418957</v>
      </c>
      <c r="Z30" s="7" t="n">
        <f aca="false">X30+Y30</f>
        <v>987.636841441896</v>
      </c>
      <c r="AA30" s="11" t="n">
        <v>0</v>
      </c>
      <c r="AB30" s="12" t="n">
        <v>89</v>
      </c>
      <c r="AC30" s="12" t="n">
        <v>53</v>
      </c>
      <c r="AD30" s="13" t="n">
        <f aca="false">AD29+1</f>
        <v>21</v>
      </c>
      <c r="AE30" s="12"/>
      <c r="AF30" s="12"/>
      <c r="AH30" s="7"/>
    </row>
    <row r="31" customFormat="false" ht="11.1" hidden="false" customHeight="true" outlineLevel="0" collapsed="false">
      <c r="A31" s="13" t="n">
        <f aca="false">A30+1</f>
        <v>22</v>
      </c>
      <c r="B31" s="31" t="n">
        <v>6911.86</v>
      </c>
      <c r="C31" s="8" t="n">
        <v>329478</v>
      </c>
      <c r="D31" s="12" t="n">
        <f aca="false">C31-C30</f>
        <v>-1341</v>
      </c>
      <c r="E31" s="8" t="n">
        <f aca="false">C31-152000</f>
        <v>177478</v>
      </c>
      <c r="F31" s="7" t="n">
        <f aca="false">D31/$D$2</f>
        <v>-676.077640534409</v>
      </c>
      <c r="G31" s="7" t="n">
        <v>358</v>
      </c>
      <c r="H31" s="11" t="n">
        <v>0.05</v>
      </c>
      <c r="I31" s="7" t="n">
        <f aca="false">G31+H31</f>
        <v>358.05</v>
      </c>
      <c r="J31" s="112" t="n">
        <f aca="false">IF(L31&gt;0,L31,0)</f>
        <v>0</v>
      </c>
      <c r="K31" s="7" t="n">
        <f aca="false">I31+J31</f>
        <v>358.05</v>
      </c>
      <c r="L31" s="7" t="n">
        <f aca="false">F31-(I31-X31)</f>
        <v>-57.0976405344088</v>
      </c>
      <c r="M31" s="7" t="n">
        <v>347</v>
      </c>
      <c r="N31" s="7" t="n">
        <v>2</v>
      </c>
      <c r="O31" s="7" t="n">
        <f aca="false">80.46*1.05</f>
        <v>84.483</v>
      </c>
      <c r="P31" s="7" t="n">
        <f aca="false">M31-(N31+O31)</f>
        <v>260.517</v>
      </c>
      <c r="Q31" s="7" t="n">
        <v>170</v>
      </c>
      <c r="R31" s="7" t="n">
        <v>83</v>
      </c>
      <c r="S31" s="7" t="n">
        <f aca="false">SUM(P31:R31)</f>
        <v>513.517</v>
      </c>
      <c r="T31" s="55"/>
      <c r="U31" s="7" t="n">
        <v>313.03</v>
      </c>
      <c r="V31" s="7" t="n">
        <v>64</v>
      </c>
      <c r="W31" s="8" t="n">
        <f aca="false">W30-V31</f>
        <v>12790</v>
      </c>
      <c r="X31" s="7" t="n">
        <f aca="false">N31+O31+S31+U31+V31</f>
        <v>977.03</v>
      </c>
      <c r="Y31" s="7" t="n">
        <f aca="false">IF(L31&lt;0,L31*-1,0)</f>
        <v>57.0976405344088</v>
      </c>
      <c r="Z31" s="7" t="n">
        <f aca="false">X31+Y31</f>
        <v>1034.12764053441</v>
      </c>
      <c r="AA31" s="11" t="n">
        <v>0</v>
      </c>
      <c r="AB31" s="12" t="n">
        <v>89</v>
      </c>
      <c r="AC31" s="12" t="n">
        <v>54</v>
      </c>
      <c r="AD31" s="13" t="n">
        <f aca="false">AD30+1</f>
        <v>22</v>
      </c>
      <c r="AE31" s="12"/>
      <c r="AF31" s="12"/>
      <c r="AH31" s="7"/>
    </row>
    <row r="32" customFormat="false" ht="11.1" hidden="false" customHeight="true" outlineLevel="0" collapsed="false">
      <c r="A32" s="13" t="n">
        <f aca="false">A31+1</f>
        <v>23</v>
      </c>
      <c r="B32" s="31" t="n">
        <v>6911.53</v>
      </c>
      <c r="C32" s="8" t="n">
        <v>328143</v>
      </c>
      <c r="D32" s="12" t="n">
        <f aca="false">C32-C31</f>
        <v>-1335</v>
      </c>
      <c r="E32" s="8" t="n">
        <f aca="false">C32-152000</f>
        <v>176143</v>
      </c>
      <c r="F32" s="7" t="n">
        <f aca="false">D32/$D$2</f>
        <v>-673.052684648349</v>
      </c>
      <c r="G32" s="7" t="n">
        <v>339</v>
      </c>
      <c r="H32" s="11" t="n">
        <v>0.12</v>
      </c>
      <c r="I32" s="7" t="n">
        <f aca="false">G32+H32</f>
        <v>339.12</v>
      </c>
      <c r="J32" s="112" t="n">
        <f aca="false">IF(L32&gt;0,L32,0)</f>
        <v>0</v>
      </c>
      <c r="K32" s="7" t="n">
        <f aca="false">I32+J32</f>
        <v>339.12</v>
      </c>
      <c r="L32" s="7" t="n">
        <f aca="false">F32-(I32-X32)</f>
        <v>-49.1826846483489</v>
      </c>
      <c r="M32" s="7" t="n">
        <v>329</v>
      </c>
      <c r="N32" s="7" t="n">
        <v>2</v>
      </c>
      <c r="O32" s="7" t="n">
        <f aca="false">77.22*1.05</f>
        <v>81.081</v>
      </c>
      <c r="P32" s="7" t="n">
        <f aca="false">M32-(N32+O32)</f>
        <v>245.919</v>
      </c>
      <c r="Q32" s="7" t="n">
        <v>169</v>
      </c>
      <c r="R32" s="7" t="n">
        <v>82</v>
      </c>
      <c r="S32" s="7" t="n">
        <f aca="false">SUM(P32:R32)</f>
        <v>496.919</v>
      </c>
      <c r="T32" s="55"/>
      <c r="U32" s="7" t="n">
        <v>318.99</v>
      </c>
      <c r="V32" s="7" t="n">
        <v>64</v>
      </c>
      <c r="W32" s="8" t="n">
        <f aca="false">W31-V32</f>
        <v>12726</v>
      </c>
      <c r="X32" s="7" t="n">
        <f aca="false">N32+O32+S32+U32+V32</f>
        <v>962.99</v>
      </c>
      <c r="Y32" s="7" t="n">
        <f aca="false">IF(L32&lt;0,L32*-1,0)</f>
        <v>49.1826846483489</v>
      </c>
      <c r="Z32" s="7" t="n">
        <f aca="false">X32+Y32</f>
        <v>1012.17268464835</v>
      </c>
      <c r="AA32" s="11" t="n">
        <v>0</v>
      </c>
      <c r="AB32" s="12" t="n">
        <v>89</v>
      </c>
      <c r="AC32" s="12" t="n">
        <v>54</v>
      </c>
      <c r="AD32" s="13" t="n">
        <f aca="false">AD31+1</f>
        <v>23</v>
      </c>
      <c r="AE32" s="12"/>
      <c r="AF32" s="12"/>
      <c r="AH32" s="7"/>
    </row>
    <row r="33" customFormat="false" ht="11.1" hidden="false" customHeight="true" outlineLevel="0" collapsed="false">
      <c r="A33" s="13" t="n">
        <f aca="false">A32+1</f>
        <v>24</v>
      </c>
      <c r="B33" s="31" t="n">
        <v>6911.19</v>
      </c>
      <c r="C33" s="8" t="n">
        <v>326768</v>
      </c>
      <c r="D33" s="12" t="n">
        <f aca="false">C33-C32</f>
        <v>-1375</v>
      </c>
      <c r="E33" s="8" t="n">
        <f aca="false">C33-152000</f>
        <v>174768</v>
      </c>
      <c r="F33" s="7" t="n">
        <f aca="false">D33/$D$2</f>
        <v>-693.219057222082</v>
      </c>
      <c r="G33" s="7" t="n">
        <v>314</v>
      </c>
      <c r="H33" s="11" t="n">
        <v>0.24</v>
      </c>
      <c r="I33" s="7" t="n">
        <f aca="false">G33+H33</f>
        <v>314.24</v>
      </c>
      <c r="J33" s="112" t="n">
        <f aca="false">IF(L33&gt;0,L33,0)</f>
        <v>0</v>
      </c>
      <c r="K33" s="7" t="n">
        <f aca="false">I33+J33</f>
        <v>314.24</v>
      </c>
      <c r="L33" s="7" t="n">
        <f aca="false">F33-(I33-X33)</f>
        <v>-40.2790572220821</v>
      </c>
      <c r="M33" s="7" t="n">
        <v>334</v>
      </c>
      <c r="N33" s="7" t="n">
        <v>2</v>
      </c>
      <c r="O33" s="7" t="n">
        <f aca="false">72.45*1.05</f>
        <v>76.0725</v>
      </c>
      <c r="P33" s="7" t="n">
        <f aca="false">M33-(N33+O33)</f>
        <v>255.9275</v>
      </c>
      <c r="Q33" s="7" t="n">
        <v>170</v>
      </c>
      <c r="R33" s="7" t="n">
        <v>82</v>
      </c>
      <c r="S33" s="7" t="n">
        <f aca="false">SUM(P33:R33)</f>
        <v>507.9275</v>
      </c>
      <c r="T33" s="55"/>
      <c r="U33" s="7" t="n">
        <v>316.18</v>
      </c>
      <c r="V33" s="7" t="n">
        <v>65</v>
      </c>
      <c r="W33" s="8" t="n">
        <f aca="false">W32-V33</f>
        <v>12661</v>
      </c>
      <c r="X33" s="7" t="n">
        <f aca="false">N33+O33+S33+U33+V33</f>
        <v>967.18</v>
      </c>
      <c r="Y33" s="7" t="n">
        <f aca="false">IF(L33&lt;0,L33*-1,0)</f>
        <v>40.2790572220821</v>
      </c>
      <c r="Z33" s="7" t="n">
        <f aca="false">X33+Y33</f>
        <v>1007.45905722208</v>
      </c>
      <c r="AA33" s="11" t="n">
        <v>0</v>
      </c>
      <c r="AB33" s="12" t="n">
        <v>83</v>
      </c>
      <c r="AC33" s="12" t="n">
        <v>56</v>
      </c>
      <c r="AD33" s="13" t="n">
        <f aca="false">AD32+1</f>
        <v>24</v>
      </c>
      <c r="AE33" s="12"/>
      <c r="AF33" s="12"/>
      <c r="AH33" s="7"/>
    </row>
    <row r="34" customFormat="false" ht="11.1" hidden="false" customHeight="true" outlineLevel="0" collapsed="false">
      <c r="A34" s="13" t="n">
        <f aca="false">A33+1</f>
        <v>25</v>
      </c>
      <c r="B34" s="31" t="n">
        <v>6910.84</v>
      </c>
      <c r="C34" s="8" t="n">
        <v>325357</v>
      </c>
      <c r="D34" s="12" t="n">
        <f aca="false">C34-C33</f>
        <v>-1411</v>
      </c>
      <c r="E34" s="8" t="n">
        <f aca="false">C34-152000</f>
        <v>173357</v>
      </c>
      <c r="F34" s="7" t="n">
        <f aca="false">D34/$D$2</f>
        <v>-711.368792538442</v>
      </c>
      <c r="G34" s="7" t="n">
        <v>306</v>
      </c>
      <c r="H34" s="11" t="n">
        <v>0.31</v>
      </c>
      <c r="I34" s="7" t="n">
        <f aca="false">G34+H34</f>
        <v>306.31</v>
      </c>
      <c r="J34" s="112" t="n">
        <f aca="false">IF(L34&gt;0,L34,0)</f>
        <v>0</v>
      </c>
      <c r="K34" s="7" t="n">
        <f aca="false">I34+J34</f>
        <v>306.31</v>
      </c>
      <c r="L34" s="7" t="n">
        <f aca="false">F34-(I34-X34)</f>
        <v>-52.978792538442</v>
      </c>
      <c r="M34" s="7" t="n">
        <v>326</v>
      </c>
      <c r="N34" s="7" t="n">
        <v>0.5</v>
      </c>
      <c r="O34" s="7" t="n">
        <f aca="false">64.62*1.05</f>
        <v>67.851</v>
      </c>
      <c r="P34" s="7" t="n">
        <f aca="false">M34-(N34+O34)</f>
        <v>257.649</v>
      </c>
      <c r="Q34" s="7" t="n">
        <v>170</v>
      </c>
      <c r="R34" s="7" t="n">
        <v>85</v>
      </c>
      <c r="S34" s="7" t="n">
        <f aca="false">SUM(P34:R34)</f>
        <v>512.649</v>
      </c>
      <c r="T34" s="55"/>
      <c r="U34" s="7" t="n">
        <v>318.7</v>
      </c>
      <c r="V34" s="7" t="n">
        <v>65</v>
      </c>
      <c r="W34" s="8" t="n">
        <f aca="false">W33-V34</f>
        <v>12596</v>
      </c>
      <c r="X34" s="7" t="n">
        <f aca="false">N34+O34+S34+U34+V34</f>
        <v>964.7</v>
      </c>
      <c r="Y34" s="7" t="n">
        <f aca="false">IF(L34&lt;0,L34*-1,0)</f>
        <v>52.978792538442</v>
      </c>
      <c r="Z34" s="7" t="n">
        <f aca="false">X34+Y34</f>
        <v>1017.67879253844</v>
      </c>
      <c r="AA34" s="11" t="n">
        <v>0</v>
      </c>
      <c r="AB34" s="12" t="n">
        <v>86</v>
      </c>
      <c r="AC34" s="12" t="n">
        <v>55</v>
      </c>
      <c r="AD34" s="13" t="n">
        <f aca="false">AD33+1</f>
        <v>25</v>
      </c>
      <c r="AE34" s="12"/>
      <c r="AF34" s="12"/>
      <c r="AH34" s="7"/>
    </row>
    <row r="35" customFormat="false" ht="11.1" hidden="false" customHeight="true" outlineLevel="0" collapsed="false">
      <c r="A35" s="13" t="n">
        <f aca="false">A34+1</f>
        <v>26</v>
      </c>
      <c r="B35" s="31" t="n">
        <v>6910.5</v>
      </c>
      <c r="C35" s="8" t="n">
        <v>323993</v>
      </c>
      <c r="D35" s="12" t="n">
        <f aca="false">C35-C34</f>
        <v>-1364</v>
      </c>
      <c r="E35" s="8" t="n">
        <f aca="false">C35-152000</f>
        <v>171993</v>
      </c>
      <c r="F35" s="7" t="n">
        <f aca="false">D35/$D$2</f>
        <v>-687.673304764305</v>
      </c>
      <c r="G35" s="7" t="n">
        <v>298</v>
      </c>
      <c r="H35" s="11" t="n">
        <v>0.31</v>
      </c>
      <c r="I35" s="7" t="n">
        <f aca="false">G35+H35</f>
        <v>298.31</v>
      </c>
      <c r="J35" s="112" t="n">
        <f aca="false">IF(L35&gt;0,L35,0)</f>
        <v>3.02669523569455</v>
      </c>
      <c r="K35" s="7" t="n">
        <f aca="false">I35+J35</f>
        <v>301.336695235695</v>
      </c>
      <c r="L35" s="7" t="n">
        <f aca="false">F35-(I35-X35)</f>
        <v>3.02669523569455</v>
      </c>
      <c r="M35" s="7" t="n">
        <v>324</v>
      </c>
      <c r="N35" s="7" t="n">
        <v>0.5</v>
      </c>
      <c r="O35" s="129" t="n">
        <f aca="false">62.92*1.05</f>
        <v>66.066</v>
      </c>
      <c r="P35" s="7" t="n">
        <f aca="false">M35-(N35+O35)</f>
        <v>257.434</v>
      </c>
      <c r="Q35" s="7" t="n">
        <v>168</v>
      </c>
      <c r="R35" s="7" t="n">
        <v>85</v>
      </c>
      <c r="S35" s="7" t="n">
        <f aca="false">SUM(P35:R35)</f>
        <v>510.434</v>
      </c>
      <c r="T35" s="55"/>
      <c r="U35" s="130" t="n">
        <v>347.01</v>
      </c>
      <c r="V35" s="7" t="n">
        <v>65</v>
      </c>
      <c r="W35" s="8" t="n">
        <f aca="false">W34-V35</f>
        <v>12531</v>
      </c>
      <c r="X35" s="7" t="n">
        <f aca="false">N35+O35+S35+U35+V35</f>
        <v>989.01</v>
      </c>
      <c r="Y35" s="7" t="n">
        <f aca="false">IF(L35&lt;0,L35*-1,0)</f>
        <v>0</v>
      </c>
      <c r="Z35" s="7" t="n">
        <f aca="false">X35+Y35</f>
        <v>989.01</v>
      </c>
      <c r="AA35" s="11" t="n">
        <v>0.37</v>
      </c>
      <c r="AB35" s="12" t="n">
        <v>72</v>
      </c>
      <c r="AC35" s="12" t="n">
        <v>53</v>
      </c>
      <c r="AD35" s="13" t="n">
        <f aca="false">AD34+1</f>
        <v>26</v>
      </c>
      <c r="AE35" s="12"/>
      <c r="AF35" s="12"/>
      <c r="AH35" s="3"/>
    </row>
    <row r="36" customFormat="false" ht="11.1" hidden="false" customHeight="true" outlineLevel="0" collapsed="false">
      <c r="A36" s="13" t="n">
        <f aca="false">A35+1</f>
        <v>27</v>
      </c>
      <c r="B36" s="31" t="n">
        <v>6910.15</v>
      </c>
      <c r="C36" s="8" t="n">
        <v>322588</v>
      </c>
      <c r="D36" s="12" t="n">
        <f aca="false">C36-C35</f>
        <v>-1405</v>
      </c>
      <c r="E36" s="8" t="n">
        <f aca="false">C36-152000</f>
        <v>170588</v>
      </c>
      <c r="F36" s="7" t="n">
        <f aca="false">D36/$D$2</f>
        <v>-708.343836652382</v>
      </c>
      <c r="G36" s="7" t="n">
        <v>312</v>
      </c>
      <c r="H36" s="11" t="n">
        <v>0.31</v>
      </c>
      <c r="I36" s="7" t="n">
        <f aca="false">G36+H36</f>
        <v>312.31</v>
      </c>
      <c r="J36" s="112" t="n">
        <f aca="false">IF(L36&gt;0,L36,0)</f>
        <v>0</v>
      </c>
      <c r="K36" s="7" t="n">
        <f aca="false">I36+J36</f>
        <v>312.31</v>
      </c>
      <c r="L36" s="7" t="n">
        <f aca="false">F36-(I36-X36)</f>
        <v>-63.0138366523822</v>
      </c>
      <c r="M36" s="7" t="n">
        <v>314</v>
      </c>
      <c r="N36" s="7" t="n">
        <v>0.5</v>
      </c>
      <c r="O36" s="7" t="n">
        <f aca="false">68.21*1.05</f>
        <v>71.6205</v>
      </c>
      <c r="P36" s="7" t="n">
        <f aca="false">M36-(N36+O36)</f>
        <v>241.8795</v>
      </c>
      <c r="Q36" s="7" t="n">
        <v>168</v>
      </c>
      <c r="R36" s="7" t="n">
        <v>85</v>
      </c>
      <c r="S36" s="7" t="n">
        <f aca="false">SUM(P36:R36)</f>
        <v>494.8795</v>
      </c>
      <c r="T36" s="55"/>
      <c r="U36" s="7" t="n">
        <v>326.64</v>
      </c>
      <c r="V36" s="7" t="n">
        <v>64</v>
      </c>
      <c r="W36" s="8" t="n">
        <f aca="false">W35-V36</f>
        <v>12467</v>
      </c>
      <c r="X36" s="7" t="n">
        <f aca="false">N36+O36+S36+U36+V36</f>
        <v>957.64</v>
      </c>
      <c r="Y36" s="7" t="n">
        <f aca="false">IF(L36&lt;0,L36*-1,0)</f>
        <v>63.0138366523822</v>
      </c>
      <c r="Z36" s="7" t="n">
        <f aca="false">X36+Y36</f>
        <v>1020.65383665238</v>
      </c>
      <c r="AA36" s="11" t="n">
        <v>0</v>
      </c>
      <c r="AB36" s="12" t="n">
        <v>80</v>
      </c>
      <c r="AC36" s="12" t="n">
        <v>50</v>
      </c>
      <c r="AD36" s="13" t="n">
        <f aca="false">AD35+1</f>
        <v>27</v>
      </c>
      <c r="AE36" s="12"/>
      <c r="AF36" s="12"/>
      <c r="AH36" s="7"/>
    </row>
    <row r="37" customFormat="false" ht="11.1" hidden="false" customHeight="true" outlineLevel="0" collapsed="false">
      <c r="A37" s="13" t="n">
        <f aca="false">A36+1</f>
        <v>28</v>
      </c>
      <c r="B37" s="31" t="n">
        <v>6909.8</v>
      </c>
      <c r="C37" s="8" t="n">
        <v>321190</v>
      </c>
      <c r="D37" s="12" t="n">
        <f aca="false">C37-C36</f>
        <v>-1398</v>
      </c>
      <c r="E37" s="8" t="n">
        <f aca="false">C37-152000</f>
        <v>169190</v>
      </c>
      <c r="F37" s="7" t="n">
        <f aca="false">D37/$D$2</f>
        <v>-704.814721451979</v>
      </c>
      <c r="G37" s="7" t="n">
        <v>259</v>
      </c>
      <c r="H37" s="11" t="n">
        <v>0.16</v>
      </c>
      <c r="I37" s="7" t="n">
        <f aca="false">G37+H37</f>
        <v>259.16</v>
      </c>
      <c r="J37" s="112" t="n">
        <f aca="false">IF(L37&gt;0,L37,0)</f>
        <v>0</v>
      </c>
      <c r="K37" s="7" t="n">
        <f aca="false">I37+J37</f>
        <v>259.16</v>
      </c>
      <c r="L37" s="7" t="n">
        <f aca="false">F37-(I37-X37)</f>
        <v>-50.2147214519789</v>
      </c>
      <c r="M37" s="7" t="n">
        <v>321</v>
      </c>
      <c r="N37" s="7" t="n">
        <v>0.5</v>
      </c>
      <c r="O37" s="7" t="n">
        <f aca="false">63.35*1.05</f>
        <v>66.5175</v>
      </c>
      <c r="P37" s="7" t="n">
        <f aca="false">M37-(N37+O37)</f>
        <v>253.9825</v>
      </c>
      <c r="Q37" s="7" t="n">
        <v>168</v>
      </c>
      <c r="R37" s="7" t="n">
        <v>85</v>
      </c>
      <c r="S37" s="7" t="n">
        <f aca="false">SUM(P37:R37)</f>
        <v>506.9825</v>
      </c>
      <c r="T37" s="55"/>
      <c r="U37" s="7" t="n">
        <v>275.76</v>
      </c>
      <c r="V37" s="7" t="n">
        <v>64</v>
      </c>
      <c r="W37" s="8" t="n">
        <f aca="false">W36-V37</f>
        <v>12403</v>
      </c>
      <c r="X37" s="7" t="n">
        <f aca="false">N37+O37+S37+U37+V37</f>
        <v>913.76</v>
      </c>
      <c r="Y37" s="7" t="n">
        <f aca="false">IF(L37&lt;0,L37*-1,0)</f>
        <v>50.2147214519789</v>
      </c>
      <c r="Z37" s="7" t="n">
        <f aca="false">X37+Y37</f>
        <v>963.974721451979</v>
      </c>
      <c r="AA37" s="11" t="n">
        <v>0</v>
      </c>
      <c r="AB37" s="12" t="n">
        <v>88</v>
      </c>
      <c r="AC37" s="12" t="n">
        <v>55</v>
      </c>
      <c r="AD37" s="13" t="n">
        <f aca="false">AD36+1</f>
        <v>28</v>
      </c>
      <c r="AE37" s="12"/>
      <c r="AF37" s="12"/>
      <c r="AH37" s="7"/>
    </row>
    <row r="38" customFormat="false" ht="11.1" hidden="false" customHeight="true" outlineLevel="0" collapsed="false">
      <c r="A38" s="13" t="n">
        <f aca="false">A37+1</f>
        <v>29</v>
      </c>
      <c r="B38" s="31" t="n">
        <v>6909.4</v>
      </c>
      <c r="C38" s="8" t="n">
        <v>319598</v>
      </c>
      <c r="D38" s="12" t="n">
        <f aca="false">C38-C37</f>
        <v>-1592</v>
      </c>
      <c r="E38" s="8" t="n">
        <f aca="false">C38-152000</f>
        <v>167598</v>
      </c>
      <c r="F38" s="7" t="n">
        <f aca="false">D38/$D$2</f>
        <v>-802.621628434585</v>
      </c>
      <c r="G38" s="7" t="n">
        <v>250</v>
      </c>
      <c r="H38" s="11" t="n">
        <v>0.14</v>
      </c>
      <c r="I38" s="7" t="n">
        <f aca="false">G38+H38</f>
        <v>250.14</v>
      </c>
      <c r="J38" s="112" t="n">
        <f aca="false">IF(L38&gt;0,L38,0)</f>
        <v>0</v>
      </c>
      <c r="K38" s="7" t="n">
        <f aca="false">I38+J38</f>
        <v>250.14</v>
      </c>
      <c r="L38" s="7" t="n">
        <f aca="false">F38-(I38-X38)</f>
        <v>-96.8816284345853</v>
      </c>
      <c r="M38" s="7" t="n">
        <v>326</v>
      </c>
      <c r="N38" s="7" t="n">
        <v>0.5</v>
      </c>
      <c r="O38" s="7" t="n">
        <f aca="false">66.44*1.05</f>
        <v>69.762</v>
      </c>
      <c r="P38" s="7" t="n">
        <f aca="false">M38-(N38+O38)</f>
        <v>255.738</v>
      </c>
      <c r="Q38" s="7" t="n">
        <v>168</v>
      </c>
      <c r="R38" s="7" t="n">
        <v>86</v>
      </c>
      <c r="S38" s="7" t="n">
        <f aca="false">SUM(P38:R38)</f>
        <v>509.738</v>
      </c>
      <c r="T38" s="55"/>
      <c r="U38" s="7" t="n">
        <v>311.88</v>
      </c>
      <c r="V38" s="7" t="n">
        <v>64</v>
      </c>
      <c r="W38" s="8" t="n">
        <f aca="false">W37-V38</f>
        <v>12339</v>
      </c>
      <c r="X38" s="7" t="n">
        <f aca="false">N38+O38+S38+U38+V38</f>
        <v>955.88</v>
      </c>
      <c r="Y38" s="7" t="n">
        <f aca="false">IF(L38&lt;0,L38*-1,0)</f>
        <v>96.8816284345853</v>
      </c>
      <c r="Z38" s="7" t="n">
        <f aca="false">X38+Y38</f>
        <v>1052.76162843459</v>
      </c>
      <c r="AA38" s="11" t="n">
        <v>0</v>
      </c>
      <c r="AB38" s="12" t="n">
        <v>91</v>
      </c>
      <c r="AC38" s="12" t="n">
        <v>57</v>
      </c>
      <c r="AD38" s="13" t="n">
        <f aca="false">AD37+1</f>
        <v>29</v>
      </c>
      <c r="AE38" s="12"/>
      <c r="AF38" s="12"/>
      <c r="AH38" s="7"/>
    </row>
    <row r="39" customFormat="false" ht="11.1" hidden="false" customHeight="true" outlineLevel="0" collapsed="false">
      <c r="A39" s="13" t="n">
        <v>30</v>
      </c>
      <c r="B39" s="31" t="n">
        <v>6909.08</v>
      </c>
      <c r="C39" s="8" t="n">
        <v>318324</v>
      </c>
      <c r="D39" s="12" t="n">
        <f aca="false">C39-C38</f>
        <v>-1274</v>
      </c>
      <c r="E39" s="8" t="n">
        <f aca="false">C39-152000</f>
        <v>166324</v>
      </c>
      <c r="F39" s="7" t="n">
        <f aca="false">D39/$D$2</f>
        <v>-642.298966473406</v>
      </c>
      <c r="G39" s="7" t="n">
        <v>259</v>
      </c>
      <c r="H39" s="11" t="n">
        <v>0.16</v>
      </c>
      <c r="I39" s="7" t="n">
        <f aca="false">G39+H39</f>
        <v>259.16</v>
      </c>
      <c r="J39" s="112" t="n">
        <f aca="false">IF(L39&gt;0,L39,0)</f>
        <v>65.4510335265944</v>
      </c>
      <c r="K39" s="7" t="n">
        <f aca="false">I39+J39</f>
        <v>324.611033526594</v>
      </c>
      <c r="L39" s="7" t="n">
        <f aca="false">F39-(I39-X39)</f>
        <v>65.4510335265944</v>
      </c>
      <c r="M39" s="7" t="n">
        <v>323</v>
      </c>
      <c r="N39" s="7" t="n">
        <v>0.5</v>
      </c>
      <c r="O39" s="7" t="n">
        <f aca="false">66.05*1.05</f>
        <v>69.3525</v>
      </c>
      <c r="P39" s="7" t="n">
        <f aca="false">M39-(N39+O39)</f>
        <v>253.1475</v>
      </c>
      <c r="Q39" s="7" t="n">
        <v>167</v>
      </c>
      <c r="R39" s="7" t="n">
        <v>86</v>
      </c>
      <c r="S39" s="7" t="n">
        <f aca="false">SUM(P39:R39)</f>
        <v>506.1475</v>
      </c>
      <c r="T39" s="55"/>
      <c r="U39" s="7" t="n">
        <v>326.91</v>
      </c>
      <c r="V39" s="7" t="n">
        <v>64</v>
      </c>
      <c r="W39" s="8" t="n">
        <f aca="false">W38-V39</f>
        <v>12275</v>
      </c>
      <c r="X39" s="7" t="n">
        <f aca="false">N39+O39+S39+U39+V39</f>
        <v>966.91</v>
      </c>
      <c r="Y39" s="7" t="n">
        <f aca="false">IF(L39&lt;0,L39*-1,0)</f>
        <v>0</v>
      </c>
      <c r="Z39" s="7" t="n">
        <f aca="false">X39+Y39</f>
        <v>966.91</v>
      </c>
      <c r="AA39" s="11" t="n">
        <v>0</v>
      </c>
      <c r="AB39" s="12" t="n">
        <v>89</v>
      </c>
      <c r="AC39" s="12" t="n">
        <v>56</v>
      </c>
      <c r="AD39" s="13" t="n">
        <v>30</v>
      </c>
      <c r="AE39" s="12"/>
      <c r="AF39" s="12"/>
      <c r="AH39" s="7"/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6" t="n">
        <v>0.29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2"/>
      <c r="X40" s="32"/>
      <c r="Y40" s="32"/>
      <c r="Z40" s="32"/>
      <c r="AA40" s="36"/>
      <c r="AB40" s="37"/>
      <c r="AC40" s="37"/>
      <c r="AD40" s="38"/>
      <c r="AE40" s="106"/>
      <c r="AF40" s="106"/>
    </row>
    <row r="41" customFormat="false" ht="11.1" hidden="false" customHeight="true" outlineLevel="0" collapsed="false">
      <c r="A41" s="7" t="s">
        <v>46</v>
      </c>
      <c r="B41" s="7"/>
      <c r="C41" s="8"/>
      <c r="D41" s="8"/>
      <c r="E41" s="8"/>
      <c r="F41" s="8" t="n">
        <f aca="false">SUM(F10:F39)</f>
        <v>-8606.50365515503</v>
      </c>
      <c r="G41" s="8" t="n">
        <f aca="false">SUM(G10:G39)</f>
        <v>19133</v>
      </c>
      <c r="H41" s="11" t="n">
        <f aca="false">SUM(H10:H39)</f>
        <v>6.07</v>
      </c>
      <c r="I41" s="8" t="n">
        <f aca="false">SUM(I10:I39)</f>
        <v>19139.07</v>
      </c>
      <c r="J41" s="8" t="n">
        <f aca="false">SUM(J10:J39)</f>
        <v>91.8247920342828</v>
      </c>
      <c r="K41" s="8" t="n">
        <f aca="false">SUM(K10:K39)</f>
        <v>19230.8947920343</v>
      </c>
      <c r="L41" s="8" t="n">
        <f aca="false">SUM(L10:L39)</f>
        <v>-1639.11365515503</v>
      </c>
      <c r="M41" s="8" t="n">
        <f aca="false">SUM(M10:M39)</f>
        <v>9857</v>
      </c>
      <c r="N41" s="8" t="n">
        <f aca="false">SUM(N10:N39)</f>
        <v>51</v>
      </c>
      <c r="O41" s="8" t="n">
        <f aca="false">SUM(O10:O39)</f>
        <v>2609.963</v>
      </c>
      <c r="P41" s="8" t="n">
        <f aca="false">SUM(P10:P39)</f>
        <v>7196.037</v>
      </c>
      <c r="Q41" s="8" t="n">
        <f aca="false">SUM(Q10:Q39)</f>
        <v>5091</v>
      </c>
      <c r="R41" s="8" t="n">
        <f aca="false">SUM(R10:R39)</f>
        <v>2435</v>
      </c>
      <c r="S41" s="8" t="n">
        <f aca="false">SUM(S10:S39)</f>
        <v>14722.037</v>
      </c>
      <c r="T41" s="8"/>
      <c r="U41" s="8" t="n">
        <f aca="false">SUM(U10:U39)</f>
        <v>6789.46</v>
      </c>
      <c r="V41" s="8" t="n">
        <f aca="false">SUM(V10:V39)</f>
        <v>1934</v>
      </c>
      <c r="W41" s="8"/>
      <c r="X41" s="8" t="n">
        <f aca="false">SUM(X10:X39)</f>
        <v>26106.46</v>
      </c>
      <c r="Y41" s="8" t="n">
        <f aca="false">SUM(Y10:Y39)</f>
        <v>1730.93844718931</v>
      </c>
      <c r="Z41" s="8" t="n">
        <f aca="false">SUM(Z10:Z39)</f>
        <v>27837.3984471893</v>
      </c>
      <c r="AA41" s="11" t="n">
        <f aca="false">SUM(AA10:AA39)</f>
        <v>0.39</v>
      </c>
      <c r="AB41" s="12" t="n">
        <f aca="false">AVERAGE(AB10:AB39)</f>
        <v>82.2666666666667</v>
      </c>
      <c r="AC41" s="12" t="n">
        <f aca="false">AVERAGE(AC10:AC39)</f>
        <v>49.6666666666667</v>
      </c>
      <c r="AD41" s="13" t="s">
        <v>71</v>
      </c>
      <c r="AE41" s="106"/>
      <c r="AF41" s="106"/>
    </row>
    <row r="42" customFormat="false" ht="11.1" hidden="false" customHeight="true" outlineLevel="0" collapsed="false">
      <c r="A42" s="7" t="s">
        <v>48</v>
      </c>
      <c r="B42" s="7"/>
      <c r="C42" s="8"/>
      <c r="D42" s="8" t="n">
        <f aca="false">SUM(D10:D39)</f>
        <v>-17071</v>
      </c>
      <c r="E42" s="8"/>
      <c r="F42" s="8" t="n">
        <f aca="false">F41*$D$2</f>
        <v>-17071</v>
      </c>
      <c r="G42" s="8" t="n">
        <f aca="false">G41*$D$2</f>
        <v>37950.3055</v>
      </c>
      <c r="H42" s="11" t="n">
        <f aca="false">H41*$D$2</f>
        <v>12.039845</v>
      </c>
      <c r="I42" s="8" t="n">
        <f aca="false">I41*$D$2</f>
        <v>37962.345345</v>
      </c>
      <c r="J42" s="8" t="n">
        <f aca="false">J41*$D$2</f>
        <v>182.134475</v>
      </c>
      <c r="K42" s="8" t="n">
        <f aca="false">K41*$D$2</f>
        <v>38144.47982</v>
      </c>
      <c r="L42" s="8" t="n">
        <f aca="false">L41*$D$2</f>
        <v>-3251.181935</v>
      </c>
      <c r="M42" s="8" t="n">
        <f aca="false">M41*$D$2</f>
        <v>19551.3595</v>
      </c>
      <c r="N42" s="8" t="n">
        <f aca="false">N41*$D$2</f>
        <v>101.1585</v>
      </c>
      <c r="O42" s="8" t="n">
        <f aca="false">O41*$D$2</f>
        <v>5176.8616105</v>
      </c>
      <c r="P42" s="8" t="n">
        <f aca="false">P41*$D$2</f>
        <v>14273.3393895</v>
      </c>
      <c r="Q42" s="8" t="n">
        <f aca="false">Q41*$D$2</f>
        <v>10097.9985</v>
      </c>
      <c r="R42" s="8" t="n">
        <f aca="false">R41*$D$2</f>
        <v>4829.8225</v>
      </c>
      <c r="S42" s="8" t="n">
        <f aca="false">S41*$D$2</f>
        <v>29201.1603895</v>
      </c>
      <c r="T42" s="8"/>
      <c r="U42" s="8" t="n">
        <f aca="false">U41*$D$2</f>
        <v>13466.89391</v>
      </c>
      <c r="V42" s="8" t="n">
        <f aca="false">V41*$D$2</f>
        <v>3836.089</v>
      </c>
      <c r="W42" s="8"/>
      <c r="X42" s="8" t="n">
        <f aca="false">X41*$D$2</f>
        <v>51782.16341</v>
      </c>
      <c r="Y42" s="8" t="n">
        <f aca="false">Y41*$D$2</f>
        <v>3433.31641</v>
      </c>
      <c r="Z42" s="8" t="n">
        <f aca="false">Z41*$D$2</f>
        <v>55215.47982</v>
      </c>
      <c r="AA42" s="11"/>
      <c r="AB42" s="12" t="n">
        <f aca="false">MAX(AB10:AB39)</f>
        <v>91</v>
      </c>
      <c r="AC42" s="12" t="n">
        <f aca="false">MAX(AC10:AC39)</f>
        <v>57</v>
      </c>
      <c r="AD42" s="13" t="s">
        <v>49</v>
      </c>
      <c r="AE42" s="106"/>
      <c r="AF42" s="106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6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  <c r="AE43" s="106"/>
      <c r="AF43" s="106"/>
    </row>
    <row r="44" customFormat="false" ht="11.1" hidden="false" customHeight="true" outlineLevel="0" collapsed="false">
      <c r="A44" s="7" t="s">
        <v>50</v>
      </c>
      <c r="B44" s="7"/>
      <c r="C44" s="8"/>
      <c r="D44" s="8"/>
      <c r="E44" s="8"/>
      <c r="F44" s="8" t="n">
        <f aca="false">F7+F41</f>
        <v>45965.2130073103</v>
      </c>
      <c r="G44" s="8" t="n">
        <f aca="false">G7+G41</f>
        <v>92338</v>
      </c>
      <c r="H44" s="11" t="n">
        <f aca="false">H7+H41</f>
        <v>3389.33</v>
      </c>
      <c r="I44" s="8" t="n">
        <f aca="false">I7+I41</f>
        <v>95727.33</v>
      </c>
      <c r="J44" s="8" t="n">
        <f aca="false">J7+J41</f>
        <v>6696.63605999496</v>
      </c>
      <c r="K44" s="8" t="n">
        <f aca="false">K7+K41</f>
        <v>102423.966059995</v>
      </c>
      <c r="L44" s="8" t="n">
        <f aca="false">L7+L41</f>
        <v>4227.85300731031</v>
      </c>
      <c r="M44" s="8" t="n">
        <f aca="false">M7+M41</f>
        <v>21507</v>
      </c>
      <c r="N44" s="8" t="n">
        <f aca="false">N7+N41</f>
        <v>130</v>
      </c>
      <c r="O44" s="8" t="n">
        <f aca="false">O7+O41</f>
        <v>6299.078</v>
      </c>
      <c r="P44" s="8" t="n">
        <f aca="false">P7+P41</f>
        <v>15077.922</v>
      </c>
      <c r="Q44" s="8" t="n">
        <f aca="false">Q7+Q41</f>
        <v>10342</v>
      </c>
      <c r="R44" s="8" t="n">
        <f aca="false">R7+R41</f>
        <v>4804</v>
      </c>
      <c r="S44" s="8" t="n">
        <f aca="false">S7+S41</f>
        <v>30223.922</v>
      </c>
      <c r="T44" s="8" t="n">
        <f aca="false">T39</f>
        <v>0</v>
      </c>
      <c r="U44" s="8" t="n">
        <f aca="false">U7+U41</f>
        <v>12797.97</v>
      </c>
      <c r="V44" s="8" t="n">
        <f aca="false">V7+V41</f>
        <v>4539</v>
      </c>
      <c r="W44" s="8"/>
      <c r="X44" s="8" t="n">
        <f aca="false">X7+X41</f>
        <v>53989.97</v>
      </c>
      <c r="Y44" s="8" t="n">
        <f aca="false">Y7+Y41</f>
        <v>2468.78305268465</v>
      </c>
      <c r="Z44" s="8" t="n">
        <f aca="false">Z7+Z41</f>
        <v>56458.7530526847</v>
      </c>
      <c r="AA44" s="11"/>
      <c r="AB44" s="12" t="n">
        <f aca="false">MIN(AB10:AB39)</f>
        <v>60</v>
      </c>
      <c r="AC44" s="12" t="n">
        <f aca="false">MIN(AC10:AC39)</f>
        <v>30</v>
      </c>
      <c r="AD44" s="13" t="s">
        <v>51</v>
      </c>
      <c r="AE44" s="106"/>
      <c r="AF44" s="106"/>
    </row>
    <row r="45" customFormat="false" ht="11.1" hidden="false" customHeight="true" outlineLevel="0" collapsed="false">
      <c r="A45" s="7" t="s">
        <v>52</v>
      </c>
      <c r="B45" s="7"/>
      <c r="C45" s="8"/>
      <c r="D45" s="8"/>
      <c r="E45" s="8"/>
      <c r="F45" s="8" t="n">
        <f aca="false">F44*$D$2</f>
        <v>91172</v>
      </c>
      <c r="G45" s="8" t="n">
        <f aca="false">G44*$D$2</f>
        <v>183152.423</v>
      </c>
      <c r="H45" s="11" t="n">
        <f aca="false">H44*$D$2</f>
        <v>6722.736055</v>
      </c>
      <c r="I45" s="8" t="n">
        <f aca="false">I44*$D$2</f>
        <v>189875.159055</v>
      </c>
      <c r="J45" s="8" t="n">
        <f aca="false">J44*$D$2</f>
        <v>13282.777625</v>
      </c>
      <c r="K45" s="8" t="n">
        <f aca="false">K44*$D$2</f>
        <v>203157.93668</v>
      </c>
      <c r="L45" s="8" t="n">
        <f aca="false">L44*$D$2</f>
        <v>8385.94644</v>
      </c>
      <c r="M45" s="8" t="n">
        <f aca="false">M44*$D$2</f>
        <v>42659.1345</v>
      </c>
      <c r="N45" s="8" t="n">
        <f aca="false">N44*$D$2</f>
        <v>257.855</v>
      </c>
      <c r="O45" s="8" t="n">
        <f aca="false">O44*$D$2</f>
        <v>12494.221213</v>
      </c>
      <c r="P45" s="8" t="n">
        <f aca="false">P44*$D$2</f>
        <v>29907.058287</v>
      </c>
      <c r="Q45" s="8" t="n">
        <f aca="false">Q44*$D$2</f>
        <v>20513.357</v>
      </c>
      <c r="R45" s="8" t="n">
        <f aca="false">R44*$D$2</f>
        <v>9528.734</v>
      </c>
      <c r="S45" s="8" t="n">
        <f aca="false">S44*$D$2</f>
        <v>59949.149287</v>
      </c>
      <c r="T45" s="8" t="n">
        <f aca="false">T44*$D$2</f>
        <v>0</v>
      </c>
      <c r="U45" s="8" t="n">
        <f aca="false">U44*$D$2</f>
        <v>25384.773495</v>
      </c>
      <c r="V45" s="8" t="n">
        <f aca="false">V44*$D$2</f>
        <v>9003.1065</v>
      </c>
      <c r="W45" s="8"/>
      <c r="X45" s="8" t="n">
        <f aca="false">X44*$D$2</f>
        <v>107089.105495</v>
      </c>
      <c r="Y45" s="8" t="n">
        <f aca="false">Y44*$D$2</f>
        <v>4896.831185</v>
      </c>
      <c r="Z45" s="8" t="n">
        <f aca="false">Z44*$D$2</f>
        <v>111985.93668</v>
      </c>
      <c r="AA45" s="11"/>
      <c r="AB45" s="12"/>
      <c r="AC45" s="12"/>
      <c r="AD45" s="13"/>
      <c r="AE45" s="106"/>
      <c r="AF45" s="106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6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  <c r="AE46" s="106"/>
      <c r="AF46" s="106"/>
    </row>
    <row r="47" customFormat="false" ht="11.1" hidden="false" customHeight="true" outlineLevel="0" collapsed="false">
      <c r="A47" s="7" t="s">
        <v>53</v>
      </c>
      <c r="B47" s="7"/>
      <c r="C47" s="8"/>
      <c r="D47" s="8"/>
      <c r="E47" s="8"/>
      <c r="F47" s="8" t="n">
        <f aca="false">F8+F41</f>
        <v>50849.0042853542</v>
      </c>
      <c r="G47" s="8" t="n">
        <f aca="false">G8+G41</f>
        <v>101295</v>
      </c>
      <c r="H47" s="11" t="n">
        <f aca="false">H8+H41</f>
        <v>3768.23</v>
      </c>
      <c r="I47" s="8" t="n">
        <f aca="false">I8+I41</f>
        <v>105063.23</v>
      </c>
      <c r="J47" s="8" t="n">
        <f aca="false">J8+J41</f>
        <v>9664.56432316612</v>
      </c>
      <c r="K47" s="8" t="n">
        <f aca="false">K8+K41</f>
        <v>114727.794323166</v>
      </c>
      <c r="L47" s="8" t="n">
        <f aca="false">L8+L41</f>
        <v>6943.34428535417</v>
      </c>
      <c r="M47" s="8" t="n">
        <f aca="false">M8+M41</f>
        <v>22445.6</v>
      </c>
      <c r="N47" s="8" t="n">
        <f aca="false">N8+N41</f>
        <v>156.68</v>
      </c>
      <c r="O47" s="8" t="n">
        <f aca="false">O8+O41</f>
        <v>6378.9615</v>
      </c>
      <c r="P47" s="8" t="n">
        <f aca="false">P8+P41</f>
        <v>15909.9585</v>
      </c>
      <c r="Q47" s="8" t="n">
        <f aca="false">Q8+Q41</f>
        <v>10342</v>
      </c>
      <c r="R47" s="8" t="n">
        <f aca="false">R8+R41</f>
        <v>4804</v>
      </c>
      <c r="S47" s="8" t="n">
        <f aca="false">S8+S41</f>
        <v>31055.9585</v>
      </c>
      <c r="T47" s="8" t="n">
        <f aca="false">T39</f>
        <v>0</v>
      </c>
      <c r="U47" s="8" t="n">
        <f aca="false">U8+U41</f>
        <v>12797.97</v>
      </c>
      <c r="V47" s="8" t="n">
        <f aca="false">V8+V41</f>
        <v>10768</v>
      </c>
      <c r="W47" s="8" t="n">
        <f aca="false">W39</f>
        <v>12275</v>
      </c>
      <c r="X47" s="8" t="n">
        <f aca="false">X8+X41</f>
        <v>61157.57</v>
      </c>
      <c r="Y47" s="8" t="n">
        <f aca="false">Y8+Y41</f>
        <v>2721.22003781195</v>
      </c>
      <c r="Z47" s="8" t="n">
        <f aca="false">Z8+Z41</f>
        <v>63878.790037812</v>
      </c>
      <c r="AA47" s="11" t="n">
        <f aca="false">AA8+AA41</f>
        <v>6.74</v>
      </c>
      <c r="AB47" s="12"/>
      <c r="AC47" s="12"/>
      <c r="AD47" s="13"/>
      <c r="AE47" s="106"/>
      <c r="AF47" s="106"/>
    </row>
    <row r="48" customFormat="false" ht="11.1" hidden="false" customHeight="true" outlineLevel="0" collapsed="false">
      <c r="A48" s="7" t="s">
        <v>54</v>
      </c>
      <c r="B48" s="7"/>
      <c r="C48" s="8"/>
      <c r="D48" s="8" t="n">
        <f aca="false">D8+D42</f>
        <v>100859</v>
      </c>
      <c r="E48" s="8" t="n">
        <f aca="false">E39</f>
        <v>166324</v>
      </c>
      <c r="F48" s="8" t="n">
        <f aca="false">F47*$D$2</f>
        <v>100859</v>
      </c>
      <c r="G48" s="8" t="n">
        <f aca="false">G47*$D$2</f>
        <v>200918.6325</v>
      </c>
      <c r="H48" s="11" t="n">
        <f aca="false">H47*$D$2</f>
        <v>7474.284205</v>
      </c>
      <c r="I48" s="8" t="n">
        <f aca="false">I47*$D$2</f>
        <v>208392.916705</v>
      </c>
      <c r="J48" s="8" t="n">
        <f aca="false">J47*$D$2</f>
        <v>19169.663335</v>
      </c>
      <c r="K48" s="8" t="n">
        <f aca="false">K47*$D$2</f>
        <v>227562.58004</v>
      </c>
      <c r="L48" s="8" t="n">
        <f aca="false">L47*$D$2</f>
        <v>13772.12339</v>
      </c>
      <c r="M48" s="8" t="n">
        <f aca="false">M47*$D$2</f>
        <v>44520.8476</v>
      </c>
      <c r="N48" s="8" t="n">
        <f aca="false">N47*$D$2</f>
        <v>310.77478</v>
      </c>
      <c r="O48" s="8" t="n">
        <f aca="false">O47*$D$2</f>
        <v>12652.67013525</v>
      </c>
      <c r="P48" s="8" t="n">
        <f aca="false">P47*$D$2</f>
        <v>31557.40268475</v>
      </c>
      <c r="Q48" s="8" t="n">
        <f aca="false">Q47*$D$2</f>
        <v>20513.357</v>
      </c>
      <c r="R48" s="8" t="n">
        <f aca="false">R47*$D$2</f>
        <v>9528.734</v>
      </c>
      <c r="S48" s="8" t="n">
        <f aca="false">S47*$D$2</f>
        <v>61599.49368475</v>
      </c>
      <c r="T48" s="8" t="n">
        <f aca="false">T47*$D$2</f>
        <v>0</v>
      </c>
      <c r="U48" s="8" t="n">
        <f aca="false">U47*$D$2</f>
        <v>25384.773495</v>
      </c>
      <c r="V48" s="8" t="n">
        <f aca="false">V47*$D$2</f>
        <v>21358.328</v>
      </c>
      <c r="W48" s="8" t="n">
        <f aca="false">W47*$D$2</f>
        <v>24347.4625</v>
      </c>
      <c r="X48" s="8" t="n">
        <f aca="false">X47*$D$2</f>
        <v>121306.040095</v>
      </c>
      <c r="Y48" s="8" t="n">
        <f aca="false">Y47*$D$2</f>
        <v>5397.539945</v>
      </c>
      <c r="Z48" s="8" t="n">
        <f aca="false">Z47*$D$2</f>
        <v>126703.58004</v>
      </c>
      <c r="AA48" s="11"/>
      <c r="AB48" s="12"/>
      <c r="AC48" s="12"/>
      <c r="AD48" s="13"/>
      <c r="AE48" s="106"/>
      <c r="AF48" s="106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6"/>
      <c r="I49" s="32"/>
      <c r="J49" s="32"/>
      <c r="K49" s="131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  <c r="AE49" s="106"/>
      <c r="AF49" s="106"/>
    </row>
    <row r="50" customFormat="false" ht="14.1" hidden="false" customHeight="true" outlineLevel="0" collapsed="false">
      <c r="A50" s="42"/>
      <c r="B50" s="43"/>
      <c r="C50" s="8"/>
      <c r="D50" s="7"/>
      <c r="E50" s="8"/>
      <c r="F50" s="7"/>
      <c r="G50" s="132"/>
      <c r="H50" s="11"/>
      <c r="I50" s="7"/>
      <c r="J50" s="7"/>
      <c r="K50" s="133"/>
      <c r="L50" s="7"/>
      <c r="M50" s="7"/>
      <c r="N50" s="7"/>
      <c r="O50" s="7"/>
      <c r="P50" s="7"/>
      <c r="Q50" s="7"/>
      <c r="R50" s="7"/>
      <c r="S50" s="7"/>
      <c r="T50" s="8"/>
      <c r="U50" s="7"/>
      <c r="V50" s="7"/>
      <c r="W50" s="8"/>
      <c r="X50" s="7"/>
      <c r="Y50" s="7"/>
      <c r="Z50" s="7"/>
      <c r="AA50" s="11"/>
      <c r="AB50" s="12"/>
      <c r="AC50" s="12"/>
      <c r="AD50" s="13"/>
      <c r="AE50" s="106"/>
      <c r="AF50" s="106"/>
    </row>
    <row r="51" customFormat="false" ht="11.1" hidden="false" customHeight="true" outlineLevel="0" collapsed="false">
      <c r="A51" s="7"/>
      <c r="B51" s="31"/>
      <c r="C51" s="8"/>
      <c r="D51" s="41"/>
      <c r="E51" s="8"/>
      <c r="F51" s="7"/>
      <c r="G51" s="7"/>
      <c r="H51" s="11"/>
      <c r="I51" s="44"/>
      <c r="J51" s="7"/>
      <c r="K51" s="45"/>
      <c r="L51" s="7"/>
      <c r="M51" s="7"/>
      <c r="N51" s="7"/>
      <c r="O51" s="7"/>
      <c r="P51" s="7"/>
      <c r="Q51" s="7"/>
      <c r="R51" s="7"/>
      <c r="S51" s="7"/>
      <c r="T51" s="8"/>
      <c r="U51" s="7"/>
      <c r="V51" s="7"/>
      <c r="W51" s="8"/>
      <c r="X51" s="7"/>
      <c r="Y51" s="7"/>
      <c r="Z51" s="7"/>
      <c r="AA51" s="11"/>
      <c r="AB51" s="12"/>
      <c r="AC51" s="12"/>
      <c r="AD51" s="13"/>
      <c r="AE51" s="106"/>
      <c r="AF51" s="106"/>
    </row>
    <row r="52" customFormat="false" ht="11.1" hidden="false" customHeight="true" outlineLevel="0" collapsed="false">
      <c r="B52" s="41"/>
      <c r="C52" s="8"/>
      <c r="D52" s="8"/>
      <c r="E52" s="8"/>
      <c r="F52" s="41"/>
      <c r="G52" s="132"/>
      <c r="H52" s="11"/>
      <c r="I52" s="41"/>
      <c r="J52" s="41"/>
      <c r="K52" s="134"/>
      <c r="L52" s="41"/>
      <c r="M52" s="39"/>
      <c r="N52" s="39"/>
      <c r="O52" s="39"/>
      <c r="P52" s="41"/>
      <c r="Q52" s="41"/>
      <c r="R52" s="7"/>
      <c r="S52" s="8"/>
      <c r="T52" s="41"/>
      <c r="U52" s="41"/>
      <c r="V52" s="8"/>
      <c r="W52" s="41"/>
      <c r="X52" s="41"/>
      <c r="Y52" s="41"/>
      <c r="Z52" s="9"/>
      <c r="AA52" s="11"/>
      <c r="AB52" s="12"/>
      <c r="AC52" s="13"/>
      <c r="AD52" s="113"/>
      <c r="AE52" s="113"/>
    </row>
    <row r="53" customFormat="false" ht="11.1" hidden="false" customHeight="true" outlineLevel="0" collapsed="false">
      <c r="A53" s="41"/>
      <c r="B53" s="9"/>
      <c r="C53" s="8"/>
      <c r="D53" s="8"/>
      <c r="E53" s="8"/>
      <c r="F53" s="41"/>
      <c r="G53" s="132"/>
      <c r="H53" s="11"/>
      <c r="I53" s="41"/>
      <c r="J53" s="41"/>
      <c r="K53" s="134"/>
      <c r="L53" s="41"/>
      <c r="M53" s="39"/>
      <c r="N53" s="39"/>
      <c r="O53" s="39"/>
      <c r="P53" s="41"/>
      <c r="Q53" s="41"/>
      <c r="R53" s="41"/>
      <c r="S53" s="8"/>
      <c r="T53" s="41"/>
      <c r="U53" s="41"/>
      <c r="V53" s="8"/>
      <c r="W53" s="41"/>
      <c r="X53" s="41"/>
      <c r="Y53" s="41"/>
      <c r="Z53" s="9"/>
      <c r="AA53" s="11"/>
      <c r="AB53" s="12"/>
      <c r="AC53" s="13"/>
      <c r="AD53" s="113"/>
      <c r="AE53" s="113"/>
    </row>
    <row r="54" customFormat="false" ht="11.1" hidden="false" customHeight="true" outlineLevel="0" collapsed="false">
      <c r="A54" s="41"/>
      <c r="B54" s="41"/>
      <c r="C54" s="8"/>
      <c r="D54" s="41"/>
      <c r="E54" s="8"/>
      <c r="F54" s="41"/>
      <c r="G54" s="7"/>
      <c r="H54" s="11"/>
      <c r="I54" s="41"/>
      <c r="J54" s="41"/>
      <c r="K54" s="45"/>
      <c r="L54" s="41"/>
      <c r="M54" s="39"/>
      <c r="N54" s="39"/>
      <c r="O54" s="39"/>
      <c r="P54" s="41"/>
      <c r="Q54" s="41"/>
      <c r="R54" s="41"/>
      <c r="S54" s="8"/>
      <c r="T54" s="41"/>
      <c r="U54" s="41"/>
      <c r="V54" s="8"/>
      <c r="W54" s="41"/>
      <c r="X54" s="41"/>
      <c r="Y54" s="41"/>
      <c r="Z54" s="9"/>
      <c r="AA54" s="11"/>
      <c r="AB54" s="12"/>
      <c r="AC54" s="13"/>
      <c r="AD54" s="113"/>
      <c r="AE54" s="113"/>
    </row>
    <row r="55" customFormat="false" ht="11.1" hidden="false" customHeight="true" outlineLevel="0" collapsed="false">
      <c r="R55" s="41"/>
      <c r="S55" s="8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10" activePane="bottomRight" state="frozen"/>
      <selection pane="topLeft" activeCell="A1" activeCellId="0" sqref="A1"/>
      <selection pane="topRight" activeCell="K1" activeCellId="0" sqref="K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7" width="5.66"/>
    <col collapsed="false" customWidth="true" hidden="false" outlineLevel="0" max="2" min="2" style="47" width="7.82"/>
    <col collapsed="false" customWidth="true" hidden="false" outlineLevel="0" max="3" min="3" style="48" width="7.66"/>
    <col collapsed="false" customWidth="true" hidden="false" outlineLevel="0" max="4" min="4" style="47" width="6.99"/>
    <col collapsed="false" customWidth="true" hidden="false" outlineLevel="0" max="5" min="5" style="48" width="7.66"/>
    <col collapsed="false" customWidth="true" hidden="false" outlineLevel="0" max="6" min="6" style="47" width="7.66"/>
    <col collapsed="false" customWidth="true" hidden="false" outlineLevel="0" max="7" min="7" style="47" width="7.16"/>
    <col collapsed="false" customWidth="true" hidden="false" outlineLevel="0" max="8" min="8" style="51" width="6.82"/>
    <col collapsed="false" customWidth="true" hidden="false" outlineLevel="0" max="9" min="9" style="47" width="7.99"/>
    <col collapsed="false" customWidth="true" hidden="false" outlineLevel="0" max="10" min="10" style="47" width="6.66"/>
    <col collapsed="false" customWidth="true" hidden="false" outlineLevel="0" max="12" min="11" style="47" width="7.16"/>
    <col collapsed="false" customWidth="true" hidden="false" outlineLevel="0" max="13" min="13" style="50" width="6.16"/>
    <col collapsed="false" customWidth="true" hidden="false" outlineLevel="0" max="14" min="14" style="50" width="7.32"/>
    <col collapsed="false" customWidth="true" hidden="false" outlineLevel="0" max="15" min="15" style="50" width="6.49"/>
    <col collapsed="false" customWidth="true" hidden="false" outlineLevel="0" max="16" min="16" style="47" width="7.16"/>
    <col collapsed="false" customWidth="true" hidden="false" outlineLevel="0" max="17" min="17" style="47" width="6.32"/>
    <col collapsed="false" customWidth="true" hidden="false" outlineLevel="0" max="18" min="18" style="47" width="5.82"/>
    <col collapsed="false" customWidth="true" hidden="false" outlineLevel="0" max="19" min="19" style="48" width="6.82"/>
    <col collapsed="false" customWidth="true" hidden="false" outlineLevel="0" max="20" min="20" style="47" width="6.32"/>
    <col collapsed="false" customWidth="true" hidden="false" outlineLevel="0" max="21" min="21" style="47" width="5.99"/>
    <col collapsed="false" customWidth="true" hidden="false" outlineLevel="0" max="22" min="22" style="48" width="6.66"/>
    <col collapsed="false" customWidth="true" hidden="false" outlineLevel="0" max="23" min="23" style="47" width="6.82"/>
    <col collapsed="false" customWidth="true" hidden="false" outlineLevel="0" max="25" min="24" style="47" width="7.82"/>
    <col collapsed="false" customWidth="true" hidden="false" outlineLevel="0" max="26" min="26" style="49" width="8.16"/>
    <col collapsed="false" customWidth="true" hidden="false" outlineLevel="0" max="28" min="27" style="52" width="4.66"/>
    <col collapsed="false" customWidth="true" hidden="false" outlineLevel="0" max="29" min="29" style="53" width="4.66"/>
    <col collapsed="false" customWidth="true" hidden="false" outlineLevel="0" max="30" min="30" style="47" width="5.66"/>
    <col collapsed="false" customWidth="false" hidden="false" outlineLevel="0" max="257" min="31" style="47" width="9.32"/>
  </cols>
  <sheetData>
    <row r="1" customFormat="false" ht="14.1" hidden="false" customHeight="true" outlineLevel="0" collapsed="false">
      <c r="A1" s="54"/>
      <c r="B1" s="54"/>
      <c r="C1" s="55"/>
      <c r="D1" s="54"/>
      <c r="E1" s="55"/>
      <c r="F1" s="54"/>
      <c r="G1" s="54"/>
      <c r="H1" s="58"/>
      <c r="I1" s="54"/>
      <c r="J1" s="54"/>
      <c r="K1" s="57" t="s">
        <v>0</v>
      </c>
      <c r="L1" s="54"/>
      <c r="M1" s="54"/>
      <c r="N1" s="54"/>
      <c r="O1" s="54"/>
      <c r="P1" s="54"/>
      <c r="Q1" s="54"/>
      <c r="R1" s="54"/>
      <c r="S1" s="55"/>
      <c r="T1" s="54"/>
      <c r="U1" s="54"/>
      <c r="V1" s="55"/>
      <c r="W1" s="54"/>
      <c r="X1" s="54"/>
      <c r="Y1" s="54"/>
      <c r="Z1" s="56"/>
      <c r="AA1" s="59"/>
      <c r="AB1" s="59"/>
      <c r="AC1" s="60"/>
      <c r="AD1" s="91"/>
      <c r="AE1" s="91"/>
    </row>
    <row r="2" customFormat="false" ht="14.1" hidden="false" customHeight="true" outlineLevel="0" collapsed="false">
      <c r="A2" s="54" t="s">
        <v>1</v>
      </c>
      <c r="B2" s="54"/>
      <c r="C2" s="55"/>
      <c r="D2" s="61" t="n">
        <v>1.9835</v>
      </c>
      <c r="E2" s="55"/>
      <c r="F2" s="54"/>
      <c r="G2" s="54"/>
      <c r="H2" s="58"/>
      <c r="I2" s="54"/>
      <c r="J2" s="54"/>
      <c r="K2" s="62" t="s">
        <v>74</v>
      </c>
      <c r="L2" s="62"/>
      <c r="M2" s="62"/>
      <c r="N2" s="62"/>
      <c r="O2" s="62"/>
      <c r="P2" s="62"/>
      <c r="Q2" s="62"/>
      <c r="R2" s="62"/>
      <c r="S2" s="62"/>
      <c r="T2" s="62"/>
      <c r="U2" s="54"/>
      <c r="V2" s="55"/>
      <c r="W2" s="54"/>
      <c r="X2" s="54"/>
      <c r="Y2" s="54"/>
      <c r="Z2" s="56"/>
      <c r="AA2" s="59"/>
      <c r="AB2" s="59"/>
      <c r="AC2" s="60"/>
      <c r="AD2" s="91"/>
      <c r="AE2" s="91"/>
    </row>
    <row r="3" customFormat="false" ht="11.1" hidden="false" customHeight="true" outlineLevel="0" collapsed="false">
      <c r="A3" s="54"/>
      <c r="B3" s="54"/>
      <c r="C3" s="55"/>
      <c r="D3" s="63"/>
      <c r="E3" s="55"/>
      <c r="F3" s="54"/>
      <c r="G3" s="54"/>
      <c r="H3" s="58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54"/>
      <c r="U3" s="54"/>
      <c r="V3" s="55"/>
      <c r="W3" s="54"/>
      <c r="X3" s="54"/>
      <c r="Y3" s="54"/>
      <c r="Z3" s="56"/>
      <c r="AA3" s="59"/>
      <c r="AB3" s="59"/>
      <c r="AC3" s="60"/>
      <c r="AD3" s="91"/>
      <c r="AE3" s="91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6" t="s">
        <v>20</v>
      </c>
      <c r="AB4" s="68" t="s">
        <v>21</v>
      </c>
      <c r="AC4" s="68" t="s">
        <v>22</v>
      </c>
      <c r="AD4" s="68" t="s">
        <v>3</v>
      </c>
      <c r="AE4" s="91"/>
      <c r="AF4" s="91"/>
    </row>
    <row r="5" customFormat="false" ht="11.1" hidden="false" customHeight="true" outlineLevel="0" collapsed="false">
      <c r="A5" s="69" t="s">
        <v>75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135"/>
      <c r="AB5" s="68" t="s">
        <v>43</v>
      </c>
      <c r="AC5" s="68" t="s">
        <v>43</v>
      </c>
      <c r="AD5" s="71" t="s">
        <v>75</v>
      </c>
      <c r="AE5" s="91"/>
      <c r="AF5" s="91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3"/>
      <c r="I6" s="72"/>
      <c r="J6" s="72"/>
      <c r="K6" s="72"/>
      <c r="L6" s="72"/>
      <c r="M6" s="72"/>
      <c r="N6" s="72"/>
      <c r="O6" s="72"/>
      <c r="P6" s="72"/>
      <c r="Q6" s="72"/>
      <c r="R6" s="136" t="s">
        <v>76</v>
      </c>
      <c r="S6" s="72"/>
      <c r="T6" s="114" t="n">
        <v>10568</v>
      </c>
      <c r="U6" s="72"/>
      <c r="V6" s="72"/>
      <c r="W6" s="73"/>
      <c r="X6" s="72"/>
      <c r="Y6" s="72"/>
      <c r="Z6" s="72"/>
      <c r="AA6" s="56"/>
      <c r="AB6" s="60"/>
      <c r="AC6" s="60"/>
      <c r="AD6" s="60"/>
      <c r="AE6" s="95"/>
      <c r="AF6" s="95"/>
      <c r="AG6" s="96"/>
    </row>
    <row r="7" customFormat="false" ht="11.1" hidden="false" customHeight="true" outlineLevel="0" collapsed="false">
      <c r="A7" s="54" t="s">
        <v>44</v>
      </c>
      <c r="B7" s="54"/>
      <c r="C7" s="55"/>
      <c r="D7" s="55"/>
      <c r="E7" s="55"/>
      <c r="F7" s="55" t="n">
        <f aca="false">JUN!F44</f>
        <v>45965.2130073103</v>
      </c>
      <c r="G7" s="55" t="n">
        <f aca="false">JUN!G44</f>
        <v>92338</v>
      </c>
      <c r="H7" s="58" t="n">
        <f aca="false">JUN!H44</f>
        <v>3389.33</v>
      </c>
      <c r="I7" s="55" t="n">
        <f aca="false">JUN!I44</f>
        <v>95727.33</v>
      </c>
      <c r="J7" s="55" t="n">
        <f aca="false">JUN!J44</f>
        <v>6696.63605999496</v>
      </c>
      <c r="K7" s="55" t="n">
        <f aca="false">JUN!K44</f>
        <v>102423.966059995</v>
      </c>
      <c r="L7" s="55" t="n">
        <f aca="false">JUN!L44</f>
        <v>4227.85300731031</v>
      </c>
      <c r="M7" s="55" t="n">
        <f aca="false">JUN!M44</f>
        <v>21507</v>
      </c>
      <c r="N7" s="55" t="n">
        <f aca="false">JUN!N44</f>
        <v>130</v>
      </c>
      <c r="O7" s="55" t="n">
        <f aca="false">JUN!O44</f>
        <v>6299.078</v>
      </c>
      <c r="P7" s="55" t="n">
        <f aca="false">JUN!P44</f>
        <v>15077.922</v>
      </c>
      <c r="Q7" s="55" t="n">
        <f aca="false">JUN!Q44</f>
        <v>10342</v>
      </c>
      <c r="R7" s="55" t="n">
        <f aca="false">JUN!R44</f>
        <v>4804</v>
      </c>
      <c r="S7" s="55" t="n">
        <f aca="false">JUN!S44</f>
        <v>30223.922</v>
      </c>
      <c r="T7" s="55" t="n">
        <f aca="false">JUN!T44</f>
        <v>0</v>
      </c>
      <c r="U7" s="55" t="n">
        <f aca="false">JUN!U44</f>
        <v>12797.97</v>
      </c>
      <c r="V7" s="55" t="n">
        <f aca="false">JUN!V44</f>
        <v>4539</v>
      </c>
      <c r="W7" s="55"/>
      <c r="X7" s="55" t="n">
        <f aca="false">JUN!X44</f>
        <v>53989.97</v>
      </c>
      <c r="Y7" s="55" t="n">
        <f aca="false">JUN!Y44</f>
        <v>2468.78305268465</v>
      </c>
      <c r="Z7" s="55" t="n">
        <f aca="false">JUN!Z44</f>
        <v>56458.7530526847</v>
      </c>
      <c r="AA7" s="56"/>
      <c r="AB7" s="59"/>
      <c r="AC7" s="59"/>
      <c r="AD7" s="60"/>
      <c r="AE7" s="95"/>
      <c r="AF7" s="96"/>
      <c r="AG7" s="96"/>
    </row>
    <row r="8" s="48" customFormat="true" ht="11.1" hidden="false" customHeight="true" outlineLevel="0" collapsed="false">
      <c r="A8" s="55" t="s">
        <v>45</v>
      </c>
      <c r="B8" s="75" t="n">
        <f aca="false">JUN!B39</f>
        <v>6909.08</v>
      </c>
      <c r="C8" s="55" t="n">
        <f aca="false">JUN!C39</f>
        <v>318324</v>
      </c>
      <c r="D8" s="55" t="n">
        <f aca="false">JUN!D48</f>
        <v>100859</v>
      </c>
      <c r="E8" s="55" t="n">
        <f aca="false">JUN!E48</f>
        <v>166324</v>
      </c>
      <c r="F8" s="55" t="n">
        <f aca="false">JUN!F47</f>
        <v>50849.0042853542</v>
      </c>
      <c r="G8" s="55" t="n">
        <f aca="false">JUN!G47</f>
        <v>101295</v>
      </c>
      <c r="H8" s="58" t="n">
        <f aca="false">JUN!H47</f>
        <v>3768.23</v>
      </c>
      <c r="I8" s="55" t="n">
        <f aca="false">JUN!I47</f>
        <v>105063.23</v>
      </c>
      <c r="J8" s="55" t="n">
        <f aca="false">JUN!J47</f>
        <v>9664.56432316612</v>
      </c>
      <c r="K8" s="55" t="n">
        <f aca="false">JUN!K47</f>
        <v>114727.794323166</v>
      </c>
      <c r="L8" s="55" t="n">
        <f aca="false">JUN!L47</f>
        <v>6943.34428535417</v>
      </c>
      <c r="M8" s="55" t="n">
        <f aca="false">JUN!M47</f>
        <v>22445.6</v>
      </c>
      <c r="N8" s="55" t="n">
        <f aca="false">JUN!N47</f>
        <v>156.68</v>
      </c>
      <c r="O8" s="55" t="n">
        <f aca="false">JUN!O47</f>
        <v>6378.9615</v>
      </c>
      <c r="P8" s="55" t="n">
        <f aca="false">JUN!P47</f>
        <v>15909.9585</v>
      </c>
      <c r="Q8" s="55" t="n">
        <f aca="false">JUN!Q47</f>
        <v>10342</v>
      </c>
      <c r="R8" s="55" t="n">
        <f aca="false">JUN!R47</f>
        <v>4804</v>
      </c>
      <c r="S8" s="55" t="n">
        <f aca="false">JUN!S47</f>
        <v>31055.9585</v>
      </c>
      <c r="T8" s="55" t="n">
        <f aca="false">JUN!T47</f>
        <v>0</v>
      </c>
      <c r="U8" s="55" t="n">
        <f aca="false">JUN!U47</f>
        <v>12797.97</v>
      </c>
      <c r="V8" s="55" t="n">
        <f aca="false">JUN!V47</f>
        <v>10768</v>
      </c>
      <c r="W8" s="55" t="n">
        <f aca="false">JUN!W47</f>
        <v>12275</v>
      </c>
      <c r="X8" s="55" t="n">
        <f aca="false">JUN!X47</f>
        <v>61157.57</v>
      </c>
      <c r="Y8" s="55" t="n">
        <f aca="false">JUN!Y47</f>
        <v>2721.22003781195</v>
      </c>
      <c r="Z8" s="55" t="n">
        <f aca="false">JUN!Z47</f>
        <v>63878.790037812</v>
      </c>
      <c r="AA8" s="83" t="n">
        <f aca="false">JUN!AA47</f>
        <v>6.74</v>
      </c>
      <c r="AB8" s="59"/>
      <c r="AC8" s="59"/>
      <c r="AD8" s="60"/>
      <c r="AE8" s="97"/>
      <c r="AF8" s="95"/>
      <c r="AG8" s="97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79"/>
      <c r="AB9" s="81"/>
      <c r="AC9" s="81"/>
      <c r="AD9" s="82"/>
      <c r="AE9" s="95"/>
      <c r="AF9" s="95"/>
      <c r="AG9" s="96"/>
    </row>
    <row r="10" customFormat="false" ht="11.1" hidden="false" customHeight="true" outlineLevel="0" collapsed="false">
      <c r="A10" s="60" t="n">
        <v>1</v>
      </c>
      <c r="B10" s="75" t="n">
        <v>6908.7</v>
      </c>
      <c r="C10" s="55" t="n">
        <v>316820</v>
      </c>
      <c r="D10" s="59" t="n">
        <f aca="false">C10-C8</f>
        <v>-1504</v>
      </c>
      <c r="E10" s="55" t="n">
        <f aca="false">C10-152000</f>
        <v>164820</v>
      </c>
      <c r="F10" s="54" t="n">
        <f aca="false">D10/$D$2</f>
        <v>-758.255608772372</v>
      </c>
      <c r="G10" s="54" t="n">
        <v>232</v>
      </c>
      <c r="H10" s="58" t="n">
        <v>0.15</v>
      </c>
      <c r="I10" s="54" t="n">
        <f aca="false">G10+H10</f>
        <v>232.15</v>
      </c>
      <c r="J10" s="83" t="n">
        <f aca="false">IF(L10&gt;0,L10,0)</f>
        <v>0</v>
      </c>
      <c r="K10" s="54" t="n">
        <f aca="false">I10+J10</f>
        <v>232.15</v>
      </c>
      <c r="L10" s="54" t="n">
        <f aca="false">F10-(I10-X10)</f>
        <v>-34.1256087723721</v>
      </c>
      <c r="M10" s="54" t="n">
        <v>334</v>
      </c>
      <c r="N10" s="54" t="n">
        <v>0.5</v>
      </c>
      <c r="O10" s="54" t="n">
        <f aca="false">70.71*1.05</f>
        <v>74.2455</v>
      </c>
      <c r="P10" s="7" t="n">
        <f aca="false">M10-(N10+O10)</f>
        <v>259.2545</v>
      </c>
      <c r="Q10" s="54" t="n">
        <v>168</v>
      </c>
      <c r="R10" s="54" t="n">
        <v>86</v>
      </c>
      <c r="S10" s="54" t="n">
        <f aca="false">SUM(P10:R10)</f>
        <v>513.2545</v>
      </c>
      <c r="T10" s="55" t="n">
        <f aca="false">(I10-S10)+T6</f>
        <v>10286.8955</v>
      </c>
      <c r="U10" s="54" t="n">
        <v>304.28</v>
      </c>
      <c r="V10" s="54" t="n">
        <v>64</v>
      </c>
      <c r="W10" s="55" t="n">
        <f aca="false">W8-V10</f>
        <v>12211</v>
      </c>
      <c r="X10" s="7" t="n">
        <f aca="false">N10+O10+S10+U10+V10</f>
        <v>956.28</v>
      </c>
      <c r="Y10" s="54" t="n">
        <f aca="false">IF(L10&lt;0,L10*-1,0)</f>
        <v>34.1256087723721</v>
      </c>
      <c r="Z10" s="54" t="n">
        <f aca="false">X10+Y10</f>
        <v>990.405608772372</v>
      </c>
      <c r="AA10" s="56" t="n">
        <v>0</v>
      </c>
      <c r="AB10" s="137" t="n">
        <v>87</v>
      </c>
      <c r="AC10" s="137" t="n">
        <v>61</v>
      </c>
      <c r="AD10" s="60" t="n">
        <v>1</v>
      </c>
      <c r="AE10" s="96"/>
      <c r="AF10" s="97"/>
      <c r="AG10" s="96"/>
    </row>
    <row r="11" customFormat="false" ht="11.1" hidden="false" customHeight="true" outlineLevel="0" collapsed="false">
      <c r="A11" s="60" t="n">
        <f aca="false">A10+1</f>
        <v>2</v>
      </c>
      <c r="B11" s="75" t="n">
        <v>6908.31</v>
      </c>
      <c r="C11" s="55" t="n">
        <v>315280</v>
      </c>
      <c r="D11" s="59" t="n">
        <f aca="false">C11-C10</f>
        <v>-1540</v>
      </c>
      <c r="E11" s="55" t="n">
        <f aca="false">C11-152000</f>
        <v>163280</v>
      </c>
      <c r="F11" s="54" t="n">
        <f aca="false">D11/$D$2</f>
        <v>-776.405344088732</v>
      </c>
      <c r="G11" s="54" t="n">
        <v>239</v>
      </c>
      <c r="H11" s="58" t="n">
        <v>0.18</v>
      </c>
      <c r="I11" s="54" t="n">
        <f aca="false">G11+H11</f>
        <v>239.18</v>
      </c>
      <c r="J11" s="83" t="n">
        <f aca="false">IF(L11&gt;0,L11,0)</f>
        <v>0</v>
      </c>
      <c r="K11" s="54" t="n">
        <f aca="false">I11+J11</f>
        <v>239.18</v>
      </c>
      <c r="L11" s="54" t="n">
        <f aca="false">F11-(I11-X11)</f>
        <v>-64.7953440887321</v>
      </c>
      <c r="M11" s="54" t="n">
        <v>325</v>
      </c>
      <c r="N11" s="54" t="n">
        <v>0.5</v>
      </c>
      <c r="O11" s="54" t="n">
        <f aca="false">80.77*1.05</f>
        <v>84.8085</v>
      </c>
      <c r="P11" s="7" t="n">
        <f aca="false">M11-(N11+O11)</f>
        <v>239.6915</v>
      </c>
      <c r="Q11" s="54" t="n">
        <v>172</v>
      </c>
      <c r="R11" s="54" t="n">
        <v>89</v>
      </c>
      <c r="S11" s="54" t="n">
        <f aca="false">SUM(P11:R11)</f>
        <v>500.6915</v>
      </c>
      <c r="T11" s="55" t="n">
        <f aca="false">(I11-S11)+T10</f>
        <v>10025.384</v>
      </c>
      <c r="U11" s="54" t="n">
        <v>296.79</v>
      </c>
      <c r="V11" s="54" t="n">
        <v>68</v>
      </c>
      <c r="W11" s="55" t="n">
        <f aca="false">W10-V11</f>
        <v>12143</v>
      </c>
      <c r="X11" s="7" t="n">
        <f aca="false">N11+O11+S11+U11+V11</f>
        <v>950.79</v>
      </c>
      <c r="Y11" s="54" t="n">
        <f aca="false">IF(L11&lt;0,L11*-1,0)</f>
        <v>64.7953440887321</v>
      </c>
      <c r="Z11" s="54" t="n">
        <f aca="false">X11+Y11</f>
        <v>1015.58534408873</v>
      </c>
      <c r="AA11" s="56" t="n">
        <v>0</v>
      </c>
      <c r="AB11" s="59" t="n">
        <v>93</v>
      </c>
      <c r="AC11" s="59" t="n">
        <v>54</v>
      </c>
      <c r="AD11" s="60" t="n">
        <f aca="false">AD10+1</f>
        <v>2</v>
      </c>
      <c r="AE11" s="96"/>
      <c r="AF11" s="97"/>
      <c r="AG11" s="96"/>
    </row>
    <row r="12" customFormat="false" ht="11.1" hidden="false" customHeight="true" outlineLevel="0" collapsed="false">
      <c r="A12" s="60" t="n">
        <f aca="false">A11+1</f>
        <v>3</v>
      </c>
      <c r="B12" s="75" t="n">
        <v>6907.9</v>
      </c>
      <c r="C12" s="55" t="n">
        <v>313664</v>
      </c>
      <c r="D12" s="59" t="n">
        <f aca="false">C12-C11</f>
        <v>-1616</v>
      </c>
      <c r="E12" s="55" t="n">
        <f aca="false">C12-152000</f>
        <v>161664</v>
      </c>
      <c r="F12" s="54" t="n">
        <f aca="false">D12/$D$2</f>
        <v>-814.721451978825</v>
      </c>
      <c r="G12" s="54" t="n">
        <v>225</v>
      </c>
      <c r="H12" s="58" t="n">
        <v>0.13</v>
      </c>
      <c r="I12" s="54" t="n">
        <f aca="false">G12+H12</f>
        <v>225.13</v>
      </c>
      <c r="J12" s="83" t="n">
        <f aca="false">IF(L12&gt;0,L12,0)</f>
        <v>0</v>
      </c>
      <c r="K12" s="54" t="n">
        <f aca="false">I12+J12</f>
        <v>225.13</v>
      </c>
      <c r="L12" s="54" t="n">
        <f aca="false">F12-(I12-X12)</f>
        <v>-46.5114519788253</v>
      </c>
      <c r="M12" s="54" t="n">
        <v>346</v>
      </c>
      <c r="N12" s="54" t="n">
        <v>0.5</v>
      </c>
      <c r="O12" s="54" t="n">
        <f aca="false">81.38*1.05</f>
        <v>85.449</v>
      </c>
      <c r="P12" s="7" t="n">
        <f aca="false">M12-(N12+O12)</f>
        <v>260.051</v>
      </c>
      <c r="Q12" s="54" t="n">
        <v>171</v>
      </c>
      <c r="R12" s="54" t="n">
        <v>91</v>
      </c>
      <c r="S12" s="54" t="n">
        <f aca="false">SUM(P12:R12)</f>
        <v>522.051</v>
      </c>
      <c r="T12" s="55" t="n">
        <f aca="false">(I12-S12)+T11</f>
        <v>9728.463</v>
      </c>
      <c r="U12" s="54" t="n">
        <v>316.34</v>
      </c>
      <c r="V12" s="54" t="n">
        <v>69</v>
      </c>
      <c r="W12" s="55" t="n">
        <f aca="false">W11-V12</f>
        <v>12074</v>
      </c>
      <c r="X12" s="7" t="n">
        <f aca="false">N12+O12+S12+U12+V12</f>
        <v>993.34</v>
      </c>
      <c r="Y12" s="54" t="n">
        <f aca="false">IF(L12&lt;0,L12*-1,0)</f>
        <v>46.5114519788253</v>
      </c>
      <c r="Z12" s="54" t="n">
        <f aca="false">X12+Y12</f>
        <v>1039.85145197883</v>
      </c>
      <c r="AA12" s="56" t="n">
        <v>0</v>
      </c>
      <c r="AB12" s="59" t="n">
        <v>89</v>
      </c>
      <c r="AC12" s="59" t="n">
        <v>57</v>
      </c>
      <c r="AD12" s="60" t="n">
        <f aca="false">AD11+1</f>
        <v>3</v>
      </c>
      <c r="AE12" s="96"/>
      <c r="AF12" s="97"/>
      <c r="AG12" s="96"/>
    </row>
    <row r="13" customFormat="false" ht="11.1" hidden="false" customHeight="true" outlineLevel="0" collapsed="false">
      <c r="A13" s="60" t="n">
        <f aca="false">A12+1</f>
        <v>4</v>
      </c>
      <c r="B13" s="75" t="n">
        <v>6907.52</v>
      </c>
      <c r="C13" s="55" t="n">
        <v>312175</v>
      </c>
      <c r="D13" s="59" t="n">
        <f aca="false">C13-C12</f>
        <v>-1489</v>
      </c>
      <c r="E13" s="55" t="n">
        <f aca="false">C13-152000</f>
        <v>160175</v>
      </c>
      <c r="F13" s="54" t="n">
        <f aca="false">D13/$D$2</f>
        <v>-750.693219057222</v>
      </c>
      <c r="G13" s="54" t="n">
        <v>231</v>
      </c>
      <c r="H13" s="58" t="n">
        <v>0.11</v>
      </c>
      <c r="I13" s="54" t="n">
        <f aca="false">G13+H13</f>
        <v>231.11</v>
      </c>
      <c r="J13" s="83" t="n">
        <f aca="false">IF(L13&gt;0,L13,0)</f>
        <v>0</v>
      </c>
      <c r="K13" s="54" t="n">
        <f aca="false">I13+J13</f>
        <v>231.11</v>
      </c>
      <c r="L13" s="54" t="n">
        <f aca="false">F13-(I13-X13)</f>
        <v>-8.11321905722207</v>
      </c>
      <c r="M13" s="54" t="n">
        <v>344</v>
      </c>
      <c r="N13" s="54" t="n">
        <v>0.5</v>
      </c>
      <c r="O13" s="54" t="n">
        <f aca="false">96.02*1.05</f>
        <v>100.821</v>
      </c>
      <c r="P13" s="7" t="n">
        <f aca="false">M13-(N13+O13)</f>
        <v>242.679</v>
      </c>
      <c r="Q13" s="54" t="n">
        <v>172</v>
      </c>
      <c r="R13" s="54" t="n">
        <v>93</v>
      </c>
      <c r="S13" s="54" t="n">
        <f aca="false">SUM(P13:R13)</f>
        <v>507.679</v>
      </c>
      <c r="T13" s="55" t="n">
        <f aca="false">(I13-S13)+T12</f>
        <v>9451.894</v>
      </c>
      <c r="U13" s="54" t="n">
        <v>295.69</v>
      </c>
      <c r="V13" s="54" t="n">
        <v>69</v>
      </c>
      <c r="W13" s="55" t="n">
        <f aca="false">W12-V13</f>
        <v>12005</v>
      </c>
      <c r="X13" s="7" t="n">
        <f aca="false">N13+O13+S13+U13+V13</f>
        <v>973.69</v>
      </c>
      <c r="Y13" s="54" t="n">
        <f aca="false">IF(L13&lt;0,L13*-1,0)</f>
        <v>8.11321905722207</v>
      </c>
      <c r="Z13" s="54" t="n">
        <f aca="false">X13+Y13</f>
        <v>981.803219057222</v>
      </c>
      <c r="AA13" s="56" t="n">
        <v>0</v>
      </c>
      <c r="AB13" s="59" t="n">
        <v>90</v>
      </c>
      <c r="AC13" s="59" t="n">
        <v>60</v>
      </c>
      <c r="AD13" s="60" t="n">
        <f aca="false">AD12+1</f>
        <v>4</v>
      </c>
      <c r="AE13" s="96"/>
      <c r="AF13" s="97"/>
      <c r="AG13" s="96"/>
    </row>
    <row r="14" customFormat="false" ht="11.1" hidden="false" customHeight="true" outlineLevel="0" collapsed="false">
      <c r="A14" s="60" t="n">
        <f aca="false">A13+1</f>
        <v>5</v>
      </c>
      <c r="B14" s="75" t="n">
        <v>6907.12</v>
      </c>
      <c r="C14" s="55" t="n">
        <v>310608</v>
      </c>
      <c r="D14" s="59" t="n">
        <f aca="false">C14-C13</f>
        <v>-1567</v>
      </c>
      <c r="E14" s="55" t="n">
        <f aca="false">C14-152000</f>
        <v>158608</v>
      </c>
      <c r="F14" s="54" t="n">
        <f aca="false">D14/$D$2</f>
        <v>-790.017645576002</v>
      </c>
      <c r="G14" s="54" t="n">
        <v>235</v>
      </c>
      <c r="H14" s="58" t="n">
        <v>0.07</v>
      </c>
      <c r="I14" s="54" t="n">
        <f aca="false">G14+H14</f>
        <v>235.07</v>
      </c>
      <c r="J14" s="83" t="n">
        <f aca="false">IF(L14&gt;0,L14,0)</f>
        <v>0</v>
      </c>
      <c r="K14" s="54" t="n">
        <f aca="false">I14+J14</f>
        <v>235.07</v>
      </c>
      <c r="L14" s="54" t="n">
        <f aca="false">F14-(I14-X14)</f>
        <v>-56.8376455760019</v>
      </c>
      <c r="M14" s="54" t="n">
        <v>338</v>
      </c>
      <c r="N14" s="54" t="n">
        <v>0.5</v>
      </c>
      <c r="O14" s="54" t="n">
        <f aca="false">91.17*1.05</f>
        <v>95.7285</v>
      </c>
      <c r="P14" s="7" t="n">
        <f aca="false">M14-(N14+O14)</f>
        <v>241.7715</v>
      </c>
      <c r="Q14" s="54" t="n">
        <v>171</v>
      </c>
      <c r="R14" s="54" t="n">
        <v>93</v>
      </c>
      <c r="S14" s="54" t="n">
        <f aca="false">SUM(P14:R14)</f>
        <v>505.7715</v>
      </c>
      <c r="T14" s="55" t="n">
        <f aca="false">(I14-S14)+T13</f>
        <v>9181.1925</v>
      </c>
      <c r="U14" s="54" t="n">
        <v>297.25</v>
      </c>
      <c r="V14" s="54" t="n">
        <v>69</v>
      </c>
      <c r="W14" s="55" t="n">
        <f aca="false">W13-V14</f>
        <v>11936</v>
      </c>
      <c r="X14" s="7" t="n">
        <f aca="false">N14+O14+S14+U14+V14</f>
        <v>968.25</v>
      </c>
      <c r="Y14" s="54" t="n">
        <f aca="false">IF(L14&lt;0,L14*-1,0)</f>
        <v>56.8376455760019</v>
      </c>
      <c r="Z14" s="54" t="n">
        <f aca="false">X14+Y14</f>
        <v>1025.087645576</v>
      </c>
      <c r="AA14" s="56" t="n">
        <v>0</v>
      </c>
      <c r="AB14" s="59" t="n">
        <v>92</v>
      </c>
      <c r="AC14" s="59" t="n">
        <v>61</v>
      </c>
      <c r="AD14" s="60" t="n">
        <f aca="false">AD13+1</f>
        <v>5</v>
      </c>
      <c r="AE14" s="96"/>
      <c r="AF14" s="97"/>
      <c r="AG14" s="96"/>
    </row>
    <row r="15" customFormat="false" ht="11.1" hidden="false" customHeight="true" outlineLevel="0" collapsed="false">
      <c r="A15" s="60" t="n">
        <f aca="false">A14+1</f>
        <v>6</v>
      </c>
      <c r="B15" s="75" t="n">
        <v>6906.7</v>
      </c>
      <c r="C15" s="55" t="n">
        <v>308972</v>
      </c>
      <c r="D15" s="59" t="n">
        <f aca="false">C15-C14</f>
        <v>-1636</v>
      </c>
      <c r="E15" s="55" t="n">
        <f aca="false">C15-152000</f>
        <v>156972</v>
      </c>
      <c r="F15" s="54" t="n">
        <f aca="false">D15/$D$2</f>
        <v>-824.804638265692</v>
      </c>
      <c r="G15" s="54" t="n">
        <v>211</v>
      </c>
      <c r="H15" s="58" t="n">
        <v>0.02</v>
      </c>
      <c r="I15" s="54" t="n">
        <f aca="false">G15+H15</f>
        <v>211.02</v>
      </c>
      <c r="J15" s="83" t="n">
        <f aca="false">IF(L15&gt;0,L15,0)</f>
        <v>0</v>
      </c>
      <c r="K15" s="54" t="n">
        <f aca="false">I15+J15</f>
        <v>211.02</v>
      </c>
      <c r="L15" s="54" t="n">
        <f aca="false">F15-(I15-X15)</f>
        <v>-36.9446382656919</v>
      </c>
      <c r="M15" s="54" t="n">
        <v>337</v>
      </c>
      <c r="N15" s="54" t="n">
        <v>0.5</v>
      </c>
      <c r="O15" s="54" t="n">
        <f aca="false">87.85*1.05</f>
        <v>92.2425</v>
      </c>
      <c r="P15" s="7" t="n">
        <f aca="false">M15-(N15+O15)</f>
        <v>244.2575</v>
      </c>
      <c r="Q15" s="54" t="n">
        <v>171</v>
      </c>
      <c r="R15" s="54" t="n">
        <v>92</v>
      </c>
      <c r="S15" s="54" t="n">
        <f aca="false">SUM(P15:R15)</f>
        <v>507.2575</v>
      </c>
      <c r="T15" s="55" t="n">
        <f aca="false">(I15-S15)+T14</f>
        <v>8884.955</v>
      </c>
      <c r="U15" s="54" t="n">
        <v>329.88</v>
      </c>
      <c r="V15" s="54" t="n">
        <v>69</v>
      </c>
      <c r="W15" s="55" t="n">
        <f aca="false">W14-V15</f>
        <v>11867</v>
      </c>
      <c r="X15" s="7" t="n">
        <f aca="false">N15+O15+S15+U15+V15</f>
        <v>998.88</v>
      </c>
      <c r="Y15" s="54" t="n">
        <f aca="false">IF(L15&lt;0,L15*-1,0)</f>
        <v>36.9446382656919</v>
      </c>
      <c r="Z15" s="54" t="n">
        <f aca="false">X15+Y15</f>
        <v>1035.82463826569</v>
      </c>
      <c r="AA15" s="56" t="n">
        <v>0</v>
      </c>
      <c r="AB15" s="59" t="n">
        <v>91</v>
      </c>
      <c r="AC15" s="59" t="n">
        <v>57</v>
      </c>
      <c r="AD15" s="60" t="n">
        <f aca="false">AD14+1</f>
        <v>6</v>
      </c>
      <c r="AE15" s="95"/>
      <c r="AF15" s="97"/>
      <c r="AG15" s="96"/>
    </row>
    <row r="16" customFormat="false" ht="11.1" hidden="false" customHeight="true" outlineLevel="0" collapsed="false">
      <c r="A16" s="60" t="n">
        <f aca="false">A15+1</f>
        <v>7</v>
      </c>
      <c r="B16" s="75" t="n">
        <v>6906.28</v>
      </c>
      <c r="C16" s="55" t="n">
        <v>307339</v>
      </c>
      <c r="D16" s="59" t="n">
        <f aca="false">C16-C15</f>
        <v>-1633</v>
      </c>
      <c r="E16" s="55" t="n">
        <f aca="false">C16-152000</f>
        <v>155339</v>
      </c>
      <c r="F16" s="54" t="n">
        <f aca="false">D16/$D$2</f>
        <v>-823.292160322662</v>
      </c>
      <c r="G16" s="54" t="n">
        <v>192</v>
      </c>
      <c r="H16" s="58" t="n">
        <v>0</v>
      </c>
      <c r="I16" s="54" t="n">
        <f aca="false">G16+H16</f>
        <v>192</v>
      </c>
      <c r="J16" s="83" t="n">
        <f aca="false">IF(L16&gt;0,L16,0)</f>
        <v>0</v>
      </c>
      <c r="K16" s="54" t="n">
        <f aca="false">I16+J16</f>
        <v>192</v>
      </c>
      <c r="L16" s="54" t="n">
        <f aca="false">F16-(I16-X16)</f>
        <v>-12.8121603226618</v>
      </c>
      <c r="M16" s="54" t="n">
        <v>346</v>
      </c>
      <c r="N16" s="54" t="n">
        <v>0.5</v>
      </c>
      <c r="O16" s="54" t="n">
        <f aca="false">88.4*1.05</f>
        <v>92.82</v>
      </c>
      <c r="P16" s="7" t="n">
        <f aca="false">M16-(N16+O16)</f>
        <v>252.68</v>
      </c>
      <c r="Q16" s="54" t="n">
        <v>171</v>
      </c>
      <c r="R16" s="54" t="n">
        <v>91</v>
      </c>
      <c r="S16" s="54" t="n">
        <f aca="false">SUM(P16:R16)</f>
        <v>514.68</v>
      </c>
      <c r="T16" s="55" t="n">
        <f aca="false">(I16-S16)+T15</f>
        <v>8562.275</v>
      </c>
      <c r="U16" s="54" t="n">
        <v>325.48</v>
      </c>
      <c r="V16" s="54" t="n">
        <v>69</v>
      </c>
      <c r="W16" s="55" t="n">
        <f aca="false">W15-V16</f>
        <v>11798</v>
      </c>
      <c r="X16" s="7" t="n">
        <f aca="false">N16+O16+S16+U16+V16</f>
        <v>1002.48</v>
      </c>
      <c r="Y16" s="54" t="n">
        <f aca="false">IF(L16&lt;0,L16*-1,0)</f>
        <v>12.8121603226618</v>
      </c>
      <c r="Z16" s="54" t="n">
        <f aca="false">X16+Y16</f>
        <v>1015.29216032266</v>
      </c>
      <c r="AA16" s="56" t="n">
        <v>0</v>
      </c>
      <c r="AB16" s="137" t="n">
        <v>84</v>
      </c>
      <c r="AC16" s="137" t="n">
        <v>59</v>
      </c>
      <c r="AD16" s="60" t="n">
        <f aca="false">AD15+1</f>
        <v>7</v>
      </c>
      <c r="AE16" s="95"/>
      <c r="AF16" s="97"/>
      <c r="AG16" s="96"/>
    </row>
    <row r="17" customFormat="false" ht="11.1" hidden="false" customHeight="true" outlineLevel="0" collapsed="false">
      <c r="A17" s="60" t="n">
        <f aca="false">A16+1</f>
        <v>8</v>
      </c>
      <c r="B17" s="75" t="n">
        <v>6905.9</v>
      </c>
      <c r="C17" s="55" t="n">
        <v>305866</v>
      </c>
      <c r="D17" s="59" t="n">
        <f aca="false">C17-C16</f>
        <v>-1473</v>
      </c>
      <c r="E17" s="55" t="n">
        <f aca="false">C17-152000</f>
        <v>153866</v>
      </c>
      <c r="F17" s="54" t="n">
        <f aca="false">D17/$D$2</f>
        <v>-742.626670027729</v>
      </c>
      <c r="G17" s="54" t="n">
        <v>181</v>
      </c>
      <c r="H17" s="58" t="n">
        <v>0</v>
      </c>
      <c r="I17" s="54" t="n">
        <f aca="false">G17+H17</f>
        <v>181</v>
      </c>
      <c r="J17" s="83" t="n">
        <f aca="false">IF(L17&gt;0,L17,0)</f>
        <v>22.0733299722713</v>
      </c>
      <c r="K17" s="54" t="n">
        <f aca="false">I17+J17</f>
        <v>203.073329972271</v>
      </c>
      <c r="L17" s="54" t="n">
        <f aca="false">F17-(I17-X17)</f>
        <v>22.0733299722713</v>
      </c>
      <c r="M17" s="54" t="n">
        <v>341</v>
      </c>
      <c r="N17" s="54" t="n">
        <v>0.5</v>
      </c>
      <c r="O17" s="54" t="n">
        <f aca="false">86.72*1.05</f>
        <v>91.056</v>
      </c>
      <c r="P17" s="7" t="n">
        <f aca="false">M17-(N17+O17)</f>
        <v>249.444</v>
      </c>
      <c r="Q17" s="54" t="n">
        <v>172</v>
      </c>
      <c r="R17" s="54" t="n">
        <v>91</v>
      </c>
      <c r="S17" s="54" t="n">
        <f aca="false">SUM(P17:R17)</f>
        <v>512.444</v>
      </c>
      <c r="T17" s="55" t="n">
        <f aca="false">(I17-S17)+T16</f>
        <v>8230.831</v>
      </c>
      <c r="U17" s="54" t="n">
        <v>272.7</v>
      </c>
      <c r="V17" s="54" t="n">
        <v>69</v>
      </c>
      <c r="W17" s="55" t="n">
        <f aca="false">W16-V17</f>
        <v>11729</v>
      </c>
      <c r="X17" s="7" t="n">
        <f aca="false">N17+O17+S17+U17+V17</f>
        <v>945.7</v>
      </c>
      <c r="Y17" s="54" t="n">
        <f aca="false">IF(L17&lt;0,L17*-1,0)</f>
        <v>0</v>
      </c>
      <c r="Z17" s="54" t="n">
        <f aca="false">X17+Y17</f>
        <v>945.7</v>
      </c>
      <c r="AA17" s="56" t="n">
        <v>0.1</v>
      </c>
      <c r="AB17" s="59" t="n">
        <v>90</v>
      </c>
      <c r="AC17" s="59" t="n">
        <v>56</v>
      </c>
      <c r="AD17" s="60" t="n">
        <f aca="false">AD16+1</f>
        <v>8</v>
      </c>
      <c r="AE17" s="95"/>
      <c r="AF17" s="97"/>
      <c r="AG17" s="96"/>
    </row>
    <row r="18" customFormat="false" ht="11.1" hidden="false" customHeight="true" outlineLevel="0" collapsed="false">
      <c r="A18" s="60" t="n">
        <f aca="false">A17+1</f>
        <v>9</v>
      </c>
      <c r="B18" s="75" t="n">
        <v>6905.5</v>
      </c>
      <c r="C18" s="55" t="n">
        <v>304323</v>
      </c>
      <c r="D18" s="59" t="n">
        <f aca="false">C18-C17</f>
        <v>-1543</v>
      </c>
      <c r="E18" s="55" t="n">
        <f aca="false">C18-152000</f>
        <v>152323</v>
      </c>
      <c r="F18" s="54" t="n">
        <f aca="false">D18/$D$2</f>
        <v>-777.917822031762</v>
      </c>
      <c r="G18" s="54" t="n">
        <v>175</v>
      </c>
      <c r="H18" s="58" t="n">
        <v>0</v>
      </c>
      <c r="I18" s="54" t="n">
        <f aca="false">G18+H18</f>
        <v>175</v>
      </c>
      <c r="J18" s="83" t="n">
        <f aca="false">IF(L18&gt;0,L18,0)</f>
        <v>0</v>
      </c>
      <c r="K18" s="54" t="n">
        <f aca="false">I18+J18</f>
        <v>175</v>
      </c>
      <c r="L18" s="54" t="n">
        <f aca="false">F18-(I18-X18)</f>
        <v>-31.0378220317621</v>
      </c>
      <c r="M18" s="54" t="n">
        <v>335</v>
      </c>
      <c r="N18" s="54" t="n">
        <v>0.5</v>
      </c>
      <c r="O18" s="54" t="n">
        <f aca="false">81.74*1.05</f>
        <v>85.827</v>
      </c>
      <c r="P18" s="7" t="n">
        <f aca="false">M18-(N18+O18)</f>
        <v>248.673</v>
      </c>
      <c r="Q18" s="54" t="n">
        <v>172</v>
      </c>
      <c r="R18" s="54" t="n">
        <v>91</v>
      </c>
      <c r="S18" s="54" t="n">
        <f aca="false">SUM(P18:R18)</f>
        <v>511.673</v>
      </c>
      <c r="T18" s="55" t="n">
        <f aca="false">(I18-S18)+T17</f>
        <v>7894.158</v>
      </c>
      <c r="U18" s="54" t="n">
        <v>253.88</v>
      </c>
      <c r="V18" s="54" t="n">
        <v>70</v>
      </c>
      <c r="W18" s="55" t="n">
        <f aca="false">W17-V18</f>
        <v>11659</v>
      </c>
      <c r="X18" s="7" t="n">
        <f aca="false">N18+O18+S18+U18+V18</f>
        <v>921.88</v>
      </c>
      <c r="Y18" s="54" t="n">
        <f aca="false">IF(L18&lt;0,L18*-1,0)</f>
        <v>31.0378220317621</v>
      </c>
      <c r="Z18" s="54" t="n">
        <f aca="false">X18+Y18</f>
        <v>952.917822031762</v>
      </c>
      <c r="AA18" s="56" t="n">
        <v>0</v>
      </c>
      <c r="AB18" s="84" t="n">
        <v>87</v>
      </c>
      <c r="AC18" s="59" t="n">
        <v>55</v>
      </c>
      <c r="AD18" s="60" t="n">
        <f aca="false">AD17+1</f>
        <v>9</v>
      </c>
      <c r="AE18" s="95"/>
      <c r="AF18" s="97"/>
      <c r="AG18" s="96"/>
    </row>
    <row r="19" customFormat="false" ht="11.1" hidden="false" customHeight="true" outlineLevel="0" collapsed="false">
      <c r="A19" s="60" t="n">
        <f aca="false">A18+1</f>
        <v>10</v>
      </c>
      <c r="B19" s="75" t="n">
        <v>6905.14</v>
      </c>
      <c r="C19" s="55" t="n">
        <v>302858</v>
      </c>
      <c r="D19" s="59" t="n">
        <f aca="false">C19-C18</f>
        <v>-1465</v>
      </c>
      <c r="E19" s="55" t="n">
        <f aca="false">C19-152000</f>
        <v>150858</v>
      </c>
      <c r="F19" s="54" t="n">
        <f aca="false">D19/$D$2</f>
        <v>-738.593395512982</v>
      </c>
      <c r="G19" s="54" t="n">
        <v>174</v>
      </c>
      <c r="H19" s="58" t="n">
        <v>0</v>
      </c>
      <c r="I19" s="54" t="n">
        <f aca="false">G19+H19</f>
        <v>174</v>
      </c>
      <c r="J19" s="83" t="n">
        <f aca="false">IF(L19&gt;0,L19,0)</f>
        <v>36.1766044870179</v>
      </c>
      <c r="K19" s="54" t="n">
        <f aca="false">I19+J19</f>
        <v>210.176604487018</v>
      </c>
      <c r="L19" s="54" t="n">
        <f aca="false">F19-(I19-X19)</f>
        <v>36.1766044870179</v>
      </c>
      <c r="M19" s="54" t="n">
        <v>332</v>
      </c>
      <c r="N19" s="54" t="n">
        <v>0.5</v>
      </c>
      <c r="O19" s="54" t="n">
        <f aca="false">84.33*1.05</f>
        <v>88.5465</v>
      </c>
      <c r="P19" s="7" t="n">
        <f aca="false">M19-(N19+O19)</f>
        <v>242.9535</v>
      </c>
      <c r="Q19" s="54" t="n">
        <v>170</v>
      </c>
      <c r="R19" s="54" t="n">
        <v>95</v>
      </c>
      <c r="S19" s="54" t="n">
        <f aca="false">SUM(P19:R19)</f>
        <v>507.9535</v>
      </c>
      <c r="T19" s="55" t="n">
        <f aca="false">(I19-S19)+T18</f>
        <v>7560.2045</v>
      </c>
      <c r="U19" s="54" t="n">
        <v>281.77</v>
      </c>
      <c r="V19" s="54" t="n">
        <v>70</v>
      </c>
      <c r="W19" s="55" t="n">
        <f aca="false">W18-V19</f>
        <v>11589</v>
      </c>
      <c r="X19" s="7" t="n">
        <f aca="false">N19+O19+S19+U19+V19</f>
        <v>948.77</v>
      </c>
      <c r="Y19" s="54" t="n">
        <f aca="false">IF(L19&lt;0,L19*-1,0)</f>
        <v>0</v>
      </c>
      <c r="Z19" s="54" t="n">
        <f aca="false">X19+Y19</f>
        <v>948.77</v>
      </c>
      <c r="AA19" s="56" t="n">
        <v>0.28</v>
      </c>
      <c r="AB19" s="59" t="n">
        <v>85</v>
      </c>
      <c r="AC19" s="59" t="n">
        <v>56</v>
      </c>
      <c r="AD19" s="60" t="n">
        <f aca="false">AD18+1</f>
        <v>10</v>
      </c>
      <c r="AE19" s="95"/>
      <c r="AF19" s="97"/>
      <c r="AG19" s="96"/>
    </row>
    <row r="20" customFormat="false" ht="11.1" hidden="false" customHeight="true" outlineLevel="0" collapsed="false">
      <c r="A20" s="60" t="n">
        <f aca="false">A19+1</f>
        <v>11</v>
      </c>
      <c r="B20" s="75" t="n">
        <v>6904.77</v>
      </c>
      <c r="C20" s="55" t="n">
        <v>301516</v>
      </c>
      <c r="D20" s="59" t="n">
        <f aca="false">C20-C19</f>
        <v>-1342</v>
      </c>
      <c r="E20" s="55" t="n">
        <f aca="false">C20-152000</f>
        <v>149516</v>
      </c>
      <c r="F20" s="54" t="n">
        <f aca="false">D20/$D$2</f>
        <v>-676.581799848752</v>
      </c>
      <c r="G20" s="54" t="n">
        <v>196</v>
      </c>
      <c r="H20" s="58" t="n">
        <v>0</v>
      </c>
      <c r="I20" s="54" t="n">
        <f aca="false">G20+H20</f>
        <v>196</v>
      </c>
      <c r="J20" s="83" t="n">
        <f aca="false">IF(L20&gt;0,L20,0)</f>
        <v>34.5982001512478</v>
      </c>
      <c r="K20" s="54" t="n">
        <f aca="false">I20+J20</f>
        <v>230.598200151248</v>
      </c>
      <c r="L20" s="54" t="n">
        <f aca="false">F20-(I20-X20)</f>
        <v>34.5982001512478</v>
      </c>
      <c r="M20" s="54" t="n">
        <v>308</v>
      </c>
      <c r="N20" s="54" t="n">
        <v>0.5</v>
      </c>
      <c r="O20" s="54" t="n">
        <f aca="false">74.51*1.05</f>
        <v>78.2355</v>
      </c>
      <c r="P20" s="7" t="n">
        <f aca="false">M20-(N20+O20)</f>
        <v>229.2645</v>
      </c>
      <c r="Q20" s="54" t="n">
        <v>170</v>
      </c>
      <c r="R20" s="54" t="n">
        <v>94</v>
      </c>
      <c r="S20" s="54" t="n">
        <f aca="false">SUM(P20:R20)</f>
        <v>493.2645</v>
      </c>
      <c r="T20" s="55" t="n">
        <f aca="false">(I20-S20)+T19</f>
        <v>7262.94</v>
      </c>
      <c r="U20" s="54" t="n">
        <v>265.18</v>
      </c>
      <c r="V20" s="54" t="n">
        <v>70</v>
      </c>
      <c r="W20" s="55" t="n">
        <f aca="false">W19-V20</f>
        <v>11519</v>
      </c>
      <c r="X20" s="7" t="n">
        <f aca="false">N20+O20+S20+U20+V20</f>
        <v>907.18</v>
      </c>
      <c r="Y20" s="54" t="n">
        <f aca="false">IF(L20&lt;0,L20*-1,0)</f>
        <v>0</v>
      </c>
      <c r="Z20" s="54" t="n">
        <f aca="false">X20+Y20</f>
        <v>907.18</v>
      </c>
      <c r="AA20" s="56" t="n">
        <v>0</v>
      </c>
      <c r="AB20" s="59" t="n">
        <v>83</v>
      </c>
      <c r="AC20" s="59" t="n">
        <v>56</v>
      </c>
      <c r="AD20" s="60" t="n">
        <f aca="false">AD19+1</f>
        <v>11</v>
      </c>
      <c r="AE20" s="95"/>
      <c r="AF20" s="97"/>
      <c r="AG20" s="96"/>
      <c r="AH20" s="138"/>
      <c r="AI20" s="138"/>
      <c r="AJ20" s="138"/>
    </row>
    <row r="21" customFormat="false" ht="11.1" hidden="false" customHeight="true" outlineLevel="0" collapsed="false">
      <c r="A21" s="60" t="n">
        <f aca="false">A20+1</f>
        <v>12</v>
      </c>
      <c r="B21" s="75" t="n">
        <v>6904.35</v>
      </c>
      <c r="C21" s="55" t="n">
        <v>299910</v>
      </c>
      <c r="D21" s="59" t="n">
        <f aca="false">C21-C20</f>
        <v>-1606</v>
      </c>
      <c r="E21" s="55" t="n">
        <f aca="false">C21-152000</f>
        <v>147910</v>
      </c>
      <c r="F21" s="54" t="n">
        <f aca="false">D21/$D$2</f>
        <v>-809.679858835392</v>
      </c>
      <c r="G21" s="54" t="n">
        <v>173</v>
      </c>
      <c r="H21" s="58" t="n">
        <v>0</v>
      </c>
      <c r="I21" s="54" t="n">
        <f aca="false">G21+H21</f>
        <v>173</v>
      </c>
      <c r="J21" s="83" t="n">
        <f aca="false">IF(L21&gt;0,L21,0)</f>
        <v>0</v>
      </c>
      <c r="K21" s="54" t="n">
        <f aca="false">I21+J21</f>
        <v>173</v>
      </c>
      <c r="L21" s="54" t="n">
        <f aca="false">F21-(I21-X21)</f>
        <v>-68.469858835392</v>
      </c>
      <c r="M21" s="54" t="n">
        <v>311</v>
      </c>
      <c r="N21" s="54" t="n">
        <v>0.5</v>
      </c>
      <c r="O21" s="54" t="n">
        <f aca="false">71.38*1.05</f>
        <v>74.949</v>
      </c>
      <c r="P21" s="7" t="n">
        <f aca="false">M21-(N21+O21)</f>
        <v>235.551</v>
      </c>
      <c r="Q21" s="54" t="n">
        <v>171</v>
      </c>
      <c r="R21" s="54" t="n">
        <v>90</v>
      </c>
      <c r="S21" s="54" t="n">
        <f aca="false">SUM(P21:R21)</f>
        <v>496.551</v>
      </c>
      <c r="T21" s="55" t="n">
        <f aca="false">(I21-S21)+T20</f>
        <v>6939.389</v>
      </c>
      <c r="U21" s="54" t="n">
        <v>271.21</v>
      </c>
      <c r="V21" s="54" t="n">
        <v>71</v>
      </c>
      <c r="W21" s="55" t="n">
        <f aca="false">W20-V21</f>
        <v>11448</v>
      </c>
      <c r="X21" s="7" t="n">
        <f aca="false">N21+O21+S21+U21+V21</f>
        <v>914.21</v>
      </c>
      <c r="Y21" s="54" t="n">
        <f aca="false">IF(L21&lt;0,L21*-1,0)</f>
        <v>68.469858835392</v>
      </c>
      <c r="Z21" s="54" t="n">
        <f aca="false">X21+Y21</f>
        <v>982.679858835392</v>
      </c>
      <c r="AA21" s="56" t="n">
        <v>0</v>
      </c>
      <c r="AB21" s="59" t="n">
        <v>86</v>
      </c>
      <c r="AC21" s="59" t="n">
        <v>58</v>
      </c>
      <c r="AD21" s="60" t="n">
        <f aca="false">AD20+1</f>
        <v>12</v>
      </c>
      <c r="AE21" s="95"/>
      <c r="AF21" s="95"/>
      <c r="AG21" s="95"/>
    </row>
    <row r="22" customFormat="false" ht="11.1" hidden="false" customHeight="true" outlineLevel="0" collapsed="false">
      <c r="A22" s="60" t="n">
        <f aca="false">A21+1</f>
        <v>13</v>
      </c>
      <c r="B22" s="75" t="n">
        <v>6903.97</v>
      </c>
      <c r="C22" s="55" t="n">
        <v>298457</v>
      </c>
      <c r="D22" s="59" t="n">
        <f aca="false">C22-C21</f>
        <v>-1453</v>
      </c>
      <c r="E22" s="55" t="n">
        <f aca="false">C22-152000</f>
        <v>146457</v>
      </c>
      <c r="F22" s="54" t="n">
        <f aca="false">D22/$D$2</f>
        <v>-732.543483740862</v>
      </c>
      <c r="G22" s="54" t="n">
        <v>194</v>
      </c>
      <c r="H22" s="58" t="n">
        <v>0</v>
      </c>
      <c r="I22" s="54" t="n">
        <f aca="false">G22+H22</f>
        <v>194</v>
      </c>
      <c r="J22" s="83" t="n">
        <f aca="false">IF(L22&gt;0,L22,0)</f>
        <v>0</v>
      </c>
      <c r="K22" s="54" t="n">
        <f aca="false">I22+J22</f>
        <v>194</v>
      </c>
      <c r="L22" s="54" t="n">
        <f aca="false">F22-(I22-X22)</f>
        <v>-36.2834837408622</v>
      </c>
      <c r="M22" s="54" t="n">
        <v>304</v>
      </c>
      <c r="N22" s="54" t="n">
        <v>0.5</v>
      </c>
      <c r="O22" s="54" t="n">
        <f aca="false">66.4*1.05</f>
        <v>69.72</v>
      </c>
      <c r="P22" s="7" t="n">
        <f aca="false">M22-(N22+O22)</f>
        <v>233.78</v>
      </c>
      <c r="Q22" s="54" t="n">
        <v>171</v>
      </c>
      <c r="R22" s="54" t="n">
        <v>88</v>
      </c>
      <c r="S22" s="54" t="n">
        <f aca="false">SUM(P22:R22)</f>
        <v>492.78</v>
      </c>
      <c r="T22" s="55" t="n">
        <f aca="false">(I22-S22)+T21</f>
        <v>6640.609</v>
      </c>
      <c r="U22" s="54" t="n">
        <v>256.26</v>
      </c>
      <c r="V22" s="54" t="n">
        <v>71</v>
      </c>
      <c r="W22" s="55" t="n">
        <f aca="false">W21-V22</f>
        <v>11377</v>
      </c>
      <c r="X22" s="7" t="n">
        <f aca="false">N22+O22+S22+U22+V22</f>
        <v>890.26</v>
      </c>
      <c r="Y22" s="54" t="n">
        <f aca="false">IF(L22&lt;0,L22*-1,0)</f>
        <v>36.2834837408622</v>
      </c>
      <c r="Z22" s="54" t="n">
        <f aca="false">X22+Y22</f>
        <v>926.543483740862</v>
      </c>
      <c r="AA22" s="56" t="n">
        <v>0</v>
      </c>
      <c r="AB22" s="59" t="n">
        <v>83</v>
      </c>
      <c r="AC22" s="59" t="n">
        <v>59</v>
      </c>
      <c r="AD22" s="60" t="n">
        <f aca="false">AD21+1</f>
        <v>13</v>
      </c>
      <c r="AE22" s="95"/>
      <c r="AF22" s="95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6903.62</v>
      </c>
      <c r="C23" s="55" t="n">
        <v>297129</v>
      </c>
      <c r="D23" s="59" t="n">
        <f aca="false">C23-C22</f>
        <v>-1328</v>
      </c>
      <c r="E23" s="55" t="n">
        <f aca="false">C23-152000</f>
        <v>145129</v>
      </c>
      <c r="F23" s="54" t="n">
        <f aca="false">D23/$D$2</f>
        <v>-669.523569447946</v>
      </c>
      <c r="G23" s="54" t="n">
        <v>186</v>
      </c>
      <c r="H23" s="58" t="n">
        <v>0</v>
      </c>
      <c r="I23" s="54" t="n">
        <f aca="false">G23+H23</f>
        <v>186</v>
      </c>
      <c r="J23" s="83" t="n">
        <f aca="false">IF(L23&gt;0,L23,0)</f>
        <v>5.07643055205449</v>
      </c>
      <c r="K23" s="54" t="n">
        <f aca="false">I23+J23</f>
        <v>191.076430552055</v>
      </c>
      <c r="L23" s="54" t="n">
        <f aca="false">F23-(I23-X23)</f>
        <v>5.07643055205449</v>
      </c>
      <c r="M23" s="54" t="n">
        <v>283</v>
      </c>
      <c r="N23" s="54" t="n">
        <v>0.5</v>
      </c>
      <c r="O23" s="54" t="n">
        <f aca="false">55.18*1.05</f>
        <v>57.939</v>
      </c>
      <c r="P23" s="7" t="n">
        <f aca="false">M23-(N23+O23)</f>
        <v>224.561</v>
      </c>
      <c r="Q23" s="54" t="n">
        <v>171</v>
      </c>
      <c r="R23" s="54" t="n">
        <v>87</v>
      </c>
      <c r="S23" s="54" t="n">
        <f aca="false">SUM(P23:R23)</f>
        <v>482.561</v>
      </c>
      <c r="T23" s="55" t="n">
        <f aca="false">(I23-S23)+T22</f>
        <v>6344.048</v>
      </c>
      <c r="U23" s="54" t="n">
        <v>248.6</v>
      </c>
      <c r="V23" s="54" t="n">
        <v>71</v>
      </c>
      <c r="W23" s="55" t="n">
        <f aca="false">W22-V23</f>
        <v>11306</v>
      </c>
      <c r="X23" s="7" t="n">
        <f aca="false">N23+O23+S23+U23+V23</f>
        <v>860.6</v>
      </c>
      <c r="Y23" s="54" t="n">
        <f aca="false">IF(L23&lt;0,L23*-1,0)</f>
        <v>0</v>
      </c>
      <c r="Z23" s="54" t="n">
        <f aca="false">X23+Y23</f>
        <v>860.6</v>
      </c>
      <c r="AA23" s="56" t="n">
        <v>0</v>
      </c>
      <c r="AB23" s="59" t="n">
        <v>80</v>
      </c>
      <c r="AC23" s="59" t="n">
        <v>58</v>
      </c>
      <c r="AD23" s="60" t="n">
        <f aca="false">AD22+1</f>
        <v>14</v>
      </c>
      <c r="AE23" s="95"/>
      <c r="AF23" s="95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6903.31</v>
      </c>
      <c r="C24" s="55" t="n">
        <v>295953</v>
      </c>
      <c r="D24" s="59" t="n">
        <f aca="false">C24-C23</f>
        <v>-1176</v>
      </c>
      <c r="E24" s="55" t="n">
        <f aca="false">C24-152000</f>
        <v>143953</v>
      </c>
      <c r="F24" s="54" t="n">
        <f aca="false">D24/$D$2</f>
        <v>-592.891353667759</v>
      </c>
      <c r="G24" s="54" t="n">
        <v>195</v>
      </c>
      <c r="H24" s="58" t="n">
        <v>0</v>
      </c>
      <c r="I24" s="54" t="n">
        <f aca="false">G24+H24</f>
        <v>195</v>
      </c>
      <c r="J24" s="83" t="n">
        <f aca="false">IF(L24&gt;0,L24,0)</f>
        <v>10.408646332241</v>
      </c>
      <c r="K24" s="54" t="n">
        <f aca="false">I24+J24</f>
        <v>205.408646332241</v>
      </c>
      <c r="L24" s="54" t="n">
        <f aca="false">F24-(I24-X24)</f>
        <v>10.408646332241</v>
      </c>
      <c r="M24" s="54" t="n">
        <v>291</v>
      </c>
      <c r="N24" s="54" t="n">
        <v>0.5</v>
      </c>
      <c r="O24" s="54" t="n">
        <f aca="false">49.13*1.05</f>
        <v>51.5865</v>
      </c>
      <c r="P24" s="7" t="n">
        <f aca="false">M24-(N24+O24)</f>
        <v>238.9135</v>
      </c>
      <c r="Q24" s="54" t="n">
        <v>172</v>
      </c>
      <c r="R24" s="54" t="n">
        <v>88</v>
      </c>
      <c r="S24" s="54" t="n">
        <f aca="false">SUM(P24:R24)</f>
        <v>498.9135</v>
      </c>
      <c r="T24" s="55" t="n">
        <f aca="false">(I24-S24)+T23</f>
        <v>6040.1345</v>
      </c>
      <c r="U24" s="54" t="n">
        <v>176.3</v>
      </c>
      <c r="V24" s="54" t="n">
        <v>71</v>
      </c>
      <c r="W24" s="55" t="n">
        <f aca="false">W23-V24</f>
        <v>11235</v>
      </c>
      <c r="X24" s="7" t="n">
        <f aca="false">N24+O24+S24+U24+V24</f>
        <v>798.3</v>
      </c>
      <c r="Y24" s="54" t="n">
        <f aca="false">IF(L24&lt;0,L24*-1,0)</f>
        <v>0</v>
      </c>
      <c r="Z24" s="54" t="n">
        <f aca="false">X24+Y24</f>
        <v>798.3</v>
      </c>
      <c r="AA24" s="56" t="n">
        <v>0.06</v>
      </c>
      <c r="AB24" s="84" t="n">
        <v>82</v>
      </c>
      <c r="AC24" s="59" t="n">
        <v>54</v>
      </c>
      <c r="AD24" s="60" t="n">
        <f aca="false">AD23+1</f>
        <v>15</v>
      </c>
      <c r="AE24" s="95"/>
      <c r="AF24" s="95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6902.99</v>
      </c>
      <c r="C25" s="55" t="n">
        <v>294740</v>
      </c>
      <c r="D25" s="59" t="n">
        <f aca="false">C25-C24</f>
        <v>-1213</v>
      </c>
      <c r="E25" s="55" t="n">
        <f aca="false">C25-152000</f>
        <v>142740</v>
      </c>
      <c r="F25" s="54" t="n">
        <f aca="false">D25/$D$2</f>
        <v>-611.545248298462</v>
      </c>
      <c r="G25" s="54" t="n">
        <v>175</v>
      </c>
      <c r="H25" s="58" t="n">
        <v>0</v>
      </c>
      <c r="I25" s="54" t="n">
        <f aca="false">G25+H25</f>
        <v>175</v>
      </c>
      <c r="J25" s="83" t="n">
        <f aca="false">IF(L25&gt;0,L25,0)</f>
        <v>0</v>
      </c>
      <c r="K25" s="54" t="n">
        <f aca="false">I25+J25</f>
        <v>175</v>
      </c>
      <c r="L25" s="54" t="n">
        <f aca="false">F25-(I25-X25)</f>
        <v>-11.9752482984624</v>
      </c>
      <c r="M25" s="54" t="n">
        <v>279</v>
      </c>
      <c r="N25" s="54" t="n">
        <v>0.5</v>
      </c>
      <c r="O25" s="54" t="n">
        <f aca="false">47.44*1.05</f>
        <v>49.812</v>
      </c>
      <c r="P25" s="7" t="n">
        <f aca="false">M25-(N25+O25)</f>
        <v>228.688</v>
      </c>
      <c r="Q25" s="54" t="n">
        <v>172</v>
      </c>
      <c r="R25" s="54" t="n">
        <v>88</v>
      </c>
      <c r="S25" s="54" t="n">
        <f aca="false">SUM(P25:R25)</f>
        <v>488.688</v>
      </c>
      <c r="T25" s="55" t="n">
        <f aca="false">(I25-S25)+T24</f>
        <v>5726.4465</v>
      </c>
      <c r="U25" s="54" t="n">
        <v>164.57</v>
      </c>
      <c r="V25" s="54" t="n">
        <v>71</v>
      </c>
      <c r="W25" s="55" t="n">
        <f aca="false">W24-V25</f>
        <v>11164</v>
      </c>
      <c r="X25" s="7" t="n">
        <f aca="false">N25+O25+S25+U25+V25</f>
        <v>774.57</v>
      </c>
      <c r="Y25" s="54" t="n">
        <f aca="false">IF(L25&lt;0,L25*-1,0)</f>
        <v>11.9752482984624</v>
      </c>
      <c r="Z25" s="54" t="n">
        <f aca="false">X25+Y25</f>
        <v>786.545248298462</v>
      </c>
      <c r="AA25" s="56" t="n">
        <v>0</v>
      </c>
      <c r="AB25" s="84" t="n">
        <v>82</v>
      </c>
      <c r="AC25" s="59" t="n">
        <v>50</v>
      </c>
      <c r="AD25" s="60" t="n">
        <f aca="false">AD24+1</f>
        <v>16</v>
      </c>
      <c r="AE25" s="95"/>
      <c r="AF25" s="95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6902.62</v>
      </c>
      <c r="C26" s="55" t="n">
        <v>293347</v>
      </c>
      <c r="D26" s="59" t="n">
        <f aca="false">C26-C25</f>
        <v>-1393</v>
      </c>
      <c r="E26" s="55" t="n">
        <f aca="false">C26-152000</f>
        <v>141347</v>
      </c>
      <c r="F26" s="54" t="n">
        <f aca="false">D26/$D$2</f>
        <v>-702.293924880262</v>
      </c>
      <c r="G26" s="54" t="n">
        <v>151</v>
      </c>
      <c r="H26" s="58" t="n">
        <v>0</v>
      </c>
      <c r="I26" s="54" t="n">
        <f aca="false">G26+H26</f>
        <v>151</v>
      </c>
      <c r="J26" s="83" t="n">
        <f aca="false">IF(L26&gt;0,L26,0)</f>
        <v>0</v>
      </c>
      <c r="K26" s="54" t="n">
        <f aca="false">I26+J26</f>
        <v>151</v>
      </c>
      <c r="L26" s="54" t="n">
        <f aca="false">F26-(I26-X26)</f>
        <v>-57.8139248802621</v>
      </c>
      <c r="M26" s="54" t="n">
        <v>298</v>
      </c>
      <c r="N26" s="54" t="n">
        <v>0.5</v>
      </c>
      <c r="O26" s="54" t="n">
        <f aca="false">57.91*1.05</f>
        <v>60.8055</v>
      </c>
      <c r="P26" s="7" t="n">
        <f aca="false">M26-(N26+O26)</f>
        <v>236.6945</v>
      </c>
      <c r="Q26" s="54" t="n">
        <v>171</v>
      </c>
      <c r="R26" s="54" t="n">
        <v>89</v>
      </c>
      <c r="S26" s="54" t="n">
        <f aca="false">SUM(P26:R26)</f>
        <v>496.6945</v>
      </c>
      <c r="T26" s="55" t="n">
        <f aca="false">(I26-S26)+T25</f>
        <v>5380.752</v>
      </c>
      <c r="U26" s="54" t="n">
        <v>165.48</v>
      </c>
      <c r="V26" s="54" t="n">
        <v>72</v>
      </c>
      <c r="W26" s="55" t="n">
        <f aca="false">W25-V26</f>
        <v>11092</v>
      </c>
      <c r="X26" s="7" t="n">
        <f aca="false">N26+O26+S26+U26+V26</f>
        <v>795.48</v>
      </c>
      <c r="Y26" s="54" t="n">
        <f aca="false">IF(L26&lt;0,L26*-1,0)</f>
        <v>57.8139248802621</v>
      </c>
      <c r="Z26" s="54" t="n">
        <f aca="false">X26+Y26</f>
        <v>853.293924880262</v>
      </c>
      <c r="AA26" s="56" t="n">
        <v>0</v>
      </c>
      <c r="AB26" s="84" t="n">
        <v>80</v>
      </c>
      <c r="AC26" s="59" t="n">
        <v>54</v>
      </c>
      <c r="AD26" s="60" t="n">
        <f aca="false">AD25+1</f>
        <v>17</v>
      </c>
      <c r="AE26" s="95"/>
      <c r="AF26" s="95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6902.24</v>
      </c>
      <c r="C27" s="55" t="n">
        <v>291918</v>
      </c>
      <c r="D27" s="59" t="n">
        <f aca="false">C27-C26</f>
        <v>-1429</v>
      </c>
      <c r="E27" s="55" t="n">
        <f aca="false">C27-152000</f>
        <v>139918</v>
      </c>
      <c r="F27" s="54" t="n">
        <f aca="false">D27/$D$2</f>
        <v>-720.443660196622</v>
      </c>
      <c r="G27" s="54" t="n">
        <v>135</v>
      </c>
      <c r="H27" s="58" t="n">
        <v>0</v>
      </c>
      <c r="I27" s="54" t="n">
        <f aca="false">G27+H27</f>
        <v>135</v>
      </c>
      <c r="J27" s="83" t="n">
        <f aca="false">IF(L27&gt;0,L27,0)</f>
        <v>0</v>
      </c>
      <c r="K27" s="54" t="n">
        <f aca="false">I27+J27</f>
        <v>135</v>
      </c>
      <c r="L27" s="54" t="n">
        <f aca="false">F27-(I27-X27)</f>
        <v>-49.993660196622</v>
      </c>
      <c r="M27" s="54" t="n">
        <v>305</v>
      </c>
      <c r="N27" s="54" t="n">
        <v>0.5</v>
      </c>
      <c r="O27" s="54" t="n">
        <f aca="false">65.98*1.05</f>
        <v>69.279</v>
      </c>
      <c r="P27" s="7" t="n">
        <f aca="false">M27-(N27+O27)</f>
        <v>235.221</v>
      </c>
      <c r="Q27" s="54" t="n">
        <v>171</v>
      </c>
      <c r="R27" s="54" t="n">
        <v>91</v>
      </c>
      <c r="S27" s="54" t="n">
        <f aca="false">SUM(P27:R27)</f>
        <v>497.221</v>
      </c>
      <c r="T27" s="55" t="n">
        <f aca="false">(I27-S27)+T26</f>
        <v>5018.531</v>
      </c>
      <c r="U27" s="54" t="n">
        <v>166.45</v>
      </c>
      <c r="V27" s="54" t="n">
        <v>72</v>
      </c>
      <c r="W27" s="55" t="n">
        <f aca="false">W26-V27</f>
        <v>11020</v>
      </c>
      <c r="X27" s="7" t="n">
        <f aca="false">N27+O27+S27+U27+V27</f>
        <v>805.45</v>
      </c>
      <c r="Y27" s="54" t="n">
        <f aca="false">IF(L27&lt;0,L27*-1,0)</f>
        <v>49.993660196622</v>
      </c>
      <c r="Z27" s="54" t="n">
        <f aca="false">X27+Y27</f>
        <v>855.443660196622</v>
      </c>
      <c r="AA27" s="56" t="n">
        <v>0</v>
      </c>
      <c r="AB27" s="84" t="n">
        <v>83</v>
      </c>
      <c r="AC27" s="59" t="n">
        <v>54</v>
      </c>
      <c r="AD27" s="60" t="n">
        <f aca="false">AD26+1</f>
        <v>18</v>
      </c>
      <c r="AE27" s="95"/>
      <c r="AF27" s="95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6901.89</v>
      </c>
      <c r="C28" s="103" t="n">
        <v>290604</v>
      </c>
      <c r="D28" s="59" t="n">
        <f aca="false">C28-C27</f>
        <v>-1314</v>
      </c>
      <c r="E28" s="55" t="n">
        <f aca="false">C28-152000</f>
        <v>138604</v>
      </c>
      <c r="F28" s="54" t="n">
        <f aca="false">D28/$D$2</f>
        <v>-662.465339047139</v>
      </c>
      <c r="G28" s="54" t="n">
        <v>124</v>
      </c>
      <c r="H28" s="58" t="n">
        <v>0</v>
      </c>
      <c r="I28" s="54" t="n">
        <f aca="false">G28+H28</f>
        <v>124</v>
      </c>
      <c r="J28" s="83" t="n">
        <f aca="false">IF(L28&gt;0,L28,0)</f>
        <v>0</v>
      </c>
      <c r="K28" s="54" t="n">
        <f aca="false">I28+J28</f>
        <v>124</v>
      </c>
      <c r="L28" s="54" t="n">
        <f aca="false">F28-(I28-X28)</f>
        <v>-11.3053390471389</v>
      </c>
      <c r="M28" s="54" t="n">
        <v>292</v>
      </c>
      <c r="N28" s="54" t="n">
        <v>0.5</v>
      </c>
      <c r="O28" s="54" t="n">
        <f aca="false">60.93*1.05</f>
        <v>63.9765</v>
      </c>
      <c r="P28" s="7" t="n">
        <f aca="false">M28-(N28+O28)</f>
        <v>227.5235</v>
      </c>
      <c r="Q28" s="54" t="n">
        <v>171</v>
      </c>
      <c r="R28" s="54" t="n">
        <v>89</v>
      </c>
      <c r="S28" s="54" t="n">
        <f aca="false">SUM(P28:R28)</f>
        <v>487.5235</v>
      </c>
      <c r="T28" s="55" t="n">
        <f aca="false">(I28-S28)+T27</f>
        <v>4655.0075</v>
      </c>
      <c r="U28" s="54" t="n">
        <v>152.16</v>
      </c>
      <c r="V28" s="54" t="n">
        <v>71</v>
      </c>
      <c r="W28" s="55" t="n">
        <f aca="false">W27-V28</f>
        <v>10949</v>
      </c>
      <c r="X28" s="7" t="n">
        <f aca="false">N28+O28+S28+U28+V28</f>
        <v>775.16</v>
      </c>
      <c r="Y28" s="54" t="n">
        <f aca="false">IF(L28&lt;0,L28*-1,0)</f>
        <v>11.3053390471389</v>
      </c>
      <c r="Z28" s="54" t="n">
        <f aca="false">X28+Y28</f>
        <v>786.465339047139</v>
      </c>
      <c r="AA28" s="56" t="n">
        <v>0</v>
      </c>
      <c r="AB28" s="84" t="n">
        <v>84</v>
      </c>
      <c r="AC28" s="59" t="n">
        <v>55</v>
      </c>
      <c r="AD28" s="60" t="n">
        <f aca="false">AD27+1</f>
        <v>19</v>
      </c>
      <c r="AE28" s="95"/>
      <c r="AF28" s="95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6901.54</v>
      </c>
      <c r="C29" s="55" t="n">
        <v>289297</v>
      </c>
      <c r="D29" s="59" t="n">
        <f aca="false">C29-C28</f>
        <v>-1307</v>
      </c>
      <c r="E29" s="55" t="n">
        <f aca="false">C29-152000</f>
        <v>137297</v>
      </c>
      <c r="F29" s="54" t="n">
        <f aca="false">D29/$D$2</f>
        <v>-658.936223846736</v>
      </c>
      <c r="G29" s="54" t="n">
        <v>121</v>
      </c>
      <c r="H29" s="58" t="n">
        <v>0</v>
      </c>
      <c r="I29" s="54" t="n">
        <f aca="false">G29+H29</f>
        <v>121</v>
      </c>
      <c r="J29" s="83" t="n">
        <f aca="false">IF(L29&gt;0,L29,0)</f>
        <v>0</v>
      </c>
      <c r="K29" s="54" t="n">
        <f aca="false">I29+J29</f>
        <v>121</v>
      </c>
      <c r="L29" s="54" t="n">
        <f aca="false">F29-(I29-X29)</f>
        <v>-19.3762238467356</v>
      </c>
      <c r="M29" s="54" t="n">
        <v>291</v>
      </c>
      <c r="N29" s="54" t="n">
        <v>0.5</v>
      </c>
      <c r="O29" s="54" t="n">
        <f aca="false">60.28*1.05</f>
        <v>63.294</v>
      </c>
      <c r="P29" s="7" t="n">
        <f aca="false">M29-(N29+O29)</f>
        <v>227.206</v>
      </c>
      <c r="Q29" s="54" t="n">
        <v>171</v>
      </c>
      <c r="R29" s="54" t="n">
        <v>89</v>
      </c>
      <c r="S29" s="54" t="n">
        <f aca="false">SUM(P29:R29)</f>
        <v>487.206</v>
      </c>
      <c r="T29" s="55" t="n">
        <f aca="false">(I29-S29)+T28</f>
        <v>4288.8015</v>
      </c>
      <c r="U29" s="54" t="n">
        <v>138.56</v>
      </c>
      <c r="V29" s="54" t="n">
        <v>71</v>
      </c>
      <c r="W29" s="55" t="n">
        <f aca="false">W28-V29</f>
        <v>10878</v>
      </c>
      <c r="X29" s="7" t="n">
        <f aca="false">N29+O29+S29+U29+V29</f>
        <v>760.56</v>
      </c>
      <c r="Y29" s="54" t="n">
        <f aca="false">IF(L29&lt;0,L29*-1,0)</f>
        <v>19.3762238467356</v>
      </c>
      <c r="Z29" s="54" t="n">
        <f aca="false">X29+Y29</f>
        <v>779.936223846736</v>
      </c>
      <c r="AA29" s="56" t="n">
        <v>0</v>
      </c>
      <c r="AB29" s="84" t="n">
        <v>85</v>
      </c>
      <c r="AC29" s="59" t="n">
        <v>56</v>
      </c>
      <c r="AD29" s="60" t="n">
        <f aca="false">AD28+1</f>
        <v>20</v>
      </c>
      <c r="AE29" s="95"/>
      <c r="AF29" s="95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6901.22</v>
      </c>
      <c r="C30" s="55" t="n">
        <v>288103</v>
      </c>
      <c r="D30" s="59" t="n">
        <f aca="false">C30-C29</f>
        <v>-1194</v>
      </c>
      <c r="E30" s="55" t="n">
        <f aca="false">C30-152000</f>
        <v>136103</v>
      </c>
      <c r="F30" s="54" t="n">
        <f aca="false">D30/$D$2</f>
        <v>-601.966221325939</v>
      </c>
      <c r="G30" s="54" t="n">
        <v>112</v>
      </c>
      <c r="H30" s="58" t="n">
        <v>0</v>
      </c>
      <c r="I30" s="54" t="n">
        <f aca="false">G30+H30</f>
        <v>112</v>
      </c>
      <c r="J30" s="83" t="n">
        <f aca="false">IF(L30&gt;0,L30,0)</f>
        <v>29.803778674061</v>
      </c>
      <c r="K30" s="54" t="n">
        <f aca="false">I30+J30</f>
        <v>141.803778674061</v>
      </c>
      <c r="L30" s="54" t="n">
        <f aca="false">F30-(I30-X30)</f>
        <v>29.803778674061</v>
      </c>
      <c r="M30" s="54" t="n">
        <v>282</v>
      </c>
      <c r="N30" s="54" t="n">
        <v>0.5</v>
      </c>
      <c r="O30" s="54" t="n">
        <f aca="false">58.15*1.05</f>
        <v>61.0575</v>
      </c>
      <c r="P30" s="7" t="n">
        <f aca="false">M30-(N30+O30)</f>
        <v>220.4425</v>
      </c>
      <c r="Q30" s="54" t="n">
        <v>171</v>
      </c>
      <c r="R30" s="54" t="n">
        <v>88</v>
      </c>
      <c r="S30" s="54" t="n">
        <f aca="false">SUM(P30:R30)</f>
        <v>479.4425</v>
      </c>
      <c r="T30" s="55" t="n">
        <f aca="false">(I30-S30)+T29</f>
        <v>3921.359</v>
      </c>
      <c r="U30" s="54" t="n">
        <v>131.77</v>
      </c>
      <c r="V30" s="54" t="n">
        <v>71</v>
      </c>
      <c r="W30" s="55" t="n">
        <f aca="false">W29-V30</f>
        <v>10807</v>
      </c>
      <c r="X30" s="7" t="n">
        <f aca="false">N30+O30+S30+U30+V30</f>
        <v>743.77</v>
      </c>
      <c r="Y30" s="54" t="n">
        <f aca="false">IF(L30&lt;0,L30*-1,0)</f>
        <v>0</v>
      </c>
      <c r="Z30" s="54" t="n">
        <f aca="false">X30+Y30</f>
        <v>743.77</v>
      </c>
      <c r="AA30" s="56" t="n">
        <v>0</v>
      </c>
      <c r="AB30" s="59" t="n">
        <v>87</v>
      </c>
      <c r="AC30" s="59" t="n">
        <v>60</v>
      </c>
      <c r="AD30" s="60" t="n">
        <f aca="false">AD29+1</f>
        <v>21</v>
      </c>
      <c r="AE30" s="95"/>
      <c r="AF30" s="95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6900.86</v>
      </c>
      <c r="C31" s="55" t="n">
        <v>286764</v>
      </c>
      <c r="D31" s="59" t="n">
        <f aca="false">C31-C30</f>
        <v>-1339</v>
      </c>
      <c r="E31" s="55" t="n">
        <f aca="false">C31-152000</f>
        <v>134764</v>
      </c>
      <c r="F31" s="54" t="n">
        <f aca="false">D31/$D$2</f>
        <v>-675.069321905722</v>
      </c>
      <c r="G31" s="54" t="n">
        <v>104</v>
      </c>
      <c r="H31" s="58" t="n">
        <v>0</v>
      </c>
      <c r="I31" s="54" t="n">
        <f aca="false">G31+H31</f>
        <v>104</v>
      </c>
      <c r="J31" s="83" t="n">
        <f aca="false">IF(L31&gt;0,L31,0)</f>
        <v>0</v>
      </c>
      <c r="K31" s="54" t="n">
        <f aca="false">I31+J31</f>
        <v>104</v>
      </c>
      <c r="L31" s="54" t="n">
        <f aca="false">F31-(I31-X31)</f>
        <v>-24.7793219057222</v>
      </c>
      <c r="M31" s="54" t="n">
        <v>285</v>
      </c>
      <c r="N31" s="54" t="n">
        <v>0.5</v>
      </c>
      <c r="O31" s="54" t="n">
        <f aca="false">55.49*1.05</f>
        <v>58.2645</v>
      </c>
      <c r="P31" s="7" t="n">
        <f aca="false">M31-(N31+O31)</f>
        <v>226.2355</v>
      </c>
      <c r="Q31" s="54" t="n">
        <v>171</v>
      </c>
      <c r="R31" s="54" t="n">
        <v>88</v>
      </c>
      <c r="S31" s="54" t="n">
        <f aca="false">SUM(P31:R31)</f>
        <v>485.2355</v>
      </c>
      <c r="T31" s="55" t="n">
        <f aca="false">(I31-S31)+T30</f>
        <v>3540.1235</v>
      </c>
      <c r="U31" s="54" t="n">
        <v>139.29</v>
      </c>
      <c r="V31" s="54" t="n">
        <v>71</v>
      </c>
      <c r="W31" s="55" t="n">
        <f aca="false">W30-V31</f>
        <v>10736</v>
      </c>
      <c r="X31" s="7" t="n">
        <f aca="false">N31+O31+S31+U31+V31</f>
        <v>754.29</v>
      </c>
      <c r="Y31" s="54" t="n">
        <f aca="false">IF(L31&lt;0,L31*-1,0)</f>
        <v>24.7793219057222</v>
      </c>
      <c r="Z31" s="54" t="n">
        <f aca="false">X31+Y31</f>
        <v>779.069321905722</v>
      </c>
      <c r="AA31" s="56" t="n">
        <v>0</v>
      </c>
      <c r="AB31" s="59" t="n">
        <v>89</v>
      </c>
      <c r="AC31" s="59" t="n">
        <v>56</v>
      </c>
      <c r="AD31" s="60" t="n">
        <f aca="false">AD30+1</f>
        <v>22</v>
      </c>
      <c r="AE31" s="95"/>
      <c r="AF31" s="95"/>
      <c r="AG31" s="95"/>
      <c r="AH31" s="138"/>
      <c r="AI31" s="138"/>
      <c r="AJ31" s="138"/>
    </row>
    <row r="32" customFormat="false" ht="11.1" hidden="false" customHeight="true" outlineLevel="0" collapsed="false">
      <c r="A32" s="60" t="n">
        <f aca="false">A31+1</f>
        <v>23</v>
      </c>
      <c r="B32" s="75" t="n">
        <v>6900.53</v>
      </c>
      <c r="C32" s="55" t="n">
        <v>285542</v>
      </c>
      <c r="D32" s="59" t="n">
        <f aca="false">C32-C31</f>
        <v>-1222</v>
      </c>
      <c r="E32" s="55" t="n">
        <f aca="false">C32-152000</f>
        <v>133542</v>
      </c>
      <c r="F32" s="54" t="n">
        <f aca="false">D32/$D$2</f>
        <v>-616.082682127552</v>
      </c>
      <c r="G32" s="54" t="n">
        <v>98</v>
      </c>
      <c r="H32" s="58" t="n">
        <v>0</v>
      </c>
      <c r="I32" s="54" t="n">
        <f aca="false">G32+H32</f>
        <v>98</v>
      </c>
      <c r="J32" s="83" t="n">
        <f aca="false">IF(L32&gt;0,L32,0)</f>
        <v>29.3073178724477</v>
      </c>
      <c r="K32" s="54" t="n">
        <f aca="false">I32+J32</f>
        <v>127.307317872448</v>
      </c>
      <c r="L32" s="54" t="n">
        <f aca="false">F32-(I32-X32)</f>
        <v>29.3073178724477</v>
      </c>
      <c r="M32" s="54" t="n">
        <v>279</v>
      </c>
      <c r="N32" s="54" t="n">
        <v>0.5</v>
      </c>
      <c r="O32" s="54" t="n">
        <f aca="false">56.3*1.05</f>
        <v>59.115</v>
      </c>
      <c r="P32" s="7" t="n">
        <f aca="false">M32-(N32+O32)</f>
        <v>219.385</v>
      </c>
      <c r="Q32" s="54" t="n">
        <v>170</v>
      </c>
      <c r="R32" s="54" t="n">
        <v>88</v>
      </c>
      <c r="S32" s="54" t="n">
        <f aca="false">SUM(P32:R32)</f>
        <v>477.385</v>
      </c>
      <c r="T32" s="55" t="n">
        <f aca="false">(I32-S32)+T31</f>
        <v>3160.7385</v>
      </c>
      <c r="U32" s="54" t="n">
        <v>135.39</v>
      </c>
      <c r="V32" s="54" t="n">
        <v>71</v>
      </c>
      <c r="W32" s="55" t="n">
        <f aca="false">W31-V32</f>
        <v>10665</v>
      </c>
      <c r="X32" s="7" t="n">
        <f aca="false">N32+O32+S32+U32+V32</f>
        <v>743.39</v>
      </c>
      <c r="Y32" s="54" t="n">
        <f aca="false">IF(L32&lt;0,L32*-1,0)</f>
        <v>0</v>
      </c>
      <c r="Z32" s="54" t="n">
        <f aca="false">X32+Y32</f>
        <v>743.39</v>
      </c>
      <c r="AA32" s="56" t="n">
        <v>0</v>
      </c>
      <c r="AB32" s="59" t="n">
        <v>85</v>
      </c>
      <c r="AC32" s="84" t="n">
        <v>58</v>
      </c>
      <c r="AD32" s="60" t="n">
        <f aca="false">AD31+1</f>
        <v>23</v>
      </c>
      <c r="AE32" s="95"/>
      <c r="AF32" s="95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6900.18</v>
      </c>
      <c r="C33" s="55" t="n">
        <v>284246</v>
      </c>
      <c r="D33" s="59" t="n">
        <f aca="false">C33-C32</f>
        <v>-1296</v>
      </c>
      <c r="E33" s="55" t="n">
        <f aca="false">C33-152000</f>
        <v>132246</v>
      </c>
      <c r="F33" s="54" t="n">
        <f aca="false">D33/$D$2</f>
        <v>-653.390471388959</v>
      </c>
      <c r="G33" s="54" t="n">
        <v>96</v>
      </c>
      <c r="H33" s="58" t="n">
        <v>0</v>
      </c>
      <c r="I33" s="54" t="n">
        <f aca="false">G33+H33</f>
        <v>96</v>
      </c>
      <c r="J33" s="83" t="n">
        <f aca="false">IF(L33&gt;0,L33,0)</f>
        <v>0</v>
      </c>
      <c r="K33" s="54" t="n">
        <f aca="false">I33+J33</f>
        <v>96</v>
      </c>
      <c r="L33" s="54" t="n">
        <f aca="false">F33-(I33-X33)</f>
        <v>-26.6904713889588</v>
      </c>
      <c r="M33" s="54" t="n">
        <v>283</v>
      </c>
      <c r="N33" s="54" t="n">
        <v>0</v>
      </c>
      <c r="O33" s="54" t="n">
        <f aca="false">64.75*1.05</f>
        <v>67.9875</v>
      </c>
      <c r="P33" s="7" t="n">
        <f aca="false">M33-(N33+O33)</f>
        <v>215.0125</v>
      </c>
      <c r="Q33" s="54" t="n">
        <v>170</v>
      </c>
      <c r="R33" s="54" t="n">
        <v>89</v>
      </c>
      <c r="S33" s="54" t="n">
        <f aca="false">SUM(P33:R33)</f>
        <v>474.0125</v>
      </c>
      <c r="T33" s="55" t="n">
        <f aca="false">(I33-S33)+T32</f>
        <v>2782.726</v>
      </c>
      <c r="U33" s="54" t="n">
        <v>109.7</v>
      </c>
      <c r="V33" s="54" t="n">
        <v>71</v>
      </c>
      <c r="W33" s="55" t="n">
        <f aca="false">W32-V33</f>
        <v>10594</v>
      </c>
      <c r="X33" s="7" t="n">
        <f aca="false">N33+O33+S33+U33+V33</f>
        <v>722.7</v>
      </c>
      <c r="Y33" s="54" t="n">
        <f aca="false">IF(L33&lt;0,L33*-1,0)</f>
        <v>26.6904713889588</v>
      </c>
      <c r="Z33" s="54" t="n">
        <f aca="false">X33+Y33</f>
        <v>749.390471388959</v>
      </c>
      <c r="AA33" s="56" t="n">
        <v>0</v>
      </c>
      <c r="AB33" s="59" t="n">
        <v>80</v>
      </c>
      <c r="AC33" s="84" t="n">
        <v>60</v>
      </c>
      <c r="AD33" s="60" t="n">
        <f aca="false">AD32+1</f>
        <v>24</v>
      </c>
      <c r="AE33" s="95"/>
      <c r="AF33" s="95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6899.81</v>
      </c>
      <c r="C34" s="55" t="n">
        <v>282882</v>
      </c>
      <c r="D34" s="59" t="n">
        <f aca="false">C34-C33</f>
        <v>-1364</v>
      </c>
      <c r="E34" s="55" t="n">
        <f aca="false">C34-152000</f>
        <v>130882</v>
      </c>
      <c r="F34" s="54" t="n">
        <f aca="false">D34/$D$2</f>
        <v>-687.673304764305</v>
      </c>
      <c r="G34" s="54" t="n">
        <v>97</v>
      </c>
      <c r="H34" s="58" t="n">
        <v>0.01</v>
      </c>
      <c r="I34" s="54" t="n">
        <f aca="false">G34+H34</f>
        <v>97.01</v>
      </c>
      <c r="J34" s="83" t="n">
        <f aca="false">IF(L34&gt;0,L34,0)</f>
        <v>0</v>
      </c>
      <c r="K34" s="54" t="n">
        <f aca="false">I34+J34</f>
        <v>97.01</v>
      </c>
      <c r="L34" s="54" t="n">
        <f aca="false">F34-(I34-X34)</f>
        <v>-7.94330476430548</v>
      </c>
      <c r="M34" s="54" t="n">
        <v>311</v>
      </c>
      <c r="N34" s="54" t="n">
        <v>0</v>
      </c>
      <c r="O34" s="54" t="n">
        <f aca="false">70.14*1.05</f>
        <v>73.647</v>
      </c>
      <c r="P34" s="7" t="n">
        <f aca="false">M34-(N34+O34)</f>
        <v>237.353</v>
      </c>
      <c r="Q34" s="54" t="n">
        <v>169</v>
      </c>
      <c r="R34" s="54" t="n">
        <v>89</v>
      </c>
      <c r="S34" s="54" t="n">
        <f aca="false">SUM(P34:R34)</f>
        <v>495.353</v>
      </c>
      <c r="T34" s="55" t="n">
        <f aca="false">(I34-S34)+T33</f>
        <v>2384.383</v>
      </c>
      <c r="U34" s="54" t="n">
        <v>137.74</v>
      </c>
      <c r="V34" s="54" t="n">
        <v>70</v>
      </c>
      <c r="W34" s="55" t="n">
        <f aca="false">W33-V34</f>
        <v>10524</v>
      </c>
      <c r="X34" s="7" t="n">
        <f aca="false">N34+O34+S34+U34+V34</f>
        <v>776.74</v>
      </c>
      <c r="Y34" s="54" t="n">
        <f aca="false">IF(L34&lt;0,L34*-1,0)</f>
        <v>7.94330476430548</v>
      </c>
      <c r="Z34" s="54" t="n">
        <f aca="false">X34+Y34</f>
        <v>784.683304764306</v>
      </c>
      <c r="AA34" s="56" t="n">
        <v>0</v>
      </c>
      <c r="AB34" s="59" t="n">
        <v>85</v>
      </c>
      <c r="AC34" s="84" t="n">
        <v>52</v>
      </c>
      <c r="AD34" s="60" t="n">
        <f aca="false">AD33+1</f>
        <v>25</v>
      </c>
      <c r="AE34" s="95"/>
      <c r="AF34" s="95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6899.43</v>
      </c>
      <c r="C35" s="55" t="n">
        <v>281486</v>
      </c>
      <c r="D35" s="59" t="n">
        <f aca="false">C35-C34</f>
        <v>-1396</v>
      </c>
      <c r="E35" s="55" t="n">
        <f aca="false">C35-152000</f>
        <v>129486</v>
      </c>
      <c r="F35" s="54" t="n">
        <f aca="false">D35/$D$2</f>
        <v>-703.806402823292</v>
      </c>
      <c r="G35" s="54" t="n">
        <v>92</v>
      </c>
      <c r="H35" s="58" t="n">
        <v>0.04</v>
      </c>
      <c r="I35" s="54" t="n">
        <f aca="false">G35+H35</f>
        <v>92.04</v>
      </c>
      <c r="J35" s="83" t="n">
        <f aca="false">IF(L35&gt;0,L35,0)</f>
        <v>0</v>
      </c>
      <c r="K35" s="54" t="n">
        <f aca="false">I35+J35</f>
        <v>92.04</v>
      </c>
      <c r="L35" s="54" t="n">
        <f aca="false">F35-(I35-X35)</f>
        <v>-8.98640282329211</v>
      </c>
      <c r="M35" s="54" t="n">
        <v>296</v>
      </c>
      <c r="N35" s="54" t="n">
        <v>0</v>
      </c>
      <c r="O35" s="54" t="n">
        <f aca="false">71.41*1.05</f>
        <v>74.9805</v>
      </c>
      <c r="P35" s="7" t="n">
        <f aca="false">M35-(N35+O35)</f>
        <v>221.0195</v>
      </c>
      <c r="Q35" s="54" t="n">
        <v>167</v>
      </c>
      <c r="R35" s="54" t="n">
        <v>87</v>
      </c>
      <c r="S35" s="54" t="n">
        <f aca="false">SUM(P35:R35)</f>
        <v>475.0195</v>
      </c>
      <c r="T35" s="55" t="n">
        <f aca="false">(I35-S35)+T34</f>
        <v>2001.4035</v>
      </c>
      <c r="U35" s="54" t="n">
        <v>165.86</v>
      </c>
      <c r="V35" s="54" t="n">
        <v>71</v>
      </c>
      <c r="W35" s="55" t="n">
        <f aca="false">W34-V35</f>
        <v>10453</v>
      </c>
      <c r="X35" s="7" t="n">
        <f aca="false">N35+O35+S35+U35+V35</f>
        <v>786.86</v>
      </c>
      <c r="Y35" s="54" t="n">
        <f aca="false">IF(L35&lt;0,L35*-1,0)</f>
        <v>8.98640282329211</v>
      </c>
      <c r="Z35" s="54" t="n">
        <f aca="false">X35+Y35</f>
        <v>795.846402823292</v>
      </c>
      <c r="AA35" s="56" t="n">
        <v>0</v>
      </c>
      <c r="AB35" s="59" t="n">
        <v>79</v>
      </c>
      <c r="AC35" s="59" t="n">
        <v>57</v>
      </c>
      <c r="AD35" s="60" t="n">
        <f aca="false">AD34+1</f>
        <v>26</v>
      </c>
      <c r="AE35" s="95"/>
      <c r="AF35" s="95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6898.99</v>
      </c>
      <c r="C36" s="55" t="n">
        <v>279870</v>
      </c>
      <c r="D36" s="59" t="n">
        <f aca="false">C36-C35</f>
        <v>-1616</v>
      </c>
      <c r="E36" s="55" t="n">
        <f aca="false">C36-152000</f>
        <v>127870</v>
      </c>
      <c r="F36" s="54" t="n">
        <f aca="false">D36/$D$2</f>
        <v>-814.721451978825</v>
      </c>
      <c r="G36" s="54" t="n">
        <v>118</v>
      </c>
      <c r="H36" s="58" t="n">
        <v>0.02</v>
      </c>
      <c r="I36" s="54" t="n">
        <f aca="false">G36+H36</f>
        <v>118.02</v>
      </c>
      <c r="J36" s="83" t="n">
        <f aca="false">IF(L36&gt;0,L36,0)</f>
        <v>0</v>
      </c>
      <c r="K36" s="54" t="n">
        <f aca="false">I36+J36</f>
        <v>118.02</v>
      </c>
      <c r="L36" s="54" t="n">
        <f aca="false">F36-(I36-X36)</f>
        <v>-144.111451978825</v>
      </c>
      <c r="M36" s="54" t="n">
        <v>293</v>
      </c>
      <c r="N36" s="54" t="n">
        <v>0</v>
      </c>
      <c r="O36" s="54" t="n">
        <f aca="false">70.22*1.05</f>
        <v>73.731</v>
      </c>
      <c r="P36" s="7" t="n">
        <f aca="false">M36-(N36+O36)</f>
        <v>219.269</v>
      </c>
      <c r="Q36" s="54" t="n">
        <v>167</v>
      </c>
      <c r="R36" s="54" t="n">
        <v>88</v>
      </c>
      <c r="S36" s="54" t="n">
        <f aca="false">SUM(P36:R36)</f>
        <v>474.269</v>
      </c>
      <c r="T36" s="55" t="n">
        <f aca="false">(I36-S36)+T35</f>
        <v>1645.1545</v>
      </c>
      <c r="U36" s="54" t="n">
        <v>169.63</v>
      </c>
      <c r="V36" s="54" t="n">
        <v>71</v>
      </c>
      <c r="W36" s="55" t="n">
        <f aca="false">W35-V36</f>
        <v>10382</v>
      </c>
      <c r="X36" s="7" t="n">
        <f aca="false">N36+O36+S36+U36+V36</f>
        <v>788.63</v>
      </c>
      <c r="Y36" s="54" t="n">
        <f aca="false">IF(L36&lt;0,L36*-1,0)</f>
        <v>144.111451978825</v>
      </c>
      <c r="Z36" s="54" t="n">
        <f aca="false">X36+Y36</f>
        <v>932.741451978825</v>
      </c>
      <c r="AA36" s="56" t="n">
        <v>0</v>
      </c>
      <c r="AB36" s="59" t="n">
        <v>86</v>
      </c>
      <c r="AC36" s="59" t="n">
        <v>53</v>
      </c>
      <c r="AD36" s="60" t="n">
        <f aca="false">AD35+1</f>
        <v>27</v>
      </c>
      <c r="AE36" s="95"/>
      <c r="AF36" s="95"/>
      <c r="AG36" s="95"/>
    </row>
    <row r="37" customFormat="false" ht="11.1" hidden="false" customHeight="true" outlineLevel="0" collapsed="false">
      <c r="A37" s="60" t="n">
        <f aca="false">A36+1</f>
        <v>28</v>
      </c>
      <c r="B37" s="75" t="n">
        <v>6898.63</v>
      </c>
      <c r="C37" s="55" t="n">
        <v>278557</v>
      </c>
      <c r="D37" s="59" t="n">
        <f aca="false">C37-C36</f>
        <v>-1313</v>
      </c>
      <c r="E37" s="55" t="n">
        <f aca="false">C37-152000</f>
        <v>126557</v>
      </c>
      <c r="F37" s="54" t="n">
        <f aca="false">D37/$D$2</f>
        <v>-661.961179732796</v>
      </c>
      <c r="G37" s="54" t="n">
        <v>123</v>
      </c>
      <c r="H37" s="58" t="n">
        <v>0</v>
      </c>
      <c r="I37" s="54" t="n">
        <f aca="false">G37+H37</f>
        <v>123</v>
      </c>
      <c r="J37" s="83" t="n">
        <f aca="false">IF(L37&gt;0,L37,0)</f>
        <v>17.9888202672045</v>
      </c>
      <c r="K37" s="54" t="n">
        <f aca="false">I37+J37</f>
        <v>140.988820267204</v>
      </c>
      <c r="L37" s="54" t="n">
        <f aca="false">F37-(I37-X37)</f>
        <v>17.9888202672045</v>
      </c>
      <c r="M37" s="54" t="n">
        <v>300</v>
      </c>
      <c r="N37" s="54" t="n">
        <v>0</v>
      </c>
      <c r="O37" s="54" t="n">
        <f aca="false">70.49*1.05</f>
        <v>74.0145</v>
      </c>
      <c r="P37" s="7" t="n">
        <f aca="false">M37-(N37+O37)</f>
        <v>225.9855</v>
      </c>
      <c r="Q37" s="54" t="n">
        <v>166</v>
      </c>
      <c r="R37" s="54" t="n">
        <v>87</v>
      </c>
      <c r="S37" s="54" t="n">
        <f aca="false">SUM(P37:R37)</f>
        <v>478.9855</v>
      </c>
      <c r="T37" s="55" t="n">
        <f aca="false">(I37-S37)+T36</f>
        <v>1289.169</v>
      </c>
      <c r="U37" s="54" t="n">
        <v>178.95</v>
      </c>
      <c r="V37" s="54" t="n">
        <v>71</v>
      </c>
      <c r="W37" s="55" t="n">
        <f aca="false">W36-V37</f>
        <v>10311</v>
      </c>
      <c r="X37" s="7" t="n">
        <f aca="false">N37+O37+S37+U37+V37</f>
        <v>802.95</v>
      </c>
      <c r="Y37" s="54" t="n">
        <f aca="false">IF(L37&lt;0,L37*-1,0)</f>
        <v>0</v>
      </c>
      <c r="Z37" s="54" t="n">
        <f aca="false">X37+Y37</f>
        <v>802.95</v>
      </c>
      <c r="AA37" s="56" t="n">
        <v>0</v>
      </c>
      <c r="AB37" s="59" t="n">
        <v>90</v>
      </c>
      <c r="AC37" s="59" t="n">
        <v>52</v>
      </c>
      <c r="AD37" s="60" t="n">
        <f aca="false">AD36+1</f>
        <v>28</v>
      </c>
      <c r="AE37" s="95"/>
      <c r="AF37" s="95"/>
      <c r="AG37" s="95"/>
    </row>
    <row r="38" customFormat="false" ht="11.1" hidden="false" customHeight="true" outlineLevel="0" collapsed="false">
      <c r="A38" s="60" t="n">
        <f aca="false">A37+1</f>
        <v>29</v>
      </c>
      <c r="B38" s="75" t="n">
        <v>6898.23</v>
      </c>
      <c r="C38" s="55" t="n">
        <v>277099</v>
      </c>
      <c r="D38" s="59" t="n">
        <f aca="false">C38-C37</f>
        <v>-1458</v>
      </c>
      <c r="E38" s="55" t="n">
        <f aca="false">C38-152000</f>
        <v>125099</v>
      </c>
      <c r="F38" s="54" t="n">
        <f aca="false">D38/$D$2</f>
        <v>-735.064280312579</v>
      </c>
      <c r="G38" s="54" t="n">
        <v>110</v>
      </c>
      <c r="H38" s="58" t="n">
        <v>0</v>
      </c>
      <c r="I38" s="54" t="n">
        <f aca="false">G38+H38</f>
        <v>110</v>
      </c>
      <c r="J38" s="83" t="n">
        <f aca="false">IF(L38&gt;0,L38,0)</f>
        <v>0</v>
      </c>
      <c r="K38" s="54" t="n">
        <f aca="false">I38+J38</f>
        <v>110</v>
      </c>
      <c r="L38" s="54" t="n">
        <f aca="false">F38-(I38-X38)</f>
        <v>-37.3642803125787</v>
      </c>
      <c r="M38" s="54" t="n">
        <v>306</v>
      </c>
      <c r="N38" s="54" t="n">
        <v>0</v>
      </c>
      <c r="O38" s="54" t="n">
        <f aca="false">74.04*1.05</f>
        <v>77.742</v>
      </c>
      <c r="P38" s="7" t="n">
        <f aca="false">M38-(N38+O38)</f>
        <v>228.258</v>
      </c>
      <c r="Q38" s="54" t="n">
        <v>168</v>
      </c>
      <c r="R38" s="54" t="n">
        <v>88</v>
      </c>
      <c r="S38" s="54" t="n">
        <f aca="false">SUM(P38:R38)</f>
        <v>484.258</v>
      </c>
      <c r="T38" s="55" t="n">
        <f aca="false">(I38-S38)+T37</f>
        <v>914.911000000003</v>
      </c>
      <c r="U38" s="54" t="n">
        <v>174.7</v>
      </c>
      <c r="V38" s="54" t="n">
        <v>71</v>
      </c>
      <c r="W38" s="55" t="n">
        <f aca="false">W37-V38</f>
        <v>10240</v>
      </c>
      <c r="X38" s="7" t="n">
        <f aca="false">N38+O38+S38+U38+V38</f>
        <v>807.7</v>
      </c>
      <c r="Y38" s="54" t="n">
        <f aca="false">IF(L38&lt;0,L38*-1,0)</f>
        <v>37.3642803125787</v>
      </c>
      <c r="Z38" s="54" t="n">
        <f aca="false">X38+Y38</f>
        <v>845.064280312579</v>
      </c>
      <c r="AA38" s="56" t="n">
        <v>0</v>
      </c>
      <c r="AB38" s="84" t="n">
        <v>92</v>
      </c>
      <c r="AC38" s="59" t="n">
        <v>56</v>
      </c>
      <c r="AD38" s="60" t="n">
        <f aca="false">AD37+1</f>
        <v>29</v>
      </c>
      <c r="AE38" s="95"/>
      <c r="AF38" s="97"/>
      <c r="AG38" s="96"/>
    </row>
    <row r="39" customFormat="false" ht="11.1" hidden="false" customHeight="true" outlineLevel="0" collapsed="false">
      <c r="A39" s="60" t="n">
        <v>30</v>
      </c>
      <c r="B39" s="75" t="n">
        <v>6897.85</v>
      </c>
      <c r="C39" s="55" t="n">
        <v>275718</v>
      </c>
      <c r="D39" s="59" t="n">
        <f aca="false">C39-C38</f>
        <v>-1381</v>
      </c>
      <c r="E39" s="55" t="n">
        <f aca="false">C39-152000</f>
        <v>123718</v>
      </c>
      <c r="F39" s="54" t="n">
        <f aca="false">D39/$D$2</f>
        <v>-696.244013108142</v>
      </c>
      <c r="G39" s="54" t="n">
        <v>104</v>
      </c>
      <c r="H39" s="58" t="n">
        <v>0</v>
      </c>
      <c r="I39" s="54" t="n">
        <f aca="false">G39+H39</f>
        <v>104</v>
      </c>
      <c r="J39" s="83" t="n">
        <f aca="false">IF(L39&gt;0,L39,0)</f>
        <v>19.7859868918578</v>
      </c>
      <c r="K39" s="54" t="n">
        <f aca="false">I39+J39</f>
        <v>123.785986891858</v>
      </c>
      <c r="L39" s="54" t="n">
        <f aca="false">F39-(I39-X39)</f>
        <v>19.7859868918578</v>
      </c>
      <c r="M39" s="54" t="n">
        <v>309</v>
      </c>
      <c r="N39" s="54" t="n">
        <v>0</v>
      </c>
      <c r="O39" s="54" t="n">
        <f aca="false">81.62*1.05</f>
        <v>85.701</v>
      </c>
      <c r="P39" s="7" t="n">
        <f aca="false">M39-(N39+O39)</f>
        <v>223.299</v>
      </c>
      <c r="Q39" s="54" t="n">
        <v>169</v>
      </c>
      <c r="R39" s="54" t="n">
        <v>87</v>
      </c>
      <c r="S39" s="54" t="n">
        <f aca="false">SUM(P39:R39)</f>
        <v>479.299</v>
      </c>
      <c r="T39" s="55" t="n">
        <f aca="false">(I39-S39)+T38</f>
        <v>539.612000000003</v>
      </c>
      <c r="U39" s="54" t="n">
        <v>184.03</v>
      </c>
      <c r="V39" s="54" t="n">
        <v>71</v>
      </c>
      <c r="W39" s="55" t="n">
        <f aca="false">W38-V39</f>
        <v>10169</v>
      </c>
      <c r="X39" s="7" t="n">
        <f aca="false">N39+O39+S39+U39+V39</f>
        <v>820.03</v>
      </c>
      <c r="Y39" s="54" t="n">
        <f aca="false">IF(L39&lt;0,L39*-1,0)</f>
        <v>0</v>
      </c>
      <c r="Z39" s="54" t="n">
        <f aca="false">X39+Y39</f>
        <v>820.03</v>
      </c>
      <c r="AA39" s="56" t="n">
        <v>0</v>
      </c>
      <c r="AB39" s="84" t="n">
        <v>83</v>
      </c>
      <c r="AC39" s="59" t="n">
        <v>59</v>
      </c>
      <c r="AD39" s="60" t="n">
        <v>30</v>
      </c>
      <c r="AE39" s="95"/>
      <c r="AF39" s="97"/>
      <c r="AG39" s="96"/>
    </row>
    <row r="40" customFormat="false" ht="11.1" hidden="false" customHeight="true" outlineLevel="0" collapsed="false">
      <c r="A40" s="60" t="n">
        <v>31</v>
      </c>
      <c r="B40" s="75" t="n">
        <v>6897.44</v>
      </c>
      <c r="C40" s="55" t="n">
        <v>274235</v>
      </c>
      <c r="D40" s="59" t="n">
        <f aca="false">C40-C39</f>
        <v>-1483</v>
      </c>
      <c r="E40" s="55" t="n">
        <f aca="false">C40-152000</f>
        <v>122235</v>
      </c>
      <c r="F40" s="54" t="n">
        <f aca="false">D40/$D$2</f>
        <v>-747.668263171162</v>
      </c>
      <c r="G40" s="54" t="n">
        <v>135</v>
      </c>
      <c r="H40" s="58" t="n">
        <v>0</v>
      </c>
      <c r="I40" s="54" t="n">
        <f aca="false">G40+H40</f>
        <v>135</v>
      </c>
      <c r="J40" s="83" t="n">
        <f aca="false">IF(L40&gt;0,L40,0)</f>
        <v>0</v>
      </c>
      <c r="K40" s="54" t="n">
        <f aca="false">I40+J40</f>
        <v>135</v>
      </c>
      <c r="L40" s="54" t="n">
        <f aca="false">F40-(I40-X40)</f>
        <v>-10.4982631711621</v>
      </c>
      <c r="M40" s="54" t="n">
        <v>324</v>
      </c>
      <c r="N40" s="54" t="n">
        <v>0</v>
      </c>
      <c r="O40" s="54" t="n">
        <f aca="false">89.04*1.05</f>
        <v>93.492</v>
      </c>
      <c r="P40" s="7" t="n">
        <f aca="false">M40-(N40+O40)</f>
        <v>230.508</v>
      </c>
      <c r="Q40" s="54" t="n">
        <v>167</v>
      </c>
      <c r="R40" s="54" t="n">
        <v>86</v>
      </c>
      <c r="S40" s="54" t="n">
        <f aca="false">SUM(P40:R40)</f>
        <v>483.508</v>
      </c>
      <c r="T40" s="55" t="n">
        <f aca="false">(I40-S40)+T39</f>
        <v>191.104000000003</v>
      </c>
      <c r="U40" s="54" t="n">
        <v>224.17</v>
      </c>
      <c r="V40" s="54" t="n">
        <v>71</v>
      </c>
      <c r="W40" s="55" t="n">
        <f aca="false">W39-V40</f>
        <v>10098</v>
      </c>
      <c r="X40" s="7" t="n">
        <f aca="false">N40+O40+S40+U40+V40</f>
        <v>872.17</v>
      </c>
      <c r="Y40" s="54" t="n">
        <f aca="false">IF(L40&lt;0,L40*-1,0)</f>
        <v>10.4982631711621</v>
      </c>
      <c r="Z40" s="54" t="n">
        <f aca="false">X40+Y40</f>
        <v>882.668263171162</v>
      </c>
      <c r="AA40" s="56" t="n">
        <v>0</v>
      </c>
      <c r="AB40" s="84" t="n">
        <v>79</v>
      </c>
      <c r="AC40" s="59" t="n">
        <v>57</v>
      </c>
      <c r="AD40" s="60" t="n">
        <v>31</v>
      </c>
      <c r="AE40" s="95"/>
      <c r="AF40" s="95"/>
      <c r="AG40" s="96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80"/>
      <c r="I41" s="76"/>
      <c r="J41" s="76"/>
      <c r="K41" s="76"/>
      <c r="L41" s="76"/>
      <c r="M41" s="76"/>
      <c r="N41" s="76"/>
      <c r="O41" s="76" t="n">
        <v>0</v>
      </c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79" t="n">
        <v>0</v>
      </c>
      <c r="AB41" s="81"/>
      <c r="AC41" s="81"/>
      <c r="AD41" s="82"/>
      <c r="AE41" s="95"/>
      <c r="AF41" s="95"/>
      <c r="AG41" s="96"/>
    </row>
    <row r="42" customFormat="false" ht="11.1" hidden="false" customHeight="true" outlineLevel="0" collapsed="false">
      <c r="A42" s="54" t="s">
        <v>46</v>
      </c>
      <c r="B42" s="54"/>
      <c r="C42" s="55"/>
      <c r="D42" s="55"/>
      <c r="E42" s="55"/>
      <c r="F42" s="55" t="n">
        <f aca="false">SUM(F10:F40)</f>
        <v>-22227.8800100832</v>
      </c>
      <c r="G42" s="55" t="n">
        <f aca="false">SUM(G10:G40)</f>
        <v>4934</v>
      </c>
      <c r="H42" s="58" t="n">
        <f aca="false">SUM(H10:H40)</f>
        <v>0.73</v>
      </c>
      <c r="I42" s="55" t="n">
        <f aca="false">SUM(I10:I40)</f>
        <v>4934.73</v>
      </c>
      <c r="J42" s="55" t="n">
        <f aca="false">SUM(J10:J40)</f>
        <v>205.219115200404</v>
      </c>
      <c r="K42" s="55" t="n">
        <f aca="false">SUM(K10:K40)</f>
        <v>5139.9491152004</v>
      </c>
      <c r="L42" s="55" t="n">
        <f aca="false">SUM(L10:L40)</f>
        <v>-601.550010083186</v>
      </c>
      <c r="M42" s="55" t="n">
        <f aca="false">SUM(M10:M40)</f>
        <v>9608</v>
      </c>
      <c r="N42" s="55" t="n">
        <f aca="false">SUM(N10:N40)</f>
        <v>11.5</v>
      </c>
      <c r="O42" s="55" t="n">
        <f aca="false">SUM(O10:O40)</f>
        <v>2330.874</v>
      </c>
      <c r="P42" s="55" t="n">
        <f aca="false">SUM(P10:P40)</f>
        <v>7265.626</v>
      </c>
      <c r="Q42" s="55" t="n">
        <f aca="false">SUM(Q10:Q40)</f>
        <v>5276</v>
      </c>
      <c r="R42" s="55" t="n">
        <f aca="false">SUM(R10:R40)</f>
        <v>2770</v>
      </c>
      <c r="S42" s="55" t="n">
        <f aca="false">SUM(S10:S40)</f>
        <v>15311.626</v>
      </c>
      <c r="T42" s="55"/>
      <c r="U42" s="55" t="n">
        <f aca="false">SUM(U10:U40)</f>
        <v>6730.06</v>
      </c>
      <c r="V42" s="55" t="n">
        <f aca="false">SUM(V10:V40)</f>
        <v>2177</v>
      </c>
      <c r="W42" s="55"/>
      <c r="X42" s="55" t="n">
        <f aca="false">SUM(X10:X40)</f>
        <v>26561.06</v>
      </c>
      <c r="Y42" s="55" t="n">
        <f aca="false">SUM(Y10:Y40)</f>
        <v>806.769125283589</v>
      </c>
      <c r="Z42" s="55" t="n">
        <f aca="false">SUM(Z10:Z40)</f>
        <v>27367.8291252836</v>
      </c>
      <c r="AA42" s="56" t="n">
        <f aca="false">SUM(AA10:AA40)</f>
        <v>0.44</v>
      </c>
      <c r="AB42" s="59" t="n">
        <f aca="false">AVERAGE(AB10:AB40)</f>
        <v>85.5161290322581</v>
      </c>
      <c r="AC42" s="59" t="n">
        <f aca="false">AVERAGE(AC10:AC40)</f>
        <v>56.4516129032258</v>
      </c>
      <c r="AD42" s="60" t="s">
        <v>71</v>
      </c>
      <c r="AE42" s="95"/>
      <c r="AF42" s="95"/>
      <c r="AG42" s="96"/>
    </row>
    <row r="43" customFormat="false" ht="11.1" hidden="false" customHeight="true" outlineLevel="0" collapsed="false">
      <c r="A43" s="54" t="s">
        <v>48</v>
      </c>
      <c r="B43" s="54"/>
      <c r="C43" s="55"/>
      <c r="D43" s="55" t="n">
        <f aca="false">SUM(D10:D40)</f>
        <v>-44089</v>
      </c>
      <c r="E43" s="55"/>
      <c r="F43" s="55" t="n">
        <f aca="false">F42*$D$2</f>
        <v>-44089</v>
      </c>
      <c r="G43" s="55" t="n">
        <f aca="false">G42*$D$2</f>
        <v>9786.589</v>
      </c>
      <c r="H43" s="58" t="n">
        <f aca="false">H42*$D$2</f>
        <v>1.447955</v>
      </c>
      <c r="I43" s="55" t="n">
        <f aca="false">I42*$D$2</f>
        <v>9788.036955</v>
      </c>
      <c r="J43" s="55" t="n">
        <f aca="false">J42*$D$2</f>
        <v>407.052115</v>
      </c>
      <c r="K43" s="55" t="n">
        <f aca="false">K42*$D$2</f>
        <v>10195.08907</v>
      </c>
      <c r="L43" s="55" t="n">
        <f aca="false">L42*$D$2</f>
        <v>-1193.174445</v>
      </c>
      <c r="M43" s="55" t="n">
        <f aca="false">M42*$D$2</f>
        <v>19057.468</v>
      </c>
      <c r="N43" s="55" t="n">
        <f aca="false">N42*$D$2</f>
        <v>22.81025</v>
      </c>
      <c r="O43" s="55" t="n">
        <f aca="false">O42*$D$2</f>
        <v>4623.288579</v>
      </c>
      <c r="P43" s="55" t="n">
        <f aca="false">P42*$D$2</f>
        <v>14411.369171</v>
      </c>
      <c r="Q43" s="55" t="n">
        <f aca="false">Q42*$D$2</f>
        <v>10464.946</v>
      </c>
      <c r="R43" s="55" t="n">
        <f aca="false">R42*$D$2</f>
        <v>5494.295</v>
      </c>
      <c r="S43" s="55" t="n">
        <f aca="false">S42*$D$2</f>
        <v>30370.610171</v>
      </c>
      <c r="T43" s="55"/>
      <c r="U43" s="55" t="n">
        <f aca="false">U42*$D$2</f>
        <v>13349.07401</v>
      </c>
      <c r="V43" s="55" t="n">
        <f aca="false">V42*$D$2</f>
        <v>4318.0795</v>
      </c>
      <c r="W43" s="55"/>
      <c r="X43" s="55" t="n">
        <f aca="false">X42*$D$2</f>
        <v>52683.86251</v>
      </c>
      <c r="Y43" s="55" t="n">
        <f aca="false">Y42*$D$2</f>
        <v>1600.22656</v>
      </c>
      <c r="Z43" s="55" t="n">
        <f aca="false">Z42*$D$2</f>
        <v>54284.08907</v>
      </c>
      <c r="AA43" s="56"/>
      <c r="AB43" s="59" t="n">
        <f aca="false">MAX(AB10:AB40)</f>
        <v>93</v>
      </c>
      <c r="AC43" s="59" t="n">
        <f aca="false">MAX(AC10:AC40)</f>
        <v>61</v>
      </c>
      <c r="AD43" s="60" t="s">
        <v>49</v>
      </c>
      <c r="AE43" s="95"/>
      <c r="AF43" s="95"/>
      <c r="AG43" s="96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6"/>
      <c r="AB44" s="59"/>
      <c r="AC44" s="59"/>
      <c r="AD44" s="60"/>
      <c r="AE44" s="95"/>
      <c r="AF44" s="95"/>
      <c r="AG44" s="96"/>
    </row>
    <row r="45" customFormat="false" ht="11.1" hidden="false" customHeight="true" outlineLevel="0" collapsed="false">
      <c r="A45" s="54" t="s">
        <v>50</v>
      </c>
      <c r="B45" s="54"/>
      <c r="C45" s="55"/>
      <c r="D45" s="55"/>
      <c r="E45" s="55"/>
      <c r="F45" s="55" t="n">
        <f aca="false">F7+F42</f>
        <v>23737.3329972271</v>
      </c>
      <c r="G45" s="55" t="n">
        <f aca="false">G7+G42</f>
        <v>97272</v>
      </c>
      <c r="H45" s="58" t="n">
        <f aca="false">H7+H42</f>
        <v>3390.06</v>
      </c>
      <c r="I45" s="55" t="n">
        <f aca="false">I7+I42</f>
        <v>100662.06</v>
      </c>
      <c r="J45" s="55" t="n">
        <f aca="false">J7+J42</f>
        <v>6901.85517519536</v>
      </c>
      <c r="K45" s="55" t="n">
        <f aca="false">K7+K42</f>
        <v>107563.915175195</v>
      </c>
      <c r="L45" s="55" t="n">
        <f aca="false">L7+L42</f>
        <v>3626.30299722712</v>
      </c>
      <c r="M45" s="55" t="n">
        <f aca="false">M7+M42</f>
        <v>31115</v>
      </c>
      <c r="N45" s="55" t="n">
        <f aca="false">N7+N42</f>
        <v>141.5</v>
      </c>
      <c r="O45" s="55" t="n">
        <f aca="false">O7+O42</f>
        <v>8629.952</v>
      </c>
      <c r="P45" s="55" t="n">
        <f aca="false">P7+P42</f>
        <v>22343.548</v>
      </c>
      <c r="Q45" s="55" t="n">
        <f aca="false">Q7+Q42</f>
        <v>15618</v>
      </c>
      <c r="R45" s="55" t="n">
        <f aca="false">R7+R42</f>
        <v>7574</v>
      </c>
      <c r="S45" s="55" t="n">
        <f aca="false">S7+S42</f>
        <v>45535.548</v>
      </c>
      <c r="T45" s="55" t="n">
        <f aca="false">T40</f>
        <v>191.104000000003</v>
      </c>
      <c r="U45" s="55" t="n">
        <f aca="false">U7+U42</f>
        <v>19528.03</v>
      </c>
      <c r="V45" s="55" t="n">
        <f aca="false">V7+V42</f>
        <v>6716</v>
      </c>
      <c r="W45" s="55"/>
      <c r="X45" s="55" t="n">
        <f aca="false">X7+X42</f>
        <v>80551.03</v>
      </c>
      <c r="Y45" s="55" t="n">
        <f aca="false">Y7+Y42</f>
        <v>3275.55217796824</v>
      </c>
      <c r="Z45" s="55" t="n">
        <f aca="false">Z7+Z42</f>
        <v>83826.5821779683</v>
      </c>
      <c r="AA45" s="56"/>
      <c r="AB45" s="59" t="n">
        <f aca="false">MIN(AB10:AB40)</f>
        <v>79</v>
      </c>
      <c r="AC45" s="59" t="n">
        <f aca="false">MIN(AC10:AC40)</f>
        <v>50</v>
      </c>
      <c r="AD45" s="60" t="s">
        <v>51</v>
      </c>
      <c r="AE45" s="95"/>
      <c r="AF45" s="95"/>
      <c r="AG45" s="96"/>
    </row>
    <row r="46" customFormat="false" ht="11.1" hidden="false" customHeight="true" outlineLevel="0" collapsed="false">
      <c r="A46" s="54" t="s">
        <v>52</v>
      </c>
      <c r="B46" s="54"/>
      <c r="C46" s="55"/>
      <c r="D46" s="55"/>
      <c r="E46" s="55"/>
      <c r="F46" s="55" t="n">
        <f aca="false">F45*$D$2</f>
        <v>47083</v>
      </c>
      <c r="G46" s="55" t="n">
        <f aca="false">G45*$D$2</f>
        <v>192939.012</v>
      </c>
      <c r="H46" s="58" t="n">
        <f aca="false">H45*$D$2</f>
        <v>6724.18401</v>
      </c>
      <c r="I46" s="55" t="n">
        <f aca="false">I45*$D$2</f>
        <v>199663.19601</v>
      </c>
      <c r="J46" s="55" t="n">
        <f aca="false">J45*$D$2</f>
        <v>13689.82974</v>
      </c>
      <c r="K46" s="55" t="n">
        <f aca="false">K45*$D$2</f>
        <v>213353.02575</v>
      </c>
      <c r="L46" s="55" t="n">
        <f aca="false">L45*$D$2</f>
        <v>7192.771995</v>
      </c>
      <c r="M46" s="55" t="n">
        <f aca="false">M45*$D$2</f>
        <v>61716.6025</v>
      </c>
      <c r="N46" s="55" t="n">
        <f aca="false">N45*$D$2</f>
        <v>280.66525</v>
      </c>
      <c r="O46" s="55" t="n">
        <f aca="false">O45*$D$2</f>
        <v>17117.509792</v>
      </c>
      <c r="P46" s="55" t="n">
        <f aca="false">P45*$D$2</f>
        <v>44318.427458</v>
      </c>
      <c r="Q46" s="55" t="n">
        <f aca="false">Q45*$D$2</f>
        <v>30978.303</v>
      </c>
      <c r="R46" s="55" t="n">
        <f aca="false">R45*$D$2</f>
        <v>15023.029</v>
      </c>
      <c r="S46" s="55" t="n">
        <f aca="false">S45*$D$2</f>
        <v>90319.759458</v>
      </c>
      <c r="T46" s="55" t="n">
        <f aca="false">T45*$D$2</f>
        <v>379.054784000005</v>
      </c>
      <c r="U46" s="55" t="n">
        <f aca="false">U45*$D$2</f>
        <v>38733.847505</v>
      </c>
      <c r="V46" s="55" t="n">
        <f aca="false">V45*$D$2</f>
        <v>13321.186</v>
      </c>
      <c r="W46" s="55"/>
      <c r="X46" s="55" t="n">
        <f aca="false">X45*$D$2</f>
        <v>159772.968005</v>
      </c>
      <c r="Y46" s="55" t="n">
        <f aca="false">Y45*$D$2</f>
        <v>6497.057745</v>
      </c>
      <c r="Z46" s="55" t="n">
        <f aca="false">Z45*$D$2</f>
        <v>166270.02575</v>
      </c>
      <c r="AA46" s="56"/>
      <c r="AB46" s="59"/>
      <c r="AC46" s="59"/>
      <c r="AD46" s="60"/>
      <c r="AE46" s="95"/>
      <c r="AF46" s="95"/>
      <c r="AG46" s="96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59"/>
      <c r="AC47" s="59"/>
      <c r="AD47" s="60"/>
      <c r="AE47" s="95"/>
      <c r="AF47" s="95"/>
      <c r="AG47" s="96"/>
    </row>
    <row r="48" customFormat="false" ht="11.1" hidden="false" customHeight="true" outlineLevel="0" collapsed="false">
      <c r="A48" s="54" t="s">
        <v>53</v>
      </c>
      <c r="B48" s="54"/>
      <c r="C48" s="55"/>
      <c r="D48" s="55"/>
      <c r="E48" s="55"/>
      <c r="F48" s="55" t="n">
        <f aca="false">F8+F42</f>
        <v>28621.124275271</v>
      </c>
      <c r="G48" s="55" t="n">
        <f aca="false">G8+G42</f>
        <v>106229</v>
      </c>
      <c r="H48" s="58" t="n">
        <f aca="false">H8+H42</f>
        <v>3768.96</v>
      </c>
      <c r="I48" s="55" t="n">
        <f aca="false">I8+I42</f>
        <v>109997.96</v>
      </c>
      <c r="J48" s="55" t="n">
        <f aca="false">J8+J42</f>
        <v>9869.78343836652</v>
      </c>
      <c r="K48" s="55" t="n">
        <f aca="false">K8+K42</f>
        <v>119867.743438367</v>
      </c>
      <c r="L48" s="55" t="n">
        <f aca="false">L8+L42</f>
        <v>6341.79427527099</v>
      </c>
      <c r="M48" s="55" t="n">
        <f aca="false">M8+M42</f>
        <v>32053.6</v>
      </c>
      <c r="N48" s="55" t="n">
        <f aca="false">N8+N42</f>
        <v>168.18</v>
      </c>
      <c r="O48" s="55" t="n">
        <f aca="false">O8+O42</f>
        <v>8709.8355</v>
      </c>
      <c r="P48" s="55" t="n">
        <f aca="false">P8+P42</f>
        <v>23175.5845</v>
      </c>
      <c r="Q48" s="55" t="n">
        <f aca="false">Q8+Q42</f>
        <v>15618</v>
      </c>
      <c r="R48" s="55" t="n">
        <f aca="false">R8+R42</f>
        <v>7574</v>
      </c>
      <c r="S48" s="55" t="n">
        <f aca="false">S8+S42</f>
        <v>46367.5845</v>
      </c>
      <c r="T48" s="55" t="n">
        <f aca="false">T45</f>
        <v>191.104000000003</v>
      </c>
      <c r="U48" s="55" t="n">
        <f aca="false">U8+U42</f>
        <v>19528.03</v>
      </c>
      <c r="V48" s="55" t="n">
        <f aca="false">V8+V42</f>
        <v>12945</v>
      </c>
      <c r="W48" s="55" t="n">
        <f aca="false">W40</f>
        <v>10098</v>
      </c>
      <c r="X48" s="55" t="n">
        <f aca="false">X8+X42</f>
        <v>87718.63</v>
      </c>
      <c r="Y48" s="55" t="n">
        <f aca="false">Y8+Y42</f>
        <v>3527.98916309554</v>
      </c>
      <c r="Z48" s="55" t="n">
        <f aca="false">Z8+Z42</f>
        <v>91246.6191630955</v>
      </c>
      <c r="AA48" s="56" t="n">
        <f aca="false">AA8+AA42</f>
        <v>7.18</v>
      </c>
      <c r="AB48" s="59"/>
      <c r="AC48" s="59"/>
      <c r="AD48" s="60"/>
      <c r="AE48" s="95"/>
      <c r="AF48" s="95"/>
      <c r="AG48" s="96"/>
    </row>
    <row r="49" customFormat="false" ht="11.1" hidden="false" customHeight="true" outlineLevel="0" collapsed="false">
      <c r="A49" s="54" t="s">
        <v>54</v>
      </c>
      <c r="B49" s="54"/>
      <c r="C49" s="55"/>
      <c r="D49" s="55" t="n">
        <f aca="false">D8+D43</f>
        <v>56770</v>
      </c>
      <c r="E49" s="55" t="n">
        <f aca="false">E40</f>
        <v>122235</v>
      </c>
      <c r="F49" s="55" t="n">
        <f aca="false">F48*$D$2</f>
        <v>56770</v>
      </c>
      <c r="G49" s="55" t="n">
        <f aca="false">G48*$D$2</f>
        <v>210705.2215</v>
      </c>
      <c r="H49" s="58" t="n">
        <f aca="false">H48*$D$2</f>
        <v>7475.73216</v>
      </c>
      <c r="I49" s="55" t="n">
        <f aca="false">I48*$D$2</f>
        <v>218180.95366</v>
      </c>
      <c r="J49" s="55" t="n">
        <f aca="false">J48*$D$2</f>
        <v>19576.71545</v>
      </c>
      <c r="K49" s="55" t="n">
        <f aca="false">K48*$D$2</f>
        <v>237757.66911</v>
      </c>
      <c r="L49" s="55" t="n">
        <f aca="false">L48*$D$2</f>
        <v>12578.948945</v>
      </c>
      <c r="M49" s="55" t="n">
        <f aca="false">M48*$D$2</f>
        <v>63578.3156</v>
      </c>
      <c r="N49" s="55" t="n">
        <f aca="false">N48*$D$2</f>
        <v>333.58503</v>
      </c>
      <c r="O49" s="55" t="n">
        <f aca="false">O48*$D$2</f>
        <v>17275.95871425</v>
      </c>
      <c r="P49" s="55" t="n">
        <f aca="false">P48*$D$2</f>
        <v>45968.77185575</v>
      </c>
      <c r="Q49" s="55" t="n">
        <f aca="false">Q48*$D$2</f>
        <v>30978.303</v>
      </c>
      <c r="R49" s="55" t="n">
        <f aca="false">R48*$D$2</f>
        <v>15023.029</v>
      </c>
      <c r="S49" s="55" t="n">
        <f aca="false">S48*$D$2</f>
        <v>91970.10385575</v>
      </c>
      <c r="T49" s="55" t="n">
        <f aca="false">T48*$D$2</f>
        <v>379.054784000005</v>
      </c>
      <c r="U49" s="55" t="n">
        <f aca="false">U48*$D$2</f>
        <v>38733.847505</v>
      </c>
      <c r="V49" s="55" t="n">
        <f aca="false">V48*$D$2</f>
        <v>25676.4075</v>
      </c>
      <c r="W49" s="55" t="n">
        <f aca="false">W40*$D$2</f>
        <v>20029.383</v>
      </c>
      <c r="X49" s="55" t="n">
        <f aca="false">X48*$D$2</f>
        <v>173989.902605</v>
      </c>
      <c r="Y49" s="55" t="n">
        <f aca="false">Y48*$D$2</f>
        <v>6997.766505</v>
      </c>
      <c r="Z49" s="55" t="n">
        <f aca="false">Z48*$D$2</f>
        <v>180987.66911</v>
      </c>
      <c r="AA49" s="56"/>
      <c r="AB49" s="59"/>
      <c r="AC49" s="59"/>
      <c r="AD49" s="60"/>
      <c r="AE49" s="95"/>
      <c r="AF49" s="95"/>
      <c r="AG49" s="96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6"/>
      <c r="AB50" s="59"/>
      <c r="AC50" s="59"/>
      <c r="AD50" s="60"/>
      <c r="AE50" s="95"/>
      <c r="AF50" s="95"/>
      <c r="AG50" s="96"/>
    </row>
    <row r="51" customFormat="false" ht="11.1" hidden="false" customHeight="true" outlineLevel="0" collapsed="false">
      <c r="A51" s="54"/>
      <c r="B51" s="86"/>
      <c r="C51" s="55"/>
      <c r="D51" s="54"/>
      <c r="E51" s="55"/>
      <c r="F51" s="54"/>
      <c r="G51" s="54"/>
      <c r="H51" s="4"/>
      <c r="I51" s="87"/>
      <c r="J51" s="54"/>
      <c r="K51" s="55"/>
      <c r="L51" s="54"/>
      <c r="M51" s="54"/>
      <c r="N51" s="54"/>
      <c r="O51" s="54"/>
      <c r="P51" s="54"/>
      <c r="Q51" s="54"/>
      <c r="R51" s="54"/>
      <c r="S51" s="54"/>
      <c r="T51" s="55"/>
      <c r="U51" s="54"/>
      <c r="V51" s="54"/>
      <c r="W51" s="55"/>
      <c r="X51" s="54"/>
      <c r="Y51" s="54"/>
      <c r="Z51" s="54"/>
      <c r="AA51" s="56"/>
      <c r="AB51" s="59"/>
      <c r="AC51" s="59"/>
      <c r="AD51" s="60"/>
      <c r="AE51" s="91"/>
      <c r="AF51" s="91"/>
    </row>
    <row r="52" customFormat="false" ht="11.1" hidden="false" customHeight="true" outlineLevel="0" collapsed="false">
      <c r="A52" s="54"/>
      <c r="B52" s="75"/>
      <c r="C52" s="55"/>
      <c r="D52" s="84"/>
      <c r="E52" s="55"/>
      <c r="F52" s="54"/>
      <c r="G52" s="54"/>
      <c r="H52" s="58"/>
      <c r="I52" s="87"/>
      <c r="J52" s="54"/>
      <c r="K52" s="45"/>
      <c r="L52" s="54"/>
      <c r="M52" s="54"/>
      <c r="N52" s="54"/>
      <c r="O52" s="54"/>
      <c r="P52" s="54"/>
      <c r="Q52" s="54"/>
      <c r="R52" s="54"/>
      <c r="S52" s="55"/>
      <c r="T52" s="54"/>
      <c r="U52" s="54"/>
      <c r="V52" s="55"/>
      <c r="W52" s="54"/>
      <c r="X52" s="54"/>
      <c r="Y52" s="54"/>
      <c r="Z52" s="56"/>
      <c r="AA52" s="59"/>
      <c r="AB52" s="59"/>
      <c r="AC52" s="60"/>
      <c r="AD52" s="91"/>
      <c r="AE52" s="91"/>
    </row>
    <row r="53" customFormat="false" ht="11.1" hidden="false" customHeight="true" outlineLevel="0" collapsed="false">
      <c r="A53" s="84"/>
      <c r="B53" s="84"/>
      <c r="C53" s="55"/>
      <c r="D53" s="55"/>
      <c r="E53" s="55"/>
      <c r="F53" s="84"/>
      <c r="G53" s="84"/>
      <c r="H53" s="58"/>
      <c r="I53" s="84"/>
      <c r="J53" s="84"/>
      <c r="K53" s="45"/>
      <c r="L53" s="84"/>
      <c r="M53" s="83"/>
      <c r="N53" s="83"/>
      <c r="O53" s="83"/>
      <c r="P53" s="84"/>
      <c r="Q53" s="84"/>
      <c r="R53" s="84"/>
      <c r="S53" s="55"/>
      <c r="T53" s="84"/>
      <c r="U53" s="84"/>
      <c r="V53" s="55"/>
      <c r="W53" s="84"/>
      <c r="X53" s="84"/>
      <c r="Y53" s="84"/>
      <c r="Z53" s="56"/>
      <c r="AA53" s="59"/>
      <c r="AB53" s="59"/>
      <c r="AC53" s="60"/>
      <c r="AD53" s="101"/>
      <c r="AE53" s="101"/>
    </row>
    <row r="54" customFormat="false" ht="11.1" hidden="false" customHeight="true" outlineLevel="0" collapsed="false">
      <c r="A54" s="84"/>
      <c r="B54" s="56"/>
      <c r="C54" s="55"/>
      <c r="D54" s="55"/>
      <c r="E54" s="55"/>
      <c r="F54" s="84"/>
      <c r="G54" s="84"/>
      <c r="H54" s="58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5"/>
      <c r="T54" s="84"/>
      <c r="U54" s="84"/>
      <c r="V54" s="55"/>
      <c r="W54" s="84"/>
      <c r="X54" s="84"/>
      <c r="Y54" s="84"/>
      <c r="Z54" s="56"/>
      <c r="AA54" s="59"/>
      <c r="AB54" s="59"/>
      <c r="AC54" s="60"/>
      <c r="AD54" s="101"/>
      <c r="AE54" s="101"/>
    </row>
    <row r="55" customFormat="false" ht="11.1" hidden="false" customHeight="true" outlineLevel="0" collapsed="false">
      <c r="A55" s="84"/>
      <c r="B55" s="84"/>
      <c r="C55" s="55"/>
      <c r="D55" s="84"/>
      <c r="E55" s="55"/>
      <c r="F55" s="84"/>
      <c r="G55" s="88"/>
      <c r="H55" s="58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5"/>
      <c r="T55" s="84"/>
      <c r="U55" s="84"/>
      <c r="V55" s="55"/>
      <c r="W55" s="84"/>
      <c r="X55" s="84"/>
      <c r="Y55" s="84"/>
      <c r="Z55" s="56"/>
      <c r="AA55" s="59"/>
      <c r="AB55" s="59"/>
      <c r="AC55" s="60"/>
      <c r="AD55" s="101"/>
      <c r="AE55" s="101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M10" activePane="bottomRight" state="frozen"/>
      <selection pane="topLeft" activeCell="A1" activeCellId="0" sqref="A1"/>
      <selection pane="topRight" activeCell="M1" activeCellId="0" sqref="M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7" width="5.66"/>
    <col collapsed="false" customWidth="true" hidden="false" outlineLevel="0" max="2" min="2" style="47" width="7.82"/>
    <col collapsed="false" customWidth="true" hidden="false" outlineLevel="0" max="3" min="3" style="48" width="7.66"/>
    <col collapsed="false" customWidth="true" hidden="false" outlineLevel="0" max="4" min="4" style="47" width="6.99"/>
    <col collapsed="false" customWidth="true" hidden="false" outlineLevel="0" max="5" min="5" style="48" width="7.66"/>
    <col collapsed="false" customWidth="true" hidden="false" outlineLevel="0" max="6" min="6" style="47" width="7.66"/>
    <col collapsed="false" customWidth="true" hidden="false" outlineLevel="0" max="7" min="7" style="47" width="7.16"/>
    <col collapsed="false" customWidth="true" hidden="false" outlineLevel="0" max="8" min="8" style="49" width="6.66"/>
    <col collapsed="false" customWidth="true" hidden="false" outlineLevel="0" max="9" min="9" style="47" width="7.99"/>
    <col collapsed="false" customWidth="true" hidden="false" outlineLevel="0" max="10" min="10" style="47" width="6.66"/>
    <col collapsed="false" customWidth="true" hidden="false" outlineLevel="0" max="12" min="11" style="47" width="7.16"/>
    <col collapsed="false" customWidth="true" hidden="false" outlineLevel="0" max="13" min="13" style="50" width="6.16"/>
    <col collapsed="false" customWidth="true" hidden="false" outlineLevel="0" max="14" min="14" style="50" width="7.32"/>
    <col collapsed="false" customWidth="true" hidden="false" outlineLevel="0" max="15" min="15" style="50" width="6.49"/>
    <col collapsed="false" customWidth="true" hidden="false" outlineLevel="0" max="16" min="16" style="47" width="7.16"/>
    <col collapsed="false" customWidth="true" hidden="false" outlineLevel="0" max="17" min="17" style="47" width="6.32"/>
    <col collapsed="false" customWidth="true" hidden="false" outlineLevel="0" max="18" min="18" style="47" width="5.82"/>
    <col collapsed="false" customWidth="true" hidden="false" outlineLevel="0" max="19" min="19" style="48" width="6.82"/>
    <col collapsed="false" customWidth="true" hidden="false" outlineLevel="0" max="20" min="20" style="47" width="7.66"/>
    <col collapsed="false" customWidth="true" hidden="false" outlineLevel="0" max="21" min="21" style="47" width="5.99"/>
    <col collapsed="false" customWidth="true" hidden="false" outlineLevel="0" max="22" min="22" style="48" width="6.66"/>
    <col collapsed="false" customWidth="true" hidden="false" outlineLevel="0" max="23" min="23" style="47" width="6.82"/>
    <col collapsed="false" customWidth="true" hidden="false" outlineLevel="0" max="25" min="24" style="47" width="7.82"/>
    <col collapsed="false" customWidth="true" hidden="false" outlineLevel="0" max="26" min="26" style="49" width="8.16"/>
    <col collapsed="false" customWidth="true" hidden="false" outlineLevel="0" max="27" min="27" style="51" width="4.66"/>
    <col collapsed="false" customWidth="true" hidden="false" outlineLevel="0" max="28" min="28" style="52" width="4.66"/>
    <col collapsed="false" customWidth="true" hidden="false" outlineLevel="0" max="29" min="29" style="53" width="4.66"/>
    <col collapsed="false" customWidth="true" hidden="false" outlineLevel="0" max="30" min="30" style="47" width="5.66"/>
    <col collapsed="false" customWidth="false" hidden="false" outlineLevel="0" max="257" min="31" style="47" width="9.32"/>
  </cols>
  <sheetData>
    <row r="1" customFormat="false" ht="14.1" hidden="false" customHeight="true" outlineLevel="0" collapsed="false">
      <c r="A1" s="54"/>
      <c r="B1" s="54"/>
      <c r="C1" s="55"/>
      <c r="D1" s="54"/>
      <c r="E1" s="55"/>
      <c r="F1" s="54"/>
      <c r="G1" s="54"/>
      <c r="H1" s="56"/>
      <c r="I1" s="54"/>
      <c r="J1" s="54"/>
      <c r="K1" s="57" t="s">
        <v>0</v>
      </c>
      <c r="L1" s="54"/>
      <c r="M1" s="54"/>
      <c r="N1" s="54"/>
      <c r="O1" s="54"/>
      <c r="P1" s="54"/>
      <c r="Q1" s="54"/>
      <c r="R1" s="54"/>
      <c r="S1" s="55"/>
      <c r="T1" s="54"/>
      <c r="U1" s="54"/>
      <c r="V1" s="55"/>
      <c r="W1" s="54"/>
      <c r="X1" s="54"/>
      <c r="Y1" s="54"/>
      <c r="Z1" s="56"/>
      <c r="AA1" s="58"/>
      <c r="AB1" s="59"/>
      <c r="AC1" s="60"/>
      <c r="AD1" s="91"/>
      <c r="AE1" s="91"/>
    </row>
    <row r="2" customFormat="false" ht="14.1" hidden="false" customHeight="true" outlineLevel="0" collapsed="false">
      <c r="A2" s="54" t="s">
        <v>1</v>
      </c>
      <c r="B2" s="54"/>
      <c r="C2" s="55"/>
      <c r="D2" s="61" t="n">
        <v>1.9835</v>
      </c>
      <c r="E2" s="55"/>
      <c r="F2" s="54"/>
      <c r="G2" s="54"/>
      <c r="H2" s="56"/>
      <c r="I2" s="54"/>
      <c r="J2" s="54"/>
      <c r="K2" s="62" t="s">
        <v>77</v>
      </c>
      <c r="L2" s="62"/>
      <c r="M2" s="62"/>
      <c r="N2" s="62"/>
      <c r="O2" s="62"/>
      <c r="P2" s="62"/>
      <c r="Q2" s="62"/>
      <c r="R2" s="62"/>
      <c r="S2" s="62"/>
      <c r="T2" s="62"/>
      <c r="U2" s="54"/>
      <c r="V2" s="55"/>
      <c r="W2" s="54"/>
      <c r="X2" s="54"/>
      <c r="Y2" s="54"/>
      <c r="Z2" s="56"/>
      <c r="AA2" s="58"/>
      <c r="AB2" s="59"/>
      <c r="AC2" s="60"/>
      <c r="AD2" s="91"/>
      <c r="AE2" s="91"/>
    </row>
    <row r="3" customFormat="false" ht="11.1" hidden="false" customHeight="true" outlineLevel="0" collapsed="false">
      <c r="A3" s="54"/>
      <c r="B3" s="54"/>
      <c r="C3" s="55"/>
      <c r="D3" s="63"/>
      <c r="E3" s="55"/>
      <c r="F3" s="54"/>
      <c r="G3" s="54"/>
      <c r="H3" s="56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54"/>
      <c r="U3" s="54"/>
      <c r="V3" s="55"/>
      <c r="W3" s="54"/>
      <c r="X3" s="54"/>
      <c r="Y3" s="54"/>
      <c r="Z3" s="56"/>
      <c r="AA3" s="58"/>
      <c r="AB3" s="59"/>
      <c r="AC3" s="60"/>
      <c r="AD3" s="91"/>
      <c r="AE3" s="91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1"/>
      <c r="AF4" s="91"/>
    </row>
    <row r="5" customFormat="false" ht="11.1" hidden="false" customHeight="true" outlineLevel="0" collapsed="false">
      <c r="A5" s="69" t="s">
        <v>78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78</v>
      </c>
      <c r="AE5" s="91"/>
      <c r="AF5" s="91"/>
      <c r="AH5" s="139"/>
      <c r="AI5" s="139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5"/>
      <c r="AF6" s="95"/>
      <c r="AG6" s="96"/>
      <c r="AH6" s="139"/>
      <c r="AI6" s="139"/>
    </row>
    <row r="7" customFormat="false" ht="11.1" hidden="false" customHeight="true" outlineLevel="0" collapsed="false">
      <c r="A7" s="54" t="s">
        <v>44</v>
      </c>
      <c r="B7" s="54"/>
      <c r="C7" s="55"/>
      <c r="D7" s="55"/>
      <c r="E7" s="55"/>
      <c r="F7" s="55" t="n">
        <f aca="false">JUL!F45</f>
        <v>23737.3329972271</v>
      </c>
      <c r="G7" s="55" t="n">
        <f aca="false">JUL!G45</f>
        <v>97272</v>
      </c>
      <c r="H7" s="56" t="n">
        <f aca="false">JUL!H45</f>
        <v>3390.06</v>
      </c>
      <c r="I7" s="55" t="n">
        <f aca="false">JUL!I45</f>
        <v>100662.06</v>
      </c>
      <c r="J7" s="55" t="n">
        <f aca="false">JUL!J45</f>
        <v>6901.85517519536</v>
      </c>
      <c r="K7" s="55" t="n">
        <f aca="false">JUL!K45</f>
        <v>107563.915175195</v>
      </c>
      <c r="L7" s="55" t="n">
        <f aca="false">JUL!L45</f>
        <v>3626.30299722712</v>
      </c>
      <c r="M7" s="55" t="n">
        <f aca="false">JUL!M45</f>
        <v>31115</v>
      </c>
      <c r="N7" s="55" t="n">
        <f aca="false">JUL!N45</f>
        <v>141.5</v>
      </c>
      <c r="O7" s="55" t="n">
        <f aca="false">JUL!O45</f>
        <v>8629.952</v>
      </c>
      <c r="P7" s="55" t="n">
        <f aca="false">JUL!P45</f>
        <v>22343.548</v>
      </c>
      <c r="Q7" s="55" t="n">
        <f aca="false">JUL!Q45</f>
        <v>15618</v>
      </c>
      <c r="R7" s="55" t="n">
        <f aca="false">JUL!R45</f>
        <v>7574</v>
      </c>
      <c r="S7" s="55" t="n">
        <f aca="false">JUL!S45</f>
        <v>45535.548</v>
      </c>
      <c r="T7" s="55" t="n">
        <f aca="false">JUL!T45</f>
        <v>191.104000000003</v>
      </c>
      <c r="U7" s="55" t="n">
        <f aca="false">JUL!U45</f>
        <v>19528.03</v>
      </c>
      <c r="V7" s="55" t="n">
        <f aca="false">JUL!V45</f>
        <v>6716</v>
      </c>
      <c r="W7" s="55"/>
      <c r="X7" s="55" t="n">
        <f aca="false">JUL!X45</f>
        <v>80551.03</v>
      </c>
      <c r="Y7" s="55" t="n">
        <f aca="false">JUL!Y45</f>
        <v>3275.55217796824</v>
      </c>
      <c r="Z7" s="55" t="n">
        <f aca="false">JUL!Z45</f>
        <v>83826.5821779683</v>
      </c>
      <c r="AA7" s="58"/>
      <c r="AB7" s="59"/>
      <c r="AC7" s="59"/>
      <c r="AD7" s="60"/>
      <c r="AE7" s="95"/>
      <c r="AF7" s="96"/>
      <c r="AG7" s="96"/>
    </row>
    <row r="8" s="48" customFormat="true" ht="11.1" hidden="false" customHeight="true" outlineLevel="0" collapsed="false">
      <c r="A8" s="55" t="s">
        <v>45</v>
      </c>
      <c r="B8" s="75" t="n">
        <f aca="false">JUL!B40</f>
        <v>6897.44</v>
      </c>
      <c r="C8" s="55" t="n">
        <f aca="false">JUL!C40</f>
        <v>274235</v>
      </c>
      <c r="D8" s="55" t="n">
        <f aca="false">JUL!D49</f>
        <v>56770</v>
      </c>
      <c r="E8" s="55" t="n">
        <f aca="false">JUL!E49</f>
        <v>122235</v>
      </c>
      <c r="F8" s="55" t="n">
        <f aca="false">JUL!F48</f>
        <v>28621.124275271</v>
      </c>
      <c r="G8" s="55" t="n">
        <f aca="false">JUL!G48</f>
        <v>106229</v>
      </c>
      <c r="H8" s="56" t="n">
        <f aca="false">JUL!H48</f>
        <v>3768.96</v>
      </c>
      <c r="I8" s="55" t="n">
        <f aca="false">JUL!I48</f>
        <v>109997.96</v>
      </c>
      <c r="J8" s="55" t="n">
        <f aca="false">JUL!J48</f>
        <v>9869.78343836652</v>
      </c>
      <c r="K8" s="55" t="n">
        <f aca="false">JUL!K48</f>
        <v>119867.743438367</v>
      </c>
      <c r="L8" s="55" t="n">
        <f aca="false">JUL!L48</f>
        <v>6341.79427527099</v>
      </c>
      <c r="M8" s="55" t="n">
        <f aca="false">JUL!M48</f>
        <v>32053.6</v>
      </c>
      <c r="N8" s="55" t="n">
        <f aca="false">JUL!N48</f>
        <v>168.18</v>
      </c>
      <c r="O8" s="55" t="n">
        <f aca="false">JUL!O48</f>
        <v>8709.8355</v>
      </c>
      <c r="P8" s="55" t="n">
        <f aca="false">JUL!P48</f>
        <v>23175.5845</v>
      </c>
      <c r="Q8" s="55" t="n">
        <f aca="false">JUL!Q48</f>
        <v>15618</v>
      </c>
      <c r="R8" s="55" t="n">
        <f aca="false">JUL!R48</f>
        <v>7574</v>
      </c>
      <c r="S8" s="55" t="n">
        <f aca="false">JUL!S48</f>
        <v>46367.5845</v>
      </c>
      <c r="T8" s="55" t="n">
        <f aca="false">JUL!T48</f>
        <v>191.104000000003</v>
      </c>
      <c r="U8" s="55" t="n">
        <f aca="false">JUL!U48</f>
        <v>19528.03</v>
      </c>
      <c r="V8" s="55" t="n">
        <f aca="false">JUL!V48</f>
        <v>12945</v>
      </c>
      <c r="W8" s="55" t="n">
        <f aca="false">JUL!W48</f>
        <v>10098</v>
      </c>
      <c r="X8" s="55" t="n">
        <f aca="false">JUL!X48</f>
        <v>87718.63</v>
      </c>
      <c r="Y8" s="55" t="n">
        <f aca="false">JUL!Y48</f>
        <v>3527.98916309554</v>
      </c>
      <c r="Z8" s="55" t="n">
        <f aca="false">JUL!Z48</f>
        <v>91246.6191630955</v>
      </c>
      <c r="AA8" s="58" t="n">
        <f aca="false">JUL!AA48</f>
        <v>7.18</v>
      </c>
      <c r="AB8" s="59"/>
      <c r="AC8" s="59"/>
      <c r="AD8" s="60"/>
      <c r="AE8" s="97"/>
      <c r="AF8" s="95"/>
      <c r="AG8" s="97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5"/>
      <c r="AF9" s="95"/>
      <c r="AG9" s="96"/>
    </row>
    <row r="10" customFormat="false" ht="11.1" hidden="false" customHeight="true" outlineLevel="0" collapsed="false">
      <c r="A10" s="60" t="n">
        <v>1</v>
      </c>
      <c r="B10" s="75" t="n">
        <v>6897.11</v>
      </c>
      <c r="C10" s="55" t="n">
        <v>273041</v>
      </c>
      <c r="D10" s="59" t="n">
        <f aca="false">C10-C8</f>
        <v>-1194</v>
      </c>
      <c r="E10" s="55" t="n">
        <f aca="false">C10-152000</f>
        <v>121041</v>
      </c>
      <c r="F10" s="54" t="n">
        <f aca="false">D10/$D$2</f>
        <v>-601.966221325939</v>
      </c>
      <c r="G10" s="54" t="n">
        <v>201</v>
      </c>
      <c r="H10" s="56" t="n">
        <v>0.13</v>
      </c>
      <c r="I10" s="54" t="n">
        <f aca="false">G10+H10</f>
        <v>201.13</v>
      </c>
      <c r="J10" s="83" t="n">
        <f aca="false">IF(L10&gt;0,L10,0)</f>
        <v>55.693778674061</v>
      </c>
      <c r="K10" s="54" t="n">
        <f aca="false">I10+J10</f>
        <v>256.823778674061</v>
      </c>
      <c r="L10" s="54" t="n">
        <f aca="false">F10-(I10-X10)</f>
        <v>55.693778674061</v>
      </c>
      <c r="M10" s="54" t="n">
        <v>315</v>
      </c>
      <c r="N10" s="54" t="n">
        <v>0.5</v>
      </c>
      <c r="O10" s="54" t="n">
        <f aca="false">100.27*1.05</f>
        <v>105.2835</v>
      </c>
      <c r="P10" s="7" t="n">
        <f aca="false">M10-(N10+O10)</f>
        <v>209.2165</v>
      </c>
      <c r="Q10" s="54" t="n">
        <v>167</v>
      </c>
      <c r="R10" s="54" t="n">
        <v>86</v>
      </c>
      <c r="S10" s="54" t="n">
        <f aca="false">SUM(P10:R10)</f>
        <v>462.2165</v>
      </c>
      <c r="T10" s="55" t="n">
        <f aca="false">(I10-S10)+T7</f>
        <v>-69.9824999999974</v>
      </c>
      <c r="U10" s="54" t="n">
        <v>218.79</v>
      </c>
      <c r="V10" s="54" t="n">
        <v>72</v>
      </c>
      <c r="W10" s="55" t="n">
        <f aca="false">W8-V10</f>
        <v>10026</v>
      </c>
      <c r="X10" s="7" t="n">
        <f aca="false">N10+O10+S10+U10+V10</f>
        <v>858.79</v>
      </c>
      <c r="Y10" s="54" t="n">
        <f aca="false">IF(L10&lt;0,L10*-1,0)</f>
        <v>0</v>
      </c>
      <c r="Z10" s="54" t="n">
        <f aca="false">X10+Y10</f>
        <v>858.79</v>
      </c>
      <c r="AA10" s="58" t="n">
        <v>0.96</v>
      </c>
      <c r="AB10" s="59" t="n">
        <v>83</v>
      </c>
      <c r="AC10" s="59" t="n">
        <v>56</v>
      </c>
      <c r="AD10" s="60" t="n">
        <v>1</v>
      </c>
      <c r="AE10" s="96"/>
      <c r="AF10" s="97"/>
      <c r="AG10" s="97"/>
    </row>
    <row r="11" customFormat="false" ht="11.1" hidden="false" customHeight="true" outlineLevel="0" collapsed="false">
      <c r="A11" s="60" t="n">
        <f aca="false">A10+1</f>
        <v>2</v>
      </c>
      <c r="B11" s="75" t="n">
        <v>6896.81</v>
      </c>
      <c r="C11" s="55" t="n">
        <v>271961</v>
      </c>
      <c r="D11" s="59" t="n">
        <f aca="false">C11-C10</f>
        <v>-1080</v>
      </c>
      <c r="E11" s="55" t="n">
        <f aca="false">C11-152000</f>
        <v>119961</v>
      </c>
      <c r="F11" s="54" t="n">
        <f aca="false">D11/$D$2</f>
        <v>-544.492059490799</v>
      </c>
      <c r="G11" s="54" t="n">
        <v>236</v>
      </c>
      <c r="H11" s="56" t="n">
        <v>0.11</v>
      </c>
      <c r="I11" s="54" t="n">
        <f aca="false">G11+H11</f>
        <v>236.11</v>
      </c>
      <c r="J11" s="83" t="n">
        <f aca="false">IF(L11&gt;0,L11,0)</f>
        <v>88.1279405092009</v>
      </c>
      <c r="K11" s="54" t="n">
        <f aca="false">I11+J11</f>
        <v>324.237940509201</v>
      </c>
      <c r="L11" s="54" t="n">
        <f aca="false">F11-(I11-X11)</f>
        <v>88.1279405092009</v>
      </c>
      <c r="M11" s="54" t="n">
        <v>309</v>
      </c>
      <c r="N11" s="54" t="n">
        <v>0.5</v>
      </c>
      <c r="O11" s="54" t="n">
        <f aca="false">98.54*1.05</f>
        <v>103.467</v>
      </c>
      <c r="P11" s="7" t="n">
        <f aca="false">M11-(N11+O11)</f>
        <v>205.033</v>
      </c>
      <c r="Q11" s="54" t="n">
        <v>166</v>
      </c>
      <c r="R11" s="54" t="n">
        <v>86</v>
      </c>
      <c r="S11" s="54" t="n">
        <f aca="false">SUM(P11:R11)</f>
        <v>457.033</v>
      </c>
      <c r="T11" s="55" t="n">
        <f aca="false">(I11-S11)+T10</f>
        <v>-290.905499999997</v>
      </c>
      <c r="U11" s="54" t="n">
        <v>235.73</v>
      </c>
      <c r="V11" s="54" t="n">
        <v>72</v>
      </c>
      <c r="W11" s="55" t="n">
        <f aca="false">W10-V11</f>
        <v>9954</v>
      </c>
      <c r="X11" s="7" t="n">
        <f aca="false">N11+O11+S11+U11+V11</f>
        <v>868.73</v>
      </c>
      <c r="Y11" s="54" t="n">
        <f aca="false">IF(L11&lt;0,L11*-1,0)</f>
        <v>0</v>
      </c>
      <c r="Z11" s="54" t="n">
        <f aca="false">X11+Y11</f>
        <v>868.73</v>
      </c>
      <c r="AA11" s="58" t="n">
        <v>0</v>
      </c>
      <c r="AB11" s="59" t="n">
        <v>84</v>
      </c>
      <c r="AC11" s="59" t="n">
        <v>56</v>
      </c>
      <c r="AD11" s="60" t="n">
        <f aca="false">AD10+1</f>
        <v>2</v>
      </c>
      <c r="AE11" s="96"/>
      <c r="AF11" s="97"/>
      <c r="AG11" s="97"/>
    </row>
    <row r="12" customFormat="false" ht="11.1" hidden="false" customHeight="true" outlineLevel="0" collapsed="false">
      <c r="A12" s="60" t="n">
        <f aca="false">A11+1</f>
        <v>3</v>
      </c>
      <c r="B12" s="75" t="n">
        <v>6896.47</v>
      </c>
      <c r="C12" s="55" t="n">
        <v>270741</v>
      </c>
      <c r="D12" s="59" t="n">
        <f aca="false">C12-C11</f>
        <v>-1220</v>
      </c>
      <c r="E12" s="55" t="n">
        <f aca="false">C12-152000</f>
        <v>118741</v>
      </c>
      <c r="F12" s="54" t="n">
        <f aca="false">D12/$D$2</f>
        <v>-615.074363498866</v>
      </c>
      <c r="G12" s="54" t="n">
        <v>217</v>
      </c>
      <c r="H12" s="56" t="n">
        <v>0.18</v>
      </c>
      <c r="I12" s="54" t="n">
        <f aca="false">G12+H12</f>
        <v>217.18</v>
      </c>
      <c r="J12" s="83" t="n">
        <f aca="false">IF(L12&gt;0,L12,0)</f>
        <v>40.9956365011343</v>
      </c>
      <c r="K12" s="54" t="n">
        <f aca="false">I12+J12</f>
        <v>258.175636501134</v>
      </c>
      <c r="L12" s="54" t="n">
        <f aca="false">F12-(I12-X12)</f>
        <v>40.9956365011343</v>
      </c>
      <c r="M12" s="54" t="n">
        <v>317</v>
      </c>
      <c r="N12" s="54" t="n">
        <v>0.5</v>
      </c>
      <c r="O12" s="54" t="n">
        <f aca="false">107.49*1.05</f>
        <v>112.8645</v>
      </c>
      <c r="P12" s="7" t="n">
        <f aca="false">M12-(N12+O12)</f>
        <v>203.6355</v>
      </c>
      <c r="Q12" s="54" t="n">
        <v>165</v>
      </c>
      <c r="R12" s="54" t="n">
        <v>85</v>
      </c>
      <c r="S12" s="54" t="n">
        <f aca="false">SUM(P12:R12)</f>
        <v>453.6355</v>
      </c>
      <c r="T12" s="55" t="n">
        <f aca="false">(I12-S12)+T11</f>
        <v>-527.360999999997</v>
      </c>
      <c r="U12" s="54" t="n">
        <v>235.25</v>
      </c>
      <c r="V12" s="54" t="n">
        <v>71</v>
      </c>
      <c r="W12" s="55" t="n">
        <f aca="false">W11-V12</f>
        <v>9883</v>
      </c>
      <c r="X12" s="7" t="n">
        <f aca="false">N12+O12+S12+U12+V12</f>
        <v>873.25</v>
      </c>
      <c r="Y12" s="54" t="n">
        <f aca="false">IF(L12&lt;0,L12*-1,0)</f>
        <v>0</v>
      </c>
      <c r="Z12" s="54" t="n">
        <f aca="false">X12+Y12</f>
        <v>873.25</v>
      </c>
      <c r="AA12" s="58" t="n">
        <v>0.19</v>
      </c>
      <c r="AB12" s="59" t="n">
        <v>82</v>
      </c>
      <c r="AC12" s="59" t="n">
        <v>58</v>
      </c>
      <c r="AD12" s="60" t="n">
        <f aca="false">AD11+1</f>
        <v>3</v>
      </c>
      <c r="AE12" s="96"/>
      <c r="AF12" s="97"/>
      <c r="AG12" s="97"/>
    </row>
    <row r="13" customFormat="false" ht="11.1" hidden="false" customHeight="true" outlineLevel="0" collapsed="false">
      <c r="A13" s="60" t="n">
        <f aca="false">A12+1</f>
        <v>4</v>
      </c>
      <c r="B13" s="75" t="n">
        <v>6896.18</v>
      </c>
      <c r="C13" s="55" t="n">
        <v>269701</v>
      </c>
      <c r="D13" s="59" t="n">
        <f aca="false">C13-C12</f>
        <v>-1040</v>
      </c>
      <c r="E13" s="55" t="n">
        <f aca="false">C13-152000</f>
        <v>117701</v>
      </c>
      <c r="F13" s="54" t="n">
        <f aca="false">D13/$D$2</f>
        <v>-524.325686917066</v>
      </c>
      <c r="G13" s="54" t="n">
        <v>241</v>
      </c>
      <c r="H13" s="56" t="n">
        <v>0.15</v>
      </c>
      <c r="I13" s="54" t="n">
        <f aca="false">G13+H13</f>
        <v>241.15</v>
      </c>
      <c r="J13" s="83" t="n">
        <f aca="false">IF(L13&gt;0,L13,0)</f>
        <v>45.7143130829343</v>
      </c>
      <c r="K13" s="54" t="n">
        <f aca="false">I13+J13</f>
        <v>286.864313082934</v>
      </c>
      <c r="L13" s="54" t="n">
        <f aca="false">F13-(I13-X13)</f>
        <v>45.7143130829343</v>
      </c>
      <c r="M13" s="54" t="n">
        <v>285</v>
      </c>
      <c r="N13" s="54" t="n">
        <v>0.5</v>
      </c>
      <c r="O13" s="54" t="n">
        <f aca="false">87.3*1.05</f>
        <v>91.665</v>
      </c>
      <c r="P13" s="7" t="n">
        <f aca="false">M13-(N13+O13)</f>
        <v>192.835</v>
      </c>
      <c r="Q13" s="54" t="n">
        <v>165</v>
      </c>
      <c r="R13" s="54" t="n">
        <v>82</v>
      </c>
      <c r="S13" s="54" t="n">
        <f aca="false">SUM(P13:R13)</f>
        <v>439.835</v>
      </c>
      <c r="T13" s="55" t="n">
        <f aca="false">(I13-S13)+T12</f>
        <v>-726.045999999997</v>
      </c>
      <c r="U13" s="54" t="n">
        <v>208.19</v>
      </c>
      <c r="V13" s="54" t="n">
        <v>71</v>
      </c>
      <c r="W13" s="55" t="n">
        <f aca="false">W12-V13</f>
        <v>9812</v>
      </c>
      <c r="X13" s="7" t="n">
        <f aca="false">N13+O13+S13+U13+V13</f>
        <v>811.19</v>
      </c>
      <c r="Y13" s="54" t="n">
        <f aca="false">IF(L13&lt;0,L13*-1,0)</f>
        <v>0</v>
      </c>
      <c r="Z13" s="54" t="n">
        <f aca="false">X13+Y13</f>
        <v>811.19</v>
      </c>
      <c r="AA13" s="58" t="n">
        <v>0.03</v>
      </c>
      <c r="AB13" s="59" t="n">
        <v>83</v>
      </c>
      <c r="AC13" s="59" t="n">
        <v>56</v>
      </c>
      <c r="AD13" s="60" t="n">
        <f aca="false">AD12+1</f>
        <v>4</v>
      </c>
      <c r="AE13" s="96"/>
      <c r="AF13" s="97"/>
      <c r="AG13" s="97"/>
    </row>
    <row r="14" customFormat="false" ht="11.1" hidden="false" customHeight="true" outlineLevel="0" collapsed="false">
      <c r="A14" s="60" t="n">
        <f aca="false">A13+1</f>
        <v>5</v>
      </c>
      <c r="B14" s="75" t="n">
        <v>6895.88</v>
      </c>
      <c r="C14" s="55" t="n">
        <v>268628</v>
      </c>
      <c r="D14" s="59" t="n">
        <f aca="false">C14-C13</f>
        <v>-1073</v>
      </c>
      <c r="E14" s="55" t="n">
        <f aca="false">C14-152000</f>
        <v>116628</v>
      </c>
      <c r="F14" s="54" t="n">
        <f aca="false">D14/$D$2</f>
        <v>-540.962944290396</v>
      </c>
      <c r="G14" s="54" t="n">
        <v>230</v>
      </c>
      <c r="H14" s="56" t="n">
        <v>0.1</v>
      </c>
      <c r="I14" s="54" t="n">
        <f aca="false">G14+H14</f>
        <v>230.1</v>
      </c>
      <c r="J14" s="83" t="n">
        <f aca="false">IF(L14&gt;0,L14,0)</f>
        <v>16.3170557096042</v>
      </c>
      <c r="K14" s="54" t="n">
        <f aca="false">I14+J14</f>
        <v>246.417055709604</v>
      </c>
      <c r="L14" s="54" t="n">
        <f aca="false">F14-(I14-X14)</f>
        <v>16.3170557096042</v>
      </c>
      <c r="M14" s="54" t="n">
        <v>292</v>
      </c>
      <c r="N14" s="54" t="n">
        <v>0.5</v>
      </c>
      <c r="O14" s="54" t="n">
        <f aca="false">85.32*1.05</f>
        <v>89.586</v>
      </c>
      <c r="P14" s="7" t="n">
        <f aca="false">M14-(N14+O14)</f>
        <v>201.914</v>
      </c>
      <c r="Q14" s="54" t="n">
        <v>164</v>
      </c>
      <c r="R14" s="54" t="n">
        <v>83</v>
      </c>
      <c r="S14" s="54" t="n">
        <f aca="false">SUM(P14:R14)</f>
        <v>448.914</v>
      </c>
      <c r="T14" s="55" t="n">
        <f aca="false">(I14-S14)+T13</f>
        <v>-944.859999999997</v>
      </c>
      <c r="U14" s="54" t="n">
        <v>177.38</v>
      </c>
      <c r="V14" s="54" t="n">
        <v>71</v>
      </c>
      <c r="W14" s="55" t="n">
        <f aca="false">W13-V14</f>
        <v>9741</v>
      </c>
      <c r="X14" s="7" t="n">
        <f aca="false">N14+O14+S14+U14+V14</f>
        <v>787.38</v>
      </c>
      <c r="Y14" s="54" t="n">
        <f aca="false">IF(L14&lt;0,L14*-1,0)</f>
        <v>0</v>
      </c>
      <c r="Z14" s="54" t="n">
        <f aca="false">X14+Y14</f>
        <v>787.38</v>
      </c>
      <c r="AA14" s="58" t="n">
        <v>0</v>
      </c>
      <c r="AB14" s="59" t="n">
        <v>87</v>
      </c>
      <c r="AC14" s="59" t="n">
        <v>55</v>
      </c>
      <c r="AD14" s="60" t="n">
        <f aca="false">AD13+1</f>
        <v>5</v>
      </c>
      <c r="AE14" s="96"/>
      <c r="AF14" s="97"/>
      <c r="AG14" s="97"/>
    </row>
    <row r="15" customFormat="false" ht="11.1" hidden="false" customHeight="true" outlineLevel="0" collapsed="false">
      <c r="A15" s="60" t="n">
        <f aca="false">A14+1</f>
        <v>6</v>
      </c>
      <c r="B15" s="75" t="n">
        <v>6895.57</v>
      </c>
      <c r="C15" s="55" t="n">
        <v>267524</v>
      </c>
      <c r="D15" s="59" t="n">
        <f aca="false">C15-C14</f>
        <v>-1104</v>
      </c>
      <c r="E15" s="55" t="n">
        <f aca="false">C15-152000</f>
        <v>115524</v>
      </c>
      <c r="F15" s="54" t="n">
        <f aca="false">D15/$D$2</f>
        <v>-556.591883035039</v>
      </c>
      <c r="G15" s="54" t="n">
        <v>212</v>
      </c>
      <c r="H15" s="56" t="n">
        <v>0.09</v>
      </c>
      <c r="I15" s="54" t="n">
        <f aca="false">G15+H15</f>
        <v>212.09</v>
      </c>
      <c r="J15" s="83" t="n">
        <f aca="false">IF(L15&gt;0,L15,0)</f>
        <v>51.7281169649609</v>
      </c>
      <c r="K15" s="54" t="n">
        <f aca="false">I15+J15</f>
        <v>263.818116964961</v>
      </c>
      <c r="L15" s="54" t="n">
        <f aca="false">F15-(I15-X15)</f>
        <v>51.7281169649609</v>
      </c>
      <c r="M15" s="54" t="n">
        <v>289</v>
      </c>
      <c r="N15" s="54" t="n">
        <v>0</v>
      </c>
      <c r="O15" s="54" t="n">
        <f aca="false">82.61*1.05</f>
        <v>86.7405</v>
      </c>
      <c r="P15" s="7" t="n">
        <f aca="false">M15-(N15+O15)</f>
        <v>202.2595</v>
      </c>
      <c r="Q15" s="54" t="n">
        <v>162</v>
      </c>
      <c r="R15" s="54" t="n">
        <v>80</v>
      </c>
      <c r="S15" s="54" t="n">
        <f aca="false">SUM(P15:R15)</f>
        <v>444.2595</v>
      </c>
      <c r="T15" s="55" t="n">
        <f aca="false">(I15-S15)+T14</f>
        <v>-1177.0295</v>
      </c>
      <c r="U15" s="54" t="n">
        <v>218.41</v>
      </c>
      <c r="V15" s="54" t="n">
        <v>71</v>
      </c>
      <c r="W15" s="55" t="n">
        <f aca="false">W14-V15</f>
        <v>9670</v>
      </c>
      <c r="X15" s="7" t="n">
        <f aca="false">N15+O15+S15+U15+V15</f>
        <v>820.41</v>
      </c>
      <c r="Y15" s="54" t="n">
        <f aca="false">IF(L15&lt;0,L15*-1,0)</f>
        <v>0</v>
      </c>
      <c r="Z15" s="54" t="n">
        <f aca="false">X15+Y15</f>
        <v>820.41</v>
      </c>
      <c r="AA15" s="58" t="n">
        <v>0</v>
      </c>
      <c r="AB15" s="59" t="n">
        <v>86</v>
      </c>
      <c r="AC15" s="59" t="n">
        <v>58</v>
      </c>
      <c r="AD15" s="60" t="n">
        <f aca="false">AD14+1</f>
        <v>6</v>
      </c>
      <c r="AE15" s="95"/>
      <c r="AF15" s="97"/>
      <c r="AG15" s="97"/>
    </row>
    <row r="16" customFormat="false" ht="11.1" hidden="false" customHeight="true" outlineLevel="0" collapsed="false">
      <c r="A16" s="60" t="n">
        <f aca="false">A15+1</f>
        <v>7</v>
      </c>
      <c r="B16" s="75" t="n">
        <v>6895.2</v>
      </c>
      <c r="C16" s="55" t="n">
        <v>266207</v>
      </c>
      <c r="D16" s="59" t="n">
        <f aca="false">C16-C15</f>
        <v>-1317</v>
      </c>
      <c r="E16" s="55" t="n">
        <f aca="false">C16-152000</f>
        <v>114207</v>
      </c>
      <c r="F16" s="54" t="n">
        <f aca="false">D16/$D$2</f>
        <v>-663.977816990169</v>
      </c>
      <c r="G16" s="54" t="n">
        <v>216</v>
      </c>
      <c r="H16" s="56" t="n">
        <v>0.11</v>
      </c>
      <c r="I16" s="54" t="n">
        <f aca="false">G16+H16</f>
        <v>216.11</v>
      </c>
      <c r="J16" s="83" t="n">
        <f aca="false">IF(L16&gt;0,L16,0)</f>
        <v>0</v>
      </c>
      <c r="K16" s="54" t="n">
        <f aca="false">I16+J16</f>
        <v>216.11</v>
      </c>
      <c r="L16" s="54" t="n">
        <f aca="false">F16-(I16-X16)</f>
        <v>-56.8278169901689</v>
      </c>
      <c r="M16" s="54" t="n">
        <v>294</v>
      </c>
      <c r="N16" s="54" t="n">
        <v>0</v>
      </c>
      <c r="O16" s="54" t="n">
        <f aca="false">87.84*1.05</f>
        <v>92.232</v>
      </c>
      <c r="P16" s="7" t="n">
        <f aca="false">M16-(N16+O16)</f>
        <v>201.768</v>
      </c>
      <c r="Q16" s="54" t="n">
        <v>161</v>
      </c>
      <c r="R16" s="54" t="n">
        <v>78</v>
      </c>
      <c r="S16" s="54" t="n">
        <f aca="false">SUM(P16:R16)</f>
        <v>440.768</v>
      </c>
      <c r="T16" s="55" t="n">
        <f aca="false">(I16-S16)+T15</f>
        <v>-1401.6875</v>
      </c>
      <c r="U16" s="54" t="n">
        <v>219.26</v>
      </c>
      <c r="V16" s="54" t="n">
        <v>71</v>
      </c>
      <c r="W16" s="55" t="n">
        <f aca="false">W15-V16</f>
        <v>9599</v>
      </c>
      <c r="X16" s="7" t="n">
        <f aca="false">N16+O16+S16+U16+V16</f>
        <v>823.26</v>
      </c>
      <c r="Y16" s="54" t="n">
        <f aca="false">IF(L16&lt;0,L16*-1,0)</f>
        <v>56.8278169901689</v>
      </c>
      <c r="Z16" s="54" t="n">
        <f aca="false">X16+Y16</f>
        <v>880.087816990169</v>
      </c>
      <c r="AA16" s="58" t="n">
        <v>0</v>
      </c>
      <c r="AB16" s="59" t="n">
        <v>78</v>
      </c>
      <c r="AC16" s="59" t="n">
        <v>57</v>
      </c>
      <c r="AD16" s="60" t="n">
        <f aca="false">AD15+1</f>
        <v>7</v>
      </c>
      <c r="AE16" s="95"/>
      <c r="AF16" s="97"/>
      <c r="AG16" s="97"/>
    </row>
    <row r="17" customFormat="false" ht="11.1" hidden="false" customHeight="true" outlineLevel="0" collapsed="false">
      <c r="A17" s="60" t="n">
        <f aca="false">A16+1</f>
        <v>8</v>
      </c>
      <c r="B17" s="75" t="n">
        <v>6894.95</v>
      </c>
      <c r="C17" s="55" t="n">
        <v>265319</v>
      </c>
      <c r="D17" s="59" t="n">
        <f aca="false">C17-C16</f>
        <v>-888</v>
      </c>
      <c r="E17" s="55" t="n">
        <f aca="false">C17-152000</f>
        <v>113319</v>
      </c>
      <c r="F17" s="54" t="n">
        <f aca="false">D17/$D$2</f>
        <v>-447.693471136879</v>
      </c>
      <c r="G17" s="54" t="n">
        <v>342</v>
      </c>
      <c r="H17" s="56" t="n">
        <v>0.05</v>
      </c>
      <c r="I17" s="54" t="n">
        <f aca="false">G17+H17</f>
        <v>342.05</v>
      </c>
      <c r="J17" s="83" t="n">
        <f aca="false">IF(L17&gt;0,L17,0)</f>
        <v>27.0065288631208</v>
      </c>
      <c r="K17" s="54" t="n">
        <f aca="false">I17+J17</f>
        <v>369.056528863121</v>
      </c>
      <c r="L17" s="54" t="n">
        <f aca="false">F17-(I17-X17)</f>
        <v>27.0065288631208</v>
      </c>
      <c r="M17" s="54" t="n">
        <v>284</v>
      </c>
      <c r="N17" s="54" t="n">
        <v>0</v>
      </c>
      <c r="O17" s="54" t="n">
        <f aca="false">91.97*1.05</f>
        <v>96.5685</v>
      </c>
      <c r="P17" s="7" t="n">
        <f aca="false">M17-(N17+O17)</f>
        <v>187.4315</v>
      </c>
      <c r="Q17" s="54" t="n">
        <v>160</v>
      </c>
      <c r="R17" s="54" t="n">
        <v>75</v>
      </c>
      <c r="S17" s="54" t="n">
        <f aca="false">SUM(P17:R17)</f>
        <v>422.4315</v>
      </c>
      <c r="T17" s="55" t="n">
        <f aca="false">(I17-S17)+T16</f>
        <v>-1482.069</v>
      </c>
      <c r="U17" s="54" t="n">
        <v>226.75</v>
      </c>
      <c r="V17" s="54" t="n">
        <v>71</v>
      </c>
      <c r="W17" s="55" t="n">
        <f aca="false">W16-V17</f>
        <v>9528</v>
      </c>
      <c r="X17" s="7" t="n">
        <f aca="false">N17+O17+S17+U17+V17</f>
        <v>816.75</v>
      </c>
      <c r="Y17" s="54" t="n">
        <f aca="false">IF(L17&lt;0,L17*-1,0)</f>
        <v>0</v>
      </c>
      <c r="Z17" s="54" t="n">
        <f aca="false">X17+Y17</f>
        <v>816.75</v>
      </c>
      <c r="AA17" s="58" t="n">
        <v>0.06</v>
      </c>
      <c r="AB17" s="59" t="n">
        <v>76</v>
      </c>
      <c r="AC17" s="59" t="n">
        <v>54</v>
      </c>
      <c r="AD17" s="60" t="n">
        <f aca="false">AD16+1</f>
        <v>8</v>
      </c>
      <c r="AE17" s="95"/>
      <c r="AF17" s="97"/>
      <c r="AG17" s="97"/>
    </row>
    <row r="18" customFormat="false" ht="11.1" hidden="false" customHeight="true" outlineLevel="0" collapsed="false">
      <c r="A18" s="60" t="n">
        <f aca="false">A17+1</f>
        <v>9</v>
      </c>
      <c r="B18" s="75" t="n">
        <v>6894.73</v>
      </c>
      <c r="C18" s="55" t="n">
        <v>264543</v>
      </c>
      <c r="D18" s="59" t="n">
        <f aca="false">C18-C17</f>
        <v>-776</v>
      </c>
      <c r="E18" s="55" t="n">
        <f aca="false">C18-152000</f>
        <v>112543</v>
      </c>
      <c r="F18" s="54" t="n">
        <f aca="false">D18/$D$2</f>
        <v>-391.227627930426</v>
      </c>
      <c r="G18" s="54" t="n">
        <v>443</v>
      </c>
      <c r="H18" s="56" t="n">
        <v>0.04</v>
      </c>
      <c r="I18" s="54" t="n">
        <f aca="false">G18+H18</f>
        <v>443.04</v>
      </c>
      <c r="J18" s="83" t="n">
        <f aca="false">IF(L18&gt;0,L18,0)</f>
        <v>0</v>
      </c>
      <c r="K18" s="54" t="n">
        <f aca="false">I18+J18</f>
        <v>443.04</v>
      </c>
      <c r="L18" s="54" t="n">
        <f aca="false">F18-(I18-X18)</f>
        <v>-39.7576279304261</v>
      </c>
      <c r="M18" s="54" t="n">
        <v>273</v>
      </c>
      <c r="N18" s="54" t="n">
        <v>0</v>
      </c>
      <c r="O18" s="54" t="n">
        <f aca="false">82.86*1.05</f>
        <v>87.003</v>
      </c>
      <c r="P18" s="7" t="n">
        <f aca="false">M18-(N18+O18)</f>
        <v>185.997</v>
      </c>
      <c r="Q18" s="54" t="n">
        <v>160</v>
      </c>
      <c r="R18" s="54" t="n">
        <v>74</v>
      </c>
      <c r="S18" s="54" t="n">
        <f aca="false">SUM(P18:R18)</f>
        <v>419.997</v>
      </c>
      <c r="T18" s="55" t="n">
        <f aca="false">(I18-S18)+T17</f>
        <v>-1459.026</v>
      </c>
      <c r="U18" s="54" t="n">
        <v>216.51</v>
      </c>
      <c r="V18" s="54" t="n">
        <v>71</v>
      </c>
      <c r="W18" s="55" t="n">
        <f aca="false">W17-V18</f>
        <v>9457</v>
      </c>
      <c r="X18" s="7" t="n">
        <f aca="false">N18+O18+S18+U18+V18</f>
        <v>794.51</v>
      </c>
      <c r="Y18" s="54" t="n">
        <f aca="false">IF(L18&lt;0,L18*-1,0)</f>
        <v>39.7576279304261</v>
      </c>
      <c r="Z18" s="54" t="n">
        <f aca="false">X18+Y18</f>
        <v>834.267627930426</v>
      </c>
      <c r="AA18" s="58" t="n">
        <v>0.02</v>
      </c>
      <c r="AB18" s="84" t="n">
        <v>79</v>
      </c>
      <c r="AC18" s="59" t="n">
        <v>52</v>
      </c>
      <c r="AD18" s="60" t="n">
        <f aca="false">AD17+1</f>
        <v>9</v>
      </c>
      <c r="AE18" s="95"/>
      <c r="AF18" s="97"/>
      <c r="AG18" s="97"/>
    </row>
    <row r="19" customFormat="false" ht="11.1" hidden="false" customHeight="true" outlineLevel="0" collapsed="false">
      <c r="A19" s="60" t="n">
        <f aca="false">A18+1</f>
        <v>10</v>
      </c>
      <c r="B19" s="75" t="n">
        <v>6894.54</v>
      </c>
      <c r="C19" s="55" t="n">
        <v>263872</v>
      </c>
      <c r="D19" s="59" t="n">
        <f aca="false">C19-C18</f>
        <v>-671</v>
      </c>
      <c r="E19" s="55" t="n">
        <f aca="false">C19-152000</f>
        <v>111872</v>
      </c>
      <c r="F19" s="54" t="n">
        <f aca="false">D19/$D$2</f>
        <v>-338.290899924376</v>
      </c>
      <c r="G19" s="54" t="n">
        <v>445</v>
      </c>
      <c r="H19" s="56" t="n">
        <v>0.07</v>
      </c>
      <c r="I19" s="54" t="n">
        <f aca="false">G19+H19</f>
        <v>445.07</v>
      </c>
      <c r="J19" s="83" t="n">
        <f aca="false">IF(L19&gt;0,L19,0)</f>
        <v>0</v>
      </c>
      <c r="K19" s="54" t="n">
        <f aca="false">I19+J19</f>
        <v>445.07</v>
      </c>
      <c r="L19" s="54" t="n">
        <f aca="false">F19-(I19-X19)</f>
        <v>-10.170899924376</v>
      </c>
      <c r="M19" s="54" t="n">
        <v>266</v>
      </c>
      <c r="N19" s="54" t="n">
        <v>0</v>
      </c>
      <c r="O19" s="54" t="n">
        <f aca="false">76.41*1.05</f>
        <v>80.2305</v>
      </c>
      <c r="P19" s="7" t="n">
        <f aca="false">M19-(N19+O19)</f>
        <v>185.7695</v>
      </c>
      <c r="Q19" s="54" t="n">
        <v>160</v>
      </c>
      <c r="R19" s="54" t="n">
        <v>74</v>
      </c>
      <c r="S19" s="54" t="n">
        <f aca="false">SUM(P19:R19)</f>
        <v>419.7695</v>
      </c>
      <c r="T19" s="55" t="n">
        <f aca="false">(I19-S19)+T18</f>
        <v>-1433.7255</v>
      </c>
      <c r="U19" s="54" t="n">
        <v>202.19</v>
      </c>
      <c r="V19" s="54" t="n">
        <v>71</v>
      </c>
      <c r="W19" s="55" t="n">
        <f aca="false">W18-V19</f>
        <v>9386</v>
      </c>
      <c r="X19" s="7" t="n">
        <f aca="false">N19+O19+S19+U19+V19</f>
        <v>773.19</v>
      </c>
      <c r="Y19" s="54" t="n">
        <f aca="false">IF(L19&lt;0,L19*-1,0)</f>
        <v>10.170899924376</v>
      </c>
      <c r="Z19" s="54" t="n">
        <f aca="false">X19+Y19</f>
        <v>783.360899924376</v>
      </c>
      <c r="AA19" s="58" t="n">
        <v>0.03</v>
      </c>
      <c r="AB19" s="59" t="n">
        <v>78</v>
      </c>
      <c r="AC19" s="59" t="n">
        <v>58</v>
      </c>
      <c r="AD19" s="60" t="n">
        <f aca="false">AD18+1</f>
        <v>10</v>
      </c>
      <c r="AE19" s="95"/>
      <c r="AF19" s="97"/>
      <c r="AG19" s="97"/>
    </row>
    <row r="20" customFormat="false" ht="11.1" hidden="false" customHeight="true" outlineLevel="0" collapsed="false">
      <c r="A20" s="60" t="n">
        <v>11</v>
      </c>
      <c r="B20" s="75" t="n">
        <v>6894.35</v>
      </c>
      <c r="C20" s="55" t="n">
        <v>263202</v>
      </c>
      <c r="D20" s="59" t="n">
        <f aca="false">C20-C19</f>
        <v>-670</v>
      </c>
      <c r="E20" s="55" t="n">
        <f aca="false">C20-152000</f>
        <v>111202</v>
      </c>
      <c r="F20" s="54" t="n">
        <f aca="false">D20/$D$2</f>
        <v>-337.786740610033</v>
      </c>
      <c r="G20" s="54" t="n">
        <v>429</v>
      </c>
      <c r="H20" s="56" t="n">
        <v>0.07</v>
      </c>
      <c r="I20" s="54" t="n">
        <f aca="false">G20+H20</f>
        <v>429.07</v>
      </c>
      <c r="J20" s="83" t="n">
        <f aca="false">IF(L20&gt;0,L20,0)</f>
        <v>0</v>
      </c>
      <c r="K20" s="54" t="n">
        <f aca="false">I20+J20</f>
        <v>429.07</v>
      </c>
      <c r="L20" s="54" t="n">
        <f aca="false">F20-(I20-X20)</f>
        <v>-55.6067406100328</v>
      </c>
      <c r="M20" s="54" t="n">
        <v>244</v>
      </c>
      <c r="N20" s="54" t="n">
        <v>0</v>
      </c>
      <c r="O20" s="54" t="n">
        <f aca="false">66.95*1.05</f>
        <v>70.2975</v>
      </c>
      <c r="P20" s="7" t="n">
        <f aca="false">M20-(N20+O20)</f>
        <v>173.7025</v>
      </c>
      <c r="Q20" s="54" t="n">
        <v>143</v>
      </c>
      <c r="R20" s="54" t="n">
        <v>74</v>
      </c>
      <c r="S20" s="54" t="n">
        <f aca="false">SUM(P20:R20)</f>
        <v>390.7025</v>
      </c>
      <c r="T20" s="55" t="n">
        <f aca="false">(I20-S20)+T19</f>
        <v>-1395.358</v>
      </c>
      <c r="U20" s="54" t="n">
        <v>179.25</v>
      </c>
      <c r="V20" s="54" t="n">
        <v>71</v>
      </c>
      <c r="W20" s="55" t="n">
        <f aca="false">W19-V20</f>
        <v>9315</v>
      </c>
      <c r="X20" s="7" t="n">
        <f aca="false">N20+O20+S20+U20+V20</f>
        <v>711.25</v>
      </c>
      <c r="Y20" s="54" t="n">
        <f aca="false">IF(L20&lt;0,L20*-1,0)</f>
        <v>55.6067406100328</v>
      </c>
      <c r="Z20" s="54" t="n">
        <f aca="false">X20+Y20</f>
        <v>766.856740610033</v>
      </c>
      <c r="AA20" s="58" t="n">
        <v>0</v>
      </c>
      <c r="AB20" s="59" t="n">
        <v>82</v>
      </c>
      <c r="AC20" s="59" t="n">
        <v>52</v>
      </c>
      <c r="AD20" s="60" t="n">
        <v>11</v>
      </c>
      <c r="AE20" s="95"/>
      <c r="AF20" s="97"/>
      <c r="AG20" s="97"/>
    </row>
    <row r="21" customFormat="false" ht="11.1" hidden="false" customHeight="true" outlineLevel="0" collapsed="false">
      <c r="A21" s="60" t="n">
        <v>12</v>
      </c>
      <c r="B21" s="75" t="n">
        <v>6894.17</v>
      </c>
      <c r="C21" s="55" t="n">
        <v>262567</v>
      </c>
      <c r="D21" s="59" t="n">
        <f aca="false">C21-C20</f>
        <v>-635</v>
      </c>
      <c r="E21" s="55" t="n">
        <f aca="false">C21-152000</f>
        <v>110567</v>
      </c>
      <c r="F21" s="54" t="n">
        <f aca="false">D21/$D$2</f>
        <v>-320.141164608016</v>
      </c>
      <c r="G21" s="54" t="n">
        <v>329</v>
      </c>
      <c r="H21" s="56" t="n">
        <v>0</v>
      </c>
      <c r="I21" s="54" t="n">
        <f aca="false">G21+H21</f>
        <v>329</v>
      </c>
      <c r="J21" s="83" t="n">
        <f aca="false">IF(L21&gt;0,L21,0)</f>
        <v>43.4388353919839</v>
      </c>
      <c r="K21" s="54" t="n">
        <f aca="false">I21+J21</f>
        <v>372.438835391984</v>
      </c>
      <c r="L21" s="54" t="n">
        <f aca="false">F21-(I21-X21)</f>
        <v>43.4388353919839</v>
      </c>
      <c r="M21" s="54" t="n">
        <v>257</v>
      </c>
      <c r="N21" s="54" t="n">
        <v>0.5</v>
      </c>
      <c r="O21" s="54" t="n">
        <f aca="false">62.34*1.05</f>
        <v>65.457</v>
      </c>
      <c r="P21" s="7" t="n">
        <f aca="false">M21-(N21+O21)</f>
        <v>191.043</v>
      </c>
      <c r="Q21" s="54" t="n">
        <v>133</v>
      </c>
      <c r="R21" s="54" t="n">
        <v>75</v>
      </c>
      <c r="S21" s="54" t="n">
        <f aca="false">SUM(P21:R21)</f>
        <v>399.043</v>
      </c>
      <c r="T21" s="55" t="n">
        <f aca="false">(I21-S21)+T20</f>
        <v>-1465.401</v>
      </c>
      <c r="U21" s="54" t="n">
        <v>157.58</v>
      </c>
      <c r="V21" s="54" t="n">
        <v>70</v>
      </c>
      <c r="W21" s="55" t="n">
        <f aca="false">W20-V21</f>
        <v>9245</v>
      </c>
      <c r="X21" s="7" t="n">
        <f aca="false">N21+O21+S21+U21+V21</f>
        <v>692.58</v>
      </c>
      <c r="Y21" s="54" t="n">
        <f aca="false">IF(L21&lt;0,L21*-1,0)</f>
        <v>0</v>
      </c>
      <c r="Z21" s="54" t="n">
        <f aca="false">X21+Y21</f>
        <v>692.58</v>
      </c>
      <c r="AA21" s="58" t="n">
        <v>0.31</v>
      </c>
      <c r="AB21" s="59" t="n">
        <v>85</v>
      </c>
      <c r="AC21" s="59" t="n">
        <v>54</v>
      </c>
      <c r="AD21" s="60" t="n">
        <v>12</v>
      </c>
      <c r="AE21" s="95"/>
      <c r="AF21" s="97"/>
      <c r="AG21" s="97"/>
    </row>
    <row r="22" customFormat="false" ht="11.1" hidden="false" customHeight="true" outlineLevel="0" collapsed="false">
      <c r="A22" s="60" t="n">
        <v>13</v>
      </c>
      <c r="B22" s="75" t="n">
        <v>6894.01</v>
      </c>
      <c r="C22" s="55" t="n">
        <v>262002</v>
      </c>
      <c r="D22" s="59" t="n">
        <f aca="false">C22-C21</f>
        <v>-565</v>
      </c>
      <c r="E22" s="55" t="n">
        <f aca="false">C22-152000</f>
        <v>110002</v>
      </c>
      <c r="F22" s="54" t="n">
        <f aca="false">D22/$D$2</f>
        <v>-284.850012603983</v>
      </c>
      <c r="G22" s="54" t="n">
        <v>300</v>
      </c>
      <c r="H22" s="56" t="n">
        <v>0.05</v>
      </c>
      <c r="I22" s="54" t="n">
        <f aca="false">G22+H22</f>
        <v>300.05</v>
      </c>
      <c r="J22" s="83" t="n">
        <f aca="false">IF(L22&gt;0,L22,0)</f>
        <v>56.6399873960172</v>
      </c>
      <c r="K22" s="54" t="n">
        <f aca="false">I22+J22</f>
        <v>356.689987396017</v>
      </c>
      <c r="L22" s="54" t="n">
        <f aca="false">F22-(I22-X22)</f>
        <v>56.6399873960172</v>
      </c>
      <c r="M22" s="54" t="n">
        <v>232</v>
      </c>
      <c r="N22" s="54" t="n">
        <v>0.5</v>
      </c>
      <c r="O22" s="54" t="n">
        <f aca="false">53.82*1.05</f>
        <v>56.511</v>
      </c>
      <c r="P22" s="7" t="n">
        <f aca="false">M22-(N22+O22)</f>
        <v>174.989</v>
      </c>
      <c r="Q22" s="54" t="n">
        <v>132</v>
      </c>
      <c r="R22" s="54" t="n">
        <v>71</v>
      </c>
      <c r="S22" s="54" t="n">
        <f aca="false">SUM(P22:R22)</f>
        <v>377.989</v>
      </c>
      <c r="T22" s="55" t="n">
        <f aca="false">(I22-S22)+T21</f>
        <v>-1543.34</v>
      </c>
      <c r="U22" s="54" t="n">
        <v>135.54</v>
      </c>
      <c r="V22" s="54" t="n">
        <v>71</v>
      </c>
      <c r="W22" s="55" t="n">
        <f aca="false">W21-V22</f>
        <v>9174</v>
      </c>
      <c r="X22" s="7" t="n">
        <f aca="false">N22+O22+S22+U22+V22</f>
        <v>641.54</v>
      </c>
      <c r="Y22" s="54" t="n">
        <f aca="false">IF(L22&lt;0,L22*-1,0)</f>
        <v>0</v>
      </c>
      <c r="Z22" s="54" t="n">
        <f aca="false">X22+Y22</f>
        <v>641.54</v>
      </c>
      <c r="AA22" s="58" t="n">
        <v>0.17</v>
      </c>
      <c r="AB22" s="59" t="n">
        <v>76</v>
      </c>
      <c r="AC22" s="59" t="n">
        <v>56</v>
      </c>
      <c r="AD22" s="60" t="n">
        <v>13</v>
      </c>
      <c r="AE22" s="95"/>
      <c r="AF22" s="97"/>
      <c r="AG22" s="97"/>
    </row>
    <row r="23" customFormat="false" ht="11.1" hidden="false" customHeight="true" outlineLevel="0" collapsed="false">
      <c r="A23" s="60" t="n">
        <v>14</v>
      </c>
      <c r="B23" s="75" t="n">
        <v>6893.94</v>
      </c>
      <c r="C23" s="55" t="n">
        <v>261757</v>
      </c>
      <c r="D23" s="59" t="n">
        <f aca="false">C23-C22</f>
        <v>-245</v>
      </c>
      <c r="E23" s="55" t="n">
        <f aca="false">C23-152000</f>
        <v>109757</v>
      </c>
      <c r="F23" s="54" t="n">
        <f aca="false">D23/$D$2</f>
        <v>-123.519032014116</v>
      </c>
      <c r="G23" s="54" t="n">
        <v>316</v>
      </c>
      <c r="H23" s="56" t="n">
        <v>0.23</v>
      </c>
      <c r="I23" s="54" t="n">
        <f aca="false">G23+H23</f>
        <v>316.23</v>
      </c>
      <c r="J23" s="83" t="n">
        <f aca="false">IF(L23&gt;0,L23,0)</f>
        <v>40.3509679858835</v>
      </c>
      <c r="K23" s="54" t="n">
        <f aca="false">I23+J23</f>
        <v>356.580967985884</v>
      </c>
      <c r="L23" s="54" t="n">
        <f aca="false">F23-(I23-X23)</f>
        <v>40.3509679858835</v>
      </c>
      <c r="M23" s="54" t="n">
        <v>188</v>
      </c>
      <c r="N23" s="54" t="n">
        <v>0.5</v>
      </c>
      <c r="O23" s="54" t="n">
        <f aca="false">30.32*1.05</f>
        <v>31.836</v>
      </c>
      <c r="P23" s="7" t="n">
        <f aca="false">M23-(N23+O23)</f>
        <v>155.664</v>
      </c>
      <c r="Q23" s="54" t="n">
        <v>89</v>
      </c>
      <c r="R23" s="54" t="n">
        <v>52</v>
      </c>
      <c r="S23" s="54" t="n">
        <f aca="false">SUM(P23:R23)</f>
        <v>296.664</v>
      </c>
      <c r="T23" s="55" t="n">
        <f aca="false">(I23-S23)+T22</f>
        <v>-1523.774</v>
      </c>
      <c r="U23" s="54" t="n">
        <v>76.1</v>
      </c>
      <c r="V23" s="54" t="n">
        <v>75</v>
      </c>
      <c r="W23" s="55" t="n">
        <f aca="false">W22-V23</f>
        <v>9099</v>
      </c>
      <c r="X23" s="7" t="n">
        <f aca="false">N23+O23+S23+U23+V23</f>
        <v>480.1</v>
      </c>
      <c r="Y23" s="54" t="n">
        <f aca="false">IF(L23&lt;0,L23*-1,0)</f>
        <v>0</v>
      </c>
      <c r="Z23" s="54" t="n">
        <f aca="false">X23+Y23</f>
        <v>480.1</v>
      </c>
      <c r="AA23" s="58" t="n">
        <v>0.36</v>
      </c>
      <c r="AB23" s="59" t="n">
        <v>77</v>
      </c>
      <c r="AC23" s="59" t="n">
        <v>56</v>
      </c>
      <c r="AD23" s="60" t="n">
        <v>14</v>
      </c>
      <c r="AE23" s="95"/>
      <c r="AF23" s="97"/>
      <c r="AG23" s="97"/>
    </row>
    <row r="24" customFormat="false" ht="11.1" hidden="false" customHeight="true" outlineLevel="0" collapsed="false">
      <c r="A24" s="60" t="n">
        <v>15</v>
      </c>
      <c r="B24" s="75" t="n">
        <v>6893.85</v>
      </c>
      <c r="C24" s="55" t="n">
        <v>261442</v>
      </c>
      <c r="D24" s="59" t="n">
        <f aca="false">C24-C23</f>
        <v>-315</v>
      </c>
      <c r="E24" s="55" t="n">
        <f aca="false">C24-152000</f>
        <v>109442</v>
      </c>
      <c r="F24" s="54" t="n">
        <f aca="false">D24/$D$2</f>
        <v>-158.81018401815</v>
      </c>
      <c r="G24" s="54" t="n">
        <v>299</v>
      </c>
      <c r="H24" s="56" t="n">
        <v>0.09</v>
      </c>
      <c r="I24" s="54" t="n">
        <f aca="false">G24+H24</f>
        <v>299.09</v>
      </c>
      <c r="J24" s="83" t="n">
        <f aca="false">IF(L24&gt;0,L24,0)</f>
        <v>0</v>
      </c>
      <c r="K24" s="54" t="n">
        <f aca="false">I24+J24</f>
        <v>299.09</v>
      </c>
      <c r="L24" s="54" t="n">
        <f aca="false">F24-(I24-X24)</f>
        <v>-29.0501840181497</v>
      </c>
      <c r="M24" s="54" t="n">
        <v>146</v>
      </c>
      <c r="N24" s="54" t="n">
        <v>0.5</v>
      </c>
      <c r="O24" s="54" t="n">
        <f aca="false">26.43*1.05</f>
        <v>27.7515</v>
      </c>
      <c r="P24" s="7" t="n">
        <f aca="false">M24-(N24+O24)</f>
        <v>117.7485</v>
      </c>
      <c r="Q24" s="54" t="n">
        <v>63</v>
      </c>
      <c r="R24" s="54" t="n">
        <v>41</v>
      </c>
      <c r="S24" s="54" t="n">
        <f aca="false">SUM(P24:R24)</f>
        <v>221.7485</v>
      </c>
      <c r="T24" s="55" t="n">
        <f aca="false">(I24-S24)+T23</f>
        <v>-1446.4325</v>
      </c>
      <c r="U24" s="54" t="n">
        <v>107.85</v>
      </c>
      <c r="V24" s="54" t="n">
        <v>71</v>
      </c>
      <c r="W24" s="55" t="n">
        <f aca="false">W23-V24</f>
        <v>9028</v>
      </c>
      <c r="X24" s="7" t="n">
        <f aca="false">N24+O24+S24+U24+V24</f>
        <v>428.85</v>
      </c>
      <c r="Y24" s="54" t="n">
        <f aca="false">IF(L24&lt;0,L24*-1,0)</f>
        <v>29.0501840181497</v>
      </c>
      <c r="Z24" s="54" t="n">
        <f aca="false">X24+Y24</f>
        <v>457.90018401815</v>
      </c>
      <c r="AA24" s="58" t="n">
        <v>0</v>
      </c>
      <c r="AB24" s="59" t="n">
        <v>81</v>
      </c>
      <c r="AC24" s="59" t="n">
        <v>52</v>
      </c>
      <c r="AD24" s="60" t="n">
        <v>15</v>
      </c>
      <c r="AE24" s="95"/>
      <c r="AF24" s="97"/>
      <c r="AG24" s="97"/>
    </row>
    <row r="25" customFormat="false" ht="11.1" hidden="false" customHeight="true" outlineLevel="0" collapsed="false">
      <c r="A25" s="60" t="n">
        <v>16</v>
      </c>
      <c r="B25" s="75" t="n">
        <v>6893.74</v>
      </c>
      <c r="C25" s="55" t="n">
        <v>261057</v>
      </c>
      <c r="D25" s="59" t="n">
        <f aca="false">C25-C24</f>
        <v>-385</v>
      </c>
      <c r="E25" s="55" t="n">
        <f aca="false">C25-152000</f>
        <v>109057</v>
      </c>
      <c r="F25" s="54" t="n">
        <f aca="false">D25/$D$2</f>
        <v>-194.101336022183</v>
      </c>
      <c r="G25" s="54" t="n">
        <v>237</v>
      </c>
      <c r="H25" s="56" t="n">
        <v>0</v>
      </c>
      <c r="I25" s="54" t="n">
        <f aca="false">G25+H25</f>
        <v>237</v>
      </c>
      <c r="J25" s="83" t="n">
        <f aca="false">IF(L25&gt;0,L25,0)</f>
        <v>31.998663977817</v>
      </c>
      <c r="K25" s="54" t="n">
        <f aca="false">I25+J25</f>
        <v>268.998663977817</v>
      </c>
      <c r="L25" s="54" t="n">
        <f aca="false">F25-(I25-X25)</f>
        <v>31.998663977817</v>
      </c>
      <c r="M25" s="54" t="n">
        <v>159</v>
      </c>
      <c r="N25" s="54" t="n">
        <v>0.5</v>
      </c>
      <c r="O25" s="54" t="n">
        <f aca="false">25.26*1.05</f>
        <v>26.523</v>
      </c>
      <c r="P25" s="7" t="n">
        <f aca="false">M25-(N25+O25)</f>
        <v>131.977</v>
      </c>
      <c r="Q25" s="54" t="n">
        <v>64</v>
      </c>
      <c r="R25" s="54" t="n">
        <v>49</v>
      </c>
      <c r="S25" s="54" t="n">
        <f aca="false">SUM(P25:R25)</f>
        <v>244.977</v>
      </c>
      <c r="T25" s="55" t="n">
        <f aca="false">(I25-S25)+T24</f>
        <v>-1454.4095</v>
      </c>
      <c r="U25" s="54" t="n">
        <v>120.1</v>
      </c>
      <c r="V25" s="54" t="n">
        <v>71</v>
      </c>
      <c r="W25" s="55" t="n">
        <f aca="false">W24-V25</f>
        <v>8957</v>
      </c>
      <c r="X25" s="7" t="n">
        <f aca="false">N25+O25+S25+U25+V25</f>
        <v>463.1</v>
      </c>
      <c r="Y25" s="54" t="n">
        <f aca="false">IF(L25&lt;0,L25*-1,0)</f>
        <v>0</v>
      </c>
      <c r="Z25" s="54" t="n">
        <f aca="false">X25+Y25</f>
        <v>463.1</v>
      </c>
      <c r="AA25" s="58" t="n">
        <v>0.06</v>
      </c>
      <c r="AB25" s="59" t="n">
        <v>83</v>
      </c>
      <c r="AC25" s="59" t="n">
        <v>51</v>
      </c>
      <c r="AD25" s="60" t="n">
        <v>16</v>
      </c>
      <c r="AE25" s="95"/>
      <c r="AF25" s="97"/>
      <c r="AG25" s="97"/>
    </row>
    <row r="26" customFormat="false" ht="11.1" hidden="false" customHeight="true" outlineLevel="0" collapsed="false">
      <c r="A26" s="60" t="n">
        <v>17</v>
      </c>
      <c r="B26" s="75" t="n">
        <v>6893.57</v>
      </c>
      <c r="C26" s="55" t="n">
        <v>260463</v>
      </c>
      <c r="D26" s="59" t="n">
        <f aca="false">C26-C25</f>
        <v>-594</v>
      </c>
      <c r="E26" s="55" t="n">
        <f aca="false">C26-152000</f>
        <v>108463</v>
      </c>
      <c r="F26" s="54" t="n">
        <f aca="false">D26/$D$2</f>
        <v>-299.470632719939</v>
      </c>
      <c r="G26" s="54" t="n">
        <v>232</v>
      </c>
      <c r="H26" s="56" t="n">
        <v>0.01</v>
      </c>
      <c r="I26" s="54" t="n">
        <f aca="false">G26+H26</f>
        <v>232.01</v>
      </c>
      <c r="J26" s="83" t="n">
        <f aca="false">IF(L26&gt;0,L26,0)</f>
        <v>0</v>
      </c>
      <c r="K26" s="54" t="n">
        <f aca="false">I26+J26</f>
        <v>232.01</v>
      </c>
      <c r="L26" s="54" t="n">
        <f aca="false">F26-(I26-X26)</f>
        <v>-48.4706327199395</v>
      </c>
      <c r="M26" s="54" t="n">
        <v>160</v>
      </c>
      <c r="N26" s="54" t="n">
        <v>0.5</v>
      </c>
      <c r="O26" s="54" t="n">
        <f aca="false">28.67*1.05</f>
        <v>30.1035</v>
      </c>
      <c r="P26" s="7" t="n">
        <f aca="false">M26-(N26+O26)</f>
        <v>129.3965</v>
      </c>
      <c r="Q26" s="54" t="n">
        <v>64</v>
      </c>
      <c r="R26" s="54" t="n">
        <v>53</v>
      </c>
      <c r="S26" s="54" t="n">
        <f aca="false">SUM(P26:R26)</f>
        <v>246.3965</v>
      </c>
      <c r="T26" s="55" t="n">
        <f aca="false">(I26-S26)+T25</f>
        <v>-1468.796</v>
      </c>
      <c r="U26" s="54" t="n">
        <v>135.01</v>
      </c>
      <c r="V26" s="54" t="n">
        <v>71</v>
      </c>
      <c r="W26" s="55" t="n">
        <f aca="false">W25-V26</f>
        <v>8886</v>
      </c>
      <c r="X26" s="7" t="n">
        <f aca="false">N26+O26+S26+U26+V26</f>
        <v>483.01</v>
      </c>
      <c r="Y26" s="54" t="n">
        <f aca="false">IF(L26&lt;0,L26*-1,0)</f>
        <v>48.4706327199395</v>
      </c>
      <c r="Z26" s="54" t="n">
        <f aca="false">X26+Y26</f>
        <v>531.480632719939</v>
      </c>
      <c r="AA26" s="58" t="n">
        <v>0</v>
      </c>
      <c r="AB26" s="59" t="n">
        <v>85</v>
      </c>
      <c r="AC26" s="59" t="n">
        <v>50</v>
      </c>
      <c r="AD26" s="60" t="n">
        <v>17</v>
      </c>
      <c r="AE26" s="95"/>
      <c r="AF26" s="97"/>
      <c r="AG26" s="97"/>
    </row>
    <row r="27" customFormat="false" ht="11.1" hidden="false" customHeight="true" outlineLevel="0" collapsed="false">
      <c r="A27" s="60" t="n">
        <v>18</v>
      </c>
      <c r="B27" s="75" t="n">
        <v>6893.37</v>
      </c>
      <c r="C27" s="55" t="n">
        <v>259763</v>
      </c>
      <c r="D27" s="59" t="n">
        <f aca="false">C27-C26</f>
        <v>-700</v>
      </c>
      <c r="E27" s="55" t="n">
        <f aca="false">C27-152000</f>
        <v>107763</v>
      </c>
      <c r="F27" s="54" t="n">
        <f aca="false">D27/$D$2</f>
        <v>-352.911520040333</v>
      </c>
      <c r="G27" s="54" t="n">
        <v>205</v>
      </c>
      <c r="H27" s="56" t="n">
        <v>0</v>
      </c>
      <c r="I27" s="54" t="n">
        <f aca="false">G27+H27</f>
        <v>205</v>
      </c>
      <c r="J27" s="83" t="n">
        <f aca="false">IF(L27&gt;0,L27,0)</f>
        <v>0</v>
      </c>
      <c r="K27" s="54" t="n">
        <f aca="false">I27+J27</f>
        <v>205</v>
      </c>
      <c r="L27" s="54" t="n">
        <f aca="false">F27-(I27-X27)</f>
        <v>-44.5515200403327</v>
      </c>
      <c r="M27" s="54" t="n">
        <v>183</v>
      </c>
      <c r="N27" s="54" t="n">
        <v>0.5</v>
      </c>
      <c r="O27" s="54" t="n">
        <f aca="false">44.95*1.05</f>
        <v>47.1975</v>
      </c>
      <c r="P27" s="7" t="n">
        <f aca="false">M27-(N27+O27)</f>
        <v>135.3025</v>
      </c>
      <c r="Q27" s="54" t="n">
        <v>64</v>
      </c>
      <c r="R27" s="54" t="n">
        <v>56</v>
      </c>
      <c r="S27" s="54" t="n">
        <f aca="false">SUM(P27:R27)</f>
        <v>255.3025</v>
      </c>
      <c r="T27" s="55" t="n">
        <f aca="false">(I27-S27)+T26</f>
        <v>-1519.0985</v>
      </c>
      <c r="U27" s="54" t="n">
        <v>139.36</v>
      </c>
      <c r="V27" s="54" t="n">
        <v>71</v>
      </c>
      <c r="W27" s="55" t="n">
        <f aca="false">W26-V27</f>
        <v>8815</v>
      </c>
      <c r="X27" s="7" t="n">
        <f aca="false">N27+O27+S27+U27+V27</f>
        <v>513.36</v>
      </c>
      <c r="Y27" s="54" t="n">
        <f aca="false">IF(L27&lt;0,L27*-1,0)</f>
        <v>44.5515200403327</v>
      </c>
      <c r="Z27" s="54" t="n">
        <f aca="false">X27+Y27</f>
        <v>557.911520040333</v>
      </c>
      <c r="AA27" s="58" t="n">
        <v>0</v>
      </c>
      <c r="AB27" s="59" t="n">
        <v>87</v>
      </c>
      <c r="AC27" s="59" t="n">
        <v>53</v>
      </c>
      <c r="AD27" s="60" t="n">
        <v>18</v>
      </c>
      <c r="AE27" s="95"/>
      <c r="AF27" s="97"/>
      <c r="AG27" s="97"/>
    </row>
    <row r="28" customFormat="false" ht="11.1" hidden="false" customHeight="true" outlineLevel="0" collapsed="false">
      <c r="A28" s="60" t="n">
        <v>19</v>
      </c>
      <c r="B28" s="75" t="n">
        <v>6893.17</v>
      </c>
      <c r="C28" s="55" t="n">
        <v>259064</v>
      </c>
      <c r="D28" s="59" t="n">
        <f aca="false">C28-C27</f>
        <v>-699</v>
      </c>
      <c r="E28" s="55" t="n">
        <f aca="false">C28-152000</f>
        <v>107064</v>
      </c>
      <c r="F28" s="54" t="n">
        <f aca="false">D28/$D$2</f>
        <v>-352.407360725989</v>
      </c>
      <c r="G28" s="54" t="n">
        <v>184</v>
      </c>
      <c r="H28" s="56" t="n">
        <v>0</v>
      </c>
      <c r="I28" s="54" t="n">
        <f aca="false">G28+H28</f>
        <v>184</v>
      </c>
      <c r="J28" s="83" t="n">
        <f aca="false">IF(L28&gt;0,L28,0)</f>
        <v>6.16263927401053</v>
      </c>
      <c r="K28" s="54" t="n">
        <f aca="false">I28+J28</f>
        <v>190.162639274011</v>
      </c>
      <c r="L28" s="54" t="n">
        <f aca="false">F28-(I28-X28)</f>
        <v>6.16263927401053</v>
      </c>
      <c r="M28" s="54" t="n">
        <v>199</v>
      </c>
      <c r="N28" s="54" t="n">
        <v>0.5</v>
      </c>
      <c r="O28" s="54" t="n">
        <f aca="false">51.91*1.05</f>
        <v>54.5055</v>
      </c>
      <c r="P28" s="7" t="n">
        <f aca="false">M28-(N28+O28)</f>
        <v>143.9945</v>
      </c>
      <c r="Q28" s="54" t="n">
        <v>64</v>
      </c>
      <c r="R28" s="104" t="n">
        <v>57</v>
      </c>
      <c r="S28" s="54" t="n">
        <f aca="false">SUM(P28:R28)</f>
        <v>264.9945</v>
      </c>
      <c r="T28" s="55" t="n">
        <f aca="false">(I28-S28)+T27</f>
        <v>-1600.093</v>
      </c>
      <c r="U28" s="54" t="n">
        <v>151.57</v>
      </c>
      <c r="V28" s="54" t="n">
        <v>71</v>
      </c>
      <c r="W28" s="55" t="n">
        <f aca="false">W27-V28</f>
        <v>8744</v>
      </c>
      <c r="X28" s="7" t="n">
        <f aca="false">N28+O28+S28+U28+V28</f>
        <v>542.57</v>
      </c>
      <c r="Y28" s="54" t="n">
        <f aca="false">IF(L28&lt;0,L28*-1,0)</f>
        <v>0</v>
      </c>
      <c r="Z28" s="54" t="n">
        <f aca="false">X28+Y28</f>
        <v>542.57</v>
      </c>
      <c r="AA28" s="58" t="n">
        <v>0</v>
      </c>
      <c r="AB28" s="59" t="n">
        <v>88</v>
      </c>
      <c r="AC28" s="59" t="n">
        <v>56</v>
      </c>
      <c r="AD28" s="60" t="n">
        <v>19</v>
      </c>
      <c r="AE28" s="95"/>
      <c r="AF28" s="97"/>
      <c r="AG28" s="97"/>
    </row>
    <row r="29" customFormat="false" ht="11.1" hidden="false" customHeight="true" outlineLevel="0" collapsed="false">
      <c r="A29" s="60" t="n">
        <v>20</v>
      </c>
      <c r="B29" s="75" t="n">
        <v>6892.95</v>
      </c>
      <c r="C29" s="55" t="n">
        <v>258296</v>
      </c>
      <c r="D29" s="59" t="n">
        <f aca="false">C29-C28</f>
        <v>-768</v>
      </c>
      <c r="E29" s="55" t="n">
        <f aca="false">C29-152000</f>
        <v>106296</v>
      </c>
      <c r="F29" s="54" t="n">
        <f aca="false">D29/$D$2</f>
        <v>-387.194353415679</v>
      </c>
      <c r="G29" s="54" t="n">
        <v>184</v>
      </c>
      <c r="H29" s="56" t="n">
        <v>0</v>
      </c>
      <c r="I29" s="54" t="n">
        <f aca="false">G29+H29</f>
        <v>184</v>
      </c>
      <c r="J29" s="83" t="n">
        <f aca="false">IF(L29&gt;0,L29,0)</f>
        <v>17.6056465843206</v>
      </c>
      <c r="K29" s="54" t="n">
        <f aca="false">I29+J29</f>
        <v>201.605646584321</v>
      </c>
      <c r="L29" s="54" t="n">
        <f aca="false">F29-(I29-X29)</f>
        <v>17.6056465843206</v>
      </c>
      <c r="M29" s="54" t="n">
        <v>208</v>
      </c>
      <c r="N29" s="54" t="n">
        <v>0.5</v>
      </c>
      <c r="O29" s="54" t="n">
        <f aca="false">50.11*1.05</f>
        <v>52.6155</v>
      </c>
      <c r="P29" s="7" t="n">
        <f aca="false">M29-(N29+O29)</f>
        <v>154.8845</v>
      </c>
      <c r="Q29" s="54" t="n">
        <v>63</v>
      </c>
      <c r="R29" s="104" t="n">
        <v>56</v>
      </c>
      <c r="S29" s="54" t="n">
        <f aca="false">SUM(P29:R29)</f>
        <v>273.8845</v>
      </c>
      <c r="T29" s="55" t="n">
        <f aca="false">(I29-S29)+T28</f>
        <v>-1689.9775</v>
      </c>
      <c r="U29" s="54" t="n">
        <v>190.8</v>
      </c>
      <c r="V29" s="54" t="n">
        <v>71</v>
      </c>
      <c r="W29" s="55" t="n">
        <f aca="false">W28-V29</f>
        <v>8673</v>
      </c>
      <c r="X29" s="7" t="n">
        <f aca="false">N29+O29+S29+U29+V29</f>
        <v>588.8</v>
      </c>
      <c r="Y29" s="54" t="n">
        <f aca="false">IF(L29&lt;0,L29*-1,0)</f>
        <v>0</v>
      </c>
      <c r="Z29" s="54" t="n">
        <f aca="false">X29+Y29</f>
        <v>588.8</v>
      </c>
      <c r="AA29" s="58" t="n">
        <v>0.3</v>
      </c>
      <c r="AB29" s="59" t="n">
        <v>80</v>
      </c>
      <c r="AC29" s="59" t="n">
        <v>55</v>
      </c>
      <c r="AD29" s="60" t="n">
        <v>20</v>
      </c>
      <c r="AE29" s="95"/>
      <c r="AF29" s="97"/>
      <c r="AG29" s="97"/>
    </row>
    <row r="30" customFormat="false" ht="11.1" hidden="false" customHeight="true" outlineLevel="0" collapsed="false">
      <c r="A30" s="60" t="n">
        <v>21</v>
      </c>
      <c r="B30" s="75" t="n">
        <v>6892.74</v>
      </c>
      <c r="C30" s="55" t="n">
        <v>257568</v>
      </c>
      <c r="D30" s="59" t="n">
        <f aca="false">C30-C29</f>
        <v>-728</v>
      </c>
      <c r="E30" s="55" t="n">
        <f aca="false">C30-152000</f>
        <v>105568</v>
      </c>
      <c r="F30" s="54" t="n">
        <f aca="false">D30/$D$2</f>
        <v>-367.027980841946</v>
      </c>
      <c r="G30" s="54" t="n">
        <v>188</v>
      </c>
      <c r="H30" s="56" t="n">
        <v>0</v>
      </c>
      <c r="I30" s="54" t="n">
        <f aca="false">G30+H30</f>
        <v>188</v>
      </c>
      <c r="J30" s="83" t="n">
        <f aca="false">IF(L30&gt;0,L30,0)</f>
        <v>37.2820191580539</v>
      </c>
      <c r="K30" s="54" t="n">
        <f aca="false">I30+J30</f>
        <v>225.282019158054</v>
      </c>
      <c r="L30" s="54" t="n">
        <f aca="false">F30-(I30-X30)</f>
        <v>37.2820191580539</v>
      </c>
      <c r="M30" s="54" t="n">
        <v>217</v>
      </c>
      <c r="N30" s="54" t="n">
        <v>0.5</v>
      </c>
      <c r="O30" s="54" t="n">
        <f aca="false">57.13*1.05</f>
        <v>59.9865</v>
      </c>
      <c r="P30" s="7" t="n">
        <f aca="false">M30-(N30+O30)</f>
        <v>156.5135</v>
      </c>
      <c r="Q30" s="54" t="n">
        <v>63</v>
      </c>
      <c r="R30" s="104" t="n">
        <v>56</v>
      </c>
      <c r="S30" s="54" t="n">
        <f aca="false">SUM(P30:R30)</f>
        <v>275.5135</v>
      </c>
      <c r="T30" s="55" t="n">
        <f aca="false">(I30-S30)+T29</f>
        <v>-1777.491</v>
      </c>
      <c r="U30" s="54" t="n">
        <v>185.31</v>
      </c>
      <c r="V30" s="54" t="n">
        <v>71</v>
      </c>
      <c r="W30" s="55" t="n">
        <f aca="false">W29-V30</f>
        <v>8602</v>
      </c>
      <c r="X30" s="7" t="n">
        <f aca="false">N30+O30+S30+U30+V30</f>
        <v>592.31</v>
      </c>
      <c r="Y30" s="54" t="n">
        <f aca="false">IF(L30&lt;0,L30*-1,0)</f>
        <v>0</v>
      </c>
      <c r="Z30" s="54" t="n">
        <f aca="false">X30+Y30</f>
        <v>592.31</v>
      </c>
      <c r="AA30" s="58" t="n">
        <v>0</v>
      </c>
      <c r="AB30" s="59" t="n">
        <v>75</v>
      </c>
      <c r="AC30" s="59" t="n">
        <v>51</v>
      </c>
      <c r="AD30" s="60" t="n">
        <v>21</v>
      </c>
      <c r="AE30" s="95"/>
      <c r="AF30" s="97"/>
      <c r="AG30" s="97"/>
    </row>
    <row r="31" customFormat="false" ht="11.1" hidden="false" customHeight="true" outlineLevel="0" collapsed="false">
      <c r="A31" s="60" t="n">
        <v>22</v>
      </c>
      <c r="B31" s="75" t="n">
        <v>6892.57</v>
      </c>
      <c r="C31" s="55" t="n">
        <v>256979</v>
      </c>
      <c r="D31" s="59" t="n">
        <f aca="false">C31-C30</f>
        <v>-589</v>
      </c>
      <c r="E31" s="55" t="n">
        <f aca="false">C31-152000</f>
        <v>104979</v>
      </c>
      <c r="F31" s="54" t="n">
        <f aca="false">D31/$D$2</f>
        <v>-296.949836148223</v>
      </c>
      <c r="G31" s="54" t="n">
        <v>197</v>
      </c>
      <c r="H31" s="56" t="n">
        <v>0</v>
      </c>
      <c r="I31" s="54" t="n">
        <f aca="false">G31+H31</f>
        <v>197</v>
      </c>
      <c r="J31" s="83" t="n">
        <f aca="false">IF(L31&gt;0,L31,0)</f>
        <v>22.4701638517772</v>
      </c>
      <c r="K31" s="54" t="n">
        <f aca="false">I31+J31</f>
        <v>219.470163851777</v>
      </c>
      <c r="L31" s="54" t="n">
        <f aca="false">F31-(I31-X31)</f>
        <v>22.4701638517772</v>
      </c>
      <c r="M31" s="54" t="n">
        <v>206</v>
      </c>
      <c r="N31" s="54" t="n">
        <v>0.5</v>
      </c>
      <c r="O31" s="54" t="n">
        <f aca="false">52.68*1.05</f>
        <v>55.314</v>
      </c>
      <c r="P31" s="7" t="n">
        <f aca="false">M31-(N31+O31)</f>
        <v>150.186</v>
      </c>
      <c r="Q31" s="54" t="n">
        <v>63</v>
      </c>
      <c r="R31" s="54" t="n">
        <v>59</v>
      </c>
      <c r="S31" s="54" t="n">
        <f aca="false">SUM(P31:R31)</f>
        <v>272.186</v>
      </c>
      <c r="T31" s="55" t="n">
        <f aca="false">(I31-S31)+T30</f>
        <v>-1852.677</v>
      </c>
      <c r="U31" s="54" t="n">
        <v>113.42</v>
      </c>
      <c r="V31" s="54" t="n">
        <v>75</v>
      </c>
      <c r="W31" s="55" t="n">
        <f aca="false">W30-V31</f>
        <v>8527</v>
      </c>
      <c r="X31" s="7" t="n">
        <f aca="false">N31+O31+S31+U31+V31</f>
        <v>516.42</v>
      </c>
      <c r="Y31" s="54" t="n">
        <f aca="false">IF(L31&lt;0,L31*-1,0)</f>
        <v>0</v>
      </c>
      <c r="Z31" s="54" t="n">
        <f aca="false">X31+Y31</f>
        <v>516.42</v>
      </c>
      <c r="AA31" s="58" t="n">
        <v>0.19</v>
      </c>
      <c r="AB31" s="59" t="n">
        <v>75</v>
      </c>
      <c r="AC31" s="59" t="n">
        <v>52</v>
      </c>
      <c r="AD31" s="60" t="n">
        <v>22</v>
      </c>
      <c r="AE31" s="95"/>
      <c r="AF31" s="97"/>
      <c r="AG31" s="97"/>
    </row>
    <row r="32" customFormat="false" ht="11.1" hidden="false" customHeight="true" outlineLevel="0" collapsed="false">
      <c r="A32" s="60" t="n">
        <v>23</v>
      </c>
      <c r="B32" s="75" t="n">
        <v>6892.39</v>
      </c>
      <c r="C32" s="55" t="n">
        <v>256355</v>
      </c>
      <c r="D32" s="59" t="n">
        <f aca="false">C32-C31</f>
        <v>-624</v>
      </c>
      <c r="E32" s="55" t="n">
        <f aca="false">C32-152000</f>
        <v>104355</v>
      </c>
      <c r="F32" s="54" t="n">
        <f aca="false">D32/$D$2</f>
        <v>-314.595412150239</v>
      </c>
      <c r="G32" s="54" t="n">
        <v>232</v>
      </c>
      <c r="H32" s="56" t="n">
        <v>0</v>
      </c>
      <c r="I32" s="54" t="n">
        <f aca="false">G32+H32</f>
        <v>232</v>
      </c>
      <c r="J32" s="83" t="n">
        <f aca="false">IF(L32&gt;0,L32,0)</f>
        <v>3.86458784976043</v>
      </c>
      <c r="K32" s="54" t="n">
        <f aca="false">I32+J32</f>
        <v>235.86458784976</v>
      </c>
      <c r="L32" s="54" t="n">
        <f aca="false">F32-(I32-X32)</f>
        <v>3.86458784976043</v>
      </c>
      <c r="M32" s="54" t="n">
        <v>205</v>
      </c>
      <c r="N32" s="54" t="n">
        <v>0.5</v>
      </c>
      <c r="O32" s="54" t="n">
        <f aca="false">47.21*1.05</f>
        <v>49.5705</v>
      </c>
      <c r="P32" s="7" t="n">
        <f aca="false">M32-(N32+O32)</f>
        <v>154.9295</v>
      </c>
      <c r="Q32" s="54" t="n">
        <v>63</v>
      </c>
      <c r="R32" s="54" t="n">
        <v>60</v>
      </c>
      <c r="S32" s="54" t="n">
        <f aca="false">SUM(P32:R32)</f>
        <v>277.9295</v>
      </c>
      <c r="T32" s="55" t="n">
        <f aca="false">(I32-S32)+T31</f>
        <v>-1898.6065</v>
      </c>
      <c r="U32" s="54" t="n">
        <v>151.46</v>
      </c>
      <c r="V32" s="54" t="n">
        <v>71</v>
      </c>
      <c r="W32" s="55" t="n">
        <f aca="false">W31-V32</f>
        <v>8456</v>
      </c>
      <c r="X32" s="7" t="n">
        <f aca="false">N32+O32+S32+U32+V32</f>
        <v>550.46</v>
      </c>
      <c r="Y32" s="54" t="n">
        <f aca="false">IF(L32&lt;0,L32*-1,0)</f>
        <v>0</v>
      </c>
      <c r="Z32" s="54" t="n">
        <f aca="false">X32+Y32</f>
        <v>550.46</v>
      </c>
      <c r="AA32" s="58" t="n">
        <v>0</v>
      </c>
      <c r="AB32" s="59" t="n">
        <v>80</v>
      </c>
      <c r="AC32" s="59" t="n">
        <v>47</v>
      </c>
      <c r="AD32" s="60" t="n">
        <v>23</v>
      </c>
      <c r="AE32" s="95"/>
      <c r="AF32" s="97"/>
      <c r="AG32" s="97"/>
    </row>
    <row r="33" customFormat="false" ht="11.1" hidden="false" customHeight="true" outlineLevel="0" collapsed="false">
      <c r="A33" s="60" t="n">
        <v>24</v>
      </c>
      <c r="B33" s="75" t="n">
        <v>6892.15</v>
      </c>
      <c r="C33" s="55" t="n">
        <v>255523</v>
      </c>
      <c r="D33" s="59" t="n">
        <f aca="false">C33-C32</f>
        <v>-832</v>
      </c>
      <c r="E33" s="55" t="n">
        <f aca="false">C33-152000</f>
        <v>103523</v>
      </c>
      <c r="F33" s="54" t="n">
        <f aca="false">D33/$D$2</f>
        <v>-419.460549533653</v>
      </c>
      <c r="G33" s="54" t="n">
        <v>196</v>
      </c>
      <c r="H33" s="56" t="n">
        <v>0</v>
      </c>
      <c r="I33" s="54" t="n">
        <f aca="false">G33+H33</f>
        <v>196</v>
      </c>
      <c r="J33" s="83" t="n">
        <f aca="false">IF(L33&gt;0,L33,0)</f>
        <v>0</v>
      </c>
      <c r="K33" s="54" t="n">
        <f aca="false">I33+J33</f>
        <v>196</v>
      </c>
      <c r="L33" s="54" t="n">
        <f aca="false">F33-(I33-X33)</f>
        <v>-66.2105495336526</v>
      </c>
      <c r="M33" s="54" t="n">
        <v>191</v>
      </c>
      <c r="N33" s="54" t="n">
        <v>0.5</v>
      </c>
      <c r="O33" s="54" t="n">
        <f aca="false">43.81*1.05</f>
        <v>46.0005</v>
      </c>
      <c r="P33" s="7" t="n">
        <f aca="false">M33-(N33+O33)</f>
        <v>144.4995</v>
      </c>
      <c r="Q33" s="54" t="n">
        <v>63</v>
      </c>
      <c r="R33" s="54" t="n">
        <v>65</v>
      </c>
      <c r="S33" s="54" t="n">
        <f aca="false">SUM(P33:R33)</f>
        <v>272.4995</v>
      </c>
      <c r="T33" s="55" t="n">
        <f aca="false">(I33-S33)+T32</f>
        <v>-1975.106</v>
      </c>
      <c r="U33" s="54" t="n">
        <v>159.25</v>
      </c>
      <c r="V33" s="54" t="n">
        <v>71</v>
      </c>
      <c r="W33" s="55" t="n">
        <f aca="false">W32-V33</f>
        <v>8385</v>
      </c>
      <c r="X33" s="7" t="n">
        <f aca="false">N33+O33+S33+U33+V33</f>
        <v>549.25</v>
      </c>
      <c r="Y33" s="54" t="n">
        <f aca="false">IF(L33&lt;0,L33*-1,0)</f>
        <v>66.2105495336526</v>
      </c>
      <c r="Z33" s="54" t="n">
        <f aca="false">X33+Y33</f>
        <v>615.460549533653</v>
      </c>
      <c r="AA33" s="58" t="n">
        <v>0</v>
      </c>
      <c r="AB33" s="59" t="n">
        <v>83</v>
      </c>
      <c r="AC33" s="59" t="n">
        <v>52</v>
      </c>
      <c r="AD33" s="60" t="n">
        <v>24</v>
      </c>
      <c r="AE33" s="95"/>
      <c r="AF33" s="97"/>
      <c r="AG33" s="97"/>
    </row>
    <row r="34" customFormat="false" ht="11.1" hidden="false" customHeight="true" outlineLevel="0" collapsed="false">
      <c r="A34" s="60" t="n">
        <v>25</v>
      </c>
      <c r="B34" s="75" t="n">
        <v>6891.92</v>
      </c>
      <c r="C34" s="55" t="n">
        <v>254728</v>
      </c>
      <c r="D34" s="59" t="n">
        <f aca="false">C34-C33</f>
        <v>-795</v>
      </c>
      <c r="E34" s="55" t="n">
        <f aca="false">C34-152000</f>
        <v>102728</v>
      </c>
      <c r="F34" s="54" t="n">
        <f aca="false">D34/$D$2</f>
        <v>-400.806654902949</v>
      </c>
      <c r="G34" s="54" t="n">
        <v>172</v>
      </c>
      <c r="H34" s="56" t="n">
        <v>0</v>
      </c>
      <c r="I34" s="54" t="n">
        <f aca="false">G34+H34</f>
        <v>172</v>
      </c>
      <c r="J34" s="83" t="n">
        <f aca="false">IF(L34&gt;0,L34,0)</f>
        <v>5.58334509705065</v>
      </c>
      <c r="K34" s="54" t="n">
        <f aca="false">I34+J34</f>
        <v>177.583345097051</v>
      </c>
      <c r="L34" s="54" t="n">
        <f aca="false">F34-(I34-X34)</f>
        <v>5.58334509705065</v>
      </c>
      <c r="M34" s="54" t="n">
        <v>220</v>
      </c>
      <c r="N34" s="54" t="n">
        <v>0.5</v>
      </c>
      <c r="O34" s="54" t="n">
        <f aca="false">34.99*1.05</f>
        <v>36.7395</v>
      </c>
      <c r="P34" s="7" t="n">
        <f aca="false">M34-(N34+O34)</f>
        <v>182.7605</v>
      </c>
      <c r="Q34" s="54" t="n">
        <v>63</v>
      </c>
      <c r="R34" s="54" t="n">
        <v>66</v>
      </c>
      <c r="S34" s="54" t="n">
        <f aca="false">SUM(P34:R34)</f>
        <v>311.7605</v>
      </c>
      <c r="T34" s="55" t="n">
        <f aca="false">(I34-S34)+T33</f>
        <v>-2114.8665</v>
      </c>
      <c r="U34" s="54" t="n">
        <v>158.39</v>
      </c>
      <c r="V34" s="54" t="n">
        <v>71</v>
      </c>
      <c r="W34" s="55" t="n">
        <f aca="false">W33-V34</f>
        <v>8314</v>
      </c>
      <c r="X34" s="7" t="n">
        <f aca="false">N34+O34+S34+U34+V34</f>
        <v>578.39</v>
      </c>
      <c r="Y34" s="54" t="n">
        <f aca="false">IF(L34&lt;0,L34*-1,0)</f>
        <v>0</v>
      </c>
      <c r="Z34" s="54" t="n">
        <f aca="false">X34+Y34</f>
        <v>578.39</v>
      </c>
      <c r="AA34" s="58" t="n">
        <v>0</v>
      </c>
      <c r="AB34" s="59" t="n">
        <v>87</v>
      </c>
      <c r="AC34" s="59" t="n">
        <v>55</v>
      </c>
      <c r="AD34" s="60" t="n">
        <v>25</v>
      </c>
      <c r="AE34" s="95"/>
      <c r="AF34" s="97"/>
      <c r="AG34" s="97"/>
    </row>
    <row r="35" customFormat="false" ht="11.1" hidden="false" customHeight="true" outlineLevel="0" collapsed="false">
      <c r="A35" s="60" t="n">
        <v>26</v>
      </c>
      <c r="B35" s="75" t="n">
        <v>6891.64</v>
      </c>
      <c r="C35" s="55" t="n">
        <v>253767</v>
      </c>
      <c r="D35" s="59" t="n">
        <f aca="false">C35-C34</f>
        <v>-961</v>
      </c>
      <c r="E35" s="55" t="n">
        <f aca="false">C35-152000</f>
        <v>101767</v>
      </c>
      <c r="F35" s="54" t="n">
        <f aca="false">D35/$D$2</f>
        <v>-484.497101083943</v>
      </c>
      <c r="G35" s="54" t="n">
        <v>159</v>
      </c>
      <c r="H35" s="56" t="n">
        <v>0</v>
      </c>
      <c r="I35" s="54" t="n">
        <f aca="false">G35+H35</f>
        <v>159</v>
      </c>
      <c r="J35" s="83" t="n">
        <f aca="false">IF(L35&gt;0,L35,0)</f>
        <v>0</v>
      </c>
      <c r="K35" s="54" t="n">
        <f aca="false">I35+J35</f>
        <v>159</v>
      </c>
      <c r="L35" s="54" t="n">
        <f aca="false">F35-(I35-X35)</f>
        <v>-47.3971010839425</v>
      </c>
      <c r="M35" s="54" t="n">
        <v>243</v>
      </c>
      <c r="N35" s="54" t="n">
        <v>0.5</v>
      </c>
      <c r="O35" s="54" t="n">
        <f aca="false">53.13*1.05</f>
        <v>55.7865</v>
      </c>
      <c r="P35" s="7" t="n">
        <f aca="false">M35-(N35+O35)</f>
        <v>186.7135</v>
      </c>
      <c r="Q35" s="54" t="n">
        <v>63</v>
      </c>
      <c r="R35" s="54" t="n">
        <v>66</v>
      </c>
      <c r="S35" s="54" t="n">
        <f aca="false">SUM(P35:R35)</f>
        <v>315.7135</v>
      </c>
      <c r="T35" s="55" t="n">
        <f aca="false">(I35-S35)+T34</f>
        <v>-2271.58</v>
      </c>
      <c r="U35" s="54" t="n">
        <v>154.08</v>
      </c>
      <c r="V35" s="54" t="n">
        <v>70.02</v>
      </c>
      <c r="W35" s="55" t="n">
        <f aca="false">W34-V35</f>
        <v>8243.98</v>
      </c>
      <c r="X35" s="7" t="n">
        <f aca="false">N35+O35+S35+U35+V35</f>
        <v>596.1</v>
      </c>
      <c r="Y35" s="54" t="n">
        <f aca="false">IF(L35&lt;0,L35*-1,0)</f>
        <v>47.3971010839425</v>
      </c>
      <c r="Z35" s="54" t="n">
        <f aca="false">X35+Y35</f>
        <v>643.497101083943</v>
      </c>
      <c r="AA35" s="58" t="n">
        <v>0</v>
      </c>
      <c r="AB35" s="59" t="n">
        <v>87</v>
      </c>
      <c r="AC35" s="59" t="n">
        <v>54</v>
      </c>
      <c r="AD35" s="60" t="n">
        <v>26</v>
      </c>
      <c r="AE35" s="95"/>
      <c r="AF35" s="97"/>
      <c r="AG35" s="97"/>
    </row>
    <row r="36" customFormat="false" ht="11.1" hidden="false" customHeight="true" outlineLevel="0" collapsed="false">
      <c r="A36" s="60" t="n">
        <v>27</v>
      </c>
      <c r="B36" s="75" t="n">
        <v>6891.34</v>
      </c>
      <c r="C36" s="55" t="n">
        <v>252736</v>
      </c>
      <c r="D36" s="59" t="n">
        <f aca="false">C36-C35</f>
        <v>-1031</v>
      </c>
      <c r="E36" s="55" t="n">
        <f aca="false">C36-152000</f>
        <v>100736</v>
      </c>
      <c r="F36" s="54" t="n">
        <f aca="false">D36/$D$2</f>
        <v>-519.788253087976</v>
      </c>
      <c r="G36" s="54" t="n">
        <v>151</v>
      </c>
      <c r="H36" s="56" t="n">
        <v>0</v>
      </c>
      <c r="I36" s="54" t="n">
        <f aca="false">G36+H36</f>
        <v>151</v>
      </c>
      <c r="J36" s="83" t="n">
        <f aca="false">IF(L36&gt;0,L36,0)</f>
        <v>0</v>
      </c>
      <c r="K36" s="54" t="n">
        <f aca="false">I36+J36</f>
        <v>151</v>
      </c>
      <c r="L36" s="54" t="n">
        <f aca="false">F36-(I36-X36)</f>
        <v>-23.6382530879758</v>
      </c>
      <c r="M36" s="54" t="n">
        <v>265</v>
      </c>
      <c r="N36" s="54" t="n">
        <v>0.5</v>
      </c>
      <c r="O36" s="54" t="n">
        <f aca="false">50*1.05</f>
        <v>52.5</v>
      </c>
      <c r="P36" s="7" t="n">
        <f aca="false">M36-(N36+O36)</f>
        <v>212</v>
      </c>
      <c r="Q36" s="54" t="n">
        <v>64</v>
      </c>
      <c r="R36" s="54" t="n">
        <v>65</v>
      </c>
      <c r="S36" s="54" t="n">
        <f aca="false">SUM(P36:R36)</f>
        <v>341</v>
      </c>
      <c r="T36" s="55" t="n">
        <f aca="false">(I36-S36)+T35</f>
        <v>-2461.58</v>
      </c>
      <c r="U36" s="54" t="n">
        <v>183.15</v>
      </c>
      <c r="V36" s="54" t="n">
        <v>70</v>
      </c>
      <c r="W36" s="55" t="n">
        <f aca="false">W35-V36</f>
        <v>8173.98</v>
      </c>
      <c r="X36" s="7" t="n">
        <f aca="false">N36+O36+S36+U36+V36</f>
        <v>647.15</v>
      </c>
      <c r="Y36" s="54" t="n">
        <f aca="false">IF(L36&lt;0,L36*-1,0)</f>
        <v>23.6382530879758</v>
      </c>
      <c r="Z36" s="54" t="n">
        <f aca="false">X36+Y36</f>
        <v>670.788253087976</v>
      </c>
      <c r="AA36" s="58" t="n">
        <v>0</v>
      </c>
      <c r="AB36" s="59" t="n">
        <v>88</v>
      </c>
      <c r="AC36" s="59" t="n">
        <v>55</v>
      </c>
      <c r="AD36" s="60" t="n">
        <v>27</v>
      </c>
      <c r="AE36" s="95"/>
      <c r="AF36" s="97"/>
      <c r="AG36" s="97"/>
    </row>
    <row r="37" customFormat="false" ht="11.1" hidden="false" customHeight="true" outlineLevel="0" collapsed="false">
      <c r="A37" s="140" t="n">
        <v>28</v>
      </c>
      <c r="B37" s="115" t="n">
        <v>6891.02</v>
      </c>
      <c r="C37" s="116" t="n">
        <v>251638</v>
      </c>
      <c r="D37" s="137" t="n">
        <f aca="false">C37-C36</f>
        <v>-1098</v>
      </c>
      <c r="E37" s="116" t="n">
        <f aca="false">C37-152000</f>
        <v>99638</v>
      </c>
      <c r="F37" s="104" t="n">
        <f aca="false">D37/$D$2</f>
        <v>-553.566927148979</v>
      </c>
      <c r="G37" s="104" t="n">
        <v>146</v>
      </c>
      <c r="H37" s="141" t="n">
        <v>0</v>
      </c>
      <c r="I37" s="104" t="n">
        <f aca="false">G37+H37</f>
        <v>146</v>
      </c>
      <c r="J37" s="142" t="n">
        <f aca="false">IF(L37&gt;0,L37,0)</f>
        <v>0</v>
      </c>
      <c r="K37" s="104" t="n">
        <f aca="false">I37+J37</f>
        <v>146</v>
      </c>
      <c r="L37" s="104" t="n">
        <f aca="false">F37-(I37-X37)</f>
        <v>-42.8969271489791</v>
      </c>
      <c r="M37" s="104" t="n">
        <v>277</v>
      </c>
      <c r="N37" s="104" t="n">
        <v>0.5</v>
      </c>
      <c r="O37" s="104" t="n">
        <f aca="false">70.68*1.05</f>
        <v>74.214</v>
      </c>
      <c r="P37" s="7" t="n">
        <f aca="false">M37-(N37+O37)</f>
        <v>202.286</v>
      </c>
      <c r="Q37" s="104" t="n">
        <v>64</v>
      </c>
      <c r="R37" s="104" t="n">
        <v>65</v>
      </c>
      <c r="S37" s="104" t="n">
        <f aca="false">SUM(P37:R37)</f>
        <v>331.286</v>
      </c>
      <c r="T37" s="116" t="n">
        <f aca="false">(I37-S37)+T36</f>
        <v>-2646.866</v>
      </c>
      <c r="U37" s="104" t="n">
        <v>180.67</v>
      </c>
      <c r="V37" s="54" t="n">
        <v>70</v>
      </c>
      <c r="W37" s="55" t="n">
        <f aca="false">W36-V37</f>
        <v>8103.98</v>
      </c>
      <c r="X37" s="7" t="n">
        <f aca="false">N37+O37+S37+U37+V37</f>
        <v>656.67</v>
      </c>
      <c r="Y37" s="104" t="n">
        <f aca="false">IF(L37&lt;0,L37*-1,0)</f>
        <v>42.8969271489791</v>
      </c>
      <c r="Z37" s="104" t="n">
        <f aca="false">X37+Y37</f>
        <v>699.566927148979</v>
      </c>
      <c r="AA37" s="102" t="n">
        <v>0</v>
      </c>
      <c r="AB37" s="137" t="n">
        <v>87</v>
      </c>
      <c r="AC37" s="137" t="n">
        <v>58</v>
      </c>
      <c r="AD37" s="140" t="n">
        <v>28</v>
      </c>
      <c r="AE37" s="95"/>
      <c r="AF37" s="97"/>
      <c r="AG37" s="97"/>
    </row>
    <row r="38" customFormat="false" ht="11.1" hidden="false" customHeight="true" outlineLevel="0" collapsed="false">
      <c r="A38" s="140" t="n">
        <v>29</v>
      </c>
      <c r="B38" s="115" t="n">
        <v>6890.74</v>
      </c>
      <c r="C38" s="116" t="n">
        <v>250685</v>
      </c>
      <c r="D38" s="137" t="n">
        <f aca="false">C38-C37</f>
        <v>-953</v>
      </c>
      <c r="E38" s="116" t="n">
        <f aca="false">C38-152000</f>
        <v>98685</v>
      </c>
      <c r="F38" s="104" t="n">
        <f aca="false">D38/$D$2</f>
        <v>-480.463826569196</v>
      </c>
      <c r="G38" s="104" t="n">
        <v>150</v>
      </c>
      <c r="H38" s="141" t="n">
        <v>0</v>
      </c>
      <c r="I38" s="104" t="n">
        <f aca="false">G38+H38</f>
        <v>150</v>
      </c>
      <c r="J38" s="142" t="n">
        <f aca="false">IF(L38&gt;0,L38,0)</f>
        <v>25.3061734308041</v>
      </c>
      <c r="K38" s="104" t="n">
        <f aca="false">I38+J38</f>
        <v>175.306173430804</v>
      </c>
      <c r="L38" s="104" t="n">
        <f aca="false">F38-(I38-X38)</f>
        <v>25.3061734308041</v>
      </c>
      <c r="M38" s="104" t="n">
        <v>280</v>
      </c>
      <c r="N38" s="104" t="n">
        <v>0.5</v>
      </c>
      <c r="O38" s="104" t="n">
        <f aca="false">69.56*1.05</f>
        <v>73.038</v>
      </c>
      <c r="P38" s="7" t="n">
        <f aca="false">M38-(N38+O38)</f>
        <v>206.462</v>
      </c>
      <c r="Q38" s="104" t="n">
        <v>64</v>
      </c>
      <c r="R38" s="104" t="n">
        <v>64</v>
      </c>
      <c r="S38" s="104" t="n">
        <f aca="false">SUM(P38:R38)</f>
        <v>334.462</v>
      </c>
      <c r="T38" s="116" t="n">
        <f aca="false">(I38-S38)+T37</f>
        <v>-2831.328</v>
      </c>
      <c r="U38" s="104" t="n">
        <v>177.77</v>
      </c>
      <c r="V38" s="54" t="n">
        <v>70</v>
      </c>
      <c r="W38" s="55" t="n">
        <f aca="false">W37-V38</f>
        <v>8033.98</v>
      </c>
      <c r="X38" s="7" t="n">
        <f aca="false">N38+O38+S38+U38+V38</f>
        <v>655.77</v>
      </c>
      <c r="Y38" s="104" t="n">
        <f aca="false">IF(L38&lt;0,L38*-1,0)</f>
        <v>0</v>
      </c>
      <c r="Z38" s="104" t="n">
        <f aca="false">X38+Y38</f>
        <v>655.77</v>
      </c>
      <c r="AA38" s="102" t="n">
        <v>0</v>
      </c>
      <c r="AB38" s="137" t="n">
        <v>84</v>
      </c>
      <c r="AC38" s="137" t="n">
        <v>51</v>
      </c>
      <c r="AD38" s="140" t="n">
        <v>29</v>
      </c>
      <c r="AE38" s="95"/>
      <c r="AF38" s="97"/>
      <c r="AG38" s="97"/>
    </row>
    <row r="39" customFormat="false" ht="11.1" hidden="false" customHeight="true" outlineLevel="0" collapsed="false">
      <c r="A39" s="140" t="n">
        <v>30</v>
      </c>
      <c r="B39" s="115" t="n">
        <v>6890.41</v>
      </c>
      <c r="C39" s="116" t="n">
        <v>249562</v>
      </c>
      <c r="D39" s="137" t="n">
        <f aca="false">C39-C38</f>
        <v>-1123</v>
      </c>
      <c r="E39" s="116" t="n">
        <f aca="false">C39-152000</f>
        <v>97562</v>
      </c>
      <c r="F39" s="104" t="n">
        <f aca="false">D39/$D$2</f>
        <v>-566.170910007562</v>
      </c>
      <c r="G39" s="104" t="n">
        <v>139</v>
      </c>
      <c r="H39" s="141" t="n">
        <v>0</v>
      </c>
      <c r="I39" s="104" t="n">
        <f aca="false">G39+H39</f>
        <v>139</v>
      </c>
      <c r="J39" s="142" t="n">
        <f aca="false">IF(L39&gt;0,L39,0)</f>
        <v>0</v>
      </c>
      <c r="K39" s="104" t="n">
        <f aca="false">I39+J39</f>
        <v>139</v>
      </c>
      <c r="L39" s="104" t="n">
        <f aca="false">F39-(I39-X39)</f>
        <v>-51.2809100075624</v>
      </c>
      <c r="M39" s="104" t="n">
        <v>285</v>
      </c>
      <c r="N39" s="104" t="n">
        <v>0.5</v>
      </c>
      <c r="O39" s="104" t="n">
        <f aca="false">87.33*1.05</f>
        <v>91.6965</v>
      </c>
      <c r="P39" s="7" t="n">
        <f aca="false">M39-(N39+O39)</f>
        <v>192.8035</v>
      </c>
      <c r="Q39" s="104" t="n">
        <v>63</v>
      </c>
      <c r="R39" s="104" t="n">
        <v>66</v>
      </c>
      <c r="S39" s="104" t="n">
        <f aca="false">SUM(P39:R39)</f>
        <v>321.8035</v>
      </c>
      <c r="T39" s="116" t="n">
        <f aca="false">(I39-S39)+T38</f>
        <v>-3014.1315</v>
      </c>
      <c r="U39" s="104" t="n">
        <v>169.89</v>
      </c>
      <c r="V39" s="54" t="n">
        <v>70</v>
      </c>
      <c r="W39" s="55" t="n">
        <f aca="false">W38-V39</f>
        <v>7963.98</v>
      </c>
      <c r="X39" s="7" t="n">
        <f aca="false">N39+O39+S39+U39+V39</f>
        <v>653.89</v>
      </c>
      <c r="Y39" s="104" t="n">
        <f aca="false">IF(L39&lt;0,L39*-1,0)</f>
        <v>51.2809100075624</v>
      </c>
      <c r="Z39" s="104" t="n">
        <f aca="false">X39+Y39</f>
        <v>705.170910007562</v>
      </c>
      <c r="AA39" s="102" t="n">
        <v>0</v>
      </c>
      <c r="AB39" s="137" t="n">
        <v>80</v>
      </c>
      <c r="AC39" s="137" t="n">
        <v>52</v>
      </c>
      <c r="AD39" s="140" t="n">
        <v>30</v>
      </c>
      <c r="AE39" s="95"/>
      <c r="AF39" s="97"/>
      <c r="AG39" s="97"/>
    </row>
    <row r="40" customFormat="false" ht="11.1" hidden="false" customHeight="true" outlineLevel="0" collapsed="false">
      <c r="A40" s="140" t="n">
        <v>31</v>
      </c>
      <c r="B40" s="115" t="n">
        <v>6890.09</v>
      </c>
      <c r="C40" s="116" t="n">
        <v>248474</v>
      </c>
      <c r="D40" s="137" t="n">
        <f aca="false">C40-C39</f>
        <v>-1088</v>
      </c>
      <c r="E40" s="116" t="n">
        <f aca="false">C40-152000</f>
        <v>96474</v>
      </c>
      <c r="F40" s="104" t="n">
        <f aca="false">D40/$D$2</f>
        <v>-548.525334005546</v>
      </c>
      <c r="G40" s="104" t="n">
        <v>155</v>
      </c>
      <c r="H40" s="141" t="n">
        <v>0</v>
      </c>
      <c r="I40" s="104" t="n">
        <f aca="false">G40+H40</f>
        <v>155</v>
      </c>
      <c r="J40" s="142" t="n">
        <f aca="false">IF(L40&gt;0,L40,0)</f>
        <v>0</v>
      </c>
      <c r="K40" s="104" t="n">
        <f aca="false">I40+J40</f>
        <v>155</v>
      </c>
      <c r="L40" s="104" t="n">
        <f aca="false">F40-(I40-X40)</f>
        <v>-41.3853340055457</v>
      </c>
      <c r="M40" s="104" t="n">
        <v>283</v>
      </c>
      <c r="N40" s="104" t="n">
        <v>0.5</v>
      </c>
      <c r="O40" s="104" t="n">
        <f aca="false">94.1*1.05</f>
        <v>98.805</v>
      </c>
      <c r="P40" s="7" t="n">
        <f aca="false">M40-(N40+O40)</f>
        <v>183.695</v>
      </c>
      <c r="Q40" s="104" t="n">
        <v>63</v>
      </c>
      <c r="R40" s="104" t="n">
        <v>66</v>
      </c>
      <c r="S40" s="104" t="n">
        <f aca="false">SUM(P40:R40)</f>
        <v>312.695</v>
      </c>
      <c r="T40" s="116" t="n">
        <f aca="false">(I40-S40)+T39</f>
        <v>-3171.8265</v>
      </c>
      <c r="U40" s="104" t="n">
        <v>180.14</v>
      </c>
      <c r="V40" s="54" t="n">
        <v>70</v>
      </c>
      <c r="W40" s="55" t="n">
        <f aca="false">W39-V40</f>
        <v>7893.98</v>
      </c>
      <c r="X40" s="7" t="n">
        <f aca="false">N40+O40+S40+U40+V40</f>
        <v>662.14</v>
      </c>
      <c r="Y40" s="104" t="n">
        <f aca="false">IF(L40&lt;0,L40*-1,0)</f>
        <v>41.3853340055457</v>
      </c>
      <c r="Z40" s="104" t="n">
        <f aca="false">X40+Y40</f>
        <v>703.525334005546</v>
      </c>
      <c r="AA40" s="102" t="n">
        <v>0</v>
      </c>
      <c r="AB40" s="137" t="n">
        <v>80</v>
      </c>
      <c r="AC40" s="137" t="n">
        <v>51</v>
      </c>
      <c r="AD40" s="140" t="n">
        <v>31</v>
      </c>
      <c r="AE40" s="95"/>
      <c r="AF40" s="97"/>
      <c r="AG40" s="97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5"/>
      <c r="AF41" s="95"/>
      <c r="AG41" s="96"/>
    </row>
    <row r="42" customFormat="false" ht="11.1" hidden="false" customHeight="true" outlineLevel="0" collapsed="false">
      <c r="A42" s="54" t="s">
        <v>46</v>
      </c>
      <c r="B42" s="54"/>
      <c r="C42" s="55"/>
      <c r="D42" s="55"/>
      <c r="E42" s="55"/>
      <c r="F42" s="55" t="n">
        <f aca="false">SUM(F10:F40)</f>
        <v>-12987.6480967986</v>
      </c>
      <c r="G42" s="55" t="n">
        <f aca="false">SUM(G10:G40)</f>
        <v>7383</v>
      </c>
      <c r="H42" s="56" t="n">
        <f aca="false">SUM(H10:H40)</f>
        <v>1.48</v>
      </c>
      <c r="I42" s="55" t="n">
        <f aca="false">SUM(I10:I40)</f>
        <v>7384.48</v>
      </c>
      <c r="J42" s="55" t="n">
        <f aca="false">SUM(J10:J40)</f>
        <v>616.286400302496</v>
      </c>
      <c r="K42" s="55" t="n">
        <f aca="false">SUM(K10:K40)</f>
        <v>8000.7664003025</v>
      </c>
      <c r="L42" s="55" t="n">
        <f aca="false">SUM(L10:L40)</f>
        <v>59.0419032014117</v>
      </c>
      <c r="M42" s="55" t="n">
        <f aca="false">SUM(M10:M40)</f>
        <v>7572</v>
      </c>
      <c r="N42" s="55" t="n">
        <f aca="false">SUM(N10:N40)</f>
        <v>12.5</v>
      </c>
      <c r="O42" s="55" t="n">
        <f aca="false">SUM(O10:O40)</f>
        <v>2102.0895</v>
      </c>
      <c r="P42" s="55" t="n">
        <f aca="false">SUM(P10:P40)</f>
        <v>5457.4105</v>
      </c>
      <c r="Q42" s="55" t="n">
        <f aca="false">SUM(Q10:Q40)</f>
        <v>3205</v>
      </c>
      <c r="R42" s="55" t="n">
        <f aca="false">SUM(R10:R40)</f>
        <v>2085</v>
      </c>
      <c r="S42" s="55" t="n">
        <f aca="false">SUM(S10:S40)</f>
        <v>10747.4105</v>
      </c>
      <c r="T42" s="55"/>
      <c r="U42" s="55" t="n">
        <f aca="false">SUM(U10:U40)</f>
        <v>5365.15</v>
      </c>
      <c r="V42" s="55" t="n">
        <f aca="false">SUM(V10:V40)</f>
        <v>2204.02</v>
      </c>
      <c r="W42" s="55"/>
      <c r="X42" s="55" t="n">
        <f aca="false">SUM(X10:X40)</f>
        <v>20431.17</v>
      </c>
      <c r="Y42" s="55" t="n">
        <f aca="false">SUM(Y10:Y40)</f>
        <v>557.244497101084</v>
      </c>
      <c r="Z42" s="55" t="n">
        <f aca="false">SUM(Z10:Z40)</f>
        <v>20988.4144971011</v>
      </c>
      <c r="AA42" s="58" t="n">
        <f aca="false">SUM(AA10:AA40)</f>
        <v>2.68</v>
      </c>
      <c r="AB42" s="59" t="n">
        <f aca="false">AVERAGE(AB10:AB40)</f>
        <v>82.1290322580645</v>
      </c>
      <c r="AC42" s="59" t="n">
        <f aca="false">AVERAGE(AC10:AC40)</f>
        <v>53.9677419354839</v>
      </c>
      <c r="AD42" s="60" t="s">
        <v>71</v>
      </c>
      <c r="AE42" s="95"/>
      <c r="AF42" s="95"/>
      <c r="AG42" s="96"/>
    </row>
    <row r="43" customFormat="false" ht="11.1" hidden="false" customHeight="true" outlineLevel="0" collapsed="false">
      <c r="A43" s="54" t="s">
        <v>48</v>
      </c>
      <c r="B43" s="54"/>
      <c r="C43" s="55"/>
      <c r="D43" s="55" t="n">
        <f aca="false">SUM(D10:D40)</f>
        <v>-25761</v>
      </c>
      <c r="E43" s="55"/>
      <c r="F43" s="55" t="n">
        <f aca="false">F42*$D$2</f>
        <v>-25761</v>
      </c>
      <c r="G43" s="55" t="n">
        <f aca="false">G42*$D$2</f>
        <v>14644.1805</v>
      </c>
      <c r="H43" s="56" t="n">
        <f aca="false">H42*$D$2</f>
        <v>2.93558</v>
      </c>
      <c r="I43" s="55" t="n">
        <f aca="false">I42*$D$2</f>
        <v>14647.11608</v>
      </c>
      <c r="J43" s="55" t="n">
        <f aca="false">J42*$D$2</f>
        <v>1222.404075</v>
      </c>
      <c r="K43" s="55" t="n">
        <f aca="false">K42*$D$2</f>
        <v>15869.520155</v>
      </c>
      <c r="L43" s="55" t="n">
        <f aca="false">L42*$D$2</f>
        <v>117.109615</v>
      </c>
      <c r="M43" s="55" t="n">
        <f aca="false">M42*$D$2</f>
        <v>15019.062</v>
      </c>
      <c r="N43" s="55" t="n">
        <f aca="false">N42*$D$2</f>
        <v>24.79375</v>
      </c>
      <c r="O43" s="55" t="n">
        <f aca="false">O42*$D$2</f>
        <v>4169.49452325</v>
      </c>
      <c r="P43" s="55" t="n">
        <f aca="false">P42*$D$2</f>
        <v>10824.77372675</v>
      </c>
      <c r="Q43" s="55" t="n">
        <f aca="false">Q42*$D$2</f>
        <v>6357.1175</v>
      </c>
      <c r="R43" s="55" t="n">
        <f aca="false">R42*$D$2</f>
        <v>4135.5975</v>
      </c>
      <c r="S43" s="55" t="n">
        <f aca="false">S42*$D$2</f>
        <v>21317.48872675</v>
      </c>
      <c r="T43" s="55"/>
      <c r="U43" s="55" t="n">
        <f aca="false">U42*$D$2</f>
        <v>10641.775025</v>
      </c>
      <c r="V43" s="55" t="n">
        <f aca="false">V42*$D$2</f>
        <v>4371.67367</v>
      </c>
      <c r="W43" s="55"/>
      <c r="X43" s="55" t="n">
        <f aca="false">X42*$D$2</f>
        <v>40525.225695</v>
      </c>
      <c r="Y43" s="55" t="n">
        <f aca="false">Y42*$D$2</f>
        <v>1105.29446</v>
      </c>
      <c r="Z43" s="55" t="n">
        <f aca="false">Z42*$D$2</f>
        <v>41630.520155</v>
      </c>
      <c r="AA43" s="58"/>
      <c r="AB43" s="59" t="n">
        <f aca="false">MAX(AB10:AB40)</f>
        <v>88</v>
      </c>
      <c r="AC43" s="59" t="n">
        <f aca="false">MAX(AC10:AC40)</f>
        <v>58</v>
      </c>
      <c r="AD43" s="60" t="s">
        <v>49</v>
      </c>
      <c r="AE43" s="95"/>
      <c r="AF43" s="95"/>
      <c r="AG43" s="96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9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5"/>
      <c r="AF44" s="95"/>
      <c r="AG44" s="96"/>
    </row>
    <row r="45" customFormat="false" ht="11.1" hidden="false" customHeight="true" outlineLevel="0" collapsed="false">
      <c r="A45" s="54" t="s">
        <v>50</v>
      </c>
      <c r="B45" s="54"/>
      <c r="C45" s="55"/>
      <c r="D45" s="55"/>
      <c r="E45" s="55"/>
      <c r="F45" s="55" t="n">
        <f aca="false">F7+F42</f>
        <v>10749.6849004285</v>
      </c>
      <c r="G45" s="55" t="n">
        <f aca="false">G7+G42</f>
        <v>104655</v>
      </c>
      <c r="H45" s="56" t="n">
        <f aca="false">H7+H42</f>
        <v>3391.54</v>
      </c>
      <c r="I45" s="55" t="n">
        <f aca="false">I7+I42</f>
        <v>108046.54</v>
      </c>
      <c r="J45" s="55" t="n">
        <f aca="false">J7+J42</f>
        <v>7518.14157549786</v>
      </c>
      <c r="K45" s="55" t="n">
        <f aca="false">K7+K42</f>
        <v>115564.681575498</v>
      </c>
      <c r="L45" s="55" t="n">
        <f aca="false">L7+L42</f>
        <v>3685.34490042854</v>
      </c>
      <c r="M45" s="55" t="n">
        <f aca="false">M7+M42</f>
        <v>38687</v>
      </c>
      <c r="N45" s="55" t="n">
        <f aca="false">N7+N42</f>
        <v>154</v>
      </c>
      <c r="O45" s="55" t="n">
        <f aca="false">O7+O42</f>
        <v>10732.0415</v>
      </c>
      <c r="P45" s="55" t="n">
        <f aca="false">P7+P42</f>
        <v>27800.9585</v>
      </c>
      <c r="Q45" s="55" t="n">
        <f aca="false">Q7+Q42</f>
        <v>18823</v>
      </c>
      <c r="R45" s="55" t="n">
        <f aca="false">R7+R42</f>
        <v>9659</v>
      </c>
      <c r="S45" s="55" t="n">
        <f aca="false">S7+S42</f>
        <v>56282.9585</v>
      </c>
      <c r="T45" s="55" t="n">
        <f aca="false">T40</f>
        <v>-3171.8265</v>
      </c>
      <c r="U45" s="55" t="n">
        <f aca="false">U7+U42</f>
        <v>24893.18</v>
      </c>
      <c r="V45" s="55" t="n">
        <f aca="false">V7+V42</f>
        <v>8920.02</v>
      </c>
      <c r="W45" s="55"/>
      <c r="X45" s="55" t="n">
        <f aca="false">X7+X42</f>
        <v>100982.2</v>
      </c>
      <c r="Y45" s="55" t="n">
        <f aca="false">Y7+Y42</f>
        <v>3832.79667506932</v>
      </c>
      <c r="Z45" s="55" t="n">
        <f aca="false">Z7+Z42</f>
        <v>104814.996675069</v>
      </c>
      <c r="AA45" s="58"/>
      <c r="AB45" s="59" t="n">
        <f aca="false">MIN(AB10:AB40)</f>
        <v>75</v>
      </c>
      <c r="AC45" s="59" t="n">
        <f aca="false">MIN(AC10:AC40)</f>
        <v>47</v>
      </c>
      <c r="AD45" s="60" t="s">
        <v>51</v>
      </c>
      <c r="AE45" s="95"/>
      <c r="AF45" s="95"/>
      <c r="AG45" s="96"/>
    </row>
    <row r="46" customFormat="false" ht="11.1" hidden="false" customHeight="true" outlineLevel="0" collapsed="false">
      <c r="A46" s="54" t="s">
        <v>52</v>
      </c>
      <c r="B46" s="54"/>
      <c r="C46" s="55"/>
      <c r="D46" s="55"/>
      <c r="E46" s="55"/>
      <c r="F46" s="55" t="n">
        <f aca="false">F45*$D$2</f>
        <v>21322</v>
      </c>
      <c r="G46" s="55" t="n">
        <f aca="false">G45*$D$2</f>
        <v>207583.1925</v>
      </c>
      <c r="H46" s="56" t="n">
        <f aca="false">H45*$D$2</f>
        <v>6727.11959</v>
      </c>
      <c r="I46" s="55" t="n">
        <f aca="false">I45*$D$2</f>
        <v>214310.31209</v>
      </c>
      <c r="J46" s="55" t="n">
        <f aca="false">J45*$D$2</f>
        <v>14912.233815</v>
      </c>
      <c r="K46" s="55" t="n">
        <f aca="false">K45*$D$2</f>
        <v>229222.545905</v>
      </c>
      <c r="L46" s="55" t="n">
        <f aca="false">L45*$D$2</f>
        <v>7309.88161</v>
      </c>
      <c r="M46" s="55" t="n">
        <f aca="false">M45*$D$2</f>
        <v>76735.6645</v>
      </c>
      <c r="N46" s="55" t="n">
        <f aca="false">N45*$D$2</f>
        <v>305.459</v>
      </c>
      <c r="O46" s="55" t="n">
        <f aca="false">O45*$D$2</f>
        <v>21287.00431525</v>
      </c>
      <c r="P46" s="55" t="n">
        <f aca="false">P45*$D$2</f>
        <v>55143.20118475</v>
      </c>
      <c r="Q46" s="55" t="n">
        <f aca="false">Q45*$D$2</f>
        <v>37335.4205</v>
      </c>
      <c r="R46" s="55" t="n">
        <f aca="false">R45*$D$2</f>
        <v>19158.6265</v>
      </c>
      <c r="S46" s="55" t="n">
        <f aca="false">S45*$D$2</f>
        <v>111637.24818475</v>
      </c>
      <c r="T46" s="55" t="n">
        <f aca="false">T45*$D$2</f>
        <v>-6291.31786274999</v>
      </c>
      <c r="U46" s="55" t="n">
        <f aca="false">U45*$D$2</f>
        <v>49375.62253</v>
      </c>
      <c r="V46" s="55" t="n">
        <f aca="false">V45*$D$2</f>
        <v>17692.85967</v>
      </c>
      <c r="W46" s="55"/>
      <c r="X46" s="55" t="n">
        <f aca="false">X45*$D$2</f>
        <v>200298.1937</v>
      </c>
      <c r="Y46" s="55" t="n">
        <f aca="false">Y45*$D$2</f>
        <v>7602.352205</v>
      </c>
      <c r="Z46" s="55" t="n">
        <f aca="false">Z45*$D$2</f>
        <v>207900.545905</v>
      </c>
      <c r="AA46" s="58"/>
      <c r="AB46" s="59"/>
      <c r="AC46" s="59"/>
      <c r="AD46" s="60"/>
      <c r="AE46" s="95"/>
      <c r="AF46" s="95"/>
      <c r="AG46" s="96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79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5"/>
      <c r="AF47" s="95"/>
      <c r="AG47" s="96"/>
    </row>
    <row r="48" customFormat="false" ht="11.1" hidden="false" customHeight="true" outlineLevel="0" collapsed="false">
      <c r="A48" s="54" t="s">
        <v>53</v>
      </c>
      <c r="B48" s="54"/>
      <c r="C48" s="55"/>
      <c r="D48" s="55"/>
      <c r="E48" s="55"/>
      <c r="F48" s="55" t="n">
        <f aca="false">F8+F42</f>
        <v>15633.4761784724</v>
      </c>
      <c r="G48" s="55" t="n">
        <f aca="false">G8+G42</f>
        <v>113612</v>
      </c>
      <c r="H48" s="56" t="n">
        <f aca="false">H8+H42</f>
        <v>3770.44</v>
      </c>
      <c r="I48" s="55" t="n">
        <f aca="false">I8+I42</f>
        <v>117382.44</v>
      </c>
      <c r="J48" s="55" t="n">
        <f aca="false">J8+J42</f>
        <v>10486.069838669</v>
      </c>
      <c r="K48" s="55" t="n">
        <f aca="false">K8+K42</f>
        <v>127868.509838669</v>
      </c>
      <c r="L48" s="55" t="n">
        <f aca="false">L8+L42</f>
        <v>6400.8361784724</v>
      </c>
      <c r="M48" s="55" t="n">
        <f aca="false">M8+M42</f>
        <v>39625.6</v>
      </c>
      <c r="N48" s="55" t="n">
        <f aca="false">N8+N42</f>
        <v>180.68</v>
      </c>
      <c r="O48" s="55" t="n">
        <f aca="false">O8+O42</f>
        <v>10811.925</v>
      </c>
      <c r="P48" s="55" t="n">
        <f aca="false">P8+P42</f>
        <v>28632.995</v>
      </c>
      <c r="Q48" s="55" t="n">
        <f aca="false">Q8+Q42</f>
        <v>18823</v>
      </c>
      <c r="R48" s="55" t="n">
        <f aca="false">R8+R42</f>
        <v>9659</v>
      </c>
      <c r="S48" s="55" t="n">
        <f aca="false">S8+S42</f>
        <v>57114.995</v>
      </c>
      <c r="T48" s="55" t="n">
        <f aca="false">T45</f>
        <v>-3171.8265</v>
      </c>
      <c r="U48" s="55" t="n">
        <f aca="false">U8+U42</f>
        <v>24893.18</v>
      </c>
      <c r="V48" s="55" t="n">
        <f aca="false">V8+V42</f>
        <v>15149.02</v>
      </c>
      <c r="W48" s="55" t="n">
        <f aca="false">W40</f>
        <v>7893.98</v>
      </c>
      <c r="X48" s="55" t="n">
        <f aca="false">X8+X42</f>
        <v>108149.8</v>
      </c>
      <c r="Y48" s="55" t="n">
        <f aca="false">Y8+Y42</f>
        <v>4085.23366019662</v>
      </c>
      <c r="Z48" s="55" t="n">
        <f aca="false">Z8+Z42</f>
        <v>112235.033660197</v>
      </c>
      <c r="AA48" s="58" t="n">
        <f aca="false">AA8+AA42</f>
        <v>9.86</v>
      </c>
      <c r="AB48" s="59"/>
      <c r="AC48" s="59"/>
      <c r="AD48" s="60"/>
      <c r="AE48" s="95"/>
      <c r="AF48" s="95"/>
      <c r="AG48" s="96"/>
    </row>
    <row r="49" customFormat="false" ht="11.1" hidden="false" customHeight="true" outlineLevel="0" collapsed="false">
      <c r="A49" s="54" t="s">
        <v>54</v>
      </c>
      <c r="B49" s="54"/>
      <c r="C49" s="55"/>
      <c r="D49" s="55" t="n">
        <f aca="false">D8+D43</f>
        <v>31009</v>
      </c>
      <c r="E49" s="55" t="n">
        <f aca="false">E40</f>
        <v>96474</v>
      </c>
      <c r="F49" s="55" t="n">
        <f aca="false">F48*$D$2</f>
        <v>31009</v>
      </c>
      <c r="G49" s="55" t="n">
        <f aca="false">G48*$D$2</f>
        <v>225349.402</v>
      </c>
      <c r="H49" s="56" t="n">
        <f aca="false">H48*$D$2</f>
        <v>7478.66774</v>
      </c>
      <c r="I49" s="55" t="n">
        <f aca="false">I48*$D$2</f>
        <v>232828.06974</v>
      </c>
      <c r="J49" s="55" t="n">
        <f aca="false">J48*$D$2</f>
        <v>20799.119525</v>
      </c>
      <c r="K49" s="55" t="n">
        <f aca="false">K48*$D$2</f>
        <v>253627.189265</v>
      </c>
      <c r="L49" s="55" t="n">
        <f aca="false">L48*$D$2</f>
        <v>12696.05856</v>
      </c>
      <c r="M49" s="55" t="n">
        <f aca="false">M48*$D$2</f>
        <v>78597.3776</v>
      </c>
      <c r="N49" s="55" t="n">
        <f aca="false">N48*$D$2</f>
        <v>358.37878</v>
      </c>
      <c r="O49" s="55" t="n">
        <f aca="false">O48*$D$2</f>
        <v>21445.4532375</v>
      </c>
      <c r="P49" s="55" t="n">
        <f aca="false">P48*$D$2</f>
        <v>56793.5455825</v>
      </c>
      <c r="Q49" s="55" t="n">
        <f aca="false">Q48*$D$2</f>
        <v>37335.4205</v>
      </c>
      <c r="R49" s="55" t="n">
        <f aca="false">R48*$D$2</f>
        <v>19158.6265</v>
      </c>
      <c r="S49" s="55" t="n">
        <f aca="false">S48*$D$2</f>
        <v>113287.5925825</v>
      </c>
      <c r="T49" s="55" t="n">
        <f aca="false">T48*$D$2</f>
        <v>-6291.31786274999</v>
      </c>
      <c r="U49" s="55" t="n">
        <f aca="false">U48*$D$2</f>
        <v>49375.62253</v>
      </c>
      <c r="V49" s="55" t="n">
        <f aca="false">V48*$D$2</f>
        <v>30048.08117</v>
      </c>
      <c r="W49" s="55" t="n">
        <f aca="false">W48*$D$2</f>
        <v>15657.70933</v>
      </c>
      <c r="X49" s="55" t="n">
        <f aca="false">X48*$D$2</f>
        <v>214515.1283</v>
      </c>
      <c r="Y49" s="55" t="n">
        <f aca="false">Y48*$D$2</f>
        <v>8103.060965</v>
      </c>
      <c r="Z49" s="55" t="n">
        <f aca="false">Z48*$D$2</f>
        <v>222618.189265</v>
      </c>
      <c r="AA49" s="58"/>
      <c r="AB49" s="59"/>
      <c r="AC49" s="59"/>
      <c r="AD49" s="60"/>
      <c r="AE49" s="95"/>
      <c r="AF49" s="95"/>
      <c r="AG49" s="96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143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5"/>
      <c r="AF50" s="95"/>
      <c r="AG50" s="96"/>
    </row>
    <row r="51" customFormat="false" ht="11.1" hidden="false" customHeight="true" outlineLevel="0" collapsed="false">
      <c r="A51" s="144"/>
      <c r="B51" s="86"/>
      <c r="C51" s="55"/>
      <c r="D51" s="54"/>
      <c r="E51" s="55"/>
      <c r="F51" s="54"/>
      <c r="G51" s="54"/>
      <c r="H51" s="56"/>
      <c r="I51" s="54"/>
      <c r="J51" s="54"/>
      <c r="K51" s="145"/>
      <c r="L51" s="54"/>
      <c r="M51" s="54"/>
      <c r="N51" s="54"/>
      <c r="O51" s="54"/>
      <c r="P51" s="54"/>
      <c r="Q51" s="54"/>
      <c r="R51" s="54"/>
      <c r="S51" s="54"/>
      <c r="T51" s="55"/>
      <c r="U51" s="54"/>
      <c r="V51" s="54"/>
      <c r="W51" s="55"/>
      <c r="X51" s="54"/>
      <c r="Y51" s="54"/>
      <c r="Z51" s="54"/>
      <c r="AA51" s="58"/>
      <c r="AB51" s="59"/>
      <c r="AC51" s="59"/>
      <c r="AD51" s="60"/>
      <c r="AE51" s="91"/>
      <c r="AF51" s="91"/>
    </row>
    <row r="52" customFormat="false" ht="11.1" hidden="false" customHeight="true" outlineLevel="0" collapsed="false">
      <c r="A52" s="54"/>
      <c r="B52" s="75"/>
      <c r="C52" s="55"/>
      <c r="D52" s="84"/>
      <c r="E52" s="55"/>
      <c r="F52" s="54"/>
      <c r="G52" s="54"/>
      <c r="H52" s="56"/>
      <c r="I52" s="87"/>
      <c r="J52" s="54"/>
      <c r="K52" s="55"/>
      <c r="L52" s="54"/>
      <c r="M52" s="54"/>
      <c r="N52" s="54"/>
      <c r="O52" s="54"/>
      <c r="P52" s="54"/>
      <c r="Q52" s="54"/>
      <c r="R52" s="54"/>
      <c r="S52" s="54"/>
      <c r="T52" s="55"/>
      <c r="U52" s="54"/>
      <c r="V52" s="47"/>
      <c r="W52" s="55"/>
      <c r="X52" s="54"/>
      <c r="Y52" s="54"/>
      <c r="Z52" s="54"/>
      <c r="AA52" s="58"/>
      <c r="AB52" s="59"/>
      <c r="AC52" s="59"/>
      <c r="AD52" s="60"/>
      <c r="AE52" s="91"/>
      <c r="AF52" s="91"/>
    </row>
    <row r="53" customFormat="false" ht="11.1" hidden="false" customHeight="true" outlineLevel="0" collapsed="false">
      <c r="A53" s="84"/>
      <c r="B53" s="84"/>
      <c r="C53" s="55"/>
      <c r="D53" s="55"/>
      <c r="E53" s="55"/>
      <c r="F53" s="84"/>
      <c r="G53" s="84"/>
      <c r="H53" s="56"/>
      <c r="I53" s="84"/>
      <c r="J53" s="84"/>
      <c r="K53" s="48"/>
      <c r="L53" s="84"/>
      <c r="M53" s="83"/>
      <c r="N53" s="83"/>
      <c r="O53" s="83"/>
      <c r="P53" s="146"/>
      <c r="Q53" s="84"/>
      <c r="R53" s="103"/>
      <c r="S53" s="55"/>
      <c r="T53" s="59"/>
      <c r="V53" s="55"/>
      <c r="W53" s="84"/>
      <c r="X53" s="84"/>
      <c r="Y53" s="84"/>
      <c r="Z53" s="56"/>
      <c r="AA53" s="58"/>
      <c r="AB53" s="59"/>
      <c r="AC53" s="60"/>
      <c r="AD53" s="101"/>
      <c r="AE53" s="101"/>
    </row>
    <row r="54" customFormat="false" ht="11.1" hidden="false" customHeight="true" outlineLevel="0" collapsed="false">
      <c r="A54" s="84"/>
      <c r="B54" s="56"/>
      <c r="C54" s="55"/>
      <c r="D54" s="55"/>
      <c r="E54" s="55"/>
      <c r="F54" s="84"/>
      <c r="G54" s="84"/>
      <c r="H54" s="56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5"/>
      <c r="T54" s="55"/>
      <c r="V54" s="55"/>
      <c r="W54" s="84"/>
      <c r="X54" s="84"/>
      <c r="Y54" s="84"/>
      <c r="Z54" s="56"/>
      <c r="AA54" s="58"/>
      <c r="AB54" s="59"/>
      <c r="AC54" s="60"/>
      <c r="AD54" s="101"/>
      <c r="AE54" s="101"/>
    </row>
    <row r="55" customFormat="false" ht="11.1" hidden="false" customHeight="true" outlineLevel="0" collapsed="false">
      <c r="A55" s="84"/>
      <c r="B55" s="84"/>
      <c r="C55" s="55"/>
      <c r="D55" s="84"/>
      <c r="E55" s="55"/>
      <c r="F55" s="84"/>
      <c r="G55" s="88"/>
      <c r="H55" s="56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0"/>
      <c r="T55" s="55"/>
      <c r="V55" s="55"/>
      <c r="W55" s="84"/>
      <c r="X55" s="84"/>
      <c r="Y55" s="84"/>
      <c r="Z55" s="56"/>
      <c r="AA55" s="58"/>
      <c r="AB55" s="59"/>
      <c r="AC55" s="60"/>
      <c r="AD55" s="101"/>
      <c r="AE55" s="101"/>
    </row>
    <row r="56" customFormat="false" ht="11.1" hidden="false" customHeight="true" outlineLevel="0" collapsed="false">
      <c r="Q56" s="147"/>
      <c r="S56" s="55"/>
      <c r="T56" s="55"/>
    </row>
    <row r="57" customFormat="false" ht="11.1" hidden="false" customHeight="true" outlineLevel="0" collapsed="false">
      <c r="Q57" s="147"/>
      <c r="S57" s="55"/>
      <c r="T57" s="55"/>
    </row>
    <row r="58" customFormat="false" ht="11.1" hidden="false" customHeight="true" outlineLevel="0" collapsed="false">
      <c r="S58" s="55"/>
      <c r="T58" s="55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N10" activePane="bottomRight" state="frozen"/>
      <selection pane="topLeft" activeCell="A1" activeCellId="0" sqref="A1"/>
      <selection pane="topRight" activeCell="N1" activeCellId="0" sqref="N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7" width="5.66"/>
    <col collapsed="false" customWidth="true" hidden="false" outlineLevel="0" max="2" min="2" style="47" width="7.82"/>
    <col collapsed="false" customWidth="true" hidden="false" outlineLevel="0" max="3" min="3" style="48" width="7.66"/>
    <col collapsed="false" customWidth="true" hidden="false" outlineLevel="0" max="4" min="4" style="47" width="6.99"/>
    <col collapsed="false" customWidth="true" hidden="false" outlineLevel="0" max="5" min="5" style="48" width="7.66"/>
    <col collapsed="false" customWidth="true" hidden="false" outlineLevel="0" max="6" min="6" style="47" width="7.66"/>
    <col collapsed="false" customWidth="true" hidden="false" outlineLevel="0" max="7" min="7" style="47" width="7.16"/>
    <col collapsed="false" customWidth="true" hidden="false" outlineLevel="0" max="8" min="8" style="148" width="6.66"/>
    <col collapsed="false" customWidth="true" hidden="false" outlineLevel="0" max="9" min="9" style="47" width="7.99"/>
    <col collapsed="false" customWidth="true" hidden="false" outlineLevel="0" max="10" min="10" style="47" width="6.66"/>
    <col collapsed="false" customWidth="true" hidden="false" outlineLevel="0" max="12" min="11" style="47" width="7.16"/>
    <col collapsed="false" customWidth="true" hidden="false" outlineLevel="0" max="13" min="13" style="50" width="6.82"/>
    <col collapsed="false" customWidth="true" hidden="false" outlineLevel="0" max="14" min="14" style="50" width="7.32"/>
    <col collapsed="false" customWidth="true" hidden="false" outlineLevel="0" max="15" min="15" style="50" width="6.49"/>
    <col collapsed="false" customWidth="true" hidden="false" outlineLevel="0" max="16" min="16" style="47" width="7.16"/>
    <col collapsed="false" customWidth="true" hidden="false" outlineLevel="0" max="17" min="17" style="47" width="6.32"/>
    <col collapsed="false" customWidth="true" hidden="false" outlineLevel="0" max="18" min="18" style="47" width="5.82"/>
    <col collapsed="false" customWidth="true" hidden="false" outlineLevel="0" max="19" min="19" style="48" width="6.82"/>
    <col collapsed="false" customWidth="true" hidden="false" outlineLevel="0" max="20" min="20" style="47" width="7.66"/>
    <col collapsed="false" customWidth="true" hidden="false" outlineLevel="0" max="21" min="21" style="47" width="5.99"/>
    <col collapsed="false" customWidth="true" hidden="false" outlineLevel="0" max="22" min="22" style="48" width="6.66"/>
    <col collapsed="false" customWidth="true" hidden="false" outlineLevel="0" max="23" min="23" style="47" width="6.82"/>
    <col collapsed="false" customWidth="true" hidden="false" outlineLevel="0" max="25" min="24" style="47" width="7.82"/>
    <col collapsed="false" customWidth="true" hidden="false" outlineLevel="0" max="26" min="26" style="49" width="8.16"/>
    <col collapsed="false" customWidth="true" hidden="false" outlineLevel="0" max="27" min="27" style="51" width="5.32"/>
    <col collapsed="false" customWidth="true" hidden="false" outlineLevel="0" max="28" min="28" style="52" width="4.66"/>
    <col collapsed="false" customWidth="true" hidden="false" outlineLevel="0" max="29" min="29" style="53" width="4.66"/>
    <col collapsed="false" customWidth="true" hidden="false" outlineLevel="0" max="30" min="30" style="47" width="5.66"/>
    <col collapsed="false" customWidth="false" hidden="false" outlineLevel="0" max="257" min="31" style="47" width="9.32"/>
  </cols>
  <sheetData>
    <row r="1" customFormat="false" ht="14.1" hidden="false" customHeight="true" outlineLevel="0" collapsed="false">
      <c r="A1" s="54"/>
      <c r="B1" s="54"/>
      <c r="C1" s="55"/>
      <c r="D1" s="54"/>
      <c r="E1" s="55"/>
      <c r="F1" s="54"/>
      <c r="G1" s="54"/>
      <c r="H1" s="87"/>
      <c r="I1" s="54"/>
      <c r="J1" s="54"/>
      <c r="K1" s="57" t="s">
        <v>0</v>
      </c>
      <c r="L1" s="54"/>
      <c r="M1" s="54"/>
      <c r="N1" s="54"/>
      <c r="O1" s="54"/>
      <c r="P1" s="54"/>
      <c r="Q1" s="54"/>
      <c r="R1" s="54"/>
      <c r="S1" s="55"/>
      <c r="T1" s="54"/>
      <c r="U1" s="54"/>
      <c r="V1" s="55"/>
      <c r="W1" s="54"/>
      <c r="X1" s="54"/>
      <c r="Y1" s="54"/>
      <c r="Z1" s="56"/>
      <c r="AA1" s="58"/>
      <c r="AB1" s="59"/>
      <c r="AC1" s="60"/>
      <c r="AD1" s="91"/>
      <c r="AE1" s="91"/>
    </row>
    <row r="2" customFormat="false" ht="14.1" hidden="false" customHeight="true" outlineLevel="0" collapsed="false">
      <c r="A2" s="54" t="s">
        <v>1</v>
      </c>
      <c r="B2" s="54"/>
      <c r="C2" s="55"/>
      <c r="D2" s="61" t="n">
        <v>1.9835</v>
      </c>
      <c r="E2" s="55"/>
      <c r="F2" s="54"/>
      <c r="G2" s="54"/>
      <c r="H2" s="87"/>
      <c r="I2" s="54"/>
      <c r="J2" s="54"/>
      <c r="K2" s="62" t="s">
        <v>79</v>
      </c>
      <c r="L2" s="62"/>
      <c r="M2" s="62"/>
      <c r="N2" s="62"/>
      <c r="O2" s="62"/>
      <c r="P2" s="62"/>
      <c r="Q2" s="62"/>
      <c r="R2" s="62"/>
      <c r="S2" s="62"/>
      <c r="T2" s="62"/>
      <c r="U2" s="54"/>
      <c r="V2" s="55"/>
      <c r="W2" s="54"/>
      <c r="X2" s="54"/>
      <c r="Y2" s="54"/>
      <c r="Z2" s="56"/>
      <c r="AA2" s="58"/>
      <c r="AB2" s="59"/>
      <c r="AC2" s="60"/>
      <c r="AD2" s="91"/>
      <c r="AE2" s="91"/>
    </row>
    <row r="3" customFormat="false" ht="11.1" hidden="false" customHeight="true" outlineLevel="0" collapsed="false">
      <c r="A3" s="54"/>
      <c r="B3" s="54"/>
      <c r="C3" s="55"/>
      <c r="D3" s="63"/>
      <c r="E3" s="55"/>
      <c r="F3" s="54"/>
      <c r="G3" s="54"/>
      <c r="H3" s="87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54"/>
      <c r="U3" s="54"/>
      <c r="V3" s="55"/>
      <c r="W3" s="54"/>
      <c r="X3" s="54"/>
      <c r="Y3" s="54"/>
      <c r="Z3" s="56"/>
      <c r="AA3" s="58"/>
      <c r="AB3" s="59"/>
      <c r="AC3" s="60"/>
      <c r="AD3" s="91"/>
      <c r="AE3" s="91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149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1"/>
      <c r="AF4" s="91"/>
    </row>
    <row r="5" customFormat="false" ht="11.1" hidden="false" customHeight="true" outlineLevel="0" collapsed="false">
      <c r="A5" s="69" t="s">
        <v>80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149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80</v>
      </c>
      <c r="AE5" s="91"/>
      <c r="AF5" s="91"/>
      <c r="AH5" s="139"/>
      <c r="AI5" s="139"/>
    </row>
    <row r="6" customFormat="false" ht="11.1" hidden="false" customHeight="true" outlineLevel="0" collapsed="false">
      <c r="A6" s="72"/>
      <c r="B6" s="72"/>
      <c r="C6" s="150"/>
      <c r="D6" s="72"/>
      <c r="E6" s="73"/>
      <c r="F6" s="72"/>
      <c r="G6" s="72"/>
      <c r="H6" s="151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5"/>
      <c r="AF6" s="95"/>
      <c r="AG6" s="96"/>
      <c r="AH6" s="139"/>
      <c r="AI6" s="139"/>
    </row>
    <row r="7" customFormat="false" ht="11.1" hidden="false" customHeight="true" outlineLevel="0" collapsed="false">
      <c r="A7" s="54" t="s">
        <v>44</v>
      </c>
      <c r="B7" s="54"/>
      <c r="C7" s="152"/>
      <c r="D7" s="55"/>
      <c r="E7" s="55"/>
      <c r="F7" s="55" t="n">
        <f aca="false">AUG!F45</f>
        <v>10749.6849004285</v>
      </c>
      <c r="G7" s="55" t="n">
        <f aca="false">AUG!G45</f>
        <v>104655</v>
      </c>
      <c r="H7" s="55" t="n">
        <f aca="false">AUG!H45</f>
        <v>3391.54</v>
      </c>
      <c r="I7" s="55" t="n">
        <f aca="false">AUG!I45</f>
        <v>108046.54</v>
      </c>
      <c r="J7" s="55" t="n">
        <f aca="false">AUG!J45</f>
        <v>7518.14157549786</v>
      </c>
      <c r="K7" s="55" t="n">
        <f aca="false">AUG!K45</f>
        <v>115564.681575498</v>
      </c>
      <c r="L7" s="55" t="n">
        <f aca="false">AUG!L45</f>
        <v>3685.34490042854</v>
      </c>
      <c r="M7" s="55" t="n">
        <f aca="false">AUG!M45</f>
        <v>38687</v>
      </c>
      <c r="N7" s="55" t="n">
        <f aca="false">AUG!N45</f>
        <v>154</v>
      </c>
      <c r="O7" s="55" t="n">
        <f aca="false">AUG!O45</f>
        <v>10732.0415</v>
      </c>
      <c r="P7" s="55" t="n">
        <f aca="false">AUG!P45</f>
        <v>27800.9585</v>
      </c>
      <c r="Q7" s="55" t="n">
        <f aca="false">AUG!Q45</f>
        <v>18823</v>
      </c>
      <c r="R7" s="55" t="n">
        <f aca="false">AUG!R45</f>
        <v>9659</v>
      </c>
      <c r="S7" s="55" t="n">
        <f aca="false">AUG!S45</f>
        <v>56282.9585</v>
      </c>
      <c r="T7" s="55" t="n">
        <f aca="false">AUG!T45</f>
        <v>-3171.8265</v>
      </c>
      <c r="U7" s="55" t="n">
        <f aca="false">AUG!U45</f>
        <v>24893.18</v>
      </c>
      <c r="V7" s="55" t="n">
        <f aca="false">AUG!V45</f>
        <v>8920.02</v>
      </c>
      <c r="W7" s="55"/>
      <c r="X7" s="55" t="n">
        <f aca="false">AUG!X45</f>
        <v>100982.2</v>
      </c>
      <c r="Y7" s="55" t="n">
        <f aca="false">AUG!Y45</f>
        <v>3832.79667506932</v>
      </c>
      <c r="Z7" s="55" t="n">
        <f aca="false">AUG!Z45</f>
        <v>104814.996675069</v>
      </c>
      <c r="AA7" s="58"/>
      <c r="AB7" s="59"/>
      <c r="AC7" s="59"/>
      <c r="AD7" s="60"/>
      <c r="AE7" s="95"/>
      <c r="AF7" s="96"/>
      <c r="AG7" s="96"/>
    </row>
    <row r="8" s="48" customFormat="true" ht="11.1" hidden="false" customHeight="true" outlineLevel="0" collapsed="false">
      <c r="A8" s="55" t="s">
        <v>45</v>
      </c>
      <c r="B8" s="75" t="n">
        <f aca="false">AUG!B40</f>
        <v>6890.09</v>
      </c>
      <c r="C8" s="55" t="n">
        <f aca="false">AUG!C40</f>
        <v>248474</v>
      </c>
      <c r="D8" s="55" t="n">
        <f aca="false">AUG!D49</f>
        <v>31009</v>
      </c>
      <c r="E8" s="55" t="n">
        <f aca="false">AUG!E49</f>
        <v>96474</v>
      </c>
      <c r="F8" s="55" t="n">
        <f aca="false">AUG!F48</f>
        <v>15633.4761784724</v>
      </c>
      <c r="G8" s="55" t="n">
        <f aca="false">AUG!G48</f>
        <v>113612</v>
      </c>
      <c r="H8" s="55" t="n">
        <f aca="false">AUG!H48</f>
        <v>3770.44</v>
      </c>
      <c r="I8" s="55" t="n">
        <f aca="false">AUG!I48</f>
        <v>117382.44</v>
      </c>
      <c r="J8" s="55" t="n">
        <f aca="false">AUG!J48</f>
        <v>10486.069838669</v>
      </c>
      <c r="K8" s="55" t="n">
        <f aca="false">AUG!K48</f>
        <v>127868.509838669</v>
      </c>
      <c r="L8" s="55" t="n">
        <f aca="false">AUG!L48</f>
        <v>6400.8361784724</v>
      </c>
      <c r="M8" s="55" t="n">
        <f aca="false">AUG!M48</f>
        <v>39625.6</v>
      </c>
      <c r="N8" s="55" t="n">
        <f aca="false">AUG!N48</f>
        <v>180.68</v>
      </c>
      <c r="O8" s="55" t="n">
        <f aca="false">AUG!O48</f>
        <v>10811.925</v>
      </c>
      <c r="P8" s="55" t="n">
        <f aca="false">AUG!P48</f>
        <v>28632.995</v>
      </c>
      <c r="Q8" s="55" t="n">
        <f aca="false">AUG!Q48</f>
        <v>18823</v>
      </c>
      <c r="R8" s="55" t="n">
        <f aca="false">AUG!R48</f>
        <v>9659</v>
      </c>
      <c r="S8" s="55" t="n">
        <f aca="false">AUG!S48</f>
        <v>57114.995</v>
      </c>
      <c r="T8" s="55" t="n">
        <f aca="false">AUG!T48</f>
        <v>-3171.8265</v>
      </c>
      <c r="U8" s="55" t="n">
        <f aca="false">AUG!U48</f>
        <v>24893.18</v>
      </c>
      <c r="V8" s="55" t="n">
        <f aca="false">AUG!V48</f>
        <v>15149.02</v>
      </c>
      <c r="W8" s="55" t="n">
        <f aca="false">AUG!W48</f>
        <v>7893.98</v>
      </c>
      <c r="X8" s="55" t="n">
        <f aca="false">AUG!X48</f>
        <v>108149.8</v>
      </c>
      <c r="Y8" s="55" t="n">
        <f aca="false">AUG!Y48</f>
        <v>4085.23366019662</v>
      </c>
      <c r="Z8" s="55" t="n">
        <f aca="false">AUG!Z48</f>
        <v>112235.033660197</v>
      </c>
      <c r="AA8" s="58" t="n">
        <f aca="false">AUG!AA48</f>
        <v>9.86</v>
      </c>
      <c r="AB8" s="59"/>
      <c r="AC8" s="59"/>
      <c r="AD8" s="60"/>
      <c r="AE8" s="95"/>
      <c r="AF8" s="95"/>
      <c r="AG8" s="97"/>
      <c r="AH8" s="47"/>
      <c r="AI8" s="47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153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 t="n">
        <v>0</v>
      </c>
      <c r="AC9" s="81"/>
      <c r="AD9" s="82"/>
      <c r="AE9" s="95"/>
      <c r="AF9" s="95"/>
      <c r="AG9" s="96"/>
    </row>
    <row r="10" customFormat="false" ht="11.1" hidden="false" customHeight="true" outlineLevel="0" collapsed="false">
      <c r="A10" s="60" t="n">
        <v>1</v>
      </c>
      <c r="B10" s="75" t="n">
        <v>6889.81</v>
      </c>
      <c r="C10" s="55" t="n">
        <v>247528</v>
      </c>
      <c r="D10" s="59" t="n">
        <f aca="false">C10-C8</f>
        <v>-946</v>
      </c>
      <c r="E10" s="55" t="n">
        <f aca="false">C10-151978</f>
        <v>95550</v>
      </c>
      <c r="F10" s="54" t="n">
        <f aca="false">D10/$D$2</f>
        <v>-476.934711368793</v>
      </c>
      <c r="G10" s="54" t="n">
        <v>146</v>
      </c>
      <c r="H10" s="87" t="n">
        <v>0</v>
      </c>
      <c r="I10" s="54" t="n">
        <f aca="false">G10+H10</f>
        <v>146</v>
      </c>
      <c r="J10" s="83" t="n">
        <f aca="false">IF(L10&gt;0,L10,0)</f>
        <v>0</v>
      </c>
      <c r="K10" s="54" t="n">
        <f aca="false">I10+J10</f>
        <v>146</v>
      </c>
      <c r="L10" s="54" t="n">
        <f aca="false">F10-(I10-X10)</f>
        <v>-15.6447113687926</v>
      </c>
      <c r="M10" s="54" t="n">
        <v>242</v>
      </c>
      <c r="N10" s="8" t="n">
        <v>0.5</v>
      </c>
      <c r="O10" s="54" t="n">
        <f aca="false">62.45*1.05</f>
        <v>65.5725</v>
      </c>
      <c r="P10" s="7" t="n">
        <f aca="false">M10-(N10+O10)</f>
        <v>175.9275</v>
      </c>
      <c r="Q10" s="54" t="n">
        <v>63</v>
      </c>
      <c r="R10" s="54" t="n">
        <v>66</v>
      </c>
      <c r="S10" s="54" t="n">
        <f aca="false">SUM(P10:R10)</f>
        <v>304.9275</v>
      </c>
      <c r="T10" s="55" t="n">
        <f aca="false">(I10-S10)+T7</f>
        <v>-3330.754</v>
      </c>
      <c r="U10" s="54" t="n">
        <v>166.29</v>
      </c>
      <c r="V10" s="54" t="n">
        <v>70</v>
      </c>
      <c r="W10" s="55" t="n">
        <f aca="false">W8-V10</f>
        <v>7823.98</v>
      </c>
      <c r="X10" s="7" t="n">
        <f aca="false">N10+O10+S10+U10+V10</f>
        <v>607.29</v>
      </c>
      <c r="Y10" s="54" t="n">
        <f aca="false">IF(L10&lt;0,L10*-1,0)</f>
        <v>15.6447113687926</v>
      </c>
      <c r="Z10" s="54" t="n">
        <f aca="false">X10+Y10</f>
        <v>622.934711368792</v>
      </c>
      <c r="AA10" s="58" t="n">
        <v>0</v>
      </c>
      <c r="AB10" s="59" t="n">
        <v>81</v>
      </c>
      <c r="AC10" s="59" t="n">
        <v>50</v>
      </c>
      <c r="AD10" s="60" t="n">
        <v>1</v>
      </c>
      <c r="AE10" s="96"/>
      <c r="AF10" s="97"/>
      <c r="AG10" s="97"/>
    </row>
    <row r="11" customFormat="false" ht="11.1" hidden="false" customHeight="true" outlineLevel="0" collapsed="false">
      <c r="A11" s="60" t="n">
        <v>2</v>
      </c>
      <c r="B11" s="75" t="n">
        <v>6889.51</v>
      </c>
      <c r="C11" s="55" t="n">
        <v>246518</v>
      </c>
      <c r="D11" s="59" t="n">
        <f aca="false">C11-C10</f>
        <v>-1010</v>
      </c>
      <c r="E11" s="55" t="n">
        <f aca="false">C11-151978</f>
        <v>94540</v>
      </c>
      <c r="F11" s="54" t="n">
        <f aca="false">D11/$D$2</f>
        <v>-509.200907486766</v>
      </c>
      <c r="G11" s="54" t="n">
        <v>138</v>
      </c>
      <c r="H11" s="87" t="n">
        <v>0</v>
      </c>
      <c r="I11" s="54" t="n">
        <f aca="false">G11+H11</f>
        <v>138</v>
      </c>
      <c r="J11" s="83" t="n">
        <f aca="false">IF(L11&gt;0,L11,0)</f>
        <v>0</v>
      </c>
      <c r="K11" s="54" t="n">
        <f aca="false">I11+J11</f>
        <v>138</v>
      </c>
      <c r="L11" s="54" t="n">
        <f aca="false">F11-(I11-X11)</f>
        <v>-39.5309074867658</v>
      </c>
      <c r="M11" s="54" t="n">
        <v>252</v>
      </c>
      <c r="N11" s="54" t="n">
        <v>0.5</v>
      </c>
      <c r="O11" s="54" t="n">
        <f aca="false">37.47*1.05</f>
        <v>39.3435</v>
      </c>
      <c r="P11" s="7" t="n">
        <f aca="false">M11-(N11+O11)</f>
        <v>212.1565</v>
      </c>
      <c r="Q11" s="54" t="n">
        <v>62</v>
      </c>
      <c r="R11" s="54" t="n">
        <v>65</v>
      </c>
      <c r="S11" s="54" t="n">
        <f aca="false">SUM(P11:R11)</f>
        <v>339.1565</v>
      </c>
      <c r="T11" s="55" t="n">
        <f aca="false">(I11-S11)+T10</f>
        <v>-3531.9105</v>
      </c>
      <c r="U11" s="54" t="n">
        <v>159.67</v>
      </c>
      <c r="V11" s="54" t="n">
        <v>69</v>
      </c>
      <c r="W11" s="55" t="n">
        <f aca="false">W10-V11</f>
        <v>7754.98</v>
      </c>
      <c r="X11" s="7" t="n">
        <f aca="false">N11+O11+S11+U11+V11</f>
        <v>607.67</v>
      </c>
      <c r="Y11" s="54" t="n">
        <f aca="false">IF(L11&lt;0,L11*-1,0)</f>
        <v>39.5309074867658</v>
      </c>
      <c r="Z11" s="54" t="n">
        <f aca="false">X11+Y11</f>
        <v>647.200907486766</v>
      </c>
      <c r="AA11" s="58" t="n">
        <v>0</v>
      </c>
      <c r="AB11" s="59" t="n">
        <v>84</v>
      </c>
      <c r="AC11" s="59" t="n">
        <v>50</v>
      </c>
      <c r="AD11" s="60" t="n">
        <v>2</v>
      </c>
      <c r="AE11" s="96"/>
      <c r="AF11" s="97"/>
      <c r="AG11" s="97"/>
    </row>
    <row r="12" customFormat="false" ht="11.1" hidden="false" customHeight="true" outlineLevel="0" collapsed="false">
      <c r="A12" s="60" t="n">
        <v>3</v>
      </c>
      <c r="B12" s="75" t="n">
        <v>6889.21</v>
      </c>
      <c r="C12" s="55" t="n">
        <v>245508</v>
      </c>
      <c r="D12" s="59" t="n">
        <f aca="false">C12-C11</f>
        <v>-1010</v>
      </c>
      <c r="E12" s="55" t="n">
        <f aca="false">C12-151978</f>
        <v>93530</v>
      </c>
      <c r="F12" s="54" t="n">
        <f aca="false">D12/$D$2</f>
        <v>-509.200907486766</v>
      </c>
      <c r="G12" s="54" t="n">
        <v>132</v>
      </c>
      <c r="H12" s="87" t="n">
        <v>0</v>
      </c>
      <c r="I12" s="54" t="n">
        <f aca="false">G12+H12</f>
        <v>132</v>
      </c>
      <c r="J12" s="83" t="n">
        <f aca="false">IF(L12&gt;0,L12,0)</f>
        <v>0</v>
      </c>
      <c r="K12" s="54" t="n">
        <f aca="false">I12+J12</f>
        <v>132</v>
      </c>
      <c r="L12" s="54" t="n">
        <f aca="false">F12-(I12-X12)</f>
        <v>-56.8609074867658</v>
      </c>
      <c r="M12" s="54" t="n">
        <v>231</v>
      </c>
      <c r="N12" s="54" t="n">
        <v>0.5</v>
      </c>
      <c r="O12" s="54" t="n">
        <f aca="false">34.68*1.05</f>
        <v>36.414</v>
      </c>
      <c r="P12" s="7" t="n">
        <f aca="false">M12-(N12+O12)</f>
        <v>194.086</v>
      </c>
      <c r="Q12" s="54" t="n">
        <v>63</v>
      </c>
      <c r="R12" s="54" t="n">
        <v>67</v>
      </c>
      <c r="S12" s="54" t="n">
        <f aca="false">SUM(P12:R12)</f>
        <v>324.086</v>
      </c>
      <c r="T12" s="55" t="n">
        <f aca="false">(I12-S12)+T11</f>
        <v>-3723.9965</v>
      </c>
      <c r="U12" s="54" t="n">
        <v>159.34</v>
      </c>
      <c r="V12" s="54" t="n">
        <v>64</v>
      </c>
      <c r="W12" s="55" t="n">
        <f aca="false">W11-V12</f>
        <v>7690.98</v>
      </c>
      <c r="X12" s="7" t="n">
        <f aca="false">N12+O12+S12+U12+V12</f>
        <v>584.34</v>
      </c>
      <c r="Y12" s="54" t="n">
        <f aca="false">IF(L12&lt;0,L12*-1,0)</f>
        <v>56.8609074867658</v>
      </c>
      <c r="Z12" s="54" t="n">
        <f aca="false">X12+Y12</f>
        <v>641.200907486766</v>
      </c>
      <c r="AA12" s="58" t="n">
        <v>0</v>
      </c>
      <c r="AB12" s="59" t="n">
        <v>85</v>
      </c>
      <c r="AC12" s="59" t="n">
        <v>50</v>
      </c>
      <c r="AD12" s="60" t="n">
        <v>3</v>
      </c>
      <c r="AE12" s="96"/>
      <c r="AF12" s="97"/>
      <c r="AG12" s="97"/>
    </row>
    <row r="13" customFormat="false" ht="11.1" hidden="false" customHeight="true" outlineLevel="0" collapsed="false">
      <c r="A13" s="60" t="n">
        <v>4</v>
      </c>
      <c r="B13" s="75" t="n">
        <v>6888.94</v>
      </c>
      <c r="C13" s="55" t="n">
        <v>244601</v>
      </c>
      <c r="D13" s="59" t="n">
        <f aca="false">C13-C12</f>
        <v>-907</v>
      </c>
      <c r="E13" s="55" t="n">
        <f aca="false">C13-151978</f>
        <v>92623</v>
      </c>
      <c r="F13" s="54" t="n">
        <f aca="false">D13/$D$2</f>
        <v>-457.272498109403</v>
      </c>
      <c r="G13" s="54" t="n">
        <v>128</v>
      </c>
      <c r="H13" s="87" t="n">
        <v>0</v>
      </c>
      <c r="I13" s="54" t="n">
        <f aca="false">G13+H13</f>
        <v>128</v>
      </c>
      <c r="J13" s="83" t="n">
        <f aca="false">IF(L13&gt;0,L13,0)</f>
        <v>0</v>
      </c>
      <c r="K13" s="54" t="n">
        <f aca="false">I13+J13</f>
        <v>128</v>
      </c>
      <c r="L13" s="54" t="n">
        <f aca="false">F13-(I13-X13)</f>
        <v>-12.0324981094025</v>
      </c>
      <c r="M13" s="54" t="n">
        <v>226</v>
      </c>
      <c r="N13" s="54" t="n">
        <v>0.5</v>
      </c>
      <c r="O13" s="54" t="n">
        <f aca="false">15.55*1.05</f>
        <v>16.3275</v>
      </c>
      <c r="P13" s="7" t="n">
        <f aca="false">M13-(N13+O13)</f>
        <v>209.1725</v>
      </c>
      <c r="Q13" s="54" t="n">
        <v>64</v>
      </c>
      <c r="R13" s="54" t="n">
        <v>68</v>
      </c>
      <c r="S13" s="54" t="n">
        <f aca="false">SUM(P13:R13)</f>
        <v>341.1725</v>
      </c>
      <c r="T13" s="55" t="n">
        <f aca="false">(I13-S13)+T12</f>
        <v>-3937.169</v>
      </c>
      <c r="U13" s="54" t="n">
        <v>154.24</v>
      </c>
      <c r="V13" s="54" t="n">
        <v>61</v>
      </c>
      <c r="W13" s="55" t="n">
        <f aca="false">W12-V13</f>
        <v>7629.98</v>
      </c>
      <c r="X13" s="7" t="n">
        <f aca="false">N13+O13+S13+U13+V13</f>
        <v>573.24</v>
      </c>
      <c r="Y13" s="54" t="n">
        <f aca="false">IF(L13&lt;0,L13*-1,0)</f>
        <v>12.0324981094025</v>
      </c>
      <c r="Z13" s="54" t="n">
        <f aca="false">X13+Y13</f>
        <v>585.272498109403</v>
      </c>
      <c r="AA13" s="58" t="n">
        <v>0</v>
      </c>
      <c r="AB13" s="59" t="n">
        <v>86</v>
      </c>
      <c r="AC13" s="59" t="n">
        <v>56</v>
      </c>
      <c r="AD13" s="60" t="n">
        <v>4</v>
      </c>
      <c r="AE13" s="96"/>
      <c r="AF13" s="97"/>
      <c r="AG13" s="97"/>
    </row>
    <row r="14" customFormat="false" ht="11.1" hidden="false" customHeight="true" outlineLevel="0" collapsed="false">
      <c r="A14" s="60" t="n">
        <v>5</v>
      </c>
      <c r="B14" s="75" t="n">
        <v>6888.64</v>
      </c>
      <c r="C14" s="55" t="n">
        <v>243602</v>
      </c>
      <c r="D14" s="59" t="n">
        <f aca="false">C14-C13</f>
        <v>-999</v>
      </c>
      <c r="E14" s="55" t="n">
        <f aca="false">C14-151978</f>
        <v>91624</v>
      </c>
      <c r="F14" s="54" t="n">
        <f aca="false">D14/$D$2</f>
        <v>-503.655155028989</v>
      </c>
      <c r="G14" s="54" t="n">
        <v>127</v>
      </c>
      <c r="H14" s="87" t="n">
        <v>0</v>
      </c>
      <c r="I14" s="54" t="n">
        <f aca="false">G14+H14</f>
        <v>127</v>
      </c>
      <c r="J14" s="83" t="n">
        <f aca="false">IF(L14&gt;0,L14,0)</f>
        <v>0</v>
      </c>
      <c r="K14" s="54" t="n">
        <f aca="false">I14+J14</f>
        <v>127</v>
      </c>
      <c r="L14" s="54" t="n">
        <f aca="false">F14-(I14-X14)</f>
        <v>-54.1351550289892</v>
      </c>
      <c r="M14" s="54" t="n">
        <v>246</v>
      </c>
      <c r="N14" s="54" t="n">
        <v>0.5</v>
      </c>
      <c r="O14" s="54" t="n">
        <f aca="false">29.55*1.05</f>
        <v>31.0275</v>
      </c>
      <c r="P14" s="7" t="n">
        <f aca="false">M14-(N14+O14)</f>
        <v>214.4725</v>
      </c>
      <c r="Q14" s="54" t="n">
        <v>63</v>
      </c>
      <c r="R14" s="54" t="n">
        <v>68</v>
      </c>
      <c r="S14" s="54" t="n">
        <f aca="false">SUM(P14:R14)</f>
        <v>345.4725</v>
      </c>
      <c r="T14" s="55" t="n">
        <f aca="false">(I14-S14)+T13</f>
        <v>-4155.6415</v>
      </c>
      <c r="U14" s="54" t="n">
        <v>138.52</v>
      </c>
      <c r="V14" s="54" t="n">
        <v>61</v>
      </c>
      <c r="W14" s="55" t="n">
        <f aca="false">W13-V14</f>
        <v>7568.98</v>
      </c>
      <c r="X14" s="7" t="n">
        <f aca="false">N14+O14+S14+U14+V14</f>
        <v>576.52</v>
      </c>
      <c r="Y14" s="54" t="n">
        <f aca="false">IF(L14&lt;0,L14*-1,0)</f>
        <v>54.1351550289892</v>
      </c>
      <c r="Z14" s="54" t="n">
        <f aca="false">X14+Y14</f>
        <v>630.655155028989</v>
      </c>
      <c r="AA14" s="58" t="n">
        <v>0</v>
      </c>
      <c r="AB14" s="59" t="n">
        <v>83</v>
      </c>
      <c r="AC14" s="59" t="n">
        <v>54</v>
      </c>
      <c r="AD14" s="60" t="n">
        <v>5</v>
      </c>
      <c r="AE14" s="96"/>
      <c r="AF14" s="97"/>
      <c r="AG14" s="97"/>
    </row>
    <row r="15" customFormat="false" ht="11.1" hidden="false" customHeight="true" outlineLevel="0" collapsed="false">
      <c r="A15" s="60" t="n">
        <v>6</v>
      </c>
      <c r="B15" s="75" t="n">
        <v>6888.36</v>
      </c>
      <c r="C15" s="55" t="n">
        <v>242669</v>
      </c>
      <c r="D15" s="59" t="n">
        <f aca="false">C15-C14</f>
        <v>-933</v>
      </c>
      <c r="E15" s="55" t="n">
        <f aca="false">C15-151978</f>
        <v>90691</v>
      </c>
      <c r="F15" s="54" t="n">
        <f aca="false">D15/$D$2</f>
        <v>-470.380640282329</v>
      </c>
      <c r="G15" s="54" t="n">
        <v>127</v>
      </c>
      <c r="H15" s="87" t="n">
        <v>0</v>
      </c>
      <c r="I15" s="54" t="n">
        <f aca="false">G15+H15</f>
        <v>127</v>
      </c>
      <c r="J15" s="83" t="n">
        <f aca="false">IF(L15&gt;0,L15,0)</f>
        <v>0</v>
      </c>
      <c r="K15" s="54" t="n">
        <f aca="false">I15+J15</f>
        <v>127</v>
      </c>
      <c r="L15" s="54" t="n">
        <f aca="false">F15-(I15-X15)</f>
        <v>-24.9106402823293</v>
      </c>
      <c r="M15" s="54" t="n">
        <v>235</v>
      </c>
      <c r="N15" s="54" t="n">
        <v>0.5</v>
      </c>
      <c r="O15" s="54" t="n">
        <f aca="false">38.57*1.05</f>
        <v>40.4985</v>
      </c>
      <c r="P15" s="7" t="n">
        <f aca="false">M15-(N15+O15)</f>
        <v>194.0015</v>
      </c>
      <c r="Q15" s="54" t="n">
        <v>65</v>
      </c>
      <c r="R15" s="54" t="n">
        <v>73</v>
      </c>
      <c r="S15" s="54" t="n">
        <f aca="false">SUM(P15:R15)</f>
        <v>332.0015</v>
      </c>
      <c r="T15" s="55" t="n">
        <f aca="false">(I15-S15)+T14</f>
        <v>-4360.643</v>
      </c>
      <c r="U15" s="54" t="n">
        <v>137.47</v>
      </c>
      <c r="V15" s="54" t="n">
        <v>62</v>
      </c>
      <c r="W15" s="55" t="n">
        <f aca="false">W14-V15</f>
        <v>7506.98</v>
      </c>
      <c r="X15" s="7" t="n">
        <f aca="false">N15+O15+S15+U15+V15</f>
        <v>572.47</v>
      </c>
      <c r="Y15" s="54" t="n">
        <f aca="false">IF(L15&lt;0,L15*-1,0)</f>
        <v>24.9106402823293</v>
      </c>
      <c r="Z15" s="54" t="n">
        <f aca="false">X15+Y15</f>
        <v>597.380640282329</v>
      </c>
      <c r="AA15" s="58" t="n">
        <v>0</v>
      </c>
      <c r="AB15" s="59" t="n">
        <v>80</v>
      </c>
      <c r="AC15" s="59" t="n">
        <v>49</v>
      </c>
      <c r="AD15" s="60" t="n">
        <v>6</v>
      </c>
      <c r="AE15" s="96"/>
      <c r="AF15" s="97"/>
      <c r="AG15" s="97"/>
    </row>
    <row r="16" customFormat="false" ht="11.1" hidden="false" customHeight="true" outlineLevel="0" collapsed="false">
      <c r="A16" s="60" t="n">
        <v>7</v>
      </c>
      <c r="B16" s="75" t="n">
        <v>6888.06</v>
      </c>
      <c r="C16" s="55" t="n">
        <v>241669</v>
      </c>
      <c r="D16" s="59" t="n">
        <f aca="false">C16-C15</f>
        <v>-1000</v>
      </c>
      <c r="E16" s="55" t="n">
        <f aca="false">C16-151978</f>
        <v>89691</v>
      </c>
      <c r="F16" s="54" t="n">
        <f aca="false">D16/$D$2</f>
        <v>-504.159314343332</v>
      </c>
      <c r="G16" s="54" t="n">
        <v>121</v>
      </c>
      <c r="H16" s="87" t="n">
        <v>0</v>
      </c>
      <c r="I16" s="54" t="n">
        <f aca="false">G16+H16</f>
        <v>121</v>
      </c>
      <c r="J16" s="83" t="n">
        <f aca="false">IF(L16&gt;0,L16,0)</f>
        <v>0</v>
      </c>
      <c r="K16" s="54" t="n">
        <f aca="false">I16+J16</f>
        <v>121</v>
      </c>
      <c r="L16" s="54" t="n">
        <f aca="false">F16-(I16-X16)</f>
        <v>-38.9693143433324</v>
      </c>
      <c r="M16" s="54" t="n">
        <v>267</v>
      </c>
      <c r="N16" s="54" t="n">
        <v>0.5</v>
      </c>
      <c r="O16" s="54" t="n">
        <f aca="false">56.78*1.05</f>
        <v>59.619</v>
      </c>
      <c r="P16" s="7" t="n">
        <f aca="false">M16-(N16+O16)</f>
        <v>206.881</v>
      </c>
      <c r="Q16" s="54" t="n">
        <v>65</v>
      </c>
      <c r="R16" s="54" t="n">
        <v>72</v>
      </c>
      <c r="S16" s="54" t="n">
        <f aca="false">SUM(P16:R16)</f>
        <v>343.881</v>
      </c>
      <c r="T16" s="55" t="n">
        <f aca="false">(I16-S16)+T15</f>
        <v>-4583.524</v>
      </c>
      <c r="U16" s="54" t="n">
        <v>120.19</v>
      </c>
      <c r="V16" s="54" t="n">
        <v>62</v>
      </c>
      <c r="W16" s="55" t="n">
        <f aca="false">W15-V16</f>
        <v>7444.98</v>
      </c>
      <c r="X16" s="7" t="n">
        <f aca="false">N16+O16+S16+U16+V16</f>
        <v>586.19</v>
      </c>
      <c r="Y16" s="54" t="n">
        <f aca="false">IF(L16&lt;0,L16*-1,0)</f>
        <v>38.9693143433324</v>
      </c>
      <c r="Z16" s="54" t="n">
        <f aca="false">X16+Y16</f>
        <v>625.159314343332</v>
      </c>
      <c r="AA16" s="58" t="n">
        <v>0</v>
      </c>
      <c r="AB16" s="59" t="n">
        <v>70</v>
      </c>
      <c r="AC16" s="59" t="n">
        <v>43</v>
      </c>
      <c r="AD16" s="60" t="n">
        <v>7</v>
      </c>
      <c r="AE16" s="96"/>
      <c r="AF16" s="97"/>
      <c r="AG16" s="97"/>
    </row>
    <row r="17" customFormat="false" ht="11.1" hidden="false" customHeight="true" outlineLevel="0" collapsed="false">
      <c r="A17" s="60" t="n">
        <v>8</v>
      </c>
      <c r="B17" s="75" t="n">
        <v>6887.78</v>
      </c>
      <c r="C17" s="55" t="n">
        <v>240744</v>
      </c>
      <c r="D17" s="59" t="n">
        <f aca="false">C17-C16</f>
        <v>-925</v>
      </c>
      <c r="E17" s="55" t="n">
        <f aca="false">C17-151978</f>
        <v>88766</v>
      </c>
      <c r="F17" s="54" t="n">
        <f aca="false">D17/$D$2</f>
        <v>-466.347365767583</v>
      </c>
      <c r="G17" s="54" t="n">
        <v>117</v>
      </c>
      <c r="H17" s="87" t="n">
        <v>0</v>
      </c>
      <c r="I17" s="54" t="n">
        <f aca="false">G17+H17</f>
        <v>117</v>
      </c>
      <c r="J17" s="83" t="n">
        <f aca="false">IF(L17&gt;0,L17,0)</f>
        <v>1.78263423241742</v>
      </c>
      <c r="K17" s="54" t="n">
        <f aca="false">I17+J17</f>
        <v>118.782634232417</v>
      </c>
      <c r="L17" s="54" t="n">
        <f aca="false">F17-(I17-X17)</f>
        <v>1.78263423241742</v>
      </c>
      <c r="M17" s="54" t="n">
        <v>273</v>
      </c>
      <c r="N17" s="54" t="n">
        <v>0.5</v>
      </c>
      <c r="O17" s="54" t="n">
        <f aca="false">72.81*1.05</f>
        <v>76.4505</v>
      </c>
      <c r="P17" s="7" t="n">
        <f aca="false">M17-(N17+O17)</f>
        <v>196.0495</v>
      </c>
      <c r="Q17" s="54" t="n">
        <v>65</v>
      </c>
      <c r="R17" s="54" t="n">
        <v>71</v>
      </c>
      <c r="S17" s="54" t="n">
        <f aca="false">SUM(P17:R17)</f>
        <v>332.0495</v>
      </c>
      <c r="T17" s="55" t="n">
        <f aca="false">(I17-S17)+T16</f>
        <v>-4798.5735</v>
      </c>
      <c r="U17" s="54" t="n">
        <v>115.13</v>
      </c>
      <c r="V17" s="54" t="n">
        <v>61</v>
      </c>
      <c r="W17" s="55" t="n">
        <f aca="false">W16-V17</f>
        <v>7383.98</v>
      </c>
      <c r="X17" s="7" t="n">
        <f aca="false">N17+O17+S17+U17+V17</f>
        <v>585.13</v>
      </c>
      <c r="Y17" s="54" t="n">
        <f aca="false">IF(L17&lt;0,L17*-1,0)</f>
        <v>0</v>
      </c>
      <c r="Z17" s="54" t="n">
        <f aca="false">X17+Y17</f>
        <v>585.13</v>
      </c>
      <c r="AA17" s="58" t="n">
        <v>0</v>
      </c>
      <c r="AB17" s="59" t="n">
        <v>65</v>
      </c>
      <c r="AC17" s="59" t="n">
        <v>40</v>
      </c>
      <c r="AD17" s="60" t="n">
        <v>8</v>
      </c>
      <c r="AE17" s="96"/>
      <c r="AF17" s="97"/>
      <c r="AG17" s="97"/>
    </row>
    <row r="18" customFormat="false" ht="11.1" hidden="false" customHeight="true" outlineLevel="0" collapsed="false">
      <c r="A18" s="60" t="n">
        <v>9</v>
      </c>
      <c r="B18" s="75" t="n">
        <v>6887.54</v>
      </c>
      <c r="C18" s="55" t="n">
        <v>239953</v>
      </c>
      <c r="D18" s="59" t="n">
        <f aca="false">C18-C17</f>
        <v>-791</v>
      </c>
      <c r="E18" s="55" t="n">
        <f aca="false">C18-151978</f>
        <v>87975</v>
      </c>
      <c r="F18" s="54" t="n">
        <f aca="false">D18/$D$2</f>
        <v>-398.790017645576</v>
      </c>
      <c r="G18" s="54" t="n">
        <v>114</v>
      </c>
      <c r="H18" s="87" t="n">
        <v>0</v>
      </c>
      <c r="I18" s="54" t="n">
        <f aca="false">G18+H18</f>
        <v>114</v>
      </c>
      <c r="J18" s="83" t="n">
        <f aca="false">IF(L18&gt;0,L18,0)</f>
        <v>0</v>
      </c>
      <c r="K18" s="54" t="n">
        <f aca="false">I18+J18</f>
        <v>114</v>
      </c>
      <c r="L18" s="54" t="n">
        <f aca="false">F18-(I18-X18)</f>
        <v>-27.930017645576</v>
      </c>
      <c r="M18" s="54" t="n">
        <v>198</v>
      </c>
      <c r="N18" s="54" t="n">
        <v>0.5</v>
      </c>
      <c r="O18" s="54" t="n">
        <f aca="false">24.4*1.05</f>
        <v>25.62</v>
      </c>
      <c r="P18" s="7" t="n">
        <f aca="false">M18-(N18+O18)</f>
        <v>171.88</v>
      </c>
      <c r="Q18" s="54" t="n">
        <v>65</v>
      </c>
      <c r="R18" s="54" t="n">
        <v>71</v>
      </c>
      <c r="S18" s="54" t="n">
        <f aca="false">SUM(P18:R18)</f>
        <v>307.88</v>
      </c>
      <c r="T18" s="55" t="n">
        <f aca="false">(I18-S18)+T17</f>
        <v>-4992.4535</v>
      </c>
      <c r="U18" s="54" t="n">
        <v>89.86</v>
      </c>
      <c r="V18" s="54" t="n">
        <v>61</v>
      </c>
      <c r="W18" s="55" t="n">
        <f aca="false">W17-V18</f>
        <v>7322.98</v>
      </c>
      <c r="X18" s="7" t="n">
        <f aca="false">N18+O18+S18+U18+V18</f>
        <v>484.86</v>
      </c>
      <c r="Y18" s="54" t="n">
        <f aca="false">IF(L18&lt;0,L18*-1,0)</f>
        <v>27.930017645576</v>
      </c>
      <c r="Z18" s="54" t="n">
        <f aca="false">X18+Y18</f>
        <v>512.790017645576</v>
      </c>
      <c r="AA18" s="58" t="n">
        <v>0</v>
      </c>
      <c r="AB18" s="59" t="n">
        <v>73</v>
      </c>
      <c r="AC18" s="59" t="n">
        <v>35</v>
      </c>
      <c r="AD18" s="60" t="n">
        <v>9</v>
      </c>
      <c r="AE18" s="96"/>
      <c r="AF18" s="97"/>
      <c r="AG18" s="97"/>
    </row>
    <row r="19" customFormat="false" ht="11.1" hidden="false" customHeight="true" outlineLevel="0" collapsed="false">
      <c r="A19" s="60" t="n">
        <v>10</v>
      </c>
      <c r="B19" s="75" t="n">
        <v>6887.26</v>
      </c>
      <c r="C19" s="55" t="n">
        <v>239030</v>
      </c>
      <c r="D19" s="59" t="n">
        <f aca="false">C19-C18</f>
        <v>-923</v>
      </c>
      <c r="E19" s="55" t="n">
        <f aca="false">C19-151978</f>
        <v>87052</v>
      </c>
      <c r="F19" s="54" t="n">
        <f aca="false">D19/$D$2</f>
        <v>-465.339047138896</v>
      </c>
      <c r="G19" s="54" t="n">
        <v>106</v>
      </c>
      <c r="H19" s="87" t="n">
        <v>0</v>
      </c>
      <c r="I19" s="54" t="n">
        <f aca="false">G19+H19</f>
        <v>106</v>
      </c>
      <c r="J19" s="83" t="n">
        <f aca="false">IF(L19&gt;0,L19,0)</f>
        <v>0</v>
      </c>
      <c r="K19" s="54" t="n">
        <f aca="false">I19+J19</f>
        <v>106</v>
      </c>
      <c r="L19" s="54" t="n">
        <f aca="false">F19-(I19-X19)</f>
        <v>-44.5990471388959</v>
      </c>
      <c r="M19" s="54" t="n">
        <v>224</v>
      </c>
      <c r="N19" s="54" t="n">
        <v>0.5</v>
      </c>
      <c r="O19" s="54" t="n">
        <f aca="false">16.84*1.05</f>
        <v>17.682</v>
      </c>
      <c r="P19" s="7" t="n">
        <f aca="false">M19-(N19+O19)</f>
        <v>205.818</v>
      </c>
      <c r="Q19" s="54" t="n">
        <v>65</v>
      </c>
      <c r="R19" s="54" t="n">
        <v>70</v>
      </c>
      <c r="S19" s="54" t="n">
        <f aca="false">SUM(P19:R19)</f>
        <v>340.818</v>
      </c>
      <c r="T19" s="55" t="n">
        <f aca="false">(I19-S19)+T18</f>
        <v>-5227.2715</v>
      </c>
      <c r="U19" s="54" t="n">
        <v>106.74</v>
      </c>
      <c r="V19" s="54" t="n">
        <v>61</v>
      </c>
      <c r="W19" s="55" t="n">
        <f aca="false">W18-V19</f>
        <v>7261.98</v>
      </c>
      <c r="X19" s="7" t="n">
        <f aca="false">N19+O19+S19+U19+V19</f>
        <v>526.74</v>
      </c>
      <c r="Y19" s="54" t="n">
        <f aca="false">IF(L19&lt;0,L19*-1,0)</f>
        <v>44.5990471388959</v>
      </c>
      <c r="Z19" s="54" t="n">
        <f aca="false">X19+Y19</f>
        <v>571.339047138896</v>
      </c>
      <c r="AA19" s="58" t="n">
        <v>0</v>
      </c>
      <c r="AB19" s="59" t="n">
        <v>80</v>
      </c>
      <c r="AC19" s="59" t="n">
        <v>42</v>
      </c>
      <c r="AD19" s="60" t="n">
        <v>10</v>
      </c>
      <c r="AE19" s="96"/>
      <c r="AF19" s="97"/>
      <c r="AG19" s="97"/>
    </row>
    <row r="20" customFormat="false" ht="11.1" hidden="false" customHeight="true" outlineLevel="0" collapsed="false">
      <c r="A20" s="60" t="n">
        <v>11</v>
      </c>
      <c r="B20" s="75" t="n">
        <v>6886.98</v>
      </c>
      <c r="C20" s="55" t="n">
        <v>238107</v>
      </c>
      <c r="D20" s="59" t="n">
        <f aca="false">C20-C19</f>
        <v>-923</v>
      </c>
      <c r="E20" s="55" t="n">
        <f aca="false">C20-151978</f>
        <v>86129</v>
      </c>
      <c r="F20" s="54" t="n">
        <f aca="false">D20/$D$2</f>
        <v>-465.339047138896</v>
      </c>
      <c r="G20" s="54" t="n">
        <v>100</v>
      </c>
      <c r="H20" s="87" t="n">
        <v>0</v>
      </c>
      <c r="I20" s="54" t="n">
        <f aca="false">G20+H20</f>
        <v>100</v>
      </c>
      <c r="J20" s="83" t="n">
        <f aca="false">IF(L20&gt;0,L20,0)</f>
        <v>0</v>
      </c>
      <c r="K20" s="54" t="n">
        <f aca="false">I20+J20</f>
        <v>100</v>
      </c>
      <c r="L20" s="54" t="n">
        <f aca="false">F20-(I20-X20)</f>
        <v>-21.9390471388959</v>
      </c>
      <c r="M20" s="54" t="n">
        <v>243</v>
      </c>
      <c r="N20" s="54" t="n">
        <v>0.5</v>
      </c>
      <c r="O20" s="54" t="n">
        <f aca="false">42.54*1.05</f>
        <v>44.667</v>
      </c>
      <c r="P20" s="7" t="n">
        <f aca="false">M20-(N20+O20)</f>
        <v>197.833</v>
      </c>
      <c r="Q20" s="54" t="n">
        <v>65</v>
      </c>
      <c r="R20" s="54" t="n">
        <v>71</v>
      </c>
      <c r="S20" s="54" t="n">
        <f aca="false">SUM(P20:R20)</f>
        <v>333.833</v>
      </c>
      <c r="T20" s="55" t="n">
        <f aca="false">(I20-S20)+T19</f>
        <v>-5461.1045</v>
      </c>
      <c r="U20" s="54" t="n">
        <v>103.4</v>
      </c>
      <c r="V20" s="54" t="n">
        <v>61</v>
      </c>
      <c r="W20" s="55" t="n">
        <f aca="false">W19-V20</f>
        <v>7200.98</v>
      </c>
      <c r="X20" s="7" t="n">
        <f aca="false">N20+O20+S20+U20+V20</f>
        <v>543.4</v>
      </c>
      <c r="Y20" s="54" t="n">
        <f aca="false">IF(L20&lt;0,L20*-1,0)</f>
        <v>21.9390471388959</v>
      </c>
      <c r="Z20" s="54" t="n">
        <f aca="false">X20+Y20</f>
        <v>565.339047138896</v>
      </c>
      <c r="AA20" s="58" t="n">
        <v>0</v>
      </c>
      <c r="AB20" s="59" t="n">
        <v>83</v>
      </c>
      <c r="AC20" s="59" t="n">
        <v>50</v>
      </c>
      <c r="AD20" s="60" t="n">
        <v>11</v>
      </c>
      <c r="AE20" s="96"/>
      <c r="AF20" s="97"/>
      <c r="AG20" s="97"/>
    </row>
    <row r="21" customFormat="false" ht="11.1" hidden="false" customHeight="true" outlineLevel="0" collapsed="false">
      <c r="A21" s="60" t="n">
        <v>12</v>
      </c>
      <c r="B21" s="75" t="n">
        <v>6886.68</v>
      </c>
      <c r="C21" s="55" t="n">
        <v>237129</v>
      </c>
      <c r="D21" s="59" t="n">
        <f aca="false">C21-C20</f>
        <v>-978</v>
      </c>
      <c r="E21" s="55" t="n">
        <f aca="false">C21-151978</f>
        <v>85151</v>
      </c>
      <c r="F21" s="54" t="n">
        <f aca="false">D21/$D$2</f>
        <v>-493.067809427779</v>
      </c>
      <c r="G21" s="54" t="n">
        <v>96</v>
      </c>
      <c r="H21" s="87" t="n">
        <v>0</v>
      </c>
      <c r="I21" s="54" t="n">
        <f aca="false">G21+H21</f>
        <v>96</v>
      </c>
      <c r="J21" s="83" t="n">
        <f aca="false">IF(L21&gt;0,L21,0)</f>
        <v>0</v>
      </c>
      <c r="K21" s="54" t="n">
        <f aca="false">I21+J21</f>
        <v>96</v>
      </c>
      <c r="L21" s="54" t="n">
        <f aca="false">F21-(I21-X21)</f>
        <v>-42.8278094277792</v>
      </c>
      <c r="M21" s="54" t="n">
        <v>247</v>
      </c>
      <c r="N21" s="54" t="n">
        <v>0.5</v>
      </c>
      <c r="O21" s="54" t="n">
        <f aca="false">55.65*1.05</f>
        <v>58.4325</v>
      </c>
      <c r="P21" s="7" t="n">
        <f aca="false">M21-(N21+O21)</f>
        <v>188.0675</v>
      </c>
      <c r="Q21" s="54" t="n">
        <v>65</v>
      </c>
      <c r="R21" s="54" t="n">
        <v>72</v>
      </c>
      <c r="S21" s="54" t="n">
        <f aca="false">SUM(P21:R21)</f>
        <v>325.0675</v>
      </c>
      <c r="T21" s="55" t="n">
        <f aca="false">(I21-S21)+T20</f>
        <v>-5690.172</v>
      </c>
      <c r="U21" s="54" t="n">
        <v>101.24</v>
      </c>
      <c r="V21" s="54" t="n">
        <v>61</v>
      </c>
      <c r="W21" s="55" t="n">
        <f aca="false">W20-V21</f>
        <v>7139.98</v>
      </c>
      <c r="X21" s="7" t="n">
        <f aca="false">N21+O21+S21+U21+V21</f>
        <v>546.24</v>
      </c>
      <c r="Y21" s="54" t="n">
        <f aca="false">IF(L21&lt;0,L21*-1,0)</f>
        <v>42.8278094277792</v>
      </c>
      <c r="Z21" s="54" t="n">
        <f aca="false">X21+Y21</f>
        <v>589.067809427779</v>
      </c>
      <c r="AA21" s="58" t="n">
        <v>0</v>
      </c>
      <c r="AB21" s="59" t="n">
        <v>84</v>
      </c>
      <c r="AC21" s="59" t="n">
        <v>50</v>
      </c>
      <c r="AD21" s="60" t="n">
        <v>12</v>
      </c>
      <c r="AE21" s="96"/>
      <c r="AF21" s="97"/>
      <c r="AG21" s="97"/>
    </row>
    <row r="22" customFormat="false" ht="11.1" hidden="false" customHeight="true" outlineLevel="0" collapsed="false">
      <c r="A22" s="60" t="n">
        <v>13</v>
      </c>
      <c r="B22" s="75" t="n">
        <v>6886.4</v>
      </c>
      <c r="C22" s="55" t="n">
        <v>236217</v>
      </c>
      <c r="D22" s="59" t="n">
        <f aca="false">C22-C21</f>
        <v>-912</v>
      </c>
      <c r="E22" s="55" t="n">
        <f aca="false">C22-151978</f>
        <v>84239</v>
      </c>
      <c r="F22" s="54" t="n">
        <f aca="false">D22/$D$2</f>
        <v>-459.793294681119</v>
      </c>
      <c r="G22" s="54" t="n">
        <v>97</v>
      </c>
      <c r="H22" s="87" t="n">
        <v>0</v>
      </c>
      <c r="I22" s="54" t="n">
        <f aca="false">G22+H22</f>
        <v>97</v>
      </c>
      <c r="J22" s="83" t="n">
        <f aca="false">IF(L22&gt;0,L22,0)</f>
        <v>0</v>
      </c>
      <c r="K22" s="54" t="n">
        <f aca="false">I22+J22</f>
        <v>97</v>
      </c>
      <c r="L22" s="54" t="n">
        <f aca="false">F22-(I22-X22)</f>
        <v>-8.90329468111923</v>
      </c>
      <c r="M22" s="54" t="n">
        <v>249</v>
      </c>
      <c r="N22" s="54" t="n">
        <v>0.5</v>
      </c>
      <c r="O22" s="54" t="n">
        <f aca="false">61.4*1.05</f>
        <v>64.47</v>
      </c>
      <c r="P22" s="7" t="n">
        <f aca="false">M22-(N22+O22)</f>
        <v>184.03</v>
      </c>
      <c r="Q22" s="54" t="n">
        <v>64</v>
      </c>
      <c r="R22" s="54" t="n">
        <v>71</v>
      </c>
      <c r="S22" s="54" t="n">
        <f aca="false">SUM(P22:R22)</f>
        <v>319.03</v>
      </c>
      <c r="T22" s="55" t="n">
        <f aca="false">(I22-S22)+T21</f>
        <v>-5912.202</v>
      </c>
      <c r="U22" s="54" t="n">
        <v>102.89</v>
      </c>
      <c r="V22" s="54" t="n">
        <v>61</v>
      </c>
      <c r="W22" s="55" t="n">
        <f aca="false">W21-V22</f>
        <v>7078.98</v>
      </c>
      <c r="X22" s="7" t="n">
        <f aca="false">N22+O22+S22+U22+V22</f>
        <v>547.89</v>
      </c>
      <c r="Y22" s="54" t="n">
        <f aca="false">IF(L22&lt;0,L22*-1,0)</f>
        <v>8.90329468111923</v>
      </c>
      <c r="Z22" s="54" t="n">
        <f aca="false">X22+Y22</f>
        <v>556.793294681119</v>
      </c>
      <c r="AA22" s="58" t="n">
        <v>0</v>
      </c>
      <c r="AB22" s="59" t="n">
        <v>78</v>
      </c>
      <c r="AC22" s="59" t="n">
        <v>53</v>
      </c>
      <c r="AD22" s="60" t="n">
        <v>13</v>
      </c>
      <c r="AE22" s="96"/>
      <c r="AF22" s="97"/>
      <c r="AG22" s="97"/>
    </row>
    <row r="23" customFormat="false" ht="11.1" hidden="false" customHeight="true" outlineLevel="0" collapsed="false">
      <c r="A23" s="60" t="n">
        <v>14</v>
      </c>
      <c r="B23" s="75" t="n">
        <v>6886.16</v>
      </c>
      <c r="C23" s="55" t="n">
        <v>235434</v>
      </c>
      <c r="D23" s="59" t="n">
        <f aca="false">C23-C22</f>
        <v>-783</v>
      </c>
      <c r="E23" s="55" t="n">
        <f aca="false">C23-151978</f>
        <v>83456</v>
      </c>
      <c r="F23" s="54" t="n">
        <f aca="false">D23/$D$2</f>
        <v>-394.756743130829</v>
      </c>
      <c r="G23" s="54" t="n">
        <v>99</v>
      </c>
      <c r="H23" s="87" t="n">
        <v>0</v>
      </c>
      <c r="I23" s="54" t="n">
        <f aca="false">G23+H23</f>
        <v>99</v>
      </c>
      <c r="J23" s="83" t="n">
        <f aca="false">IF(L23&gt;0,L23,0)</f>
        <v>13.5732568691707</v>
      </c>
      <c r="K23" s="54" t="n">
        <f aca="false">I23+J23</f>
        <v>112.573256869171</v>
      </c>
      <c r="L23" s="54" t="n">
        <f aca="false">F23-(I23-X23)</f>
        <v>13.5732568691707</v>
      </c>
      <c r="M23" s="54" t="n">
        <v>224</v>
      </c>
      <c r="N23" s="54" t="n">
        <v>0.5</v>
      </c>
      <c r="O23" s="54" t="n">
        <f aca="false">44.56*1.05</f>
        <v>46.788</v>
      </c>
      <c r="P23" s="7" t="n">
        <f aca="false">M23-(N23+O23)</f>
        <v>176.712</v>
      </c>
      <c r="Q23" s="54" t="n">
        <v>64</v>
      </c>
      <c r="R23" s="54" t="n">
        <v>70</v>
      </c>
      <c r="S23" s="54" t="n">
        <f aca="false">SUM(P23:R23)</f>
        <v>310.712</v>
      </c>
      <c r="T23" s="55" t="n">
        <f aca="false">(I23-S23)+T22</f>
        <v>-6123.914</v>
      </c>
      <c r="U23" s="54" t="n">
        <v>88.33</v>
      </c>
      <c r="V23" s="54" t="n">
        <v>61</v>
      </c>
      <c r="W23" s="55" t="n">
        <f aca="false">W22-V23</f>
        <v>7017.98</v>
      </c>
      <c r="X23" s="7" t="n">
        <f aca="false">N23+O23+S23+U23+V23</f>
        <v>507.33</v>
      </c>
      <c r="Y23" s="54" t="n">
        <f aca="false">IF(L23&lt;0,L23*-1,0)</f>
        <v>0</v>
      </c>
      <c r="Z23" s="54" t="n">
        <f aca="false">X23+Y23</f>
        <v>507.33</v>
      </c>
      <c r="AA23" s="58" t="n">
        <v>0.01</v>
      </c>
      <c r="AB23" s="59" t="n">
        <v>79</v>
      </c>
      <c r="AC23" s="59" t="n">
        <v>49</v>
      </c>
      <c r="AD23" s="60" t="n">
        <v>14</v>
      </c>
      <c r="AE23" s="96"/>
      <c r="AF23" s="97"/>
      <c r="AG23" s="97"/>
    </row>
    <row r="24" customFormat="false" ht="11.1" hidden="false" customHeight="true" outlineLevel="0" collapsed="false">
      <c r="A24" s="60" t="n">
        <v>15</v>
      </c>
      <c r="B24" s="75" t="n">
        <v>6885.9</v>
      </c>
      <c r="C24" s="55" t="n">
        <v>234590</v>
      </c>
      <c r="D24" s="59" t="n">
        <f aca="false">C24-C23</f>
        <v>-844</v>
      </c>
      <c r="E24" s="55" t="n">
        <f aca="false">C24-151978</f>
        <v>82612</v>
      </c>
      <c r="F24" s="54" t="n">
        <f aca="false">D24/$D$2</f>
        <v>-425.510461305773</v>
      </c>
      <c r="G24" s="54" t="n">
        <v>102</v>
      </c>
      <c r="H24" s="87" t="n">
        <v>0</v>
      </c>
      <c r="I24" s="54" t="n">
        <f aca="false">G24+H24</f>
        <v>102</v>
      </c>
      <c r="J24" s="83" t="n">
        <f aca="false">IF(L24&gt;0,L24,0)</f>
        <v>0</v>
      </c>
      <c r="K24" s="54" t="n">
        <f aca="false">I24+J24</f>
        <v>102</v>
      </c>
      <c r="L24" s="54" t="n">
        <f aca="false">F24-(I24-X24)</f>
        <v>-23.6604613057727</v>
      </c>
      <c r="M24" s="54" t="n">
        <v>215</v>
      </c>
      <c r="N24" s="54" t="n">
        <v>0.5</v>
      </c>
      <c r="O24" s="54" t="n">
        <f aca="false">19.6*1.05</f>
        <v>20.58</v>
      </c>
      <c r="P24" s="7" t="n">
        <f aca="false">M24-(N24+O24)</f>
        <v>193.92</v>
      </c>
      <c r="Q24" s="54" t="n">
        <v>64</v>
      </c>
      <c r="R24" s="54" t="n">
        <v>69</v>
      </c>
      <c r="S24" s="54" t="n">
        <f aca="false">SUM(P24:R24)</f>
        <v>326.92</v>
      </c>
      <c r="T24" s="55" t="n">
        <f aca="false">(I24-S24)+T23</f>
        <v>-6348.834</v>
      </c>
      <c r="U24" s="54" t="n">
        <v>94.85</v>
      </c>
      <c r="V24" s="54" t="n">
        <v>61</v>
      </c>
      <c r="W24" s="55" t="n">
        <f aca="false">W23-V24</f>
        <v>6956.98</v>
      </c>
      <c r="X24" s="7" t="n">
        <f aca="false">N24+O24+S24+U24+V24</f>
        <v>503.85</v>
      </c>
      <c r="Y24" s="54" t="n">
        <f aca="false">IF(L24&lt;0,L24*-1,0)</f>
        <v>23.6604613057727</v>
      </c>
      <c r="Z24" s="54" t="n">
        <f aca="false">X24+Y24</f>
        <v>527.510461305773</v>
      </c>
      <c r="AA24" s="58" t="n">
        <v>0</v>
      </c>
      <c r="AB24" s="59" t="n">
        <v>80</v>
      </c>
      <c r="AC24" s="59" t="n">
        <v>48</v>
      </c>
      <c r="AD24" s="60" t="n">
        <v>15</v>
      </c>
      <c r="AE24" s="96"/>
      <c r="AF24" s="97"/>
      <c r="AG24" s="97"/>
    </row>
    <row r="25" customFormat="false" ht="11.1" hidden="false" customHeight="true" outlineLevel="0" collapsed="false">
      <c r="A25" s="60" t="n">
        <v>16</v>
      </c>
      <c r="B25" s="75" t="n">
        <v>6885.63</v>
      </c>
      <c r="C25" s="55" t="n">
        <v>233720</v>
      </c>
      <c r="D25" s="59" t="n">
        <f aca="false">C25-C24</f>
        <v>-870</v>
      </c>
      <c r="E25" s="55" t="n">
        <f aca="false">C25-151978</f>
        <v>81742</v>
      </c>
      <c r="F25" s="54" t="n">
        <f aca="false">D25/$D$2</f>
        <v>-438.618603478699</v>
      </c>
      <c r="G25" s="54" t="n">
        <v>96</v>
      </c>
      <c r="H25" s="87" t="n">
        <v>0</v>
      </c>
      <c r="I25" s="54" t="n">
        <f aca="false">G25+H25</f>
        <v>96</v>
      </c>
      <c r="J25" s="83" t="n">
        <f aca="false">IF(L25&gt;0,L25,0)</f>
        <v>0</v>
      </c>
      <c r="K25" s="54" t="n">
        <f aca="false">I25+J25</f>
        <v>96</v>
      </c>
      <c r="L25" s="54" t="n">
        <f aca="false">F25-(I25-X25)</f>
        <v>-61.9186034786993</v>
      </c>
      <c r="M25" s="54" t="n">
        <v>209</v>
      </c>
      <c r="N25" s="54" t="n">
        <v>0.5</v>
      </c>
      <c r="O25" s="54" t="n">
        <f aca="false">8*1.05</f>
        <v>8.4</v>
      </c>
      <c r="P25" s="7" t="n">
        <f aca="false">M25-(N25+O25)</f>
        <v>200.1</v>
      </c>
      <c r="Q25" s="54" t="n">
        <v>64</v>
      </c>
      <c r="R25" s="54" t="n">
        <v>69</v>
      </c>
      <c r="S25" s="54" t="n">
        <f aca="false">SUM(P25:R25)</f>
        <v>333.1</v>
      </c>
      <c r="T25" s="55" t="n">
        <f aca="false">(I25-S25)+T24</f>
        <v>-6585.934</v>
      </c>
      <c r="U25" s="54" t="n">
        <v>69.7</v>
      </c>
      <c r="V25" s="54" t="n">
        <v>61</v>
      </c>
      <c r="W25" s="55" t="n">
        <f aca="false">W24-V25</f>
        <v>6895.98</v>
      </c>
      <c r="X25" s="7" t="n">
        <f aca="false">N25+O25+S25+U25+V25</f>
        <v>472.7</v>
      </c>
      <c r="Y25" s="54" t="n">
        <f aca="false">IF(L25&lt;0,L25*-1,0)</f>
        <v>61.9186034786993</v>
      </c>
      <c r="Z25" s="54" t="n">
        <f aca="false">X25+Y25</f>
        <v>534.618603478699</v>
      </c>
      <c r="AA25" s="58" t="n">
        <v>0.07</v>
      </c>
      <c r="AB25" s="59" t="n">
        <v>76</v>
      </c>
      <c r="AC25" s="59" t="n">
        <v>47</v>
      </c>
      <c r="AD25" s="60" t="n">
        <v>16</v>
      </c>
      <c r="AE25" s="96"/>
      <c r="AF25" s="97"/>
      <c r="AG25" s="97"/>
    </row>
    <row r="26" customFormat="false" ht="11.1" hidden="false" customHeight="true" outlineLevel="0" collapsed="false">
      <c r="A26" s="60" t="n">
        <v>17</v>
      </c>
      <c r="B26" s="75" t="n">
        <v>6885.43</v>
      </c>
      <c r="C26" s="55" t="n">
        <v>233075</v>
      </c>
      <c r="D26" s="59" t="n">
        <f aca="false">C26-C25</f>
        <v>-645</v>
      </c>
      <c r="E26" s="55" t="n">
        <f aca="false">C26-151978</f>
        <v>81097</v>
      </c>
      <c r="F26" s="54" t="n">
        <f aca="false">D26/$D$2</f>
        <v>-325.182757751449</v>
      </c>
      <c r="G26" s="54" t="n">
        <v>108</v>
      </c>
      <c r="H26" s="87" t="n">
        <v>0</v>
      </c>
      <c r="I26" s="54" t="n">
        <f aca="false">G26+H26</f>
        <v>108</v>
      </c>
      <c r="J26" s="83" t="n">
        <f aca="false">IF(L26&gt;0,L26,0)</f>
        <v>28.8572422485506</v>
      </c>
      <c r="K26" s="54" t="n">
        <f aca="false">I26+J26</f>
        <v>136.857242248551</v>
      </c>
      <c r="L26" s="54" t="n">
        <f aca="false">F26-(I26-X26)</f>
        <v>28.8572422485506</v>
      </c>
      <c r="M26" s="54" t="n">
        <v>203</v>
      </c>
      <c r="N26" s="54" t="n">
        <v>0.5</v>
      </c>
      <c r="O26" s="54" t="n">
        <f aca="false">13.22*1.05</f>
        <v>13.881</v>
      </c>
      <c r="P26" s="7" t="n">
        <f aca="false">M26-(N26+O26)</f>
        <v>188.619</v>
      </c>
      <c r="Q26" s="54" t="n">
        <v>63</v>
      </c>
      <c r="R26" s="54" t="n">
        <v>68</v>
      </c>
      <c r="S26" s="54" t="n">
        <f aca="false">SUM(P26:R26)</f>
        <v>319.619</v>
      </c>
      <c r="T26" s="55" t="n">
        <f aca="false">(I26-S26)+T25</f>
        <v>-6797.553</v>
      </c>
      <c r="U26" s="54" t="n">
        <v>67.04</v>
      </c>
      <c r="V26" s="54" t="n">
        <v>61</v>
      </c>
      <c r="W26" s="55" t="n">
        <f aca="false">W25-V26</f>
        <v>6834.98</v>
      </c>
      <c r="X26" s="7" t="n">
        <f aca="false">N26+O26+S26+U26+V26</f>
        <v>462.04</v>
      </c>
      <c r="Y26" s="54" t="n">
        <f aca="false">IF(L26&lt;0,L26*-1,0)</f>
        <v>0</v>
      </c>
      <c r="Z26" s="54" t="n">
        <f aca="false">X26+Y26</f>
        <v>462.04</v>
      </c>
      <c r="AA26" s="58" t="n">
        <v>0.47</v>
      </c>
      <c r="AB26" s="59" t="n">
        <v>71</v>
      </c>
      <c r="AC26" s="59" t="n">
        <v>49</v>
      </c>
      <c r="AD26" s="60" t="n">
        <v>17</v>
      </c>
      <c r="AE26" s="96"/>
      <c r="AF26" s="97"/>
      <c r="AG26" s="97"/>
    </row>
    <row r="27" customFormat="false" ht="11.1" hidden="false" customHeight="true" outlineLevel="0" collapsed="false">
      <c r="A27" s="60" t="n">
        <v>18</v>
      </c>
      <c r="B27" s="75" t="n">
        <v>6885.23</v>
      </c>
      <c r="C27" s="55" t="n">
        <v>232431</v>
      </c>
      <c r="D27" s="59" t="n">
        <f aca="false">C27-C26</f>
        <v>-644</v>
      </c>
      <c r="E27" s="55" t="n">
        <f aca="false">C27-151978</f>
        <v>80453</v>
      </c>
      <c r="F27" s="54" t="n">
        <f aca="false">D27/$D$2</f>
        <v>-324.678598437106</v>
      </c>
      <c r="G27" s="54" t="n">
        <v>121</v>
      </c>
      <c r="H27" s="87" t="n">
        <v>0</v>
      </c>
      <c r="I27" s="54" t="n">
        <f aca="false">G27+H27</f>
        <v>121</v>
      </c>
      <c r="J27" s="83" t="n">
        <f aca="false">IF(L27&gt;0,L27,0)</f>
        <v>33.0214015628939</v>
      </c>
      <c r="K27" s="54" t="n">
        <f aca="false">I27+J27</f>
        <v>154.021401562894</v>
      </c>
      <c r="L27" s="54" t="n">
        <f aca="false">F27-(I27-X27)</f>
        <v>33.0214015628939</v>
      </c>
      <c r="M27" s="54" t="n">
        <v>209</v>
      </c>
      <c r="N27" s="54" t="n">
        <v>0.5</v>
      </c>
      <c r="O27" s="54" t="n">
        <f aca="false">29.54*1.05</f>
        <v>31.017</v>
      </c>
      <c r="P27" s="7" t="n">
        <f aca="false">M27-(N27+O27)</f>
        <v>177.483</v>
      </c>
      <c r="Q27" s="54" t="n">
        <v>63</v>
      </c>
      <c r="R27" s="54" t="n">
        <v>66</v>
      </c>
      <c r="S27" s="54" t="n">
        <f aca="false">SUM(P27:R27)</f>
        <v>306.483</v>
      </c>
      <c r="T27" s="55" t="n">
        <f aca="false">(I27-S27)+T26</f>
        <v>-6983.036</v>
      </c>
      <c r="U27" s="54" t="n">
        <v>80.7</v>
      </c>
      <c r="V27" s="54" t="n">
        <v>60</v>
      </c>
      <c r="W27" s="55" t="n">
        <f aca="false">W26-V27</f>
        <v>6774.98</v>
      </c>
      <c r="X27" s="7" t="n">
        <f aca="false">N27+O27+S27+U27+V27</f>
        <v>478.7</v>
      </c>
      <c r="Y27" s="54" t="n">
        <f aca="false">IF(L27&lt;0,L27*-1,0)</f>
        <v>0</v>
      </c>
      <c r="Z27" s="54" t="n">
        <f aca="false">X27+Y27</f>
        <v>478.7</v>
      </c>
      <c r="AA27" s="58" t="n">
        <v>0</v>
      </c>
      <c r="AB27" s="59" t="n">
        <v>73</v>
      </c>
      <c r="AC27" s="59" t="n">
        <v>45</v>
      </c>
      <c r="AD27" s="60" t="n">
        <v>18</v>
      </c>
      <c r="AE27" s="96"/>
      <c r="AF27" s="97"/>
      <c r="AG27" s="97"/>
    </row>
    <row r="28" customFormat="false" ht="11.1" hidden="false" customHeight="true" outlineLevel="0" collapsed="false">
      <c r="A28" s="60" t="n">
        <v>19</v>
      </c>
      <c r="B28" s="75" t="n">
        <v>6884.96</v>
      </c>
      <c r="C28" s="55" t="n">
        <v>231562</v>
      </c>
      <c r="D28" s="59" t="n">
        <f aca="false">C28-C27</f>
        <v>-869</v>
      </c>
      <c r="E28" s="55" t="n">
        <f aca="false">C28-151978</f>
        <v>79584</v>
      </c>
      <c r="F28" s="54" t="n">
        <f aca="false">D28/$D$2</f>
        <v>-438.114444164356</v>
      </c>
      <c r="G28" s="54" t="n">
        <v>109</v>
      </c>
      <c r="H28" s="87" t="n">
        <v>0</v>
      </c>
      <c r="I28" s="54" t="n">
        <f aca="false">G28+H28</f>
        <v>109</v>
      </c>
      <c r="J28" s="83" t="n">
        <f aca="false">IF(L28&gt;0,L28,0)</f>
        <v>0</v>
      </c>
      <c r="K28" s="54" t="n">
        <f aca="false">I28+J28</f>
        <v>109</v>
      </c>
      <c r="L28" s="54" t="n">
        <f aca="false">F28-(I28-X28)</f>
        <v>-38.7944441643559</v>
      </c>
      <c r="M28" s="54" t="n">
        <v>230</v>
      </c>
      <c r="N28" s="54" t="n">
        <v>0.5</v>
      </c>
      <c r="O28" s="54" t="n">
        <f aca="false">49.14*1.05</f>
        <v>51.597</v>
      </c>
      <c r="P28" s="7" t="n">
        <f aca="false">M28-(N28+O28)</f>
        <v>177.903</v>
      </c>
      <c r="Q28" s="54" t="n">
        <v>63</v>
      </c>
      <c r="R28" s="54" t="n">
        <v>66</v>
      </c>
      <c r="S28" s="54" t="n">
        <f aca="false">SUM(P28:R28)</f>
        <v>306.903</v>
      </c>
      <c r="T28" s="55" t="n">
        <f aca="false">(I28-S28)+T27</f>
        <v>-7180.939</v>
      </c>
      <c r="U28" s="54" t="n">
        <v>89.32</v>
      </c>
      <c r="V28" s="54" t="n">
        <v>60</v>
      </c>
      <c r="W28" s="55" t="n">
        <f aca="false">W27-V28</f>
        <v>6714.98</v>
      </c>
      <c r="X28" s="7" t="n">
        <f aca="false">N28+O28+S28+U28+V28</f>
        <v>508.32</v>
      </c>
      <c r="Y28" s="54" t="n">
        <f aca="false">IF(L28&lt;0,L28*-1,0)</f>
        <v>38.7944441643559</v>
      </c>
      <c r="Z28" s="54" t="n">
        <f aca="false">X28+Y28</f>
        <v>547.114444164356</v>
      </c>
      <c r="AA28" s="58" t="n">
        <v>0</v>
      </c>
      <c r="AB28" s="59" t="n">
        <v>78</v>
      </c>
      <c r="AC28" s="59" t="n">
        <v>46</v>
      </c>
      <c r="AD28" s="60" t="n">
        <v>19</v>
      </c>
      <c r="AE28" s="96"/>
      <c r="AF28" s="97"/>
      <c r="AG28" s="97"/>
    </row>
    <row r="29" customFormat="false" ht="11.1" hidden="false" customHeight="true" outlineLevel="0" collapsed="false">
      <c r="A29" s="60" t="n">
        <v>20</v>
      </c>
      <c r="B29" s="75" t="n">
        <v>6884.72</v>
      </c>
      <c r="C29" s="55" t="n">
        <v>230798</v>
      </c>
      <c r="D29" s="59" t="n">
        <f aca="false">C29-C28</f>
        <v>-764</v>
      </c>
      <c r="E29" s="55" t="n">
        <f aca="false">C29-151978</f>
        <v>78820</v>
      </c>
      <c r="F29" s="54" t="n">
        <f aca="false">D29/$D$2</f>
        <v>-385.177716158306</v>
      </c>
      <c r="G29" s="54" t="n">
        <v>99</v>
      </c>
      <c r="H29" s="87" t="n">
        <v>0</v>
      </c>
      <c r="I29" s="54" t="n">
        <f aca="false">G29+H29</f>
        <v>99</v>
      </c>
      <c r="J29" s="83" t="n">
        <f aca="false">IF(L29&gt;0,L29,0)</f>
        <v>2.642283841694</v>
      </c>
      <c r="K29" s="54" t="n">
        <f aca="false">I29+J29</f>
        <v>101.642283841694</v>
      </c>
      <c r="L29" s="54" t="n">
        <f aca="false">F29-(I29-X29)</f>
        <v>2.642283841694</v>
      </c>
      <c r="M29" s="54" t="n">
        <v>214</v>
      </c>
      <c r="N29" s="54" t="n">
        <v>0.5</v>
      </c>
      <c r="O29" s="54" t="n">
        <f aca="false">45.32*1.05</f>
        <v>47.586</v>
      </c>
      <c r="P29" s="7" t="n">
        <f aca="false">M29-(N29+O29)</f>
        <v>165.914</v>
      </c>
      <c r="Q29" s="54" t="n">
        <v>64</v>
      </c>
      <c r="R29" s="54" t="n">
        <v>68</v>
      </c>
      <c r="S29" s="54" t="n">
        <f aca="false">SUM(P29:R29)</f>
        <v>297.914</v>
      </c>
      <c r="T29" s="55" t="n">
        <f aca="false">(I29-S29)+T28</f>
        <v>-7379.853</v>
      </c>
      <c r="U29" s="54" t="n">
        <v>80.82</v>
      </c>
      <c r="V29" s="54" t="n">
        <v>60</v>
      </c>
      <c r="W29" s="55" t="n">
        <f aca="false">W28-V29</f>
        <v>6654.98</v>
      </c>
      <c r="X29" s="7" t="n">
        <f aca="false">N29+O29+S29+U29+V29</f>
        <v>486.82</v>
      </c>
      <c r="Y29" s="54" t="n">
        <f aca="false">IF(L29&lt;0,L29*-1,0)</f>
        <v>0</v>
      </c>
      <c r="Z29" s="54" t="n">
        <f aca="false">X29+Y29</f>
        <v>486.82</v>
      </c>
      <c r="AA29" s="58" t="n">
        <v>0</v>
      </c>
      <c r="AB29" s="59" t="n">
        <v>79</v>
      </c>
      <c r="AC29" s="59" t="n">
        <v>46</v>
      </c>
      <c r="AD29" s="60" t="n">
        <v>20</v>
      </c>
      <c r="AE29" s="96"/>
      <c r="AF29" s="97"/>
      <c r="AG29" s="97"/>
    </row>
    <row r="30" customFormat="false" ht="11.1" hidden="false" customHeight="true" outlineLevel="0" collapsed="false">
      <c r="A30" s="60" t="n">
        <v>21</v>
      </c>
      <c r="B30" s="75" t="n">
        <v>6884.47</v>
      </c>
      <c r="C30" s="55" t="n">
        <v>230002</v>
      </c>
      <c r="D30" s="59" t="n">
        <f aca="false">C30-C29</f>
        <v>-796</v>
      </c>
      <c r="E30" s="55" t="n">
        <f aca="false">C30-151978</f>
        <v>78024</v>
      </c>
      <c r="F30" s="54" t="n">
        <f aca="false">D30/$D$2</f>
        <v>-401.310814217293</v>
      </c>
      <c r="G30" s="54" t="n">
        <v>93</v>
      </c>
      <c r="H30" s="87" t="n">
        <v>0</v>
      </c>
      <c r="I30" s="54" t="n">
        <f aca="false">G30+H30</f>
        <v>93</v>
      </c>
      <c r="J30" s="83" t="n">
        <f aca="false">IF(L30&gt;0,L30,0)</f>
        <v>0</v>
      </c>
      <c r="K30" s="54" t="n">
        <f aca="false">I30+J30</f>
        <v>93</v>
      </c>
      <c r="L30" s="54" t="n">
        <f aca="false">F30-(I30-X30)</f>
        <v>-37.9808142172927</v>
      </c>
      <c r="M30" s="54" t="n">
        <v>186</v>
      </c>
      <c r="N30" s="54" t="n">
        <v>0.5</v>
      </c>
      <c r="O30" s="54" t="n">
        <f aca="false">16.27*1.05</f>
        <v>17.0835</v>
      </c>
      <c r="P30" s="7" t="n">
        <f aca="false">M30-(N30+O30)</f>
        <v>168.4165</v>
      </c>
      <c r="Q30" s="54" t="n">
        <v>67</v>
      </c>
      <c r="R30" s="54" t="n">
        <v>69</v>
      </c>
      <c r="S30" s="54" t="n">
        <f aca="false">SUM(P30:R30)</f>
        <v>304.4165</v>
      </c>
      <c r="T30" s="55" t="n">
        <f aca="false">(I30-S30)+T29</f>
        <v>-7591.2695</v>
      </c>
      <c r="U30" s="54" t="n">
        <v>74.33</v>
      </c>
      <c r="V30" s="54" t="n">
        <v>60</v>
      </c>
      <c r="W30" s="55" t="n">
        <f aca="false">W29-V30</f>
        <v>6594.98</v>
      </c>
      <c r="X30" s="7" t="n">
        <f aca="false">N30+O30+S30+U30+V30</f>
        <v>456.33</v>
      </c>
      <c r="Y30" s="54" t="n">
        <f aca="false">IF(L30&lt;0,L30*-1,0)</f>
        <v>37.9808142172927</v>
      </c>
      <c r="Z30" s="54" t="n">
        <f aca="false">X30+Y30</f>
        <v>494.310814217293</v>
      </c>
      <c r="AA30" s="58" t="n">
        <v>0</v>
      </c>
      <c r="AB30" s="59" t="n">
        <v>80</v>
      </c>
      <c r="AC30" s="59" t="n">
        <v>47</v>
      </c>
      <c r="AD30" s="60" t="n">
        <v>21</v>
      </c>
      <c r="AE30" s="96"/>
      <c r="AF30" s="97"/>
      <c r="AG30" s="97"/>
    </row>
    <row r="31" customFormat="false" ht="11.1" hidden="false" customHeight="true" outlineLevel="0" collapsed="false">
      <c r="A31" s="60" t="n">
        <v>22</v>
      </c>
      <c r="B31" s="75" t="n">
        <v>6884.27</v>
      </c>
      <c r="C31" s="55" t="n">
        <v>229365</v>
      </c>
      <c r="D31" s="59" t="n">
        <f aca="false">C31-C30</f>
        <v>-637</v>
      </c>
      <c r="E31" s="55" t="n">
        <f aca="false">C31-151978</f>
        <v>77387</v>
      </c>
      <c r="F31" s="54" t="n">
        <f aca="false">D31/$D$2</f>
        <v>-321.149483236703</v>
      </c>
      <c r="G31" s="54" t="n">
        <v>92</v>
      </c>
      <c r="H31" s="87" t="n">
        <v>0</v>
      </c>
      <c r="I31" s="54" t="n">
        <f aca="false">G31+H31</f>
        <v>92</v>
      </c>
      <c r="J31" s="83" t="n">
        <f aca="false">IF(L31&gt;0,L31,0)</f>
        <v>3.65051676329722</v>
      </c>
      <c r="K31" s="54" t="n">
        <f aca="false">I31+J31</f>
        <v>95.6505167632972</v>
      </c>
      <c r="L31" s="54" t="n">
        <f aca="false">F31-(I31-X31)</f>
        <v>3.65051676329722</v>
      </c>
      <c r="M31" s="54" t="n">
        <v>164</v>
      </c>
      <c r="N31" s="54" t="n">
        <v>0.5</v>
      </c>
      <c r="O31" s="54" t="n">
        <f aca="false">3.72*1.05</f>
        <v>3.906</v>
      </c>
      <c r="P31" s="7" t="n">
        <f aca="false">M31-(N31+O31)</f>
        <v>159.594</v>
      </c>
      <c r="Q31" s="54" t="n">
        <v>67</v>
      </c>
      <c r="R31" s="54" t="n">
        <v>69</v>
      </c>
      <c r="S31" s="54" t="n">
        <f aca="false">SUM(P31:R31)</f>
        <v>295.594</v>
      </c>
      <c r="T31" s="55" t="n">
        <f aca="false">(I31-S31)+T30</f>
        <v>-7794.8635</v>
      </c>
      <c r="U31" s="54" t="n">
        <v>59.8</v>
      </c>
      <c r="V31" s="54" t="n">
        <v>57</v>
      </c>
      <c r="W31" s="55" t="n">
        <f aca="false">W30-V31</f>
        <v>6537.98</v>
      </c>
      <c r="X31" s="7" t="n">
        <f aca="false">N31+O31+S31+U31+V31</f>
        <v>416.8</v>
      </c>
      <c r="Y31" s="54" t="n">
        <f aca="false">IF(L31&lt;0,L31*-1,0)</f>
        <v>0</v>
      </c>
      <c r="Z31" s="54" t="n">
        <f aca="false">X31+Y31</f>
        <v>416.8</v>
      </c>
      <c r="AA31" s="58" t="n">
        <v>0</v>
      </c>
      <c r="AB31" s="59" t="n">
        <v>82</v>
      </c>
      <c r="AC31" s="59" t="n">
        <v>48</v>
      </c>
      <c r="AD31" s="60" t="n">
        <v>22</v>
      </c>
      <c r="AE31" s="96"/>
      <c r="AF31" s="97"/>
      <c r="AG31" s="97"/>
    </row>
    <row r="32" customFormat="false" ht="11.1" hidden="false" customHeight="true" outlineLevel="0" collapsed="false">
      <c r="A32" s="60" t="n">
        <v>23</v>
      </c>
      <c r="B32" s="75" t="n">
        <v>6884.03</v>
      </c>
      <c r="C32" s="55" t="n">
        <v>228600</v>
      </c>
      <c r="D32" s="59" t="n">
        <f aca="false">C32-C31</f>
        <v>-765</v>
      </c>
      <c r="E32" s="55" t="n">
        <f aca="false">C32-151978</f>
        <v>76622</v>
      </c>
      <c r="F32" s="54" t="n">
        <f aca="false">D32/$D$2</f>
        <v>-385.681875472649</v>
      </c>
      <c r="G32" s="54" t="n">
        <v>91</v>
      </c>
      <c r="H32" s="87" t="n">
        <v>0</v>
      </c>
      <c r="I32" s="54" t="n">
        <f aca="false">G32+H32</f>
        <v>91</v>
      </c>
      <c r="J32" s="83" t="n">
        <f aca="false">IF(L32&gt;0,L32,0)</f>
        <v>0</v>
      </c>
      <c r="K32" s="54" t="n">
        <f aca="false">I32+J32</f>
        <v>91</v>
      </c>
      <c r="L32" s="54" t="n">
        <f aca="false">F32-(I32-X32)</f>
        <v>-38.0418754726493</v>
      </c>
      <c r="M32" s="54" t="n">
        <v>193</v>
      </c>
      <c r="N32" s="54" t="n">
        <v>0.5</v>
      </c>
      <c r="O32" s="54" t="n">
        <f aca="false">3.38*1.05</f>
        <v>3.549</v>
      </c>
      <c r="P32" s="7" t="n">
        <f aca="false">M32-(N32+O32)</f>
        <v>188.951</v>
      </c>
      <c r="Q32" s="54" t="n">
        <v>67</v>
      </c>
      <c r="R32" s="54" t="n">
        <v>68</v>
      </c>
      <c r="S32" s="54" t="n">
        <f aca="false">SUM(P32:R32)</f>
        <v>323.951</v>
      </c>
      <c r="T32" s="55" t="n">
        <f aca="false">(I32-S32)+T31</f>
        <v>-8027.8145</v>
      </c>
      <c r="U32" s="54" t="n">
        <v>55.64</v>
      </c>
      <c r="V32" s="54" t="n">
        <v>55</v>
      </c>
      <c r="W32" s="55" t="n">
        <f aca="false">W31-V32</f>
        <v>6482.98</v>
      </c>
      <c r="X32" s="7" t="n">
        <f aca="false">N32+O32+S32+U32+V32</f>
        <v>438.64</v>
      </c>
      <c r="Y32" s="54" t="n">
        <f aca="false">IF(L32&lt;0,L32*-1,0)</f>
        <v>38.0418754726493</v>
      </c>
      <c r="Z32" s="54" t="n">
        <f aca="false">X32+Y32</f>
        <v>476.681875472649</v>
      </c>
      <c r="AA32" s="58" t="n">
        <v>0</v>
      </c>
      <c r="AB32" s="59" t="n">
        <v>81</v>
      </c>
      <c r="AC32" s="59" t="n">
        <v>47</v>
      </c>
      <c r="AD32" s="60" t="n">
        <v>23</v>
      </c>
      <c r="AE32" s="96"/>
      <c r="AF32" s="97"/>
      <c r="AG32" s="97"/>
    </row>
    <row r="33" customFormat="false" ht="11.1" hidden="false" customHeight="true" outlineLevel="0" collapsed="false">
      <c r="A33" s="60" t="n">
        <v>24</v>
      </c>
      <c r="B33" s="75" t="n">
        <v>6883.78</v>
      </c>
      <c r="C33" s="55" t="n">
        <v>227813</v>
      </c>
      <c r="D33" s="59" t="n">
        <f aca="false">C33-C32</f>
        <v>-787</v>
      </c>
      <c r="E33" s="55" t="n">
        <f aca="false">C33-151978</f>
        <v>75835</v>
      </c>
      <c r="F33" s="54" t="n">
        <f aca="false">D33/$D$2</f>
        <v>-396.773380388203</v>
      </c>
      <c r="G33" s="54" t="n">
        <v>89</v>
      </c>
      <c r="H33" s="87" t="n">
        <v>0</v>
      </c>
      <c r="I33" s="54" t="n">
        <f aca="false">G33+H33</f>
        <v>89</v>
      </c>
      <c r="J33" s="83" t="n">
        <f aca="false">IF(L33&gt;0,L33,0)</f>
        <v>0</v>
      </c>
      <c r="K33" s="54" t="n">
        <f aca="false">I33+J33</f>
        <v>89</v>
      </c>
      <c r="L33" s="54" t="n">
        <f aca="false">F33-(I33-X33)</f>
        <v>-11.5733803882027</v>
      </c>
      <c r="M33" s="54" t="n">
        <v>207</v>
      </c>
      <c r="N33" s="54" t="n">
        <v>0.5</v>
      </c>
      <c r="O33" s="54" t="n">
        <f aca="false">14.03*1.05</f>
        <v>14.7315</v>
      </c>
      <c r="P33" s="7" t="n">
        <f aca="false">M33-(N33+O33)</f>
        <v>191.7685</v>
      </c>
      <c r="Q33" s="54" t="n">
        <v>88</v>
      </c>
      <c r="R33" s="54" t="n">
        <v>69</v>
      </c>
      <c r="S33" s="54" t="n">
        <f aca="false">SUM(P33:R33)</f>
        <v>348.7685</v>
      </c>
      <c r="T33" s="55" t="n">
        <f aca="false">(I33-S33)+T32</f>
        <v>-8287.583</v>
      </c>
      <c r="U33" s="54" t="n">
        <v>55.2</v>
      </c>
      <c r="V33" s="54" t="n">
        <v>55</v>
      </c>
      <c r="W33" s="55" t="n">
        <f aca="false">W32-V33</f>
        <v>6427.98</v>
      </c>
      <c r="X33" s="7" t="n">
        <f aca="false">N33+O33+S33+U33+V33</f>
        <v>474.2</v>
      </c>
      <c r="Y33" s="54" t="n">
        <f aca="false">IF(L33&lt;0,L33*-1,0)</f>
        <v>11.5733803882027</v>
      </c>
      <c r="Z33" s="54" t="n">
        <f aca="false">X33+Y33</f>
        <v>485.773380388203</v>
      </c>
      <c r="AA33" s="58" t="n">
        <v>0</v>
      </c>
      <c r="AB33" s="59" t="n">
        <v>81</v>
      </c>
      <c r="AC33" s="59" t="n">
        <v>46</v>
      </c>
      <c r="AD33" s="60" t="n">
        <v>24</v>
      </c>
      <c r="AE33" s="96"/>
      <c r="AF33" s="97"/>
      <c r="AG33" s="97"/>
    </row>
    <row r="34" customFormat="false" ht="11.1" hidden="false" customHeight="true" outlineLevel="0" collapsed="false">
      <c r="A34" s="60" t="n">
        <v>25</v>
      </c>
      <c r="B34" s="75" t="n">
        <v>6883.5</v>
      </c>
      <c r="C34" s="55" t="n">
        <v>226932</v>
      </c>
      <c r="D34" s="59" t="n">
        <f aca="false">C34-C33</f>
        <v>-881</v>
      </c>
      <c r="E34" s="55" t="n">
        <f aca="false">C34-151978</f>
        <v>74954</v>
      </c>
      <c r="F34" s="54" t="n">
        <f aca="false">D34/$D$2</f>
        <v>-444.164355936476</v>
      </c>
      <c r="G34" s="54" t="n">
        <v>84</v>
      </c>
      <c r="H34" s="87" t="n">
        <v>0</v>
      </c>
      <c r="I34" s="54" t="n">
        <f aca="false">G34+H34</f>
        <v>84</v>
      </c>
      <c r="J34" s="83" t="n">
        <f aca="false">IF(L34&gt;0,L34,0)</f>
        <v>0</v>
      </c>
      <c r="K34" s="54" t="n">
        <f aca="false">I34+J34</f>
        <v>84</v>
      </c>
      <c r="L34" s="54" t="n">
        <f aca="false">F34-(I34-X34)</f>
        <v>-9.72435593647589</v>
      </c>
      <c r="M34" s="54" t="n">
        <v>225</v>
      </c>
      <c r="N34" s="54" t="n">
        <v>0.5</v>
      </c>
      <c r="O34" s="54" t="n">
        <f aca="false">36.79*1.05</f>
        <v>38.6295</v>
      </c>
      <c r="P34" s="7" t="n">
        <f aca="false">M34-(N34+O34)</f>
        <v>185.8705</v>
      </c>
      <c r="Q34" s="54" t="n">
        <v>112</v>
      </c>
      <c r="R34" s="54" t="n">
        <v>71</v>
      </c>
      <c r="S34" s="54" t="n">
        <f aca="false">SUM(P34:R34)</f>
        <v>368.8705</v>
      </c>
      <c r="T34" s="55" t="n">
        <f aca="false">(I34-S34)+T33</f>
        <v>-8572.4535</v>
      </c>
      <c r="U34" s="54" t="n">
        <v>55.44</v>
      </c>
      <c r="V34" s="54" t="n">
        <v>55</v>
      </c>
      <c r="W34" s="55" t="n">
        <f aca="false">W33-V34</f>
        <v>6372.98</v>
      </c>
      <c r="X34" s="7" t="n">
        <f aca="false">N34+O34+S34+U34+V34</f>
        <v>518.44</v>
      </c>
      <c r="Y34" s="54" t="n">
        <f aca="false">IF(L34&lt;0,L34*-1,0)</f>
        <v>9.72435593647589</v>
      </c>
      <c r="Z34" s="54" t="n">
        <f aca="false">X34+Y34</f>
        <v>528.164355936476</v>
      </c>
      <c r="AA34" s="58" t="n">
        <v>0</v>
      </c>
      <c r="AB34" s="59" t="n">
        <v>81</v>
      </c>
      <c r="AC34" s="59" t="n">
        <v>48</v>
      </c>
      <c r="AD34" s="60" t="n">
        <v>25</v>
      </c>
      <c r="AE34" s="96"/>
      <c r="AF34" s="97"/>
      <c r="AG34" s="97"/>
    </row>
    <row r="35" customFormat="false" ht="11.1" hidden="false" customHeight="true" outlineLevel="0" collapsed="false">
      <c r="A35" s="60" t="n">
        <v>26</v>
      </c>
      <c r="B35" s="75" t="n">
        <v>6883.2</v>
      </c>
      <c r="C35" s="55" t="n">
        <v>225988</v>
      </c>
      <c r="D35" s="59" t="n">
        <f aca="false">C35-C34</f>
        <v>-944</v>
      </c>
      <c r="E35" s="55" t="n">
        <f aca="false">C35-151978</f>
        <v>74010</v>
      </c>
      <c r="F35" s="54" t="n">
        <f aca="false">D35/$D$2</f>
        <v>-475.926392740106</v>
      </c>
      <c r="G35" s="54" t="n">
        <v>85</v>
      </c>
      <c r="H35" s="87" t="n">
        <v>0</v>
      </c>
      <c r="I35" s="54" t="n">
        <f aca="false">G35+H35</f>
        <v>85</v>
      </c>
      <c r="J35" s="83" t="n">
        <f aca="false">IF(L35&gt;0,L35,0)</f>
        <v>0</v>
      </c>
      <c r="K35" s="54" t="n">
        <f aca="false">I35+J35</f>
        <v>85</v>
      </c>
      <c r="L35" s="54" t="n">
        <f aca="false">F35-(I35-X35)</f>
        <v>-49.0663927401059</v>
      </c>
      <c r="M35" s="54" t="n">
        <v>230</v>
      </c>
      <c r="N35" s="54" t="n">
        <v>0.5</v>
      </c>
      <c r="O35" s="54" t="n">
        <f aca="false">41.61*1.05</f>
        <v>43.6905</v>
      </c>
      <c r="P35" s="7" t="n">
        <f aca="false">M35-(N35+O35)</f>
        <v>185.8095</v>
      </c>
      <c r="Q35" s="54" t="n">
        <v>115</v>
      </c>
      <c r="R35" s="54" t="n">
        <v>74</v>
      </c>
      <c r="S35" s="54" t="n">
        <f aca="false">SUM(P35:R35)</f>
        <v>374.8095</v>
      </c>
      <c r="T35" s="55" t="n">
        <f aca="false">(I35-S35)+T34</f>
        <v>-8862.263</v>
      </c>
      <c r="U35" s="54" t="n">
        <v>41.86</v>
      </c>
      <c r="V35" s="54" t="n">
        <v>51</v>
      </c>
      <c r="W35" s="55" t="n">
        <f aca="false">W34-V35</f>
        <v>6321.98</v>
      </c>
      <c r="X35" s="7" t="n">
        <f aca="false">N35+O35+S35+U35+V35</f>
        <v>511.86</v>
      </c>
      <c r="Y35" s="54" t="n">
        <f aca="false">IF(L35&lt;0,L35*-1,0)</f>
        <v>49.0663927401059</v>
      </c>
      <c r="Z35" s="54" t="n">
        <f aca="false">X35+Y35</f>
        <v>560.926392740106</v>
      </c>
      <c r="AA35" s="58" t="n">
        <v>0</v>
      </c>
      <c r="AB35" s="59" t="n">
        <v>81</v>
      </c>
      <c r="AC35" s="59" t="n">
        <v>47</v>
      </c>
      <c r="AD35" s="60" t="n">
        <v>26</v>
      </c>
      <c r="AE35" s="96"/>
      <c r="AF35" s="97"/>
      <c r="AG35" s="97"/>
    </row>
    <row r="36" customFormat="false" ht="11.1" hidden="false" customHeight="true" outlineLevel="0" collapsed="false">
      <c r="A36" s="60" t="n">
        <v>27</v>
      </c>
      <c r="B36" s="75" t="n">
        <v>6882.9</v>
      </c>
      <c r="C36" s="55" t="n">
        <v>225048</v>
      </c>
      <c r="D36" s="59" t="n">
        <f aca="false">C36-C35</f>
        <v>-940</v>
      </c>
      <c r="E36" s="55" t="n">
        <f aca="false">C36-151978</f>
        <v>73070</v>
      </c>
      <c r="F36" s="54" t="n">
        <f aca="false">D36/$D$2</f>
        <v>-473.909755482733</v>
      </c>
      <c r="G36" s="54" t="n">
        <v>84</v>
      </c>
      <c r="H36" s="87" t="n">
        <v>0</v>
      </c>
      <c r="I36" s="54" t="n">
        <f aca="false">G36+H36</f>
        <v>84</v>
      </c>
      <c r="J36" s="83" t="n">
        <f aca="false">IF(L36&gt;0,L36,0)</f>
        <v>0</v>
      </c>
      <c r="K36" s="54" t="n">
        <f aca="false">I36+J36</f>
        <v>84</v>
      </c>
      <c r="L36" s="54" t="n">
        <f aca="false">F36-(I36-X36)</f>
        <v>-56.4197554827325</v>
      </c>
      <c r="M36" s="54" t="n">
        <v>213</v>
      </c>
      <c r="N36" s="54" t="n">
        <v>0.5</v>
      </c>
      <c r="O36" s="54" t="n">
        <f aca="false">18.71*1.05</f>
        <v>19.6455</v>
      </c>
      <c r="P36" s="7" t="n">
        <f aca="false">M36-(N36+O36)</f>
        <v>192.8545</v>
      </c>
      <c r="Q36" s="54" t="n">
        <v>113</v>
      </c>
      <c r="R36" s="54" t="n">
        <v>74</v>
      </c>
      <c r="S36" s="54" t="n">
        <f aca="false">SUM(P36:R36)</f>
        <v>379.8545</v>
      </c>
      <c r="T36" s="55" t="n">
        <f aca="false">(I36-S36)+T35</f>
        <v>-9158.1175</v>
      </c>
      <c r="U36" s="54" t="n">
        <v>51.49</v>
      </c>
      <c r="V36" s="54" t="n">
        <v>50</v>
      </c>
      <c r="W36" s="55" t="n">
        <f aca="false">W35-V36</f>
        <v>6271.98</v>
      </c>
      <c r="X36" s="7" t="n">
        <f aca="false">N36+O36+S36+U36+V36</f>
        <v>501.49</v>
      </c>
      <c r="Y36" s="54" t="n">
        <f aca="false">IF(L36&lt;0,L36*-1,0)</f>
        <v>56.4197554827325</v>
      </c>
      <c r="Z36" s="54" t="n">
        <f aca="false">X36+Y36</f>
        <v>557.909755482733</v>
      </c>
      <c r="AA36" s="58" t="n">
        <v>0</v>
      </c>
      <c r="AB36" s="59" t="n">
        <v>82</v>
      </c>
      <c r="AC36" s="59" t="n">
        <v>49</v>
      </c>
      <c r="AD36" s="60" t="n">
        <v>27</v>
      </c>
      <c r="AE36" s="96"/>
      <c r="AF36" s="97"/>
      <c r="AG36" s="97"/>
    </row>
    <row r="37" customFormat="false" ht="11.1" hidden="false" customHeight="true" outlineLevel="0" collapsed="false">
      <c r="A37" s="60" t="n">
        <v>28</v>
      </c>
      <c r="B37" s="75" t="n">
        <v>6882.62</v>
      </c>
      <c r="C37" s="55" t="n">
        <v>224179</v>
      </c>
      <c r="D37" s="59" t="n">
        <f aca="false">C37-C36</f>
        <v>-869</v>
      </c>
      <c r="E37" s="55" t="n">
        <f aca="false">C37-151978</f>
        <v>72201</v>
      </c>
      <c r="F37" s="54" t="n">
        <f aca="false">D37/$D$2</f>
        <v>-438.114444164356</v>
      </c>
      <c r="G37" s="54" t="n">
        <v>84</v>
      </c>
      <c r="H37" s="87" t="n">
        <v>0</v>
      </c>
      <c r="I37" s="54" t="n">
        <f aca="false">G37+H37</f>
        <v>84</v>
      </c>
      <c r="J37" s="83" t="n">
        <f aca="false">IF(L37&gt;0,L37,0)</f>
        <v>0</v>
      </c>
      <c r="K37" s="54" t="n">
        <f aca="false">I37+J37</f>
        <v>84</v>
      </c>
      <c r="L37" s="54" t="n">
        <f aca="false">F37-(I37-X37)</f>
        <v>-22.8644441643559</v>
      </c>
      <c r="M37" s="54" t="n">
        <v>205</v>
      </c>
      <c r="N37" s="54" t="n">
        <v>0.5</v>
      </c>
      <c r="O37" s="54" t="n">
        <f aca="false">21.52*1.05</f>
        <v>22.596</v>
      </c>
      <c r="P37" s="7" t="n">
        <f aca="false">M37-(N37+O37)</f>
        <v>181.904</v>
      </c>
      <c r="Q37" s="54" t="n">
        <v>113</v>
      </c>
      <c r="R37" s="54" t="n">
        <v>73</v>
      </c>
      <c r="S37" s="54" t="n">
        <f aca="false">SUM(P37:R37)</f>
        <v>367.904</v>
      </c>
      <c r="T37" s="55" t="n">
        <f aca="false">(I37-S37)+T36</f>
        <v>-9442.0215</v>
      </c>
      <c r="U37" s="54" t="n">
        <v>57.25</v>
      </c>
      <c r="V37" s="54" t="n">
        <v>51</v>
      </c>
      <c r="W37" s="55" t="n">
        <f aca="false">W36-V37</f>
        <v>6220.98</v>
      </c>
      <c r="X37" s="7" t="n">
        <f aca="false">N37+O37+S37+U37+V37</f>
        <v>499.25</v>
      </c>
      <c r="Y37" s="54" t="n">
        <f aca="false">IF(L37&lt;0,L37*-1,0)</f>
        <v>22.8644441643559</v>
      </c>
      <c r="Z37" s="54" t="n">
        <f aca="false">X37+Y37</f>
        <v>522.114444164356</v>
      </c>
      <c r="AA37" s="58" t="n">
        <v>0</v>
      </c>
      <c r="AB37" s="59" t="n">
        <v>82</v>
      </c>
      <c r="AC37" s="59" t="n">
        <v>48</v>
      </c>
      <c r="AD37" s="60" t="n">
        <v>28</v>
      </c>
      <c r="AE37" s="96"/>
      <c r="AF37" s="97"/>
      <c r="AG37" s="97"/>
    </row>
    <row r="38" customFormat="false" ht="11.1" hidden="false" customHeight="true" outlineLevel="0" collapsed="false">
      <c r="A38" s="60" t="n">
        <v>29</v>
      </c>
      <c r="B38" s="75" t="n">
        <v>6882.37</v>
      </c>
      <c r="C38" s="55" t="n">
        <v>223402</v>
      </c>
      <c r="D38" s="59" t="n">
        <f aca="false">C38-C37</f>
        <v>-777</v>
      </c>
      <c r="E38" s="55" t="n">
        <f aca="false">C38-151978</f>
        <v>71424</v>
      </c>
      <c r="F38" s="54" t="n">
        <f aca="false">D38/$D$2</f>
        <v>-391.731787244769</v>
      </c>
      <c r="G38" s="54" t="n">
        <v>83</v>
      </c>
      <c r="H38" s="87" t="n">
        <v>0</v>
      </c>
      <c r="I38" s="54" t="n">
        <f aca="false">G38+H38</f>
        <v>83</v>
      </c>
      <c r="J38" s="83" t="n">
        <f aca="false">IF(L38&gt;0,L38,0)</f>
        <v>2.33821275523064</v>
      </c>
      <c r="K38" s="54" t="n">
        <f aca="false">I38+J38</f>
        <v>85.3382127552306</v>
      </c>
      <c r="L38" s="54" t="n">
        <f aca="false">F38-(I38-X38)</f>
        <v>2.33821275523064</v>
      </c>
      <c r="M38" s="54" t="n">
        <v>187</v>
      </c>
      <c r="N38" s="54" t="n">
        <v>0.5</v>
      </c>
      <c r="O38" s="54" t="n">
        <f aca="false">15.72*1.05</f>
        <v>16.506</v>
      </c>
      <c r="P38" s="7" t="n">
        <f aca="false">M38-(N38+O38)</f>
        <v>169.994</v>
      </c>
      <c r="Q38" s="54" t="n">
        <v>112</v>
      </c>
      <c r="R38" s="54" t="n">
        <v>72</v>
      </c>
      <c r="S38" s="54" t="n">
        <f aca="false">SUM(P38:R38)</f>
        <v>353.994</v>
      </c>
      <c r="T38" s="55" t="n">
        <f aca="false">(I38-S38)+T37</f>
        <v>-9713.0155</v>
      </c>
      <c r="U38" s="54" t="n">
        <v>56.07</v>
      </c>
      <c r="V38" s="54" t="n">
        <v>50</v>
      </c>
      <c r="W38" s="55" t="n">
        <f aca="false">W37-V38</f>
        <v>6170.98</v>
      </c>
      <c r="X38" s="7" t="n">
        <f aca="false">N38+O38+S38+U38+V38</f>
        <v>477.07</v>
      </c>
      <c r="Y38" s="54" t="n">
        <f aca="false">IF(L38&lt;0,L38*-1,0)</f>
        <v>0</v>
      </c>
      <c r="Z38" s="54" t="n">
        <f aca="false">X38+Y38</f>
        <v>477.07</v>
      </c>
      <c r="AA38" s="58" t="n">
        <v>0</v>
      </c>
      <c r="AB38" s="59" t="n">
        <v>81</v>
      </c>
      <c r="AC38" s="59" t="n">
        <v>49</v>
      </c>
      <c r="AD38" s="60" t="n">
        <v>29</v>
      </c>
      <c r="AE38" s="96"/>
      <c r="AF38" s="97"/>
      <c r="AG38" s="97"/>
    </row>
    <row r="39" customFormat="false" ht="11.1" hidden="false" customHeight="true" outlineLevel="0" collapsed="false">
      <c r="A39" s="60" t="n">
        <v>30</v>
      </c>
      <c r="B39" s="75" t="n">
        <v>6882.12</v>
      </c>
      <c r="C39" s="55" t="n">
        <v>222626</v>
      </c>
      <c r="D39" s="59" t="n">
        <f aca="false">C39-C38</f>
        <v>-776</v>
      </c>
      <c r="E39" s="55" t="n">
        <f aca="false">C39-151978</f>
        <v>70648</v>
      </c>
      <c r="F39" s="54" t="n">
        <f aca="false">D39/$D$2</f>
        <v>-391.227627930426</v>
      </c>
      <c r="G39" s="54" t="n">
        <v>83</v>
      </c>
      <c r="H39" s="87" t="n">
        <v>0</v>
      </c>
      <c r="I39" s="54" t="n">
        <f aca="false">G39+H39</f>
        <v>83</v>
      </c>
      <c r="J39" s="83" t="n">
        <f aca="false">IF(L39&gt;0,L39,0)</f>
        <v>0</v>
      </c>
      <c r="K39" s="54" t="n">
        <f aca="false">I39+J39</f>
        <v>83</v>
      </c>
      <c r="L39" s="54" t="n">
        <f aca="false">F39-(I39-X39)</f>
        <v>-17.5976279304261</v>
      </c>
      <c r="M39" s="54" t="n">
        <v>190</v>
      </c>
      <c r="N39" s="54" t="n">
        <v>0.5</v>
      </c>
      <c r="O39" s="54" t="n">
        <f aca="false">13.19*1.05</f>
        <v>13.8495</v>
      </c>
      <c r="P39" s="7" t="n">
        <f aca="false">M39-(N39+O39)</f>
        <v>175.6505</v>
      </c>
      <c r="Q39" s="54" t="n">
        <v>112</v>
      </c>
      <c r="R39" s="54" t="n">
        <v>71</v>
      </c>
      <c r="S39" s="54" t="n">
        <f aca="false">SUM(P39:R39)</f>
        <v>358.6505</v>
      </c>
      <c r="T39" s="55" t="n">
        <f aca="false">(I39-S39)+T38</f>
        <v>-9988.666</v>
      </c>
      <c r="U39" s="54" t="n">
        <v>33.63</v>
      </c>
      <c r="V39" s="54" t="n">
        <v>50</v>
      </c>
      <c r="W39" s="55" t="n">
        <f aca="false">W38-V39</f>
        <v>6120.98</v>
      </c>
      <c r="X39" s="7" t="n">
        <f aca="false">N39+O39+S39+U39+V39</f>
        <v>456.63</v>
      </c>
      <c r="Y39" s="54" t="n">
        <f aca="false">IF(L39&lt;0,L39*-1,0)</f>
        <v>17.5976279304261</v>
      </c>
      <c r="Z39" s="54" t="n">
        <f aca="false">X39+Y39</f>
        <v>474.227627930426</v>
      </c>
      <c r="AA39" s="58" t="n">
        <v>0</v>
      </c>
      <c r="AB39" s="137" t="n">
        <v>80</v>
      </c>
      <c r="AC39" s="59" t="n">
        <v>50</v>
      </c>
      <c r="AD39" s="60" t="n">
        <v>30</v>
      </c>
      <c r="AE39" s="96"/>
      <c r="AF39" s="97"/>
      <c r="AG39" s="97"/>
    </row>
    <row r="40" customFormat="false" ht="3" hidden="false" customHeight="true" outlineLevel="0" collapsed="false">
      <c r="A40" s="76"/>
      <c r="B40" s="76"/>
      <c r="C40" s="78"/>
      <c r="D40" s="76"/>
      <c r="E40" s="78"/>
      <c r="F40" s="76"/>
      <c r="G40" s="76"/>
      <c r="H40" s="153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8"/>
      <c r="U40" s="76"/>
      <c r="V40" s="76"/>
      <c r="W40" s="76"/>
      <c r="X40" s="76"/>
      <c r="Y40" s="76"/>
      <c r="Z40" s="76"/>
      <c r="AA40" s="80"/>
      <c r="AB40" s="81"/>
      <c r="AC40" s="81"/>
      <c r="AD40" s="82"/>
      <c r="AE40" s="95"/>
      <c r="AF40" s="95"/>
      <c r="AG40" s="96"/>
    </row>
    <row r="41" customFormat="false" ht="11.1" hidden="false" customHeight="true" outlineLevel="0" collapsed="false">
      <c r="A41" s="54" t="s">
        <v>46</v>
      </c>
      <c r="B41" s="54"/>
      <c r="C41" s="55"/>
      <c r="D41" s="55"/>
      <c r="E41" s="55"/>
      <c r="F41" s="55" t="n">
        <f aca="false">SUM(F10:F39)</f>
        <v>-13031.5099571465</v>
      </c>
      <c r="G41" s="55" t="n">
        <f aca="false">SUM(G10:G39)</f>
        <v>3151</v>
      </c>
      <c r="H41" s="55" t="n">
        <f aca="false">SUM(H10:H39)</f>
        <v>0</v>
      </c>
      <c r="I41" s="55" t="n">
        <f aca="false">SUM(I10:I39)</f>
        <v>3151</v>
      </c>
      <c r="J41" s="55" t="n">
        <f aca="false">SUM(J10:J39)</f>
        <v>85.8655482732544</v>
      </c>
      <c r="K41" s="55" t="n">
        <f aca="false">SUM(K10:K39)</f>
        <v>3236.86554827325</v>
      </c>
      <c r="L41" s="55" t="n">
        <f aca="false">SUM(L10:L39)</f>
        <v>-670.059957146458</v>
      </c>
      <c r="M41" s="55" t="n">
        <f aca="false">SUM(M10:M39)</f>
        <v>6637</v>
      </c>
      <c r="N41" s="55" t="n">
        <f aca="false">SUM(N10:N39)</f>
        <v>15</v>
      </c>
      <c r="O41" s="55" t="n">
        <f aca="false">SUM(O10:O39)</f>
        <v>990.1605</v>
      </c>
      <c r="P41" s="55" t="n">
        <f aca="false">SUM(P10:P39)</f>
        <v>5631.8395</v>
      </c>
      <c r="Q41" s="55" t="n">
        <f aca="false">SUM(Q10:Q39)</f>
        <v>2245</v>
      </c>
      <c r="R41" s="55" t="n">
        <f aca="false">SUM(R10:R39)</f>
        <v>2091</v>
      </c>
      <c r="S41" s="55" t="n">
        <f aca="false">SUM(S10:S39)</f>
        <v>9967.8395</v>
      </c>
      <c r="T41" s="55"/>
      <c r="U41" s="55" t="n">
        <f aca="false">SUM(U10:U39)</f>
        <v>2766.45</v>
      </c>
      <c r="V41" s="55" t="n">
        <f aca="false">SUM(V10:V40)</f>
        <v>1773</v>
      </c>
      <c r="W41" s="55"/>
      <c r="X41" s="55" t="n">
        <f aca="false">SUM(X10:X39)</f>
        <v>15512.45</v>
      </c>
      <c r="Y41" s="55" t="n">
        <f aca="false">SUM(Y10:Y39)</f>
        <v>755.925505419712</v>
      </c>
      <c r="Z41" s="55" t="n">
        <f aca="false">SUM(Z10:Z39)</f>
        <v>16268.3755054197</v>
      </c>
      <c r="AA41" s="58" t="n">
        <f aca="false">SUM(AA10:AA39)</f>
        <v>0.55</v>
      </c>
      <c r="AB41" s="59" t="n">
        <f aca="false">AVERAGE(AB10:AB39)</f>
        <v>79.3</v>
      </c>
      <c r="AC41" s="59" t="n">
        <f aca="false">AVERAGE(AC10:AC39)</f>
        <v>47.7</v>
      </c>
      <c r="AD41" s="60" t="s">
        <v>71</v>
      </c>
      <c r="AE41" s="95"/>
      <c r="AF41" s="95"/>
      <c r="AG41" s="96"/>
    </row>
    <row r="42" customFormat="false" ht="11.1" hidden="false" customHeight="true" outlineLevel="0" collapsed="false">
      <c r="A42" s="54" t="s">
        <v>48</v>
      </c>
      <c r="B42" s="54"/>
      <c r="C42" s="55"/>
      <c r="D42" s="55" t="n">
        <f aca="false">SUM(D10:D40)</f>
        <v>-25848</v>
      </c>
      <c r="E42" s="55"/>
      <c r="F42" s="55" t="n">
        <f aca="false">F41*$D$2</f>
        <v>-25848</v>
      </c>
      <c r="G42" s="55" t="n">
        <f aca="false">G41*$D$2</f>
        <v>6250.0085</v>
      </c>
      <c r="H42" s="55" t="n">
        <f aca="false">H41*$D$2</f>
        <v>0</v>
      </c>
      <c r="I42" s="55" t="n">
        <f aca="false">I41*$D$2</f>
        <v>6250.0085</v>
      </c>
      <c r="J42" s="55" t="n">
        <f aca="false">J41*$D$2</f>
        <v>170.314315</v>
      </c>
      <c r="K42" s="55" t="n">
        <f aca="false">K41*$D$2</f>
        <v>6420.322815</v>
      </c>
      <c r="L42" s="55" t="n">
        <f aca="false">L41*$D$2</f>
        <v>-1329.063925</v>
      </c>
      <c r="M42" s="55" t="n">
        <f aca="false">M41*$D$2</f>
        <v>13164.4895</v>
      </c>
      <c r="N42" s="55" t="n">
        <f aca="false">N41*$D$2</f>
        <v>29.7525</v>
      </c>
      <c r="O42" s="55" t="n">
        <f aca="false">O41*$D$2</f>
        <v>1963.98335175</v>
      </c>
      <c r="P42" s="55" t="n">
        <f aca="false">P41*$D$2</f>
        <v>11170.75364825</v>
      </c>
      <c r="Q42" s="55" t="n">
        <f aca="false">Q41*$D$2</f>
        <v>4452.9575</v>
      </c>
      <c r="R42" s="55" t="n">
        <f aca="false">R41*$D$2</f>
        <v>4147.4985</v>
      </c>
      <c r="S42" s="55" t="n">
        <f aca="false">S41*$D$2</f>
        <v>19771.20964825</v>
      </c>
      <c r="T42" s="55"/>
      <c r="U42" s="55" t="n">
        <f aca="false">U41*$D$2</f>
        <v>5487.253575</v>
      </c>
      <c r="V42" s="55" t="n">
        <f aca="false">V41*$D$2</f>
        <v>3516.7455</v>
      </c>
      <c r="W42" s="55"/>
      <c r="X42" s="55" t="n">
        <f aca="false">X41*$D$2</f>
        <v>30768.944575</v>
      </c>
      <c r="Y42" s="55" t="n">
        <f aca="false">Y41*$D$2</f>
        <v>1499.37824</v>
      </c>
      <c r="Z42" s="55" t="n">
        <f aca="false">Z41*$D$2</f>
        <v>32268.322815</v>
      </c>
      <c r="AA42" s="58"/>
      <c r="AB42" s="59" t="n">
        <f aca="false">MAX(AB10:AB39)</f>
        <v>86</v>
      </c>
      <c r="AC42" s="59" t="n">
        <f aca="false">MAX(AC10:AC39)</f>
        <v>56</v>
      </c>
      <c r="AD42" s="60" t="s">
        <v>49</v>
      </c>
      <c r="AE42" s="95"/>
      <c r="AF42" s="95"/>
      <c r="AG42" s="96"/>
    </row>
    <row r="43" customFormat="false" ht="3" hidden="false" customHeight="true" outlineLevel="0" collapsed="false">
      <c r="A43" s="76"/>
      <c r="B43" s="76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6"/>
      <c r="X43" s="78"/>
      <c r="Y43" s="78"/>
      <c r="Z43" s="78"/>
      <c r="AA43" s="58"/>
      <c r="AB43" s="59"/>
      <c r="AC43" s="59"/>
      <c r="AD43" s="60"/>
      <c r="AE43" s="95"/>
      <c r="AF43" s="95"/>
      <c r="AG43" s="96"/>
    </row>
    <row r="44" customFormat="false" ht="11.1" hidden="false" customHeight="true" outlineLevel="0" collapsed="false">
      <c r="A44" s="54" t="s">
        <v>50</v>
      </c>
      <c r="B44" s="54"/>
      <c r="C44" s="55"/>
      <c r="D44" s="55"/>
      <c r="E44" s="55"/>
      <c r="F44" s="55" t="n">
        <f aca="false">F7+F41</f>
        <v>-2281.82505671793</v>
      </c>
      <c r="G44" s="55" t="n">
        <f aca="false">G7+G41</f>
        <v>107806</v>
      </c>
      <c r="H44" s="55" t="n">
        <f aca="false">H7+H41</f>
        <v>3391.54</v>
      </c>
      <c r="I44" s="55" t="n">
        <f aca="false">I7+I41</f>
        <v>111197.54</v>
      </c>
      <c r="J44" s="55" t="n">
        <f aca="false">J7+J41</f>
        <v>7604.00712377111</v>
      </c>
      <c r="K44" s="55" t="n">
        <f aca="false">K7+K41</f>
        <v>118801.547123771</v>
      </c>
      <c r="L44" s="55" t="n">
        <f aca="false">L7+L41</f>
        <v>3015.28494328208</v>
      </c>
      <c r="M44" s="55" t="n">
        <f aca="false">M7+M41</f>
        <v>45324</v>
      </c>
      <c r="N44" s="55" t="n">
        <f aca="false">N7+N41</f>
        <v>169</v>
      </c>
      <c r="O44" s="55" t="n">
        <f aca="false">O7+O41</f>
        <v>11722.202</v>
      </c>
      <c r="P44" s="55" t="n">
        <f aca="false">P7+P41</f>
        <v>33432.798</v>
      </c>
      <c r="Q44" s="55" t="n">
        <f aca="false">Q7+Q41</f>
        <v>21068</v>
      </c>
      <c r="R44" s="55" t="n">
        <f aca="false">R7+R41</f>
        <v>11750</v>
      </c>
      <c r="S44" s="55" t="n">
        <f aca="false">S7+S41</f>
        <v>66250.798</v>
      </c>
      <c r="T44" s="55" t="n">
        <f aca="false">T39</f>
        <v>-9988.666</v>
      </c>
      <c r="U44" s="55" t="n">
        <f aca="false">U7+U41</f>
        <v>27659.63</v>
      </c>
      <c r="V44" s="55" t="n">
        <f aca="false">V7+V41</f>
        <v>10693.02</v>
      </c>
      <c r="W44" s="55"/>
      <c r="X44" s="55" t="n">
        <f aca="false">X7+X41</f>
        <v>116494.65</v>
      </c>
      <c r="Y44" s="55" t="n">
        <f aca="false">Y7+Y41</f>
        <v>4588.72218048903</v>
      </c>
      <c r="Z44" s="55" t="n">
        <f aca="false">Z7+Z41</f>
        <v>121083.372180489</v>
      </c>
      <c r="AA44" s="58"/>
      <c r="AB44" s="59" t="n">
        <f aca="false">MIN(AB10:AB39)</f>
        <v>65</v>
      </c>
      <c r="AC44" s="59" t="n">
        <f aca="false">MIN(AC10:AC39)</f>
        <v>35</v>
      </c>
      <c r="AD44" s="60" t="s">
        <v>51</v>
      </c>
      <c r="AE44" s="95"/>
      <c r="AF44" s="95"/>
      <c r="AG44" s="96"/>
    </row>
    <row r="45" customFormat="false" ht="11.1" hidden="false" customHeight="true" outlineLevel="0" collapsed="false">
      <c r="A45" s="54" t="s">
        <v>52</v>
      </c>
      <c r="B45" s="54"/>
      <c r="C45" s="55"/>
      <c r="D45" s="55"/>
      <c r="E45" s="55"/>
      <c r="F45" s="55" t="n">
        <f aca="false">F44*$D$2</f>
        <v>-4526.00000000001</v>
      </c>
      <c r="G45" s="55" t="n">
        <f aca="false">G44*$D$2</f>
        <v>213833.201</v>
      </c>
      <c r="H45" s="55" t="n">
        <f aca="false">H44*$D$2</f>
        <v>6727.11959</v>
      </c>
      <c r="I45" s="55" t="n">
        <f aca="false">I44*$D$2</f>
        <v>220560.32059</v>
      </c>
      <c r="J45" s="55" t="n">
        <f aca="false">J44*$D$2</f>
        <v>15082.54813</v>
      </c>
      <c r="K45" s="55" t="n">
        <f aca="false">K44*$D$2</f>
        <v>235642.86872</v>
      </c>
      <c r="L45" s="55" t="n">
        <f aca="false">L44*$D$2</f>
        <v>5980.817685</v>
      </c>
      <c r="M45" s="55" t="n">
        <f aca="false">M44*$D$2</f>
        <v>89900.154</v>
      </c>
      <c r="N45" s="55" t="n">
        <f aca="false">N44*$D$2</f>
        <v>335.2115</v>
      </c>
      <c r="O45" s="55" t="n">
        <f aca="false">O44*$D$2</f>
        <v>23250.987667</v>
      </c>
      <c r="P45" s="55" t="n">
        <f aca="false">P44*$D$2</f>
        <v>66313.954833</v>
      </c>
      <c r="Q45" s="55" t="n">
        <f aca="false">Q44*$D$2</f>
        <v>41788.378</v>
      </c>
      <c r="R45" s="55" t="n">
        <f aca="false">R44*$D$2</f>
        <v>23306.125</v>
      </c>
      <c r="S45" s="55" t="n">
        <f aca="false">S44*$D$2</f>
        <v>131408.457833</v>
      </c>
      <c r="T45" s="55" t="n">
        <f aca="false">T44*$D$2</f>
        <v>-19812.519011</v>
      </c>
      <c r="U45" s="55" t="n">
        <f aca="false">U44*$D$2</f>
        <v>54862.876105</v>
      </c>
      <c r="V45" s="55" t="n">
        <f aca="false">V44*$D$2</f>
        <v>21209.60517</v>
      </c>
      <c r="W45" s="55"/>
      <c r="X45" s="55" t="n">
        <f aca="false">X44*$D$2</f>
        <v>231067.138275</v>
      </c>
      <c r="Y45" s="55" t="n">
        <f aca="false">Y44*$D$2</f>
        <v>9101.730445</v>
      </c>
      <c r="Z45" s="55" t="n">
        <f aca="false">Z44*$D$2</f>
        <v>240168.86872</v>
      </c>
      <c r="AA45" s="58"/>
      <c r="AB45" s="59"/>
      <c r="AC45" s="59"/>
      <c r="AD45" s="60"/>
      <c r="AE45" s="95"/>
      <c r="AF45" s="95"/>
      <c r="AG45" s="96"/>
    </row>
    <row r="46" customFormat="false" ht="3" hidden="false" customHeight="true" outlineLevel="0" collapsed="false">
      <c r="A46" s="76"/>
      <c r="B46" s="76"/>
      <c r="C46" s="78"/>
      <c r="D46" s="78"/>
      <c r="E46" s="78"/>
      <c r="F46" s="78"/>
      <c r="G46" s="78"/>
      <c r="H46" s="81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80"/>
      <c r="AB46" s="59"/>
      <c r="AC46" s="59"/>
      <c r="AD46" s="60"/>
      <c r="AE46" s="95"/>
      <c r="AF46" s="95"/>
      <c r="AG46" s="96"/>
    </row>
    <row r="47" customFormat="false" ht="11.1" hidden="false" customHeight="true" outlineLevel="0" collapsed="false">
      <c r="A47" s="54" t="s">
        <v>53</v>
      </c>
      <c r="B47" s="54"/>
      <c r="C47" s="55"/>
      <c r="D47" s="55"/>
      <c r="E47" s="55"/>
      <c r="F47" s="55" t="n">
        <f aca="false">F8+F41</f>
        <v>2601.96622132593</v>
      </c>
      <c r="G47" s="55" t="n">
        <f aca="false">G8+G41</f>
        <v>116763</v>
      </c>
      <c r="H47" s="59" t="n">
        <f aca="false">H8+H41</f>
        <v>3770.44</v>
      </c>
      <c r="I47" s="55" t="n">
        <f aca="false">I8+I41</f>
        <v>120533.44</v>
      </c>
      <c r="J47" s="55" t="n">
        <f aca="false">J8+J41</f>
        <v>10571.9353869423</v>
      </c>
      <c r="K47" s="55" t="n">
        <f aca="false">K8+K41</f>
        <v>131105.375386942</v>
      </c>
      <c r="L47" s="55" t="n">
        <f aca="false">L8+L41</f>
        <v>5730.77622132594</v>
      </c>
      <c r="M47" s="55" t="n">
        <f aca="false">M8+M41</f>
        <v>46262.6</v>
      </c>
      <c r="N47" s="55" t="n">
        <f aca="false">N8+N41</f>
        <v>195.68</v>
      </c>
      <c r="O47" s="55" t="n">
        <f aca="false">O8+O41</f>
        <v>11802.0855</v>
      </c>
      <c r="P47" s="55" t="n">
        <f aca="false">P8+P41</f>
        <v>34264.8345</v>
      </c>
      <c r="Q47" s="55" t="n">
        <f aca="false">Q8+Q41</f>
        <v>21068</v>
      </c>
      <c r="R47" s="55" t="n">
        <f aca="false">R8+R41</f>
        <v>11750</v>
      </c>
      <c r="S47" s="55" t="n">
        <f aca="false">S8+S41</f>
        <v>67082.8345</v>
      </c>
      <c r="T47" s="55" t="n">
        <f aca="false">T44</f>
        <v>-9988.666</v>
      </c>
      <c r="U47" s="55" t="n">
        <f aca="false">U8+U41</f>
        <v>27659.63</v>
      </c>
      <c r="V47" s="55" t="n">
        <f aca="false">V8+V41</f>
        <v>16922.02</v>
      </c>
      <c r="W47" s="55" t="n">
        <f aca="false">W39</f>
        <v>6120.98</v>
      </c>
      <c r="X47" s="55" t="n">
        <f aca="false">X8+X41</f>
        <v>123662.25</v>
      </c>
      <c r="Y47" s="55" t="n">
        <f aca="false">Y8+Y41</f>
        <v>4841.15916561633</v>
      </c>
      <c r="Z47" s="55" t="n">
        <f aca="false">Z8+Z41</f>
        <v>128503.409165616</v>
      </c>
      <c r="AA47" s="58" t="n">
        <f aca="false">AA8+AA41</f>
        <v>10.41</v>
      </c>
      <c r="AB47" s="59"/>
      <c r="AC47" s="59"/>
      <c r="AD47" s="60"/>
      <c r="AE47" s="95"/>
      <c r="AF47" s="95"/>
      <c r="AG47" s="96"/>
    </row>
    <row r="48" customFormat="false" ht="11.1" hidden="false" customHeight="true" outlineLevel="0" collapsed="false">
      <c r="A48" s="54" t="s">
        <v>54</v>
      </c>
      <c r="B48" s="54"/>
      <c r="C48" s="55"/>
      <c r="D48" s="55" t="n">
        <f aca="false">D8+D42</f>
        <v>5161</v>
      </c>
      <c r="E48" s="55" t="n">
        <f aca="false">E39</f>
        <v>70648</v>
      </c>
      <c r="F48" s="55" t="n">
        <f aca="false">F47*$D$2</f>
        <v>5160.99999999999</v>
      </c>
      <c r="G48" s="55" t="n">
        <f aca="false">G47*$D$2</f>
        <v>231599.4105</v>
      </c>
      <c r="H48" s="59" t="n">
        <f aca="false">H47*$D$2</f>
        <v>7478.66774</v>
      </c>
      <c r="I48" s="55" t="n">
        <f aca="false">I47*$D$2</f>
        <v>239078.07824</v>
      </c>
      <c r="J48" s="55" t="n">
        <f aca="false">J47*$D$2</f>
        <v>20969.43384</v>
      </c>
      <c r="K48" s="55" t="n">
        <f aca="false">K47*$D$2</f>
        <v>260047.51208</v>
      </c>
      <c r="L48" s="55" t="n">
        <f aca="false">L47*$D$2</f>
        <v>11366.994635</v>
      </c>
      <c r="M48" s="55" t="n">
        <f aca="false">M47*$D$2</f>
        <v>91761.8671</v>
      </c>
      <c r="N48" s="55" t="n">
        <f aca="false">N47*$D$2</f>
        <v>388.13128</v>
      </c>
      <c r="O48" s="55" t="n">
        <f aca="false">O47*$D$2</f>
        <v>23409.43658925</v>
      </c>
      <c r="P48" s="55" t="n">
        <f aca="false">P47*$D$2</f>
        <v>67964.29923075</v>
      </c>
      <c r="Q48" s="55" t="n">
        <f aca="false">Q47*$D$2</f>
        <v>41788.378</v>
      </c>
      <c r="R48" s="55" t="n">
        <f aca="false">R47*$D$2</f>
        <v>23306.125</v>
      </c>
      <c r="S48" s="55" t="n">
        <f aca="false">S47*$D$2</f>
        <v>133058.80223075</v>
      </c>
      <c r="T48" s="55" t="n">
        <f aca="false">T47*$D$2</f>
        <v>-19812.519011</v>
      </c>
      <c r="U48" s="55" t="n">
        <f aca="false">U47*$D$2</f>
        <v>54862.876105</v>
      </c>
      <c r="V48" s="55" t="n">
        <f aca="false">V47*$D$2</f>
        <v>33564.82667</v>
      </c>
      <c r="W48" s="55" t="n">
        <f aca="false">W47*$D$2</f>
        <v>12140.96383</v>
      </c>
      <c r="X48" s="55" t="n">
        <f aca="false">X47*$D$2</f>
        <v>245284.072875</v>
      </c>
      <c r="Y48" s="55" t="n">
        <f aca="false">Y47*$D$2</f>
        <v>9602.439205</v>
      </c>
      <c r="Z48" s="55" t="n">
        <f aca="false">Z47*$D$2</f>
        <v>254886.51208</v>
      </c>
      <c r="AA48" s="58"/>
      <c r="AB48" s="59"/>
      <c r="AC48" s="59"/>
      <c r="AD48" s="60"/>
      <c r="AE48" s="95"/>
      <c r="AF48" s="95"/>
      <c r="AG48" s="96"/>
    </row>
    <row r="49" customFormat="false" ht="3" hidden="false" customHeight="true" outlineLevel="0" collapsed="false">
      <c r="A49" s="76"/>
      <c r="B49" s="76"/>
      <c r="C49" s="78"/>
      <c r="D49" s="76"/>
      <c r="E49" s="78"/>
      <c r="F49" s="76"/>
      <c r="G49" s="76"/>
      <c r="H49" s="153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8"/>
      <c r="U49" s="76"/>
      <c r="V49" s="76"/>
      <c r="W49" s="78"/>
      <c r="X49" s="76"/>
      <c r="Y49" s="76"/>
      <c r="Z49" s="76"/>
      <c r="AA49" s="58"/>
      <c r="AB49" s="59"/>
      <c r="AC49" s="59"/>
      <c r="AD49" s="60"/>
      <c r="AE49" s="95"/>
      <c r="AF49" s="95"/>
      <c r="AG49" s="96"/>
    </row>
    <row r="50" customFormat="false" ht="11.1" hidden="false" customHeight="true" outlineLevel="0" collapsed="false">
      <c r="A50" s="144"/>
      <c r="B50" s="86"/>
      <c r="C50" s="55"/>
      <c r="D50" s="54"/>
      <c r="E50" s="55"/>
      <c r="F50" s="54"/>
      <c r="G50" s="154"/>
      <c r="H50" s="87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5"/>
      <c r="U50" s="54"/>
      <c r="V50" s="155"/>
      <c r="W50" s="55"/>
      <c r="X50" s="54"/>
      <c r="Y50" s="54"/>
      <c r="Z50" s="54"/>
      <c r="AA50" s="58"/>
      <c r="AB50" s="59"/>
      <c r="AC50" s="59"/>
      <c r="AD50" s="60"/>
      <c r="AE50" s="91"/>
      <c r="AF50" s="91"/>
    </row>
    <row r="51" customFormat="false" ht="11.1" hidden="false" customHeight="true" outlineLevel="0" collapsed="false">
      <c r="A51" s="54"/>
      <c r="B51" s="75"/>
      <c r="C51" s="55"/>
      <c r="D51" s="84"/>
      <c r="E51" s="55"/>
      <c r="F51" s="54"/>
      <c r="G51" s="84"/>
      <c r="I51" s="87"/>
      <c r="J51" s="54"/>
      <c r="K51" s="45"/>
      <c r="L51" s="54"/>
      <c r="M51" s="54"/>
      <c r="N51" s="54"/>
      <c r="O51" s="54"/>
      <c r="P51" s="54"/>
      <c r="Q51" s="54"/>
      <c r="R51" s="54"/>
      <c r="S51" s="55"/>
      <c r="T51" s="54"/>
      <c r="U51" s="48"/>
      <c r="V51" s="55"/>
      <c r="W51" s="54"/>
      <c r="X51" s="54"/>
      <c r="Y51" s="54"/>
      <c r="Z51" s="56"/>
      <c r="AA51" s="58"/>
      <c r="AB51" s="59"/>
      <c r="AC51" s="60"/>
      <c r="AD51" s="91"/>
      <c r="AE51" s="91"/>
    </row>
    <row r="52" customFormat="false" ht="11.1" hidden="false" customHeight="true" outlineLevel="0" collapsed="false">
      <c r="A52" s="84"/>
      <c r="B52" s="84"/>
      <c r="C52" s="55"/>
      <c r="D52" s="55"/>
      <c r="E52" s="55"/>
      <c r="F52" s="84"/>
      <c r="G52" s="87"/>
      <c r="I52" s="54"/>
      <c r="J52" s="84"/>
      <c r="K52" s="84"/>
      <c r="L52" s="84"/>
      <c r="M52" s="83"/>
      <c r="N52" s="83"/>
      <c r="O52" s="83"/>
      <c r="P52" s="84"/>
      <c r="Q52" s="84"/>
      <c r="R52" s="103"/>
      <c r="S52" s="55"/>
      <c r="T52" s="59"/>
      <c r="V52" s="55"/>
      <c r="W52" s="84"/>
      <c r="X52" s="84"/>
      <c r="Y52" s="84"/>
      <c r="Z52" s="56"/>
      <c r="AA52" s="58"/>
      <c r="AB52" s="59"/>
      <c r="AC52" s="60"/>
      <c r="AD52" s="101"/>
      <c r="AE52" s="101"/>
    </row>
    <row r="53" customFormat="false" ht="11.1" hidden="false" customHeight="true" outlineLevel="0" collapsed="false">
      <c r="A53" s="84"/>
      <c r="B53" s="56"/>
      <c r="C53" s="55"/>
      <c r="D53" s="55"/>
      <c r="E53" s="55"/>
      <c r="F53" s="84"/>
      <c r="G53" s="87"/>
      <c r="I53" s="54"/>
      <c r="J53" s="84"/>
      <c r="K53" s="84"/>
      <c r="L53" s="84"/>
      <c r="M53" s="83"/>
      <c r="N53" s="83"/>
      <c r="O53" s="83"/>
      <c r="P53" s="84"/>
      <c r="Q53" s="84"/>
      <c r="R53" s="84"/>
      <c r="S53" s="55"/>
      <c r="T53" s="55"/>
      <c r="U53" s="48"/>
      <c r="V53" s="55"/>
      <c r="W53" s="84"/>
      <c r="X53" s="84"/>
      <c r="Y53" s="84"/>
      <c r="Z53" s="56"/>
      <c r="AA53" s="58"/>
      <c r="AB53" s="59"/>
      <c r="AC53" s="60"/>
      <c r="AD53" s="101"/>
      <c r="AE53" s="101"/>
    </row>
    <row r="54" customFormat="false" ht="11.1" hidden="false" customHeight="true" outlineLevel="0" collapsed="false">
      <c r="A54" s="84"/>
      <c r="B54" s="84"/>
      <c r="C54" s="55"/>
      <c r="D54" s="84"/>
      <c r="E54" s="55"/>
      <c r="F54" s="84"/>
      <c r="G54" s="87"/>
      <c r="I54" s="45"/>
      <c r="J54" s="84"/>
      <c r="K54" s="84"/>
      <c r="L54" s="84"/>
      <c r="M54" s="83"/>
      <c r="N54" s="8"/>
      <c r="O54" s="83"/>
      <c r="P54" s="84"/>
      <c r="Q54" s="84"/>
      <c r="R54" s="84"/>
      <c r="S54" s="0"/>
      <c r="T54" s="55"/>
      <c r="U54" s="50"/>
      <c r="V54" s="55"/>
      <c r="W54" s="84"/>
      <c r="X54" s="84"/>
      <c r="Y54" s="84"/>
      <c r="Z54" s="56"/>
      <c r="AA54" s="58"/>
      <c r="AB54" s="59"/>
      <c r="AC54" s="60"/>
      <c r="AD54" s="101"/>
      <c r="AE54" s="101"/>
    </row>
    <row r="55" customFormat="false" ht="11.1" hidden="false" customHeight="true" outlineLevel="0" collapsed="false">
      <c r="Q55" s="147"/>
      <c r="S55" s="55"/>
      <c r="T55" s="54"/>
      <c r="U55" s="50"/>
    </row>
    <row r="56" customFormat="false" ht="11.1" hidden="false" customHeight="true" outlineLevel="0" collapsed="false">
      <c r="Q56" s="147"/>
      <c r="S56" s="55"/>
      <c r="T56" s="54"/>
      <c r="U56" s="50"/>
    </row>
    <row r="57" customFormat="false" ht="11.1" hidden="false" customHeight="true" outlineLevel="0" collapsed="false">
      <c r="Q57" s="147"/>
    </row>
    <row r="58" customFormat="false" ht="11.1" hidden="false" customHeight="true" outlineLevel="0" collapsed="false">
      <c r="Q58" s="147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7" width="5.66"/>
    <col collapsed="false" customWidth="true" hidden="false" outlineLevel="0" max="2" min="2" style="47" width="7.82"/>
    <col collapsed="false" customWidth="true" hidden="false" outlineLevel="0" max="3" min="3" style="48" width="7.66"/>
    <col collapsed="false" customWidth="true" hidden="false" outlineLevel="0" max="4" min="4" style="47" width="6.99"/>
    <col collapsed="false" customWidth="true" hidden="false" outlineLevel="0" max="5" min="5" style="48" width="7.66"/>
    <col collapsed="false" customWidth="true" hidden="false" outlineLevel="0" max="6" min="6" style="47" width="7.66"/>
    <col collapsed="false" customWidth="true" hidden="false" outlineLevel="0" max="7" min="7" style="47" width="7.16"/>
    <col collapsed="false" customWidth="true" hidden="false" outlineLevel="0" max="8" min="8" style="156" width="6.82"/>
    <col collapsed="false" customWidth="true" hidden="false" outlineLevel="0" max="9" min="9" style="47" width="7.99"/>
    <col collapsed="false" customWidth="true" hidden="false" outlineLevel="0" max="10" min="10" style="47" width="6.66"/>
    <col collapsed="false" customWidth="true" hidden="false" outlineLevel="0" max="12" min="11" style="47" width="7.16"/>
    <col collapsed="false" customWidth="true" hidden="false" outlineLevel="0" max="13" min="13" style="50" width="6.32"/>
    <col collapsed="false" customWidth="true" hidden="false" outlineLevel="0" max="14" min="14" style="50" width="7.32"/>
    <col collapsed="false" customWidth="true" hidden="false" outlineLevel="0" max="15" min="15" style="50" width="6.49"/>
    <col collapsed="false" customWidth="true" hidden="false" outlineLevel="0" max="16" min="16" style="47" width="7.99"/>
    <col collapsed="false" customWidth="true" hidden="false" outlineLevel="0" max="17" min="17" style="47" width="6.32"/>
    <col collapsed="false" customWidth="true" hidden="false" outlineLevel="0" max="18" min="18" style="47" width="5.82"/>
    <col collapsed="false" customWidth="true" hidden="false" outlineLevel="0" max="19" min="19" style="48" width="6.82"/>
    <col collapsed="false" customWidth="true" hidden="false" outlineLevel="0" max="20" min="20" style="47" width="7.66"/>
    <col collapsed="false" customWidth="true" hidden="false" outlineLevel="0" max="21" min="21" style="47" width="5.99"/>
    <col collapsed="false" customWidth="true" hidden="false" outlineLevel="0" max="22" min="22" style="48" width="6.66"/>
    <col collapsed="false" customWidth="true" hidden="false" outlineLevel="0" max="23" min="23" style="47" width="6.82"/>
    <col collapsed="false" customWidth="true" hidden="false" outlineLevel="0" max="25" min="24" style="47" width="7.82"/>
    <col collapsed="false" customWidth="true" hidden="false" outlineLevel="0" max="26" min="26" style="49" width="8.16"/>
    <col collapsed="false" customWidth="true" hidden="false" outlineLevel="0" max="28" min="27" style="52" width="4.66"/>
    <col collapsed="false" customWidth="true" hidden="false" outlineLevel="0" max="29" min="29" style="53" width="4.66"/>
    <col collapsed="false" customWidth="true" hidden="false" outlineLevel="0" max="30" min="30" style="47" width="5.66"/>
    <col collapsed="false" customWidth="false" hidden="false" outlineLevel="0" max="257" min="31" style="47" width="9.32"/>
  </cols>
  <sheetData>
    <row r="1" customFormat="false" ht="14.1" hidden="false" customHeight="true" outlineLevel="0" collapsed="false">
      <c r="A1" s="54"/>
      <c r="B1" s="54"/>
      <c r="C1" s="55"/>
      <c r="D1" s="54"/>
      <c r="E1" s="55"/>
      <c r="F1" s="54"/>
      <c r="G1" s="54"/>
      <c r="H1" s="157"/>
      <c r="I1" s="54"/>
      <c r="J1" s="54"/>
      <c r="K1" s="57" t="s">
        <v>0</v>
      </c>
      <c r="L1" s="54"/>
      <c r="M1" s="54"/>
      <c r="N1" s="54"/>
      <c r="O1" s="54"/>
      <c r="P1" s="54"/>
      <c r="Q1" s="54"/>
      <c r="R1" s="54"/>
      <c r="S1" s="55"/>
      <c r="T1" s="54"/>
      <c r="U1" s="54"/>
      <c r="V1" s="55"/>
      <c r="W1" s="54"/>
      <c r="X1" s="54"/>
      <c r="Y1" s="54"/>
      <c r="Z1" s="56"/>
      <c r="AA1" s="59"/>
      <c r="AB1" s="59"/>
      <c r="AC1" s="60"/>
      <c r="AD1" s="91"/>
      <c r="AE1" s="91"/>
    </row>
    <row r="2" customFormat="false" ht="14.1" hidden="false" customHeight="true" outlineLevel="0" collapsed="false">
      <c r="A2" s="54" t="s">
        <v>1</v>
      </c>
      <c r="B2" s="54"/>
      <c r="C2" s="55"/>
      <c r="D2" s="61" t="n">
        <v>1.9835</v>
      </c>
      <c r="E2" s="55"/>
      <c r="F2" s="54"/>
      <c r="G2" s="54"/>
      <c r="H2" s="157"/>
      <c r="I2" s="54"/>
      <c r="J2" s="54"/>
      <c r="K2" s="62" t="s">
        <v>81</v>
      </c>
      <c r="L2" s="62"/>
      <c r="M2" s="62"/>
      <c r="N2" s="62"/>
      <c r="O2" s="62"/>
      <c r="P2" s="62"/>
      <c r="Q2" s="62"/>
      <c r="R2" s="62"/>
      <c r="S2" s="62"/>
      <c r="T2" s="62"/>
      <c r="U2" s="54"/>
      <c r="V2" s="55"/>
      <c r="W2" s="54"/>
      <c r="X2" s="54"/>
      <c r="Y2" s="54"/>
      <c r="Z2" s="56"/>
      <c r="AA2" s="59"/>
      <c r="AB2" s="59"/>
      <c r="AC2" s="60"/>
      <c r="AD2" s="91"/>
      <c r="AE2" s="91"/>
    </row>
    <row r="3" customFormat="false" ht="11.1" hidden="false" customHeight="true" outlineLevel="0" collapsed="false">
      <c r="A3" s="54"/>
      <c r="B3" s="54"/>
      <c r="C3" s="55"/>
      <c r="D3" s="63"/>
      <c r="E3" s="55"/>
      <c r="F3" s="54"/>
      <c r="G3" s="54"/>
      <c r="H3" s="157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54"/>
      <c r="U3" s="54"/>
      <c r="V3" s="55"/>
      <c r="W3" s="54"/>
      <c r="X3" s="54"/>
      <c r="Y3" s="54"/>
      <c r="Z3" s="56"/>
      <c r="AA3" s="59"/>
      <c r="AB3" s="59"/>
      <c r="AC3" s="60"/>
      <c r="AD3" s="91"/>
      <c r="AE3" s="91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158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6" t="s">
        <v>20</v>
      </c>
      <c r="AB4" s="68" t="s">
        <v>21</v>
      </c>
      <c r="AC4" s="68" t="s">
        <v>22</v>
      </c>
      <c r="AD4" s="68" t="s">
        <v>3</v>
      </c>
      <c r="AE4" s="91"/>
      <c r="AF4" s="91"/>
    </row>
    <row r="5" customFormat="false" ht="11.1" hidden="false" customHeight="true" outlineLevel="0" collapsed="false">
      <c r="A5" s="69" t="s">
        <v>82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158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135"/>
      <c r="AB5" s="68" t="s">
        <v>43</v>
      </c>
      <c r="AC5" s="68" t="s">
        <v>43</v>
      </c>
      <c r="AD5" s="71" t="s">
        <v>82</v>
      </c>
      <c r="AE5" s="91"/>
      <c r="AF5" s="91"/>
      <c r="AH5" s="139"/>
      <c r="AI5" s="139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157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6"/>
      <c r="AB6" s="60"/>
      <c r="AC6" s="60"/>
      <c r="AD6" s="60"/>
      <c r="AE6" s="95"/>
      <c r="AF6" s="95"/>
      <c r="AG6" s="96"/>
      <c r="AH6" s="139"/>
      <c r="AI6" s="139"/>
    </row>
    <row r="7" customFormat="false" ht="11.1" hidden="false" customHeight="true" outlineLevel="0" collapsed="false">
      <c r="A7" s="54" t="s">
        <v>44</v>
      </c>
      <c r="B7" s="54"/>
      <c r="C7" s="55"/>
      <c r="D7" s="55"/>
      <c r="E7" s="55"/>
      <c r="F7" s="55" t="n">
        <f aca="false">SEP!F44</f>
        <v>-2281.82505671793</v>
      </c>
      <c r="G7" s="55" t="n">
        <f aca="false">SEP!G44</f>
        <v>107806</v>
      </c>
      <c r="H7" s="159" t="n">
        <f aca="false">SEP!H44</f>
        <v>3391.54</v>
      </c>
      <c r="I7" s="55" t="n">
        <f aca="false">SEP!I44</f>
        <v>111197.54</v>
      </c>
      <c r="J7" s="55" t="n">
        <f aca="false">SEP!J44</f>
        <v>7604.00712377111</v>
      </c>
      <c r="K7" s="55" t="n">
        <f aca="false">SEP!K44</f>
        <v>118801.547123771</v>
      </c>
      <c r="L7" s="55" t="n">
        <f aca="false">SEP!L44</f>
        <v>3015.28494328208</v>
      </c>
      <c r="M7" s="55" t="n">
        <f aca="false">SEP!M44</f>
        <v>45324</v>
      </c>
      <c r="N7" s="55" t="n">
        <f aca="false">SEP!N44</f>
        <v>169</v>
      </c>
      <c r="O7" s="55" t="n">
        <f aca="false">SEP!O44</f>
        <v>11722.202</v>
      </c>
      <c r="P7" s="55" t="n">
        <f aca="false">SEP!P44</f>
        <v>33432.798</v>
      </c>
      <c r="Q7" s="55" t="n">
        <f aca="false">SEP!Q44</f>
        <v>21068</v>
      </c>
      <c r="R7" s="55" t="n">
        <f aca="false">SEP!R44</f>
        <v>11750</v>
      </c>
      <c r="S7" s="55" t="n">
        <f aca="false">SEP!S44</f>
        <v>66250.798</v>
      </c>
      <c r="T7" s="55" t="n">
        <f aca="false">SEP!T44</f>
        <v>-9988.666</v>
      </c>
      <c r="U7" s="55" t="n">
        <f aca="false">SEP!U44</f>
        <v>27659.63</v>
      </c>
      <c r="V7" s="55" t="n">
        <f aca="false">SEP!V44</f>
        <v>10693.02</v>
      </c>
      <c r="W7" s="55"/>
      <c r="X7" s="55" t="n">
        <f aca="false">SEP!X44</f>
        <v>116494.65</v>
      </c>
      <c r="Y7" s="55" t="n">
        <f aca="false">SEP!Y44</f>
        <v>4588.72218048903</v>
      </c>
      <c r="Z7" s="55" t="n">
        <f aca="false">SEP!Z44</f>
        <v>121083.372180489</v>
      </c>
      <c r="AA7" s="56"/>
      <c r="AB7" s="59"/>
      <c r="AC7" s="59"/>
      <c r="AD7" s="60"/>
      <c r="AE7" s="95"/>
      <c r="AF7" s="96"/>
      <c r="AG7" s="96"/>
    </row>
    <row r="8" s="48" customFormat="true" ht="11.1" hidden="false" customHeight="true" outlineLevel="0" collapsed="false">
      <c r="A8" s="55" t="s">
        <v>45</v>
      </c>
      <c r="B8" s="75" t="n">
        <f aca="false">SEP!B39</f>
        <v>6882.12</v>
      </c>
      <c r="C8" s="55" t="n">
        <f aca="false">SEP!C39</f>
        <v>222626</v>
      </c>
      <c r="D8" s="55" t="n">
        <f aca="false">SEP!D48</f>
        <v>5161</v>
      </c>
      <c r="E8" s="55" t="n">
        <f aca="false">SEP!E48</f>
        <v>70648</v>
      </c>
      <c r="F8" s="55" t="n">
        <f aca="false">SEP!F47</f>
        <v>2601.96622132593</v>
      </c>
      <c r="G8" s="55" t="n">
        <f aca="false">SEP!G47</f>
        <v>116763</v>
      </c>
      <c r="H8" s="157" t="n">
        <f aca="false">SEP!H47</f>
        <v>3770.44</v>
      </c>
      <c r="I8" s="55" t="n">
        <f aca="false">SEP!I47</f>
        <v>120533.44</v>
      </c>
      <c r="J8" s="55" t="n">
        <f aca="false">SEP!J47</f>
        <v>10571.9353869423</v>
      </c>
      <c r="K8" s="55" t="n">
        <f aca="false">SEP!K47</f>
        <v>131105.375386942</v>
      </c>
      <c r="L8" s="55" t="n">
        <f aca="false">SEP!L47</f>
        <v>5730.77622132594</v>
      </c>
      <c r="M8" s="55" t="n">
        <f aca="false">SEP!M47</f>
        <v>46262.6</v>
      </c>
      <c r="N8" s="55" t="n">
        <f aca="false">SEP!N47</f>
        <v>195.68</v>
      </c>
      <c r="O8" s="55" t="n">
        <f aca="false">SEP!O47</f>
        <v>11802.0855</v>
      </c>
      <c r="P8" s="55" t="n">
        <f aca="false">SEP!P47</f>
        <v>34264.8345</v>
      </c>
      <c r="Q8" s="55" t="n">
        <f aca="false">SEP!Q47</f>
        <v>21068</v>
      </c>
      <c r="R8" s="55" t="n">
        <f aca="false">SEP!R47</f>
        <v>11750</v>
      </c>
      <c r="S8" s="55" t="n">
        <f aca="false">SEP!S47</f>
        <v>67082.8345</v>
      </c>
      <c r="T8" s="55" t="n">
        <f aca="false">SEP!T47</f>
        <v>-9988.666</v>
      </c>
      <c r="U8" s="55" t="n">
        <f aca="false">SEP!U47</f>
        <v>27659.63</v>
      </c>
      <c r="V8" s="55" t="n">
        <f aca="false">SEP!V47</f>
        <v>16922.02</v>
      </c>
      <c r="W8" s="55" t="n">
        <f aca="false">SEP!W47</f>
        <v>6120.98</v>
      </c>
      <c r="X8" s="55" t="n">
        <f aca="false">SEP!X47</f>
        <v>123662.25</v>
      </c>
      <c r="Y8" s="55" t="n">
        <f aca="false">SEP!Y47</f>
        <v>4841.15916561633</v>
      </c>
      <c r="Z8" s="55" t="n">
        <f aca="false">SEP!Z47</f>
        <v>128503.409165616</v>
      </c>
      <c r="AA8" s="83" t="n">
        <f aca="false">SEP!AA47</f>
        <v>10.41</v>
      </c>
      <c r="AB8" s="59"/>
      <c r="AC8" s="59"/>
      <c r="AD8" s="60"/>
      <c r="AE8" s="95"/>
      <c r="AF8" s="95"/>
      <c r="AG8" s="96"/>
      <c r="AH8" s="47"/>
      <c r="AI8" s="47"/>
    </row>
    <row r="9" customFormat="false" ht="2.25" hidden="false" customHeight="true" outlineLevel="0" collapsed="false">
      <c r="A9" s="76"/>
      <c r="B9" s="77"/>
      <c r="C9" s="78"/>
      <c r="D9" s="76"/>
      <c r="E9" s="78"/>
      <c r="F9" s="76"/>
      <c r="G9" s="76"/>
      <c r="H9" s="16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79"/>
      <c r="AB9" s="81"/>
      <c r="AC9" s="81"/>
      <c r="AD9" s="82"/>
      <c r="AE9" s="95"/>
      <c r="AF9" s="95"/>
      <c r="AG9" s="96"/>
    </row>
    <row r="10" customFormat="false" ht="11.1" hidden="false" customHeight="true" outlineLevel="0" collapsed="false">
      <c r="A10" s="60" t="n">
        <v>1</v>
      </c>
      <c r="B10" s="75" t="n">
        <v>6814.87</v>
      </c>
      <c r="C10" s="55" t="n">
        <v>221855</v>
      </c>
      <c r="D10" s="59" t="n">
        <f aca="false">C10-C8</f>
        <v>-771</v>
      </c>
      <c r="E10" s="55" t="n">
        <f aca="false">C10-152000</f>
        <v>69855</v>
      </c>
      <c r="F10" s="54" t="n">
        <f aca="false">D10/$D$2</f>
        <v>-388.706831358709</v>
      </c>
      <c r="G10" s="54" t="n">
        <v>84</v>
      </c>
      <c r="H10" s="157" t="n">
        <v>0</v>
      </c>
      <c r="I10" s="54" t="n">
        <f aca="false">G10+H10</f>
        <v>84</v>
      </c>
      <c r="J10" s="83" t="n">
        <f aca="false">IF(L10&gt;0,L10,0)</f>
        <v>0</v>
      </c>
      <c r="K10" s="54" t="n">
        <f aca="false">I10+J10</f>
        <v>84</v>
      </c>
      <c r="L10" s="54" t="n">
        <f aca="false">F10-(I10-X10)</f>
        <v>-32.5068313587093</v>
      </c>
      <c r="M10" s="54" t="n">
        <v>205</v>
      </c>
      <c r="N10" s="54" t="n">
        <v>0.5</v>
      </c>
      <c r="O10" s="54" t="n">
        <f aca="false">20.15*1.05</f>
        <v>21.1575</v>
      </c>
      <c r="P10" s="7" t="n">
        <f aca="false">M10-(N10+O10)</f>
        <v>183.3425</v>
      </c>
      <c r="Q10" s="54" t="n">
        <v>111</v>
      </c>
      <c r="R10" s="54" t="n">
        <v>70</v>
      </c>
      <c r="S10" s="54" t="n">
        <f aca="false">SUM(P10:R10)</f>
        <v>364.3425</v>
      </c>
      <c r="T10" s="55" t="n">
        <f aca="false">(I10-S10)+T7</f>
        <v>-10269.0085</v>
      </c>
      <c r="U10" s="54" t="n">
        <v>14.2</v>
      </c>
      <c r="V10" s="54" t="n">
        <v>40</v>
      </c>
      <c r="W10" s="55" t="n">
        <f aca="false">W8-V10</f>
        <v>6080.98</v>
      </c>
      <c r="X10" s="7" t="n">
        <f aca="false">N10+O10+S10+U10+V10</f>
        <v>440.2</v>
      </c>
      <c r="Y10" s="54" t="n">
        <f aca="false">IF(L10&lt;0,L10*-1,0)</f>
        <v>32.5068313587093</v>
      </c>
      <c r="Z10" s="54" t="n">
        <f aca="false">X10+Y10</f>
        <v>472.706831358709</v>
      </c>
      <c r="AA10" s="56" t="n">
        <v>0.04</v>
      </c>
      <c r="AB10" s="59" t="n">
        <v>73</v>
      </c>
      <c r="AC10" s="59" t="n">
        <v>46</v>
      </c>
      <c r="AD10" s="60" t="n">
        <v>1</v>
      </c>
      <c r="AE10" s="95"/>
      <c r="AF10" s="97"/>
      <c r="AG10" s="97"/>
    </row>
    <row r="11" customFormat="false" ht="11.1" hidden="false" customHeight="true" outlineLevel="0" collapsed="false">
      <c r="A11" s="60" t="n">
        <f aca="false">A10+1</f>
        <v>2</v>
      </c>
      <c r="B11" s="75" t="n">
        <v>6881.64</v>
      </c>
      <c r="C11" s="55" t="n">
        <v>221150</v>
      </c>
      <c r="D11" s="59" t="n">
        <f aca="false">C11-C10</f>
        <v>-705</v>
      </c>
      <c r="E11" s="55" t="n">
        <f aca="false">C11-152000</f>
        <v>69150</v>
      </c>
      <c r="F11" s="54" t="n">
        <f aca="false">D11/$D$2</f>
        <v>-355.432316612049</v>
      </c>
      <c r="G11" s="54" t="n">
        <v>86</v>
      </c>
      <c r="H11" s="157" t="n">
        <v>0</v>
      </c>
      <c r="I11" s="54" t="n">
        <f aca="false">G11+H11</f>
        <v>86</v>
      </c>
      <c r="J11" s="83" t="n">
        <f aca="false">IF(L11&gt;0,L11,0)</f>
        <v>0</v>
      </c>
      <c r="K11" s="54" t="n">
        <f aca="false">I11+J11</f>
        <v>86</v>
      </c>
      <c r="L11" s="54" t="n">
        <f aca="false">F11-(I11-X11)</f>
        <v>-5.21231661204939</v>
      </c>
      <c r="M11" s="54" t="n">
        <v>203</v>
      </c>
      <c r="N11" s="54" t="n">
        <v>0.5</v>
      </c>
      <c r="O11" s="54" t="n">
        <f aca="false">27*1.05</f>
        <v>28.35</v>
      </c>
      <c r="P11" s="7" t="n">
        <f aca="false">M11-(N11+O11)</f>
        <v>174.15</v>
      </c>
      <c r="Q11" s="54" t="n">
        <v>111</v>
      </c>
      <c r="R11" s="54" t="n">
        <v>71</v>
      </c>
      <c r="S11" s="54" t="n">
        <f aca="false">SUM(P11:R11)</f>
        <v>356.15</v>
      </c>
      <c r="T11" s="55" t="n">
        <f aca="false">(I11-S11)+T10</f>
        <v>-10539.1585</v>
      </c>
      <c r="U11" s="54" t="n">
        <v>11.22</v>
      </c>
      <c r="V11" s="54" t="n">
        <v>40</v>
      </c>
      <c r="W11" s="55" t="n">
        <f aca="false">W10-V11</f>
        <v>6040.98</v>
      </c>
      <c r="X11" s="7" t="n">
        <f aca="false">N11+O11+S11+U11+V11</f>
        <v>436.22</v>
      </c>
      <c r="Y11" s="54" t="n">
        <f aca="false">IF(L11&lt;0,L11*-1,0)</f>
        <v>5.21231661204939</v>
      </c>
      <c r="Z11" s="54" t="n">
        <f aca="false">X11+Y11</f>
        <v>441.432316612049</v>
      </c>
      <c r="AA11" s="56" t="n">
        <v>0</v>
      </c>
      <c r="AB11" s="59" t="n">
        <v>75</v>
      </c>
      <c r="AC11" s="59" t="n">
        <v>44</v>
      </c>
      <c r="AD11" s="60" t="n">
        <f aca="false">AD10+1</f>
        <v>2</v>
      </c>
      <c r="AE11" s="95"/>
      <c r="AF11" s="97"/>
      <c r="AG11" s="97"/>
    </row>
    <row r="12" customFormat="false" ht="11.1" hidden="false" customHeight="true" outlineLevel="0" collapsed="false">
      <c r="A12" s="60" t="n">
        <f aca="false">A11+1</f>
        <v>3</v>
      </c>
      <c r="B12" s="75" t="n">
        <v>6881.39</v>
      </c>
      <c r="C12" s="55" t="n">
        <v>220383</v>
      </c>
      <c r="D12" s="59" t="n">
        <f aca="false">C12-C11</f>
        <v>-767</v>
      </c>
      <c r="E12" s="55" t="n">
        <f aca="false">C12-152000</f>
        <v>68383</v>
      </c>
      <c r="F12" s="54" t="n">
        <f aca="false">D12/$D$2</f>
        <v>-386.690194101336</v>
      </c>
      <c r="G12" s="54" t="n">
        <v>85</v>
      </c>
      <c r="H12" s="157" t="n">
        <v>0</v>
      </c>
      <c r="I12" s="54" t="n">
        <f aca="false">G12+H12</f>
        <v>85</v>
      </c>
      <c r="J12" s="83" t="n">
        <f aca="false">IF(L12&gt;0,L12,0)</f>
        <v>0</v>
      </c>
      <c r="K12" s="54" t="n">
        <f aca="false">I12+J12</f>
        <v>85</v>
      </c>
      <c r="L12" s="54" t="n">
        <f aca="false">F12-(I12-X12)</f>
        <v>-28.400194101336</v>
      </c>
      <c r="M12" s="54" t="n">
        <v>188</v>
      </c>
      <c r="N12" s="54" t="n">
        <v>0.5</v>
      </c>
      <c r="O12" s="54" t="n">
        <f aca="false">14.09*1.05</f>
        <v>14.7945</v>
      </c>
      <c r="P12" s="7" t="n">
        <f aca="false">M12-(N12+O12)</f>
        <v>172.7055</v>
      </c>
      <c r="Q12" s="54" t="n">
        <v>110</v>
      </c>
      <c r="R12" s="54" t="n">
        <v>71</v>
      </c>
      <c r="S12" s="54" t="n">
        <f aca="false">SUM(P12:R12)</f>
        <v>353.7055</v>
      </c>
      <c r="T12" s="55" t="n">
        <f aca="false">(I12-S12)+T11</f>
        <v>-10807.864</v>
      </c>
      <c r="U12" s="54" t="n">
        <v>34.29</v>
      </c>
      <c r="V12" s="54" t="n">
        <v>40</v>
      </c>
      <c r="W12" s="55" t="n">
        <f aca="false">W11-V12</f>
        <v>6000.98</v>
      </c>
      <c r="X12" s="7" t="n">
        <f aca="false">N12+O12+S12+U12+V12</f>
        <v>443.29</v>
      </c>
      <c r="Y12" s="54" t="n">
        <f aca="false">IF(L12&lt;0,L12*-1,0)</f>
        <v>28.400194101336</v>
      </c>
      <c r="Z12" s="54" t="n">
        <f aca="false">X12+Y12</f>
        <v>471.690194101336</v>
      </c>
      <c r="AA12" s="56" t="n">
        <v>0</v>
      </c>
      <c r="AB12" s="59" t="n">
        <v>77</v>
      </c>
      <c r="AC12" s="59" t="n">
        <v>44</v>
      </c>
      <c r="AD12" s="60" t="n">
        <f aca="false">AD11+1</f>
        <v>3</v>
      </c>
      <c r="AE12" s="95"/>
      <c r="AF12" s="97"/>
      <c r="AG12" s="97"/>
    </row>
    <row r="13" customFormat="false" ht="11.1" hidden="false" customHeight="true" outlineLevel="0" collapsed="false">
      <c r="A13" s="60" t="n">
        <f aca="false">A12+1</f>
        <v>4</v>
      </c>
      <c r="B13" s="75" t="n">
        <v>6881.17</v>
      </c>
      <c r="C13" s="55" t="n">
        <v>219709</v>
      </c>
      <c r="D13" s="59" t="n">
        <f aca="false">C13-C12</f>
        <v>-674</v>
      </c>
      <c r="E13" s="55" t="n">
        <f aca="false">C13-152000</f>
        <v>67709</v>
      </c>
      <c r="F13" s="54" t="n">
        <f aca="false">D13/$D$2</f>
        <v>-339.803377867406</v>
      </c>
      <c r="G13" s="54" t="n">
        <v>85</v>
      </c>
      <c r="H13" s="157" t="n">
        <v>0</v>
      </c>
      <c r="I13" s="54" t="n">
        <f aca="false">G13+H13</f>
        <v>85</v>
      </c>
      <c r="J13" s="83" t="n">
        <f aca="false">IF(L13&gt;0,L13,0)</f>
        <v>0</v>
      </c>
      <c r="K13" s="54" t="n">
        <f aca="false">I13+J13</f>
        <v>85</v>
      </c>
      <c r="L13" s="54" t="n">
        <f aca="false">F13-(I13-X13)</f>
        <v>-16.4633778674062</v>
      </c>
      <c r="M13" s="54" t="n">
        <v>176</v>
      </c>
      <c r="N13" s="54" t="n">
        <v>0.5</v>
      </c>
      <c r="O13" s="54" t="n">
        <f aca="false">3.84*1.05</f>
        <v>4.032</v>
      </c>
      <c r="P13" s="7" t="n">
        <f aca="false">M13-(N13+O13)</f>
        <v>171.468</v>
      </c>
      <c r="Q13" s="54" t="n">
        <v>110</v>
      </c>
      <c r="R13" s="54" t="n">
        <v>70</v>
      </c>
      <c r="S13" s="54" t="n">
        <f aca="false">SUM(P13:R13)</f>
        <v>351.468</v>
      </c>
      <c r="T13" s="55" t="n">
        <f aca="false">(I13-S13)+T12</f>
        <v>-11074.332</v>
      </c>
      <c r="U13" s="54" t="n">
        <v>12.34</v>
      </c>
      <c r="V13" s="54" t="n">
        <v>40</v>
      </c>
      <c r="W13" s="55" t="n">
        <f aca="false">W12-V13</f>
        <v>5960.98</v>
      </c>
      <c r="X13" s="7" t="n">
        <f aca="false">N13+O13+S13+U13+V13</f>
        <v>408.34</v>
      </c>
      <c r="Y13" s="54" t="n">
        <f aca="false">IF(L13&lt;0,L13*-1,0)</f>
        <v>16.4633778674062</v>
      </c>
      <c r="Z13" s="54" t="n">
        <f aca="false">X13+Y13</f>
        <v>424.803377867406</v>
      </c>
      <c r="AA13" s="56" t="n">
        <v>0</v>
      </c>
      <c r="AB13" s="59" t="n">
        <v>75</v>
      </c>
      <c r="AC13" s="59" t="n">
        <v>40</v>
      </c>
      <c r="AD13" s="60" t="n">
        <f aca="false">AD12+1</f>
        <v>4</v>
      </c>
      <c r="AE13" s="95"/>
      <c r="AF13" s="97"/>
      <c r="AG13" s="97"/>
    </row>
    <row r="14" customFormat="false" ht="11.1" hidden="false" customHeight="true" outlineLevel="0" collapsed="false">
      <c r="A14" s="60" t="n">
        <f aca="false">A13+1</f>
        <v>5</v>
      </c>
      <c r="B14" s="75" t="n">
        <v>6880.94</v>
      </c>
      <c r="C14" s="55" t="n">
        <v>219007</v>
      </c>
      <c r="D14" s="59" t="n">
        <f aca="false">C14-C13</f>
        <v>-702</v>
      </c>
      <c r="E14" s="55" t="n">
        <f aca="false">C14-152000</f>
        <v>67007</v>
      </c>
      <c r="F14" s="54" t="n">
        <f aca="false">D14/$D$2</f>
        <v>-353.919838669019</v>
      </c>
      <c r="G14" s="54" t="n">
        <v>84</v>
      </c>
      <c r="H14" s="157" t="n">
        <v>0</v>
      </c>
      <c r="I14" s="54" t="n">
        <f aca="false">G14+H14</f>
        <v>84</v>
      </c>
      <c r="J14" s="83" t="n">
        <f aca="false">IF(L14&gt;0,L14,0)</f>
        <v>9.17016133098065</v>
      </c>
      <c r="K14" s="54" t="n">
        <f aca="false">I14+J14</f>
        <v>93.1701613309807</v>
      </c>
      <c r="L14" s="54" t="n">
        <f aca="false">F14-(I14-X14)</f>
        <v>9.17016133098065</v>
      </c>
      <c r="M14" s="54" t="n">
        <v>182</v>
      </c>
      <c r="N14" s="54" t="n">
        <v>0.5</v>
      </c>
      <c r="O14" s="54" t="n">
        <f aca="false">6.92*1.05</f>
        <v>7.266</v>
      </c>
      <c r="P14" s="7" t="n">
        <f aca="false">M14-(N14+O14)</f>
        <v>174.234</v>
      </c>
      <c r="Q14" s="54" t="n">
        <v>110</v>
      </c>
      <c r="R14" s="54" t="n">
        <v>69</v>
      </c>
      <c r="S14" s="54" t="n">
        <f aca="false">SUM(P14:R14)</f>
        <v>353.234</v>
      </c>
      <c r="T14" s="55" t="n">
        <f aca="false">(I14-S14)+T13</f>
        <v>-11343.566</v>
      </c>
      <c r="U14" s="54" t="n">
        <v>47.09</v>
      </c>
      <c r="V14" s="54" t="n">
        <v>39</v>
      </c>
      <c r="W14" s="55" t="n">
        <f aca="false">W13-V14</f>
        <v>5921.98</v>
      </c>
      <c r="X14" s="7" t="n">
        <f aca="false">N14+O14+S14+U14+V14</f>
        <v>447.09</v>
      </c>
      <c r="Y14" s="54" t="n">
        <f aca="false">IF(L14&lt;0,L14*-1,0)</f>
        <v>0</v>
      </c>
      <c r="Z14" s="54" t="n">
        <f aca="false">X14+Y14</f>
        <v>447.09</v>
      </c>
      <c r="AA14" s="56" t="n">
        <v>0</v>
      </c>
      <c r="AB14" s="59" t="n">
        <v>71</v>
      </c>
      <c r="AC14" s="59" t="n">
        <v>42</v>
      </c>
      <c r="AD14" s="60" t="n">
        <f aca="false">AD13+1</f>
        <v>5</v>
      </c>
      <c r="AE14" s="95"/>
      <c r="AF14" s="97"/>
      <c r="AG14" s="97"/>
    </row>
    <row r="15" customFormat="false" ht="11.1" hidden="false" customHeight="true" outlineLevel="0" collapsed="false">
      <c r="A15" s="60" t="n">
        <f aca="false">A14+1</f>
        <v>6</v>
      </c>
      <c r="B15" s="75" t="n">
        <v>6880.7</v>
      </c>
      <c r="C15" s="55" t="n">
        <v>218281</v>
      </c>
      <c r="D15" s="59" t="n">
        <f aca="false">C15-C14</f>
        <v>-726</v>
      </c>
      <c r="E15" s="55" t="n">
        <f aca="false">C15-152000</f>
        <v>66281</v>
      </c>
      <c r="F15" s="54" t="n">
        <f aca="false">D15/$D$2</f>
        <v>-366.019662213259</v>
      </c>
      <c r="G15" s="54" t="n">
        <v>83</v>
      </c>
      <c r="H15" s="157" t="n">
        <v>0</v>
      </c>
      <c r="I15" s="54" t="n">
        <f aca="false">G15+H15</f>
        <v>83</v>
      </c>
      <c r="J15" s="83" t="n">
        <f aca="false">IF(L15&gt;0,L15,0)</f>
        <v>0</v>
      </c>
      <c r="K15" s="54" t="n">
        <f aca="false">I15+J15</f>
        <v>83</v>
      </c>
      <c r="L15" s="54" t="n">
        <f aca="false">F15-(I15-X15)</f>
        <v>-53.0096622132594</v>
      </c>
      <c r="M15" s="54" t="n">
        <v>173</v>
      </c>
      <c r="N15" s="54" t="n">
        <v>0.5</v>
      </c>
      <c r="O15" s="54" t="n">
        <f aca="false">1.49*1.05</f>
        <v>1.5645</v>
      </c>
      <c r="P15" s="7" t="n">
        <f aca="false">M15-(N15+O15)</f>
        <v>170.9355</v>
      </c>
      <c r="Q15" s="54" t="n">
        <v>110</v>
      </c>
      <c r="R15" s="54" t="n">
        <v>68</v>
      </c>
      <c r="S15" s="54" t="n">
        <f aca="false">SUM(P15:R15)</f>
        <v>348.9355</v>
      </c>
      <c r="T15" s="55" t="n">
        <f aca="false">(I15-S15)+T14</f>
        <v>-11609.5015</v>
      </c>
      <c r="U15" s="54" t="n">
        <v>6.01</v>
      </c>
      <c r="V15" s="54" t="n">
        <v>39</v>
      </c>
      <c r="W15" s="55" t="n">
        <f aca="false">W14-V15</f>
        <v>5882.98</v>
      </c>
      <c r="X15" s="7" t="n">
        <f aca="false">N15+O15+S15+U15+V15</f>
        <v>396.01</v>
      </c>
      <c r="Y15" s="54" t="n">
        <f aca="false">IF(L15&lt;0,L15*-1,0)</f>
        <v>53.0096622132594</v>
      </c>
      <c r="Z15" s="54" t="n">
        <f aca="false">X15+Y15</f>
        <v>449.019662213259</v>
      </c>
      <c r="AA15" s="56" t="n">
        <v>0</v>
      </c>
      <c r="AB15" s="59" t="n">
        <v>71</v>
      </c>
      <c r="AC15" s="59" t="n">
        <v>41</v>
      </c>
      <c r="AD15" s="60" t="n">
        <f aca="false">AD14+1</f>
        <v>6</v>
      </c>
      <c r="AE15" s="95"/>
      <c r="AF15" s="97"/>
      <c r="AG15" s="97"/>
    </row>
    <row r="16" customFormat="false" ht="11.1" hidden="false" customHeight="true" outlineLevel="0" collapsed="false">
      <c r="A16" s="60" t="n">
        <f aca="false">A15+1</f>
        <v>7</v>
      </c>
      <c r="B16" s="75" t="n">
        <v>6880.52</v>
      </c>
      <c r="C16" s="55" t="n">
        <v>217737</v>
      </c>
      <c r="D16" s="59" t="n">
        <f aca="false">C16-C15</f>
        <v>-544</v>
      </c>
      <c r="E16" s="55" t="n">
        <f aca="false">C16-152000</f>
        <v>65737</v>
      </c>
      <c r="F16" s="54" t="n">
        <f aca="false">D16/$D$2</f>
        <v>-274.262667002773</v>
      </c>
      <c r="G16" s="54" t="n">
        <v>86</v>
      </c>
      <c r="H16" s="157" t="n">
        <v>0</v>
      </c>
      <c r="I16" s="54" t="n">
        <f aca="false">G16+H16</f>
        <v>86</v>
      </c>
      <c r="J16" s="83" t="n">
        <f aca="false">IF(L16&gt;0,L16,0)</f>
        <v>7.73733299722716</v>
      </c>
      <c r="K16" s="54" t="n">
        <f aca="false">I16+J16</f>
        <v>93.7373329972272</v>
      </c>
      <c r="L16" s="54" t="n">
        <f aca="false">F16-(I16-X16)</f>
        <v>7.73733299722716</v>
      </c>
      <c r="M16" s="54" t="n">
        <v>153</v>
      </c>
      <c r="N16" s="54" t="n">
        <v>0.5</v>
      </c>
      <c r="O16" s="54" t="n">
        <f aca="false">3.45*1.05</f>
        <v>3.6225</v>
      </c>
      <c r="P16" s="7" t="n">
        <f aca="false">M16-(N16+O16)</f>
        <v>148.8775</v>
      </c>
      <c r="Q16" s="54" t="n">
        <v>109</v>
      </c>
      <c r="R16" s="54" t="n">
        <v>67</v>
      </c>
      <c r="S16" s="54" t="n">
        <f aca="false">SUM(P16:R16)</f>
        <v>324.8775</v>
      </c>
      <c r="T16" s="55" t="n">
        <f aca="false">(I16-S16)+T15</f>
        <v>-11848.379</v>
      </c>
      <c r="U16" s="54" t="n">
        <v>0</v>
      </c>
      <c r="V16" s="54" t="n">
        <v>39</v>
      </c>
      <c r="W16" s="55" t="n">
        <f aca="false">W15-V16</f>
        <v>5843.98</v>
      </c>
      <c r="X16" s="7" t="n">
        <f aca="false">N16+O16+S16+U16+V16</f>
        <v>368</v>
      </c>
      <c r="Y16" s="54" t="n">
        <f aca="false">IF(L16&lt;0,L16*-1,0)</f>
        <v>0</v>
      </c>
      <c r="Z16" s="54" t="n">
        <f aca="false">X16+Y16</f>
        <v>368</v>
      </c>
      <c r="AA16" s="56" t="n">
        <v>0.08</v>
      </c>
      <c r="AB16" s="59" t="n">
        <v>63</v>
      </c>
      <c r="AC16" s="59" t="n">
        <v>43</v>
      </c>
      <c r="AD16" s="60" t="n">
        <f aca="false">AD15+1</f>
        <v>7</v>
      </c>
      <c r="AE16" s="95"/>
      <c r="AF16" s="97"/>
      <c r="AG16" s="97"/>
    </row>
    <row r="17" customFormat="false" ht="11.1" hidden="false" customHeight="true" outlineLevel="0" collapsed="false">
      <c r="A17" s="60" t="n">
        <f aca="false">A16+1</f>
        <v>8</v>
      </c>
      <c r="B17" s="75" t="n">
        <v>6880.3</v>
      </c>
      <c r="C17" s="55" t="n">
        <v>217072</v>
      </c>
      <c r="D17" s="59" t="n">
        <f aca="false">C17-C16</f>
        <v>-665</v>
      </c>
      <c r="E17" s="55" t="n">
        <f aca="false">C17-152000</f>
        <v>65072</v>
      </c>
      <c r="F17" s="54" t="n">
        <f aca="false">D17/$D$2</f>
        <v>-335.265944038316</v>
      </c>
      <c r="G17" s="54" t="n">
        <v>89</v>
      </c>
      <c r="H17" s="157" t="n">
        <v>0</v>
      </c>
      <c r="I17" s="54" t="n">
        <f aca="false">G17+H17</f>
        <v>89</v>
      </c>
      <c r="J17" s="83" t="n">
        <f aca="false">IF(L17&gt;0,L17,0)</f>
        <v>0</v>
      </c>
      <c r="K17" s="54" t="n">
        <f aca="false">I17+J17</f>
        <v>89</v>
      </c>
      <c r="L17" s="54" t="n">
        <f aca="false">F17-(I17-X17)</f>
        <v>-41.2659440383161</v>
      </c>
      <c r="M17" s="54" t="n">
        <v>168</v>
      </c>
      <c r="N17" s="54" t="n">
        <v>0.5</v>
      </c>
      <c r="O17" s="54" t="n">
        <f aca="false">10.36*1.05</f>
        <v>10.878</v>
      </c>
      <c r="P17" s="7" t="n">
        <f aca="false">M17-(N17+O17)</f>
        <v>156.622</v>
      </c>
      <c r="Q17" s="54" t="n">
        <v>109</v>
      </c>
      <c r="R17" s="54" t="n">
        <v>66</v>
      </c>
      <c r="S17" s="54" t="n">
        <f aca="false">SUM(P17:R17)</f>
        <v>331.622</v>
      </c>
      <c r="T17" s="55" t="n">
        <f aca="false">(I17-S17)+T16</f>
        <v>-12091.001</v>
      </c>
      <c r="U17" s="54" t="n">
        <v>0</v>
      </c>
      <c r="V17" s="54" t="n">
        <v>40</v>
      </c>
      <c r="W17" s="55" t="n">
        <f aca="false">W16-V17</f>
        <v>5803.98</v>
      </c>
      <c r="X17" s="7" t="n">
        <f aca="false">N17+O17+S17+U17+V17</f>
        <v>383</v>
      </c>
      <c r="Y17" s="54" t="n">
        <f aca="false">IF(L17&lt;0,L17*-1,0)</f>
        <v>41.2659440383161</v>
      </c>
      <c r="Z17" s="54" t="n">
        <f aca="false">X17+Y17</f>
        <v>424.265944038316</v>
      </c>
      <c r="AA17" s="56" t="n">
        <v>0</v>
      </c>
      <c r="AB17" s="59" t="n">
        <v>64</v>
      </c>
      <c r="AC17" s="59" t="n">
        <v>40</v>
      </c>
      <c r="AD17" s="60" t="n">
        <f aca="false">AD16+1</f>
        <v>8</v>
      </c>
      <c r="AE17" s="95"/>
      <c r="AF17" s="97"/>
      <c r="AG17" s="97"/>
    </row>
    <row r="18" customFormat="false" ht="11.1" hidden="false" customHeight="true" outlineLevel="0" collapsed="false">
      <c r="A18" s="60" t="n">
        <f aca="false">A17+1</f>
        <v>9</v>
      </c>
      <c r="B18" s="75" t="n">
        <v>6880.15</v>
      </c>
      <c r="C18" s="55" t="n">
        <v>216618</v>
      </c>
      <c r="D18" s="59" t="n">
        <f aca="false">C18-C17</f>
        <v>-454</v>
      </c>
      <c r="E18" s="55" t="n">
        <f aca="false">C18-152000</f>
        <v>64618</v>
      </c>
      <c r="F18" s="54" t="n">
        <f aca="false">D18/$D$2</f>
        <v>-228.888328711873</v>
      </c>
      <c r="G18" s="54" t="n">
        <v>103</v>
      </c>
      <c r="H18" s="157" t="n">
        <v>0</v>
      </c>
      <c r="I18" s="54" t="n">
        <f aca="false">G18+H18</f>
        <v>103</v>
      </c>
      <c r="J18" s="83" t="n">
        <f aca="false">IF(L18&gt;0,L18,0)</f>
        <v>21.111671288127</v>
      </c>
      <c r="K18" s="54" t="n">
        <f aca="false">I18+J18</f>
        <v>124.111671288127</v>
      </c>
      <c r="L18" s="54" t="n">
        <f aca="false">F18-(I18-X18)</f>
        <v>21.111671288127</v>
      </c>
      <c r="M18" s="54" t="n">
        <v>166</v>
      </c>
      <c r="N18" s="54" t="n">
        <v>0.5</v>
      </c>
      <c r="O18" s="54" t="n">
        <f aca="false">28.46*1.05</f>
        <v>29.883</v>
      </c>
      <c r="P18" s="7" t="n">
        <f aca="false">M18-(N18+O18)</f>
        <v>135.617</v>
      </c>
      <c r="Q18" s="54" t="n">
        <v>85</v>
      </c>
      <c r="R18" s="54" t="n">
        <v>62</v>
      </c>
      <c r="S18" s="54" t="n">
        <f aca="false">SUM(P18:R18)</f>
        <v>282.617</v>
      </c>
      <c r="T18" s="55" t="n">
        <f aca="false">(I18-S18)+T17</f>
        <v>-12270.618</v>
      </c>
      <c r="U18" s="54" t="n">
        <v>0</v>
      </c>
      <c r="V18" s="54" t="n">
        <v>40</v>
      </c>
      <c r="W18" s="55" t="n">
        <f aca="false">W17-V18</f>
        <v>5763.98</v>
      </c>
      <c r="X18" s="7" t="n">
        <f aca="false">N18+O18+S18+U18+V18</f>
        <v>353</v>
      </c>
      <c r="Y18" s="54" t="n">
        <f aca="false">IF(L18&lt;0,L18*-1,0)</f>
        <v>0</v>
      </c>
      <c r="Z18" s="54" t="n">
        <f aca="false">X18+Y18</f>
        <v>353</v>
      </c>
      <c r="AA18" s="56" t="n">
        <v>0.14</v>
      </c>
      <c r="AB18" s="84" t="n">
        <v>60</v>
      </c>
      <c r="AC18" s="59" t="n">
        <v>39</v>
      </c>
      <c r="AD18" s="60" t="n">
        <f aca="false">AD17+1</f>
        <v>9</v>
      </c>
      <c r="AE18" s="95"/>
      <c r="AF18" s="97"/>
      <c r="AG18" s="97"/>
    </row>
    <row r="19" customFormat="false" ht="11.1" hidden="false" customHeight="true" outlineLevel="0" collapsed="false">
      <c r="A19" s="60" t="n">
        <f aca="false">A18+1</f>
        <v>10</v>
      </c>
      <c r="B19" s="75" t="n">
        <v>6880.04</v>
      </c>
      <c r="C19" s="55" t="n">
        <v>216286</v>
      </c>
      <c r="D19" s="59" t="n">
        <f aca="false">C19-C18</f>
        <v>-332</v>
      </c>
      <c r="E19" s="55" t="n">
        <f aca="false">C19-152000</f>
        <v>64286</v>
      </c>
      <c r="F19" s="54" t="n">
        <f aca="false">D19/$D$2</f>
        <v>-167.380892361986</v>
      </c>
      <c r="G19" s="54" t="n">
        <v>121</v>
      </c>
      <c r="H19" s="157" t="n">
        <v>0</v>
      </c>
      <c r="I19" s="54" t="n">
        <f aca="false">G19+H19</f>
        <v>121</v>
      </c>
      <c r="J19" s="83" t="n">
        <f aca="false">IF(L19&gt;0,L19,0)</f>
        <v>11.6191076380136</v>
      </c>
      <c r="K19" s="54" t="n">
        <f aca="false">I19+J19</f>
        <v>132.619107638014</v>
      </c>
      <c r="L19" s="54" t="n">
        <f aca="false">F19-(I19-X19)</f>
        <v>11.6191076380136</v>
      </c>
      <c r="M19" s="54" t="n">
        <v>86</v>
      </c>
      <c r="N19" s="54" t="n">
        <v>0.5</v>
      </c>
      <c r="O19" s="54" t="n">
        <f aca="false">1.76*1.05</f>
        <v>1.848</v>
      </c>
      <c r="P19" s="7" t="n">
        <f aca="false">M19-(N19+O19)</f>
        <v>83.652</v>
      </c>
      <c r="Q19" s="54" t="n">
        <v>0</v>
      </c>
      <c r="R19" s="54" t="n">
        <v>49</v>
      </c>
      <c r="S19" s="54" t="n">
        <f aca="false">SUM(P19:R19)</f>
        <v>132.652</v>
      </c>
      <c r="T19" s="55" t="n">
        <f aca="false">(I19-S19)+T18</f>
        <v>-12282.27</v>
      </c>
      <c r="U19" s="54" t="n">
        <v>0</v>
      </c>
      <c r="V19" s="54" t="n">
        <v>165</v>
      </c>
      <c r="W19" s="55" t="n">
        <f aca="false">W18-V19</f>
        <v>5598.98</v>
      </c>
      <c r="X19" s="7" t="n">
        <f aca="false">N19+O19+S19+U19+V19</f>
        <v>300</v>
      </c>
      <c r="Y19" s="54" t="n">
        <f aca="false">IF(L19&lt;0,L19*-1,0)</f>
        <v>0</v>
      </c>
      <c r="Z19" s="54" t="n">
        <f aca="false">X19+Y19</f>
        <v>300</v>
      </c>
      <c r="AA19" s="56" t="n">
        <v>0</v>
      </c>
      <c r="AB19" s="59" t="n">
        <v>53</v>
      </c>
      <c r="AC19" s="59" t="n">
        <v>30</v>
      </c>
      <c r="AD19" s="60" t="n">
        <f aca="false">AD18+1</f>
        <v>10</v>
      </c>
      <c r="AE19" s="95"/>
      <c r="AF19" s="97"/>
      <c r="AG19" s="97"/>
    </row>
    <row r="20" customFormat="false" ht="11.1" hidden="false" customHeight="true" outlineLevel="0" collapsed="false">
      <c r="A20" s="60" t="n">
        <f aca="false">A19+1</f>
        <v>11</v>
      </c>
      <c r="B20" s="75" t="n">
        <v>6880</v>
      </c>
      <c r="C20" s="55" t="n">
        <v>216165</v>
      </c>
      <c r="D20" s="59" t="n">
        <f aca="false">C20-C19</f>
        <v>-121</v>
      </c>
      <c r="E20" s="55" t="n">
        <f aca="false">C20-152000</f>
        <v>64165</v>
      </c>
      <c r="F20" s="54" t="n">
        <f aca="false">D20/$D$2</f>
        <v>-61.0032770355432</v>
      </c>
      <c r="G20" s="54" t="n">
        <v>81</v>
      </c>
      <c r="H20" s="157" t="n">
        <v>0</v>
      </c>
      <c r="I20" s="54" t="n">
        <f aca="false">G20+H20</f>
        <v>81</v>
      </c>
      <c r="J20" s="83" t="n">
        <f aca="false">IF(L20&gt;0,L20,0)</f>
        <v>0</v>
      </c>
      <c r="K20" s="54" t="n">
        <f aca="false">I20+J20</f>
        <v>81</v>
      </c>
      <c r="L20" s="54" t="n">
        <f aca="false">F20-(I20-X20)</f>
        <v>-35.0032770355432</v>
      </c>
      <c r="M20" s="54" t="n">
        <v>55</v>
      </c>
      <c r="N20" s="54" t="n">
        <v>0.5</v>
      </c>
      <c r="O20" s="54" t="n">
        <f aca="false">7.63*1.05</f>
        <v>8.0115</v>
      </c>
      <c r="P20" s="7" t="n">
        <f aca="false">M20-(N20+O20)</f>
        <v>46.4885</v>
      </c>
      <c r="Q20" s="54" t="n">
        <v>0</v>
      </c>
      <c r="R20" s="54" t="n">
        <v>14</v>
      </c>
      <c r="S20" s="54" t="n">
        <f aca="false">SUM(P20:R20)</f>
        <v>60.4885</v>
      </c>
      <c r="T20" s="55" t="n">
        <f aca="false">(I20-S20)+T19</f>
        <v>-12261.7585</v>
      </c>
      <c r="U20" s="54" t="n">
        <v>0</v>
      </c>
      <c r="V20" s="54" t="n">
        <v>38</v>
      </c>
      <c r="W20" s="55" t="n">
        <f aca="false">W19-V20</f>
        <v>5560.98</v>
      </c>
      <c r="X20" s="7" t="n">
        <f aca="false">N20+O20+S20+U20+V20</f>
        <v>107</v>
      </c>
      <c r="Y20" s="54" t="n">
        <f aca="false">IF(L20&lt;0,L20*-1,0)</f>
        <v>35.0032770355432</v>
      </c>
      <c r="Z20" s="54" t="n">
        <f aca="false">X20+Y20</f>
        <v>142.003277035543</v>
      </c>
      <c r="AA20" s="56" t="n">
        <v>0</v>
      </c>
      <c r="AB20" s="59" t="n">
        <v>56</v>
      </c>
      <c r="AC20" s="59" t="n">
        <v>27</v>
      </c>
      <c r="AD20" s="60" t="n">
        <f aca="false">AD19+1</f>
        <v>11</v>
      </c>
      <c r="AE20" s="95"/>
      <c r="AF20" s="97"/>
      <c r="AG20" s="97"/>
      <c r="AH20" s="138"/>
      <c r="AI20" s="138"/>
      <c r="AJ20" s="138"/>
    </row>
    <row r="21" customFormat="false" ht="11.1" hidden="false" customHeight="true" outlineLevel="0" collapsed="false">
      <c r="A21" s="60" t="n">
        <f aca="false">A20+1</f>
        <v>12</v>
      </c>
      <c r="B21" s="75" t="n">
        <v>6879.97</v>
      </c>
      <c r="C21" s="55" t="n">
        <v>216075</v>
      </c>
      <c r="D21" s="59" t="n">
        <f aca="false">C21-C20</f>
        <v>-90</v>
      </c>
      <c r="E21" s="55" t="n">
        <f aca="false">C21-152000</f>
        <v>64075</v>
      </c>
      <c r="F21" s="54" t="n">
        <f aca="false">D21/$D$2</f>
        <v>-45.3743382908999</v>
      </c>
      <c r="G21" s="54" t="n">
        <v>63</v>
      </c>
      <c r="H21" s="157" t="n">
        <v>0</v>
      </c>
      <c r="I21" s="54" t="n">
        <f aca="false">G21+H21</f>
        <v>63</v>
      </c>
      <c r="J21" s="83" t="n">
        <f aca="false">IF(L21&gt;0,L21,0)</f>
        <v>0</v>
      </c>
      <c r="K21" s="54" t="n">
        <f aca="false">I21+J21</f>
        <v>63</v>
      </c>
      <c r="L21" s="54" t="n">
        <f aca="false">F21-(I21-X21)</f>
        <v>-13.3743382908999</v>
      </c>
      <c r="M21" s="54" t="n">
        <v>43</v>
      </c>
      <c r="N21" s="54" t="n">
        <v>0.5</v>
      </c>
      <c r="O21" s="54" t="n">
        <f aca="false">6.43*1.05</f>
        <v>6.7515</v>
      </c>
      <c r="P21" s="7" t="n">
        <f aca="false">M21-(N21+O21)</f>
        <v>35.7485</v>
      </c>
      <c r="Q21" s="54" t="n">
        <v>0</v>
      </c>
      <c r="R21" s="54" t="n">
        <v>14</v>
      </c>
      <c r="S21" s="54" t="n">
        <f aca="false">SUM(P21:R21)</f>
        <v>49.7485</v>
      </c>
      <c r="T21" s="55" t="n">
        <f aca="false">(I21-S21)+T20</f>
        <v>-12248.507</v>
      </c>
      <c r="U21" s="54" t="n">
        <v>0</v>
      </c>
      <c r="V21" s="54" t="n">
        <v>38</v>
      </c>
      <c r="W21" s="55" t="n">
        <f aca="false">W20-V21</f>
        <v>5522.98</v>
      </c>
      <c r="X21" s="7" t="n">
        <f aca="false">N21+O21+S21+U21+V21</f>
        <v>95</v>
      </c>
      <c r="Y21" s="54" t="n">
        <f aca="false">IF(L21&lt;0,L21*-1,0)</f>
        <v>13.3743382908999</v>
      </c>
      <c r="Z21" s="54" t="n">
        <f aca="false">X21+Y21</f>
        <v>108.3743382909</v>
      </c>
      <c r="AA21" s="56" t="n">
        <v>0</v>
      </c>
      <c r="AB21" s="59" t="n">
        <v>51</v>
      </c>
      <c r="AC21" s="59" t="n">
        <v>30</v>
      </c>
      <c r="AD21" s="60" t="n">
        <f aca="false">AD20+1</f>
        <v>12</v>
      </c>
      <c r="AE21" s="95"/>
      <c r="AF21" s="95"/>
      <c r="AG21" s="97"/>
    </row>
    <row r="22" customFormat="false" ht="11.1" hidden="false" customHeight="true" outlineLevel="0" collapsed="false">
      <c r="A22" s="60" t="n">
        <f aca="false">A21+1</f>
        <v>13</v>
      </c>
      <c r="B22" s="75" t="n">
        <v>6879.94</v>
      </c>
      <c r="C22" s="55" t="n">
        <v>215986</v>
      </c>
      <c r="D22" s="59" t="n">
        <f aca="false">C22-C21</f>
        <v>-89</v>
      </c>
      <c r="E22" s="55" t="n">
        <f aca="false">C22-152000</f>
        <v>63986</v>
      </c>
      <c r="F22" s="54" t="n">
        <f aca="false">D22/$D$2</f>
        <v>-44.8701789765566</v>
      </c>
      <c r="G22" s="54" t="n">
        <v>63</v>
      </c>
      <c r="H22" s="157" t="n">
        <v>0</v>
      </c>
      <c r="I22" s="54" t="n">
        <f aca="false">G22+H22</f>
        <v>63</v>
      </c>
      <c r="J22" s="83" t="n">
        <f aca="false">IF(L22&gt;0,L22,0)</f>
        <v>0</v>
      </c>
      <c r="K22" s="54" t="n">
        <f aca="false">I22+J22</f>
        <v>63</v>
      </c>
      <c r="L22" s="54" t="n">
        <f aca="false">F22-(I22-X22)</f>
        <v>-14.8701789765566</v>
      </c>
      <c r="M22" s="54" t="n">
        <v>41</v>
      </c>
      <c r="N22" s="54" t="n">
        <v>0.5</v>
      </c>
      <c r="O22" s="54" t="n">
        <f aca="false">6.15*1.05</f>
        <v>6.4575</v>
      </c>
      <c r="P22" s="7" t="n">
        <f aca="false">M22-(N22+O22)</f>
        <v>34.0425</v>
      </c>
      <c r="Q22" s="54" t="n">
        <v>0</v>
      </c>
      <c r="R22" s="54" t="n">
        <v>14</v>
      </c>
      <c r="S22" s="54" t="n">
        <f aca="false">SUM(P22:R22)</f>
        <v>48.0425</v>
      </c>
      <c r="T22" s="55" t="n">
        <f aca="false">(I22-S22)+T21</f>
        <v>-12233.5495</v>
      </c>
      <c r="U22" s="54" t="n">
        <v>0</v>
      </c>
      <c r="V22" s="54" t="n">
        <v>38</v>
      </c>
      <c r="W22" s="55" t="n">
        <f aca="false">W21-V22</f>
        <v>5484.98</v>
      </c>
      <c r="X22" s="7" t="n">
        <f aca="false">N22+O22+S22+U22+V22</f>
        <v>93</v>
      </c>
      <c r="Y22" s="54" t="n">
        <f aca="false">IF(L22&lt;0,L22*-1,0)</f>
        <v>14.8701789765566</v>
      </c>
      <c r="Z22" s="54" t="n">
        <f aca="false">X22+Y22</f>
        <v>107.870178976557</v>
      </c>
      <c r="AA22" s="56" t="n">
        <v>0</v>
      </c>
      <c r="AB22" s="59" t="n">
        <v>60</v>
      </c>
      <c r="AC22" s="59" t="n">
        <v>29</v>
      </c>
      <c r="AD22" s="60" t="n">
        <f aca="false">AD21+1</f>
        <v>13</v>
      </c>
      <c r="AE22" s="95"/>
      <c r="AF22" s="95"/>
      <c r="AG22" s="97"/>
    </row>
    <row r="23" customFormat="false" ht="11.1" hidden="false" customHeight="true" outlineLevel="0" collapsed="false">
      <c r="A23" s="60" t="n">
        <f aca="false">A22+1</f>
        <v>14</v>
      </c>
      <c r="B23" s="75" t="n">
        <v>6879.91</v>
      </c>
      <c r="C23" s="55" t="n">
        <v>215896</v>
      </c>
      <c r="D23" s="59" t="n">
        <f aca="false">C23-C22</f>
        <v>-90</v>
      </c>
      <c r="E23" s="55" t="n">
        <f aca="false">C23-152000</f>
        <v>63896</v>
      </c>
      <c r="F23" s="54" t="n">
        <f aca="false">D23/$D$2</f>
        <v>-45.3743382908999</v>
      </c>
      <c r="G23" s="54" t="n">
        <v>60</v>
      </c>
      <c r="H23" s="157" t="n">
        <v>0</v>
      </c>
      <c r="I23" s="54" t="n">
        <f aca="false">G23+H23</f>
        <v>60</v>
      </c>
      <c r="J23" s="83" t="n">
        <f aca="false">IF(L23&gt;0,L23,0)</f>
        <v>0</v>
      </c>
      <c r="K23" s="54" t="n">
        <f aca="false">I23+J23</f>
        <v>60</v>
      </c>
      <c r="L23" s="54" t="n">
        <f aca="false">F23-(I23-X23)</f>
        <v>-5.37433829089992</v>
      </c>
      <c r="M23" s="54" t="n">
        <v>48</v>
      </c>
      <c r="N23" s="54" t="n">
        <v>0.5</v>
      </c>
      <c r="O23" s="54" t="n">
        <f aca="false">7.63*1.05</f>
        <v>8.0115</v>
      </c>
      <c r="P23" s="7" t="n">
        <f aca="false">M23-(N23+O23)</f>
        <v>39.4885</v>
      </c>
      <c r="Q23" s="54" t="n">
        <v>0</v>
      </c>
      <c r="R23" s="104" t="n">
        <v>14</v>
      </c>
      <c r="S23" s="54" t="n">
        <f aca="false">SUM(P23:R23)</f>
        <v>53.4885</v>
      </c>
      <c r="T23" s="55" t="n">
        <f aca="false">(I23-S23)+T22</f>
        <v>-12227.038</v>
      </c>
      <c r="U23" s="54" t="n">
        <v>0</v>
      </c>
      <c r="V23" s="54" t="n">
        <v>38</v>
      </c>
      <c r="W23" s="55" t="n">
        <f aca="false">W22-V23</f>
        <v>5446.98</v>
      </c>
      <c r="X23" s="7" t="n">
        <f aca="false">N23+O23+S23+U23+V23</f>
        <v>100</v>
      </c>
      <c r="Y23" s="54" t="n">
        <f aca="false">IF(L23&lt;0,L23*-1,0)</f>
        <v>5.37433829089992</v>
      </c>
      <c r="Z23" s="54" t="n">
        <f aca="false">X23+Y23</f>
        <v>105.3743382909</v>
      </c>
      <c r="AA23" s="56" t="n">
        <v>0</v>
      </c>
      <c r="AB23" s="84" t="n">
        <v>66</v>
      </c>
      <c r="AC23" s="59" t="n">
        <v>32</v>
      </c>
      <c r="AD23" s="60" t="n">
        <f aca="false">AD22+1</f>
        <v>14</v>
      </c>
      <c r="AE23" s="95"/>
      <c r="AF23" s="95"/>
      <c r="AG23" s="97"/>
    </row>
    <row r="24" customFormat="false" ht="11.1" hidden="false" customHeight="true" outlineLevel="0" collapsed="false">
      <c r="A24" s="60" t="n">
        <f aca="false">A23+1</f>
        <v>15</v>
      </c>
      <c r="B24" s="75" t="n">
        <v>6879.81</v>
      </c>
      <c r="C24" s="55" t="n">
        <v>215568</v>
      </c>
      <c r="D24" s="59" t="n">
        <f aca="false">C24-C23</f>
        <v>-328</v>
      </c>
      <c r="E24" s="55" t="n">
        <f aca="false">C24-152000</f>
        <v>63568</v>
      </c>
      <c r="F24" s="54" t="n">
        <f aca="false">D24/$D$2</f>
        <v>-165.364255104613</v>
      </c>
      <c r="G24" s="54" t="n">
        <v>60</v>
      </c>
      <c r="H24" s="157" t="n">
        <v>0</v>
      </c>
      <c r="I24" s="54" t="n">
        <f aca="false">G24+H24</f>
        <v>60</v>
      </c>
      <c r="J24" s="83" t="n">
        <f aca="false">IF(L24&gt;0,L24,0)</f>
        <v>0</v>
      </c>
      <c r="K24" s="54" t="n">
        <f aca="false">I24+J24</f>
        <v>60</v>
      </c>
      <c r="L24" s="54" t="n">
        <f aca="false">F24-(I24-X24)</f>
        <v>-51.3642551046131</v>
      </c>
      <c r="M24" s="54" t="n">
        <v>79</v>
      </c>
      <c r="N24" s="54" t="n">
        <v>0</v>
      </c>
      <c r="O24" s="54" t="n">
        <f aca="false">24.83*1.05</f>
        <v>26.0715</v>
      </c>
      <c r="P24" s="7" t="n">
        <f aca="false">M24-(N24+O24)</f>
        <v>52.9285</v>
      </c>
      <c r="Q24" s="54" t="n">
        <v>43</v>
      </c>
      <c r="R24" s="104" t="n">
        <v>14</v>
      </c>
      <c r="S24" s="54" t="n">
        <f aca="false">SUM(P24:R24)</f>
        <v>109.9285</v>
      </c>
      <c r="T24" s="55" t="n">
        <f aca="false">(I24-S24)+T23</f>
        <v>-12276.9665</v>
      </c>
      <c r="U24" s="54" t="n">
        <v>0</v>
      </c>
      <c r="V24" s="54" t="n">
        <v>38</v>
      </c>
      <c r="W24" s="55" t="n">
        <f aca="false">W23-V24</f>
        <v>5408.98</v>
      </c>
      <c r="X24" s="7" t="n">
        <f aca="false">N24+O24+S24+U24+V24</f>
        <v>174</v>
      </c>
      <c r="Y24" s="54" t="n">
        <f aca="false">IF(L24&lt;0,L24*-1,0)</f>
        <v>51.3642551046131</v>
      </c>
      <c r="Z24" s="54" t="n">
        <f aca="false">X24+Y24</f>
        <v>225.364255104613</v>
      </c>
      <c r="AA24" s="56" t="n">
        <v>0</v>
      </c>
      <c r="AB24" s="84" t="n">
        <v>68</v>
      </c>
      <c r="AC24" s="59" t="n">
        <v>37</v>
      </c>
      <c r="AD24" s="60" t="n">
        <f aca="false">AD23+1</f>
        <v>15</v>
      </c>
      <c r="AE24" s="95"/>
      <c r="AF24" s="95"/>
      <c r="AG24" s="97"/>
    </row>
    <row r="25" customFormat="false" ht="11.1" hidden="false" customHeight="true" outlineLevel="0" collapsed="false">
      <c r="A25" s="60" t="n">
        <f aca="false">A24+1</f>
        <v>16</v>
      </c>
      <c r="B25" s="75" t="n">
        <v>6879.69</v>
      </c>
      <c r="C25" s="55" t="n">
        <v>215239</v>
      </c>
      <c r="D25" s="59" t="n">
        <f aca="false">C25-C24</f>
        <v>-329</v>
      </c>
      <c r="E25" s="55" t="n">
        <f aca="false">C25-152000</f>
        <v>63239</v>
      </c>
      <c r="F25" s="54" t="n">
        <f aca="false">D25/$D$2</f>
        <v>-165.868414418956</v>
      </c>
      <c r="G25" s="54" t="n">
        <v>58</v>
      </c>
      <c r="H25" s="157" t="n">
        <v>0</v>
      </c>
      <c r="I25" s="54" t="n">
        <f aca="false">G25+H25</f>
        <v>58</v>
      </c>
      <c r="J25" s="83" t="n">
        <f aca="false">IF(L25&gt;0,L25,0)</f>
        <v>0</v>
      </c>
      <c r="K25" s="54" t="n">
        <f aca="false">I25+J25</f>
        <v>58</v>
      </c>
      <c r="L25" s="54" t="n">
        <f aca="false">F25-(I25-X25)</f>
        <v>-7.86841441895638</v>
      </c>
      <c r="M25" s="54" t="n">
        <v>70</v>
      </c>
      <c r="N25" s="54" t="n">
        <v>0</v>
      </c>
      <c r="O25" s="54" t="n">
        <f aca="false">37.69*1.05</f>
        <v>39.5745</v>
      </c>
      <c r="P25" s="7" t="n">
        <f aca="false">M25-(N25+O25)</f>
        <v>30.4255</v>
      </c>
      <c r="Q25" s="54" t="n">
        <v>94</v>
      </c>
      <c r="R25" s="54" t="n">
        <v>14</v>
      </c>
      <c r="S25" s="54" t="n">
        <f aca="false">SUM(P25:R25)</f>
        <v>138.4255</v>
      </c>
      <c r="T25" s="55" t="n">
        <f aca="false">(I25-S25)+T24</f>
        <v>-12357.392</v>
      </c>
      <c r="U25" s="54" t="n">
        <v>0</v>
      </c>
      <c r="V25" s="54" t="n">
        <v>38</v>
      </c>
      <c r="W25" s="55" t="n">
        <f aca="false">W24-V25</f>
        <v>5370.98</v>
      </c>
      <c r="X25" s="7" t="n">
        <f aca="false">N25+O25+S25+U25+V25</f>
        <v>216</v>
      </c>
      <c r="Y25" s="54" t="n">
        <f aca="false">IF(L25&lt;0,L25*-1,0)</f>
        <v>7.86841441895638</v>
      </c>
      <c r="Z25" s="54" t="n">
        <f aca="false">X25+Y25</f>
        <v>223.868414418956</v>
      </c>
      <c r="AA25" s="56" t="n">
        <v>0</v>
      </c>
      <c r="AB25" s="84" t="n">
        <v>69</v>
      </c>
      <c r="AC25" s="59" t="n">
        <v>34</v>
      </c>
      <c r="AD25" s="60" t="n">
        <f aca="false">AD24+1</f>
        <v>16</v>
      </c>
      <c r="AE25" s="95"/>
      <c r="AF25" s="95"/>
      <c r="AG25" s="97"/>
    </row>
    <row r="26" customFormat="false" ht="11.1" hidden="false" customHeight="true" outlineLevel="0" collapsed="false">
      <c r="A26" s="60" t="n">
        <f aca="false">A25+1</f>
        <v>17</v>
      </c>
      <c r="B26" s="75" t="n">
        <v>6879.56</v>
      </c>
      <c r="C26" s="55" t="n">
        <v>214851</v>
      </c>
      <c r="D26" s="59" t="n">
        <f aca="false">C26-C25</f>
        <v>-388</v>
      </c>
      <c r="E26" s="55" t="n">
        <f aca="false">C26-152000</f>
        <v>62851</v>
      </c>
      <c r="F26" s="54" t="n">
        <f aca="false">D26/$D$2</f>
        <v>-195.613813965213</v>
      </c>
      <c r="G26" s="54" t="n">
        <v>54</v>
      </c>
      <c r="H26" s="157" t="n">
        <v>0</v>
      </c>
      <c r="I26" s="54" t="n">
        <f aca="false">G26+H26</f>
        <v>54</v>
      </c>
      <c r="J26" s="83" t="n">
        <f aca="false">IF(L26&gt;0,L26,0)</f>
        <v>0</v>
      </c>
      <c r="K26" s="54" t="n">
        <f aca="false">I26+J26</f>
        <v>54</v>
      </c>
      <c r="L26" s="54" t="n">
        <f aca="false">F26-(I26-X26)</f>
        <v>-44.613813965213</v>
      </c>
      <c r="M26" s="54" t="n">
        <v>61</v>
      </c>
      <c r="N26" s="54" t="n">
        <v>0</v>
      </c>
      <c r="O26" s="54" t="n">
        <f aca="false">22.22*1.05</f>
        <v>23.331</v>
      </c>
      <c r="P26" s="7" t="n">
        <f aca="false">M26-(N26+O26)</f>
        <v>37.669</v>
      </c>
      <c r="Q26" s="54" t="n">
        <v>93</v>
      </c>
      <c r="R26" s="54" t="n">
        <v>13</v>
      </c>
      <c r="S26" s="54" t="n">
        <f aca="false">SUM(P26:R26)</f>
        <v>143.669</v>
      </c>
      <c r="T26" s="55" t="n">
        <f aca="false">(I26-S26)+T25</f>
        <v>-12447.061</v>
      </c>
      <c r="U26" s="54" t="n">
        <v>0</v>
      </c>
      <c r="V26" s="54" t="n">
        <v>38</v>
      </c>
      <c r="W26" s="55" t="n">
        <f aca="false">W25-V26</f>
        <v>5332.98</v>
      </c>
      <c r="X26" s="7" t="n">
        <f aca="false">N26+O26+S26+U26+V26</f>
        <v>205</v>
      </c>
      <c r="Y26" s="54" t="n">
        <f aca="false">IF(L26&lt;0,L26*-1,0)</f>
        <v>44.613813965213</v>
      </c>
      <c r="Z26" s="54" t="n">
        <f aca="false">X26+Y26</f>
        <v>249.613813965213</v>
      </c>
      <c r="AA26" s="56" t="n">
        <v>0</v>
      </c>
      <c r="AB26" s="84" t="n">
        <v>71</v>
      </c>
      <c r="AC26" s="59" t="n">
        <v>36</v>
      </c>
      <c r="AD26" s="60" t="n">
        <f aca="false">AD25+1</f>
        <v>17</v>
      </c>
      <c r="AE26" s="95"/>
      <c r="AF26" s="95"/>
      <c r="AG26" s="97"/>
    </row>
    <row r="27" customFormat="false" ht="11.1" hidden="false" customHeight="true" outlineLevel="0" collapsed="false">
      <c r="A27" s="60" t="n">
        <f aca="false">A26+1</f>
        <v>18</v>
      </c>
      <c r="B27" s="75" t="n">
        <v>6879.44</v>
      </c>
      <c r="C27" s="55" t="n">
        <v>214493</v>
      </c>
      <c r="D27" s="59" t="n">
        <f aca="false">C27-C26</f>
        <v>-358</v>
      </c>
      <c r="E27" s="55" t="n">
        <f aca="false">C27-152000</f>
        <v>62493</v>
      </c>
      <c r="F27" s="54" t="n">
        <f aca="false">D27/$D$2</f>
        <v>-180.489034534913</v>
      </c>
      <c r="G27" s="54" t="n">
        <v>54</v>
      </c>
      <c r="H27" s="157" t="n">
        <v>0</v>
      </c>
      <c r="I27" s="54" t="n">
        <f aca="false">G27+H27</f>
        <v>54</v>
      </c>
      <c r="J27" s="83" t="n">
        <f aca="false">IF(L27&gt;0,L27,0)</f>
        <v>0</v>
      </c>
      <c r="K27" s="54" t="n">
        <f aca="false">I27+J27</f>
        <v>54</v>
      </c>
      <c r="L27" s="54" t="n">
        <f aca="false">F27-(I27-X27)</f>
        <v>-30.489034534913</v>
      </c>
      <c r="M27" s="54" t="n">
        <v>58</v>
      </c>
      <c r="N27" s="54" t="n">
        <v>0</v>
      </c>
      <c r="O27" s="54" t="n">
        <f aca="false">(9.58+10.76)*1.05</f>
        <v>21.357</v>
      </c>
      <c r="P27" s="7" t="n">
        <f aca="false">M27-(N27+O27)</f>
        <v>36.643</v>
      </c>
      <c r="Q27" s="54" t="n">
        <v>95</v>
      </c>
      <c r="R27" s="54" t="n">
        <v>13</v>
      </c>
      <c r="S27" s="54" t="n">
        <f aca="false">SUM(P27:R27)</f>
        <v>144.643</v>
      </c>
      <c r="T27" s="55" t="n">
        <f aca="false">(I27-S27)+T26</f>
        <v>-12537.704</v>
      </c>
      <c r="U27" s="54" t="n">
        <v>0</v>
      </c>
      <c r="V27" s="54" t="n">
        <v>38</v>
      </c>
      <c r="W27" s="55" t="n">
        <f aca="false">W26-V27</f>
        <v>5294.98</v>
      </c>
      <c r="X27" s="7" t="n">
        <f aca="false">N27+O27+S27+U27+V27</f>
        <v>204</v>
      </c>
      <c r="Y27" s="54" t="n">
        <f aca="false">IF(L27&lt;0,L27*-1,0)</f>
        <v>30.489034534913</v>
      </c>
      <c r="Z27" s="54" t="n">
        <f aca="false">X27+Y27</f>
        <v>234.489034534913</v>
      </c>
      <c r="AA27" s="56" t="n">
        <v>0</v>
      </c>
      <c r="AB27" s="84" t="n">
        <v>69</v>
      </c>
      <c r="AC27" s="59" t="n">
        <v>39</v>
      </c>
      <c r="AD27" s="60" t="n">
        <f aca="false">AD26+1</f>
        <v>18</v>
      </c>
      <c r="AE27" s="95"/>
      <c r="AF27" s="95"/>
      <c r="AG27" s="97"/>
    </row>
    <row r="28" customFormat="false" ht="11.1" hidden="false" customHeight="true" outlineLevel="0" collapsed="false">
      <c r="A28" s="60" t="n">
        <f aca="false">A27+1</f>
        <v>19</v>
      </c>
      <c r="B28" s="75" t="n">
        <v>6879.32</v>
      </c>
      <c r="C28" s="103" t="n">
        <v>214134</v>
      </c>
      <c r="D28" s="59" t="n">
        <f aca="false">C28-C27</f>
        <v>-359</v>
      </c>
      <c r="E28" s="55" t="n">
        <f aca="false">C28-152000</f>
        <v>62134</v>
      </c>
      <c r="F28" s="54" t="n">
        <f aca="false">D28/$D$2</f>
        <v>-180.993193849256</v>
      </c>
      <c r="G28" s="54" t="n">
        <v>51</v>
      </c>
      <c r="H28" s="157" t="n">
        <v>0</v>
      </c>
      <c r="I28" s="54" t="n">
        <f aca="false">G28+H28</f>
        <v>51</v>
      </c>
      <c r="J28" s="83" t="n">
        <f aca="false">IF(L28&gt;0,L28,0)</f>
        <v>0</v>
      </c>
      <c r="K28" s="54" t="n">
        <f aca="false">I28+J28</f>
        <v>51</v>
      </c>
      <c r="L28" s="54" t="n">
        <f aca="false">F28-(I28-X28)</f>
        <v>-24.9931938492564</v>
      </c>
      <c r="M28" s="54" t="n">
        <v>59</v>
      </c>
      <c r="N28" s="54" t="n">
        <v>0</v>
      </c>
      <c r="O28" s="54" t="n">
        <f aca="false">(8.75+10.8)*1.05</f>
        <v>20.5275</v>
      </c>
      <c r="P28" s="7" t="n">
        <f aca="false">M28-(N28+O28)</f>
        <v>38.4725</v>
      </c>
      <c r="Q28" s="54" t="n">
        <v>97</v>
      </c>
      <c r="R28" s="54" t="n">
        <v>13</v>
      </c>
      <c r="S28" s="54" t="n">
        <f aca="false">SUM(P28:R28)</f>
        <v>148.4725</v>
      </c>
      <c r="T28" s="55" t="n">
        <f aca="false">(I28-S28)+T27</f>
        <v>-12635.1765</v>
      </c>
      <c r="U28" s="54" t="n">
        <v>0</v>
      </c>
      <c r="V28" s="54" t="n">
        <v>38</v>
      </c>
      <c r="W28" s="55" t="n">
        <f aca="false">W27-V28</f>
        <v>5256.98</v>
      </c>
      <c r="X28" s="7" t="n">
        <f aca="false">N28+O28+S28+U28+V28</f>
        <v>207</v>
      </c>
      <c r="Y28" s="54" t="n">
        <f aca="false">IF(L28&lt;0,L28*-1,0)</f>
        <v>24.9931938492564</v>
      </c>
      <c r="Z28" s="54" t="n">
        <f aca="false">X28+Y28</f>
        <v>231.993193849256</v>
      </c>
      <c r="AA28" s="56" t="n">
        <v>0</v>
      </c>
      <c r="AB28" s="84" t="n">
        <v>70</v>
      </c>
      <c r="AC28" s="59" t="n">
        <v>36</v>
      </c>
      <c r="AD28" s="60" t="n">
        <f aca="false">AD27+1</f>
        <v>19</v>
      </c>
      <c r="AE28" s="95"/>
      <c r="AF28" s="95"/>
      <c r="AG28" s="97"/>
    </row>
    <row r="29" customFormat="false" ht="11.1" hidden="false" customHeight="true" outlineLevel="0" collapsed="false">
      <c r="A29" s="60" t="n">
        <f aca="false">A28+1</f>
        <v>20</v>
      </c>
      <c r="B29" s="75" t="n">
        <v>6879.21</v>
      </c>
      <c r="C29" s="55" t="n">
        <v>213806</v>
      </c>
      <c r="D29" s="59" t="n">
        <f aca="false">C29-C28</f>
        <v>-328</v>
      </c>
      <c r="E29" s="55" t="n">
        <f aca="false">C29-152000</f>
        <v>61806</v>
      </c>
      <c r="F29" s="54" t="n">
        <f aca="false">D29/$D$2</f>
        <v>-165.364255104613</v>
      </c>
      <c r="G29" s="54" t="n">
        <v>46</v>
      </c>
      <c r="H29" s="157" t="n">
        <v>0</v>
      </c>
      <c r="I29" s="54" t="n">
        <f aca="false">G29+H29</f>
        <v>46</v>
      </c>
      <c r="J29" s="83" t="n">
        <f aca="false">IF(L29&gt;0,L29,0)</f>
        <v>0</v>
      </c>
      <c r="K29" s="54" t="n">
        <f aca="false">I29+J29</f>
        <v>46</v>
      </c>
      <c r="L29" s="54" t="n">
        <f aca="false">F29-(I29-X29)</f>
        <v>-5.36425510461305</v>
      </c>
      <c r="M29" s="54" t="n">
        <v>58</v>
      </c>
      <c r="N29" s="54" t="n">
        <v>0</v>
      </c>
      <c r="O29" s="54" t="n">
        <f aca="false">(9.95+7.5)*1.05</f>
        <v>18.3225</v>
      </c>
      <c r="P29" s="7" t="n">
        <f aca="false">M29-(N29+O29)</f>
        <v>39.6775</v>
      </c>
      <c r="Q29" s="54" t="n">
        <v>97</v>
      </c>
      <c r="R29" s="54" t="n">
        <v>13</v>
      </c>
      <c r="S29" s="54" t="n">
        <f aca="false">SUM(P29:R29)</f>
        <v>149.6775</v>
      </c>
      <c r="T29" s="55" t="n">
        <f aca="false">(I29-S29)+T28</f>
        <v>-12738.854</v>
      </c>
      <c r="U29" s="54" t="n">
        <v>0</v>
      </c>
      <c r="V29" s="54" t="n">
        <v>38</v>
      </c>
      <c r="W29" s="55" t="n">
        <f aca="false">W28-V29</f>
        <v>5218.98</v>
      </c>
      <c r="X29" s="7" t="n">
        <f aca="false">N29+O29+S29+U29+V29</f>
        <v>206</v>
      </c>
      <c r="Y29" s="54" t="n">
        <f aca="false">IF(L29&lt;0,L29*-1,0)</f>
        <v>5.36425510461305</v>
      </c>
      <c r="Z29" s="54" t="n">
        <f aca="false">X29+Y29</f>
        <v>211.364255104613</v>
      </c>
      <c r="AA29" s="56" t="n">
        <v>0</v>
      </c>
      <c r="AB29" s="84" t="n">
        <v>67</v>
      </c>
      <c r="AC29" s="59" t="n">
        <v>38</v>
      </c>
      <c r="AD29" s="60" t="n">
        <f aca="false">AD28+1</f>
        <v>20</v>
      </c>
      <c r="AE29" s="95"/>
      <c r="AF29" s="95"/>
      <c r="AG29" s="97"/>
    </row>
    <row r="30" customFormat="false" ht="11.1" hidden="false" customHeight="true" outlineLevel="0" collapsed="false">
      <c r="A30" s="60" t="n">
        <f aca="false">A29+1</f>
        <v>21</v>
      </c>
      <c r="B30" s="75" t="n">
        <v>6879.11</v>
      </c>
      <c r="C30" s="55" t="n">
        <v>213507</v>
      </c>
      <c r="D30" s="59" t="n">
        <f aca="false">C30-C29</f>
        <v>-299</v>
      </c>
      <c r="E30" s="55" t="n">
        <f aca="false">C30-152000</f>
        <v>61507</v>
      </c>
      <c r="F30" s="54" t="n">
        <f aca="false">D30/$D$2</f>
        <v>-150.743634988656</v>
      </c>
      <c r="G30" s="54" t="n">
        <v>44</v>
      </c>
      <c r="H30" s="157" t="n">
        <v>0</v>
      </c>
      <c r="I30" s="54" t="n">
        <f aca="false">G30+H30</f>
        <v>44</v>
      </c>
      <c r="J30" s="83" t="n">
        <f aca="false">IF(L30&gt;0,L30,0)</f>
        <v>8.25636501134358</v>
      </c>
      <c r="K30" s="54" t="n">
        <f aca="false">I30+J30</f>
        <v>52.2563650113436</v>
      </c>
      <c r="L30" s="54" t="n">
        <f aca="false">F30-(I30-X30)</f>
        <v>8.25636501134358</v>
      </c>
      <c r="M30" s="54" t="n">
        <v>55</v>
      </c>
      <c r="N30" s="54" t="n">
        <v>0</v>
      </c>
      <c r="O30" s="54" t="n">
        <f aca="false">(8.77+4.98)*1.05</f>
        <v>14.4375</v>
      </c>
      <c r="P30" s="7" t="n">
        <f aca="false">M30-(N30+O30)</f>
        <v>40.5625</v>
      </c>
      <c r="Q30" s="54" t="n">
        <v>97</v>
      </c>
      <c r="R30" s="54" t="n">
        <v>13</v>
      </c>
      <c r="S30" s="54" t="n">
        <f aca="false">SUM(P30:R30)</f>
        <v>150.5625</v>
      </c>
      <c r="T30" s="55" t="n">
        <f aca="false">(I30-S30)+T29</f>
        <v>-12845.4165</v>
      </c>
      <c r="U30" s="54" t="n">
        <v>0</v>
      </c>
      <c r="V30" s="54" t="n">
        <v>38</v>
      </c>
      <c r="W30" s="55" t="n">
        <f aca="false">W29-V30</f>
        <v>5180.98</v>
      </c>
      <c r="X30" s="7" t="n">
        <f aca="false">N30+O30+S30+U30+V30</f>
        <v>203</v>
      </c>
      <c r="Y30" s="54" t="n">
        <f aca="false">IF(L30&lt;0,L30*-1,0)</f>
        <v>0</v>
      </c>
      <c r="Z30" s="54" t="n">
        <f aca="false">X30+Y30</f>
        <v>203</v>
      </c>
      <c r="AA30" s="56" t="n">
        <v>0.01</v>
      </c>
      <c r="AB30" s="59" t="n">
        <v>64</v>
      </c>
      <c r="AC30" s="59" t="n">
        <v>40</v>
      </c>
      <c r="AD30" s="60" t="n">
        <f aca="false">AD29+1</f>
        <v>21</v>
      </c>
      <c r="AE30" s="95"/>
      <c r="AF30" s="95"/>
      <c r="AG30" s="97"/>
    </row>
    <row r="31" customFormat="false" ht="11.1" hidden="false" customHeight="true" outlineLevel="0" collapsed="false">
      <c r="A31" s="60" t="n">
        <f aca="false">A30+1</f>
        <v>22</v>
      </c>
      <c r="B31" s="75" t="n">
        <v>6878.96</v>
      </c>
      <c r="C31" s="55" t="n">
        <v>213061</v>
      </c>
      <c r="D31" s="59" t="n">
        <f aca="false">C31-C30</f>
        <v>-446</v>
      </c>
      <c r="E31" s="55" t="n">
        <f aca="false">C31-152000</f>
        <v>61061</v>
      </c>
      <c r="F31" s="54" t="n">
        <f aca="false">D31/$D$2</f>
        <v>-224.855054197126</v>
      </c>
      <c r="G31" s="54" t="n">
        <v>53</v>
      </c>
      <c r="H31" s="157" t="n">
        <v>0</v>
      </c>
      <c r="I31" s="54" t="n">
        <f aca="false">G31+H31</f>
        <v>53</v>
      </c>
      <c r="J31" s="83" t="n">
        <f aca="false">IF(L31&gt;0,L31,0)</f>
        <v>0</v>
      </c>
      <c r="K31" s="54" t="n">
        <f aca="false">I31+J31</f>
        <v>53</v>
      </c>
      <c r="L31" s="54" t="n">
        <f aca="false">F31-(I31-X31)</f>
        <v>-49.8550541971263</v>
      </c>
      <c r="M31" s="54" t="n">
        <v>78</v>
      </c>
      <c r="N31" s="54" t="n">
        <v>0</v>
      </c>
      <c r="O31" s="54" t="n">
        <f aca="false">(12.79+10.92)*1.05</f>
        <v>24.8955</v>
      </c>
      <c r="P31" s="7" t="n">
        <f aca="false">M31-(N31+O31)</f>
        <v>53.1045</v>
      </c>
      <c r="Q31" s="54" t="n">
        <v>98</v>
      </c>
      <c r="R31" s="54" t="n">
        <v>13</v>
      </c>
      <c r="S31" s="54" t="n">
        <f aca="false">SUM(P31:R31)</f>
        <v>164.1045</v>
      </c>
      <c r="T31" s="55" t="n">
        <f aca="false">(I31-S31)+T30</f>
        <v>-12956.521</v>
      </c>
      <c r="U31" s="54" t="n">
        <v>0</v>
      </c>
      <c r="V31" s="54" t="n">
        <v>39</v>
      </c>
      <c r="W31" s="55" t="n">
        <f aca="false">W30-V31</f>
        <v>5141.98</v>
      </c>
      <c r="X31" s="7" t="n">
        <f aca="false">N31+O31+S31+U31+V31</f>
        <v>228</v>
      </c>
      <c r="Y31" s="54" t="n">
        <f aca="false">IF(L31&lt;0,L31*-1,0)</f>
        <v>49.8550541971263</v>
      </c>
      <c r="Z31" s="54" t="n">
        <f aca="false">X31+Y31</f>
        <v>277.855054197126</v>
      </c>
      <c r="AA31" s="56" t="n">
        <v>0.02</v>
      </c>
      <c r="AB31" s="59" t="n">
        <v>65</v>
      </c>
      <c r="AC31" s="59" t="n">
        <v>38</v>
      </c>
      <c r="AD31" s="60" t="n">
        <f aca="false">AD30+1</f>
        <v>22</v>
      </c>
      <c r="AE31" s="95"/>
      <c r="AF31" s="95"/>
      <c r="AG31" s="97"/>
      <c r="AH31" s="138"/>
      <c r="AI31" s="138"/>
      <c r="AJ31" s="138"/>
    </row>
    <row r="32" customFormat="false" ht="11.1" hidden="false" customHeight="true" outlineLevel="0" collapsed="false">
      <c r="A32" s="60" t="n">
        <f aca="false">A31+1</f>
        <v>23</v>
      </c>
      <c r="B32" s="75" t="n">
        <v>6878.82</v>
      </c>
      <c r="C32" s="55" t="n">
        <v>212647</v>
      </c>
      <c r="D32" s="59" t="n">
        <f aca="false">C32-C31</f>
        <v>-414</v>
      </c>
      <c r="E32" s="55" t="n">
        <f aca="false">C32-152000</f>
        <v>60647</v>
      </c>
      <c r="F32" s="54" t="n">
        <f aca="false">D32/$D$2</f>
        <v>-208.72195613814</v>
      </c>
      <c r="G32" s="54" t="n">
        <v>56</v>
      </c>
      <c r="H32" s="157" t="n">
        <v>0</v>
      </c>
      <c r="I32" s="54" t="n">
        <f aca="false">G32+H32</f>
        <v>56</v>
      </c>
      <c r="J32" s="83" t="n">
        <f aca="false">IF(L32&gt;0,L32,0)</f>
        <v>0</v>
      </c>
      <c r="K32" s="54" t="n">
        <f aca="false">I32+J32</f>
        <v>56</v>
      </c>
      <c r="L32" s="54" t="n">
        <f aca="false">F32-(I32-X32)</f>
        <v>-49.7219561381397</v>
      </c>
      <c r="M32" s="54" t="n">
        <v>93</v>
      </c>
      <c r="N32" s="54" t="n">
        <v>0</v>
      </c>
      <c r="O32" s="54" t="n">
        <f aca="false">(32.63+15.6)*1.05</f>
        <v>50.6415</v>
      </c>
      <c r="P32" s="7" t="n">
        <f aca="false">M32-(N32+O32)</f>
        <v>42.3585</v>
      </c>
      <c r="Q32" s="54" t="n">
        <v>69</v>
      </c>
      <c r="R32" s="54" t="n">
        <v>13</v>
      </c>
      <c r="S32" s="54" t="n">
        <f aca="false">SUM(P32:R32)</f>
        <v>124.3585</v>
      </c>
      <c r="T32" s="55" t="n">
        <f aca="false">(I32-S32)+T31</f>
        <v>-13024.8795</v>
      </c>
      <c r="U32" s="54" t="n">
        <v>0</v>
      </c>
      <c r="V32" s="54" t="n">
        <v>40</v>
      </c>
      <c r="W32" s="55" t="n">
        <f aca="false">W31-V32</f>
        <v>5101.98</v>
      </c>
      <c r="X32" s="7" t="n">
        <f aca="false">N32+O32+S32+U32+V32</f>
        <v>215</v>
      </c>
      <c r="Y32" s="54" t="n">
        <f aca="false">IF(L32&lt;0,L32*-1,0)</f>
        <v>49.7219561381397</v>
      </c>
      <c r="Z32" s="54" t="n">
        <f aca="false">X32+Y32</f>
        <v>264.72195613814</v>
      </c>
      <c r="AA32" s="56" t="n">
        <v>0</v>
      </c>
      <c r="AB32" s="59" t="n">
        <v>66</v>
      </c>
      <c r="AC32" s="84" t="n">
        <v>32</v>
      </c>
      <c r="AD32" s="60" t="n">
        <f aca="false">AD31+1</f>
        <v>23</v>
      </c>
      <c r="AE32" s="95"/>
      <c r="AF32" s="95"/>
      <c r="AG32" s="97"/>
    </row>
    <row r="33" customFormat="false" ht="11.1" hidden="false" customHeight="true" outlineLevel="0" collapsed="false">
      <c r="A33" s="60" t="n">
        <f aca="false">A32+1</f>
        <v>24</v>
      </c>
      <c r="B33" s="75" t="n">
        <v>6878.62</v>
      </c>
      <c r="C33" s="55" t="n">
        <v>212056</v>
      </c>
      <c r="D33" s="59" t="n">
        <f aca="false">C33-C32</f>
        <v>-591</v>
      </c>
      <c r="E33" s="55" t="n">
        <f aca="false">C33-152000</f>
        <v>60056</v>
      </c>
      <c r="F33" s="54" t="n">
        <f aca="false">D33/$D$2</f>
        <v>-297.958154776909</v>
      </c>
      <c r="G33" s="54" t="n">
        <v>55</v>
      </c>
      <c r="H33" s="157" t="n">
        <v>0</v>
      </c>
      <c r="I33" s="54" t="n">
        <f aca="false">G33+H33</f>
        <v>55</v>
      </c>
      <c r="J33" s="83" t="n">
        <f aca="false">IF(L33&gt;0,L33,0)</f>
        <v>0</v>
      </c>
      <c r="K33" s="54" t="n">
        <f aca="false">I33+J33</f>
        <v>55</v>
      </c>
      <c r="L33" s="54" t="n">
        <f aca="false">F33-(I33-X33)</f>
        <v>-1.95815477690951</v>
      </c>
      <c r="M33" s="54" t="n">
        <v>88</v>
      </c>
      <c r="N33" s="54" t="n">
        <v>0</v>
      </c>
      <c r="O33" s="54" t="n">
        <f aca="false">(46.78+11.34)*1.05</f>
        <v>61.026</v>
      </c>
      <c r="P33" s="7" t="n">
        <f aca="false">M33-(N33+O33)</f>
        <v>26.974</v>
      </c>
      <c r="Q33" s="54" t="n">
        <v>212</v>
      </c>
      <c r="R33" s="54" t="n">
        <v>11</v>
      </c>
      <c r="S33" s="54" t="n">
        <f aca="false">SUM(P33:R33)</f>
        <v>249.974</v>
      </c>
      <c r="T33" s="55" t="n">
        <f aca="false">(I33-S33)+T32</f>
        <v>-13219.8535</v>
      </c>
      <c r="U33" s="54" t="n">
        <v>0</v>
      </c>
      <c r="V33" s="54" t="n">
        <v>40</v>
      </c>
      <c r="W33" s="55" t="n">
        <f aca="false">W32-V33</f>
        <v>5061.98</v>
      </c>
      <c r="X33" s="7" t="n">
        <f aca="false">N33+O33+S33+U33+V33</f>
        <v>351</v>
      </c>
      <c r="Y33" s="54" t="n">
        <f aca="false">IF(L33&lt;0,L33*-1,0)</f>
        <v>1.95815477690951</v>
      </c>
      <c r="Z33" s="54" t="n">
        <f aca="false">X33+Y33</f>
        <v>352.95815477691</v>
      </c>
      <c r="AA33" s="56" t="n">
        <v>0</v>
      </c>
      <c r="AB33" s="59" t="n">
        <v>55</v>
      </c>
      <c r="AC33" s="84" t="n">
        <v>28</v>
      </c>
      <c r="AD33" s="60" t="n">
        <f aca="false">AD32+1</f>
        <v>24</v>
      </c>
      <c r="AE33" s="95"/>
      <c r="AF33" s="95"/>
      <c r="AG33" s="97"/>
    </row>
    <row r="34" customFormat="false" ht="11.1" hidden="false" customHeight="true" outlineLevel="0" collapsed="false">
      <c r="A34" s="60" t="n">
        <v>25</v>
      </c>
      <c r="B34" s="75" t="n">
        <v>6878.31</v>
      </c>
      <c r="C34" s="55" t="n">
        <v>211141</v>
      </c>
      <c r="D34" s="59" t="n">
        <f aca="false">C34-C33</f>
        <v>-915</v>
      </c>
      <c r="E34" s="55" t="n">
        <f aca="false">C34-152000</f>
        <v>59141</v>
      </c>
      <c r="F34" s="54" t="n">
        <f aca="false">D34/$D$2</f>
        <v>-461.305772624149</v>
      </c>
      <c r="G34" s="54" t="n">
        <v>52</v>
      </c>
      <c r="H34" s="157" t="n">
        <v>0</v>
      </c>
      <c r="I34" s="54" t="n">
        <f aca="false">G34+H34</f>
        <v>52</v>
      </c>
      <c r="J34" s="83" t="n">
        <f aca="false">IF(L34&gt;0,L34,0)</f>
        <v>0</v>
      </c>
      <c r="K34" s="54" t="n">
        <f aca="false">I34+J34</f>
        <v>52</v>
      </c>
      <c r="L34" s="54" t="n">
        <f aca="false">F34-(I34-X34)</f>
        <v>-26.8057726241492</v>
      </c>
      <c r="M34" s="54" t="n">
        <v>91</v>
      </c>
      <c r="N34" s="54" t="n">
        <v>0</v>
      </c>
      <c r="O34" s="54" t="n">
        <f aca="false">(34.79+23.17)*1.05</f>
        <v>60.858</v>
      </c>
      <c r="P34" s="7" t="n">
        <f aca="false">M34-(N34+O34)</f>
        <v>30.142</v>
      </c>
      <c r="Q34" s="54" t="n">
        <v>348</v>
      </c>
      <c r="R34" s="54" t="n">
        <v>9.5</v>
      </c>
      <c r="S34" s="54" t="n">
        <f aca="false">SUM(P34:R34)</f>
        <v>387.642</v>
      </c>
      <c r="T34" s="55" t="n">
        <f aca="false">(I34-S34)+T33</f>
        <v>-13555.4955</v>
      </c>
      <c r="U34" s="54" t="n">
        <v>0</v>
      </c>
      <c r="V34" s="54" t="n">
        <v>38</v>
      </c>
      <c r="W34" s="55" t="n">
        <f aca="false">W33-V34</f>
        <v>5023.98</v>
      </c>
      <c r="X34" s="7" t="n">
        <f aca="false">N34+O34+S34+U34+V34</f>
        <v>486.5</v>
      </c>
      <c r="Y34" s="54" t="n">
        <f aca="false">IF(L34&lt;0,L34*-1,0)</f>
        <v>26.8057726241492</v>
      </c>
      <c r="Z34" s="54" t="n">
        <f aca="false">X34+Y34</f>
        <v>513.305772624149</v>
      </c>
      <c r="AA34" s="56" t="n">
        <v>0</v>
      </c>
      <c r="AB34" s="59" t="n">
        <v>63</v>
      </c>
      <c r="AC34" s="84" t="n">
        <v>29</v>
      </c>
      <c r="AD34" s="60" t="n">
        <v>25</v>
      </c>
      <c r="AE34" s="95"/>
      <c r="AF34" s="95"/>
      <c r="AG34" s="97"/>
    </row>
    <row r="35" customFormat="false" ht="11.1" hidden="false" customHeight="true" outlineLevel="0" collapsed="false">
      <c r="A35" s="60" t="n">
        <v>26</v>
      </c>
      <c r="B35" s="75" t="n">
        <v>6878.01</v>
      </c>
      <c r="C35" s="55" t="n">
        <v>210254</v>
      </c>
      <c r="D35" s="59" t="n">
        <f aca="false">C35-C34</f>
        <v>-887</v>
      </c>
      <c r="E35" s="55" t="n">
        <f aca="false">C35-152000</f>
        <v>58254</v>
      </c>
      <c r="F35" s="54" t="n">
        <f aca="false">D35/$D$2</f>
        <v>-447.189311822536</v>
      </c>
      <c r="G35" s="54" t="n">
        <v>46</v>
      </c>
      <c r="H35" s="157" t="n">
        <v>0</v>
      </c>
      <c r="I35" s="54" t="n">
        <f aca="false">G35+H35</f>
        <v>46</v>
      </c>
      <c r="J35" s="83" t="n">
        <f aca="false">IF(L35&gt;0,L35,0)</f>
        <v>0</v>
      </c>
      <c r="K35" s="54" t="n">
        <f aca="false">I35+J35</f>
        <v>46</v>
      </c>
      <c r="L35" s="54" t="n">
        <f aca="false">F35-(I35-X35)</f>
        <v>-46.0893118225359</v>
      </c>
      <c r="M35" s="54" t="n">
        <v>56</v>
      </c>
      <c r="N35" s="54" t="n">
        <v>0</v>
      </c>
      <c r="O35" s="54" t="n">
        <f aca="false">(27.97+26.54)*1.05</f>
        <v>57.2355</v>
      </c>
      <c r="P35" s="7" t="n">
        <f aca="false">M35-(N35+O35)</f>
        <v>-1.2355</v>
      </c>
      <c r="Q35" s="54" t="n">
        <v>345</v>
      </c>
      <c r="R35" s="54" t="n">
        <v>9.1</v>
      </c>
      <c r="S35" s="54" t="n">
        <f aca="false">SUM(P35:R35)</f>
        <v>352.8645</v>
      </c>
      <c r="T35" s="55" t="n">
        <f aca="false">(I35-S35)+T34</f>
        <v>-13862.36</v>
      </c>
      <c r="U35" s="54" t="n">
        <v>0</v>
      </c>
      <c r="V35" s="54" t="n">
        <v>37</v>
      </c>
      <c r="W35" s="55" t="n">
        <f aca="false">W34-V35</f>
        <v>4986.98</v>
      </c>
      <c r="X35" s="7" t="n">
        <f aca="false">N35+O35+S35+U35+V35</f>
        <v>447.1</v>
      </c>
      <c r="Y35" s="54" t="n">
        <f aca="false">IF(L35&lt;0,L35*-1,0)</f>
        <v>46.0893118225359</v>
      </c>
      <c r="Z35" s="54" t="n">
        <f aca="false">X35+Y35</f>
        <v>493.189311822536</v>
      </c>
      <c r="AA35" s="56" t="n">
        <v>0</v>
      </c>
      <c r="AB35" s="59" t="n">
        <v>67</v>
      </c>
      <c r="AC35" s="84" t="n">
        <v>33</v>
      </c>
      <c r="AD35" s="60" t="n">
        <v>26</v>
      </c>
      <c r="AE35" s="95"/>
      <c r="AF35" s="95"/>
      <c r="AG35" s="97"/>
    </row>
    <row r="36" customFormat="false" ht="11.1" hidden="false" customHeight="true" outlineLevel="0" collapsed="false">
      <c r="A36" s="60" t="n">
        <v>27</v>
      </c>
      <c r="B36" s="75" t="n">
        <v>6877.72</v>
      </c>
      <c r="C36" s="55" t="n">
        <v>209407</v>
      </c>
      <c r="D36" s="59" t="n">
        <f aca="false">C36-C35</f>
        <v>-847</v>
      </c>
      <c r="E36" s="55" t="n">
        <f aca="false">C36-152000</f>
        <v>57407</v>
      </c>
      <c r="F36" s="54" t="n">
        <f aca="false">D36/$D$2</f>
        <v>-427.022939248803</v>
      </c>
      <c r="G36" s="54" t="n">
        <v>47</v>
      </c>
      <c r="H36" s="157" t="n">
        <v>0</v>
      </c>
      <c r="I36" s="54" t="n">
        <f aca="false">G36+H36</f>
        <v>47</v>
      </c>
      <c r="J36" s="83" t="n">
        <f aca="false">IF(L36&gt;0,L36,0)</f>
        <v>0</v>
      </c>
      <c r="K36" s="54" t="n">
        <f aca="false">I36+J36</f>
        <v>47</v>
      </c>
      <c r="L36" s="54" t="n">
        <f aca="false">F36-(I36-X36)</f>
        <v>-50.3229392488026</v>
      </c>
      <c r="M36" s="54" t="n">
        <v>36</v>
      </c>
      <c r="N36" s="54" t="n">
        <v>0</v>
      </c>
      <c r="O36" s="54" t="n">
        <f aca="false">(24.03+25.1)*1.05</f>
        <v>51.5865</v>
      </c>
      <c r="P36" s="7" t="n">
        <f aca="false">M36-(N36+O36)</f>
        <v>-15.5865</v>
      </c>
      <c r="Q36" s="54" t="n">
        <v>342</v>
      </c>
      <c r="R36" s="54" t="n">
        <v>8.7</v>
      </c>
      <c r="S36" s="54" t="n">
        <f aca="false">SUM(P36:R36)</f>
        <v>335.1135</v>
      </c>
      <c r="T36" s="55" t="n">
        <f aca="false">(I36-S36)+T35</f>
        <v>-14150.4735</v>
      </c>
      <c r="U36" s="54" t="n">
        <v>0</v>
      </c>
      <c r="V36" s="54" t="n">
        <v>37</v>
      </c>
      <c r="W36" s="55" t="n">
        <f aca="false">W35-V36</f>
        <v>4949.98</v>
      </c>
      <c r="X36" s="7" t="n">
        <f aca="false">N36+O36+S36+U36+V36</f>
        <v>423.7</v>
      </c>
      <c r="Y36" s="54" t="n">
        <f aca="false">IF(L36&lt;0,L36*-1,0)</f>
        <v>50.3229392488026</v>
      </c>
      <c r="Z36" s="54" t="n">
        <f aca="false">X36+Y36</f>
        <v>474.022939248803</v>
      </c>
      <c r="AA36" s="56" t="n">
        <v>0</v>
      </c>
      <c r="AB36" s="59" t="n">
        <v>71</v>
      </c>
      <c r="AC36" s="84" t="n">
        <v>39</v>
      </c>
      <c r="AD36" s="60" t="n">
        <v>27</v>
      </c>
      <c r="AE36" s="95"/>
      <c r="AF36" s="95"/>
      <c r="AG36" s="97"/>
    </row>
    <row r="37" customFormat="false" ht="11.1" hidden="false" customHeight="true" outlineLevel="0" collapsed="false">
      <c r="A37" s="60" t="n">
        <v>28</v>
      </c>
      <c r="B37" s="75" t="n">
        <v>6877.41</v>
      </c>
      <c r="C37" s="55" t="n">
        <v>208501</v>
      </c>
      <c r="D37" s="59" t="n">
        <f aca="false">C37-C36</f>
        <v>-906</v>
      </c>
      <c r="E37" s="55" t="n">
        <f aca="false">C37-152000</f>
        <v>56501</v>
      </c>
      <c r="F37" s="54" t="n">
        <f aca="false">D37/$D$2</f>
        <v>-456.768338795059</v>
      </c>
      <c r="G37" s="54" t="n">
        <v>47</v>
      </c>
      <c r="H37" s="157" t="n">
        <v>0</v>
      </c>
      <c r="I37" s="54" t="n">
        <f aca="false">G37+H37</f>
        <v>47</v>
      </c>
      <c r="J37" s="83" t="n">
        <f aca="false">IF(L37&gt;0,L37,0)</f>
        <v>0</v>
      </c>
      <c r="K37" s="54" t="n">
        <f aca="false">I37+J37</f>
        <v>47</v>
      </c>
      <c r="L37" s="54" t="n">
        <f aca="false">F37-(I37-X37)</f>
        <v>-54.8683387950592</v>
      </c>
      <c r="M37" s="54" t="n">
        <v>65</v>
      </c>
      <c r="N37" s="54" t="n">
        <v>0</v>
      </c>
      <c r="O37" s="54" t="n">
        <f aca="false">(25.14+25.22)*1.05</f>
        <v>52.878</v>
      </c>
      <c r="P37" s="7" t="n">
        <f aca="false">M37-(N37+O37)</f>
        <v>12.122</v>
      </c>
      <c r="Q37" s="54" t="n">
        <v>338</v>
      </c>
      <c r="R37" s="54" t="n">
        <v>8.9</v>
      </c>
      <c r="S37" s="54" t="n">
        <f aca="false">SUM(P37:R37)</f>
        <v>359.022</v>
      </c>
      <c r="T37" s="55" t="n">
        <f aca="false">(I37-S37)+T36</f>
        <v>-14462.4955</v>
      </c>
      <c r="U37" s="54" t="n">
        <v>0</v>
      </c>
      <c r="V37" s="54" t="n">
        <v>37</v>
      </c>
      <c r="W37" s="55" t="n">
        <f aca="false">W36-V37</f>
        <v>4912.98</v>
      </c>
      <c r="X37" s="7" t="n">
        <f aca="false">N37+O37+S37+U37+V37</f>
        <v>448.9</v>
      </c>
      <c r="Y37" s="54" t="n">
        <f aca="false">IF(L37&lt;0,L37*-1,0)</f>
        <v>54.8683387950592</v>
      </c>
      <c r="Z37" s="54" t="n">
        <f aca="false">X37+Y37</f>
        <v>503.768338795059</v>
      </c>
      <c r="AA37" s="56" t="n">
        <v>0.09</v>
      </c>
      <c r="AB37" s="59" t="n">
        <v>65</v>
      </c>
      <c r="AC37" s="84" t="n">
        <v>45</v>
      </c>
      <c r="AD37" s="60" t="n">
        <v>28</v>
      </c>
      <c r="AE37" s="95"/>
      <c r="AF37" s="95"/>
      <c r="AG37" s="97"/>
    </row>
    <row r="38" customFormat="false" ht="11.1" hidden="false" customHeight="true" outlineLevel="0" collapsed="false">
      <c r="A38" s="60" t="n">
        <v>29</v>
      </c>
      <c r="B38" s="75" t="n">
        <v>6877.13</v>
      </c>
      <c r="C38" s="55" t="n">
        <v>207683</v>
      </c>
      <c r="D38" s="59" t="n">
        <f aca="false">C38-C37</f>
        <v>-818</v>
      </c>
      <c r="E38" s="55" t="n">
        <f aca="false">C38-152000</f>
        <v>55683</v>
      </c>
      <c r="F38" s="54" t="n">
        <f aca="false">D38/$D$2</f>
        <v>-412.402319132846</v>
      </c>
      <c r="G38" s="54" t="n">
        <v>52</v>
      </c>
      <c r="H38" s="157" t="n">
        <v>0</v>
      </c>
      <c r="I38" s="54" t="n">
        <f aca="false">G38+H38</f>
        <v>52</v>
      </c>
      <c r="J38" s="83" t="n">
        <f aca="false">IF(L38&gt;0,L38,0)</f>
        <v>0</v>
      </c>
      <c r="K38" s="54" t="n">
        <f aca="false">I38+J38</f>
        <v>52</v>
      </c>
      <c r="L38" s="54" t="n">
        <f aca="false">F38-(I38-X38)</f>
        <v>-32.6023191328459</v>
      </c>
      <c r="M38" s="54" t="n">
        <v>43</v>
      </c>
      <c r="N38" s="54" t="n">
        <v>0</v>
      </c>
      <c r="O38" s="54" t="n">
        <f aca="false">29.26*1.05</f>
        <v>30.723</v>
      </c>
      <c r="P38" s="7" t="n">
        <f aca="false">M38-(N38+O38)</f>
        <v>12.277</v>
      </c>
      <c r="Q38" s="54" t="n">
        <v>342</v>
      </c>
      <c r="R38" s="54" t="n">
        <v>9.8</v>
      </c>
      <c r="S38" s="54" t="n">
        <f aca="false">SUM(P38:R38)</f>
        <v>364.077</v>
      </c>
      <c r="T38" s="55" t="n">
        <f aca="false">(I38-S38)+T37</f>
        <v>-14774.5725</v>
      </c>
      <c r="U38" s="54" t="n">
        <v>0</v>
      </c>
      <c r="V38" s="54" t="n">
        <v>37</v>
      </c>
      <c r="W38" s="55" t="n">
        <f aca="false">W37-V38</f>
        <v>4875.98</v>
      </c>
      <c r="X38" s="7" t="n">
        <f aca="false">N38+O38+S38+U38+V38</f>
        <v>431.8</v>
      </c>
      <c r="Y38" s="54" t="n">
        <f aca="false">IF(L38&lt;0,L38*-1,0)</f>
        <v>32.6023191328459</v>
      </c>
      <c r="Z38" s="54" t="n">
        <f aca="false">X38+Y38</f>
        <v>464.402319132846</v>
      </c>
      <c r="AA38" s="56" t="n">
        <v>0</v>
      </c>
      <c r="AB38" s="59" t="n">
        <v>68</v>
      </c>
      <c r="AC38" s="84" t="n">
        <v>41</v>
      </c>
      <c r="AD38" s="60" t="n">
        <v>29</v>
      </c>
      <c r="AE38" s="95"/>
      <c r="AF38" s="95"/>
      <c r="AG38" s="97"/>
    </row>
    <row r="39" customFormat="false" ht="11.1" hidden="false" customHeight="true" outlineLevel="0" collapsed="false">
      <c r="A39" s="60" t="n">
        <v>30</v>
      </c>
      <c r="B39" s="75" t="n">
        <v>6876.79</v>
      </c>
      <c r="C39" s="55" t="n">
        <v>206697</v>
      </c>
      <c r="D39" s="59" t="n">
        <f aca="false">C39-C38</f>
        <v>-986</v>
      </c>
      <c r="E39" s="55" t="n">
        <f aca="false">C39-152000</f>
        <v>54697</v>
      </c>
      <c r="F39" s="54" t="n">
        <f aca="false">D39/$D$2</f>
        <v>-497.101083942526</v>
      </c>
      <c r="G39" s="54" t="n">
        <v>52</v>
      </c>
      <c r="H39" s="157" t="n">
        <v>0</v>
      </c>
      <c r="I39" s="54" t="n">
        <f aca="false">G39+H39</f>
        <v>52</v>
      </c>
      <c r="J39" s="83" t="n">
        <f aca="false">IF(L39&gt;0,L39,0)</f>
        <v>0</v>
      </c>
      <c r="K39" s="54" t="n">
        <f aca="false">I39+J39</f>
        <v>52</v>
      </c>
      <c r="L39" s="54" t="n">
        <f aca="false">F39-(I39-X39)</f>
        <v>-110.101083942526</v>
      </c>
      <c r="M39" s="54" t="n">
        <v>44</v>
      </c>
      <c r="N39" s="54" t="n">
        <v>0</v>
      </c>
      <c r="O39" s="54" t="n">
        <f aca="false">22.31*1.05</f>
        <v>23.4255</v>
      </c>
      <c r="P39" s="7" t="n">
        <f aca="false">M39-(N39+O39)</f>
        <v>20.5745</v>
      </c>
      <c r="Q39" s="54" t="n">
        <v>348</v>
      </c>
      <c r="R39" s="54" t="n">
        <v>10</v>
      </c>
      <c r="S39" s="54" t="n">
        <f aca="false">SUM(P39:R39)</f>
        <v>378.5745</v>
      </c>
      <c r="T39" s="55" t="n">
        <f aca="false">(I39-S39)+T38</f>
        <v>-15101.147</v>
      </c>
      <c r="U39" s="54" t="n">
        <v>0</v>
      </c>
      <c r="V39" s="54" t="n">
        <v>37</v>
      </c>
      <c r="W39" s="55" t="n">
        <f aca="false">W38-V39</f>
        <v>4838.98</v>
      </c>
      <c r="X39" s="7" t="n">
        <f aca="false">N39+O39+S39+U39+V39</f>
        <v>439</v>
      </c>
      <c r="Y39" s="54" t="n">
        <f aca="false">IF(L39&lt;0,L39*-1,0)</f>
        <v>110.101083942526</v>
      </c>
      <c r="Z39" s="54" t="n">
        <f aca="false">X39+Y39</f>
        <v>549.101083942526</v>
      </c>
      <c r="AA39" s="56" t="n">
        <v>0</v>
      </c>
      <c r="AB39" s="59" t="n">
        <v>68</v>
      </c>
      <c r="AC39" s="84" t="n">
        <v>44</v>
      </c>
      <c r="AD39" s="60" t="n">
        <v>30</v>
      </c>
      <c r="AE39" s="95"/>
      <c r="AF39" s="95"/>
      <c r="AG39" s="97"/>
    </row>
    <row r="40" customFormat="false" ht="11.1" hidden="false" customHeight="true" outlineLevel="0" collapsed="false">
      <c r="A40" s="60" t="n">
        <v>31</v>
      </c>
      <c r="B40" s="75" t="n">
        <v>6876.53</v>
      </c>
      <c r="C40" s="55" t="n">
        <v>205946</v>
      </c>
      <c r="D40" s="59" t="n">
        <f aca="false">C40-C39</f>
        <v>-751</v>
      </c>
      <c r="E40" s="55" t="n">
        <f aca="false">C40-152000</f>
        <v>53946</v>
      </c>
      <c r="F40" s="54" t="n">
        <f aca="false">D40/$D$2</f>
        <v>-378.623645071843</v>
      </c>
      <c r="G40" s="54" t="n">
        <v>51</v>
      </c>
      <c r="H40" s="157" t="n">
        <v>0</v>
      </c>
      <c r="I40" s="54" t="n">
        <f aca="false">G40+H40</f>
        <v>51</v>
      </c>
      <c r="J40" s="83" t="n">
        <f aca="false">IF(L40&gt;0,L40,0)</f>
        <v>0</v>
      </c>
      <c r="K40" s="54" t="n">
        <f aca="false">I40+J40</f>
        <v>51</v>
      </c>
      <c r="L40" s="54" t="n">
        <f aca="false">F40-(I40-X40)</f>
        <v>-10.2236450718427</v>
      </c>
      <c r="M40" s="54" t="n">
        <v>41</v>
      </c>
      <c r="N40" s="54" t="n">
        <v>0</v>
      </c>
      <c r="O40" s="54" t="n">
        <f aca="false">19.62*1.05</f>
        <v>20.601</v>
      </c>
      <c r="P40" s="7" t="n">
        <f aca="false">M40-(N40+O40)</f>
        <v>20.399</v>
      </c>
      <c r="Q40" s="54" t="n">
        <v>332</v>
      </c>
      <c r="R40" s="54" t="n">
        <v>9.4</v>
      </c>
      <c r="S40" s="54" t="n">
        <f aca="false">SUM(P40:R40)</f>
        <v>361.799</v>
      </c>
      <c r="T40" s="55" t="n">
        <f aca="false">(I40-S40)+T39</f>
        <v>-15411.946</v>
      </c>
      <c r="U40" s="54" t="n">
        <v>0</v>
      </c>
      <c r="V40" s="54" t="n">
        <v>37</v>
      </c>
      <c r="W40" s="55" t="n">
        <f aca="false">W39-V40</f>
        <v>4801.98</v>
      </c>
      <c r="X40" s="7" t="n">
        <f aca="false">N40+O40+S40+U40+V40</f>
        <v>419.4</v>
      </c>
      <c r="Y40" s="54" t="n">
        <f aca="false">IF(L40&lt;0,L40*-1,0)</f>
        <v>10.2236450718427</v>
      </c>
      <c r="Z40" s="54" t="n">
        <f aca="false">X40+Y40</f>
        <v>429.623645071843</v>
      </c>
      <c r="AA40" s="56" t="n">
        <v>0.04</v>
      </c>
      <c r="AB40" s="59" t="n">
        <v>57</v>
      </c>
      <c r="AC40" s="84" t="n">
        <v>35</v>
      </c>
      <c r="AD40" s="60" t="n">
        <v>31</v>
      </c>
      <c r="AE40" s="95"/>
      <c r="AF40" s="95"/>
      <c r="AG40" s="97"/>
    </row>
    <row r="41" customFormat="false" ht="2.25" hidden="false" customHeight="true" outlineLevel="0" collapsed="false">
      <c r="A41" s="76"/>
      <c r="B41" s="76"/>
      <c r="C41" s="78"/>
      <c r="D41" s="76"/>
      <c r="E41" s="78"/>
      <c r="F41" s="76"/>
      <c r="G41" s="76"/>
      <c r="H41" s="160" t="n">
        <v>0</v>
      </c>
      <c r="I41" s="76"/>
      <c r="J41" s="76"/>
      <c r="K41" s="76"/>
      <c r="L41" s="76"/>
      <c r="M41" s="76" t="n">
        <v>0</v>
      </c>
      <c r="N41" s="76"/>
      <c r="O41" s="76"/>
      <c r="P41" s="76"/>
      <c r="Q41" s="76"/>
      <c r="R41" s="76" t="n">
        <v>0</v>
      </c>
      <c r="S41" s="76"/>
      <c r="T41" s="78"/>
      <c r="U41" s="76"/>
      <c r="V41" s="76" t="n">
        <v>0</v>
      </c>
      <c r="W41" s="76"/>
      <c r="X41" s="76"/>
      <c r="Y41" s="76"/>
      <c r="Z41" s="76"/>
      <c r="AA41" s="79"/>
      <c r="AB41" s="81"/>
      <c r="AC41" s="81"/>
      <c r="AD41" s="82"/>
      <c r="AE41" s="95"/>
      <c r="AF41" s="95"/>
      <c r="AG41" s="96"/>
    </row>
    <row r="42" customFormat="false" ht="11.1" hidden="false" customHeight="true" outlineLevel="0" collapsed="false">
      <c r="A42" s="54" t="s">
        <v>46</v>
      </c>
      <c r="B42" s="54"/>
      <c r="C42" s="55"/>
      <c r="D42" s="55"/>
      <c r="E42" s="55"/>
      <c r="F42" s="55" t="n">
        <f aca="false">SUM(F10:F40)</f>
        <v>-8409.37736324679</v>
      </c>
      <c r="G42" s="55" t="n">
        <f aca="false">SUM(G10:G40)</f>
        <v>2051</v>
      </c>
      <c r="H42" s="157" t="n">
        <f aca="false">SUM(H10:H40)</f>
        <v>0</v>
      </c>
      <c r="I42" s="55" t="n">
        <f aca="false">SUM(I10:I40)</f>
        <v>2051</v>
      </c>
      <c r="J42" s="55" t="n">
        <f aca="false">SUM(J10:J40)</f>
        <v>57.894638265692</v>
      </c>
      <c r="K42" s="55" t="n">
        <f aca="false">SUM(K10:K40)</f>
        <v>2108.89463826569</v>
      </c>
      <c r="L42" s="55" t="n">
        <f aca="false">SUM(L10:L40)</f>
        <v>-784.827363246786</v>
      </c>
      <c r="M42" s="55" t="n">
        <f aca="false">SUM(M10:M40)</f>
        <v>2962</v>
      </c>
      <c r="N42" s="55" t="n">
        <f aca="false">SUM(N10:N40)</f>
        <v>7</v>
      </c>
      <c r="O42" s="55" t="n">
        <f aca="false">SUM(O10:O40)</f>
        <v>750.12</v>
      </c>
      <c r="P42" s="55" t="n">
        <f aca="false">SUM(P10:P40)</f>
        <v>2204.88</v>
      </c>
      <c r="Q42" s="55" t="n">
        <f aca="false">SUM(Q10:Q40)</f>
        <v>4355</v>
      </c>
      <c r="R42" s="55" t="n">
        <f aca="false">SUM(R10:R40)</f>
        <v>914.4</v>
      </c>
      <c r="S42" s="55" t="n">
        <f aca="false">SUM(S10:S40)</f>
        <v>7474.28</v>
      </c>
      <c r="T42" s="55"/>
      <c r="U42" s="55" t="n">
        <f aca="false">SUM(U10:U40)</f>
        <v>125.15</v>
      </c>
      <c r="V42" s="55" t="n">
        <f aca="false">SUM(V10:V40)</f>
        <v>1319</v>
      </c>
      <c r="W42" s="55"/>
      <c r="X42" s="55" t="n">
        <f aca="false">SUM(X10:X40)</f>
        <v>9675.55</v>
      </c>
      <c r="Y42" s="55" t="n">
        <f aca="false">SUM(Y10:Y40)</f>
        <v>842.722001512478</v>
      </c>
      <c r="Z42" s="55" t="n">
        <f aca="false">SUM(Z10:Z40)</f>
        <v>10518.2720015125</v>
      </c>
      <c r="AA42" s="56" t="n">
        <f aca="false">SUM(AA10:AA40)</f>
        <v>0.42</v>
      </c>
      <c r="AB42" s="59" t="n">
        <f aca="false">AVERAGE(AB10:AB40)</f>
        <v>65.741935483871</v>
      </c>
      <c r="AC42" s="59" t="n">
        <f aca="false">AVERAGE(AC10:AC40)</f>
        <v>37.1290322580645</v>
      </c>
      <c r="AD42" s="60" t="s">
        <v>71</v>
      </c>
      <c r="AE42" s="95"/>
      <c r="AF42" s="95"/>
      <c r="AG42" s="96"/>
    </row>
    <row r="43" customFormat="false" ht="11.1" hidden="false" customHeight="true" outlineLevel="0" collapsed="false">
      <c r="A43" s="54" t="s">
        <v>48</v>
      </c>
      <c r="B43" s="54"/>
      <c r="C43" s="55"/>
      <c r="D43" s="55" t="n">
        <f aca="false">SUM(D10:D40)</f>
        <v>-16680</v>
      </c>
      <c r="E43" s="55"/>
      <c r="F43" s="55" t="n">
        <f aca="false">F42*$D$2</f>
        <v>-16680</v>
      </c>
      <c r="G43" s="55" t="n">
        <f aca="false">G42*$D$2</f>
        <v>4068.1585</v>
      </c>
      <c r="H43" s="157" t="n">
        <f aca="false">H42*$D$2</f>
        <v>0</v>
      </c>
      <c r="I43" s="55" t="n">
        <f aca="false">I42*$D$2</f>
        <v>4068.1585</v>
      </c>
      <c r="J43" s="55" t="n">
        <f aca="false">J42*$D$2</f>
        <v>114.834015</v>
      </c>
      <c r="K43" s="55" t="n">
        <f aca="false">K42*$D$2</f>
        <v>4182.992515</v>
      </c>
      <c r="L43" s="55" t="n">
        <f aca="false">L42*$D$2</f>
        <v>-1556.705075</v>
      </c>
      <c r="M43" s="55" t="n">
        <f aca="false">M42*$D$2</f>
        <v>5875.127</v>
      </c>
      <c r="N43" s="55" t="n">
        <f aca="false">N42*$D$2</f>
        <v>13.8845</v>
      </c>
      <c r="O43" s="55" t="n">
        <f aca="false">O42*$D$2</f>
        <v>1487.86302</v>
      </c>
      <c r="P43" s="55" t="n">
        <f aca="false">P42*$D$2</f>
        <v>4373.37948</v>
      </c>
      <c r="Q43" s="55" t="n">
        <f aca="false">Q42*$D$2</f>
        <v>8638.1425</v>
      </c>
      <c r="R43" s="55" t="n">
        <f aca="false">R42*$D$2</f>
        <v>1813.7124</v>
      </c>
      <c r="S43" s="55" t="n">
        <f aca="false">S42*$D$2</f>
        <v>14825.23438</v>
      </c>
      <c r="T43" s="55"/>
      <c r="U43" s="55" t="n">
        <f aca="false">U42*$D$2</f>
        <v>248.235025</v>
      </c>
      <c r="V43" s="55" t="n">
        <f aca="false">V42*$D$2</f>
        <v>2616.2365</v>
      </c>
      <c r="W43" s="55"/>
      <c r="X43" s="55" t="n">
        <f aca="false">X42*$D$2</f>
        <v>19191.453425</v>
      </c>
      <c r="Y43" s="55" t="n">
        <f aca="false">Y42*$D$2</f>
        <v>1671.53909</v>
      </c>
      <c r="Z43" s="55" t="n">
        <f aca="false">Z42*$D$2</f>
        <v>20862.992515</v>
      </c>
      <c r="AA43" s="56"/>
      <c r="AB43" s="59" t="n">
        <f aca="false">MAX(AB10:AB40)</f>
        <v>77</v>
      </c>
      <c r="AC43" s="59" t="n">
        <f aca="false">MAX(AC10:AC40)</f>
        <v>46</v>
      </c>
      <c r="AD43" s="60" t="s">
        <v>49</v>
      </c>
      <c r="AE43" s="95"/>
      <c r="AF43" s="95"/>
      <c r="AG43" s="96"/>
    </row>
    <row r="44" customFormat="false" ht="2.25" hidden="false" customHeight="true" outlineLevel="0" collapsed="false">
      <c r="A44" s="76"/>
      <c r="B44" s="76"/>
      <c r="C44" s="78"/>
      <c r="D44" s="78"/>
      <c r="E44" s="78"/>
      <c r="F44" s="78"/>
      <c r="G44" s="78"/>
      <c r="H44" s="16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6"/>
      <c r="AB44" s="59"/>
      <c r="AC44" s="59"/>
      <c r="AD44" s="60"/>
      <c r="AE44" s="95"/>
      <c r="AF44" s="95"/>
      <c r="AG44" s="96"/>
    </row>
    <row r="45" customFormat="false" ht="11.1" hidden="false" customHeight="true" outlineLevel="0" collapsed="false">
      <c r="A45" s="54" t="s">
        <v>50</v>
      </c>
      <c r="B45" s="54"/>
      <c r="C45" s="55"/>
      <c r="D45" s="55"/>
      <c r="E45" s="55"/>
      <c r="F45" s="55" t="n">
        <f aca="false">F7+F42</f>
        <v>-10691.2024199647</v>
      </c>
      <c r="G45" s="55" t="n">
        <f aca="false">G7+G42</f>
        <v>109857</v>
      </c>
      <c r="H45" s="157" t="n">
        <f aca="false">H7+H42</f>
        <v>3391.54</v>
      </c>
      <c r="I45" s="55" t="n">
        <f aca="false">I7+I42</f>
        <v>113248.54</v>
      </c>
      <c r="J45" s="55" t="n">
        <f aca="false">J7+J42</f>
        <v>7661.9017620368</v>
      </c>
      <c r="K45" s="55" t="n">
        <f aca="false">K7+K42</f>
        <v>120910.441762037</v>
      </c>
      <c r="L45" s="55" t="n">
        <f aca="false">L7+L42</f>
        <v>2230.45758003529</v>
      </c>
      <c r="M45" s="55" t="n">
        <f aca="false">M7+M42</f>
        <v>48286</v>
      </c>
      <c r="N45" s="55" t="n">
        <f aca="false">N7+N42</f>
        <v>176</v>
      </c>
      <c r="O45" s="55" t="n">
        <f aca="false">O7+O42</f>
        <v>12472.322</v>
      </c>
      <c r="P45" s="55" t="s">
        <v>83</v>
      </c>
      <c r="Q45" s="55" t="n">
        <f aca="false">Q7+Q42</f>
        <v>25423</v>
      </c>
      <c r="R45" s="55" t="n">
        <f aca="false">R7+R42</f>
        <v>12664.4</v>
      </c>
      <c r="S45" s="55" t="n">
        <f aca="false">S7+S42</f>
        <v>73725.078</v>
      </c>
      <c r="T45" s="55" t="n">
        <f aca="false">T40</f>
        <v>-15411.946</v>
      </c>
      <c r="U45" s="55" t="n">
        <f aca="false">U7+U42</f>
        <v>27784.78</v>
      </c>
      <c r="V45" s="55" t="n">
        <f aca="false">V7+V42</f>
        <v>12012.02</v>
      </c>
      <c r="W45" s="55"/>
      <c r="X45" s="55" t="n">
        <f aca="false">X7+X42</f>
        <v>126170.2</v>
      </c>
      <c r="Y45" s="55" t="n">
        <f aca="false">Y7+Y42</f>
        <v>5431.44418200151</v>
      </c>
      <c r="Z45" s="55" t="n">
        <f aca="false">Z7+Z42</f>
        <v>131601.644182002</v>
      </c>
      <c r="AA45" s="56"/>
      <c r="AB45" s="59" t="n">
        <f aca="false">MIN(AB10:AB40)</f>
        <v>51</v>
      </c>
      <c r="AC45" s="59" t="n">
        <f aca="false">MIN(AC10:AC40)</f>
        <v>27</v>
      </c>
      <c r="AD45" s="60" t="s">
        <v>51</v>
      </c>
      <c r="AE45" s="95"/>
      <c r="AF45" s="95"/>
      <c r="AG45" s="96"/>
    </row>
    <row r="46" customFormat="false" ht="11.1" hidden="false" customHeight="true" outlineLevel="0" collapsed="false">
      <c r="A46" s="54" t="s">
        <v>52</v>
      </c>
      <c r="B46" s="54"/>
      <c r="C46" s="55"/>
      <c r="D46" s="55"/>
      <c r="E46" s="55"/>
      <c r="F46" s="55" t="n">
        <f aca="false">F45*$D$2</f>
        <v>-21206</v>
      </c>
      <c r="G46" s="55" t="n">
        <f aca="false">G45*$D$2</f>
        <v>217901.3595</v>
      </c>
      <c r="H46" s="157" t="n">
        <f aca="false">H45*$D$2</f>
        <v>6727.11959</v>
      </c>
      <c r="I46" s="55" t="n">
        <f aca="false">I45*$D$2</f>
        <v>224628.47909</v>
      </c>
      <c r="J46" s="55" t="n">
        <f aca="false">J45*$D$2</f>
        <v>15197.382145</v>
      </c>
      <c r="K46" s="55" t="n">
        <f aca="false">K45*$D$2</f>
        <v>239825.861235</v>
      </c>
      <c r="L46" s="55" t="n">
        <f aca="false">L45*$D$2</f>
        <v>4424.11261</v>
      </c>
      <c r="M46" s="55" t="n">
        <f aca="false">M45*$D$2</f>
        <v>95775.281</v>
      </c>
      <c r="N46" s="55" t="n">
        <f aca="false">N45*$D$2</f>
        <v>349.096</v>
      </c>
      <c r="O46" s="55" t="n">
        <f aca="false">O45*$D$2</f>
        <v>24738.850687</v>
      </c>
      <c r="P46" s="55" t="e">
        <f aca="false">P45*$D$2</f>
        <v>#VALUE!</v>
      </c>
      <c r="Q46" s="55" t="n">
        <f aca="false">Q45*$D$2</f>
        <v>50426.5205</v>
      </c>
      <c r="R46" s="55" t="n">
        <f aca="false">R45*$D$2</f>
        <v>25119.8374</v>
      </c>
      <c r="S46" s="55" t="n">
        <f aca="false">S45*$D$2</f>
        <v>146233.692213</v>
      </c>
      <c r="T46" s="55" t="n">
        <f aca="false">T45*$D$2</f>
        <v>-30569.594891</v>
      </c>
      <c r="U46" s="55" t="n">
        <f aca="false">U45*$D$2</f>
        <v>55111.11113</v>
      </c>
      <c r="V46" s="55" t="n">
        <f aca="false">V45*$D$2</f>
        <v>23825.84167</v>
      </c>
      <c r="W46" s="55"/>
      <c r="X46" s="55" t="n">
        <f aca="false">X45*$D$2</f>
        <v>250258.5917</v>
      </c>
      <c r="Y46" s="55" t="n">
        <f aca="false">Y45*$D$2</f>
        <v>10773.269535</v>
      </c>
      <c r="Z46" s="55" t="n">
        <f aca="false">Z45*$D$2</f>
        <v>261031.861235</v>
      </c>
      <c r="AA46" s="56"/>
      <c r="AB46" s="59"/>
      <c r="AC46" s="59"/>
      <c r="AD46" s="60"/>
      <c r="AE46" s="95"/>
      <c r="AF46" s="95"/>
      <c r="AG46" s="96"/>
    </row>
    <row r="47" customFormat="false" ht="2.25" hidden="false" customHeight="true" outlineLevel="0" collapsed="false">
      <c r="A47" s="76"/>
      <c r="B47" s="76"/>
      <c r="C47" s="78"/>
      <c r="D47" s="78"/>
      <c r="E47" s="78"/>
      <c r="F47" s="78"/>
      <c r="G47" s="78"/>
      <c r="H47" s="160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59"/>
      <c r="AC47" s="59"/>
      <c r="AD47" s="60"/>
      <c r="AE47" s="95"/>
      <c r="AF47" s="95"/>
      <c r="AG47" s="96"/>
    </row>
    <row r="48" customFormat="false" ht="11.1" hidden="false" customHeight="true" outlineLevel="0" collapsed="false">
      <c r="A48" s="54" t="s">
        <v>53</v>
      </c>
      <c r="B48" s="54"/>
      <c r="C48" s="55"/>
      <c r="D48" s="55"/>
      <c r="E48" s="55"/>
      <c r="F48" s="55" t="n">
        <f aca="false">F8+F42</f>
        <v>-5807.41114192085</v>
      </c>
      <c r="G48" s="55" t="n">
        <f aca="false">G8+G42</f>
        <v>118814</v>
      </c>
      <c r="H48" s="157" t="n">
        <f aca="false">H8+H42</f>
        <v>3770.44</v>
      </c>
      <c r="I48" s="55" t="n">
        <f aca="false">I8+I42</f>
        <v>122584.44</v>
      </c>
      <c r="J48" s="55" t="n">
        <f aca="false">J8+J42</f>
        <v>10629.830025208</v>
      </c>
      <c r="K48" s="55" t="n">
        <f aca="false">K8+K42</f>
        <v>133214.270025208</v>
      </c>
      <c r="L48" s="55" t="n">
        <f aca="false">L8+L42</f>
        <v>4945.94885807915</v>
      </c>
      <c r="M48" s="55" t="n">
        <f aca="false">M8+M42</f>
        <v>49224.6</v>
      </c>
      <c r="N48" s="55" t="n">
        <f aca="false">N8+N42</f>
        <v>202.68</v>
      </c>
      <c r="O48" s="55" t="n">
        <f aca="false">O8+O42</f>
        <v>12552.2055</v>
      </c>
      <c r="P48" s="55" t="n">
        <f aca="false">P8+P42</f>
        <v>36469.7145</v>
      </c>
      <c r="Q48" s="55" t="n">
        <f aca="false">Q8+Q42</f>
        <v>25423</v>
      </c>
      <c r="R48" s="55" t="n">
        <f aca="false">R8+R42</f>
        <v>12664.4</v>
      </c>
      <c r="S48" s="55" t="n">
        <f aca="false">S8+S42</f>
        <v>74557.1145</v>
      </c>
      <c r="T48" s="55" t="n">
        <f aca="false">T45</f>
        <v>-15411.946</v>
      </c>
      <c r="U48" s="55" t="n">
        <f aca="false">U8+U42</f>
        <v>27784.78</v>
      </c>
      <c r="V48" s="55" t="n">
        <f aca="false">V8+V42</f>
        <v>18241.02</v>
      </c>
      <c r="W48" s="55" t="n">
        <f aca="false">W40</f>
        <v>4801.98</v>
      </c>
      <c r="X48" s="55" t="n">
        <f aca="false">X8+X42</f>
        <v>133337.8</v>
      </c>
      <c r="Y48" s="55" t="n">
        <f aca="false">Y8+Y42</f>
        <v>5683.88116712881</v>
      </c>
      <c r="Z48" s="55" t="n">
        <f aca="false">Z8+Z42</f>
        <v>139021.681167129</v>
      </c>
      <c r="AA48" s="83" t="n">
        <f aca="false">AA8+AA42</f>
        <v>10.83</v>
      </c>
      <c r="AB48" s="59"/>
      <c r="AC48" s="59"/>
      <c r="AD48" s="60"/>
      <c r="AE48" s="95"/>
      <c r="AF48" s="95"/>
      <c r="AG48" s="96"/>
    </row>
    <row r="49" customFormat="false" ht="11.1" hidden="false" customHeight="true" outlineLevel="0" collapsed="false">
      <c r="A49" s="54" t="s">
        <v>54</v>
      </c>
      <c r="B49" s="54"/>
      <c r="C49" s="55"/>
      <c r="D49" s="55" t="n">
        <f aca="false">D8+D43</f>
        <v>-11519</v>
      </c>
      <c r="E49" s="55" t="n">
        <f aca="false">E40</f>
        <v>53946</v>
      </c>
      <c r="F49" s="55" t="n">
        <f aca="false">F48*$D$2</f>
        <v>-11519</v>
      </c>
      <c r="G49" s="55" t="n">
        <f aca="false">G48*$D$2</f>
        <v>235667.569</v>
      </c>
      <c r="H49" s="157" t="n">
        <f aca="false">H48*$D$2</f>
        <v>7478.66774</v>
      </c>
      <c r="I49" s="55" t="n">
        <f aca="false">I48*$D$2</f>
        <v>243146.23674</v>
      </c>
      <c r="J49" s="55" t="n">
        <f aca="false">J48*$D$2</f>
        <v>21084.267855</v>
      </c>
      <c r="K49" s="55" t="n">
        <f aca="false">K48*$D$2</f>
        <v>264230.504595</v>
      </c>
      <c r="L49" s="55" t="n">
        <f aca="false">L48*$D$2</f>
        <v>9810.28956</v>
      </c>
      <c r="M49" s="55" t="n">
        <f aca="false">M48*$D$2</f>
        <v>97636.9941</v>
      </c>
      <c r="N49" s="55" t="n">
        <f aca="false">N48*$D$2</f>
        <v>402.01578</v>
      </c>
      <c r="O49" s="55" t="n">
        <f aca="false">O48*$D$2</f>
        <v>24897.29960925</v>
      </c>
      <c r="P49" s="55" t="n">
        <f aca="false">P48*$D$2</f>
        <v>72337.67871075</v>
      </c>
      <c r="Q49" s="55" t="n">
        <f aca="false">Q48*$D$2</f>
        <v>50426.5205</v>
      </c>
      <c r="R49" s="55" t="n">
        <f aca="false">R48*$D$2</f>
        <v>25119.8374</v>
      </c>
      <c r="S49" s="55" t="n">
        <f aca="false">S48*$D$2</f>
        <v>147884.03661075</v>
      </c>
      <c r="T49" s="55" t="n">
        <f aca="false">T48*$D$2</f>
        <v>-30569.594891</v>
      </c>
      <c r="U49" s="55" t="n">
        <f aca="false">U48*$D$2</f>
        <v>55111.11113</v>
      </c>
      <c r="V49" s="55" t="n">
        <f aca="false">V48*$D$2</f>
        <v>36181.06317</v>
      </c>
      <c r="W49" s="55" t="n">
        <f aca="false">W48*$D$2</f>
        <v>9524.72733</v>
      </c>
      <c r="X49" s="55" t="n">
        <f aca="false">X48*$D$2</f>
        <v>264475.5263</v>
      </c>
      <c r="Y49" s="55" t="n">
        <f aca="false">Y48*$D$2</f>
        <v>11273.978295</v>
      </c>
      <c r="Z49" s="55" t="n">
        <f aca="false">Z48*$D$2</f>
        <v>275749.504595</v>
      </c>
      <c r="AA49" s="56"/>
      <c r="AB49" s="59"/>
      <c r="AC49" s="59"/>
      <c r="AD49" s="60"/>
      <c r="AE49" s="95"/>
      <c r="AF49" s="95"/>
      <c r="AG49" s="96"/>
    </row>
    <row r="50" customFormat="false" ht="2.25" hidden="false" customHeight="true" outlineLevel="0" collapsed="false">
      <c r="A50" s="76"/>
      <c r="B50" s="76"/>
      <c r="C50" s="78"/>
      <c r="D50" s="76"/>
      <c r="E50" s="78"/>
      <c r="F50" s="76"/>
      <c r="G50" s="76"/>
      <c r="H50" s="160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6"/>
      <c r="AB50" s="59"/>
      <c r="AC50" s="59"/>
      <c r="AD50" s="60"/>
      <c r="AE50" s="95"/>
      <c r="AF50" s="95"/>
      <c r="AG50" s="96"/>
    </row>
    <row r="51" customFormat="false" ht="11.1" hidden="false" customHeight="true" outlineLevel="0" collapsed="false">
      <c r="A51" s="144"/>
      <c r="B51" s="86"/>
      <c r="C51" s="55"/>
      <c r="D51" s="54"/>
      <c r="E51" s="55"/>
      <c r="F51" s="54"/>
      <c r="G51" s="54"/>
      <c r="H51" s="157"/>
      <c r="I51" s="54"/>
      <c r="J51" s="54"/>
      <c r="K51" s="54"/>
      <c r="L51" s="54"/>
      <c r="M51" s="54"/>
      <c r="N51" s="54"/>
      <c r="O51" s="54"/>
      <c r="P51" s="55" t="n">
        <f aca="false">N49+O49+P49</f>
        <v>97636.9941</v>
      </c>
      <c r="Q51" s="54"/>
      <c r="R51" s="54" t="s">
        <v>84</v>
      </c>
      <c r="S51" s="54" t="n">
        <v>3229</v>
      </c>
      <c r="T51" s="55"/>
      <c r="U51" s="54"/>
      <c r="V51" s="54"/>
      <c r="W51" s="161" t="n">
        <v>33350</v>
      </c>
      <c r="X51" s="162" t="s">
        <v>85</v>
      </c>
      <c r="Y51" s="54"/>
      <c r="Z51" s="54"/>
      <c r="AA51" s="56"/>
      <c r="AB51" s="59"/>
      <c r="AC51" s="59"/>
      <c r="AD51" s="60"/>
      <c r="AE51" s="91"/>
      <c r="AF51" s="91"/>
    </row>
    <row r="52" customFormat="false" ht="11.1" hidden="false" customHeight="true" outlineLevel="0" collapsed="false">
      <c r="A52" s="54"/>
      <c r="B52" s="75"/>
      <c r="C52" s="55"/>
      <c r="D52" s="84"/>
      <c r="E52" s="55"/>
      <c r="F52" s="54"/>
      <c r="G52" s="54"/>
      <c r="H52" s="157"/>
      <c r="I52" s="87"/>
      <c r="J52" s="54"/>
      <c r="K52" s="45"/>
      <c r="L52" s="54"/>
      <c r="M52" s="54"/>
      <c r="N52" s="54"/>
      <c r="O52" s="163" t="n">
        <v>12150</v>
      </c>
      <c r="R52" s="147" t="s">
        <v>86</v>
      </c>
      <c r="S52" s="55" t="n">
        <v>668</v>
      </c>
      <c r="T52" s="55"/>
      <c r="V52" s="55"/>
      <c r="W52" s="54" t="n">
        <f aca="false">W51-W49</f>
        <v>23825.27267</v>
      </c>
      <c r="X52" s="72" t="s">
        <v>87</v>
      </c>
      <c r="Y52" s="54"/>
      <c r="Z52" s="56"/>
      <c r="AA52" s="59"/>
      <c r="AB52" s="59"/>
      <c r="AC52" s="60"/>
      <c r="AD52" s="91"/>
      <c r="AE52" s="91"/>
    </row>
    <row r="53" customFormat="false" ht="11.1" hidden="false" customHeight="true" outlineLevel="0" collapsed="false">
      <c r="A53" s="84"/>
      <c r="B53" s="84"/>
      <c r="C53" s="55"/>
      <c r="D53" s="55"/>
      <c r="E53" s="55"/>
      <c r="F53" s="84"/>
      <c r="G53" s="84"/>
      <c r="H53" s="157"/>
      <c r="I53" s="84"/>
      <c r="J53" s="84"/>
      <c r="K53" s="84"/>
      <c r="L53" s="84"/>
      <c r="M53" s="83"/>
      <c r="N53" s="83" t="s">
        <v>88</v>
      </c>
      <c r="O53" s="83" t="n">
        <f aca="false">O48-O52</f>
        <v>402.2055</v>
      </c>
      <c r="P53" s="54"/>
      <c r="Q53" s="54"/>
      <c r="R53" s="55" t="s">
        <v>89</v>
      </c>
      <c r="S53" s="55" t="n">
        <v>1299</v>
      </c>
      <c r="T53" s="164"/>
      <c r="V53" s="55"/>
      <c r="W53" s="84"/>
      <c r="X53" s="84"/>
      <c r="Y53" s="84"/>
      <c r="Z53" s="56"/>
      <c r="AA53" s="59"/>
      <c r="AB53" s="59"/>
      <c r="AC53" s="60"/>
      <c r="AD53" s="101"/>
      <c r="AE53" s="101"/>
    </row>
    <row r="54" customFormat="false" ht="11.1" hidden="false" customHeight="true" outlineLevel="0" collapsed="false">
      <c r="A54" s="84"/>
      <c r="B54" s="56"/>
      <c r="C54" s="55"/>
      <c r="D54" s="55"/>
      <c r="E54" s="55"/>
      <c r="F54" s="84"/>
      <c r="G54" s="84"/>
      <c r="H54" s="157"/>
      <c r="I54" s="84"/>
      <c r="J54" s="84"/>
      <c r="K54" s="84"/>
      <c r="L54" s="84"/>
      <c r="M54" s="83"/>
      <c r="N54" s="83"/>
      <c r="O54" s="83"/>
      <c r="P54" s="84"/>
      <c r="Q54" s="84" t="s">
        <v>90</v>
      </c>
      <c r="R54" s="55"/>
      <c r="S54" s="55" t="n">
        <f aca="false">S49-SUM(S51:S53)</f>
        <v>142688.03661075</v>
      </c>
      <c r="T54" s="84"/>
      <c r="V54" s="55"/>
      <c r="W54" s="84"/>
      <c r="X54" s="84"/>
      <c r="Y54" s="84"/>
      <c r="Z54" s="56"/>
      <c r="AA54" s="59"/>
      <c r="AB54" s="59"/>
      <c r="AC54" s="60"/>
      <c r="AD54" s="101"/>
      <c r="AE54" s="101"/>
    </row>
    <row r="55" customFormat="false" ht="11.1" hidden="false" customHeight="true" outlineLevel="0" collapsed="false">
      <c r="A55" s="84"/>
      <c r="B55" s="84"/>
      <c r="C55" s="55"/>
      <c r="D55" s="84"/>
      <c r="E55" s="55"/>
      <c r="F55" s="84"/>
      <c r="G55" s="88"/>
      <c r="H55" s="157"/>
      <c r="I55" s="84"/>
      <c r="J55" s="84"/>
      <c r="K55" s="84"/>
      <c r="L55" s="84"/>
      <c r="M55" s="83"/>
      <c r="N55" s="83"/>
      <c r="O55" s="83"/>
      <c r="P55" s="84"/>
      <c r="Q55" s="84"/>
      <c r="R55" s="55"/>
      <c r="S55" s="55"/>
      <c r="T55" s="84"/>
      <c r="V55" s="55"/>
      <c r="W55" s="84"/>
      <c r="X55" s="84"/>
      <c r="Y55" s="84"/>
      <c r="Z55" s="56"/>
      <c r="AA55" s="59"/>
      <c r="AB55" s="59"/>
      <c r="AC55" s="60"/>
      <c r="AD55" s="101"/>
      <c r="AE55" s="101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La Von Millard</cp:lastModifiedBy>
  <cp:lastPrinted>2003-01-29T15:50:34Z</cp:lastPrinted>
  <dcterms:modified xsi:type="dcterms:W3CDTF">2014-03-26T14:25:42Z</dcterms:modified>
  <cp:revision>0</cp:revision>
  <dc:subject>MCPHEE IN/OUT FLOW</dc:subject>
  <dc:title>RIVER</dc:title>
</cp:coreProperties>
</file>